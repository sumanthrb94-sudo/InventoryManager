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3" name="BM" state="visible" r:id="rId5"/>
    <sheet sheetId="4" name="EBAY" state="visible" r:id="rId6"/>
    <sheet sheetId="5" name="ONBUY" state="visible" r:id="rId7"/>
    <sheet sheetId="6" name="TEMU" state="visible" r:id="rId8"/>
    <sheet sheetId="1" name="README" state="visible" r:id="rId9"/>
  </sheets>
  <calcPr calcId="171027"/>
</workbook>
</file>

<file path=xl/sharedStrings.xml><?xml version="1.0" encoding="utf-8"?>
<sst xmlns="http://schemas.openxmlformats.org/spreadsheetml/2006/main" count="213" uniqueCount="83">
  <si>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</si>
  <si>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</si>
  <si>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</si>
  <si>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</si>
  <si>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</si>
  <si>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</si>
  <si>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</si>
  <si>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</si>
  <si>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</si>
  <si>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</si>
  <si>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</si>
  <si>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</si>
  <si>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</si>
  <si>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</si>
  <si>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</si>
  <si>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</si>
  <si>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Accessories</t>
  </si>
  <si>
    <t>Total VAT</t>
  </si>
  <si>
    <t>GP</t>
  </si>
  <si>
    <t>GP %</t>
  </si>
  <si>
    <t>Total VAT NTP</t>
  </si>
  <si>
    <t>Comments</t>
  </si>
  <si>
    <t>Model</t>
  </si>
  <si>
    <t>Return Date</t>
  </si>
  <si>
    <t>Outcome</t>
  </si>
  <si>
    <t>Return Reason</t>
  </si>
  <si>
    <t>Shipping Legs</t>
  </si>
  <si>
    <t>Postage Loss</t>
  </si>
  <si>
    <t>Net GP £</t>
  </si>
  <si>
    <t>Storage</t>
  </si>
  <si>
    <t>Colour</t>
  </si>
  <si>
    <t>AMZ-5001</t>
  </si>
  <si>
    <t>IP13-128-MID</t>
  </si>
  <si>
    <t>350100000000000</t>
  </si>
  <si>
    <t>MOBILE WHOLESALE LTD</t>
  </si>
  <si>
    <t/>
  </si>
  <si>
    <t>Apple iPhone 13 128GB</t>
  </si>
  <si>
    <t>TOTAL</t>
  </si>
  <si>
    <t>Customer Care Fees</t>
  </si>
  <si>
    <t>BM-7781</t>
  </si>
  <si>
    <t>S22-128-GRN</t>
  </si>
  <si>
    <t>350100000015838</t>
  </si>
  <si>
    <t>PHONEBOX DIRECT</t>
  </si>
  <si>
    <t>Units</t>
  </si>
  <si>
    <t>ROF</t>
  </si>
  <si>
    <t>FVF</t>
  </si>
  <si>
    <t>VAT</t>
  </si>
  <si>
    <t>T.COM</t>
  </si>
  <si>
    <t>Marketing</t>
  </si>
  <si>
    <t>M. VAT</t>
  </si>
  <si>
    <t>EB-3310</t>
  </si>
  <si>
    <t>IP13P-256-GRA</t>
  </si>
  <si>
    <t>350100000023757</t>
  </si>
  <si>
    <t>CELLHUB TRADING</t>
  </si>
  <si>
    <t>Apple iPhone 13P 256GB</t>
  </si>
  <si>
    <t>VAT 20%</t>
  </si>
  <si>
    <t>OB-9002</t>
  </si>
  <si>
    <t>PIX7-128-BLK</t>
  </si>
  <si>
    <t>350100000031676</t>
  </si>
  <si>
    <t>NORTHSIDE STOCK</t>
  </si>
  <si>
    <t>Commission VAT</t>
  </si>
  <si>
    <t>PO-210-07053322437751959</t>
  </si>
  <si>
    <t>SG-A17-128GB-OB</t>
  </si>
  <si>
    <t>350901801557294</t>
  </si>
  <si>
    <t>MHL</t>
  </si>
  <si>
    <t>Samsung Galaxy A17 128GB</t>
  </si>
  <si>
    <t>SALES TEMPLATE — same columns as the Sales Report</t>
  </si>
  <si>
    <t>What this is</t>
  </si>
  <si>
    <t>One sheet per marketplace (AMAZON, BM, EBAY, ONBUY, TEMU),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</si>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</sst>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7" t="s">
        <v>66</v>
      </c>
      <c r="B1" t="s">
        <v>35</v>
      </c>
    </row>
    <row r="3" spans="1:2" x14ac:dyDescent="0.25">
      <c r="A3" s="4" t="s">
        <v>67</v>
      </c>
      <c r="B3" s="8" t="s">
        <v>68</v>
      </c>
    </row>
    <row r="4" spans="1:2" x14ac:dyDescent="0.25">
      <c r="A4" s="4" t="s">
        <v>69</v>
      </c>
      <c r="B4" s="8" t="s">
        <v>70</v>
      </c>
    </row>
    <row r="5" spans="1:2" x14ac:dyDescent="0.25">
      <c r="A5" s="4" t="s">
        <v>71</v>
      </c>
      <c r="B5" s="8" t="s">
        <v>72</v>
      </c>
    </row>
    <row r="6" spans="1:2" x14ac:dyDescent="0.25">
      <c r="A6" s="4" t="s">
        <v>73</v>
      </c>
      <c r="B6" s="8" t="s">
        <v>74</v>
      </c>
    </row>
    <row r="7" spans="1:2" x14ac:dyDescent="0.25">
      <c r="A7" s="4" t="s">
        <v>75</v>
      </c>
      <c r="B7" s="8" t="s">
        <v>76</v>
      </c>
    </row>
    <row r="8" spans="1:2" x14ac:dyDescent="0.25">
      <c r="A8" s="4" t="s">
        <v>77</v>
      </c>
      <c r="B8" s="8" t="s">
        <v>78</v>
      </c>
    </row>
    <row r="9" spans="1:2" x14ac:dyDescent="0.25">
      <c r="A9" s="4" t="s">
        <v>79</v>
      </c>
      <c r="B9" s="8" t="s">
        <v>80</v>
      </c>
    </row>
    <row r="10" spans="1:2" x14ac:dyDescent="0.25">
      <c r="A10" s="4" t="s">
        <v>81</v>
      </c>
      <c r="B10" s="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3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46235.5</v>
      </c>
      <c r="B2" t="s">
        <v>31</v>
      </c>
      <c r="C2" t="s">
        <v>32</v>
      </c>
      <c r="D2" s="2" t="s">
        <v>33</v>
      </c>
      <c r="E2" t="s">
        <v>34</v>
      </c>
      <c r="F2">
        <v>1</v>
      </c>
      <c r="G2" s="3">
        <v>320</v>
      </c>
      <c r="H2" s="3">
        <v>425</v>
      </c>
      <c r="I2" s="3">
        <f>H2-G2</f>
      </c>
      <c r="J2" s="3">
        <f>I2*16.67%</f>
      </c>
      <c r="K2" s="3">
        <f>H2/100*7</f>
      </c>
      <c r="L2" s="3">
        <f>K2*20%</f>
      </c>
      <c r="M2" s="3">
        <f>K2*2%</f>
      </c>
      <c r="N2" s="3">
        <f>M2*20%</f>
      </c>
      <c r="O2" s="3">
        <v>8</v>
      </c>
      <c r="P2" s="3">
        <f>O2*20%</f>
      </c>
      <c r="Q2" s="3">
        <v>1</v>
      </c>
      <c r="R2" s="3">
        <f>L2+N2+P2</f>
      </c>
      <c r="S2" s="3">
        <f>I2-J2-K2-L2-M2-N2-O2-P2-Q2</f>
      </c>
      <c r="T2" s="3">
        <f>(S2-AB2)/G2*100</f>
      </c>
      <c r="U2" s="3">
        <f>J2-R2</f>
      </c>
      <c r="V2" t="s">
        <v>35</v>
      </c>
      <c r="W2" t="s">
        <v>36</v>
      </c>
      <c r="AC2" s="3">
        <f>S2-AB2</f>
      </c>
      <c r="AD2" t="s">
        <v>35</v>
      </c>
      <c r="AE2" t="s">
        <v>35</v>
      </c>
    </row>
    <row r="3" spans="1:29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>
        <f>IF($H3="","",H3/100*7)</f>
      </c>
      <c r="L3" s="3">
        <f>IF($H3="","",K3*20%)</f>
      </c>
      <c r="M3" s="3">
        <f>IF($H3="","",K3*2%)</f>
      </c>
      <c r="N3" s="3">
        <f>IF($H3="","",M3*20%)</f>
      </c>
      <c r="O3" s="3"/>
      <c r="P3" s="3">
        <f>IF($H3="","",O3*20%)</f>
      </c>
      <c r="Q3" s="3">
        <v>1</v>
      </c>
      <c r="R3" s="3">
        <f>IF($H3="","",L3+N3+P3)</f>
      </c>
      <c r="S3" s="3">
        <f>IF($H3="","",I3-J3-K3-L3-M3-N3-O3-P3-Q3)</f>
      </c>
      <c r="T3" s="3">
        <f>IF($H3="","",(S3-AB3)/G3*100)</f>
      </c>
      <c r="U3" s="3">
        <f>IF($H3="","",J3-R3)</f>
      </c>
      <c r="AC3" s="3">
        <f>IF($H3="","",S3-AB3)</f>
      </c>
    </row>
    <row r="4" spans="1:29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>
        <f>IF($H4="","",H4/100*7)</f>
      </c>
      <c r="L4" s="3">
        <f>IF($H4="","",K4*20%)</f>
      </c>
      <c r="M4" s="3">
        <f>IF($H4="","",K4*2%)</f>
      </c>
      <c r="N4" s="3">
        <f>IF($H4="","",M4*20%)</f>
      </c>
      <c r="O4" s="3"/>
      <c r="P4" s="3">
        <f>IF($H4="","",O4*20%)</f>
      </c>
      <c r="Q4" s="3">
        <v>1</v>
      </c>
      <c r="R4" s="3">
        <f>IF($H4="","",L4+N4+P4)</f>
      </c>
      <c r="S4" s="3">
        <f>IF($H4="","",I4-J4-K4-L4-M4-N4-O4-P4-Q4)</f>
      </c>
      <c r="T4" s="3">
        <f>IF($H4="","",(S4-AB4)/G4*100)</f>
      </c>
      <c r="U4" s="3">
        <f>IF($H4="","",J4-R4)</f>
      </c>
      <c r="AC4" s="3">
        <f>IF($H4="","",S4-AB4)</f>
      </c>
    </row>
    <row r="5" spans="1:29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>
        <f>IF($H5="","",H5/100*7)</f>
      </c>
      <c r="L5" s="3">
        <f>IF($H5="","",K5*20%)</f>
      </c>
      <c r="M5" s="3">
        <f>IF($H5="","",K5*2%)</f>
      </c>
      <c r="N5" s="3">
        <f>IF($H5="","",M5*20%)</f>
      </c>
      <c r="O5" s="3"/>
      <c r="P5" s="3">
        <f>IF($H5="","",O5*20%)</f>
      </c>
      <c r="Q5" s="3">
        <v>1</v>
      </c>
      <c r="R5" s="3">
        <f>IF($H5="","",L5+N5+P5)</f>
      </c>
      <c r="S5" s="3">
        <f>IF($H5="","",I5-J5-K5-L5-M5-N5-O5-P5-Q5)</f>
      </c>
      <c r="T5" s="3">
        <f>IF($H5="","",(S5-AB5)/G5*100)</f>
      </c>
      <c r="U5" s="3">
        <f>IF($H5="","",J5-R5)</f>
      </c>
      <c r="AC5" s="3">
        <f>IF($H5="","",S5-AB5)</f>
      </c>
    </row>
    <row r="6" spans="1:29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>
        <f>IF($H6="","",H6/100*7)</f>
      </c>
      <c r="L6" s="3">
        <f>IF($H6="","",K6*20%)</f>
      </c>
      <c r="M6" s="3">
        <f>IF($H6="","",K6*2%)</f>
      </c>
      <c r="N6" s="3">
        <f>IF($H6="","",M6*20%)</f>
      </c>
      <c r="O6" s="3"/>
      <c r="P6" s="3">
        <f>IF($H6="","",O6*20%)</f>
      </c>
      <c r="Q6" s="3">
        <v>1</v>
      </c>
      <c r="R6" s="3">
        <f>IF($H6="","",L6+N6+P6)</f>
      </c>
      <c r="S6" s="3">
        <f>IF($H6="","",I6-J6-K6-L6-M6-N6-O6-P6-Q6)</f>
      </c>
      <c r="T6" s="3">
        <f>IF($H6="","",(S6-AB6)/G6*100)</f>
      </c>
      <c r="U6" s="3">
        <f>IF($H6="","",J6-R6)</f>
      </c>
      <c r="AC6" s="3">
        <f>IF($H6="","",S6-AB6)</f>
      </c>
    </row>
    <row r="7" spans="1:29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>
        <f>IF($H7="","",H7/100*7)</f>
      </c>
      <c r="L7" s="3">
        <f>IF($H7="","",K7*20%)</f>
      </c>
      <c r="M7" s="3">
        <f>IF($H7="","",K7*2%)</f>
      </c>
      <c r="N7" s="3">
        <f>IF($H7="","",M7*20%)</f>
      </c>
      <c r="O7" s="3"/>
      <c r="P7" s="3">
        <f>IF($H7="","",O7*20%)</f>
      </c>
      <c r="Q7" s="3">
        <v>1</v>
      </c>
      <c r="R7" s="3">
        <f>IF($H7="","",L7+N7+P7)</f>
      </c>
      <c r="S7" s="3">
        <f>IF($H7="","",I7-J7-K7-L7-M7-N7-O7-P7-Q7)</f>
      </c>
      <c r="T7" s="3">
        <f>IF($H7="","",(S7-AB7)/G7*100)</f>
      </c>
      <c r="U7" s="3">
        <f>IF($H7="","",J7-R7)</f>
      </c>
      <c r="AC7" s="3">
        <f>IF($H7="","",S7-AB7)</f>
      </c>
    </row>
    <row r="8" spans="1:29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>
        <f>IF($H8="","",H8/100*7)</f>
      </c>
      <c r="L8" s="3">
        <f>IF($H8="","",K8*20%)</f>
      </c>
      <c r="M8" s="3">
        <f>IF($H8="","",K8*2%)</f>
      </c>
      <c r="N8" s="3">
        <f>IF($H8="","",M8*20%)</f>
      </c>
      <c r="O8" s="3"/>
      <c r="P8" s="3">
        <f>IF($H8="","",O8*20%)</f>
      </c>
      <c r="Q8" s="3">
        <v>1</v>
      </c>
      <c r="R8" s="3">
        <f>IF($H8="","",L8+N8+P8)</f>
      </c>
      <c r="S8" s="3">
        <f>IF($H8="","",I8-J8-K8-L8-M8-N8-O8-P8-Q8)</f>
      </c>
      <c r="T8" s="3">
        <f>IF($H8="","",(S8-AB8)/G8*100)</f>
      </c>
      <c r="U8" s="3">
        <f>IF($H8="","",J8-R8)</f>
      </c>
      <c r="AC8" s="3">
        <f>IF($H8="","",S8-AB8)</f>
      </c>
    </row>
    <row r="9" spans="1:29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>
        <f>IF($H9="","",H9/100*7)</f>
      </c>
      <c r="L9" s="3">
        <f>IF($H9="","",K9*20%)</f>
      </c>
      <c r="M9" s="3">
        <f>IF($H9="","",K9*2%)</f>
      </c>
      <c r="N9" s="3">
        <f>IF($H9="","",M9*20%)</f>
      </c>
      <c r="O9" s="3"/>
      <c r="P9" s="3">
        <f>IF($H9="","",O9*20%)</f>
      </c>
      <c r="Q9" s="3">
        <v>1</v>
      </c>
      <c r="R9" s="3">
        <f>IF($H9="","",L9+N9+P9)</f>
      </c>
      <c r="S9" s="3">
        <f>IF($H9="","",I9-J9-K9-L9-M9-N9-O9-P9-Q9)</f>
      </c>
      <c r="T9" s="3">
        <f>IF($H9="","",(S9-AB9)/G9*100)</f>
      </c>
      <c r="U9" s="3">
        <f>IF($H9="","",J9-R9)</f>
      </c>
      <c r="AC9" s="3">
        <f>IF($H9="","",S9-AB9)</f>
      </c>
    </row>
    <row r="10" spans="1:29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>
        <f>IF($H10="","",H10/100*7)</f>
      </c>
      <c r="L10" s="3">
        <f>IF($H10="","",K10*20%)</f>
      </c>
      <c r="M10" s="3">
        <f>IF($H10="","",K10*2%)</f>
      </c>
      <c r="N10" s="3">
        <f>IF($H10="","",M10*20%)</f>
      </c>
      <c r="O10" s="3"/>
      <c r="P10" s="3">
        <f>IF($H10="","",O10*20%)</f>
      </c>
      <c r="Q10" s="3">
        <v>1</v>
      </c>
      <c r="R10" s="3">
        <f>IF($H10="","",L10+N10+P10)</f>
      </c>
      <c r="S10" s="3">
        <f>IF($H10="","",I10-J10-K10-L10-M10-N10-O10-P10-Q10)</f>
      </c>
      <c r="T10" s="3">
        <f>IF($H10="","",(S10-AB10)/G10*100)</f>
      </c>
      <c r="U10" s="3">
        <f>IF($H10="","",J10-R10)</f>
      </c>
      <c r="AC10" s="3">
        <f>IF($H10="","",S10-AB10)</f>
      </c>
    </row>
    <row r="11" spans="1:29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>
        <f>IF($H11="","",H11/100*7)</f>
      </c>
      <c r="L11" s="3">
        <f>IF($H11="","",K11*20%)</f>
      </c>
      <c r="M11" s="3">
        <f>IF($H11="","",K11*2%)</f>
      </c>
      <c r="N11" s="3">
        <f>IF($H11="","",M11*20%)</f>
      </c>
      <c r="O11" s="3"/>
      <c r="P11" s="3">
        <f>IF($H11="","",O11*20%)</f>
      </c>
      <c r="Q11" s="3">
        <v>1</v>
      </c>
      <c r="R11" s="3">
        <f>IF($H11="","",L11+N11+P11)</f>
      </c>
      <c r="S11" s="3">
        <f>IF($H11="","",I11-J11-K11-L11-M11-N11-O11-P11-Q11)</f>
      </c>
      <c r="T11" s="3">
        <f>IF($H11="","",(S11-AB11)/G11*100)</f>
      </c>
      <c r="U11" s="3">
        <f>IF($H11="","",J11-R11)</f>
      </c>
      <c r="AC11" s="3">
        <f>IF($H11="","",S11-AB11)</f>
      </c>
    </row>
    <row r="12" spans="1:29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>
        <f>IF($H12="","",H12/100*7)</f>
      </c>
      <c r="L12" s="3">
        <f>IF($H12="","",K12*20%)</f>
      </c>
      <c r="M12" s="3">
        <f>IF($H12="","",K12*2%)</f>
      </c>
      <c r="N12" s="3">
        <f>IF($H12="","",M12*20%)</f>
      </c>
      <c r="O12" s="3"/>
      <c r="P12" s="3">
        <f>IF($H12="","",O12*20%)</f>
      </c>
      <c r="Q12" s="3">
        <v>1</v>
      </c>
      <c r="R12" s="3">
        <f>IF($H12="","",L12+N12+P12)</f>
      </c>
      <c r="S12" s="3">
        <f>IF($H12="","",I12-J12-K12-L12-M12-N12-O12-P12-Q12)</f>
      </c>
      <c r="T12" s="3">
        <f>IF($H12="","",(S12-AB12)/G12*100)</f>
      </c>
      <c r="U12" s="3">
        <f>IF($H12="","",J12-R12)</f>
      </c>
      <c r="AC12" s="3">
        <f>IF($H12="","",S12-AB12)</f>
      </c>
    </row>
    <row r="13" spans="1:29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>
        <f>IF($H13="","",H13/100*7)</f>
      </c>
      <c r="L13" s="3">
        <f>IF($H13="","",K13*20%)</f>
      </c>
      <c r="M13" s="3">
        <f>IF($H13="","",K13*2%)</f>
      </c>
      <c r="N13" s="3">
        <f>IF($H13="","",M13*20%)</f>
      </c>
      <c r="O13" s="3"/>
      <c r="P13" s="3">
        <f>IF($H13="","",O13*20%)</f>
      </c>
      <c r="Q13" s="3">
        <v>1</v>
      </c>
      <c r="R13" s="3">
        <f>IF($H13="","",L13+N13+P13)</f>
      </c>
      <c r="S13" s="3">
        <f>IF($H13="","",I13-J13-K13-L13-M13-N13-O13-P13-Q13)</f>
      </c>
      <c r="T13" s="3">
        <f>IF($H13="","",(S13-AB13)/G13*100)</f>
      </c>
      <c r="U13" s="3">
        <f>IF($H13="","",J13-R13)</f>
      </c>
      <c r="AC13" s="3">
        <f>IF($H13="","",S13-AB13)</f>
      </c>
    </row>
    <row r="14" spans="1:29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>
        <f>IF($H14="","",H14/100*7)</f>
      </c>
      <c r="L14" s="3">
        <f>IF($H14="","",K14*20%)</f>
      </c>
      <c r="M14" s="3">
        <f>IF($H14="","",K14*2%)</f>
      </c>
      <c r="N14" s="3">
        <f>IF($H14="","",M14*20%)</f>
      </c>
      <c r="O14" s="3"/>
      <c r="P14" s="3">
        <f>IF($H14="","",O14*20%)</f>
      </c>
      <c r="Q14" s="3">
        <v>1</v>
      </c>
      <c r="R14" s="3">
        <f>IF($H14="","",L14+N14+P14)</f>
      </c>
      <c r="S14" s="3">
        <f>IF($H14="","",I14-J14-K14-L14-M14-N14-O14-P14-Q14)</f>
      </c>
      <c r="T14" s="3">
        <f>IF($H14="","",(S14-AB14)/G14*100)</f>
      </c>
      <c r="U14" s="3">
        <f>IF($H14="","",J14-R14)</f>
      </c>
      <c r="AC14" s="3">
        <f>IF($H14="","",S14-AB14)</f>
      </c>
    </row>
    <row r="15" spans="1:29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>
        <f>IF($H15="","",H15/100*7)</f>
      </c>
      <c r="L15" s="3">
        <f>IF($H15="","",K15*20%)</f>
      </c>
      <c r="M15" s="3">
        <f>IF($H15="","",K15*2%)</f>
      </c>
      <c r="N15" s="3">
        <f>IF($H15="","",M15*20%)</f>
      </c>
      <c r="O15" s="3"/>
      <c r="P15" s="3">
        <f>IF($H15="","",O15*20%)</f>
      </c>
      <c r="Q15" s="3">
        <v>1</v>
      </c>
      <c r="R15" s="3">
        <f>IF($H15="","",L15+N15+P15)</f>
      </c>
      <c r="S15" s="3">
        <f>IF($H15="","",I15-J15-K15-L15-M15-N15-O15-P15-Q15)</f>
      </c>
      <c r="T15" s="3">
        <f>IF($H15="","",(S15-AB15)/G15*100)</f>
      </c>
      <c r="U15" s="3">
        <f>IF($H15="","",J15-R15)</f>
      </c>
      <c r="AC15" s="3">
        <f>IF($H15="","",S15-AB15)</f>
      </c>
    </row>
    <row r="16" spans="1:29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>
        <f>IF($H16="","",H16/100*7)</f>
      </c>
      <c r="L16" s="3">
        <f>IF($H16="","",K16*20%)</f>
      </c>
      <c r="M16" s="3">
        <f>IF($H16="","",K16*2%)</f>
      </c>
      <c r="N16" s="3">
        <f>IF($H16="","",M16*20%)</f>
      </c>
      <c r="O16" s="3"/>
      <c r="P16" s="3">
        <f>IF($H16="","",O16*20%)</f>
      </c>
      <c r="Q16" s="3">
        <v>1</v>
      </c>
      <c r="R16" s="3">
        <f>IF($H16="","",L16+N16+P16)</f>
      </c>
      <c r="S16" s="3">
        <f>IF($H16="","",I16-J16-K16-L16-M16-N16-O16-P16-Q16)</f>
      </c>
      <c r="T16" s="3">
        <f>IF($H16="","",(S16-AB16)/G16*100)</f>
      </c>
      <c r="U16" s="3">
        <f>IF($H16="","",J16-R16)</f>
      </c>
      <c r="AC16" s="3">
        <f>IF($H16="","",S16-AB16)</f>
      </c>
    </row>
    <row r="17" spans="1:29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>
        <f>IF($H17="","",H17/100*7)</f>
      </c>
      <c r="L17" s="3">
        <f>IF($H17="","",K17*20%)</f>
      </c>
      <c r="M17" s="3">
        <f>IF($H17="","",K17*2%)</f>
      </c>
      <c r="N17" s="3">
        <f>IF($H17="","",M17*20%)</f>
      </c>
      <c r="O17" s="3"/>
      <c r="P17" s="3">
        <f>IF($H17="","",O17*20%)</f>
      </c>
      <c r="Q17" s="3">
        <v>1</v>
      </c>
      <c r="R17" s="3">
        <f>IF($H17="","",L17+N17+P17)</f>
      </c>
      <c r="S17" s="3">
        <f>IF($H17="","",I17-J17-K17-L17-M17-N17-O17-P17-Q17)</f>
      </c>
      <c r="T17" s="3">
        <f>IF($H17="","",(S17-AB17)/G17*100)</f>
      </c>
      <c r="U17" s="3">
        <f>IF($H17="","",J17-R17)</f>
      </c>
      <c r="AC17" s="3">
        <f>IF($H17="","",S17-AB17)</f>
      </c>
    </row>
    <row r="18" spans="1:29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>
        <f>IF($H18="","",H18/100*7)</f>
      </c>
      <c r="L18" s="3">
        <f>IF($H18="","",K18*20%)</f>
      </c>
      <c r="M18" s="3">
        <f>IF($H18="","",K18*2%)</f>
      </c>
      <c r="N18" s="3">
        <f>IF($H18="","",M18*20%)</f>
      </c>
      <c r="O18" s="3"/>
      <c r="P18" s="3">
        <f>IF($H18="","",O18*20%)</f>
      </c>
      <c r="Q18" s="3">
        <v>1</v>
      </c>
      <c r="R18" s="3">
        <f>IF($H18="","",L18+N18+P18)</f>
      </c>
      <c r="S18" s="3">
        <f>IF($H18="","",I18-J18-K18-L18-M18-N18-O18-P18-Q18)</f>
      </c>
      <c r="T18" s="3">
        <f>IF($H18="","",(S18-AB18)/G18*100)</f>
      </c>
      <c r="U18" s="3">
        <f>IF($H18="","",J18-R18)</f>
      </c>
      <c r="AC18" s="3">
        <f>IF($H18="","",S18-AB18)</f>
      </c>
    </row>
    <row r="19" spans="1:29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>
        <f>IF($H19="","",H19/100*7)</f>
      </c>
      <c r="L19" s="3">
        <f>IF($H19="","",K19*20%)</f>
      </c>
      <c r="M19" s="3">
        <f>IF($H19="","",K19*2%)</f>
      </c>
      <c r="N19" s="3">
        <f>IF($H19="","",M19*20%)</f>
      </c>
      <c r="O19" s="3"/>
      <c r="P19" s="3">
        <f>IF($H19="","",O19*20%)</f>
      </c>
      <c r="Q19" s="3">
        <v>1</v>
      </c>
      <c r="R19" s="3">
        <f>IF($H19="","",L19+N19+P19)</f>
      </c>
      <c r="S19" s="3">
        <f>IF($H19="","",I19-J19-K19-L19-M19-N19-O19-P19-Q19)</f>
      </c>
      <c r="T19" s="3">
        <f>IF($H19="","",(S19-AB19)/G19*100)</f>
      </c>
      <c r="U19" s="3">
        <f>IF($H19="","",J19-R19)</f>
      </c>
      <c r="AC19" s="3">
        <f>IF($H19="","",S19-AB19)</f>
      </c>
    </row>
    <row r="20" spans="1:29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>
        <f>IF($H20="","",H20/100*7)</f>
      </c>
      <c r="L20" s="3">
        <f>IF($H20="","",K20*20%)</f>
      </c>
      <c r="M20" s="3">
        <f>IF($H20="","",K20*2%)</f>
      </c>
      <c r="N20" s="3">
        <f>IF($H20="","",M20*20%)</f>
      </c>
      <c r="O20" s="3"/>
      <c r="P20" s="3">
        <f>IF($H20="","",O20*20%)</f>
      </c>
      <c r="Q20" s="3">
        <v>1</v>
      </c>
      <c r="R20" s="3">
        <f>IF($H20="","",L20+N20+P20)</f>
      </c>
      <c r="S20" s="3">
        <f>IF($H20="","",I20-J20-K20-L20-M20-N20-O20-P20-Q20)</f>
      </c>
      <c r="T20" s="3">
        <f>IF($H20="","",(S20-AB20)/G20*100)</f>
      </c>
      <c r="U20" s="3">
        <f>IF($H20="","",J20-R20)</f>
      </c>
      <c r="AC20" s="3">
        <f>IF($H20="","",S20-AB20)</f>
      </c>
    </row>
    <row r="21" spans="1:29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>
        <f>IF($H21="","",H21/100*7)</f>
      </c>
      <c r="L21" s="3">
        <f>IF($H21="","",K21*20%)</f>
      </c>
      <c r="M21" s="3">
        <f>IF($H21="","",K21*2%)</f>
      </c>
      <c r="N21" s="3">
        <f>IF($H21="","",M21*20%)</f>
      </c>
      <c r="O21" s="3"/>
      <c r="P21" s="3">
        <f>IF($H21="","",O21*20%)</f>
      </c>
      <c r="Q21" s="3">
        <v>1</v>
      </c>
      <c r="R21" s="3">
        <f>IF($H21="","",L21+N21+P21)</f>
      </c>
      <c r="S21" s="3">
        <f>IF($H21="","",I21-J21-K21-L21-M21-N21-O21-P21-Q21)</f>
      </c>
      <c r="T21" s="3">
        <f>IF($H21="","",(S21-AB21)/G21*100)</f>
      </c>
      <c r="U21" s="3">
        <f>IF($H21="","",J21-R21)</f>
      </c>
      <c r="AC21" s="3">
        <f>IF($H21="","",S21-AB21)</f>
      </c>
    </row>
    <row r="22" spans="1:29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>
        <f>IF($H22="","",H22/100*7)</f>
      </c>
      <c r="L22" s="3">
        <f>IF($H22="","",K22*20%)</f>
      </c>
      <c r="M22" s="3">
        <f>IF($H22="","",K22*2%)</f>
      </c>
      <c r="N22" s="3">
        <f>IF($H22="","",M22*20%)</f>
      </c>
      <c r="O22" s="3"/>
      <c r="P22" s="3">
        <f>IF($H22="","",O22*20%)</f>
      </c>
      <c r="Q22" s="3">
        <v>1</v>
      </c>
      <c r="R22" s="3">
        <f>IF($H22="","",L22+N22+P22)</f>
      </c>
      <c r="S22" s="3">
        <f>IF($H22="","",I22-J22-K22-L22-M22-N22-O22-P22-Q22)</f>
      </c>
      <c r="T22" s="3">
        <f>IF($H22="","",(S22-AB22)/G22*100)</f>
      </c>
      <c r="U22" s="3">
        <f>IF($H22="","",J22-R22)</f>
      </c>
      <c r="AC22" s="3">
        <f>IF($H22="","",S22-AB22)</f>
      </c>
    </row>
    <row r="23" spans="1:29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>
        <f>IF($H23="","",H23/100*7)</f>
      </c>
      <c r="L23" s="3">
        <f>IF($H23="","",K23*20%)</f>
      </c>
      <c r="M23" s="3">
        <f>IF($H23="","",K23*2%)</f>
      </c>
      <c r="N23" s="3">
        <f>IF($H23="","",M23*20%)</f>
      </c>
      <c r="O23" s="3"/>
      <c r="P23" s="3">
        <f>IF($H23="","",O23*20%)</f>
      </c>
      <c r="Q23" s="3">
        <v>1</v>
      </c>
      <c r="R23" s="3">
        <f>IF($H23="","",L23+N23+P23)</f>
      </c>
      <c r="S23" s="3">
        <f>IF($H23="","",I23-J23-K23-L23-M23-N23-O23-P23-Q23)</f>
      </c>
      <c r="T23" s="3">
        <f>IF($H23="","",(S23-AB23)/G23*100)</f>
      </c>
      <c r="U23" s="3">
        <f>IF($H23="","",J23-R23)</f>
      </c>
      <c r="AC23" s="3">
        <f>IF($H23="","",S23-AB23)</f>
      </c>
    </row>
    <row r="24" spans="1:29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>
        <f>IF($H24="","",H24/100*7)</f>
      </c>
      <c r="L24" s="3">
        <f>IF($H24="","",K24*20%)</f>
      </c>
      <c r="M24" s="3">
        <f>IF($H24="","",K24*2%)</f>
      </c>
      <c r="N24" s="3">
        <f>IF($H24="","",M24*20%)</f>
      </c>
      <c r="O24" s="3"/>
      <c r="P24" s="3">
        <f>IF($H24="","",O24*20%)</f>
      </c>
      <c r="Q24" s="3">
        <v>1</v>
      </c>
      <c r="R24" s="3">
        <f>IF($H24="","",L24+N24+P24)</f>
      </c>
      <c r="S24" s="3">
        <f>IF($H24="","",I24-J24-K24-L24-M24-N24-O24-P24-Q24)</f>
      </c>
      <c r="T24" s="3">
        <f>IF($H24="","",(S24-AB24)/G24*100)</f>
      </c>
      <c r="U24" s="3">
        <f>IF($H24="","",J24-R24)</f>
      </c>
      <c r="AC24" s="3">
        <f>IF($H24="","",S24-AB24)</f>
      </c>
    </row>
    <row r="25" spans="1:29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>
        <f>IF($H25="","",H25/100*7)</f>
      </c>
      <c r="L25" s="3">
        <f>IF($H25="","",K25*20%)</f>
      </c>
      <c r="M25" s="3">
        <f>IF($H25="","",K25*2%)</f>
      </c>
      <c r="N25" s="3">
        <f>IF($H25="","",M25*20%)</f>
      </c>
      <c r="O25" s="3"/>
      <c r="P25" s="3">
        <f>IF($H25="","",O25*20%)</f>
      </c>
      <c r="Q25" s="3">
        <v>1</v>
      </c>
      <c r="R25" s="3">
        <f>IF($H25="","",L25+N25+P25)</f>
      </c>
      <c r="S25" s="3">
        <f>IF($H25="","",I25-J25-K25-L25-M25-N25-O25-P25-Q25)</f>
      </c>
      <c r="T25" s="3">
        <f>IF($H25="","",(S25-AB25)/G25*100)</f>
      </c>
      <c r="U25" s="3">
        <f>IF($H25="","",J25-R25)</f>
      </c>
      <c r="AC25" s="3">
        <f>IF($H25="","",S25-AB25)</f>
      </c>
    </row>
    <row r="26" spans="1:29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>
        <f>IF($H26="","",H26/100*7)</f>
      </c>
      <c r="L26" s="3">
        <f>IF($H26="","",K26*20%)</f>
      </c>
      <c r="M26" s="3">
        <f>IF($H26="","",K26*2%)</f>
      </c>
      <c r="N26" s="3">
        <f>IF($H26="","",M26*20%)</f>
      </c>
      <c r="O26" s="3"/>
      <c r="P26" s="3">
        <f>IF($H26="","",O26*20%)</f>
      </c>
      <c r="Q26" s="3">
        <v>1</v>
      </c>
      <c r="R26" s="3">
        <f>IF($H26="","",L26+N26+P26)</f>
      </c>
      <c r="S26" s="3">
        <f>IF($H26="","",I26-J26-K26-L26-M26-N26-O26-P26-Q26)</f>
      </c>
      <c r="T26" s="3">
        <f>IF($H26="","",(S26-AB26)/G26*100)</f>
      </c>
      <c r="U26" s="3">
        <f>IF($H26="","",J26-R26)</f>
      </c>
      <c r="AC26" s="3">
        <f>IF($H26="","",S26-AB26)</f>
      </c>
    </row>
    <row r="27" spans="1:29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>
        <f>IF($H27="","",H27/100*7)</f>
      </c>
      <c r="L27" s="3">
        <f>IF($H27="","",K27*20%)</f>
      </c>
      <c r="M27" s="3">
        <f>IF($H27="","",K27*2%)</f>
      </c>
      <c r="N27" s="3">
        <f>IF($H27="","",M27*20%)</f>
      </c>
      <c r="O27" s="3"/>
      <c r="P27" s="3">
        <f>IF($H27="","",O27*20%)</f>
      </c>
      <c r="Q27" s="3">
        <v>1</v>
      </c>
      <c r="R27" s="3">
        <f>IF($H27="","",L27+N27+P27)</f>
      </c>
      <c r="S27" s="3">
        <f>IF($H27="","",I27-J27-K27-L27-M27-N27-O27-P27-Q27)</f>
      </c>
      <c r="T27" s="3">
        <f>IF($H27="","",(S27-AB27)/G27*100)</f>
      </c>
      <c r="U27" s="3">
        <f>IF($H27="","",J27-R27)</f>
      </c>
      <c r="AC27" s="3">
        <f>IF($H27="","",S27-AB27)</f>
      </c>
    </row>
    <row r="28" spans="1:29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>
        <f>IF($H28="","",H28/100*7)</f>
      </c>
      <c r="L28" s="3">
        <f>IF($H28="","",K28*20%)</f>
      </c>
      <c r="M28" s="3">
        <f>IF($H28="","",K28*2%)</f>
      </c>
      <c r="N28" s="3">
        <f>IF($H28="","",M28*20%)</f>
      </c>
      <c r="O28" s="3"/>
      <c r="P28" s="3">
        <f>IF($H28="","",O28*20%)</f>
      </c>
      <c r="Q28" s="3">
        <v>1</v>
      </c>
      <c r="R28" s="3">
        <f>IF($H28="","",L28+N28+P28)</f>
      </c>
      <c r="S28" s="3">
        <f>IF($H28="","",I28-J28-K28-L28-M28-N28-O28-P28-Q28)</f>
      </c>
      <c r="T28" s="3">
        <f>IF($H28="","",(S28-AB28)/G28*100)</f>
      </c>
      <c r="U28" s="3">
        <f>IF($H28="","",J28-R28)</f>
      </c>
      <c r="AC28" s="3">
        <f>IF($H28="","",S28-AB28)</f>
      </c>
    </row>
    <row r="29" spans="1:29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>
        <f>IF($H29="","",H29/100*7)</f>
      </c>
      <c r="L29" s="3">
        <f>IF($H29="","",K29*20%)</f>
      </c>
      <c r="M29" s="3">
        <f>IF($H29="","",K29*2%)</f>
      </c>
      <c r="N29" s="3">
        <f>IF($H29="","",M29*20%)</f>
      </c>
      <c r="O29" s="3"/>
      <c r="P29" s="3">
        <f>IF($H29="","",O29*20%)</f>
      </c>
      <c r="Q29" s="3">
        <v>1</v>
      </c>
      <c r="R29" s="3">
        <f>IF($H29="","",L29+N29+P29)</f>
      </c>
      <c r="S29" s="3">
        <f>IF($H29="","",I29-J29-K29-L29-M29-N29-O29-P29-Q29)</f>
      </c>
      <c r="T29" s="3">
        <f>IF($H29="","",(S29-AB29)/G29*100)</f>
      </c>
      <c r="U29" s="3">
        <f>IF($H29="","",J29-R29)</f>
      </c>
      <c r="AC29" s="3">
        <f>IF($H29="","",S29-AB29)</f>
      </c>
    </row>
    <row r="30" spans="1:29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>
        <f>IF($H30="","",H30/100*7)</f>
      </c>
      <c r="L30" s="3">
        <f>IF($H30="","",K30*20%)</f>
      </c>
      <c r="M30" s="3">
        <f>IF($H30="","",K30*2%)</f>
      </c>
      <c r="N30" s="3">
        <f>IF($H30="","",M30*20%)</f>
      </c>
      <c r="O30" s="3"/>
      <c r="P30" s="3">
        <f>IF($H30="","",O30*20%)</f>
      </c>
      <c r="Q30" s="3">
        <v>1</v>
      </c>
      <c r="R30" s="3">
        <f>IF($H30="","",L30+N30+P30)</f>
      </c>
      <c r="S30" s="3">
        <f>IF($H30="","",I30-J30-K30-L30-M30-N30-O30-P30-Q30)</f>
      </c>
      <c r="T30" s="3">
        <f>IF($H30="","",(S30-AB30)/G30*100)</f>
      </c>
      <c r="U30" s="3">
        <f>IF($H30="","",J30-R30)</f>
      </c>
      <c r="AC30" s="3">
        <f>IF($H30="","",S30-AB30)</f>
      </c>
    </row>
    <row r="31" spans="1:29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>
        <f>IF($H31="","",H31/100*7)</f>
      </c>
      <c r="L31" s="3">
        <f>IF($H31="","",K31*20%)</f>
      </c>
      <c r="M31" s="3">
        <f>IF($H31="","",K31*2%)</f>
      </c>
      <c r="N31" s="3">
        <f>IF($H31="","",M31*20%)</f>
      </c>
      <c r="O31" s="3"/>
      <c r="P31" s="3">
        <f>IF($H31="","",O31*20%)</f>
      </c>
      <c r="Q31" s="3">
        <v>1</v>
      </c>
      <c r="R31" s="3">
        <f>IF($H31="","",L31+N31+P31)</f>
      </c>
      <c r="S31" s="3">
        <f>IF($H31="","",I31-J31-K31-L31-M31-N31-O31-P31-Q31)</f>
      </c>
      <c r="T31" s="3">
        <f>IF($H31="","",(S31-AB31)/G31*100)</f>
      </c>
      <c r="U31" s="3">
        <f>IF($H31="","",J31-R31)</f>
      </c>
      <c r="AC31" s="3">
        <f>IF($H31="","",S31-AB31)</f>
      </c>
    </row>
    <row r="32" spans="1:29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>
        <f>IF($H32="","",H32/100*7)</f>
      </c>
      <c r="L32" s="3">
        <f>IF($H32="","",K32*20%)</f>
      </c>
      <c r="M32" s="3">
        <f>IF($H32="","",K32*2%)</f>
      </c>
      <c r="N32" s="3">
        <f>IF($H32="","",M32*20%)</f>
      </c>
      <c r="O32" s="3"/>
      <c r="P32" s="3">
        <f>IF($H32="","",O32*20%)</f>
      </c>
      <c r="Q32" s="3">
        <v>1</v>
      </c>
      <c r="R32" s="3">
        <f>IF($H32="","",L32+N32+P32)</f>
      </c>
      <c r="S32" s="3">
        <f>IF($H32="","",I32-J32-K32-L32-M32-N32-O32-P32-Q32)</f>
      </c>
      <c r="T32" s="3">
        <f>IF($H32="","",(S32-AB32)/G32*100)</f>
      </c>
      <c r="U32" s="3">
        <f>IF($H32="","",J32-R32)</f>
      </c>
      <c r="AC32" s="3">
        <f>IF($H32="","",S32-AB32)</f>
      </c>
    </row>
    <row r="33" spans="1:29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>
        <f>IF($H33="","",H33/100*7)</f>
      </c>
      <c r="L33" s="3">
        <f>IF($H33="","",K33*20%)</f>
      </c>
      <c r="M33" s="3">
        <f>IF($H33="","",K33*2%)</f>
      </c>
      <c r="N33" s="3">
        <f>IF($H33="","",M33*20%)</f>
      </c>
      <c r="O33" s="3"/>
      <c r="P33" s="3">
        <f>IF($H33="","",O33*20%)</f>
      </c>
      <c r="Q33" s="3">
        <v>1</v>
      </c>
      <c r="R33" s="3">
        <f>IF($H33="","",L33+N33+P33)</f>
      </c>
      <c r="S33" s="3">
        <f>IF($H33="","",I33-J33-K33-L33-M33-N33-O33-P33-Q33)</f>
      </c>
      <c r="T33" s="3">
        <f>IF($H33="","",(S33-AB33)/G33*100)</f>
      </c>
      <c r="U33" s="3">
        <f>IF($H33="","",J33-R33)</f>
      </c>
      <c r="AC33" s="3">
        <f>IF($H33="","",S33-AB33)</f>
      </c>
    </row>
    <row r="34" spans="1:29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>
        <f>IF($H34="","",H34/100*7)</f>
      </c>
      <c r="L34" s="3">
        <f>IF($H34="","",K34*20%)</f>
      </c>
      <c r="M34" s="3">
        <f>IF($H34="","",K34*2%)</f>
      </c>
      <c r="N34" s="3">
        <f>IF($H34="","",M34*20%)</f>
      </c>
      <c r="O34" s="3"/>
      <c r="P34" s="3">
        <f>IF($H34="","",O34*20%)</f>
      </c>
      <c r="Q34" s="3">
        <v>1</v>
      </c>
      <c r="R34" s="3">
        <f>IF($H34="","",L34+N34+P34)</f>
      </c>
      <c r="S34" s="3">
        <f>IF($H34="","",I34-J34-K34-L34-M34-N34-O34-P34-Q34)</f>
      </c>
      <c r="T34" s="3">
        <f>IF($H34="","",(S34-AB34)/G34*100)</f>
      </c>
      <c r="U34" s="3">
        <f>IF($H34="","",J34-R34)</f>
      </c>
      <c r="AC34" s="3">
        <f>IF($H34="","",S34-AB34)</f>
      </c>
    </row>
    <row r="35" spans="1:29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>
        <f>IF($H35="","",H35/100*7)</f>
      </c>
      <c r="L35" s="3">
        <f>IF($H35="","",K35*20%)</f>
      </c>
      <c r="M35" s="3">
        <f>IF($H35="","",K35*2%)</f>
      </c>
      <c r="N35" s="3">
        <f>IF($H35="","",M35*20%)</f>
      </c>
      <c r="O35" s="3"/>
      <c r="P35" s="3">
        <f>IF($H35="","",O35*20%)</f>
      </c>
      <c r="Q35" s="3">
        <v>1</v>
      </c>
      <c r="R35" s="3">
        <f>IF($H35="","",L35+N35+P35)</f>
      </c>
      <c r="S35" s="3">
        <f>IF($H35="","",I35-J35-K35-L35-M35-N35-O35-P35-Q35)</f>
      </c>
      <c r="T35" s="3">
        <f>IF($H35="","",(S35-AB35)/G35*100)</f>
      </c>
      <c r="U35" s="3">
        <f>IF($H35="","",J35-R35)</f>
      </c>
      <c r="AC35" s="3">
        <f>IF($H35="","",S35-AB35)</f>
      </c>
    </row>
    <row r="36" spans="1:29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>
        <f>IF($H36="","",H36/100*7)</f>
      </c>
      <c r="L36" s="3">
        <f>IF($H36="","",K36*20%)</f>
      </c>
      <c r="M36" s="3">
        <f>IF($H36="","",K36*2%)</f>
      </c>
      <c r="N36" s="3">
        <f>IF($H36="","",M36*20%)</f>
      </c>
      <c r="O36" s="3"/>
      <c r="P36" s="3">
        <f>IF($H36="","",O36*20%)</f>
      </c>
      <c r="Q36" s="3">
        <v>1</v>
      </c>
      <c r="R36" s="3">
        <f>IF($H36="","",L36+N36+P36)</f>
      </c>
      <c r="S36" s="3">
        <f>IF($H36="","",I36-J36-K36-L36-M36-N36-O36-P36-Q36)</f>
      </c>
      <c r="T36" s="3">
        <f>IF($H36="","",(S36-AB36)/G36*100)</f>
      </c>
      <c r="U36" s="3">
        <f>IF($H36="","",J36-R36)</f>
      </c>
      <c r="AC36" s="3">
        <f>IF($H36="","",S36-AB36)</f>
      </c>
    </row>
    <row r="37" spans="1:29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>
        <f>IF($H37="","",H37/100*7)</f>
      </c>
      <c r="L37" s="3">
        <f>IF($H37="","",K37*20%)</f>
      </c>
      <c r="M37" s="3">
        <f>IF($H37="","",K37*2%)</f>
      </c>
      <c r="N37" s="3">
        <f>IF($H37="","",M37*20%)</f>
      </c>
      <c r="O37" s="3"/>
      <c r="P37" s="3">
        <f>IF($H37="","",O37*20%)</f>
      </c>
      <c r="Q37" s="3">
        <v>1</v>
      </c>
      <c r="R37" s="3">
        <f>IF($H37="","",L37+N37+P37)</f>
      </c>
      <c r="S37" s="3">
        <f>IF($H37="","",I37-J37-K37-L37-M37-N37-O37-P37-Q37)</f>
      </c>
      <c r="T37" s="3">
        <f>IF($H37="","",(S37-AB37)/G37*100)</f>
      </c>
      <c r="U37" s="3">
        <f>IF($H37="","",J37-R37)</f>
      </c>
      <c r="AC37" s="3">
        <f>IF($H37="","",S37-AB37)</f>
      </c>
    </row>
    <row r="38" spans="1:29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>
        <f>IF($H38="","",H38/100*7)</f>
      </c>
      <c r="L38" s="3">
        <f>IF($H38="","",K38*20%)</f>
      </c>
      <c r="M38" s="3">
        <f>IF($H38="","",K38*2%)</f>
      </c>
      <c r="N38" s="3">
        <f>IF($H38="","",M38*20%)</f>
      </c>
      <c r="O38" s="3"/>
      <c r="P38" s="3">
        <f>IF($H38="","",O38*20%)</f>
      </c>
      <c r="Q38" s="3">
        <v>1</v>
      </c>
      <c r="R38" s="3">
        <f>IF($H38="","",L38+N38+P38)</f>
      </c>
      <c r="S38" s="3">
        <f>IF($H38="","",I38-J38-K38-L38-M38-N38-O38-P38-Q38)</f>
      </c>
      <c r="T38" s="3">
        <f>IF($H38="","",(S38-AB38)/G38*100)</f>
      </c>
      <c r="U38" s="3">
        <f>IF($H38="","",J38-R38)</f>
      </c>
      <c r="AC38" s="3">
        <f>IF($H38="","",S38-AB38)</f>
      </c>
    </row>
    <row r="39" spans="1:29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>
        <f>IF($H39="","",H39/100*7)</f>
      </c>
      <c r="L39" s="3">
        <f>IF($H39="","",K39*20%)</f>
      </c>
      <c r="M39" s="3">
        <f>IF($H39="","",K39*2%)</f>
      </c>
      <c r="N39" s="3">
        <f>IF($H39="","",M39*20%)</f>
      </c>
      <c r="O39" s="3"/>
      <c r="P39" s="3">
        <f>IF($H39="","",O39*20%)</f>
      </c>
      <c r="Q39" s="3">
        <v>1</v>
      </c>
      <c r="R39" s="3">
        <f>IF($H39="","",L39+N39+P39)</f>
      </c>
      <c r="S39" s="3">
        <f>IF($H39="","",I39-J39-K39-L39-M39-N39-O39-P39-Q39)</f>
      </c>
      <c r="T39" s="3">
        <f>IF($H39="","",(S39-AB39)/G39*100)</f>
      </c>
      <c r="U39" s="3">
        <f>IF($H39="","",J39-R39)</f>
      </c>
      <c r="AC39" s="3">
        <f>IF($H39="","",S39-AB39)</f>
      </c>
    </row>
    <row r="40" spans="1:29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>
        <f>IF($H40="","",H40/100*7)</f>
      </c>
      <c r="L40" s="3">
        <f>IF($H40="","",K40*20%)</f>
      </c>
      <c r="M40" s="3">
        <f>IF($H40="","",K40*2%)</f>
      </c>
      <c r="N40" s="3">
        <f>IF($H40="","",M40*20%)</f>
      </c>
      <c r="O40" s="3"/>
      <c r="P40" s="3">
        <f>IF($H40="","",O40*20%)</f>
      </c>
      <c r="Q40" s="3">
        <v>1</v>
      </c>
      <c r="R40" s="3">
        <f>IF($H40="","",L40+N40+P40)</f>
      </c>
      <c r="S40" s="3">
        <f>IF($H40="","",I40-J40-K40-L40-M40-N40-O40-P40-Q40)</f>
      </c>
      <c r="T40" s="3">
        <f>IF($H40="","",(S40-AB40)/G40*100)</f>
      </c>
      <c r="U40" s="3">
        <f>IF($H40="","",J40-R40)</f>
      </c>
      <c r="AC40" s="3">
        <f>IF($H40="","",S40-AB40)</f>
      </c>
    </row>
    <row r="41" spans="1:29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>
        <f>IF($H41="","",H41/100*7)</f>
      </c>
      <c r="L41" s="3">
        <f>IF($H41="","",K41*20%)</f>
      </c>
      <c r="M41" s="3">
        <f>IF($H41="","",K41*2%)</f>
      </c>
      <c r="N41" s="3">
        <f>IF($H41="","",M41*20%)</f>
      </c>
      <c r="O41" s="3"/>
      <c r="P41" s="3">
        <f>IF($H41="","",O41*20%)</f>
      </c>
      <c r="Q41" s="3">
        <v>1</v>
      </c>
      <c r="R41" s="3">
        <f>IF($H41="","",L41+N41+P41)</f>
      </c>
      <c r="S41" s="3">
        <f>IF($H41="","",I41-J41-K41-L41-M41-N41-O41-P41-Q41)</f>
      </c>
      <c r="T41" s="3">
        <f>IF($H41="","",(S41-AB41)/G41*100)</f>
      </c>
      <c r="U41" s="3">
        <f>IF($H41="","",J41-R41)</f>
      </c>
      <c r="AC41" s="3">
        <f>IF($H41="","",S41-AB41)</f>
      </c>
    </row>
    <row r="42" spans="1:29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>
        <f>IF($H42="","",H42/100*7)</f>
      </c>
      <c r="L42" s="3">
        <f>IF($H42="","",K42*20%)</f>
      </c>
      <c r="M42" s="3">
        <f>IF($H42="","",K42*2%)</f>
      </c>
      <c r="N42" s="3">
        <f>IF($H42="","",M42*20%)</f>
      </c>
      <c r="O42" s="3"/>
      <c r="P42" s="3">
        <f>IF($H42="","",O42*20%)</f>
      </c>
      <c r="Q42" s="3">
        <v>1</v>
      </c>
      <c r="R42" s="3">
        <f>IF($H42="","",L42+N42+P42)</f>
      </c>
      <c r="S42" s="3">
        <f>IF($H42="","",I42-J42-K42-L42-M42-N42-O42-P42-Q42)</f>
      </c>
      <c r="T42" s="3">
        <f>IF($H42="","",(S42-AB42)/G42*100)</f>
      </c>
      <c r="U42" s="3">
        <f>IF($H42="","",J42-R42)</f>
      </c>
      <c r="AC42" s="3">
        <f>IF($H42="","",S42-AB42)</f>
      </c>
    </row>
    <row r="43" spans="1:29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>
        <f>IF($H43="","",H43/100*7)</f>
      </c>
      <c r="L43" s="3">
        <f>IF($H43="","",K43*20%)</f>
      </c>
      <c r="M43" s="3">
        <f>IF($H43="","",K43*2%)</f>
      </c>
      <c r="N43" s="3">
        <f>IF($H43="","",M43*20%)</f>
      </c>
      <c r="O43" s="3"/>
      <c r="P43" s="3">
        <f>IF($H43="","",O43*20%)</f>
      </c>
      <c r="Q43" s="3">
        <v>1</v>
      </c>
      <c r="R43" s="3">
        <f>IF($H43="","",L43+N43+P43)</f>
      </c>
      <c r="S43" s="3">
        <f>IF($H43="","",I43-J43-K43-L43-M43-N43-O43-P43-Q43)</f>
      </c>
      <c r="T43" s="3">
        <f>IF($H43="","",(S43-AB43)/G43*100)</f>
      </c>
      <c r="U43" s="3">
        <f>IF($H43="","",J43-R43)</f>
      </c>
      <c r="AC43" s="3">
        <f>IF($H43="","",S43-AB43)</f>
      </c>
    </row>
    <row r="44" spans="1:29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>
        <f>IF($H44="","",H44/100*7)</f>
      </c>
      <c r="L44" s="3">
        <f>IF($H44="","",K44*20%)</f>
      </c>
      <c r="M44" s="3">
        <f>IF($H44="","",K44*2%)</f>
      </c>
      <c r="N44" s="3">
        <f>IF($H44="","",M44*20%)</f>
      </c>
      <c r="O44" s="3"/>
      <c r="P44" s="3">
        <f>IF($H44="","",O44*20%)</f>
      </c>
      <c r="Q44" s="3">
        <v>1</v>
      </c>
      <c r="R44" s="3">
        <f>IF($H44="","",L44+N44+P44)</f>
      </c>
      <c r="S44" s="3">
        <f>IF($H44="","",I44-J44-K44-L44-M44-N44-O44-P44-Q44)</f>
      </c>
      <c r="T44" s="3">
        <f>IF($H44="","",(S44-AB44)/G44*100)</f>
      </c>
      <c r="U44" s="3">
        <f>IF($H44="","",J44-R44)</f>
      </c>
      <c r="AC44" s="3">
        <f>IF($H44="","",S44-AB44)</f>
      </c>
    </row>
    <row r="45" spans="1:29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>
        <f>IF($H45="","",H45/100*7)</f>
      </c>
      <c r="L45" s="3">
        <f>IF($H45="","",K45*20%)</f>
      </c>
      <c r="M45" s="3">
        <f>IF($H45="","",K45*2%)</f>
      </c>
      <c r="N45" s="3">
        <f>IF($H45="","",M45*20%)</f>
      </c>
      <c r="O45" s="3"/>
      <c r="P45" s="3">
        <f>IF($H45="","",O45*20%)</f>
      </c>
      <c r="Q45" s="3">
        <v>1</v>
      </c>
      <c r="R45" s="3">
        <f>IF($H45="","",L45+N45+P45)</f>
      </c>
      <c r="S45" s="3">
        <f>IF($H45="","",I45-J45-K45-L45-M45-N45-O45-P45-Q45)</f>
      </c>
      <c r="T45" s="3">
        <f>IF($H45="","",(S45-AB45)/G45*100)</f>
      </c>
      <c r="U45" s="3">
        <f>IF($H45="","",J45-R45)</f>
      </c>
      <c r="AC45" s="3">
        <f>IF($H45="","",S45-AB45)</f>
      </c>
    </row>
    <row r="46" spans="1:29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>
        <f>IF($H46="","",H46/100*7)</f>
      </c>
      <c r="L46" s="3">
        <f>IF($H46="","",K46*20%)</f>
      </c>
      <c r="M46" s="3">
        <f>IF($H46="","",K46*2%)</f>
      </c>
      <c r="N46" s="3">
        <f>IF($H46="","",M46*20%)</f>
      </c>
      <c r="O46" s="3"/>
      <c r="P46" s="3">
        <f>IF($H46="","",O46*20%)</f>
      </c>
      <c r="Q46" s="3">
        <v>1</v>
      </c>
      <c r="R46" s="3">
        <f>IF($H46="","",L46+N46+P46)</f>
      </c>
      <c r="S46" s="3">
        <f>IF($H46="","",I46-J46-K46-L46-M46-N46-O46-P46-Q46)</f>
      </c>
      <c r="T46" s="3">
        <f>IF($H46="","",(S46-AB46)/G46*100)</f>
      </c>
      <c r="U46" s="3">
        <f>IF($H46="","",J46-R46)</f>
      </c>
      <c r="AC46" s="3">
        <f>IF($H46="","",S46-AB46)</f>
      </c>
    </row>
    <row r="47" spans="1:29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>
        <f>IF($H47="","",H47/100*7)</f>
      </c>
      <c r="L47" s="3">
        <f>IF($H47="","",K47*20%)</f>
      </c>
      <c r="M47" s="3">
        <f>IF($H47="","",K47*2%)</f>
      </c>
      <c r="N47" s="3">
        <f>IF($H47="","",M47*20%)</f>
      </c>
      <c r="O47" s="3"/>
      <c r="P47" s="3">
        <f>IF($H47="","",O47*20%)</f>
      </c>
      <c r="Q47" s="3">
        <v>1</v>
      </c>
      <c r="R47" s="3">
        <f>IF($H47="","",L47+N47+P47)</f>
      </c>
      <c r="S47" s="3">
        <f>IF($H47="","",I47-J47-K47-L47-M47-N47-O47-P47-Q47)</f>
      </c>
      <c r="T47" s="3">
        <f>IF($H47="","",(S47-AB47)/G47*100)</f>
      </c>
      <c r="U47" s="3">
        <f>IF($H47="","",J47-R47)</f>
      </c>
      <c r="AC47" s="3">
        <f>IF($H47="","",S47-AB47)</f>
      </c>
    </row>
    <row r="48" spans="1:29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>
        <f>IF($H48="","",H48/100*7)</f>
      </c>
      <c r="L48" s="3">
        <f>IF($H48="","",K48*20%)</f>
      </c>
      <c r="M48" s="3">
        <f>IF($H48="","",K48*2%)</f>
      </c>
      <c r="N48" s="3">
        <f>IF($H48="","",M48*20%)</f>
      </c>
      <c r="O48" s="3"/>
      <c r="P48" s="3">
        <f>IF($H48="","",O48*20%)</f>
      </c>
      <c r="Q48" s="3">
        <v>1</v>
      </c>
      <c r="R48" s="3">
        <f>IF($H48="","",L48+N48+P48)</f>
      </c>
      <c r="S48" s="3">
        <f>IF($H48="","",I48-J48-K48-L48-M48-N48-O48-P48-Q48)</f>
      </c>
      <c r="T48" s="3">
        <f>IF($H48="","",(S48-AB48)/G48*100)</f>
      </c>
      <c r="U48" s="3">
        <f>IF($H48="","",J48-R48)</f>
      </c>
      <c r="AC48" s="3">
        <f>IF($H48="","",S48-AB48)</f>
      </c>
    </row>
    <row r="49" spans="1:29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>
        <f>IF($H49="","",H49/100*7)</f>
      </c>
      <c r="L49" s="3">
        <f>IF($H49="","",K49*20%)</f>
      </c>
      <c r="M49" s="3">
        <f>IF($H49="","",K49*2%)</f>
      </c>
      <c r="N49" s="3">
        <f>IF($H49="","",M49*20%)</f>
      </c>
      <c r="O49" s="3"/>
      <c r="P49" s="3">
        <f>IF($H49="","",O49*20%)</f>
      </c>
      <c r="Q49" s="3">
        <v>1</v>
      </c>
      <c r="R49" s="3">
        <f>IF($H49="","",L49+N49+P49)</f>
      </c>
      <c r="S49" s="3">
        <f>IF($H49="","",I49-J49-K49-L49-M49-N49-O49-P49-Q49)</f>
      </c>
      <c r="T49" s="3">
        <f>IF($H49="","",(S49-AB49)/G49*100)</f>
      </c>
      <c r="U49" s="3">
        <f>IF($H49="","",J49-R49)</f>
      </c>
      <c r="AC49" s="3">
        <f>IF($H49="","",S49-AB49)</f>
      </c>
    </row>
    <row r="50" spans="1:29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>
        <f>IF($H50="","",H50/100*7)</f>
      </c>
      <c r="L50" s="3">
        <f>IF($H50="","",K50*20%)</f>
      </c>
      <c r="M50" s="3">
        <f>IF($H50="","",K50*2%)</f>
      </c>
      <c r="N50" s="3">
        <f>IF($H50="","",M50*20%)</f>
      </c>
      <c r="O50" s="3"/>
      <c r="P50" s="3">
        <f>IF($H50="","",O50*20%)</f>
      </c>
      <c r="Q50" s="3">
        <v>1</v>
      </c>
      <c r="R50" s="3">
        <f>IF($H50="","",L50+N50+P50)</f>
      </c>
      <c r="S50" s="3">
        <f>IF($H50="","",I50-J50-K50-L50-M50-N50-O50-P50-Q50)</f>
      </c>
      <c r="T50" s="3">
        <f>IF($H50="","",(S50-AB50)/G50*100)</f>
      </c>
      <c r="U50" s="3">
        <f>IF($H50="","",J50-R50)</f>
      </c>
      <c r="AC50" s="3">
        <f>IF($H50="","",S50-AB50)</f>
      </c>
    </row>
    <row r="51" spans="1:29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>
        <f>IF($H51="","",H51/100*7)</f>
      </c>
      <c r="L51" s="3">
        <f>IF($H51="","",K51*20%)</f>
      </c>
      <c r="M51" s="3">
        <f>IF($H51="","",K51*2%)</f>
      </c>
      <c r="N51" s="3">
        <f>IF($H51="","",M51*20%)</f>
      </c>
      <c r="O51" s="3"/>
      <c r="P51" s="3">
        <f>IF($H51="","",O51*20%)</f>
      </c>
      <c r="Q51" s="3">
        <v>1</v>
      </c>
      <c r="R51" s="3">
        <f>IF($H51="","",L51+N51+P51)</f>
      </c>
      <c r="S51" s="3">
        <f>IF($H51="","",I51-J51-K51-L51-M51-N51-O51-P51-Q51)</f>
      </c>
      <c r="T51" s="3">
        <f>IF($H51="","",(S51-AB51)/G51*100)</f>
      </c>
      <c r="U51" s="3">
        <f>IF($H51="","",J51-R51)</f>
      </c>
      <c r="AC51" s="3">
        <f>IF($H51="","",S51-AB51)</f>
      </c>
    </row>
    <row r="52" spans="1:29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>
        <f>IF($H52="","",H52/100*7)</f>
      </c>
      <c r="L52" s="3">
        <f>IF($H52="","",K52*20%)</f>
      </c>
      <c r="M52" s="3">
        <f>IF($H52="","",K52*2%)</f>
      </c>
      <c r="N52" s="3">
        <f>IF($H52="","",M52*20%)</f>
      </c>
      <c r="O52" s="3"/>
      <c r="P52" s="3">
        <f>IF($H52="","",O52*20%)</f>
      </c>
      <c r="Q52" s="3">
        <v>1</v>
      </c>
      <c r="R52" s="3">
        <f>IF($H52="","",L52+N52+P52)</f>
      </c>
      <c r="S52" s="3">
        <f>IF($H52="","",I52-J52-K52-L52-M52-N52-O52-P52-Q52)</f>
      </c>
      <c r="T52" s="3">
        <f>IF($H52="","",(S52-AB52)/G52*100)</f>
      </c>
      <c r="U52" s="3">
        <f>IF($H52="","",J52-R52)</f>
      </c>
      <c r="AC52" s="3">
        <f>IF($H52="","",S52-AB52)</f>
      </c>
    </row>
    <row r="53" spans="1:29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>
        <f>IF($H53="","",H53/100*7)</f>
      </c>
      <c r="L53" s="3">
        <f>IF($H53="","",K53*20%)</f>
      </c>
      <c r="M53" s="3">
        <f>IF($H53="","",K53*2%)</f>
      </c>
      <c r="N53" s="3">
        <f>IF($H53="","",M53*20%)</f>
      </c>
      <c r="O53" s="3"/>
      <c r="P53" s="3">
        <f>IF($H53="","",O53*20%)</f>
      </c>
      <c r="Q53" s="3">
        <v>1</v>
      </c>
      <c r="R53" s="3">
        <f>IF($H53="","",L53+N53+P53)</f>
      </c>
      <c r="S53" s="3">
        <f>IF($H53="","",I53-J53-K53-L53-M53-N53-O53-P53-Q53)</f>
      </c>
      <c r="T53" s="3">
        <f>IF($H53="","",(S53-AB53)/G53*100)</f>
      </c>
      <c r="U53" s="3">
        <f>IF($H53="","",J53-R53)</f>
      </c>
      <c r="AC53" s="3">
        <f>IF($H53="","",S53-AB53)</f>
      </c>
    </row>
    <row r="54" spans="1:29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>
        <f>IF($H54="","",H54/100*7)</f>
      </c>
      <c r="L54" s="3">
        <f>IF($H54="","",K54*20%)</f>
      </c>
      <c r="M54" s="3">
        <f>IF($H54="","",K54*2%)</f>
      </c>
      <c r="N54" s="3">
        <f>IF($H54="","",M54*20%)</f>
      </c>
      <c r="O54" s="3"/>
      <c r="P54" s="3">
        <f>IF($H54="","",O54*20%)</f>
      </c>
      <c r="Q54" s="3">
        <v>1</v>
      </c>
      <c r="R54" s="3">
        <f>IF($H54="","",L54+N54+P54)</f>
      </c>
      <c r="S54" s="3">
        <f>IF($H54="","",I54-J54-K54-L54-M54-N54-O54-P54-Q54)</f>
      </c>
      <c r="T54" s="3">
        <f>IF($H54="","",(S54-AB54)/G54*100)</f>
      </c>
      <c r="U54" s="3">
        <f>IF($H54="","",J54-R54)</f>
      </c>
      <c r="AC54" s="3">
        <f>IF($H54="","",S54-AB54)</f>
      </c>
    </row>
    <row r="55" spans="1:29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>
        <f>IF($H55="","",H55/100*7)</f>
      </c>
      <c r="L55" s="3">
        <f>IF($H55="","",K55*20%)</f>
      </c>
      <c r="M55" s="3">
        <f>IF($H55="","",K55*2%)</f>
      </c>
      <c r="N55" s="3">
        <f>IF($H55="","",M55*20%)</f>
      </c>
      <c r="O55" s="3"/>
      <c r="P55" s="3">
        <f>IF($H55="","",O55*20%)</f>
      </c>
      <c r="Q55" s="3">
        <v>1</v>
      </c>
      <c r="R55" s="3">
        <f>IF($H55="","",L55+N55+P55)</f>
      </c>
      <c r="S55" s="3">
        <f>IF($H55="","",I55-J55-K55-L55-M55-N55-O55-P55-Q55)</f>
      </c>
      <c r="T55" s="3">
        <f>IF($H55="","",(S55-AB55)/G55*100)</f>
      </c>
      <c r="U55" s="3">
        <f>IF($H55="","",J55-R55)</f>
      </c>
      <c r="AC55" s="3">
        <f>IF($H55="","",S55-AB55)</f>
      </c>
    </row>
    <row r="56" spans="1:29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>
        <f>IF($H56="","",H56/100*7)</f>
      </c>
      <c r="L56" s="3">
        <f>IF($H56="","",K56*20%)</f>
      </c>
      <c r="M56" s="3">
        <f>IF($H56="","",K56*2%)</f>
      </c>
      <c r="N56" s="3">
        <f>IF($H56="","",M56*20%)</f>
      </c>
      <c r="O56" s="3"/>
      <c r="P56" s="3">
        <f>IF($H56="","",O56*20%)</f>
      </c>
      <c r="Q56" s="3">
        <v>1</v>
      </c>
      <c r="R56" s="3">
        <f>IF($H56="","",L56+N56+P56)</f>
      </c>
      <c r="S56" s="3">
        <f>IF($H56="","",I56-J56-K56-L56-M56-N56-O56-P56-Q56)</f>
      </c>
      <c r="T56" s="3">
        <f>IF($H56="","",(S56-AB56)/G56*100)</f>
      </c>
      <c r="U56" s="3">
        <f>IF($H56="","",J56-R56)</f>
      </c>
      <c r="AC56" s="3">
        <f>IF($H56="","",S56-AB56)</f>
      </c>
    </row>
    <row r="57" spans="1:29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>
        <f>IF($H57="","",H57/100*7)</f>
      </c>
      <c r="L57" s="3">
        <f>IF($H57="","",K57*20%)</f>
      </c>
      <c r="M57" s="3">
        <f>IF($H57="","",K57*2%)</f>
      </c>
      <c r="N57" s="3">
        <f>IF($H57="","",M57*20%)</f>
      </c>
      <c r="O57" s="3"/>
      <c r="P57" s="3">
        <f>IF($H57="","",O57*20%)</f>
      </c>
      <c r="Q57" s="3">
        <v>1</v>
      </c>
      <c r="R57" s="3">
        <f>IF($H57="","",L57+N57+P57)</f>
      </c>
      <c r="S57" s="3">
        <f>IF($H57="","",I57-J57-K57-L57-M57-N57-O57-P57-Q57)</f>
      </c>
      <c r="T57" s="3">
        <f>IF($H57="","",(S57-AB57)/G57*100)</f>
      </c>
      <c r="U57" s="3">
        <f>IF($H57="","",J57-R57)</f>
      </c>
      <c r="AC57" s="3">
        <f>IF($H57="","",S57-AB57)</f>
      </c>
    </row>
    <row r="58" spans="1:29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>
        <f>IF($H58="","",H58/100*7)</f>
      </c>
      <c r="L58" s="3">
        <f>IF($H58="","",K58*20%)</f>
      </c>
      <c r="M58" s="3">
        <f>IF($H58="","",K58*2%)</f>
      </c>
      <c r="N58" s="3">
        <f>IF($H58="","",M58*20%)</f>
      </c>
      <c r="O58" s="3"/>
      <c r="P58" s="3">
        <f>IF($H58="","",O58*20%)</f>
      </c>
      <c r="Q58" s="3">
        <v>1</v>
      </c>
      <c r="R58" s="3">
        <f>IF($H58="","",L58+N58+P58)</f>
      </c>
      <c r="S58" s="3">
        <f>IF($H58="","",I58-J58-K58-L58-M58-N58-O58-P58-Q58)</f>
      </c>
      <c r="T58" s="3">
        <f>IF($H58="","",(S58-AB58)/G58*100)</f>
      </c>
      <c r="U58" s="3">
        <f>IF($H58="","",J58-R58)</f>
      </c>
      <c r="AC58" s="3">
        <f>IF($H58="","",S58-AB58)</f>
      </c>
    </row>
    <row r="59" spans="1:29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>
        <f>IF($H59="","",H59/100*7)</f>
      </c>
      <c r="L59" s="3">
        <f>IF($H59="","",K59*20%)</f>
      </c>
      <c r="M59" s="3">
        <f>IF($H59="","",K59*2%)</f>
      </c>
      <c r="N59" s="3">
        <f>IF($H59="","",M59*20%)</f>
      </c>
      <c r="O59" s="3"/>
      <c r="P59" s="3">
        <f>IF($H59="","",O59*20%)</f>
      </c>
      <c r="Q59" s="3">
        <v>1</v>
      </c>
      <c r="R59" s="3">
        <f>IF($H59="","",L59+N59+P59)</f>
      </c>
      <c r="S59" s="3">
        <f>IF($H59="","",I59-J59-K59-L59-M59-N59-O59-P59-Q59)</f>
      </c>
      <c r="T59" s="3">
        <f>IF($H59="","",(S59-AB59)/G59*100)</f>
      </c>
      <c r="U59" s="3">
        <f>IF($H59="","",J59-R59)</f>
      </c>
      <c r="AC59" s="3">
        <f>IF($H59="","",S59-AB59)</f>
      </c>
    </row>
    <row r="60" spans="1:29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>
        <f>IF($H60="","",H60/100*7)</f>
      </c>
      <c r="L60" s="3">
        <f>IF($H60="","",K60*20%)</f>
      </c>
      <c r="M60" s="3">
        <f>IF($H60="","",K60*2%)</f>
      </c>
      <c r="N60" s="3">
        <f>IF($H60="","",M60*20%)</f>
      </c>
      <c r="O60" s="3"/>
      <c r="P60" s="3">
        <f>IF($H60="","",O60*20%)</f>
      </c>
      <c r="Q60" s="3">
        <v>1</v>
      </c>
      <c r="R60" s="3">
        <f>IF($H60="","",L60+N60+P60)</f>
      </c>
      <c r="S60" s="3">
        <f>IF($H60="","",I60-J60-K60-L60-M60-N60-O60-P60-Q60)</f>
      </c>
      <c r="T60" s="3">
        <f>IF($H60="","",(S60-AB60)/G60*100)</f>
      </c>
      <c r="U60" s="3">
        <f>IF($H60="","",J60-R60)</f>
      </c>
      <c r="AC60" s="3">
        <f>IF($H60="","",S60-AB60)</f>
      </c>
    </row>
    <row r="61" spans="1:29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>
        <f>IF($H61="","",H61/100*7)</f>
      </c>
      <c r="L61" s="3">
        <f>IF($H61="","",K61*20%)</f>
      </c>
      <c r="M61" s="3">
        <f>IF($H61="","",K61*2%)</f>
      </c>
      <c r="N61" s="3">
        <f>IF($H61="","",M61*20%)</f>
      </c>
      <c r="O61" s="3"/>
      <c r="P61" s="3">
        <f>IF($H61="","",O61*20%)</f>
      </c>
      <c r="Q61" s="3">
        <v>1</v>
      </c>
      <c r="R61" s="3">
        <f>IF($H61="","",L61+N61+P61)</f>
      </c>
      <c r="S61" s="3">
        <f>IF($H61="","",I61-J61-K61-L61-M61-N61-O61-P61-Q61)</f>
      </c>
      <c r="T61" s="3">
        <f>IF($H61="","",(S61-AB61)/G61*100)</f>
      </c>
      <c r="U61" s="3">
        <f>IF($H61="","",J61-R61)</f>
      </c>
      <c r="AC61" s="3">
        <f>IF($H61="","",S61-AB61)</f>
      </c>
    </row>
    <row r="62" spans="1:29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>
        <f>IF($H62="","",H62/100*7)</f>
      </c>
      <c r="L62" s="3">
        <f>IF($H62="","",K62*20%)</f>
      </c>
      <c r="M62" s="3">
        <f>IF($H62="","",K62*2%)</f>
      </c>
      <c r="N62" s="3">
        <f>IF($H62="","",M62*20%)</f>
      </c>
      <c r="O62" s="3"/>
      <c r="P62" s="3">
        <f>IF($H62="","",O62*20%)</f>
      </c>
      <c r="Q62" s="3">
        <v>1</v>
      </c>
      <c r="R62" s="3">
        <f>IF($H62="","",L62+N62+P62)</f>
      </c>
      <c r="S62" s="3">
        <f>IF($H62="","",I62-J62-K62-L62-M62-N62-O62-P62-Q62)</f>
      </c>
      <c r="T62" s="3">
        <f>IF($H62="","",(S62-AB62)/G62*100)</f>
      </c>
      <c r="U62" s="3">
        <f>IF($H62="","",J62-R62)</f>
      </c>
      <c r="AC62" s="3">
        <f>IF($H62="","",S62-AB62)</f>
      </c>
    </row>
    <row r="63" spans="1:29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>
        <f>IF($H63="","",H63/100*7)</f>
      </c>
      <c r="L63" s="3">
        <f>IF($H63="","",K63*20%)</f>
      </c>
      <c r="M63" s="3">
        <f>IF($H63="","",K63*2%)</f>
      </c>
      <c r="N63" s="3">
        <f>IF($H63="","",M63*20%)</f>
      </c>
      <c r="O63" s="3"/>
      <c r="P63" s="3">
        <f>IF($H63="","",O63*20%)</f>
      </c>
      <c r="Q63" s="3">
        <v>1</v>
      </c>
      <c r="R63" s="3">
        <f>IF($H63="","",L63+N63+P63)</f>
      </c>
      <c r="S63" s="3">
        <f>IF($H63="","",I63-J63-K63-L63-M63-N63-O63-P63-Q63)</f>
      </c>
      <c r="T63" s="3">
        <f>IF($H63="","",(S63-AB63)/G63*100)</f>
      </c>
      <c r="U63" s="3">
        <f>IF($H63="","",J63-R63)</f>
      </c>
      <c r="AC63" s="3">
        <f>IF($H63="","",S63-AB63)</f>
      </c>
    </row>
    <row r="64" spans="1:29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>
        <f>IF($H64="","",H64/100*7)</f>
      </c>
      <c r="L64" s="3">
        <f>IF($H64="","",K64*20%)</f>
      </c>
      <c r="M64" s="3">
        <f>IF($H64="","",K64*2%)</f>
      </c>
      <c r="N64" s="3">
        <f>IF($H64="","",M64*20%)</f>
      </c>
      <c r="O64" s="3"/>
      <c r="P64" s="3">
        <f>IF($H64="","",O64*20%)</f>
      </c>
      <c r="Q64" s="3">
        <v>1</v>
      </c>
      <c r="R64" s="3">
        <f>IF($H64="","",L64+N64+P64)</f>
      </c>
      <c r="S64" s="3">
        <f>IF($H64="","",I64-J64-K64-L64-M64-N64-O64-P64-Q64)</f>
      </c>
      <c r="T64" s="3">
        <f>IF($H64="","",(S64-AB64)/G64*100)</f>
      </c>
      <c r="U64" s="3">
        <f>IF($H64="","",J64-R64)</f>
      </c>
      <c r="AC64" s="3">
        <f>IF($H64="","",S64-AB64)</f>
      </c>
    </row>
    <row r="65" spans="1:29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>
        <f>IF($H65="","",H65/100*7)</f>
      </c>
      <c r="L65" s="3">
        <f>IF($H65="","",K65*20%)</f>
      </c>
      <c r="M65" s="3">
        <f>IF($H65="","",K65*2%)</f>
      </c>
      <c r="N65" s="3">
        <f>IF($H65="","",M65*20%)</f>
      </c>
      <c r="O65" s="3"/>
      <c r="P65" s="3">
        <f>IF($H65="","",O65*20%)</f>
      </c>
      <c r="Q65" s="3">
        <v>1</v>
      </c>
      <c r="R65" s="3">
        <f>IF($H65="","",L65+N65+P65)</f>
      </c>
      <c r="S65" s="3">
        <f>IF($H65="","",I65-J65-K65-L65-M65-N65-O65-P65-Q65)</f>
      </c>
      <c r="T65" s="3">
        <f>IF($H65="","",(S65-AB65)/G65*100)</f>
      </c>
      <c r="U65" s="3">
        <f>IF($H65="","",J65-R65)</f>
      </c>
      <c r="AC65" s="3">
        <f>IF($H65="","",S65-AB65)</f>
      </c>
    </row>
    <row r="66" spans="1:29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>
        <f>IF($H66="","",H66/100*7)</f>
      </c>
      <c r="L66" s="3">
        <f>IF($H66="","",K66*20%)</f>
      </c>
      <c r="M66" s="3">
        <f>IF($H66="","",K66*2%)</f>
      </c>
      <c r="N66" s="3">
        <f>IF($H66="","",M66*20%)</f>
      </c>
      <c r="O66" s="3"/>
      <c r="P66" s="3">
        <f>IF($H66="","",O66*20%)</f>
      </c>
      <c r="Q66" s="3">
        <v>1</v>
      </c>
      <c r="R66" s="3">
        <f>IF($H66="","",L66+N66+P66)</f>
      </c>
      <c r="S66" s="3">
        <f>IF($H66="","",I66-J66-K66-L66-M66-N66-O66-P66-Q66)</f>
      </c>
      <c r="T66" s="3">
        <f>IF($H66="","",(S66-AB66)/G66*100)</f>
      </c>
      <c r="U66" s="3">
        <f>IF($H66="","",J66-R66)</f>
      </c>
      <c r="AC66" s="3">
        <f>IF($H66="","",S66-AB66)</f>
      </c>
    </row>
    <row r="67" spans="1:29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>
        <f>IF($H67="","",H67/100*7)</f>
      </c>
      <c r="L67" s="3">
        <f>IF($H67="","",K67*20%)</f>
      </c>
      <c r="M67" s="3">
        <f>IF($H67="","",K67*2%)</f>
      </c>
      <c r="N67" s="3">
        <f>IF($H67="","",M67*20%)</f>
      </c>
      <c r="O67" s="3"/>
      <c r="P67" s="3">
        <f>IF($H67="","",O67*20%)</f>
      </c>
      <c r="Q67" s="3">
        <v>1</v>
      </c>
      <c r="R67" s="3">
        <f>IF($H67="","",L67+N67+P67)</f>
      </c>
      <c r="S67" s="3">
        <f>IF($H67="","",I67-J67-K67-L67-M67-N67-O67-P67-Q67)</f>
      </c>
      <c r="T67" s="3">
        <f>IF($H67="","",(S67-AB67)/G67*100)</f>
      </c>
      <c r="U67" s="3">
        <f>IF($H67="","",J67-R67)</f>
      </c>
      <c r="AC67" s="3">
        <f>IF($H67="","",S67-AB67)</f>
      </c>
    </row>
    <row r="68" spans="1:29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>
        <f>IF($H68="","",H68/100*7)</f>
      </c>
      <c r="L68" s="3">
        <f>IF($H68="","",K68*20%)</f>
      </c>
      <c r="M68" s="3">
        <f>IF($H68="","",K68*2%)</f>
      </c>
      <c r="N68" s="3">
        <f>IF($H68="","",M68*20%)</f>
      </c>
      <c r="O68" s="3"/>
      <c r="P68" s="3">
        <f>IF($H68="","",O68*20%)</f>
      </c>
      <c r="Q68" s="3">
        <v>1</v>
      </c>
      <c r="R68" s="3">
        <f>IF($H68="","",L68+N68+P68)</f>
      </c>
      <c r="S68" s="3">
        <f>IF($H68="","",I68-J68-K68-L68-M68-N68-O68-P68-Q68)</f>
      </c>
      <c r="T68" s="3">
        <f>IF($H68="","",(S68-AB68)/G68*100)</f>
      </c>
      <c r="U68" s="3">
        <f>IF($H68="","",J68-R68)</f>
      </c>
      <c r="AC68" s="3">
        <f>IF($H68="","",S68-AB68)</f>
      </c>
    </row>
    <row r="69" spans="1:29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>
        <f>IF($H69="","",H69/100*7)</f>
      </c>
      <c r="L69" s="3">
        <f>IF($H69="","",K69*20%)</f>
      </c>
      <c r="M69" s="3">
        <f>IF($H69="","",K69*2%)</f>
      </c>
      <c r="N69" s="3">
        <f>IF($H69="","",M69*20%)</f>
      </c>
      <c r="O69" s="3"/>
      <c r="P69" s="3">
        <f>IF($H69="","",O69*20%)</f>
      </c>
      <c r="Q69" s="3">
        <v>1</v>
      </c>
      <c r="R69" s="3">
        <f>IF($H69="","",L69+N69+P69)</f>
      </c>
      <c r="S69" s="3">
        <f>IF($H69="","",I69-J69-K69-L69-M69-N69-O69-P69-Q69)</f>
      </c>
      <c r="T69" s="3">
        <f>IF($H69="","",(S69-AB69)/G69*100)</f>
      </c>
      <c r="U69" s="3">
        <f>IF($H69="","",J69-R69)</f>
      </c>
      <c r="AC69" s="3">
        <f>IF($H69="","",S69-AB69)</f>
      </c>
    </row>
    <row r="70" spans="1:29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>
        <f>IF($H70="","",H70/100*7)</f>
      </c>
      <c r="L70" s="3">
        <f>IF($H70="","",K70*20%)</f>
      </c>
      <c r="M70" s="3">
        <f>IF($H70="","",K70*2%)</f>
      </c>
      <c r="N70" s="3">
        <f>IF($H70="","",M70*20%)</f>
      </c>
      <c r="O70" s="3"/>
      <c r="P70" s="3">
        <f>IF($H70="","",O70*20%)</f>
      </c>
      <c r="Q70" s="3">
        <v>1</v>
      </c>
      <c r="R70" s="3">
        <f>IF($H70="","",L70+N70+P70)</f>
      </c>
      <c r="S70" s="3">
        <f>IF($H70="","",I70-J70-K70-L70-M70-N70-O70-P70-Q70)</f>
      </c>
      <c r="T70" s="3">
        <f>IF($H70="","",(S70-AB70)/G70*100)</f>
      </c>
      <c r="U70" s="3">
        <f>IF($H70="","",J70-R70)</f>
      </c>
      <c r="AC70" s="3">
        <f>IF($H70="","",S70-AB70)</f>
      </c>
    </row>
    <row r="71" spans="1:29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>
        <f>IF($H71="","",H71/100*7)</f>
      </c>
      <c r="L71" s="3">
        <f>IF($H71="","",K71*20%)</f>
      </c>
      <c r="M71" s="3">
        <f>IF($H71="","",K71*2%)</f>
      </c>
      <c r="N71" s="3">
        <f>IF($H71="","",M71*20%)</f>
      </c>
      <c r="O71" s="3"/>
      <c r="P71" s="3">
        <f>IF($H71="","",O71*20%)</f>
      </c>
      <c r="Q71" s="3">
        <v>1</v>
      </c>
      <c r="R71" s="3">
        <f>IF($H71="","",L71+N71+P71)</f>
      </c>
      <c r="S71" s="3">
        <f>IF($H71="","",I71-J71-K71-L71-M71-N71-O71-P71-Q71)</f>
      </c>
      <c r="T71" s="3">
        <f>IF($H71="","",(S71-AB71)/G71*100)</f>
      </c>
      <c r="U71" s="3">
        <f>IF($H71="","",J71-R71)</f>
      </c>
      <c r="AC71" s="3">
        <f>IF($H71="","",S71-AB71)</f>
      </c>
    </row>
    <row r="72" spans="1:29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>
        <f>IF($H72="","",H72/100*7)</f>
      </c>
      <c r="L72" s="3">
        <f>IF($H72="","",K72*20%)</f>
      </c>
      <c r="M72" s="3">
        <f>IF($H72="","",K72*2%)</f>
      </c>
      <c r="N72" s="3">
        <f>IF($H72="","",M72*20%)</f>
      </c>
      <c r="O72" s="3"/>
      <c r="P72" s="3">
        <f>IF($H72="","",O72*20%)</f>
      </c>
      <c r="Q72" s="3">
        <v>1</v>
      </c>
      <c r="R72" s="3">
        <f>IF($H72="","",L72+N72+P72)</f>
      </c>
      <c r="S72" s="3">
        <f>IF($H72="","",I72-J72-K72-L72-M72-N72-O72-P72-Q72)</f>
      </c>
      <c r="T72" s="3">
        <f>IF($H72="","",(S72-AB72)/G72*100)</f>
      </c>
      <c r="U72" s="3">
        <f>IF($H72="","",J72-R72)</f>
      </c>
      <c r="AC72" s="3">
        <f>IF($H72="","",S72-AB72)</f>
      </c>
    </row>
    <row r="73" spans="1:29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>
        <f>IF($H73="","",H73/100*7)</f>
      </c>
      <c r="L73" s="3">
        <f>IF($H73="","",K73*20%)</f>
      </c>
      <c r="M73" s="3">
        <f>IF($H73="","",K73*2%)</f>
      </c>
      <c r="N73" s="3">
        <f>IF($H73="","",M73*20%)</f>
      </c>
      <c r="O73" s="3"/>
      <c r="P73" s="3">
        <f>IF($H73="","",O73*20%)</f>
      </c>
      <c r="Q73" s="3">
        <v>1</v>
      </c>
      <c r="R73" s="3">
        <f>IF($H73="","",L73+N73+P73)</f>
      </c>
      <c r="S73" s="3">
        <f>IF($H73="","",I73-J73-K73-L73-M73-N73-O73-P73-Q73)</f>
      </c>
      <c r="T73" s="3">
        <f>IF($H73="","",(S73-AB73)/G73*100)</f>
      </c>
      <c r="U73" s="3">
        <f>IF($H73="","",J73-R73)</f>
      </c>
      <c r="AC73" s="3">
        <f>IF($H73="","",S73-AB73)</f>
      </c>
    </row>
    <row r="74" spans="1:29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>
        <f>IF($H74="","",H74/100*7)</f>
      </c>
      <c r="L74" s="3">
        <f>IF($H74="","",K74*20%)</f>
      </c>
      <c r="M74" s="3">
        <f>IF($H74="","",K74*2%)</f>
      </c>
      <c r="N74" s="3">
        <f>IF($H74="","",M74*20%)</f>
      </c>
      <c r="O74" s="3"/>
      <c r="P74" s="3">
        <f>IF($H74="","",O74*20%)</f>
      </c>
      <c r="Q74" s="3">
        <v>1</v>
      </c>
      <c r="R74" s="3">
        <f>IF($H74="","",L74+N74+P74)</f>
      </c>
      <c r="S74" s="3">
        <f>IF($H74="","",I74-J74-K74-L74-M74-N74-O74-P74-Q74)</f>
      </c>
      <c r="T74" s="3">
        <f>IF($H74="","",(S74-AB74)/G74*100)</f>
      </c>
      <c r="U74" s="3">
        <f>IF($H74="","",J74-R74)</f>
      </c>
      <c r="AC74" s="3">
        <f>IF($H74="","",S74-AB74)</f>
      </c>
    </row>
    <row r="75" spans="1:29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>
        <f>IF($H75="","",H75/100*7)</f>
      </c>
      <c r="L75" s="3">
        <f>IF($H75="","",K75*20%)</f>
      </c>
      <c r="M75" s="3">
        <f>IF($H75="","",K75*2%)</f>
      </c>
      <c r="N75" s="3">
        <f>IF($H75="","",M75*20%)</f>
      </c>
      <c r="O75" s="3"/>
      <c r="P75" s="3">
        <f>IF($H75="","",O75*20%)</f>
      </c>
      <c r="Q75" s="3">
        <v>1</v>
      </c>
      <c r="R75" s="3">
        <f>IF($H75="","",L75+N75+P75)</f>
      </c>
      <c r="S75" s="3">
        <f>IF($H75="","",I75-J75-K75-L75-M75-N75-O75-P75-Q75)</f>
      </c>
      <c r="T75" s="3">
        <f>IF($H75="","",(S75-AB75)/G75*100)</f>
      </c>
      <c r="U75" s="3">
        <f>IF($H75="","",J75-R75)</f>
      </c>
      <c r="AC75" s="3">
        <f>IF($H75="","",S75-AB75)</f>
      </c>
    </row>
    <row r="76" spans="1:29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>
        <f>IF($H76="","",H76/100*7)</f>
      </c>
      <c r="L76" s="3">
        <f>IF($H76="","",K76*20%)</f>
      </c>
      <c r="M76" s="3">
        <f>IF($H76="","",K76*2%)</f>
      </c>
      <c r="N76" s="3">
        <f>IF($H76="","",M76*20%)</f>
      </c>
      <c r="O76" s="3"/>
      <c r="P76" s="3">
        <f>IF($H76="","",O76*20%)</f>
      </c>
      <c r="Q76" s="3">
        <v>1</v>
      </c>
      <c r="R76" s="3">
        <f>IF($H76="","",L76+N76+P76)</f>
      </c>
      <c r="S76" s="3">
        <f>IF($H76="","",I76-J76-K76-L76-M76-N76-O76-P76-Q76)</f>
      </c>
      <c r="T76" s="3">
        <f>IF($H76="","",(S76-AB76)/G76*100)</f>
      </c>
      <c r="U76" s="3">
        <f>IF($H76="","",J76-R76)</f>
      </c>
      <c r="AC76" s="3">
        <f>IF($H76="","",S76-AB76)</f>
      </c>
    </row>
    <row r="77" spans="1:29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>
        <f>IF($H77="","",H77/100*7)</f>
      </c>
      <c r="L77" s="3">
        <f>IF($H77="","",K77*20%)</f>
      </c>
      <c r="M77" s="3">
        <f>IF($H77="","",K77*2%)</f>
      </c>
      <c r="N77" s="3">
        <f>IF($H77="","",M77*20%)</f>
      </c>
      <c r="O77" s="3"/>
      <c r="P77" s="3">
        <f>IF($H77="","",O77*20%)</f>
      </c>
      <c r="Q77" s="3">
        <v>1</v>
      </c>
      <c r="R77" s="3">
        <f>IF($H77="","",L77+N77+P77)</f>
      </c>
      <c r="S77" s="3">
        <f>IF($H77="","",I77-J77-K77-L77-M77-N77-O77-P77-Q77)</f>
      </c>
      <c r="T77" s="3">
        <f>IF($H77="","",(S77-AB77)/G77*100)</f>
      </c>
      <c r="U77" s="3">
        <f>IF($H77="","",J77-R77)</f>
      </c>
      <c r="AC77" s="3">
        <f>IF($H77="","",S77-AB77)</f>
      </c>
    </row>
    <row r="78" spans="1:29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>
        <f>IF($H78="","",H78/100*7)</f>
      </c>
      <c r="L78" s="3">
        <f>IF($H78="","",K78*20%)</f>
      </c>
      <c r="M78" s="3">
        <f>IF($H78="","",K78*2%)</f>
      </c>
      <c r="N78" s="3">
        <f>IF($H78="","",M78*20%)</f>
      </c>
      <c r="O78" s="3"/>
      <c r="P78" s="3">
        <f>IF($H78="","",O78*20%)</f>
      </c>
      <c r="Q78" s="3">
        <v>1</v>
      </c>
      <c r="R78" s="3">
        <f>IF($H78="","",L78+N78+P78)</f>
      </c>
      <c r="S78" s="3">
        <f>IF($H78="","",I78-J78-K78-L78-M78-N78-O78-P78-Q78)</f>
      </c>
      <c r="T78" s="3">
        <f>IF($H78="","",(S78-AB78)/G78*100)</f>
      </c>
      <c r="U78" s="3">
        <f>IF($H78="","",J78-R78)</f>
      </c>
      <c r="AC78" s="3">
        <f>IF($H78="","",S78-AB78)</f>
      </c>
    </row>
    <row r="79" spans="1:29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>
        <f>IF($H79="","",H79/100*7)</f>
      </c>
      <c r="L79" s="3">
        <f>IF($H79="","",K79*20%)</f>
      </c>
      <c r="M79" s="3">
        <f>IF($H79="","",K79*2%)</f>
      </c>
      <c r="N79" s="3">
        <f>IF($H79="","",M79*20%)</f>
      </c>
      <c r="O79" s="3"/>
      <c r="P79" s="3">
        <f>IF($H79="","",O79*20%)</f>
      </c>
      <c r="Q79" s="3">
        <v>1</v>
      </c>
      <c r="R79" s="3">
        <f>IF($H79="","",L79+N79+P79)</f>
      </c>
      <c r="S79" s="3">
        <f>IF($H79="","",I79-J79-K79-L79-M79-N79-O79-P79-Q79)</f>
      </c>
      <c r="T79" s="3">
        <f>IF($H79="","",(S79-AB79)/G79*100)</f>
      </c>
      <c r="U79" s="3">
        <f>IF($H79="","",J79-R79)</f>
      </c>
      <c r="AC79" s="3">
        <f>IF($H79="","",S79-AB79)</f>
      </c>
    </row>
    <row r="80" spans="1:29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>
        <f>IF($H80="","",H80/100*7)</f>
      </c>
      <c r="L80" s="3">
        <f>IF($H80="","",K80*20%)</f>
      </c>
      <c r="M80" s="3">
        <f>IF($H80="","",K80*2%)</f>
      </c>
      <c r="N80" s="3">
        <f>IF($H80="","",M80*20%)</f>
      </c>
      <c r="O80" s="3"/>
      <c r="P80" s="3">
        <f>IF($H80="","",O80*20%)</f>
      </c>
      <c r="Q80" s="3">
        <v>1</v>
      </c>
      <c r="R80" s="3">
        <f>IF($H80="","",L80+N80+P80)</f>
      </c>
      <c r="S80" s="3">
        <f>IF($H80="","",I80-J80-K80-L80-M80-N80-O80-P80-Q80)</f>
      </c>
      <c r="T80" s="3">
        <f>IF($H80="","",(S80-AB80)/G80*100)</f>
      </c>
      <c r="U80" s="3">
        <f>IF($H80="","",J80-R80)</f>
      </c>
      <c r="AC80" s="3">
        <f>IF($H80="","",S80-AB80)</f>
      </c>
    </row>
    <row r="81" spans="1:29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>
        <f>IF($H81="","",H81/100*7)</f>
      </c>
      <c r="L81" s="3">
        <f>IF($H81="","",K81*20%)</f>
      </c>
      <c r="M81" s="3">
        <f>IF($H81="","",K81*2%)</f>
      </c>
      <c r="N81" s="3">
        <f>IF($H81="","",M81*20%)</f>
      </c>
      <c r="O81" s="3"/>
      <c r="P81" s="3">
        <f>IF($H81="","",O81*20%)</f>
      </c>
      <c r="Q81" s="3">
        <v>1</v>
      </c>
      <c r="R81" s="3">
        <f>IF($H81="","",L81+N81+P81)</f>
      </c>
      <c r="S81" s="3">
        <f>IF($H81="","",I81-J81-K81-L81-M81-N81-O81-P81-Q81)</f>
      </c>
      <c r="T81" s="3">
        <f>IF($H81="","",(S81-AB81)/G81*100)</f>
      </c>
      <c r="U81" s="3">
        <f>IF($H81="","",J81-R81)</f>
      </c>
      <c r="AC81" s="3">
        <f>IF($H81="","",S81-AB81)</f>
      </c>
    </row>
    <row r="82" spans="1:29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>
        <f>IF($H82="","",H82/100*7)</f>
      </c>
      <c r="L82" s="3">
        <f>IF($H82="","",K82*20%)</f>
      </c>
      <c r="M82" s="3">
        <f>IF($H82="","",K82*2%)</f>
      </c>
      <c r="N82" s="3">
        <f>IF($H82="","",M82*20%)</f>
      </c>
      <c r="O82" s="3"/>
      <c r="P82" s="3">
        <f>IF($H82="","",O82*20%)</f>
      </c>
      <c r="Q82" s="3">
        <v>1</v>
      </c>
      <c r="R82" s="3">
        <f>IF($H82="","",L82+N82+P82)</f>
      </c>
      <c r="S82" s="3">
        <f>IF($H82="","",I82-J82-K82-L82-M82-N82-O82-P82-Q82)</f>
      </c>
      <c r="T82" s="3">
        <f>IF($H82="","",(S82-AB82)/G82*100)</f>
      </c>
      <c r="U82" s="3">
        <f>IF($H82="","",J82-R82)</f>
      </c>
      <c r="AC82" s="3">
        <f>IF($H82="","",S82-AB82)</f>
      </c>
    </row>
    <row r="83" spans="1:29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>
        <f>IF($H83="","",H83/100*7)</f>
      </c>
      <c r="L83" s="3">
        <f>IF($H83="","",K83*20%)</f>
      </c>
      <c r="M83" s="3">
        <f>IF($H83="","",K83*2%)</f>
      </c>
      <c r="N83" s="3">
        <f>IF($H83="","",M83*20%)</f>
      </c>
      <c r="O83" s="3"/>
      <c r="P83" s="3">
        <f>IF($H83="","",O83*20%)</f>
      </c>
      <c r="Q83" s="3">
        <v>1</v>
      </c>
      <c r="R83" s="3">
        <f>IF($H83="","",L83+N83+P83)</f>
      </c>
      <c r="S83" s="3">
        <f>IF($H83="","",I83-J83-K83-L83-M83-N83-O83-P83-Q83)</f>
      </c>
      <c r="T83" s="3">
        <f>IF($H83="","",(S83-AB83)/G83*100)</f>
      </c>
      <c r="U83" s="3">
        <f>IF($H83="","",J83-R83)</f>
      </c>
      <c r="AC83" s="3">
        <f>IF($H83="","",S83-AB83)</f>
      </c>
    </row>
    <row r="84" spans="1:29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>
        <f>IF($H84="","",H84/100*7)</f>
      </c>
      <c r="L84" s="3">
        <f>IF($H84="","",K84*20%)</f>
      </c>
      <c r="M84" s="3">
        <f>IF($H84="","",K84*2%)</f>
      </c>
      <c r="N84" s="3">
        <f>IF($H84="","",M84*20%)</f>
      </c>
      <c r="O84" s="3"/>
      <c r="P84" s="3">
        <f>IF($H84="","",O84*20%)</f>
      </c>
      <c r="Q84" s="3">
        <v>1</v>
      </c>
      <c r="R84" s="3">
        <f>IF($H84="","",L84+N84+P84)</f>
      </c>
      <c r="S84" s="3">
        <f>IF($H84="","",I84-J84-K84-L84-M84-N84-O84-P84-Q84)</f>
      </c>
      <c r="T84" s="3">
        <f>IF($H84="","",(S84-AB84)/G84*100)</f>
      </c>
      <c r="U84" s="3">
        <f>IF($H84="","",J84-R84)</f>
      </c>
      <c r="AC84" s="3">
        <f>IF($H84="","",S84-AB84)</f>
      </c>
    </row>
    <row r="85" spans="1:29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>
        <f>IF($H85="","",H85/100*7)</f>
      </c>
      <c r="L85" s="3">
        <f>IF($H85="","",K85*20%)</f>
      </c>
      <c r="M85" s="3">
        <f>IF($H85="","",K85*2%)</f>
      </c>
      <c r="N85" s="3">
        <f>IF($H85="","",M85*20%)</f>
      </c>
      <c r="O85" s="3"/>
      <c r="P85" s="3">
        <f>IF($H85="","",O85*20%)</f>
      </c>
      <c r="Q85" s="3">
        <v>1</v>
      </c>
      <c r="R85" s="3">
        <f>IF($H85="","",L85+N85+P85)</f>
      </c>
      <c r="S85" s="3">
        <f>IF($H85="","",I85-J85-K85-L85-M85-N85-O85-P85-Q85)</f>
      </c>
      <c r="T85" s="3">
        <f>IF($H85="","",(S85-AB85)/G85*100)</f>
      </c>
      <c r="U85" s="3">
        <f>IF($H85="","",J85-R85)</f>
      </c>
      <c r="AC85" s="3">
        <f>IF($H85="","",S85-AB85)</f>
      </c>
    </row>
    <row r="86" spans="1:29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>
        <f>IF($H86="","",H86/100*7)</f>
      </c>
      <c r="L86" s="3">
        <f>IF($H86="","",K86*20%)</f>
      </c>
      <c r="M86" s="3">
        <f>IF($H86="","",K86*2%)</f>
      </c>
      <c r="N86" s="3">
        <f>IF($H86="","",M86*20%)</f>
      </c>
      <c r="O86" s="3"/>
      <c r="P86" s="3">
        <f>IF($H86="","",O86*20%)</f>
      </c>
      <c r="Q86" s="3">
        <v>1</v>
      </c>
      <c r="R86" s="3">
        <f>IF($H86="","",L86+N86+P86)</f>
      </c>
      <c r="S86" s="3">
        <f>IF($H86="","",I86-J86-K86-L86-M86-N86-O86-P86-Q86)</f>
      </c>
      <c r="T86" s="3">
        <f>IF($H86="","",(S86-AB86)/G86*100)</f>
      </c>
      <c r="U86" s="3">
        <f>IF($H86="","",J86-R86)</f>
      </c>
      <c r="AC86" s="3">
        <f>IF($H86="","",S86-AB86)</f>
      </c>
    </row>
    <row r="87" spans="1:29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>
        <f>IF($H87="","",H87/100*7)</f>
      </c>
      <c r="L87" s="3">
        <f>IF($H87="","",K87*20%)</f>
      </c>
      <c r="M87" s="3">
        <f>IF($H87="","",K87*2%)</f>
      </c>
      <c r="N87" s="3">
        <f>IF($H87="","",M87*20%)</f>
      </c>
      <c r="O87" s="3"/>
      <c r="P87" s="3">
        <f>IF($H87="","",O87*20%)</f>
      </c>
      <c r="Q87" s="3">
        <v>1</v>
      </c>
      <c r="R87" s="3">
        <f>IF($H87="","",L87+N87+P87)</f>
      </c>
      <c r="S87" s="3">
        <f>IF($H87="","",I87-J87-K87-L87-M87-N87-O87-P87-Q87)</f>
      </c>
      <c r="T87" s="3">
        <f>IF($H87="","",(S87-AB87)/G87*100)</f>
      </c>
      <c r="U87" s="3">
        <f>IF($H87="","",J87-R87)</f>
      </c>
      <c r="AC87" s="3">
        <f>IF($H87="","",S87-AB87)</f>
      </c>
    </row>
    <row r="88" spans="1:29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>
        <f>IF($H88="","",H88/100*7)</f>
      </c>
      <c r="L88" s="3">
        <f>IF($H88="","",K88*20%)</f>
      </c>
      <c r="M88" s="3">
        <f>IF($H88="","",K88*2%)</f>
      </c>
      <c r="N88" s="3">
        <f>IF($H88="","",M88*20%)</f>
      </c>
      <c r="O88" s="3"/>
      <c r="P88" s="3">
        <f>IF($H88="","",O88*20%)</f>
      </c>
      <c r="Q88" s="3">
        <v>1</v>
      </c>
      <c r="R88" s="3">
        <f>IF($H88="","",L88+N88+P88)</f>
      </c>
      <c r="S88" s="3">
        <f>IF($H88="","",I88-J88-K88-L88-M88-N88-O88-P88-Q88)</f>
      </c>
      <c r="T88" s="3">
        <f>IF($H88="","",(S88-AB88)/G88*100)</f>
      </c>
      <c r="U88" s="3">
        <f>IF($H88="","",J88-R88)</f>
      </c>
      <c r="AC88" s="3">
        <f>IF($H88="","",S88-AB88)</f>
      </c>
    </row>
    <row r="89" spans="1:29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>
        <f>IF($H89="","",H89/100*7)</f>
      </c>
      <c r="L89" s="3">
        <f>IF($H89="","",K89*20%)</f>
      </c>
      <c r="M89" s="3">
        <f>IF($H89="","",K89*2%)</f>
      </c>
      <c r="N89" s="3">
        <f>IF($H89="","",M89*20%)</f>
      </c>
      <c r="O89" s="3"/>
      <c r="P89" s="3">
        <f>IF($H89="","",O89*20%)</f>
      </c>
      <c r="Q89" s="3">
        <v>1</v>
      </c>
      <c r="R89" s="3">
        <f>IF($H89="","",L89+N89+P89)</f>
      </c>
      <c r="S89" s="3">
        <f>IF($H89="","",I89-J89-K89-L89-M89-N89-O89-P89-Q89)</f>
      </c>
      <c r="T89" s="3">
        <f>IF($H89="","",(S89-AB89)/G89*100)</f>
      </c>
      <c r="U89" s="3">
        <f>IF($H89="","",J89-R89)</f>
      </c>
      <c r="AC89" s="3">
        <f>IF($H89="","",S89-AB89)</f>
      </c>
    </row>
    <row r="90" spans="1:29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>
        <f>IF($H90="","",H90/100*7)</f>
      </c>
      <c r="L90" s="3">
        <f>IF($H90="","",K90*20%)</f>
      </c>
      <c r="M90" s="3">
        <f>IF($H90="","",K90*2%)</f>
      </c>
      <c r="N90" s="3">
        <f>IF($H90="","",M90*20%)</f>
      </c>
      <c r="O90" s="3"/>
      <c r="P90" s="3">
        <f>IF($H90="","",O90*20%)</f>
      </c>
      <c r="Q90" s="3">
        <v>1</v>
      </c>
      <c r="R90" s="3">
        <f>IF($H90="","",L90+N90+P90)</f>
      </c>
      <c r="S90" s="3">
        <f>IF($H90="","",I90-J90-K90-L90-M90-N90-O90-P90-Q90)</f>
      </c>
      <c r="T90" s="3">
        <f>IF($H90="","",(S90-AB90)/G90*100)</f>
      </c>
      <c r="U90" s="3">
        <f>IF($H90="","",J90-R90)</f>
      </c>
      <c r="AC90" s="3">
        <f>IF($H90="","",S90-AB90)</f>
      </c>
    </row>
    <row r="91" spans="1:29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>
        <f>IF($H91="","",H91/100*7)</f>
      </c>
      <c r="L91" s="3">
        <f>IF($H91="","",K91*20%)</f>
      </c>
      <c r="M91" s="3">
        <f>IF($H91="","",K91*2%)</f>
      </c>
      <c r="N91" s="3">
        <f>IF($H91="","",M91*20%)</f>
      </c>
      <c r="O91" s="3"/>
      <c r="P91" s="3">
        <f>IF($H91="","",O91*20%)</f>
      </c>
      <c r="Q91" s="3">
        <v>1</v>
      </c>
      <c r="R91" s="3">
        <f>IF($H91="","",L91+N91+P91)</f>
      </c>
      <c r="S91" s="3">
        <f>IF($H91="","",I91-J91-K91-L91-M91-N91-O91-P91-Q91)</f>
      </c>
      <c r="T91" s="3">
        <f>IF($H91="","",(S91-AB91)/G91*100)</f>
      </c>
      <c r="U91" s="3">
        <f>IF($H91="","",J91-R91)</f>
      </c>
      <c r="AC91" s="3">
        <f>IF($H91="","",S91-AB91)</f>
      </c>
    </row>
    <row r="92" spans="1:29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>
        <f>IF($H92="","",H92/100*7)</f>
      </c>
      <c r="L92" s="3">
        <f>IF($H92="","",K92*20%)</f>
      </c>
      <c r="M92" s="3">
        <f>IF($H92="","",K92*2%)</f>
      </c>
      <c r="N92" s="3">
        <f>IF($H92="","",M92*20%)</f>
      </c>
      <c r="O92" s="3"/>
      <c r="P92" s="3">
        <f>IF($H92="","",O92*20%)</f>
      </c>
      <c r="Q92" s="3">
        <v>1</v>
      </c>
      <c r="R92" s="3">
        <f>IF($H92="","",L92+N92+P92)</f>
      </c>
      <c r="S92" s="3">
        <f>IF($H92="","",I92-J92-K92-L92-M92-N92-O92-P92-Q92)</f>
      </c>
      <c r="T92" s="3">
        <f>IF($H92="","",(S92-AB92)/G92*100)</f>
      </c>
      <c r="U92" s="3">
        <f>IF($H92="","",J92-R92)</f>
      </c>
      <c r="AC92" s="3">
        <f>IF($H92="","",S92-AB92)</f>
      </c>
    </row>
    <row r="93" spans="1:29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>
        <f>IF($H93="","",H93/100*7)</f>
      </c>
      <c r="L93" s="3">
        <f>IF($H93="","",K93*20%)</f>
      </c>
      <c r="M93" s="3">
        <f>IF($H93="","",K93*2%)</f>
      </c>
      <c r="N93" s="3">
        <f>IF($H93="","",M93*20%)</f>
      </c>
      <c r="O93" s="3"/>
      <c r="P93" s="3">
        <f>IF($H93="","",O93*20%)</f>
      </c>
      <c r="Q93" s="3">
        <v>1</v>
      </c>
      <c r="R93" s="3">
        <f>IF($H93="","",L93+N93+P93)</f>
      </c>
      <c r="S93" s="3">
        <f>IF($H93="","",I93-J93-K93-L93-M93-N93-O93-P93-Q93)</f>
      </c>
      <c r="T93" s="3">
        <f>IF($H93="","",(S93-AB93)/G93*100)</f>
      </c>
      <c r="U93" s="3">
        <f>IF($H93="","",J93-R93)</f>
      </c>
      <c r="AC93" s="3">
        <f>IF($H93="","",S93-AB93)</f>
      </c>
    </row>
    <row r="94" spans="1:29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>
        <f>IF($H94="","",H94/100*7)</f>
      </c>
      <c r="L94" s="3">
        <f>IF($H94="","",K94*20%)</f>
      </c>
      <c r="M94" s="3">
        <f>IF($H94="","",K94*2%)</f>
      </c>
      <c r="N94" s="3">
        <f>IF($H94="","",M94*20%)</f>
      </c>
      <c r="O94" s="3"/>
      <c r="P94" s="3">
        <f>IF($H94="","",O94*20%)</f>
      </c>
      <c r="Q94" s="3">
        <v>1</v>
      </c>
      <c r="R94" s="3">
        <f>IF($H94="","",L94+N94+P94)</f>
      </c>
      <c r="S94" s="3">
        <f>IF($H94="","",I94-J94-K94-L94-M94-N94-O94-P94-Q94)</f>
      </c>
      <c r="T94" s="3">
        <f>IF($H94="","",(S94-AB94)/G94*100)</f>
      </c>
      <c r="U94" s="3">
        <f>IF($H94="","",J94-R94)</f>
      </c>
      <c r="AC94" s="3">
        <f>IF($H94="","",S94-AB94)</f>
      </c>
    </row>
    <row r="95" spans="1:29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>
        <f>IF($H95="","",H95/100*7)</f>
      </c>
      <c r="L95" s="3">
        <f>IF($H95="","",K95*20%)</f>
      </c>
      <c r="M95" s="3">
        <f>IF($H95="","",K95*2%)</f>
      </c>
      <c r="N95" s="3">
        <f>IF($H95="","",M95*20%)</f>
      </c>
      <c r="O95" s="3"/>
      <c r="P95" s="3">
        <f>IF($H95="","",O95*20%)</f>
      </c>
      <c r="Q95" s="3">
        <v>1</v>
      </c>
      <c r="R95" s="3">
        <f>IF($H95="","",L95+N95+P95)</f>
      </c>
      <c r="S95" s="3">
        <f>IF($H95="","",I95-J95-K95-L95-M95-N95-O95-P95-Q95)</f>
      </c>
      <c r="T95" s="3">
        <f>IF($H95="","",(S95-AB95)/G95*100)</f>
      </c>
      <c r="U95" s="3">
        <f>IF($H95="","",J95-R95)</f>
      </c>
      <c r="AC95" s="3">
        <f>IF($H95="","",S95-AB95)</f>
      </c>
    </row>
    <row r="96" spans="1:29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>
        <f>IF($H96="","",H96/100*7)</f>
      </c>
      <c r="L96" s="3">
        <f>IF($H96="","",K96*20%)</f>
      </c>
      <c r="M96" s="3">
        <f>IF($H96="","",K96*2%)</f>
      </c>
      <c r="N96" s="3">
        <f>IF($H96="","",M96*20%)</f>
      </c>
      <c r="O96" s="3"/>
      <c r="P96" s="3">
        <f>IF($H96="","",O96*20%)</f>
      </c>
      <c r="Q96" s="3">
        <v>1</v>
      </c>
      <c r="R96" s="3">
        <f>IF($H96="","",L96+N96+P96)</f>
      </c>
      <c r="S96" s="3">
        <f>IF($H96="","",I96-J96-K96-L96-M96-N96-O96-P96-Q96)</f>
      </c>
      <c r="T96" s="3">
        <f>IF($H96="","",(S96-AB96)/G96*100)</f>
      </c>
      <c r="U96" s="3">
        <f>IF($H96="","",J96-R96)</f>
      </c>
      <c r="AC96" s="3">
        <f>IF($H96="","",S96-AB96)</f>
      </c>
    </row>
    <row r="97" spans="1:29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>
        <f>IF($H97="","",H97/100*7)</f>
      </c>
      <c r="L97" s="3">
        <f>IF($H97="","",K97*20%)</f>
      </c>
      <c r="M97" s="3">
        <f>IF($H97="","",K97*2%)</f>
      </c>
      <c r="N97" s="3">
        <f>IF($H97="","",M97*20%)</f>
      </c>
      <c r="O97" s="3"/>
      <c r="P97" s="3">
        <f>IF($H97="","",O97*20%)</f>
      </c>
      <c r="Q97" s="3">
        <v>1</v>
      </c>
      <c r="R97" s="3">
        <f>IF($H97="","",L97+N97+P97)</f>
      </c>
      <c r="S97" s="3">
        <f>IF($H97="","",I97-J97-K97-L97-M97-N97-O97-P97-Q97)</f>
      </c>
      <c r="T97" s="3">
        <f>IF($H97="","",(S97-AB97)/G97*100)</f>
      </c>
      <c r="U97" s="3">
        <f>IF($H97="","",J97-R97)</f>
      </c>
      <c r="AC97" s="3">
        <f>IF($H97="","",S97-AB97)</f>
      </c>
    </row>
    <row r="98" spans="1:29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>
        <f>IF($H98="","",H98/100*7)</f>
      </c>
      <c r="L98" s="3">
        <f>IF($H98="","",K98*20%)</f>
      </c>
      <c r="M98" s="3">
        <f>IF($H98="","",K98*2%)</f>
      </c>
      <c r="N98" s="3">
        <f>IF($H98="","",M98*20%)</f>
      </c>
      <c r="O98" s="3"/>
      <c r="P98" s="3">
        <f>IF($H98="","",O98*20%)</f>
      </c>
      <c r="Q98" s="3">
        <v>1</v>
      </c>
      <c r="R98" s="3">
        <f>IF($H98="","",L98+N98+P98)</f>
      </c>
      <c r="S98" s="3">
        <f>IF($H98="","",I98-J98-K98-L98-M98-N98-O98-P98-Q98)</f>
      </c>
      <c r="T98" s="3">
        <f>IF($H98="","",(S98-AB98)/G98*100)</f>
      </c>
      <c r="U98" s="3">
        <f>IF($H98="","",J98-R98)</f>
      </c>
      <c r="AC98" s="3">
        <f>IF($H98="","",S98-AB98)</f>
      </c>
    </row>
    <row r="99" spans="1:29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>
        <f>IF($H99="","",H99/100*7)</f>
      </c>
      <c r="L99" s="3">
        <f>IF($H99="","",K99*20%)</f>
      </c>
      <c r="M99" s="3">
        <f>IF($H99="","",K99*2%)</f>
      </c>
      <c r="N99" s="3">
        <f>IF($H99="","",M99*20%)</f>
      </c>
      <c r="O99" s="3"/>
      <c r="P99" s="3">
        <f>IF($H99="","",O99*20%)</f>
      </c>
      <c r="Q99" s="3">
        <v>1</v>
      </c>
      <c r="R99" s="3">
        <f>IF($H99="","",L99+N99+P99)</f>
      </c>
      <c r="S99" s="3">
        <f>IF($H99="","",I99-J99-K99-L99-M99-N99-O99-P99-Q99)</f>
      </c>
      <c r="T99" s="3">
        <f>IF($H99="","",(S99-AB99)/G99*100)</f>
      </c>
      <c r="U99" s="3">
        <f>IF($H99="","",J99-R99)</f>
      </c>
      <c r="AC99" s="3">
        <f>IF($H99="","",S99-AB99)</f>
      </c>
    </row>
    <row r="100" spans="1:29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>
        <f>IF($H100="","",H100/100*7)</f>
      </c>
      <c r="L100" s="3">
        <f>IF($H100="","",K100*20%)</f>
      </c>
      <c r="M100" s="3">
        <f>IF($H100="","",K100*2%)</f>
      </c>
      <c r="N100" s="3">
        <f>IF($H100="","",M100*20%)</f>
      </c>
      <c r="O100" s="3"/>
      <c r="P100" s="3">
        <f>IF($H100="","",O100*20%)</f>
      </c>
      <c r="Q100" s="3">
        <v>1</v>
      </c>
      <c r="R100" s="3">
        <f>IF($H100="","",L100+N100+P100)</f>
      </c>
      <c r="S100" s="3">
        <f>IF($H100="","",I100-J100-K100-L100-M100-N100-O100-P100-Q100)</f>
      </c>
      <c r="T100" s="3">
        <f>IF($H100="","",(S100-AB100)/G100*100)</f>
      </c>
      <c r="U100" s="3">
        <f>IF($H100="","",J100-R100)</f>
      </c>
      <c r="AC100" s="3">
        <f>IF($H100="","",S100-AB100)</f>
      </c>
    </row>
    <row r="101" spans="1:29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>
        <f>IF($H101="","",H101/100*7)</f>
      </c>
      <c r="L101" s="3">
        <f>IF($H101="","",K101*20%)</f>
      </c>
      <c r="M101" s="3">
        <f>IF($H101="","",K101*2%)</f>
      </c>
      <c r="N101" s="3">
        <f>IF($H101="","",M101*20%)</f>
      </c>
      <c r="O101" s="3"/>
      <c r="P101" s="3">
        <f>IF($H101="","",O101*20%)</f>
      </c>
      <c r="Q101" s="3">
        <v>1</v>
      </c>
      <c r="R101" s="3">
        <f>IF($H101="","",L101+N101+P101)</f>
      </c>
      <c r="S101" s="3">
        <f>IF($H101="","",I101-J101-K101-L101-M101-N101-O101-P101-Q101)</f>
      </c>
      <c r="T101" s="3">
        <f>IF($H101="","",(S101-AB101)/G101*100)</f>
      </c>
      <c r="U101" s="3">
        <f>IF($H101="","",J101-R101)</f>
      </c>
      <c r="AC101" s="3">
        <f>IF($H101="","",S101-AB101)</f>
      </c>
    </row>
    <row r="102" spans="1:29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>
        <f>IF($H102="","",H102/100*7)</f>
      </c>
      <c r="L102" s="3">
        <f>IF($H102="","",K102*20%)</f>
      </c>
      <c r="M102" s="3">
        <f>IF($H102="","",K102*2%)</f>
      </c>
      <c r="N102" s="3">
        <f>IF($H102="","",M102*20%)</f>
      </c>
      <c r="O102" s="3"/>
      <c r="P102" s="3">
        <f>IF($H102="","",O102*20%)</f>
      </c>
      <c r="Q102" s="3">
        <v>1</v>
      </c>
      <c r="R102" s="3">
        <f>IF($H102="","",L102+N102+P102)</f>
      </c>
      <c r="S102" s="3">
        <f>IF($H102="","",I102-J102-K102-L102-M102-N102-O102-P102-Q102)</f>
      </c>
      <c r="T102" s="3">
        <f>IF($H102="","",(S102-AB102)/G102*100)</f>
      </c>
      <c r="U102" s="3">
        <f>IF($H102="","",J102-R102)</f>
      </c>
      <c r="AC102" s="3">
        <f>IF($H102="","",S102-AB102)</f>
      </c>
    </row>
    <row r="103" spans="1:29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>
        <f>IF($H103="","",H103/100*7)</f>
      </c>
      <c r="L103" s="3">
        <f>IF($H103="","",K103*20%)</f>
      </c>
      <c r="M103" s="3">
        <f>IF($H103="","",K103*2%)</f>
      </c>
      <c r="N103" s="3">
        <f>IF($H103="","",M103*20%)</f>
      </c>
      <c r="O103" s="3"/>
      <c r="P103" s="3">
        <f>IF($H103="","",O103*20%)</f>
      </c>
      <c r="Q103" s="3">
        <v>1</v>
      </c>
      <c r="R103" s="3">
        <f>IF($H103="","",L103+N103+P103)</f>
      </c>
      <c r="S103" s="3">
        <f>IF($H103="","",I103-J103-K103-L103-M103-N103-O103-P103-Q103)</f>
      </c>
      <c r="T103" s="3">
        <f>IF($H103="","",(S103-AB103)/G103*100)</f>
      </c>
      <c r="U103" s="3">
        <f>IF($H103="","",J103-R103)</f>
      </c>
      <c r="AC103" s="3">
        <f>IF($H103="","",S103-AB103)</f>
      </c>
    </row>
    <row r="104" spans="1:29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>
        <f>IF($H104="","",H104/100*7)</f>
      </c>
      <c r="L104" s="3">
        <f>IF($H104="","",K104*20%)</f>
      </c>
      <c r="M104" s="3">
        <f>IF($H104="","",K104*2%)</f>
      </c>
      <c r="N104" s="3">
        <f>IF($H104="","",M104*20%)</f>
      </c>
      <c r="O104" s="3"/>
      <c r="P104" s="3">
        <f>IF($H104="","",O104*20%)</f>
      </c>
      <c r="Q104" s="3">
        <v>1</v>
      </c>
      <c r="R104" s="3">
        <f>IF($H104="","",L104+N104+P104)</f>
      </c>
      <c r="S104" s="3">
        <f>IF($H104="","",I104-J104-K104-L104-M104-N104-O104-P104-Q104)</f>
      </c>
      <c r="T104" s="3">
        <f>IF($H104="","",(S104-AB104)/G104*100)</f>
      </c>
      <c r="U104" s="3">
        <f>IF($H104="","",J104-R104)</f>
      </c>
      <c r="AC104" s="3">
        <f>IF($H104="","",S104-AB104)</f>
      </c>
    </row>
    <row r="105" spans="1:29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>
        <f>IF($H105="","",H105/100*7)</f>
      </c>
      <c r="L105" s="3">
        <f>IF($H105="","",K105*20%)</f>
      </c>
      <c r="M105" s="3">
        <f>IF($H105="","",K105*2%)</f>
      </c>
      <c r="N105" s="3">
        <f>IF($H105="","",M105*20%)</f>
      </c>
      <c r="O105" s="3"/>
      <c r="P105" s="3">
        <f>IF($H105="","",O105*20%)</f>
      </c>
      <c r="Q105" s="3">
        <v>1</v>
      </c>
      <c r="R105" s="3">
        <f>IF($H105="","",L105+N105+P105)</f>
      </c>
      <c r="S105" s="3">
        <f>IF($H105="","",I105-J105-K105-L105-M105-N105-O105-P105-Q105)</f>
      </c>
      <c r="T105" s="3">
        <f>IF($H105="","",(S105-AB105)/G105*100)</f>
      </c>
      <c r="U105" s="3">
        <f>IF($H105="","",J105-R105)</f>
      </c>
      <c r="AC105" s="3">
        <f>IF($H105="","",S105-AB105)</f>
      </c>
    </row>
    <row r="106" spans="1:29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>
        <f>IF($H106="","",H106/100*7)</f>
      </c>
      <c r="L106" s="3">
        <f>IF($H106="","",K106*20%)</f>
      </c>
      <c r="M106" s="3">
        <f>IF($H106="","",K106*2%)</f>
      </c>
      <c r="N106" s="3">
        <f>IF($H106="","",M106*20%)</f>
      </c>
      <c r="O106" s="3"/>
      <c r="P106" s="3">
        <f>IF($H106="","",O106*20%)</f>
      </c>
      <c r="Q106" s="3">
        <v>1</v>
      </c>
      <c r="R106" s="3">
        <f>IF($H106="","",L106+N106+P106)</f>
      </c>
      <c r="S106" s="3">
        <f>IF($H106="","",I106-J106-K106-L106-M106-N106-O106-P106-Q106)</f>
      </c>
      <c r="T106" s="3">
        <f>IF($H106="","",(S106-AB106)/G106*100)</f>
      </c>
      <c r="U106" s="3">
        <f>IF($H106="","",J106-R106)</f>
      </c>
      <c r="AC106" s="3">
        <f>IF($H106="","",S106-AB106)</f>
      </c>
    </row>
    <row r="107" spans="1:29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>
        <f>IF($H107="","",H107/100*7)</f>
      </c>
      <c r="L107" s="3">
        <f>IF($H107="","",K107*20%)</f>
      </c>
      <c r="M107" s="3">
        <f>IF($H107="","",K107*2%)</f>
      </c>
      <c r="N107" s="3">
        <f>IF($H107="","",M107*20%)</f>
      </c>
      <c r="O107" s="3"/>
      <c r="P107" s="3">
        <f>IF($H107="","",O107*20%)</f>
      </c>
      <c r="Q107" s="3">
        <v>1</v>
      </c>
      <c r="R107" s="3">
        <f>IF($H107="","",L107+N107+P107)</f>
      </c>
      <c r="S107" s="3">
        <f>IF($H107="","",I107-J107-K107-L107-M107-N107-O107-P107-Q107)</f>
      </c>
      <c r="T107" s="3">
        <f>IF($H107="","",(S107-AB107)/G107*100)</f>
      </c>
      <c r="U107" s="3">
        <f>IF($H107="","",J107-R107)</f>
      </c>
      <c r="AC107" s="3">
        <f>IF($H107="","",S107-AB107)</f>
      </c>
    </row>
    <row r="108" spans="1:29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>
        <f>IF($H108="","",H108/100*7)</f>
      </c>
      <c r="L108" s="3">
        <f>IF($H108="","",K108*20%)</f>
      </c>
      <c r="M108" s="3">
        <f>IF($H108="","",K108*2%)</f>
      </c>
      <c r="N108" s="3">
        <f>IF($H108="","",M108*20%)</f>
      </c>
      <c r="O108" s="3"/>
      <c r="P108" s="3">
        <f>IF($H108="","",O108*20%)</f>
      </c>
      <c r="Q108" s="3">
        <v>1</v>
      </c>
      <c r="R108" s="3">
        <f>IF($H108="","",L108+N108+P108)</f>
      </c>
      <c r="S108" s="3">
        <f>IF($H108="","",I108-J108-K108-L108-M108-N108-O108-P108-Q108)</f>
      </c>
      <c r="T108" s="3">
        <f>IF($H108="","",(S108-AB108)/G108*100)</f>
      </c>
      <c r="U108" s="3">
        <f>IF($H108="","",J108-R108)</f>
      </c>
      <c r="AC108" s="3">
        <f>IF($H108="","",S108-AB108)</f>
      </c>
    </row>
    <row r="109" spans="1:29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>
        <f>IF($H109="","",H109/100*7)</f>
      </c>
      <c r="L109" s="3">
        <f>IF($H109="","",K109*20%)</f>
      </c>
      <c r="M109" s="3">
        <f>IF($H109="","",K109*2%)</f>
      </c>
      <c r="N109" s="3">
        <f>IF($H109="","",M109*20%)</f>
      </c>
      <c r="O109" s="3"/>
      <c r="P109" s="3">
        <f>IF($H109="","",O109*20%)</f>
      </c>
      <c r="Q109" s="3">
        <v>1</v>
      </c>
      <c r="R109" s="3">
        <f>IF($H109="","",L109+N109+P109)</f>
      </c>
      <c r="S109" s="3">
        <f>IF($H109="","",I109-J109-K109-L109-M109-N109-O109-P109-Q109)</f>
      </c>
      <c r="T109" s="3">
        <f>IF($H109="","",(S109-AB109)/G109*100)</f>
      </c>
      <c r="U109" s="3">
        <f>IF($H109="","",J109-R109)</f>
      </c>
      <c r="AC109" s="3">
        <f>IF($H109="","",S109-AB109)</f>
      </c>
    </row>
    <row r="110" spans="1:29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>
        <f>IF($H110="","",H110/100*7)</f>
      </c>
      <c r="L110" s="3">
        <f>IF($H110="","",K110*20%)</f>
      </c>
      <c r="M110" s="3">
        <f>IF($H110="","",K110*2%)</f>
      </c>
      <c r="N110" s="3">
        <f>IF($H110="","",M110*20%)</f>
      </c>
      <c r="O110" s="3"/>
      <c r="P110" s="3">
        <f>IF($H110="","",O110*20%)</f>
      </c>
      <c r="Q110" s="3">
        <v>1</v>
      </c>
      <c r="R110" s="3">
        <f>IF($H110="","",L110+N110+P110)</f>
      </c>
      <c r="S110" s="3">
        <f>IF($H110="","",I110-J110-K110-L110-M110-N110-O110-P110-Q110)</f>
      </c>
      <c r="T110" s="3">
        <f>IF($H110="","",(S110-AB110)/G110*100)</f>
      </c>
      <c r="U110" s="3">
        <f>IF($H110="","",J110-R110)</f>
      </c>
      <c r="AC110" s="3">
        <f>IF($H110="","",S110-AB110)</f>
      </c>
    </row>
    <row r="111" spans="1:29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>
        <f>IF($H111="","",H111/100*7)</f>
      </c>
      <c r="L111" s="3">
        <f>IF($H111="","",K111*20%)</f>
      </c>
      <c r="M111" s="3">
        <f>IF($H111="","",K111*2%)</f>
      </c>
      <c r="N111" s="3">
        <f>IF($H111="","",M111*20%)</f>
      </c>
      <c r="O111" s="3"/>
      <c r="P111" s="3">
        <f>IF($H111="","",O111*20%)</f>
      </c>
      <c r="Q111" s="3">
        <v>1</v>
      </c>
      <c r="R111" s="3">
        <f>IF($H111="","",L111+N111+P111)</f>
      </c>
      <c r="S111" s="3">
        <f>IF($H111="","",I111-J111-K111-L111-M111-N111-O111-P111-Q111)</f>
      </c>
      <c r="T111" s="3">
        <f>IF($H111="","",(S111-AB111)/G111*100)</f>
      </c>
      <c r="U111" s="3">
        <f>IF($H111="","",J111-R111)</f>
      </c>
      <c r="AC111" s="3">
        <f>IF($H111="","",S111-AB111)</f>
      </c>
    </row>
    <row r="112" spans="1:29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>
        <f>IF($H112="","",H112/100*7)</f>
      </c>
      <c r="L112" s="3">
        <f>IF($H112="","",K112*20%)</f>
      </c>
      <c r="M112" s="3">
        <f>IF($H112="","",K112*2%)</f>
      </c>
      <c r="N112" s="3">
        <f>IF($H112="","",M112*20%)</f>
      </c>
      <c r="O112" s="3"/>
      <c r="P112" s="3">
        <f>IF($H112="","",O112*20%)</f>
      </c>
      <c r="Q112" s="3">
        <v>1</v>
      </c>
      <c r="R112" s="3">
        <f>IF($H112="","",L112+N112+P112)</f>
      </c>
      <c r="S112" s="3">
        <f>IF($H112="","",I112-J112-K112-L112-M112-N112-O112-P112-Q112)</f>
      </c>
      <c r="T112" s="3">
        <f>IF($H112="","",(S112-AB112)/G112*100)</f>
      </c>
      <c r="U112" s="3">
        <f>IF($H112="","",J112-R112)</f>
      </c>
      <c r="AC112" s="3">
        <f>IF($H112="","",S112-AB112)</f>
      </c>
    </row>
    <row r="113" spans="1:29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>
        <f>IF($H113="","",H113/100*7)</f>
      </c>
      <c r="L113" s="3">
        <f>IF($H113="","",K113*20%)</f>
      </c>
      <c r="M113" s="3">
        <f>IF($H113="","",K113*2%)</f>
      </c>
      <c r="N113" s="3">
        <f>IF($H113="","",M113*20%)</f>
      </c>
      <c r="O113" s="3"/>
      <c r="P113" s="3">
        <f>IF($H113="","",O113*20%)</f>
      </c>
      <c r="Q113" s="3">
        <v>1</v>
      </c>
      <c r="R113" s="3">
        <f>IF($H113="","",L113+N113+P113)</f>
      </c>
      <c r="S113" s="3">
        <f>IF($H113="","",I113-J113-K113-L113-M113-N113-O113-P113-Q113)</f>
      </c>
      <c r="T113" s="3">
        <f>IF($H113="","",(S113-AB113)/G113*100)</f>
      </c>
      <c r="U113" s="3">
        <f>IF($H113="","",J113-R113)</f>
      </c>
      <c r="AC113" s="3">
        <f>IF($H113="","",S113-AB113)</f>
      </c>
    </row>
    <row r="114" spans="1:29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>
        <f>IF($H114="","",H114/100*7)</f>
      </c>
      <c r="L114" s="3">
        <f>IF($H114="","",K114*20%)</f>
      </c>
      <c r="M114" s="3">
        <f>IF($H114="","",K114*2%)</f>
      </c>
      <c r="N114" s="3">
        <f>IF($H114="","",M114*20%)</f>
      </c>
      <c r="O114" s="3"/>
      <c r="P114" s="3">
        <f>IF($H114="","",O114*20%)</f>
      </c>
      <c r="Q114" s="3">
        <v>1</v>
      </c>
      <c r="R114" s="3">
        <f>IF($H114="","",L114+N114+P114)</f>
      </c>
      <c r="S114" s="3">
        <f>IF($H114="","",I114-J114-K114-L114-M114-N114-O114-P114-Q114)</f>
      </c>
      <c r="T114" s="3">
        <f>IF($H114="","",(S114-AB114)/G114*100)</f>
      </c>
      <c r="U114" s="3">
        <f>IF($H114="","",J114-R114)</f>
      </c>
      <c r="AC114" s="3">
        <f>IF($H114="","",S114-AB114)</f>
      </c>
    </row>
    <row r="115" spans="1:29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>
        <f>IF($H115="","",H115/100*7)</f>
      </c>
      <c r="L115" s="3">
        <f>IF($H115="","",K115*20%)</f>
      </c>
      <c r="M115" s="3">
        <f>IF($H115="","",K115*2%)</f>
      </c>
      <c r="N115" s="3">
        <f>IF($H115="","",M115*20%)</f>
      </c>
      <c r="O115" s="3"/>
      <c r="P115" s="3">
        <f>IF($H115="","",O115*20%)</f>
      </c>
      <c r="Q115" s="3">
        <v>1</v>
      </c>
      <c r="R115" s="3">
        <f>IF($H115="","",L115+N115+P115)</f>
      </c>
      <c r="S115" s="3">
        <f>IF($H115="","",I115-J115-K115-L115-M115-N115-O115-P115-Q115)</f>
      </c>
      <c r="T115" s="3">
        <f>IF($H115="","",(S115-AB115)/G115*100)</f>
      </c>
      <c r="U115" s="3">
        <f>IF($H115="","",J115-R115)</f>
      </c>
      <c r="AC115" s="3">
        <f>IF($H115="","",S115-AB115)</f>
      </c>
    </row>
    <row r="116" spans="1:29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>
        <f>IF($H116="","",H116/100*7)</f>
      </c>
      <c r="L116" s="3">
        <f>IF($H116="","",K116*20%)</f>
      </c>
      <c r="M116" s="3">
        <f>IF($H116="","",K116*2%)</f>
      </c>
      <c r="N116" s="3">
        <f>IF($H116="","",M116*20%)</f>
      </c>
      <c r="O116" s="3"/>
      <c r="P116" s="3">
        <f>IF($H116="","",O116*20%)</f>
      </c>
      <c r="Q116" s="3">
        <v>1</v>
      </c>
      <c r="R116" s="3">
        <f>IF($H116="","",L116+N116+P116)</f>
      </c>
      <c r="S116" s="3">
        <f>IF($H116="","",I116-J116-K116-L116-M116-N116-O116-P116-Q116)</f>
      </c>
      <c r="T116" s="3">
        <f>IF($H116="","",(S116-AB116)/G116*100)</f>
      </c>
      <c r="U116" s="3">
        <f>IF($H116="","",J116-R116)</f>
      </c>
      <c r="AC116" s="3">
        <f>IF($H116="","",S116-AB116)</f>
      </c>
    </row>
    <row r="117" spans="1:29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>
        <f>IF($H117="","",H117/100*7)</f>
      </c>
      <c r="L117" s="3">
        <f>IF($H117="","",K117*20%)</f>
      </c>
      <c r="M117" s="3">
        <f>IF($H117="","",K117*2%)</f>
      </c>
      <c r="N117" s="3">
        <f>IF($H117="","",M117*20%)</f>
      </c>
      <c r="O117" s="3"/>
      <c r="P117" s="3">
        <f>IF($H117="","",O117*20%)</f>
      </c>
      <c r="Q117" s="3">
        <v>1</v>
      </c>
      <c r="R117" s="3">
        <f>IF($H117="","",L117+N117+P117)</f>
      </c>
      <c r="S117" s="3">
        <f>IF($H117="","",I117-J117-K117-L117-M117-N117-O117-P117-Q117)</f>
      </c>
      <c r="T117" s="3">
        <f>IF($H117="","",(S117-AB117)/G117*100)</f>
      </c>
      <c r="U117" s="3">
        <f>IF($H117="","",J117-R117)</f>
      </c>
      <c r="AC117" s="3">
        <f>IF($H117="","",S117-AB117)</f>
      </c>
    </row>
    <row r="118" spans="1:29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>
        <f>IF($H118="","",H118/100*7)</f>
      </c>
      <c r="L118" s="3">
        <f>IF($H118="","",K118*20%)</f>
      </c>
      <c r="M118" s="3">
        <f>IF($H118="","",K118*2%)</f>
      </c>
      <c r="N118" s="3">
        <f>IF($H118="","",M118*20%)</f>
      </c>
      <c r="O118" s="3"/>
      <c r="P118" s="3">
        <f>IF($H118="","",O118*20%)</f>
      </c>
      <c r="Q118" s="3">
        <v>1</v>
      </c>
      <c r="R118" s="3">
        <f>IF($H118="","",L118+N118+P118)</f>
      </c>
      <c r="S118" s="3">
        <f>IF($H118="","",I118-J118-K118-L118-M118-N118-O118-P118-Q118)</f>
      </c>
      <c r="T118" s="3">
        <f>IF($H118="","",(S118-AB118)/G118*100)</f>
      </c>
      <c r="U118" s="3">
        <f>IF($H118="","",J118-R118)</f>
      </c>
      <c r="AC118" s="3">
        <f>IF($H118="","",S118-AB118)</f>
      </c>
    </row>
    <row r="119" spans="1:29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>
        <f>IF($H119="","",H119/100*7)</f>
      </c>
      <c r="L119" s="3">
        <f>IF($H119="","",K119*20%)</f>
      </c>
      <c r="M119" s="3">
        <f>IF($H119="","",K119*2%)</f>
      </c>
      <c r="N119" s="3">
        <f>IF($H119="","",M119*20%)</f>
      </c>
      <c r="O119" s="3"/>
      <c r="P119" s="3">
        <f>IF($H119="","",O119*20%)</f>
      </c>
      <c r="Q119" s="3">
        <v>1</v>
      </c>
      <c r="R119" s="3">
        <f>IF($H119="","",L119+N119+P119)</f>
      </c>
      <c r="S119" s="3">
        <f>IF($H119="","",I119-J119-K119-L119-M119-N119-O119-P119-Q119)</f>
      </c>
      <c r="T119" s="3">
        <f>IF($H119="","",(S119-AB119)/G119*100)</f>
      </c>
      <c r="U119" s="3">
        <f>IF($H119="","",J119-R119)</f>
      </c>
      <c r="AC119" s="3">
        <f>IF($H119="","",S119-AB119)</f>
      </c>
    </row>
    <row r="120" spans="1:29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>
        <f>IF($H120="","",H120/100*7)</f>
      </c>
      <c r="L120" s="3">
        <f>IF($H120="","",K120*20%)</f>
      </c>
      <c r="M120" s="3">
        <f>IF($H120="","",K120*2%)</f>
      </c>
      <c r="N120" s="3">
        <f>IF($H120="","",M120*20%)</f>
      </c>
      <c r="O120" s="3"/>
      <c r="P120" s="3">
        <f>IF($H120="","",O120*20%)</f>
      </c>
      <c r="Q120" s="3">
        <v>1</v>
      </c>
      <c r="R120" s="3">
        <f>IF($H120="","",L120+N120+P120)</f>
      </c>
      <c r="S120" s="3">
        <f>IF($H120="","",I120-J120-K120-L120-M120-N120-O120-P120-Q120)</f>
      </c>
      <c r="T120" s="3">
        <f>IF($H120="","",(S120-AB120)/G120*100)</f>
      </c>
      <c r="U120" s="3">
        <f>IF($H120="","",J120-R120)</f>
      </c>
      <c r="AC120" s="3">
        <f>IF($H120="","",S120-AB120)</f>
      </c>
    </row>
    <row r="121" spans="1:29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>
        <f>IF($H121="","",H121/100*7)</f>
      </c>
      <c r="L121" s="3">
        <f>IF($H121="","",K121*20%)</f>
      </c>
      <c r="M121" s="3">
        <f>IF($H121="","",K121*2%)</f>
      </c>
      <c r="N121" s="3">
        <f>IF($H121="","",M121*20%)</f>
      </c>
      <c r="O121" s="3"/>
      <c r="P121" s="3">
        <f>IF($H121="","",O121*20%)</f>
      </c>
      <c r="Q121" s="3">
        <v>1</v>
      </c>
      <c r="R121" s="3">
        <f>IF($H121="","",L121+N121+P121)</f>
      </c>
      <c r="S121" s="3">
        <f>IF($H121="","",I121-J121-K121-L121-M121-N121-O121-P121-Q121)</f>
      </c>
      <c r="T121" s="3">
        <f>IF($H121="","",(S121-AB121)/G121*100)</f>
      </c>
      <c r="U121" s="3">
        <f>IF($H121="","",J121-R121)</f>
      </c>
      <c r="AC121" s="3">
        <f>IF($H121="","",S121-AB121)</f>
      </c>
    </row>
    <row r="122" spans="1:29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>
        <f>IF($H122="","",H122/100*7)</f>
      </c>
      <c r="L122" s="3">
        <f>IF($H122="","",K122*20%)</f>
      </c>
      <c r="M122" s="3">
        <f>IF($H122="","",K122*2%)</f>
      </c>
      <c r="N122" s="3">
        <f>IF($H122="","",M122*20%)</f>
      </c>
      <c r="O122" s="3"/>
      <c r="P122" s="3">
        <f>IF($H122="","",O122*20%)</f>
      </c>
      <c r="Q122" s="3">
        <v>1</v>
      </c>
      <c r="R122" s="3">
        <f>IF($H122="","",L122+N122+P122)</f>
      </c>
      <c r="S122" s="3">
        <f>IF($H122="","",I122-J122-K122-L122-M122-N122-O122-P122-Q122)</f>
      </c>
      <c r="T122" s="3">
        <f>IF($H122="","",(S122-AB122)/G122*100)</f>
      </c>
      <c r="U122" s="3">
        <f>IF($H122="","",J122-R122)</f>
      </c>
      <c r="AC122" s="3">
        <f>IF($H122="","",S122-AB122)</f>
      </c>
    </row>
    <row r="123" spans="1:29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>
        <f>IF($H123="","",H123/100*7)</f>
      </c>
      <c r="L123" s="3">
        <f>IF($H123="","",K123*20%)</f>
      </c>
      <c r="M123" s="3">
        <f>IF($H123="","",K123*2%)</f>
      </c>
      <c r="N123" s="3">
        <f>IF($H123="","",M123*20%)</f>
      </c>
      <c r="O123" s="3"/>
      <c r="P123" s="3">
        <f>IF($H123="","",O123*20%)</f>
      </c>
      <c r="Q123" s="3">
        <v>1</v>
      </c>
      <c r="R123" s="3">
        <f>IF($H123="","",L123+N123+P123)</f>
      </c>
      <c r="S123" s="3">
        <f>IF($H123="","",I123-J123-K123-L123-M123-N123-O123-P123-Q123)</f>
      </c>
      <c r="T123" s="3">
        <f>IF($H123="","",(S123-AB123)/G123*100)</f>
      </c>
      <c r="U123" s="3">
        <f>IF($H123="","",J123-R123)</f>
      </c>
      <c r="AC123" s="3">
        <f>IF($H123="","",S123-AB123)</f>
      </c>
    </row>
    <row r="124" spans="1:29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>
        <f>IF($H124="","",H124/100*7)</f>
      </c>
      <c r="L124" s="3">
        <f>IF($H124="","",K124*20%)</f>
      </c>
      <c r="M124" s="3">
        <f>IF($H124="","",K124*2%)</f>
      </c>
      <c r="N124" s="3">
        <f>IF($H124="","",M124*20%)</f>
      </c>
      <c r="O124" s="3"/>
      <c r="P124" s="3">
        <f>IF($H124="","",O124*20%)</f>
      </c>
      <c r="Q124" s="3">
        <v>1</v>
      </c>
      <c r="R124" s="3">
        <f>IF($H124="","",L124+N124+P124)</f>
      </c>
      <c r="S124" s="3">
        <f>IF($H124="","",I124-J124-K124-L124-M124-N124-O124-P124-Q124)</f>
      </c>
      <c r="T124" s="3">
        <f>IF($H124="","",(S124-AB124)/G124*100)</f>
      </c>
      <c r="U124" s="3">
        <f>IF($H124="","",J124-R124)</f>
      </c>
      <c r="AC124" s="3">
        <f>IF($H124="","",S124-AB124)</f>
      </c>
    </row>
    <row r="125" spans="1:29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>
        <f>IF($H125="","",H125/100*7)</f>
      </c>
      <c r="L125" s="3">
        <f>IF($H125="","",K125*20%)</f>
      </c>
      <c r="M125" s="3">
        <f>IF($H125="","",K125*2%)</f>
      </c>
      <c r="N125" s="3">
        <f>IF($H125="","",M125*20%)</f>
      </c>
      <c r="O125" s="3"/>
      <c r="P125" s="3">
        <f>IF($H125="","",O125*20%)</f>
      </c>
      <c r="Q125" s="3">
        <v>1</v>
      </c>
      <c r="R125" s="3">
        <f>IF($H125="","",L125+N125+P125)</f>
      </c>
      <c r="S125" s="3">
        <f>IF($H125="","",I125-J125-K125-L125-M125-N125-O125-P125-Q125)</f>
      </c>
      <c r="T125" s="3">
        <f>IF($H125="","",(S125-AB125)/G125*100)</f>
      </c>
      <c r="U125" s="3">
        <f>IF($H125="","",J125-R125)</f>
      </c>
      <c r="AC125" s="3">
        <f>IF($H125="","",S125-AB125)</f>
      </c>
    </row>
    <row r="126" spans="1:29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>
        <f>IF($H126="","",H126/100*7)</f>
      </c>
      <c r="L126" s="3">
        <f>IF($H126="","",K126*20%)</f>
      </c>
      <c r="M126" s="3">
        <f>IF($H126="","",K126*2%)</f>
      </c>
      <c r="N126" s="3">
        <f>IF($H126="","",M126*20%)</f>
      </c>
      <c r="O126" s="3"/>
      <c r="P126" s="3">
        <f>IF($H126="","",O126*20%)</f>
      </c>
      <c r="Q126" s="3">
        <v>1</v>
      </c>
      <c r="R126" s="3">
        <f>IF($H126="","",L126+N126+P126)</f>
      </c>
      <c r="S126" s="3">
        <f>IF($H126="","",I126-J126-K126-L126-M126-N126-O126-P126-Q126)</f>
      </c>
      <c r="T126" s="3">
        <f>IF($H126="","",(S126-AB126)/G126*100)</f>
      </c>
      <c r="U126" s="3">
        <f>IF($H126="","",J126-R126)</f>
      </c>
      <c r="AC126" s="3">
        <f>IF($H126="","",S126-AB126)</f>
      </c>
    </row>
    <row r="127" spans="1:29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>
        <f>IF($H127="","",H127/100*7)</f>
      </c>
      <c r="L127" s="3">
        <f>IF($H127="","",K127*20%)</f>
      </c>
      <c r="M127" s="3">
        <f>IF($H127="","",K127*2%)</f>
      </c>
      <c r="N127" s="3">
        <f>IF($H127="","",M127*20%)</f>
      </c>
      <c r="O127" s="3"/>
      <c r="P127" s="3">
        <f>IF($H127="","",O127*20%)</f>
      </c>
      <c r="Q127" s="3">
        <v>1</v>
      </c>
      <c r="R127" s="3">
        <f>IF($H127="","",L127+N127+P127)</f>
      </c>
      <c r="S127" s="3">
        <f>IF($H127="","",I127-J127-K127-L127-M127-N127-O127-P127-Q127)</f>
      </c>
      <c r="T127" s="3">
        <f>IF($H127="","",(S127-AB127)/G127*100)</f>
      </c>
      <c r="U127" s="3">
        <f>IF($H127="","",J127-R127)</f>
      </c>
      <c r="AC127" s="3">
        <f>IF($H127="","",S127-AB127)</f>
      </c>
    </row>
    <row r="128" spans="1:29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>
        <f>IF($H128="","",H128/100*7)</f>
      </c>
      <c r="L128" s="3">
        <f>IF($H128="","",K128*20%)</f>
      </c>
      <c r="M128" s="3">
        <f>IF($H128="","",K128*2%)</f>
      </c>
      <c r="N128" s="3">
        <f>IF($H128="","",M128*20%)</f>
      </c>
      <c r="O128" s="3"/>
      <c r="P128" s="3">
        <f>IF($H128="","",O128*20%)</f>
      </c>
      <c r="Q128" s="3">
        <v>1</v>
      </c>
      <c r="R128" s="3">
        <f>IF($H128="","",L128+N128+P128)</f>
      </c>
      <c r="S128" s="3">
        <f>IF($H128="","",I128-J128-K128-L128-M128-N128-O128-P128-Q128)</f>
      </c>
      <c r="T128" s="3">
        <f>IF($H128="","",(S128-AB128)/G128*100)</f>
      </c>
      <c r="U128" s="3">
        <f>IF($H128="","",J128-R128)</f>
      </c>
      <c r="AC128" s="3">
        <f>IF($H128="","",S128-AB128)</f>
      </c>
    </row>
    <row r="129" spans="1:29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>
        <f>IF($H129="","",H129/100*7)</f>
      </c>
      <c r="L129" s="3">
        <f>IF($H129="","",K129*20%)</f>
      </c>
      <c r="M129" s="3">
        <f>IF($H129="","",K129*2%)</f>
      </c>
      <c r="N129" s="3">
        <f>IF($H129="","",M129*20%)</f>
      </c>
      <c r="O129" s="3"/>
      <c r="P129" s="3">
        <f>IF($H129="","",O129*20%)</f>
      </c>
      <c r="Q129" s="3">
        <v>1</v>
      </c>
      <c r="R129" s="3">
        <f>IF($H129="","",L129+N129+P129)</f>
      </c>
      <c r="S129" s="3">
        <f>IF($H129="","",I129-J129-K129-L129-M129-N129-O129-P129-Q129)</f>
      </c>
      <c r="T129" s="3">
        <f>IF($H129="","",(S129-AB129)/G129*100)</f>
      </c>
      <c r="U129" s="3">
        <f>IF($H129="","",J129-R129)</f>
      </c>
      <c r="AC129" s="3">
        <f>IF($H129="","",S129-AB129)</f>
      </c>
    </row>
    <row r="130" spans="1:29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>
        <f>IF($H130="","",H130/100*7)</f>
      </c>
      <c r="L130" s="3">
        <f>IF($H130="","",K130*20%)</f>
      </c>
      <c r="M130" s="3">
        <f>IF($H130="","",K130*2%)</f>
      </c>
      <c r="N130" s="3">
        <f>IF($H130="","",M130*20%)</f>
      </c>
      <c r="O130" s="3"/>
      <c r="P130" s="3">
        <f>IF($H130="","",O130*20%)</f>
      </c>
      <c r="Q130" s="3">
        <v>1</v>
      </c>
      <c r="R130" s="3">
        <f>IF($H130="","",L130+N130+P130)</f>
      </c>
      <c r="S130" s="3">
        <f>IF($H130="","",I130-J130-K130-L130-M130-N130-O130-P130-Q130)</f>
      </c>
      <c r="T130" s="3">
        <f>IF($H130="","",(S130-AB130)/G130*100)</f>
      </c>
      <c r="U130" s="3">
        <f>IF($H130="","",J130-R130)</f>
      </c>
      <c r="AC130" s="3">
        <f>IF($H130="","",S130-AB130)</f>
      </c>
    </row>
    <row r="131" spans="1:29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>
        <f>IF($H131="","",H131/100*7)</f>
      </c>
      <c r="L131" s="3">
        <f>IF($H131="","",K131*20%)</f>
      </c>
      <c r="M131" s="3">
        <f>IF($H131="","",K131*2%)</f>
      </c>
      <c r="N131" s="3">
        <f>IF($H131="","",M131*20%)</f>
      </c>
      <c r="O131" s="3"/>
      <c r="P131" s="3">
        <f>IF($H131="","",O131*20%)</f>
      </c>
      <c r="Q131" s="3">
        <v>1</v>
      </c>
      <c r="R131" s="3">
        <f>IF($H131="","",L131+N131+P131)</f>
      </c>
      <c r="S131" s="3">
        <f>IF($H131="","",I131-J131-K131-L131-M131-N131-O131-P131-Q131)</f>
      </c>
      <c r="T131" s="3">
        <f>IF($H131="","",(S131-AB131)/G131*100)</f>
      </c>
      <c r="U131" s="3">
        <f>IF($H131="","",J131-R131)</f>
      </c>
      <c r="AC131" s="3">
        <f>IF($H131="","",S131-AB131)</f>
      </c>
    </row>
    <row r="132" spans="1:29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>
        <f>IF($H132="","",H132/100*7)</f>
      </c>
      <c r="L132" s="3">
        <f>IF($H132="","",K132*20%)</f>
      </c>
      <c r="M132" s="3">
        <f>IF($H132="","",K132*2%)</f>
      </c>
      <c r="N132" s="3">
        <f>IF($H132="","",M132*20%)</f>
      </c>
      <c r="O132" s="3"/>
      <c r="P132" s="3">
        <f>IF($H132="","",O132*20%)</f>
      </c>
      <c r="Q132" s="3">
        <v>1</v>
      </c>
      <c r="R132" s="3">
        <f>IF($H132="","",L132+N132+P132)</f>
      </c>
      <c r="S132" s="3">
        <f>IF($H132="","",I132-J132-K132-L132-M132-N132-O132-P132-Q132)</f>
      </c>
      <c r="T132" s="3">
        <f>IF($H132="","",(S132-AB132)/G132*100)</f>
      </c>
      <c r="U132" s="3">
        <f>IF($H132="","",J132-R132)</f>
      </c>
      <c r="AC132" s="3">
        <f>IF($H132="","",S132-AB132)</f>
      </c>
    </row>
    <row r="133" spans="1:29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>
        <f>IF($H133="","",H133/100*7)</f>
      </c>
      <c r="L133" s="3">
        <f>IF($H133="","",K133*20%)</f>
      </c>
      <c r="M133" s="3">
        <f>IF($H133="","",K133*2%)</f>
      </c>
      <c r="N133" s="3">
        <f>IF($H133="","",M133*20%)</f>
      </c>
      <c r="O133" s="3"/>
      <c r="P133" s="3">
        <f>IF($H133="","",O133*20%)</f>
      </c>
      <c r="Q133" s="3">
        <v>1</v>
      </c>
      <c r="R133" s="3">
        <f>IF($H133="","",L133+N133+P133)</f>
      </c>
      <c r="S133" s="3">
        <f>IF($H133="","",I133-J133-K133-L133-M133-N133-O133-P133-Q133)</f>
      </c>
      <c r="T133" s="3">
        <f>IF($H133="","",(S133-AB133)/G133*100)</f>
      </c>
      <c r="U133" s="3">
        <f>IF($H133="","",J133-R133)</f>
      </c>
      <c r="AC133" s="3">
        <f>IF($H133="","",S133-AB133)</f>
      </c>
    </row>
    <row r="134" spans="1:29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>
        <f>IF($H134="","",H134/100*7)</f>
      </c>
      <c r="L134" s="3">
        <f>IF($H134="","",K134*20%)</f>
      </c>
      <c r="M134" s="3">
        <f>IF($H134="","",K134*2%)</f>
      </c>
      <c r="N134" s="3">
        <f>IF($H134="","",M134*20%)</f>
      </c>
      <c r="O134" s="3"/>
      <c r="P134" s="3">
        <f>IF($H134="","",O134*20%)</f>
      </c>
      <c r="Q134" s="3">
        <v>1</v>
      </c>
      <c r="R134" s="3">
        <f>IF($H134="","",L134+N134+P134)</f>
      </c>
      <c r="S134" s="3">
        <f>IF($H134="","",I134-J134-K134-L134-M134-N134-O134-P134-Q134)</f>
      </c>
      <c r="T134" s="3">
        <f>IF($H134="","",(S134-AB134)/G134*100)</f>
      </c>
      <c r="U134" s="3">
        <f>IF($H134="","",J134-R134)</f>
      </c>
      <c r="AC134" s="3">
        <f>IF($H134="","",S134-AB134)</f>
      </c>
    </row>
    <row r="135" spans="1:29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>
        <f>IF($H135="","",H135/100*7)</f>
      </c>
      <c r="L135" s="3">
        <f>IF($H135="","",K135*20%)</f>
      </c>
      <c r="M135" s="3">
        <f>IF($H135="","",K135*2%)</f>
      </c>
      <c r="N135" s="3">
        <f>IF($H135="","",M135*20%)</f>
      </c>
      <c r="O135" s="3"/>
      <c r="P135" s="3">
        <f>IF($H135="","",O135*20%)</f>
      </c>
      <c r="Q135" s="3">
        <v>1</v>
      </c>
      <c r="R135" s="3">
        <f>IF($H135="","",L135+N135+P135)</f>
      </c>
      <c r="S135" s="3">
        <f>IF($H135="","",I135-J135-K135-L135-M135-N135-O135-P135-Q135)</f>
      </c>
      <c r="T135" s="3">
        <f>IF($H135="","",(S135-AB135)/G135*100)</f>
      </c>
      <c r="U135" s="3">
        <f>IF($H135="","",J135-R135)</f>
      </c>
      <c r="AC135" s="3">
        <f>IF($H135="","",S135-AB135)</f>
      </c>
    </row>
    <row r="136" spans="1:29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>
        <f>IF($H136="","",H136/100*7)</f>
      </c>
      <c r="L136" s="3">
        <f>IF($H136="","",K136*20%)</f>
      </c>
      <c r="M136" s="3">
        <f>IF($H136="","",K136*2%)</f>
      </c>
      <c r="N136" s="3">
        <f>IF($H136="","",M136*20%)</f>
      </c>
      <c r="O136" s="3"/>
      <c r="P136" s="3">
        <f>IF($H136="","",O136*20%)</f>
      </c>
      <c r="Q136" s="3">
        <v>1</v>
      </c>
      <c r="R136" s="3">
        <f>IF($H136="","",L136+N136+P136)</f>
      </c>
      <c r="S136" s="3">
        <f>IF($H136="","",I136-J136-K136-L136-M136-N136-O136-P136-Q136)</f>
      </c>
      <c r="T136" s="3">
        <f>IF($H136="","",(S136-AB136)/G136*100)</f>
      </c>
      <c r="U136" s="3">
        <f>IF($H136="","",J136-R136)</f>
      </c>
      <c r="AC136" s="3">
        <f>IF($H136="","",S136-AB136)</f>
      </c>
    </row>
    <row r="137" spans="1:29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>
        <f>IF($H137="","",H137/100*7)</f>
      </c>
      <c r="L137" s="3">
        <f>IF($H137="","",K137*20%)</f>
      </c>
      <c r="M137" s="3">
        <f>IF($H137="","",K137*2%)</f>
      </c>
      <c r="N137" s="3">
        <f>IF($H137="","",M137*20%)</f>
      </c>
      <c r="O137" s="3"/>
      <c r="P137" s="3">
        <f>IF($H137="","",O137*20%)</f>
      </c>
      <c r="Q137" s="3">
        <v>1</v>
      </c>
      <c r="R137" s="3">
        <f>IF($H137="","",L137+N137+P137)</f>
      </c>
      <c r="S137" s="3">
        <f>IF($H137="","",I137-J137-K137-L137-M137-N137-O137-P137-Q137)</f>
      </c>
      <c r="T137" s="3">
        <f>IF($H137="","",(S137-AB137)/G137*100)</f>
      </c>
      <c r="U137" s="3">
        <f>IF($H137="","",J137-R137)</f>
      </c>
      <c r="AC137" s="3">
        <f>IF($H137="","",S137-AB137)</f>
      </c>
    </row>
    <row r="138" spans="1:29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>
        <f>IF($H138="","",H138/100*7)</f>
      </c>
      <c r="L138" s="3">
        <f>IF($H138="","",K138*20%)</f>
      </c>
      <c r="M138" s="3">
        <f>IF($H138="","",K138*2%)</f>
      </c>
      <c r="N138" s="3">
        <f>IF($H138="","",M138*20%)</f>
      </c>
      <c r="O138" s="3"/>
      <c r="P138" s="3">
        <f>IF($H138="","",O138*20%)</f>
      </c>
      <c r="Q138" s="3">
        <v>1</v>
      </c>
      <c r="R138" s="3">
        <f>IF($H138="","",L138+N138+P138)</f>
      </c>
      <c r="S138" s="3">
        <f>IF($H138="","",I138-J138-K138-L138-M138-N138-O138-P138-Q138)</f>
      </c>
      <c r="T138" s="3">
        <f>IF($H138="","",(S138-AB138)/G138*100)</f>
      </c>
      <c r="U138" s="3">
        <f>IF($H138="","",J138-R138)</f>
      </c>
      <c r="AC138" s="3">
        <f>IF($H138="","",S138-AB138)</f>
      </c>
    </row>
    <row r="139" spans="1:29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>
        <f>IF($H139="","",H139/100*7)</f>
      </c>
      <c r="L139" s="3">
        <f>IF($H139="","",K139*20%)</f>
      </c>
      <c r="M139" s="3">
        <f>IF($H139="","",K139*2%)</f>
      </c>
      <c r="N139" s="3">
        <f>IF($H139="","",M139*20%)</f>
      </c>
      <c r="O139" s="3"/>
      <c r="P139" s="3">
        <f>IF($H139="","",O139*20%)</f>
      </c>
      <c r="Q139" s="3">
        <v>1</v>
      </c>
      <c r="R139" s="3">
        <f>IF($H139="","",L139+N139+P139)</f>
      </c>
      <c r="S139" s="3">
        <f>IF($H139="","",I139-J139-K139-L139-M139-N139-O139-P139-Q139)</f>
      </c>
      <c r="T139" s="3">
        <f>IF($H139="","",(S139-AB139)/G139*100)</f>
      </c>
      <c r="U139" s="3">
        <f>IF($H139="","",J139-R139)</f>
      </c>
      <c r="AC139" s="3">
        <f>IF($H139="","",S139-AB139)</f>
      </c>
    </row>
    <row r="140" spans="1:29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>
        <f>IF($H140="","",H140/100*7)</f>
      </c>
      <c r="L140" s="3">
        <f>IF($H140="","",K140*20%)</f>
      </c>
      <c r="M140" s="3">
        <f>IF($H140="","",K140*2%)</f>
      </c>
      <c r="N140" s="3">
        <f>IF($H140="","",M140*20%)</f>
      </c>
      <c r="O140" s="3"/>
      <c r="P140" s="3">
        <f>IF($H140="","",O140*20%)</f>
      </c>
      <c r="Q140" s="3">
        <v>1</v>
      </c>
      <c r="R140" s="3">
        <f>IF($H140="","",L140+N140+P140)</f>
      </c>
      <c r="S140" s="3">
        <f>IF($H140="","",I140-J140-K140-L140-M140-N140-O140-P140-Q140)</f>
      </c>
      <c r="T140" s="3">
        <f>IF($H140="","",(S140-AB140)/G140*100)</f>
      </c>
      <c r="U140" s="3">
        <f>IF($H140="","",J140-R140)</f>
      </c>
      <c r="AC140" s="3">
        <f>IF($H140="","",S140-AB140)</f>
      </c>
    </row>
    <row r="141" spans="1:29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>
        <f>IF($H141="","",H141/100*7)</f>
      </c>
      <c r="L141" s="3">
        <f>IF($H141="","",K141*20%)</f>
      </c>
      <c r="M141" s="3">
        <f>IF($H141="","",K141*2%)</f>
      </c>
      <c r="N141" s="3">
        <f>IF($H141="","",M141*20%)</f>
      </c>
      <c r="O141" s="3"/>
      <c r="P141" s="3">
        <f>IF($H141="","",O141*20%)</f>
      </c>
      <c r="Q141" s="3">
        <v>1</v>
      </c>
      <c r="R141" s="3">
        <f>IF($H141="","",L141+N141+P141)</f>
      </c>
      <c r="S141" s="3">
        <f>IF($H141="","",I141-J141-K141-L141-M141-N141-O141-P141-Q141)</f>
      </c>
      <c r="T141" s="3">
        <f>IF($H141="","",(S141-AB141)/G141*100)</f>
      </c>
      <c r="U141" s="3">
        <f>IF($H141="","",J141-R141)</f>
      </c>
      <c r="AC141" s="3">
        <f>IF($H141="","",S141-AB141)</f>
      </c>
    </row>
    <row r="142" spans="1:29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>
        <f>IF($H142="","",H142/100*7)</f>
      </c>
      <c r="L142" s="3">
        <f>IF($H142="","",K142*20%)</f>
      </c>
      <c r="M142" s="3">
        <f>IF($H142="","",K142*2%)</f>
      </c>
      <c r="N142" s="3">
        <f>IF($H142="","",M142*20%)</f>
      </c>
      <c r="O142" s="3"/>
      <c r="P142" s="3">
        <f>IF($H142="","",O142*20%)</f>
      </c>
      <c r="Q142" s="3">
        <v>1</v>
      </c>
      <c r="R142" s="3">
        <f>IF($H142="","",L142+N142+P142)</f>
      </c>
      <c r="S142" s="3">
        <f>IF($H142="","",I142-J142-K142-L142-M142-N142-O142-P142-Q142)</f>
      </c>
      <c r="T142" s="3">
        <f>IF($H142="","",(S142-AB142)/G142*100)</f>
      </c>
      <c r="U142" s="3">
        <f>IF($H142="","",J142-R142)</f>
      </c>
      <c r="AC142" s="3">
        <f>IF($H142="","",S142-AB142)</f>
      </c>
    </row>
    <row r="143" spans="1:29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>
        <f>IF($H143="","",H143/100*7)</f>
      </c>
      <c r="L143" s="3">
        <f>IF($H143="","",K143*20%)</f>
      </c>
      <c r="M143" s="3">
        <f>IF($H143="","",K143*2%)</f>
      </c>
      <c r="N143" s="3">
        <f>IF($H143="","",M143*20%)</f>
      </c>
      <c r="O143" s="3"/>
      <c r="P143" s="3">
        <f>IF($H143="","",O143*20%)</f>
      </c>
      <c r="Q143" s="3">
        <v>1</v>
      </c>
      <c r="R143" s="3">
        <f>IF($H143="","",L143+N143+P143)</f>
      </c>
      <c r="S143" s="3">
        <f>IF($H143="","",I143-J143-K143-L143-M143-N143-O143-P143-Q143)</f>
      </c>
      <c r="T143" s="3">
        <f>IF($H143="","",(S143-AB143)/G143*100)</f>
      </c>
      <c r="U143" s="3">
        <f>IF($H143="","",J143-R143)</f>
      </c>
      <c r="AC143" s="3">
        <f>IF($H143="","",S143-AB143)</f>
      </c>
    </row>
    <row r="144" spans="1:29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>
        <f>IF($H144="","",H144/100*7)</f>
      </c>
      <c r="L144" s="3">
        <f>IF($H144="","",K144*20%)</f>
      </c>
      <c r="M144" s="3">
        <f>IF($H144="","",K144*2%)</f>
      </c>
      <c r="N144" s="3">
        <f>IF($H144="","",M144*20%)</f>
      </c>
      <c r="O144" s="3"/>
      <c r="P144" s="3">
        <f>IF($H144="","",O144*20%)</f>
      </c>
      <c r="Q144" s="3">
        <v>1</v>
      </c>
      <c r="R144" s="3">
        <f>IF($H144="","",L144+N144+P144)</f>
      </c>
      <c r="S144" s="3">
        <f>IF($H144="","",I144-J144-K144-L144-M144-N144-O144-P144-Q144)</f>
      </c>
      <c r="T144" s="3">
        <f>IF($H144="","",(S144-AB144)/G144*100)</f>
      </c>
      <c r="U144" s="3">
        <f>IF($H144="","",J144-R144)</f>
      </c>
      <c r="AC144" s="3">
        <f>IF($H144="","",S144-AB144)</f>
      </c>
    </row>
    <row r="145" spans="1:29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>
        <f>IF($H145="","",H145/100*7)</f>
      </c>
      <c r="L145" s="3">
        <f>IF($H145="","",K145*20%)</f>
      </c>
      <c r="M145" s="3">
        <f>IF($H145="","",K145*2%)</f>
      </c>
      <c r="N145" s="3">
        <f>IF($H145="","",M145*20%)</f>
      </c>
      <c r="O145" s="3"/>
      <c r="P145" s="3">
        <f>IF($H145="","",O145*20%)</f>
      </c>
      <c r="Q145" s="3">
        <v>1</v>
      </c>
      <c r="R145" s="3">
        <f>IF($H145="","",L145+N145+P145)</f>
      </c>
      <c r="S145" s="3">
        <f>IF($H145="","",I145-J145-K145-L145-M145-N145-O145-P145-Q145)</f>
      </c>
      <c r="T145" s="3">
        <f>IF($H145="","",(S145-AB145)/G145*100)</f>
      </c>
      <c r="U145" s="3">
        <f>IF($H145="","",J145-R145)</f>
      </c>
      <c r="AC145" s="3">
        <f>IF($H145="","",S145-AB145)</f>
      </c>
    </row>
    <row r="146" spans="1:29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>
        <f>IF($H146="","",H146/100*7)</f>
      </c>
      <c r="L146" s="3">
        <f>IF($H146="","",K146*20%)</f>
      </c>
      <c r="M146" s="3">
        <f>IF($H146="","",K146*2%)</f>
      </c>
      <c r="N146" s="3">
        <f>IF($H146="","",M146*20%)</f>
      </c>
      <c r="O146" s="3"/>
      <c r="P146" s="3">
        <f>IF($H146="","",O146*20%)</f>
      </c>
      <c r="Q146" s="3">
        <v>1</v>
      </c>
      <c r="R146" s="3">
        <f>IF($H146="","",L146+N146+P146)</f>
      </c>
      <c r="S146" s="3">
        <f>IF($H146="","",I146-J146-K146-L146-M146-N146-O146-P146-Q146)</f>
      </c>
      <c r="T146" s="3">
        <f>IF($H146="","",(S146-AB146)/G146*100)</f>
      </c>
      <c r="U146" s="3">
        <f>IF($H146="","",J146-R146)</f>
      </c>
      <c r="AC146" s="3">
        <f>IF($H146="","",S146-AB146)</f>
      </c>
    </row>
    <row r="147" spans="1:29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>
        <f>IF($H147="","",H147/100*7)</f>
      </c>
      <c r="L147" s="3">
        <f>IF($H147="","",K147*20%)</f>
      </c>
      <c r="M147" s="3">
        <f>IF($H147="","",K147*2%)</f>
      </c>
      <c r="N147" s="3">
        <f>IF($H147="","",M147*20%)</f>
      </c>
      <c r="O147" s="3"/>
      <c r="P147" s="3">
        <f>IF($H147="","",O147*20%)</f>
      </c>
      <c r="Q147" s="3">
        <v>1</v>
      </c>
      <c r="R147" s="3">
        <f>IF($H147="","",L147+N147+P147)</f>
      </c>
      <c r="S147" s="3">
        <f>IF($H147="","",I147-J147-K147-L147-M147-N147-O147-P147-Q147)</f>
      </c>
      <c r="T147" s="3">
        <f>IF($H147="","",(S147-AB147)/G147*100)</f>
      </c>
      <c r="U147" s="3">
        <f>IF($H147="","",J147-R147)</f>
      </c>
      <c r="AC147" s="3">
        <f>IF($H147="","",S147-AB147)</f>
      </c>
    </row>
    <row r="148" spans="1:29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>
        <f>IF($H148="","",H148/100*7)</f>
      </c>
      <c r="L148" s="3">
        <f>IF($H148="","",K148*20%)</f>
      </c>
      <c r="M148" s="3">
        <f>IF($H148="","",K148*2%)</f>
      </c>
      <c r="N148" s="3">
        <f>IF($H148="","",M148*20%)</f>
      </c>
      <c r="O148" s="3"/>
      <c r="P148" s="3">
        <f>IF($H148="","",O148*20%)</f>
      </c>
      <c r="Q148" s="3">
        <v>1</v>
      </c>
      <c r="R148" s="3">
        <f>IF($H148="","",L148+N148+P148)</f>
      </c>
      <c r="S148" s="3">
        <f>IF($H148="","",I148-J148-K148-L148-M148-N148-O148-P148-Q148)</f>
      </c>
      <c r="T148" s="3">
        <f>IF($H148="","",(S148-AB148)/G148*100)</f>
      </c>
      <c r="U148" s="3">
        <f>IF($H148="","",J148-R148)</f>
      </c>
      <c r="AC148" s="3">
        <f>IF($H148="","",S148-AB148)</f>
      </c>
    </row>
    <row r="149" spans="1:29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>
        <f>IF($H149="","",H149/100*7)</f>
      </c>
      <c r="L149" s="3">
        <f>IF($H149="","",K149*20%)</f>
      </c>
      <c r="M149" s="3">
        <f>IF($H149="","",K149*2%)</f>
      </c>
      <c r="N149" s="3">
        <f>IF($H149="","",M149*20%)</f>
      </c>
      <c r="O149" s="3"/>
      <c r="P149" s="3">
        <f>IF($H149="","",O149*20%)</f>
      </c>
      <c r="Q149" s="3">
        <v>1</v>
      </c>
      <c r="R149" s="3">
        <f>IF($H149="","",L149+N149+P149)</f>
      </c>
      <c r="S149" s="3">
        <f>IF($H149="","",I149-J149-K149-L149-M149-N149-O149-P149-Q149)</f>
      </c>
      <c r="T149" s="3">
        <f>IF($H149="","",(S149-AB149)/G149*100)</f>
      </c>
      <c r="U149" s="3">
        <f>IF($H149="","",J149-R149)</f>
      </c>
      <c r="AC149" s="3">
        <f>IF($H149="","",S149-AB149)</f>
      </c>
    </row>
    <row r="150" spans="1:29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>
        <f>IF($H150="","",H150/100*7)</f>
      </c>
      <c r="L150" s="3">
        <f>IF($H150="","",K150*20%)</f>
      </c>
      <c r="M150" s="3">
        <f>IF($H150="","",K150*2%)</f>
      </c>
      <c r="N150" s="3">
        <f>IF($H150="","",M150*20%)</f>
      </c>
      <c r="O150" s="3"/>
      <c r="P150" s="3">
        <f>IF($H150="","",O150*20%)</f>
      </c>
      <c r="Q150" s="3">
        <v>1</v>
      </c>
      <c r="R150" s="3">
        <f>IF($H150="","",L150+N150+P150)</f>
      </c>
      <c r="S150" s="3">
        <f>IF($H150="","",I150-J150-K150-L150-M150-N150-O150-P150-Q150)</f>
      </c>
      <c r="T150" s="3">
        <f>IF($H150="","",(S150-AB150)/G150*100)</f>
      </c>
      <c r="U150" s="3">
        <f>IF($H150="","",J150-R150)</f>
      </c>
      <c r="AC150" s="3">
        <f>IF($H150="","",S150-AB150)</f>
      </c>
    </row>
    <row r="151" spans="1:29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>
        <f>IF($H151="","",H151/100*7)</f>
      </c>
      <c r="L151" s="3">
        <f>IF($H151="","",K151*20%)</f>
      </c>
      <c r="M151" s="3">
        <f>IF($H151="","",K151*2%)</f>
      </c>
      <c r="N151" s="3">
        <f>IF($H151="","",M151*20%)</f>
      </c>
      <c r="O151" s="3"/>
      <c r="P151" s="3">
        <f>IF($H151="","",O151*20%)</f>
      </c>
      <c r="Q151" s="3">
        <v>1</v>
      </c>
      <c r="R151" s="3">
        <f>IF($H151="","",L151+N151+P151)</f>
      </c>
      <c r="S151" s="3">
        <f>IF($H151="","",I151-J151-K151-L151-M151-N151-O151-P151-Q151)</f>
      </c>
      <c r="T151" s="3">
        <f>IF($H151="","",(S151-AB151)/G151*100)</f>
      </c>
      <c r="U151" s="3">
        <f>IF($H151="","",J151-R151)</f>
      </c>
      <c r="AC151" s="3">
        <f>IF($H151="","",S151-AB151)</f>
      </c>
    </row>
    <row r="152" spans="1:29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>
        <f>IF($H152="","",H152/100*7)</f>
      </c>
      <c r="L152" s="3">
        <f>IF($H152="","",K152*20%)</f>
      </c>
      <c r="M152" s="3">
        <f>IF($H152="","",K152*2%)</f>
      </c>
      <c r="N152" s="3">
        <f>IF($H152="","",M152*20%)</f>
      </c>
      <c r="O152" s="3"/>
      <c r="P152" s="3">
        <f>IF($H152="","",O152*20%)</f>
      </c>
      <c r="Q152" s="3">
        <v>1</v>
      </c>
      <c r="R152" s="3">
        <f>IF($H152="","",L152+N152+P152)</f>
      </c>
      <c r="S152" s="3">
        <f>IF($H152="","",I152-J152-K152-L152-M152-N152-O152-P152-Q152)</f>
      </c>
      <c r="T152" s="3">
        <f>IF($H152="","",(S152-AB152)/G152*100)</f>
      </c>
      <c r="U152" s="3">
        <f>IF($H152="","",J152-R152)</f>
      </c>
      <c r="AC152" s="3">
        <f>IF($H152="","",S152-AB152)</f>
      </c>
    </row>
    <row r="153" spans="1:29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>
        <f>IF($H153="","",H153/100*7)</f>
      </c>
      <c r="L153" s="3">
        <f>IF($H153="","",K153*20%)</f>
      </c>
      <c r="M153" s="3">
        <f>IF($H153="","",K153*2%)</f>
      </c>
      <c r="N153" s="3">
        <f>IF($H153="","",M153*20%)</f>
      </c>
      <c r="O153" s="3"/>
      <c r="P153" s="3">
        <f>IF($H153="","",O153*20%)</f>
      </c>
      <c r="Q153" s="3">
        <v>1</v>
      </c>
      <c r="R153" s="3">
        <f>IF($H153="","",L153+N153+P153)</f>
      </c>
      <c r="S153" s="3">
        <f>IF($H153="","",I153-J153-K153-L153-M153-N153-O153-P153-Q153)</f>
      </c>
      <c r="T153" s="3">
        <f>IF($H153="","",(S153-AB153)/G153*100)</f>
      </c>
      <c r="U153" s="3">
        <f>IF($H153="","",J153-R153)</f>
      </c>
      <c r="AC153" s="3">
        <f>IF($H153="","",S153-AB153)</f>
      </c>
    </row>
    <row r="154" spans="1:29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>
        <f>IF($H154="","",H154/100*7)</f>
      </c>
      <c r="L154" s="3">
        <f>IF($H154="","",K154*20%)</f>
      </c>
      <c r="M154" s="3">
        <f>IF($H154="","",K154*2%)</f>
      </c>
      <c r="N154" s="3">
        <f>IF($H154="","",M154*20%)</f>
      </c>
      <c r="O154" s="3"/>
      <c r="P154" s="3">
        <f>IF($H154="","",O154*20%)</f>
      </c>
      <c r="Q154" s="3">
        <v>1</v>
      </c>
      <c r="R154" s="3">
        <f>IF($H154="","",L154+N154+P154)</f>
      </c>
      <c r="S154" s="3">
        <f>IF($H154="","",I154-J154-K154-L154-M154-N154-O154-P154-Q154)</f>
      </c>
      <c r="T154" s="3">
        <f>IF($H154="","",(S154-AB154)/G154*100)</f>
      </c>
      <c r="U154" s="3">
        <f>IF($H154="","",J154-R154)</f>
      </c>
      <c r="AC154" s="3">
        <f>IF($H154="","",S154-AB154)</f>
      </c>
    </row>
    <row r="155" spans="1:29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>
        <f>IF($H155="","",H155/100*7)</f>
      </c>
      <c r="L155" s="3">
        <f>IF($H155="","",K155*20%)</f>
      </c>
      <c r="M155" s="3">
        <f>IF($H155="","",K155*2%)</f>
      </c>
      <c r="N155" s="3">
        <f>IF($H155="","",M155*20%)</f>
      </c>
      <c r="O155" s="3"/>
      <c r="P155" s="3">
        <f>IF($H155="","",O155*20%)</f>
      </c>
      <c r="Q155" s="3">
        <v>1</v>
      </c>
      <c r="R155" s="3">
        <f>IF($H155="","",L155+N155+P155)</f>
      </c>
      <c r="S155" s="3">
        <f>IF($H155="","",I155-J155-K155-L155-M155-N155-O155-P155-Q155)</f>
      </c>
      <c r="T155" s="3">
        <f>IF($H155="","",(S155-AB155)/G155*100)</f>
      </c>
      <c r="U155" s="3">
        <f>IF($H155="","",J155-R155)</f>
      </c>
      <c r="AC155" s="3">
        <f>IF($H155="","",S155-AB155)</f>
      </c>
    </row>
    <row r="156" spans="1:29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>
        <f>IF($H156="","",H156/100*7)</f>
      </c>
      <c r="L156" s="3">
        <f>IF($H156="","",K156*20%)</f>
      </c>
      <c r="M156" s="3">
        <f>IF($H156="","",K156*2%)</f>
      </c>
      <c r="N156" s="3">
        <f>IF($H156="","",M156*20%)</f>
      </c>
      <c r="O156" s="3"/>
      <c r="P156" s="3">
        <f>IF($H156="","",O156*20%)</f>
      </c>
      <c r="Q156" s="3">
        <v>1</v>
      </c>
      <c r="R156" s="3">
        <f>IF($H156="","",L156+N156+P156)</f>
      </c>
      <c r="S156" s="3">
        <f>IF($H156="","",I156-J156-K156-L156-M156-N156-O156-P156-Q156)</f>
      </c>
      <c r="T156" s="3">
        <f>IF($H156="","",(S156-AB156)/G156*100)</f>
      </c>
      <c r="U156" s="3">
        <f>IF($H156="","",J156-R156)</f>
      </c>
      <c r="AC156" s="3">
        <f>IF($H156="","",S156-AB156)</f>
      </c>
    </row>
    <row r="157" spans="1:29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>
        <f>IF($H157="","",H157/100*7)</f>
      </c>
      <c r="L157" s="3">
        <f>IF($H157="","",K157*20%)</f>
      </c>
      <c r="M157" s="3">
        <f>IF($H157="","",K157*2%)</f>
      </c>
      <c r="N157" s="3">
        <f>IF($H157="","",M157*20%)</f>
      </c>
      <c r="O157" s="3"/>
      <c r="P157" s="3">
        <f>IF($H157="","",O157*20%)</f>
      </c>
      <c r="Q157" s="3">
        <v>1</v>
      </c>
      <c r="R157" s="3">
        <f>IF($H157="","",L157+N157+P157)</f>
      </c>
      <c r="S157" s="3">
        <f>IF($H157="","",I157-J157-K157-L157-M157-N157-O157-P157-Q157)</f>
      </c>
      <c r="T157" s="3">
        <f>IF($H157="","",(S157-AB157)/G157*100)</f>
      </c>
      <c r="U157" s="3">
        <f>IF($H157="","",J157-R157)</f>
      </c>
      <c r="AC157" s="3">
        <f>IF($H157="","",S157-AB157)</f>
      </c>
    </row>
    <row r="158" spans="1:29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>
        <f>IF($H158="","",H158/100*7)</f>
      </c>
      <c r="L158" s="3">
        <f>IF($H158="","",K158*20%)</f>
      </c>
      <c r="M158" s="3">
        <f>IF($H158="","",K158*2%)</f>
      </c>
      <c r="N158" s="3">
        <f>IF($H158="","",M158*20%)</f>
      </c>
      <c r="O158" s="3"/>
      <c r="P158" s="3">
        <f>IF($H158="","",O158*20%)</f>
      </c>
      <c r="Q158" s="3">
        <v>1</v>
      </c>
      <c r="R158" s="3">
        <f>IF($H158="","",L158+N158+P158)</f>
      </c>
      <c r="S158" s="3">
        <f>IF($H158="","",I158-J158-K158-L158-M158-N158-O158-P158-Q158)</f>
      </c>
      <c r="T158" s="3">
        <f>IF($H158="","",(S158-AB158)/G158*100)</f>
      </c>
      <c r="U158" s="3">
        <f>IF($H158="","",J158-R158)</f>
      </c>
      <c r="AC158" s="3">
        <f>IF($H158="","",S158-AB158)</f>
      </c>
    </row>
    <row r="159" spans="1:29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>
        <f>IF($H159="","",H159/100*7)</f>
      </c>
      <c r="L159" s="3">
        <f>IF($H159="","",K159*20%)</f>
      </c>
      <c r="M159" s="3">
        <f>IF($H159="","",K159*2%)</f>
      </c>
      <c r="N159" s="3">
        <f>IF($H159="","",M159*20%)</f>
      </c>
      <c r="O159" s="3"/>
      <c r="P159" s="3">
        <f>IF($H159="","",O159*20%)</f>
      </c>
      <c r="Q159" s="3">
        <v>1</v>
      </c>
      <c r="R159" s="3">
        <f>IF($H159="","",L159+N159+P159)</f>
      </c>
      <c r="S159" s="3">
        <f>IF($H159="","",I159-J159-K159-L159-M159-N159-O159-P159-Q159)</f>
      </c>
      <c r="T159" s="3">
        <f>IF($H159="","",(S159-AB159)/G159*100)</f>
      </c>
      <c r="U159" s="3">
        <f>IF($H159="","",J159-R159)</f>
      </c>
      <c r="AC159" s="3">
        <f>IF($H159="","",S159-AB159)</f>
      </c>
    </row>
    <row r="160" spans="1:29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>
        <f>IF($H160="","",H160/100*7)</f>
      </c>
      <c r="L160" s="3">
        <f>IF($H160="","",K160*20%)</f>
      </c>
      <c r="M160" s="3">
        <f>IF($H160="","",K160*2%)</f>
      </c>
      <c r="N160" s="3">
        <f>IF($H160="","",M160*20%)</f>
      </c>
      <c r="O160" s="3"/>
      <c r="P160" s="3">
        <f>IF($H160="","",O160*20%)</f>
      </c>
      <c r="Q160" s="3">
        <v>1</v>
      </c>
      <c r="R160" s="3">
        <f>IF($H160="","",L160+N160+P160)</f>
      </c>
      <c r="S160" s="3">
        <f>IF($H160="","",I160-J160-K160-L160-M160-N160-O160-P160-Q160)</f>
      </c>
      <c r="T160" s="3">
        <f>IF($H160="","",(S160-AB160)/G160*100)</f>
      </c>
      <c r="U160" s="3">
        <f>IF($H160="","",J160-R160)</f>
      </c>
      <c r="AC160" s="3">
        <f>IF($H160="","",S160-AB160)</f>
      </c>
    </row>
    <row r="161" spans="1:29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>
        <f>IF($H161="","",H161/100*7)</f>
      </c>
      <c r="L161" s="3">
        <f>IF($H161="","",K161*20%)</f>
      </c>
      <c r="M161" s="3">
        <f>IF($H161="","",K161*2%)</f>
      </c>
      <c r="N161" s="3">
        <f>IF($H161="","",M161*20%)</f>
      </c>
      <c r="O161" s="3"/>
      <c r="P161" s="3">
        <f>IF($H161="","",O161*20%)</f>
      </c>
      <c r="Q161" s="3">
        <v>1</v>
      </c>
      <c r="R161" s="3">
        <f>IF($H161="","",L161+N161+P161)</f>
      </c>
      <c r="S161" s="3">
        <f>IF($H161="","",I161-J161-K161-L161-M161-N161-O161-P161-Q161)</f>
      </c>
      <c r="T161" s="3">
        <f>IF($H161="","",(S161-AB161)/G161*100)</f>
      </c>
      <c r="U161" s="3">
        <f>IF($H161="","",J161-R161)</f>
      </c>
      <c r="AC161" s="3">
        <f>IF($H161="","",S161-AB161)</f>
      </c>
    </row>
    <row r="162" spans="1:29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>
        <f>IF($H162="","",H162/100*7)</f>
      </c>
      <c r="L162" s="3">
        <f>IF($H162="","",K162*20%)</f>
      </c>
      <c r="M162" s="3">
        <f>IF($H162="","",K162*2%)</f>
      </c>
      <c r="N162" s="3">
        <f>IF($H162="","",M162*20%)</f>
      </c>
      <c r="O162" s="3"/>
      <c r="P162" s="3">
        <f>IF($H162="","",O162*20%)</f>
      </c>
      <c r="Q162" s="3">
        <v>1</v>
      </c>
      <c r="R162" s="3">
        <f>IF($H162="","",L162+N162+P162)</f>
      </c>
      <c r="S162" s="3">
        <f>IF($H162="","",I162-J162-K162-L162-M162-N162-O162-P162-Q162)</f>
      </c>
      <c r="T162" s="3">
        <f>IF($H162="","",(S162-AB162)/G162*100)</f>
      </c>
      <c r="U162" s="3">
        <f>IF($H162="","",J162-R162)</f>
      </c>
      <c r="AC162" s="3">
        <f>IF($H162="","",S162-AB162)</f>
      </c>
    </row>
    <row r="163" spans="1:29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>
        <f>IF($H163="","",H163/100*7)</f>
      </c>
      <c r="L163" s="3">
        <f>IF($H163="","",K163*20%)</f>
      </c>
      <c r="M163" s="3">
        <f>IF($H163="","",K163*2%)</f>
      </c>
      <c r="N163" s="3">
        <f>IF($H163="","",M163*20%)</f>
      </c>
      <c r="O163" s="3"/>
      <c r="P163" s="3">
        <f>IF($H163="","",O163*20%)</f>
      </c>
      <c r="Q163" s="3">
        <v>1</v>
      </c>
      <c r="R163" s="3">
        <f>IF($H163="","",L163+N163+P163)</f>
      </c>
      <c r="S163" s="3">
        <f>IF($H163="","",I163-J163-K163-L163-M163-N163-O163-P163-Q163)</f>
      </c>
      <c r="T163" s="3">
        <f>IF($H163="","",(S163-AB163)/G163*100)</f>
      </c>
      <c r="U163" s="3">
        <f>IF($H163="","",J163-R163)</f>
      </c>
      <c r="AC163" s="3">
        <f>IF($H163="","",S163-AB163)</f>
      </c>
    </row>
    <row r="164" spans="1:29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>
        <f>IF($H164="","",H164/100*7)</f>
      </c>
      <c r="L164" s="3">
        <f>IF($H164="","",K164*20%)</f>
      </c>
      <c r="M164" s="3">
        <f>IF($H164="","",K164*2%)</f>
      </c>
      <c r="N164" s="3">
        <f>IF($H164="","",M164*20%)</f>
      </c>
      <c r="O164" s="3"/>
      <c r="P164" s="3">
        <f>IF($H164="","",O164*20%)</f>
      </c>
      <c r="Q164" s="3">
        <v>1</v>
      </c>
      <c r="R164" s="3">
        <f>IF($H164="","",L164+N164+P164)</f>
      </c>
      <c r="S164" s="3">
        <f>IF($H164="","",I164-J164-K164-L164-M164-N164-O164-P164-Q164)</f>
      </c>
      <c r="T164" s="3">
        <f>IF($H164="","",(S164-AB164)/G164*100)</f>
      </c>
      <c r="U164" s="3">
        <f>IF($H164="","",J164-R164)</f>
      </c>
      <c r="AC164" s="3">
        <f>IF($H164="","",S164-AB164)</f>
      </c>
    </row>
    <row r="165" spans="1:29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>
        <f>IF($H165="","",H165/100*7)</f>
      </c>
      <c r="L165" s="3">
        <f>IF($H165="","",K165*20%)</f>
      </c>
      <c r="M165" s="3">
        <f>IF($H165="","",K165*2%)</f>
      </c>
      <c r="N165" s="3">
        <f>IF($H165="","",M165*20%)</f>
      </c>
      <c r="O165" s="3"/>
      <c r="P165" s="3">
        <f>IF($H165="","",O165*20%)</f>
      </c>
      <c r="Q165" s="3">
        <v>1</v>
      </c>
      <c r="R165" s="3">
        <f>IF($H165="","",L165+N165+P165)</f>
      </c>
      <c r="S165" s="3">
        <f>IF($H165="","",I165-J165-K165-L165-M165-N165-O165-P165-Q165)</f>
      </c>
      <c r="T165" s="3">
        <f>IF($H165="","",(S165-AB165)/G165*100)</f>
      </c>
      <c r="U165" s="3">
        <f>IF($H165="","",J165-R165)</f>
      </c>
      <c r="AC165" s="3">
        <f>IF($H165="","",S165-AB165)</f>
      </c>
    </row>
    <row r="166" spans="1:29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>
        <f>IF($H166="","",H166/100*7)</f>
      </c>
      <c r="L166" s="3">
        <f>IF($H166="","",K166*20%)</f>
      </c>
      <c r="M166" s="3">
        <f>IF($H166="","",K166*2%)</f>
      </c>
      <c r="N166" s="3">
        <f>IF($H166="","",M166*20%)</f>
      </c>
      <c r="O166" s="3"/>
      <c r="P166" s="3">
        <f>IF($H166="","",O166*20%)</f>
      </c>
      <c r="Q166" s="3">
        <v>1</v>
      </c>
      <c r="R166" s="3">
        <f>IF($H166="","",L166+N166+P166)</f>
      </c>
      <c r="S166" s="3">
        <f>IF($H166="","",I166-J166-K166-L166-M166-N166-O166-P166-Q166)</f>
      </c>
      <c r="T166" s="3">
        <f>IF($H166="","",(S166-AB166)/G166*100)</f>
      </c>
      <c r="U166" s="3">
        <f>IF($H166="","",J166-R166)</f>
      </c>
      <c r="AC166" s="3">
        <f>IF($H166="","",S166-AB166)</f>
      </c>
    </row>
    <row r="167" spans="1:29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>
        <f>IF($H167="","",H167/100*7)</f>
      </c>
      <c r="L167" s="3">
        <f>IF($H167="","",K167*20%)</f>
      </c>
      <c r="M167" s="3">
        <f>IF($H167="","",K167*2%)</f>
      </c>
      <c r="N167" s="3">
        <f>IF($H167="","",M167*20%)</f>
      </c>
      <c r="O167" s="3"/>
      <c r="P167" s="3">
        <f>IF($H167="","",O167*20%)</f>
      </c>
      <c r="Q167" s="3">
        <v>1</v>
      </c>
      <c r="R167" s="3">
        <f>IF($H167="","",L167+N167+P167)</f>
      </c>
      <c r="S167" s="3">
        <f>IF($H167="","",I167-J167-K167-L167-M167-N167-O167-P167-Q167)</f>
      </c>
      <c r="T167" s="3">
        <f>IF($H167="","",(S167-AB167)/G167*100)</f>
      </c>
      <c r="U167" s="3">
        <f>IF($H167="","",J167-R167)</f>
      </c>
      <c r="AC167" s="3">
        <f>IF($H167="","",S167-AB167)</f>
      </c>
    </row>
    <row r="168" spans="1:29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>
        <f>IF($H168="","",H168/100*7)</f>
      </c>
      <c r="L168" s="3">
        <f>IF($H168="","",K168*20%)</f>
      </c>
      <c r="M168" s="3">
        <f>IF($H168="","",K168*2%)</f>
      </c>
      <c r="N168" s="3">
        <f>IF($H168="","",M168*20%)</f>
      </c>
      <c r="O168" s="3"/>
      <c r="P168" s="3">
        <f>IF($H168="","",O168*20%)</f>
      </c>
      <c r="Q168" s="3">
        <v>1</v>
      </c>
      <c r="R168" s="3">
        <f>IF($H168="","",L168+N168+P168)</f>
      </c>
      <c r="S168" s="3">
        <f>IF($H168="","",I168-J168-K168-L168-M168-N168-O168-P168-Q168)</f>
      </c>
      <c r="T168" s="3">
        <f>IF($H168="","",(S168-AB168)/G168*100)</f>
      </c>
      <c r="U168" s="3">
        <f>IF($H168="","",J168-R168)</f>
      </c>
      <c r="AC168" s="3">
        <f>IF($H168="","",S168-AB168)</f>
      </c>
    </row>
    <row r="169" spans="1:29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>
        <f>IF($H169="","",H169/100*7)</f>
      </c>
      <c r="L169" s="3">
        <f>IF($H169="","",K169*20%)</f>
      </c>
      <c r="M169" s="3">
        <f>IF($H169="","",K169*2%)</f>
      </c>
      <c r="N169" s="3">
        <f>IF($H169="","",M169*20%)</f>
      </c>
      <c r="O169" s="3"/>
      <c r="P169" s="3">
        <f>IF($H169="","",O169*20%)</f>
      </c>
      <c r="Q169" s="3">
        <v>1</v>
      </c>
      <c r="R169" s="3">
        <f>IF($H169="","",L169+N169+P169)</f>
      </c>
      <c r="S169" s="3">
        <f>IF($H169="","",I169-J169-K169-L169-M169-N169-O169-P169-Q169)</f>
      </c>
      <c r="T169" s="3">
        <f>IF($H169="","",(S169-AB169)/G169*100)</f>
      </c>
      <c r="U169" s="3">
        <f>IF($H169="","",J169-R169)</f>
      </c>
      <c r="AC169" s="3">
        <f>IF($H169="","",S169-AB169)</f>
      </c>
    </row>
    <row r="170" spans="1:29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>
        <f>IF($H170="","",H170/100*7)</f>
      </c>
      <c r="L170" s="3">
        <f>IF($H170="","",K170*20%)</f>
      </c>
      <c r="M170" s="3">
        <f>IF($H170="","",K170*2%)</f>
      </c>
      <c r="N170" s="3">
        <f>IF($H170="","",M170*20%)</f>
      </c>
      <c r="O170" s="3"/>
      <c r="P170" s="3">
        <f>IF($H170="","",O170*20%)</f>
      </c>
      <c r="Q170" s="3">
        <v>1</v>
      </c>
      <c r="R170" s="3">
        <f>IF($H170="","",L170+N170+P170)</f>
      </c>
      <c r="S170" s="3">
        <f>IF($H170="","",I170-J170-K170-L170-M170-N170-O170-P170-Q170)</f>
      </c>
      <c r="T170" s="3">
        <f>IF($H170="","",(S170-AB170)/G170*100)</f>
      </c>
      <c r="U170" s="3">
        <f>IF($H170="","",J170-R170)</f>
      </c>
      <c r="AC170" s="3">
        <f>IF($H170="","",S170-AB170)</f>
      </c>
    </row>
    <row r="171" spans="1:29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>
        <f>IF($H171="","",H171/100*7)</f>
      </c>
      <c r="L171" s="3">
        <f>IF($H171="","",K171*20%)</f>
      </c>
      <c r="M171" s="3">
        <f>IF($H171="","",K171*2%)</f>
      </c>
      <c r="N171" s="3">
        <f>IF($H171="","",M171*20%)</f>
      </c>
      <c r="O171" s="3"/>
      <c r="P171" s="3">
        <f>IF($H171="","",O171*20%)</f>
      </c>
      <c r="Q171" s="3">
        <v>1</v>
      </c>
      <c r="R171" s="3">
        <f>IF($H171="","",L171+N171+P171)</f>
      </c>
      <c r="S171" s="3">
        <f>IF($H171="","",I171-J171-K171-L171-M171-N171-O171-P171-Q171)</f>
      </c>
      <c r="T171" s="3">
        <f>IF($H171="","",(S171-AB171)/G171*100)</f>
      </c>
      <c r="U171" s="3">
        <f>IF($H171="","",J171-R171)</f>
      </c>
      <c r="AC171" s="3">
        <f>IF($H171="","",S171-AB171)</f>
      </c>
    </row>
    <row r="172" spans="1:29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>
        <f>IF($H172="","",H172/100*7)</f>
      </c>
      <c r="L172" s="3">
        <f>IF($H172="","",K172*20%)</f>
      </c>
      <c r="M172" s="3">
        <f>IF($H172="","",K172*2%)</f>
      </c>
      <c r="N172" s="3">
        <f>IF($H172="","",M172*20%)</f>
      </c>
      <c r="O172" s="3"/>
      <c r="P172" s="3">
        <f>IF($H172="","",O172*20%)</f>
      </c>
      <c r="Q172" s="3">
        <v>1</v>
      </c>
      <c r="R172" s="3">
        <f>IF($H172="","",L172+N172+P172)</f>
      </c>
      <c r="S172" s="3">
        <f>IF($H172="","",I172-J172-K172-L172-M172-N172-O172-P172-Q172)</f>
      </c>
      <c r="T172" s="3">
        <f>IF($H172="","",(S172-AB172)/G172*100)</f>
      </c>
      <c r="U172" s="3">
        <f>IF($H172="","",J172-R172)</f>
      </c>
      <c r="AC172" s="3">
        <f>IF($H172="","",S172-AB172)</f>
      </c>
    </row>
    <row r="173" spans="1:29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>
        <f>IF($H173="","",H173/100*7)</f>
      </c>
      <c r="L173" s="3">
        <f>IF($H173="","",K173*20%)</f>
      </c>
      <c r="M173" s="3">
        <f>IF($H173="","",K173*2%)</f>
      </c>
      <c r="N173" s="3">
        <f>IF($H173="","",M173*20%)</f>
      </c>
      <c r="O173" s="3"/>
      <c r="P173" s="3">
        <f>IF($H173="","",O173*20%)</f>
      </c>
      <c r="Q173" s="3">
        <v>1</v>
      </c>
      <c r="R173" s="3">
        <f>IF($H173="","",L173+N173+P173)</f>
      </c>
      <c r="S173" s="3">
        <f>IF($H173="","",I173-J173-K173-L173-M173-N173-O173-P173-Q173)</f>
      </c>
      <c r="T173" s="3">
        <f>IF($H173="","",(S173-AB173)/G173*100)</f>
      </c>
      <c r="U173" s="3">
        <f>IF($H173="","",J173-R173)</f>
      </c>
      <c r="AC173" s="3">
        <f>IF($H173="","",S173-AB173)</f>
      </c>
    </row>
    <row r="174" spans="1:29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>
        <f>IF($H174="","",H174/100*7)</f>
      </c>
      <c r="L174" s="3">
        <f>IF($H174="","",K174*20%)</f>
      </c>
      <c r="M174" s="3">
        <f>IF($H174="","",K174*2%)</f>
      </c>
      <c r="N174" s="3">
        <f>IF($H174="","",M174*20%)</f>
      </c>
      <c r="O174" s="3"/>
      <c r="P174" s="3">
        <f>IF($H174="","",O174*20%)</f>
      </c>
      <c r="Q174" s="3">
        <v>1</v>
      </c>
      <c r="R174" s="3">
        <f>IF($H174="","",L174+N174+P174)</f>
      </c>
      <c r="S174" s="3">
        <f>IF($H174="","",I174-J174-K174-L174-M174-N174-O174-P174-Q174)</f>
      </c>
      <c r="T174" s="3">
        <f>IF($H174="","",(S174-AB174)/G174*100)</f>
      </c>
      <c r="U174" s="3">
        <f>IF($H174="","",J174-R174)</f>
      </c>
      <c r="AC174" s="3">
        <f>IF($H174="","",S174-AB174)</f>
      </c>
    </row>
    <row r="175" spans="1:29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>
        <f>IF($H175="","",H175/100*7)</f>
      </c>
      <c r="L175" s="3">
        <f>IF($H175="","",K175*20%)</f>
      </c>
      <c r="M175" s="3">
        <f>IF($H175="","",K175*2%)</f>
      </c>
      <c r="N175" s="3">
        <f>IF($H175="","",M175*20%)</f>
      </c>
      <c r="O175" s="3"/>
      <c r="P175" s="3">
        <f>IF($H175="","",O175*20%)</f>
      </c>
      <c r="Q175" s="3">
        <v>1</v>
      </c>
      <c r="R175" s="3">
        <f>IF($H175="","",L175+N175+P175)</f>
      </c>
      <c r="S175" s="3">
        <f>IF($H175="","",I175-J175-K175-L175-M175-N175-O175-P175-Q175)</f>
      </c>
      <c r="T175" s="3">
        <f>IF($H175="","",(S175-AB175)/G175*100)</f>
      </c>
      <c r="U175" s="3">
        <f>IF($H175="","",J175-R175)</f>
      </c>
      <c r="AC175" s="3">
        <f>IF($H175="","",S175-AB175)</f>
      </c>
    </row>
    <row r="176" spans="1:29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>
        <f>IF($H176="","",H176/100*7)</f>
      </c>
      <c r="L176" s="3">
        <f>IF($H176="","",K176*20%)</f>
      </c>
      <c r="M176" s="3">
        <f>IF($H176="","",K176*2%)</f>
      </c>
      <c r="N176" s="3">
        <f>IF($H176="","",M176*20%)</f>
      </c>
      <c r="O176" s="3"/>
      <c r="P176" s="3">
        <f>IF($H176="","",O176*20%)</f>
      </c>
      <c r="Q176" s="3">
        <v>1</v>
      </c>
      <c r="R176" s="3">
        <f>IF($H176="","",L176+N176+P176)</f>
      </c>
      <c r="S176" s="3">
        <f>IF($H176="","",I176-J176-K176-L176-M176-N176-O176-P176-Q176)</f>
      </c>
      <c r="T176" s="3">
        <f>IF($H176="","",(S176-AB176)/G176*100)</f>
      </c>
      <c r="U176" s="3">
        <f>IF($H176="","",J176-R176)</f>
      </c>
      <c r="AC176" s="3">
        <f>IF($H176="","",S176-AB176)</f>
      </c>
    </row>
    <row r="177" spans="1:29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>
        <f>IF($H177="","",H177/100*7)</f>
      </c>
      <c r="L177" s="3">
        <f>IF($H177="","",K177*20%)</f>
      </c>
      <c r="M177" s="3">
        <f>IF($H177="","",K177*2%)</f>
      </c>
      <c r="N177" s="3">
        <f>IF($H177="","",M177*20%)</f>
      </c>
      <c r="O177" s="3"/>
      <c r="P177" s="3">
        <f>IF($H177="","",O177*20%)</f>
      </c>
      <c r="Q177" s="3">
        <v>1</v>
      </c>
      <c r="R177" s="3">
        <f>IF($H177="","",L177+N177+P177)</f>
      </c>
      <c r="S177" s="3">
        <f>IF($H177="","",I177-J177-K177-L177-M177-N177-O177-P177-Q177)</f>
      </c>
      <c r="T177" s="3">
        <f>IF($H177="","",(S177-AB177)/G177*100)</f>
      </c>
      <c r="U177" s="3">
        <f>IF($H177="","",J177-R177)</f>
      </c>
      <c r="AC177" s="3">
        <f>IF($H177="","",S177-AB177)</f>
      </c>
    </row>
    <row r="178" spans="1:29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>
        <f>IF($H178="","",H178/100*7)</f>
      </c>
      <c r="L178" s="3">
        <f>IF($H178="","",K178*20%)</f>
      </c>
      <c r="M178" s="3">
        <f>IF($H178="","",K178*2%)</f>
      </c>
      <c r="N178" s="3">
        <f>IF($H178="","",M178*20%)</f>
      </c>
      <c r="O178" s="3"/>
      <c r="P178" s="3">
        <f>IF($H178="","",O178*20%)</f>
      </c>
      <c r="Q178" s="3">
        <v>1</v>
      </c>
      <c r="R178" s="3">
        <f>IF($H178="","",L178+N178+P178)</f>
      </c>
      <c r="S178" s="3">
        <f>IF($H178="","",I178-J178-K178-L178-M178-N178-O178-P178-Q178)</f>
      </c>
      <c r="T178" s="3">
        <f>IF($H178="","",(S178-AB178)/G178*100)</f>
      </c>
      <c r="U178" s="3">
        <f>IF($H178="","",J178-R178)</f>
      </c>
      <c r="AC178" s="3">
        <f>IF($H178="","",S178-AB178)</f>
      </c>
    </row>
    <row r="179" spans="1:29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>
        <f>IF($H179="","",H179/100*7)</f>
      </c>
      <c r="L179" s="3">
        <f>IF($H179="","",K179*20%)</f>
      </c>
      <c r="M179" s="3">
        <f>IF($H179="","",K179*2%)</f>
      </c>
      <c r="N179" s="3">
        <f>IF($H179="","",M179*20%)</f>
      </c>
      <c r="O179" s="3"/>
      <c r="P179" s="3">
        <f>IF($H179="","",O179*20%)</f>
      </c>
      <c r="Q179" s="3">
        <v>1</v>
      </c>
      <c r="R179" s="3">
        <f>IF($H179="","",L179+N179+P179)</f>
      </c>
      <c r="S179" s="3">
        <f>IF($H179="","",I179-J179-K179-L179-M179-N179-O179-P179-Q179)</f>
      </c>
      <c r="T179" s="3">
        <f>IF($H179="","",(S179-AB179)/G179*100)</f>
      </c>
      <c r="U179" s="3">
        <f>IF($H179="","",J179-R179)</f>
      </c>
      <c r="AC179" s="3">
        <f>IF($H179="","",S179-AB179)</f>
      </c>
    </row>
    <row r="180" spans="1:29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>
        <f>IF($H180="","",H180/100*7)</f>
      </c>
      <c r="L180" s="3">
        <f>IF($H180="","",K180*20%)</f>
      </c>
      <c r="M180" s="3">
        <f>IF($H180="","",K180*2%)</f>
      </c>
      <c r="N180" s="3">
        <f>IF($H180="","",M180*20%)</f>
      </c>
      <c r="O180" s="3"/>
      <c r="P180" s="3">
        <f>IF($H180="","",O180*20%)</f>
      </c>
      <c r="Q180" s="3">
        <v>1</v>
      </c>
      <c r="R180" s="3">
        <f>IF($H180="","",L180+N180+P180)</f>
      </c>
      <c r="S180" s="3">
        <f>IF($H180="","",I180-J180-K180-L180-M180-N180-O180-P180-Q180)</f>
      </c>
      <c r="T180" s="3">
        <f>IF($H180="","",(S180-AB180)/G180*100)</f>
      </c>
      <c r="U180" s="3">
        <f>IF($H180="","",J180-R180)</f>
      </c>
      <c r="AC180" s="3">
        <f>IF($H180="","",S180-AB180)</f>
      </c>
    </row>
    <row r="181" spans="1:29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>
        <f>IF($H181="","",H181/100*7)</f>
      </c>
      <c r="L181" s="3">
        <f>IF($H181="","",K181*20%)</f>
      </c>
      <c r="M181" s="3">
        <f>IF($H181="","",K181*2%)</f>
      </c>
      <c r="N181" s="3">
        <f>IF($H181="","",M181*20%)</f>
      </c>
      <c r="O181" s="3"/>
      <c r="P181" s="3">
        <f>IF($H181="","",O181*20%)</f>
      </c>
      <c r="Q181" s="3">
        <v>1</v>
      </c>
      <c r="R181" s="3">
        <f>IF($H181="","",L181+N181+P181)</f>
      </c>
      <c r="S181" s="3">
        <f>IF($H181="","",I181-J181-K181-L181-M181-N181-O181-P181-Q181)</f>
      </c>
      <c r="T181" s="3">
        <f>IF($H181="","",(S181-AB181)/G181*100)</f>
      </c>
      <c r="U181" s="3">
        <f>IF($H181="","",J181-R181)</f>
      </c>
      <c r="AC181" s="3">
        <f>IF($H181="","",S181-AB181)</f>
      </c>
    </row>
    <row r="182" spans="1:29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>
        <f>IF($H182="","",H182/100*7)</f>
      </c>
      <c r="L182" s="3">
        <f>IF($H182="","",K182*20%)</f>
      </c>
      <c r="M182" s="3">
        <f>IF($H182="","",K182*2%)</f>
      </c>
      <c r="N182" s="3">
        <f>IF($H182="","",M182*20%)</f>
      </c>
      <c r="O182" s="3"/>
      <c r="P182" s="3">
        <f>IF($H182="","",O182*20%)</f>
      </c>
      <c r="Q182" s="3">
        <v>1</v>
      </c>
      <c r="R182" s="3">
        <f>IF($H182="","",L182+N182+P182)</f>
      </c>
      <c r="S182" s="3">
        <f>IF($H182="","",I182-J182-K182-L182-M182-N182-O182-P182-Q182)</f>
      </c>
      <c r="T182" s="3">
        <f>IF($H182="","",(S182-AB182)/G182*100)</f>
      </c>
      <c r="U182" s="3">
        <f>IF($H182="","",J182-R182)</f>
      </c>
      <c r="AC182" s="3">
        <f>IF($H182="","",S182-AB182)</f>
      </c>
    </row>
    <row r="183" spans="1:29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>
        <f>IF($H183="","",H183/100*7)</f>
      </c>
      <c r="L183" s="3">
        <f>IF($H183="","",K183*20%)</f>
      </c>
      <c r="M183" s="3">
        <f>IF($H183="","",K183*2%)</f>
      </c>
      <c r="N183" s="3">
        <f>IF($H183="","",M183*20%)</f>
      </c>
      <c r="O183" s="3"/>
      <c r="P183" s="3">
        <f>IF($H183="","",O183*20%)</f>
      </c>
      <c r="Q183" s="3">
        <v>1</v>
      </c>
      <c r="R183" s="3">
        <f>IF($H183="","",L183+N183+P183)</f>
      </c>
      <c r="S183" s="3">
        <f>IF($H183="","",I183-J183-K183-L183-M183-N183-O183-P183-Q183)</f>
      </c>
      <c r="T183" s="3">
        <f>IF($H183="","",(S183-AB183)/G183*100)</f>
      </c>
      <c r="U183" s="3">
        <f>IF($H183="","",J183-R183)</f>
      </c>
      <c r="AC183" s="3">
        <f>IF($H183="","",S183-AB183)</f>
      </c>
    </row>
    <row r="184" spans="1:29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>
        <f>IF($H184="","",H184/100*7)</f>
      </c>
      <c r="L184" s="3">
        <f>IF($H184="","",K184*20%)</f>
      </c>
      <c r="M184" s="3">
        <f>IF($H184="","",K184*2%)</f>
      </c>
      <c r="N184" s="3">
        <f>IF($H184="","",M184*20%)</f>
      </c>
      <c r="O184" s="3"/>
      <c r="P184" s="3">
        <f>IF($H184="","",O184*20%)</f>
      </c>
      <c r="Q184" s="3">
        <v>1</v>
      </c>
      <c r="R184" s="3">
        <f>IF($H184="","",L184+N184+P184)</f>
      </c>
      <c r="S184" s="3">
        <f>IF($H184="","",I184-J184-K184-L184-M184-N184-O184-P184-Q184)</f>
      </c>
      <c r="T184" s="3">
        <f>IF($H184="","",(S184-AB184)/G184*100)</f>
      </c>
      <c r="U184" s="3">
        <f>IF($H184="","",J184-R184)</f>
      </c>
      <c r="AC184" s="3">
        <f>IF($H184="","",S184-AB184)</f>
      </c>
    </row>
    <row r="185" spans="1:29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>
        <f>IF($H185="","",H185/100*7)</f>
      </c>
      <c r="L185" s="3">
        <f>IF($H185="","",K185*20%)</f>
      </c>
      <c r="M185" s="3">
        <f>IF($H185="","",K185*2%)</f>
      </c>
      <c r="N185" s="3">
        <f>IF($H185="","",M185*20%)</f>
      </c>
      <c r="O185" s="3"/>
      <c r="P185" s="3">
        <f>IF($H185="","",O185*20%)</f>
      </c>
      <c r="Q185" s="3">
        <v>1</v>
      </c>
      <c r="R185" s="3">
        <f>IF($H185="","",L185+N185+P185)</f>
      </c>
      <c r="S185" s="3">
        <f>IF($H185="","",I185-J185-K185-L185-M185-N185-O185-P185-Q185)</f>
      </c>
      <c r="T185" s="3">
        <f>IF($H185="","",(S185-AB185)/G185*100)</f>
      </c>
      <c r="U185" s="3">
        <f>IF($H185="","",J185-R185)</f>
      </c>
      <c r="AC185" s="3">
        <f>IF($H185="","",S185-AB185)</f>
      </c>
    </row>
    <row r="186" spans="1:29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>
        <f>IF($H186="","",H186/100*7)</f>
      </c>
      <c r="L186" s="3">
        <f>IF($H186="","",K186*20%)</f>
      </c>
      <c r="M186" s="3">
        <f>IF($H186="","",K186*2%)</f>
      </c>
      <c r="N186" s="3">
        <f>IF($H186="","",M186*20%)</f>
      </c>
      <c r="O186" s="3"/>
      <c r="P186" s="3">
        <f>IF($H186="","",O186*20%)</f>
      </c>
      <c r="Q186" s="3">
        <v>1</v>
      </c>
      <c r="R186" s="3">
        <f>IF($H186="","",L186+N186+P186)</f>
      </c>
      <c r="S186" s="3">
        <f>IF($H186="","",I186-J186-K186-L186-M186-N186-O186-P186-Q186)</f>
      </c>
      <c r="T186" s="3">
        <f>IF($H186="","",(S186-AB186)/G186*100)</f>
      </c>
      <c r="U186" s="3">
        <f>IF($H186="","",J186-R186)</f>
      </c>
      <c r="AC186" s="3">
        <f>IF($H186="","",S186-AB186)</f>
      </c>
    </row>
    <row r="187" spans="1:29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>
        <f>IF($H187="","",H187/100*7)</f>
      </c>
      <c r="L187" s="3">
        <f>IF($H187="","",K187*20%)</f>
      </c>
      <c r="M187" s="3">
        <f>IF($H187="","",K187*2%)</f>
      </c>
      <c r="N187" s="3">
        <f>IF($H187="","",M187*20%)</f>
      </c>
      <c r="O187" s="3"/>
      <c r="P187" s="3">
        <f>IF($H187="","",O187*20%)</f>
      </c>
      <c r="Q187" s="3">
        <v>1</v>
      </c>
      <c r="R187" s="3">
        <f>IF($H187="","",L187+N187+P187)</f>
      </c>
      <c r="S187" s="3">
        <f>IF($H187="","",I187-J187-K187-L187-M187-N187-O187-P187-Q187)</f>
      </c>
      <c r="T187" s="3">
        <f>IF($H187="","",(S187-AB187)/G187*100)</f>
      </c>
      <c r="U187" s="3">
        <f>IF($H187="","",J187-R187)</f>
      </c>
      <c r="AC187" s="3">
        <f>IF($H187="","",S187-AB187)</f>
      </c>
    </row>
    <row r="188" spans="1:29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>
        <f>IF($H188="","",H188/100*7)</f>
      </c>
      <c r="L188" s="3">
        <f>IF($H188="","",K188*20%)</f>
      </c>
      <c r="M188" s="3">
        <f>IF($H188="","",K188*2%)</f>
      </c>
      <c r="N188" s="3">
        <f>IF($H188="","",M188*20%)</f>
      </c>
      <c r="O188" s="3"/>
      <c r="P188" s="3">
        <f>IF($H188="","",O188*20%)</f>
      </c>
      <c r="Q188" s="3">
        <v>1</v>
      </c>
      <c r="R188" s="3">
        <f>IF($H188="","",L188+N188+P188)</f>
      </c>
      <c r="S188" s="3">
        <f>IF($H188="","",I188-J188-K188-L188-M188-N188-O188-P188-Q188)</f>
      </c>
      <c r="T188" s="3">
        <f>IF($H188="","",(S188-AB188)/G188*100)</f>
      </c>
      <c r="U188" s="3">
        <f>IF($H188="","",J188-R188)</f>
      </c>
      <c r="AC188" s="3">
        <f>IF($H188="","",S188-AB188)</f>
      </c>
    </row>
    <row r="189" spans="1:29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>
        <f>IF($H189="","",H189/100*7)</f>
      </c>
      <c r="L189" s="3">
        <f>IF($H189="","",K189*20%)</f>
      </c>
      <c r="M189" s="3">
        <f>IF($H189="","",K189*2%)</f>
      </c>
      <c r="N189" s="3">
        <f>IF($H189="","",M189*20%)</f>
      </c>
      <c r="O189" s="3"/>
      <c r="P189" s="3">
        <f>IF($H189="","",O189*20%)</f>
      </c>
      <c r="Q189" s="3">
        <v>1</v>
      </c>
      <c r="R189" s="3">
        <f>IF($H189="","",L189+N189+P189)</f>
      </c>
      <c r="S189" s="3">
        <f>IF($H189="","",I189-J189-K189-L189-M189-N189-O189-P189-Q189)</f>
      </c>
      <c r="T189" s="3">
        <f>IF($H189="","",(S189-AB189)/G189*100)</f>
      </c>
      <c r="U189" s="3">
        <f>IF($H189="","",J189-R189)</f>
      </c>
      <c r="AC189" s="3">
        <f>IF($H189="","",S189-AB189)</f>
      </c>
    </row>
    <row r="190" spans="1:29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>
        <f>IF($H190="","",H190/100*7)</f>
      </c>
      <c r="L190" s="3">
        <f>IF($H190="","",K190*20%)</f>
      </c>
      <c r="M190" s="3">
        <f>IF($H190="","",K190*2%)</f>
      </c>
      <c r="N190" s="3">
        <f>IF($H190="","",M190*20%)</f>
      </c>
      <c r="O190" s="3"/>
      <c r="P190" s="3">
        <f>IF($H190="","",O190*20%)</f>
      </c>
      <c r="Q190" s="3">
        <v>1</v>
      </c>
      <c r="R190" s="3">
        <f>IF($H190="","",L190+N190+P190)</f>
      </c>
      <c r="S190" s="3">
        <f>IF($H190="","",I190-J190-K190-L190-M190-N190-O190-P190-Q190)</f>
      </c>
      <c r="T190" s="3">
        <f>IF($H190="","",(S190-AB190)/G190*100)</f>
      </c>
      <c r="U190" s="3">
        <f>IF($H190="","",J190-R190)</f>
      </c>
      <c r="AC190" s="3">
        <f>IF($H190="","",S190-AB190)</f>
      </c>
    </row>
    <row r="191" spans="1:29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>
        <f>IF($H191="","",H191/100*7)</f>
      </c>
      <c r="L191" s="3">
        <f>IF($H191="","",K191*20%)</f>
      </c>
      <c r="M191" s="3">
        <f>IF($H191="","",K191*2%)</f>
      </c>
      <c r="N191" s="3">
        <f>IF($H191="","",M191*20%)</f>
      </c>
      <c r="O191" s="3"/>
      <c r="P191" s="3">
        <f>IF($H191="","",O191*20%)</f>
      </c>
      <c r="Q191" s="3">
        <v>1</v>
      </c>
      <c r="R191" s="3">
        <f>IF($H191="","",L191+N191+P191)</f>
      </c>
      <c r="S191" s="3">
        <f>IF($H191="","",I191-J191-K191-L191-M191-N191-O191-P191-Q191)</f>
      </c>
      <c r="T191" s="3">
        <f>IF($H191="","",(S191-AB191)/G191*100)</f>
      </c>
      <c r="U191" s="3">
        <f>IF($H191="","",J191-R191)</f>
      </c>
      <c r="AC191" s="3">
        <f>IF($H191="","",S191-AB191)</f>
      </c>
    </row>
    <row r="192" spans="1:29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>
        <f>IF($H192="","",H192/100*7)</f>
      </c>
      <c r="L192" s="3">
        <f>IF($H192="","",K192*20%)</f>
      </c>
      <c r="M192" s="3">
        <f>IF($H192="","",K192*2%)</f>
      </c>
      <c r="N192" s="3">
        <f>IF($H192="","",M192*20%)</f>
      </c>
      <c r="O192" s="3"/>
      <c r="P192" s="3">
        <f>IF($H192="","",O192*20%)</f>
      </c>
      <c r="Q192" s="3">
        <v>1</v>
      </c>
      <c r="R192" s="3">
        <f>IF($H192="","",L192+N192+P192)</f>
      </c>
      <c r="S192" s="3">
        <f>IF($H192="","",I192-J192-K192-L192-M192-N192-O192-P192-Q192)</f>
      </c>
      <c r="T192" s="3">
        <f>IF($H192="","",(S192-AB192)/G192*100)</f>
      </c>
      <c r="U192" s="3">
        <f>IF($H192="","",J192-R192)</f>
      </c>
      <c r="AC192" s="3">
        <f>IF($H192="","",S192-AB192)</f>
      </c>
    </row>
    <row r="193" spans="1:29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>
        <f>IF($H193="","",H193/100*7)</f>
      </c>
      <c r="L193" s="3">
        <f>IF($H193="","",K193*20%)</f>
      </c>
      <c r="M193" s="3">
        <f>IF($H193="","",K193*2%)</f>
      </c>
      <c r="N193" s="3">
        <f>IF($H193="","",M193*20%)</f>
      </c>
      <c r="O193" s="3"/>
      <c r="P193" s="3">
        <f>IF($H193="","",O193*20%)</f>
      </c>
      <c r="Q193" s="3">
        <v>1</v>
      </c>
      <c r="R193" s="3">
        <f>IF($H193="","",L193+N193+P193)</f>
      </c>
      <c r="S193" s="3">
        <f>IF($H193="","",I193-J193-K193-L193-M193-N193-O193-P193-Q193)</f>
      </c>
      <c r="T193" s="3">
        <f>IF($H193="","",(S193-AB193)/G193*100)</f>
      </c>
      <c r="U193" s="3">
        <f>IF($H193="","",J193-R193)</f>
      </c>
      <c r="AC193" s="3">
        <f>IF($H193="","",S193-AB193)</f>
      </c>
    </row>
    <row r="194" spans="1:29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>
        <f>IF($H194="","",H194/100*7)</f>
      </c>
      <c r="L194" s="3">
        <f>IF($H194="","",K194*20%)</f>
      </c>
      <c r="M194" s="3">
        <f>IF($H194="","",K194*2%)</f>
      </c>
      <c r="N194" s="3">
        <f>IF($H194="","",M194*20%)</f>
      </c>
      <c r="O194" s="3"/>
      <c r="P194" s="3">
        <f>IF($H194="","",O194*20%)</f>
      </c>
      <c r="Q194" s="3">
        <v>1</v>
      </c>
      <c r="R194" s="3">
        <f>IF($H194="","",L194+N194+P194)</f>
      </c>
      <c r="S194" s="3">
        <f>IF($H194="","",I194-J194-K194-L194-M194-N194-O194-P194-Q194)</f>
      </c>
      <c r="T194" s="3">
        <f>IF($H194="","",(S194-AB194)/G194*100)</f>
      </c>
      <c r="U194" s="3">
        <f>IF($H194="","",J194-R194)</f>
      </c>
      <c r="AC194" s="3">
        <f>IF($H194="","",S194-AB194)</f>
      </c>
    </row>
    <row r="195" spans="1:29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>
        <f>IF($H195="","",H195/100*7)</f>
      </c>
      <c r="L195" s="3">
        <f>IF($H195="","",K195*20%)</f>
      </c>
      <c r="M195" s="3">
        <f>IF($H195="","",K195*2%)</f>
      </c>
      <c r="N195" s="3">
        <f>IF($H195="","",M195*20%)</f>
      </c>
      <c r="O195" s="3"/>
      <c r="P195" s="3">
        <f>IF($H195="","",O195*20%)</f>
      </c>
      <c r="Q195" s="3">
        <v>1</v>
      </c>
      <c r="R195" s="3">
        <f>IF($H195="","",L195+N195+P195)</f>
      </c>
      <c r="S195" s="3">
        <f>IF($H195="","",I195-J195-K195-L195-M195-N195-O195-P195-Q195)</f>
      </c>
      <c r="T195" s="3">
        <f>IF($H195="","",(S195-AB195)/G195*100)</f>
      </c>
      <c r="U195" s="3">
        <f>IF($H195="","",J195-R195)</f>
      </c>
      <c r="AC195" s="3">
        <f>IF($H195="","",S195-AB195)</f>
      </c>
    </row>
    <row r="196" spans="1:29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>
        <f>IF($H196="","",H196/100*7)</f>
      </c>
      <c r="L196" s="3">
        <f>IF($H196="","",K196*20%)</f>
      </c>
      <c r="M196" s="3">
        <f>IF($H196="","",K196*2%)</f>
      </c>
      <c r="N196" s="3">
        <f>IF($H196="","",M196*20%)</f>
      </c>
      <c r="O196" s="3"/>
      <c r="P196" s="3">
        <f>IF($H196="","",O196*20%)</f>
      </c>
      <c r="Q196" s="3">
        <v>1</v>
      </c>
      <c r="R196" s="3">
        <f>IF($H196="","",L196+N196+P196)</f>
      </c>
      <c r="S196" s="3">
        <f>IF($H196="","",I196-J196-K196-L196-M196-N196-O196-P196-Q196)</f>
      </c>
      <c r="T196" s="3">
        <f>IF($H196="","",(S196-AB196)/G196*100)</f>
      </c>
      <c r="U196" s="3">
        <f>IF($H196="","",J196-R196)</f>
      </c>
      <c r="AC196" s="3">
        <f>IF($H196="","",S196-AB196)</f>
      </c>
    </row>
    <row r="197" spans="1:29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>
        <f>IF($H197="","",H197/100*7)</f>
      </c>
      <c r="L197" s="3">
        <f>IF($H197="","",K197*20%)</f>
      </c>
      <c r="M197" s="3">
        <f>IF($H197="","",K197*2%)</f>
      </c>
      <c r="N197" s="3">
        <f>IF($H197="","",M197*20%)</f>
      </c>
      <c r="O197" s="3"/>
      <c r="P197" s="3">
        <f>IF($H197="","",O197*20%)</f>
      </c>
      <c r="Q197" s="3">
        <v>1</v>
      </c>
      <c r="R197" s="3">
        <f>IF($H197="","",L197+N197+P197)</f>
      </c>
      <c r="S197" s="3">
        <f>IF($H197="","",I197-J197-K197-L197-M197-N197-O197-P197-Q197)</f>
      </c>
      <c r="T197" s="3">
        <f>IF($H197="","",(S197-AB197)/G197*100)</f>
      </c>
      <c r="U197" s="3">
        <f>IF($H197="","",J197-R197)</f>
      </c>
      <c r="AC197" s="3">
        <f>IF($H197="","",S197-AB197)</f>
      </c>
    </row>
    <row r="198" spans="1:29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>
        <f>IF($H198="","",H198/100*7)</f>
      </c>
      <c r="L198" s="3">
        <f>IF($H198="","",K198*20%)</f>
      </c>
      <c r="M198" s="3">
        <f>IF($H198="","",K198*2%)</f>
      </c>
      <c r="N198" s="3">
        <f>IF($H198="","",M198*20%)</f>
      </c>
      <c r="O198" s="3"/>
      <c r="P198" s="3">
        <f>IF($H198="","",O198*20%)</f>
      </c>
      <c r="Q198" s="3">
        <v>1</v>
      </c>
      <c r="R198" s="3">
        <f>IF($H198="","",L198+N198+P198)</f>
      </c>
      <c r="S198" s="3">
        <f>IF($H198="","",I198-J198-K198-L198-M198-N198-O198-P198-Q198)</f>
      </c>
      <c r="T198" s="3">
        <f>IF($H198="","",(S198-AB198)/G198*100)</f>
      </c>
      <c r="U198" s="3">
        <f>IF($H198="","",J198-R198)</f>
      </c>
      <c r="AC198" s="3">
        <f>IF($H198="","",S198-AB198)</f>
      </c>
    </row>
    <row r="199" spans="1:29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>
        <f>IF($H199="","",H199/100*7)</f>
      </c>
      <c r="L199" s="3">
        <f>IF($H199="","",K199*20%)</f>
      </c>
      <c r="M199" s="3">
        <f>IF($H199="","",K199*2%)</f>
      </c>
      <c r="N199" s="3">
        <f>IF($H199="","",M199*20%)</f>
      </c>
      <c r="O199" s="3"/>
      <c r="P199" s="3">
        <f>IF($H199="","",O199*20%)</f>
      </c>
      <c r="Q199" s="3">
        <v>1</v>
      </c>
      <c r="R199" s="3">
        <f>IF($H199="","",L199+N199+P199)</f>
      </c>
      <c r="S199" s="3">
        <f>IF($H199="","",I199-J199-K199-L199-M199-N199-O199-P199-Q199)</f>
      </c>
      <c r="T199" s="3">
        <f>IF($H199="","",(S199-AB199)/G199*100)</f>
      </c>
      <c r="U199" s="3">
        <f>IF($H199="","",J199-R199)</f>
      </c>
      <c r="AC199" s="3">
        <f>IF($H199="","",S199-AB199)</f>
      </c>
    </row>
    <row r="200" spans="1:29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>
        <f>IF($H200="","",H200/100*7)</f>
      </c>
      <c r="L200" s="3">
        <f>IF($H200="","",K200*20%)</f>
      </c>
      <c r="M200" s="3">
        <f>IF($H200="","",K200*2%)</f>
      </c>
      <c r="N200" s="3">
        <f>IF($H200="","",M200*20%)</f>
      </c>
      <c r="O200" s="3"/>
      <c r="P200" s="3">
        <f>IF($H200="","",O200*20%)</f>
      </c>
      <c r="Q200" s="3">
        <v>1</v>
      </c>
      <c r="R200" s="3">
        <f>IF($H200="","",L200+N200+P200)</f>
      </c>
      <c r="S200" s="3">
        <f>IF($H200="","",I200-J200-K200-L200-M200-N200-O200-P200-Q200)</f>
      </c>
      <c r="T200" s="3">
        <f>IF($H200="","",(S200-AB200)/G200*100)</f>
      </c>
      <c r="U200" s="3">
        <f>IF($H200="","",J200-R200)</f>
      </c>
      <c r="AC200" s="3">
        <f>IF($H200="","",S200-AB200)</f>
      </c>
    </row>
    <row r="201" spans="1:29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>
        <f>IF($H201="","",H201/100*7)</f>
      </c>
      <c r="L201" s="3">
        <f>IF($H201="","",K201*20%)</f>
      </c>
      <c r="M201" s="3">
        <f>IF($H201="","",K201*2%)</f>
      </c>
      <c r="N201" s="3">
        <f>IF($H201="","",M201*20%)</f>
      </c>
      <c r="O201" s="3"/>
      <c r="P201" s="3">
        <f>IF($H201="","",O201*20%)</f>
      </c>
      <c r="Q201" s="3">
        <v>1</v>
      </c>
      <c r="R201" s="3">
        <f>IF($H201="","",L201+N201+P201)</f>
      </c>
      <c r="S201" s="3">
        <f>IF($H201="","",I201-J201-K201-L201-M201-N201-O201-P201-Q201)</f>
      </c>
      <c r="T201" s="3">
        <f>IF($H201="","",(S201-AB201)/G201*100)</f>
      </c>
      <c r="U201" s="3">
        <f>IF($H201="","",J201-R201)</f>
      </c>
      <c r="AC201" s="3">
        <f>IF($H201="","",S201-AB201)</f>
      </c>
    </row>
    <row r="202" spans="1:29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>
        <f>IF($H202="","",H202/100*7)</f>
      </c>
      <c r="L202" s="3">
        <f>IF($H202="","",K202*20%)</f>
      </c>
      <c r="M202" s="3">
        <f>IF($H202="","",K202*2%)</f>
      </c>
      <c r="N202" s="3">
        <f>IF($H202="","",M202*20%)</f>
      </c>
      <c r="O202" s="3"/>
      <c r="P202" s="3">
        <f>IF($H202="","",O202*20%)</f>
      </c>
      <c r="Q202" s="3">
        <v>1</v>
      </c>
      <c r="R202" s="3">
        <f>IF($H202="","",L202+N202+P202)</f>
      </c>
      <c r="S202" s="3">
        <f>IF($H202="","",I202-J202-K202-L202-M202-N202-O202-P202-Q202)</f>
      </c>
      <c r="T202" s="3">
        <f>IF($H202="","",(S202-AB202)/G202*100)</f>
      </c>
      <c r="U202" s="3">
        <f>IF($H202="","",J202-R202)</f>
      </c>
      <c r="AC202" s="3">
        <f>IF($H202="","",S202-AB202)</f>
      </c>
    </row>
    <row r="203" spans="1:31" s="4" customFormat="1" x14ac:dyDescent="0.25">
      <c r="A203" s="5" t="s">
        <v>37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SUM(R2:R202)</f>
      </c>
      <c r="S203" s="6">
        <f>SUM(S2:S202)</f>
      </c>
      <c r="T203" s="6">
        <f>IFERROR((S203-AB203)/G203*100,0)</f>
      </c>
      <c r="U203" s="6">
        <f>SUM(U2:U202)</f>
      </c>
      <c r="V203" s="4"/>
      <c r="W203" s="4"/>
      <c r="X203" s="4"/>
      <c r="Y203" s="4"/>
      <c r="Z203" s="4"/>
      <c r="AA203" s="4"/>
      <c r="AB203" s="6">
        <f>SUM(AB2:AB202)</f>
      </c>
      <c r="AC203" s="6">
        <f>SUM(AC2:AC202)</f>
      </c>
      <c r="AD203" s="4"/>
      <c r="AE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3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38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25">
      <c r="A2" s="1">
        <v>46235.5</v>
      </c>
      <c r="B2" t="s">
        <v>39</v>
      </c>
      <c r="C2" t="s">
        <v>40</v>
      </c>
      <c r="D2" s="2" t="s">
        <v>41</v>
      </c>
      <c r="E2" t="s">
        <v>42</v>
      </c>
      <c r="F2">
        <v>1</v>
      </c>
      <c r="G2" s="3">
        <v>240</v>
      </c>
      <c r="H2" s="3">
        <v>329</v>
      </c>
      <c r="I2" s="3">
        <f>H2-G2</f>
      </c>
      <c r="J2" s="3">
        <f>I2*16.67%</f>
      </c>
      <c r="K2" s="3">
        <f>H2/100*11</f>
      </c>
      <c r="L2" s="3">
        <v>8.99</v>
      </c>
      <c r="M2" s="3">
        <v>8</v>
      </c>
      <c r="N2" s="3">
        <f>M2*20%</f>
      </c>
      <c r="O2" s="3">
        <v>1</v>
      </c>
      <c r="P2" s="3">
        <f>I2-J2-K2-L2-M2-N2-O2</f>
      </c>
      <c r="Q2" s="3">
        <f>(P2-Y2)/G2*100</f>
      </c>
      <c r="R2" s="3">
        <f>J2-N2</f>
      </c>
      <c r="S2" t="s">
        <v>35</v>
      </c>
      <c r="T2" t="s">
        <v>40</v>
      </c>
      <c r="Z2" s="3">
        <f>P2-Y2</f>
      </c>
      <c r="AA2" t="s">
        <v>35</v>
      </c>
      <c r="AB2" t="s">
        <v>35</v>
      </c>
    </row>
    <row r="3" spans="1:26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>
        <f>IF($H3="","",H3/100*11)</f>
      </c>
      <c r="L3" s="3">
        <v>8.99</v>
      </c>
      <c r="M3" s="3"/>
      <c r="N3" s="3">
        <f>IF($H3="","",M3*20%)</f>
      </c>
      <c r="O3" s="3">
        <v>1</v>
      </c>
      <c r="P3" s="3">
        <f>IF($H3="","",I3-J3-K3-L3-M3-N3-O3)</f>
      </c>
      <c r="Q3" s="3">
        <f>IF($H3="","",(P3-Y3)/G3*100)</f>
      </c>
      <c r="R3" s="3">
        <f>IF($H3="","",J3-N3)</f>
      </c>
      <c r="Z3" s="3">
        <f>IF($H3="","",P3-Y3)</f>
      </c>
    </row>
    <row r="4" spans="1:26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>
        <f>IF($H4="","",H4/100*11)</f>
      </c>
      <c r="L4" s="3">
        <v>8.99</v>
      </c>
      <c r="M4" s="3"/>
      <c r="N4" s="3">
        <f>IF($H4="","",M4*20%)</f>
      </c>
      <c r="O4" s="3">
        <v>1</v>
      </c>
      <c r="P4" s="3">
        <f>IF($H4="","",I4-J4-K4-L4-M4-N4-O4)</f>
      </c>
      <c r="Q4" s="3">
        <f>IF($H4="","",(P4-Y4)/G4*100)</f>
      </c>
      <c r="R4" s="3">
        <f>IF($H4="","",J4-N4)</f>
      </c>
      <c r="Z4" s="3">
        <f>IF($H4="","",P4-Y4)</f>
      </c>
    </row>
    <row r="5" spans="1:26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>
        <f>IF($H5="","",H5/100*11)</f>
      </c>
      <c r="L5" s="3">
        <v>8.99</v>
      </c>
      <c r="M5" s="3"/>
      <c r="N5" s="3">
        <f>IF($H5="","",M5*20%)</f>
      </c>
      <c r="O5" s="3">
        <v>1</v>
      </c>
      <c r="P5" s="3">
        <f>IF($H5="","",I5-J5-K5-L5-M5-N5-O5)</f>
      </c>
      <c r="Q5" s="3">
        <f>IF($H5="","",(P5-Y5)/G5*100)</f>
      </c>
      <c r="R5" s="3">
        <f>IF($H5="","",J5-N5)</f>
      </c>
      <c r="Z5" s="3">
        <f>IF($H5="","",P5-Y5)</f>
      </c>
    </row>
    <row r="6" spans="1:26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>
        <f>IF($H6="","",H6/100*11)</f>
      </c>
      <c r="L6" s="3">
        <v>8.99</v>
      </c>
      <c r="M6" s="3"/>
      <c r="N6" s="3">
        <f>IF($H6="","",M6*20%)</f>
      </c>
      <c r="O6" s="3">
        <v>1</v>
      </c>
      <c r="P6" s="3">
        <f>IF($H6="","",I6-J6-K6-L6-M6-N6-O6)</f>
      </c>
      <c r="Q6" s="3">
        <f>IF($H6="","",(P6-Y6)/G6*100)</f>
      </c>
      <c r="R6" s="3">
        <f>IF($H6="","",J6-N6)</f>
      </c>
      <c r="Z6" s="3">
        <f>IF($H6="","",P6-Y6)</f>
      </c>
    </row>
    <row r="7" spans="1:26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>
        <f>IF($H7="","",H7/100*11)</f>
      </c>
      <c r="L7" s="3">
        <v>8.99</v>
      </c>
      <c r="M7" s="3"/>
      <c r="N7" s="3">
        <f>IF($H7="","",M7*20%)</f>
      </c>
      <c r="O7" s="3">
        <v>1</v>
      </c>
      <c r="P7" s="3">
        <f>IF($H7="","",I7-J7-K7-L7-M7-N7-O7)</f>
      </c>
      <c r="Q7" s="3">
        <f>IF($H7="","",(P7-Y7)/G7*100)</f>
      </c>
      <c r="R7" s="3">
        <f>IF($H7="","",J7-N7)</f>
      </c>
      <c r="Z7" s="3">
        <f>IF($H7="","",P7-Y7)</f>
      </c>
    </row>
    <row r="8" spans="1:26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>
        <f>IF($H8="","",H8/100*11)</f>
      </c>
      <c r="L8" s="3">
        <v>8.99</v>
      </c>
      <c r="M8" s="3"/>
      <c r="N8" s="3">
        <f>IF($H8="","",M8*20%)</f>
      </c>
      <c r="O8" s="3">
        <v>1</v>
      </c>
      <c r="P8" s="3">
        <f>IF($H8="","",I8-J8-K8-L8-M8-N8-O8)</f>
      </c>
      <c r="Q8" s="3">
        <f>IF($H8="","",(P8-Y8)/G8*100)</f>
      </c>
      <c r="R8" s="3">
        <f>IF($H8="","",J8-N8)</f>
      </c>
      <c r="Z8" s="3">
        <f>IF($H8="","",P8-Y8)</f>
      </c>
    </row>
    <row r="9" spans="1:26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>
        <f>IF($H9="","",H9/100*11)</f>
      </c>
      <c r="L9" s="3">
        <v>8.99</v>
      </c>
      <c r="M9" s="3"/>
      <c r="N9" s="3">
        <f>IF($H9="","",M9*20%)</f>
      </c>
      <c r="O9" s="3">
        <v>1</v>
      </c>
      <c r="P9" s="3">
        <f>IF($H9="","",I9-J9-K9-L9-M9-N9-O9)</f>
      </c>
      <c r="Q9" s="3">
        <f>IF($H9="","",(P9-Y9)/G9*100)</f>
      </c>
      <c r="R9" s="3">
        <f>IF($H9="","",J9-N9)</f>
      </c>
      <c r="Z9" s="3">
        <f>IF($H9="","",P9-Y9)</f>
      </c>
    </row>
    <row r="10" spans="1:26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>
        <f>IF($H10="","",H10/100*11)</f>
      </c>
      <c r="L10" s="3">
        <v>8.99</v>
      </c>
      <c r="M10" s="3"/>
      <c r="N10" s="3">
        <f>IF($H10="","",M10*20%)</f>
      </c>
      <c r="O10" s="3">
        <v>1</v>
      </c>
      <c r="P10" s="3">
        <f>IF($H10="","",I10-J10-K10-L10-M10-N10-O10)</f>
      </c>
      <c r="Q10" s="3">
        <f>IF($H10="","",(P10-Y10)/G10*100)</f>
      </c>
      <c r="R10" s="3">
        <f>IF($H10="","",J10-N10)</f>
      </c>
      <c r="Z10" s="3">
        <f>IF($H10="","",P10-Y10)</f>
      </c>
    </row>
    <row r="11" spans="1:26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>
        <f>IF($H11="","",H11/100*11)</f>
      </c>
      <c r="L11" s="3">
        <v>8.99</v>
      </c>
      <c r="M11" s="3"/>
      <c r="N11" s="3">
        <f>IF($H11="","",M11*20%)</f>
      </c>
      <c r="O11" s="3">
        <v>1</v>
      </c>
      <c r="P11" s="3">
        <f>IF($H11="","",I11-J11-K11-L11-M11-N11-O11)</f>
      </c>
      <c r="Q11" s="3">
        <f>IF($H11="","",(P11-Y11)/G11*100)</f>
      </c>
      <c r="R11" s="3">
        <f>IF($H11="","",J11-N11)</f>
      </c>
      <c r="Z11" s="3">
        <f>IF($H11="","",P11-Y11)</f>
      </c>
    </row>
    <row r="12" spans="1:26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>
        <f>IF($H12="","",H12/100*11)</f>
      </c>
      <c r="L12" s="3">
        <v>8.99</v>
      </c>
      <c r="M12" s="3"/>
      <c r="N12" s="3">
        <f>IF($H12="","",M12*20%)</f>
      </c>
      <c r="O12" s="3">
        <v>1</v>
      </c>
      <c r="P12" s="3">
        <f>IF($H12="","",I12-J12-K12-L12-M12-N12-O12)</f>
      </c>
      <c r="Q12" s="3">
        <f>IF($H12="","",(P12-Y12)/G12*100)</f>
      </c>
      <c r="R12" s="3">
        <f>IF($H12="","",J12-N12)</f>
      </c>
      <c r="Z12" s="3">
        <f>IF($H12="","",P12-Y12)</f>
      </c>
    </row>
    <row r="13" spans="1:26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>
        <f>IF($H13="","",H13/100*11)</f>
      </c>
      <c r="L13" s="3">
        <v>8.99</v>
      </c>
      <c r="M13" s="3"/>
      <c r="N13" s="3">
        <f>IF($H13="","",M13*20%)</f>
      </c>
      <c r="O13" s="3">
        <v>1</v>
      </c>
      <c r="P13" s="3">
        <f>IF($H13="","",I13-J13-K13-L13-M13-N13-O13)</f>
      </c>
      <c r="Q13" s="3">
        <f>IF($H13="","",(P13-Y13)/G13*100)</f>
      </c>
      <c r="R13" s="3">
        <f>IF($H13="","",J13-N13)</f>
      </c>
      <c r="Z13" s="3">
        <f>IF($H13="","",P13-Y13)</f>
      </c>
    </row>
    <row r="14" spans="1:26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>
        <f>IF($H14="","",H14/100*11)</f>
      </c>
      <c r="L14" s="3">
        <v>8.99</v>
      </c>
      <c r="M14" s="3"/>
      <c r="N14" s="3">
        <f>IF($H14="","",M14*20%)</f>
      </c>
      <c r="O14" s="3">
        <v>1</v>
      </c>
      <c r="P14" s="3">
        <f>IF($H14="","",I14-J14-K14-L14-M14-N14-O14)</f>
      </c>
      <c r="Q14" s="3">
        <f>IF($H14="","",(P14-Y14)/G14*100)</f>
      </c>
      <c r="R14" s="3">
        <f>IF($H14="","",J14-N14)</f>
      </c>
      <c r="Z14" s="3">
        <f>IF($H14="","",P14-Y14)</f>
      </c>
    </row>
    <row r="15" spans="1:26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>
        <f>IF($H15="","",H15/100*11)</f>
      </c>
      <c r="L15" s="3">
        <v>8.99</v>
      </c>
      <c r="M15" s="3"/>
      <c r="N15" s="3">
        <f>IF($H15="","",M15*20%)</f>
      </c>
      <c r="O15" s="3">
        <v>1</v>
      </c>
      <c r="P15" s="3">
        <f>IF($H15="","",I15-J15-K15-L15-M15-N15-O15)</f>
      </c>
      <c r="Q15" s="3">
        <f>IF($H15="","",(P15-Y15)/G15*100)</f>
      </c>
      <c r="R15" s="3">
        <f>IF($H15="","",J15-N15)</f>
      </c>
      <c r="Z15" s="3">
        <f>IF($H15="","",P15-Y15)</f>
      </c>
    </row>
    <row r="16" spans="1:26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>
        <f>IF($H16="","",H16/100*11)</f>
      </c>
      <c r="L16" s="3">
        <v>8.99</v>
      </c>
      <c r="M16" s="3"/>
      <c r="N16" s="3">
        <f>IF($H16="","",M16*20%)</f>
      </c>
      <c r="O16" s="3">
        <v>1</v>
      </c>
      <c r="P16" s="3">
        <f>IF($H16="","",I16-J16-K16-L16-M16-N16-O16)</f>
      </c>
      <c r="Q16" s="3">
        <f>IF($H16="","",(P16-Y16)/G16*100)</f>
      </c>
      <c r="R16" s="3">
        <f>IF($H16="","",J16-N16)</f>
      </c>
      <c r="Z16" s="3">
        <f>IF($H16="","",P16-Y16)</f>
      </c>
    </row>
    <row r="17" spans="1:26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>
        <f>IF($H17="","",H17/100*11)</f>
      </c>
      <c r="L17" s="3">
        <v>8.99</v>
      </c>
      <c r="M17" s="3"/>
      <c r="N17" s="3">
        <f>IF($H17="","",M17*20%)</f>
      </c>
      <c r="O17" s="3">
        <v>1</v>
      </c>
      <c r="P17" s="3">
        <f>IF($H17="","",I17-J17-K17-L17-M17-N17-O17)</f>
      </c>
      <c r="Q17" s="3">
        <f>IF($H17="","",(P17-Y17)/G17*100)</f>
      </c>
      <c r="R17" s="3">
        <f>IF($H17="","",J17-N17)</f>
      </c>
      <c r="Z17" s="3">
        <f>IF($H17="","",P17-Y17)</f>
      </c>
    </row>
    <row r="18" spans="1:26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>
        <f>IF($H18="","",H18/100*11)</f>
      </c>
      <c r="L18" s="3">
        <v>8.99</v>
      </c>
      <c r="M18" s="3"/>
      <c r="N18" s="3">
        <f>IF($H18="","",M18*20%)</f>
      </c>
      <c r="O18" s="3">
        <v>1</v>
      </c>
      <c r="P18" s="3">
        <f>IF($H18="","",I18-J18-K18-L18-M18-N18-O18)</f>
      </c>
      <c r="Q18" s="3">
        <f>IF($H18="","",(P18-Y18)/G18*100)</f>
      </c>
      <c r="R18" s="3">
        <f>IF($H18="","",J18-N18)</f>
      </c>
      <c r="Z18" s="3">
        <f>IF($H18="","",P18-Y18)</f>
      </c>
    </row>
    <row r="19" spans="1:26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>
        <f>IF($H19="","",H19/100*11)</f>
      </c>
      <c r="L19" s="3">
        <v>8.99</v>
      </c>
      <c r="M19" s="3"/>
      <c r="N19" s="3">
        <f>IF($H19="","",M19*20%)</f>
      </c>
      <c r="O19" s="3">
        <v>1</v>
      </c>
      <c r="P19" s="3">
        <f>IF($H19="","",I19-J19-K19-L19-M19-N19-O19)</f>
      </c>
      <c r="Q19" s="3">
        <f>IF($H19="","",(P19-Y19)/G19*100)</f>
      </c>
      <c r="R19" s="3">
        <f>IF($H19="","",J19-N19)</f>
      </c>
      <c r="Z19" s="3">
        <f>IF($H19="","",P19-Y19)</f>
      </c>
    </row>
    <row r="20" spans="1:26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>
        <f>IF($H20="","",H20/100*11)</f>
      </c>
      <c r="L20" s="3">
        <v>8.99</v>
      </c>
      <c r="M20" s="3"/>
      <c r="N20" s="3">
        <f>IF($H20="","",M20*20%)</f>
      </c>
      <c r="O20" s="3">
        <v>1</v>
      </c>
      <c r="P20" s="3">
        <f>IF($H20="","",I20-J20-K20-L20-M20-N20-O20)</f>
      </c>
      <c r="Q20" s="3">
        <f>IF($H20="","",(P20-Y20)/G20*100)</f>
      </c>
      <c r="R20" s="3">
        <f>IF($H20="","",J20-N20)</f>
      </c>
      <c r="Z20" s="3">
        <f>IF($H20="","",P20-Y20)</f>
      </c>
    </row>
    <row r="21" spans="1:26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>
        <f>IF($H21="","",H21/100*11)</f>
      </c>
      <c r="L21" s="3">
        <v>8.99</v>
      </c>
      <c r="M21" s="3"/>
      <c r="N21" s="3">
        <f>IF($H21="","",M21*20%)</f>
      </c>
      <c r="O21" s="3">
        <v>1</v>
      </c>
      <c r="P21" s="3">
        <f>IF($H21="","",I21-J21-K21-L21-M21-N21-O21)</f>
      </c>
      <c r="Q21" s="3">
        <f>IF($H21="","",(P21-Y21)/G21*100)</f>
      </c>
      <c r="R21" s="3">
        <f>IF($H21="","",J21-N21)</f>
      </c>
      <c r="Z21" s="3">
        <f>IF($H21="","",P21-Y21)</f>
      </c>
    </row>
    <row r="22" spans="1:26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>
        <f>IF($H22="","",H22/100*11)</f>
      </c>
      <c r="L22" s="3">
        <v>8.99</v>
      </c>
      <c r="M22" s="3"/>
      <c r="N22" s="3">
        <f>IF($H22="","",M22*20%)</f>
      </c>
      <c r="O22" s="3">
        <v>1</v>
      </c>
      <c r="P22" s="3">
        <f>IF($H22="","",I22-J22-K22-L22-M22-N22-O22)</f>
      </c>
      <c r="Q22" s="3">
        <f>IF($H22="","",(P22-Y22)/G22*100)</f>
      </c>
      <c r="R22" s="3">
        <f>IF($H22="","",J22-N22)</f>
      </c>
      <c r="Z22" s="3">
        <f>IF($H22="","",P22-Y22)</f>
      </c>
    </row>
    <row r="23" spans="1:26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>
        <f>IF($H23="","",H23/100*11)</f>
      </c>
      <c r="L23" s="3">
        <v>8.99</v>
      </c>
      <c r="M23" s="3"/>
      <c r="N23" s="3">
        <f>IF($H23="","",M23*20%)</f>
      </c>
      <c r="O23" s="3">
        <v>1</v>
      </c>
      <c r="P23" s="3">
        <f>IF($H23="","",I23-J23-K23-L23-M23-N23-O23)</f>
      </c>
      <c r="Q23" s="3">
        <f>IF($H23="","",(P23-Y23)/G23*100)</f>
      </c>
      <c r="R23" s="3">
        <f>IF($H23="","",J23-N23)</f>
      </c>
      <c r="Z23" s="3">
        <f>IF($H23="","",P23-Y23)</f>
      </c>
    </row>
    <row r="24" spans="1:26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>
        <f>IF($H24="","",H24/100*11)</f>
      </c>
      <c r="L24" s="3">
        <v>8.99</v>
      </c>
      <c r="M24" s="3"/>
      <c r="N24" s="3">
        <f>IF($H24="","",M24*20%)</f>
      </c>
      <c r="O24" s="3">
        <v>1</v>
      </c>
      <c r="P24" s="3">
        <f>IF($H24="","",I24-J24-K24-L24-M24-N24-O24)</f>
      </c>
      <c r="Q24" s="3">
        <f>IF($H24="","",(P24-Y24)/G24*100)</f>
      </c>
      <c r="R24" s="3">
        <f>IF($H24="","",J24-N24)</f>
      </c>
      <c r="Z24" s="3">
        <f>IF($H24="","",P24-Y24)</f>
      </c>
    </row>
    <row r="25" spans="1:26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>
        <f>IF($H25="","",H25/100*11)</f>
      </c>
      <c r="L25" s="3">
        <v>8.99</v>
      </c>
      <c r="M25" s="3"/>
      <c r="N25" s="3">
        <f>IF($H25="","",M25*20%)</f>
      </c>
      <c r="O25" s="3">
        <v>1</v>
      </c>
      <c r="P25" s="3">
        <f>IF($H25="","",I25-J25-K25-L25-M25-N25-O25)</f>
      </c>
      <c r="Q25" s="3">
        <f>IF($H25="","",(P25-Y25)/G25*100)</f>
      </c>
      <c r="R25" s="3">
        <f>IF($H25="","",J25-N25)</f>
      </c>
      <c r="Z25" s="3">
        <f>IF($H25="","",P25-Y25)</f>
      </c>
    </row>
    <row r="26" spans="1:26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>
        <f>IF($H26="","",H26/100*11)</f>
      </c>
      <c r="L26" s="3">
        <v>8.99</v>
      </c>
      <c r="M26" s="3"/>
      <c r="N26" s="3">
        <f>IF($H26="","",M26*20%)</f>
      </c>
      <c r="O26" s="3">
        <v>1</v>
      </c>
      <c r="P26" s="3">
        <f>IF($H26="","",I26-J26-K26-L26-M26-N26-O26)</f>
      </c>
      <c r="Q26" s="3">
        <f>IF($H26="","",(P26-Y26)/G26*100)</f>
      </c>
      <c r="R26" s="3">
        <f>IF($H26="","",J26-N26)</f>
      </c>
      <c r="Z26" s="3">
        <f>IF($H26="","",P26-Y26)</f>
      </c>
    </row>
    <row r="27" spans="1:26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>
        <f>IF($H27="","",H27/100*11)</f>
      </c>
      <c r="L27" s="3">
        <v>8.99</v>
      </c>
      <c r="M27" s="3"/>
      <c r="N27" s="3">
        <f>IF($H27="","",M27*20%)</f>
      </c>
      <c r="O27" s="3">
        <v>1</v>
      </c>
      <c r="P27" s="3">
        <f>IF($H27="","",I27-J27-K27-L27-M27-N27-O27)</f>
      </c>
      <c r="Q27" s="3">
        <f>IF($H27="","",(P27-Y27)/G27*100)</f>
      </c>
      <c r="R27" s="3">
        <f>IF($H27="","",J27-N27)</f>
      </c>
      <c r="Z27" s="3">
        <f>IF($H27="","",P27-Y27)</f>
      </c>
    </row>
    <row r="28" spans="1:26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>
        <f>IF($H28="","",H28/100*11)</f>
      </c>
      <c r="L28" s="3">
        <v>8.99</v>
      </c>
      <c r="M28" s="3"/>
      <c r="N28" s="3">
        <f>IF($H28="","",M28*20%)</f>
      </c>
      <c r="O28" s="3">
        <v>1</v>
      </c>
      <c r="P28" s="3">
        <f>IF($H28="","",I28-J28-K28-L28-M28-N28-O28)</f>
      </c>
      <c r="Q28" s="3">
        <f>IF($H28="","",(P28-Y28)/G28*100)</f>
      </c>
      <c r="R28" s="3">
        <f>IF($H28="","",J28-N28)</f>
      </c>
      <c r="Z28" s="3">
        <f>IF($H28="","",P28-Y28)</f>
      </c>
    </row>
    <row r="29" spans="1:26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>
        <f>IF($H29="","",H29/100*11)</f>
      </c>
      <c r="L29" s="3">
        <v>8.99</v>
      </c>
      <c r="M29" s="3"/>
      <c r="N29" s="3">
        <f>IF($H29="","",M29*20%)</f>
      </c>
      <c r="O29" s="3">
        <v>1</v>
      </c>
      <c r="P29" s="3">
        <f>IF($H29="","",I29-J29-K29-L29-M29-N29-O29)</f>
      </c>
      <c r="Q29" s="3">
        <f>IF($H29="","",(P29-Y29)/G29*100)</f>
      </c>
      <c r="R29" s="3">
        <f>IF($H29="","",J29-N29)</f>
      </c>
      <c r="Z29" s="3">
        <f>IF($H29="","",P29-Y29)</f>
      </c>
    </row>
    <row r="30" spans="1:26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>
        <f>IF($H30="","",H30/100*11)</f>
      </c>
      <c r="L30" s="3">
        <v>8.99</v>
      </c>
      <c r="M30" s="3"/>
      <c r="N30" s="3">
        <f>IF($H30="","",M30*20%)</f>
      </c>
      <c r="O30" s="3">
        <v>1</v>
      </c>
      <c r="P30" s="3">
        <f>IF($H30="","",I30-J30-K30-L30-M30-N30-O30)</f>
      </c>
      <c r="Q30" s="3">
        <f>IF($H30="","",(P30-Y30)/G30*100)</f>
      </c>
      <c r="R30" s="3">
        <f>IF($H30="","",J30-N30)</f>
      </c>
      <c r="Z30" s="3">
        <f>IF($H30="","",P30-Y30)</f>
      </c>
    </row>
    <row r="31" spans="1:26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>
        <f>IF($H31="","",H31/100*11)</f>
      </c>
      <c r="L31" s="3">
        <v>8.99</v>
      </c>
      <c r="M31" s="3"/>
      <c r="N31" s="3">
        <f>IF($H31="","",M31*20%)</f>
      </c>
      <c r="O31" s="3">
        <v>1</v>
      </c>
      <c r="P31" s="3">
        <f>IF($H31="","",I31-J31-K31-L31-M31-N31-O31)</f>
      </c>
      <c r="Q31" s="3">
        <f>IF($H31="","",(P31-Y31)/G31*100)</f>
      </c>
      <c r="R31" s="3">
        <f>IF($H31="","",J31-N31)</f>
      </c>
      <c r="Z31" s="3">
        <f>IF($H31="","",P31-Y31)</f>
      </c>
    </row>
    <row r="32" spans="1:26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>
        <f>IF($H32="","",H32/100*11)</f>
      </c>
      <c r="L32" s="3">
        <v>8.99</v>
      </c>
      <c r="M32" s="3"/>
      <c r="N32" s="3">
        <f>IF($H32="","",M32*20%)</f>
      </c>
      <c r="O32" s="3">
        <v>1</v>
      </c>
      <c r="P32" s="3">
        <f>IF($H32="","",I32-J32-K32-L32-M32-N32-O32)</f>
      </c>
      <c r="Q32" s="3">
        <f>IF($H32="","",(P32-Y32)/G32*100)</f>
      </c>
      <c r="R32" s="3">
        <f>IF($H32="","",J32-N32)</f>
      </c>
      <c r="Z32" s="3">
        <f>IF($H32="","",P32-Y32)</f>
      </c>
    </row>
    <row r="33" spans="1:26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>
        <f>IF($H33="","",H33/100*11)</f>
      </c>
      <c r="L33" s="3">
        <v>8.99</v>
      </c>
      <c r="M33" s="3"/>
      <c r="N33" s="3">
        <f>IF($H33="","",M33*20%)</f>
      </c>
      <c r="O33" s="3">
        <v>1</v>
      </c>
      <c r="P33" s="3">
        <f>IF($H33="","",I33-J33-K33-L33-M33-N33-O33)</f>
      </c>
      <c r="Q33" s="3">
        <f>IF($H33="","",(P33-Y33)/G33*100)</f>
      </c>
      <c r="R33" s="3">
        <f>IF($H33="","",J33-N33)</f>
      </c>
      <c r="Z33" s="3">
        <f>IF($H33="","",P33-Y33)</f>
      </c>
    </row>
    <row r="34" spans="1:26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>
        <f>IF($H34="","",H34/100*11)</f>
      </c>
      <c r="L34" s="3">
        <v>8.99</v>
      </c>
      <c r="M34" s="3"/>
      <c r="N34" s="3">
        <f>IF($H34="","",M34*20%)</f>
      </c>
      <c r="O34" s="3">
        <v>1</v>
      </c>
      <c r="P34" s="3">
        <f>IF($H34="","",I34-J34-K34-L34-M34-N34-O34)</f>
      </c>
      <c r="Q34" s="3">
        <f>IF($H34="","",(P34-Y34)/G34*100)</f>
      </c>
      <c r="R34" s="3">
        <f>IF($H34="","",J34-N34)</f>
      </c>
      <c r="Z34" s="3">
        <f>IF($H34="","",P34-Y34)</f>
      </c>
    </row>
    <row r="35" spans="1:26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>
        <f>IF($H35="","",H35/100*11)</f>
      </c>
      <c r="L35" s="3">
        <v>8.99</v>
      </c>
      <c r="M35" s="3"/>
      <c r="N35" s="3">
        <f>IF($H35="","",M35*20%)</f>
      </c>
      <c r="O35" s="3">
        <v>1</v>
      </c>
      <c r="P35" s="3">
        <f>IF($H35="","",I35-J35-K35-L35-M35-N35-O35)</f>
      </c>
      <c r="Q35" s="3">
        <f>IF($H35="","",(P35-Y35)/G35*100)</f>
      </c>
      <c r="R35" s="3">
        <f>IF($H35="","",J35-N35)</f>
      </c>
      <c r="Z35" s="3">
        <f>IF($H35="","",P35-Y35)</f>
      </c>
    </row>
    <row r="36" spans="1:26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>
        <f>IF($H36="","",H36/100*11)</f>
      </c>
      <c r="L36" s="3">
        <v>8.99</v>
      </c>
      <c r="M36" s="3"/>
      <c r="N36" s="3">
        <f>IF($H36="","",M36*20%)</f>
      </c>
      <c r="O36" s="3">
        <v>1</v>
      </c>
      <c r="P36" s="3">
        <f>IF($H36="","",I36-J36-K36-L36-M36-N36-O36)</f>
      </c>
      <c r="Q36" s="3">
        <f>IF($H36="","",(P36-Y36)/G36*100)</f>
      </c>
      <c r="R36" s="3">
        <f>IF($H36="","",J36-N36)</f>
      </c>
      <c r="Z36" s="3">
        <f>IF($H36="","",P36-Y36)</f>
      </c>
    </row>
    <row r="37" spans="1:26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>
        <f>IF($H37="","",H37/100*11)</f>
      </c>
      <c r="L37" s="3">
        <v>8.99</v>
      </c>
      <c r="M37" s="3"/>
      <c r="N37" s="3">
        <f>IF($H37="","",M37*20%)</f>
      </c>
      <c r="O37" s="3">
        <v>1</v>
      </c>
      <c r="P37" s="3">
        <f>IF($H37="","",I37-J37-K37-L37-M37-N37-O37)</f>
      </c>
      <c r="Q37" s="3">
        <f>IF($H37="","",(P37-Y37)/G37*100)</f>
      </c>
      <c r="R37" s="3">
        <f>IF($H37="","",J37-N37)</f>
      </c>
      <c r="Z37" s="3">
        <f>IF($H37="","",P37-Y37)</f>
      </c>
    </row>
    <row r="38" spans="1:26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>
        <f>IF($H38="","",H38/100*11)</f>
      </c>
      <c r="L38" s="3">
        <v>8.99</v>
      </c>
      <c r="M38" s="3"/>
      <c r="N38" s="3">
        <f>IF($H38="","",M38*20%)</f>
      </c>
      <c r="O38" s="3">
        <v>1</v>
      </c>
      <c r="P38" s="3">
        <f>IF($H38="","",I38-J38-K38-L38-M38-N38-O38)</f>
      </c>
      <c r="Q38" s="3">
        <f>IF($H38="","",(P38-Y38)/G38*100)</f>
      </c>
      <c r="R38" s="3">
        <f>IF($H38="","",J38-N38)</f>
      </c>
      <c r="Z38" s="3">
        <f>IF($H38="","",P38-Y38)</f>
      </c>
    </row>
    <row r="39" spans="1:26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>
        <f>IF($H39="","",H39/100*11)</f>
      </c>
      <c r="L39" s="3">
        <v>8.99</v>
      </c>
      <c r="M39" s="3"/>
      <c r="N39" s="3">
        <f>IF($H39="","",M39*20%)</f>
      </c>
      <c r="O39" s="3">
        <v>1</v>
      </c>
      <c r="P39" s="3">
        <f>IF($H39="","",I39-J39-K39-L39-M39-N39-O39)</f>
      </c>
      <c r="Q39" s="3">
        <f>IF($H39="","",(P39-Y39)/G39*100)</f>
      </c>
      <c r="R39" s="3">
        <f>IF($H39="","",J39-N39)</f>
      </c>
      <c r="Z39" s="3">
        <f>IF($H39="","",P39-Y39)</f>
      </c>
    </row>
    <row r="40" spans="1:26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>
        <f>IF($H40="","",H40/100*11)</f>
      </c>
      <c r="L40" s="3">
        <v>8.99</v>
      </c>
      <c r="M40" s="3"/>
      <c r="N40" s="3">
        <f>IF($H40="","",M40*20%)</f>
      </c>
      <c r="O40" s="3">
        <v>1</v>
      </c>
      <c r="P40" s="3">
        <f>IF($H40="","",I40-J40-K40-L40-M40-N40-O40)</f>
      </c>
      <c r="Q40" s="3">
        <f>IF($H40="","",(P40-Y40)/G40*100)</f>
      </c>
      <c r="R40" s="3">
        <f>IF($H40="","",J40-N40)</f>
      </c>
      <c r="Z40" s="3">
        <f>IF($H40="","",P40-Y40)</f>
      </c>
    </row>
    <row r="41" spans="1:26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>
        <f>IF($H41="","",H41/100*11)</f>
      </c>
      <c r="L41" s="3">
        <v>8.99</v>
      </c>
      <c r="M41" s="3"/>
      <c r="N41" s="3">
        <f>IF($H41="","",M41*20%)</f>
      </c>
      <c r="O41" s="3">
        <v>1</v>
      </c>
      <c r="P41" s="3">
        <f>IF($H41="","",I41-J41-K41-L41-M41-N41-O41)</f>
      </c>
      <c r="Q41" s="3">
        <f>IF($H41="","",(P41-Y41)/G41*100)</f>
      </c>
      <c r="R41" s="3">
        <f>IF($H41="","",J41-N41)</f>
      </c>
      <c r="Z41" s="3">
        <f>IF($H41="","",P41-Y41)</f>
      </c>
    </row>
    <row r="42" spans="1:26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>
        <f>IF($H42="","",H42/100*11)</f>
      </c>
      <c r="L42" s="3">
        <v>8.99</v>
      </c>
      <c r="M42" s="3"/>
      <c r="N42" s="3">
        <f>IF($H42="","",M42*20%)</f>
      </c>
      <c r="O42" s="3">
        <v>1</v>
      </c>
      <c r="P42" s="3">
        <f>IF($H42="","",I42-J42-K42-L42-M42-N42-O42)</f>
      </c>
      <c r="Q42" s="3">
        <f>IF($H42="","",(P42-Y42)/G42*100)</f>
      </c>
      <c r="R42" s="3">
        <f>IF($H42="","",J42-N42)</f>
      </c>
      <c r="Z42" s="3">
        <f>IF($H42="","",P42-Y42)</f>
      </c>
    </row>
    <row r="43" spans="1:26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>
        <f>IF($H43="","",H43/100*11)</f>
      </c>
      <c r="L43" s="3">
        <v>8.99</v>
      </c>
      <c r="M43" s="3"/>
      <c r="N43" s="3">
        <f>IF($H43="","",M43*20%)</f>
      </c>
      <c r="O43" s="3">
        <v>1</v>
      </c>
      <c r="P43" s="3">
        <f>IF($H43="","",I43-J43-K43-L43-M43-N43-O43)</f>
      </c>
      <c r="Q43" s="3">
        <f>IF($H43="","",(P43-Y43)/G43*100)</f>
      </c>
      <c r="R43" s="3">
        <f>IF($H43="","",J43-N43)</f>
      </c>
      <c r="Z43" s="3">
        <f>IF($H43="","",P43-Y43)</f>
      </c>
    </row>
    <row r="44" spans="1:26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>
        <f>IF($H44="","",H44/100*11)</f>
      </c>
      <c r="L44" s="3">
        <v>8.99</v>
      </c>
      <c r="M44" s="3"/>
      <c r="N44" s="3">
        <f>IF($H44="","",M44*20%)</f>
      </c>
      <c r="O44" s="3">
        <v>1</v>
      </c>
      <c r="P44" s="3">
        <f>IF($H44="","",I44-J44-K44-L44-M44-N44-O44)</f>
      </c>
      <c r="Q44" s="3">
        <f>IF($H44="","",(P44-Y44)/G44*100)</f>
      </c>
      <c r="R44" s="3">
        <f>IF($H44="","",J44-N44)</f>
      </c>
      <c r="Z44" s="3">
        <f>IF($H44="","",P44-Y44)</f>
      </c>
    </row>
    <row r="45" spans="1:26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>
        <f>IF($H45="","",H45/100*11)</f>
      </c>
      <c r="L45" s="3">
        <v>8.99</v>
      </c>
      <c r="M45" s="3"/>
      <c r="N45" s="3">
        <f>IF($H45="","",M45*20%)</f>
      </c>
      <c r="O45" s="3">
        <v>1</v>
      </c>
      <c r="P45" s="3">
        <f>IF($H45="","",I45-J45-K45-L45-M45-N45-O45)</f>
      </c>
      <c r="Q45" s="3">
        <f>IF($H45="","",(P45-Y45)/G45*100)</f>
      </c>
      <c r="R45" s="3">
        <f>IF($H45="","",J45-N45)</f>
      </c>
      <c r="Z45" s="3">
        <f>IF($H45="","",P45-Y45)</f>
      </c>
    </row>
    <row r="46" spans="1:26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>
        <f>IF($H46="","",H46/100*11)</f>
      </c>
      <c r="L46" s="3">
        <v>8.99</v>
      </c>
      <c r="M46" s="3"/>
      <c r="N46" s="3">
        <f>IF($H46="","",M46*20%)</f>
      </c>
      <c r="O46" s="3">
        <v>1</v>
      </c>
      <c r="P46" s="3">
        <f>IF($H46="","",I46-J46-K46-L46-M46-N46-O46)</f>
      </c>
      <c r="Q46" s="3">
        <f>IF($H46="","",(P46-Y46)/G46*100)</f>
      </c>
      <c r="R46" s="3">
        <f>IF($H46="","",J46-N46)</f>
      </c>
      <c r="Z46" s="3">
        <f>IF($H46="","",P46-Y46)</f>
      </c>
    </row>
    <row r="47" spans="1:26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>
        <f>IF($H47="","",H47/100*11)</f>
      </c>
      <c r="L47" s="3">
        <v>8.99</v>
      </c>
      <c r="M47" s="3"/>
      <c r="N47" s="3">
        <f>IF($H47="","",M47*20%)</f>
      </c>
      <c r="O47" s="3">
        <v>1</v>
      </c>
      <c r="P47" s="3">
        <f>IF($H47="","",I47-J47-K47-L47-M47-N47-O47)</f>
      </c>
      <c r="Q47" s="3">
        <f>IF($H47="","",(P47-Y47)/G47*100)</f>
      </c>
      <c r="R47" s="3">
        <f>IF($H47="","",J47-N47)</f>
      </c>
      <c r="Z47" s="3">
        <f>IF($H47="","",P47-Y47)</f>
      </c>
    </row>
    <row r="48" spans="1:26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>
        <f>IF($H48="","",H48/100*11)</f>
      </c>
      <c r="L48" s="3">
        <v>8.99</v>
      </c>
      <c r="M48" s="3"/>
      <c r="N48" s="3">
        <f>IF($H48="","",M48*20%)</f>
      </c>
      <c r="O48" s="3">
        <v>1</v>
      </c>
      <c r="P48" s="3">
        <f>IF($H48="","",I48-J48-K48-L48-M48-N48-O48)</f>
      </c>
      <c r="Q48" s="3">
        <f>IF($H48="","",(P48-Y48)/G48*100)</f>
      </c>
      <c r="R48" s="3">
        <f>IF($H48="","",J48-N48)</f>
      </c>
      <c r="Z48" s="3">
        <f>IF($H48="","",P48-Y48)</f>
      </c>
    </row>
    <row r="49" spans="1:26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>
        <f>IF($H49="","",H49/100*11)</f>
      </c>
      <c r="L49" s="3">
        <v>8.99</v>
      </c>
      <c r="M49" s="3"/>
      <c r="N49" s="3">
        <f>IF($H49="","",M49*20%)</f>
      </c>
      <c r="O49" s="3">
        <v>1</v>
      </c>
      <c r="P49" s="3">
        <f>IF($H49="","",I49-J49-K49-L49-M49-N49-O49)</f>
      </c>
      <c r="Q49" s="3">
        <f>IF($H49="","",(P49-Y49)/G49*100)</f>
      </c>
      <c r="R49" s="3">
        <f>IF($H49="","",J49-N49)</f>
      </c>
      <c r="Z49" s="3">
        <f>IF($H49="","",P49-Y49)</f>
      </c>
    </row>
    <row r="50" spans="1:26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>
        <f>IF($H50="","",H50/100*11)</f>
      </c>
      <c r="L50" s="3">
        <v>8.99</v>
      </c>
      <c r="M50" s="3"/>
      <c r="N50" s="3">
        <f>IF($H50="","",M50*20%)</f>
      </c>
      <c r="O50" s="3">
        <v>1</v>
      </c>
      <c r="P50" s="3">
        <f>IF($H50="","",I50-J50-K50-L50-M50-N50-O50)</f>
      </c>
      <c r="Q50" s="3">
        <f>IF($H50="","",(P50-Y50)/G50*100)</f>
      </c>
      <c r="R50" s="3">
        <f>IF($H50="","",J50-N50)</f>
      </c>
      <c r="Z50" s="3">
        <f>IF($H50="","",P50-Y50)</f>
      </c>
    </row>
    <row r="51" spans="1:26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>
        <f>IF($H51="","",H51/100*11)</f>
      </c>
      <c r="L51" s="3">
        <v>8.99</v>
      </c>
      <c r="M51" s="3"/>
      <c r="N51" s="3">
        <f>IF($H51="","",M51*20%)</f>
      </c>
      <c r="O51" s="3">
        <v>1</v>
      </c>
      <c r="P51" s="3">
        <f>IF($H51="","",I51-J51-K51-L51-M51-N51-O51)</f>
      </c>
      <c r="Q51" s="3">
        <f>IF($H51="","",(P51-Y51)/G51*100)</f>
      </c>
      <c r="R51" s="3">
        <f>IF($H51="","",J51-N51)</f>
      </c>
      <c r="Z51" s="3">
        <f>IF($H51="","",P51-Y51)</f>
      </c>
    </row>
    <row r="52" spans="1:26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>
        <f>IF($H52="","",H52/100*11)</f>
      </c>
      <c r="L52" s="3">
        <v>8.99</v>
      </c>
      <c r="M52" s="3"/>
      <c r="N52" s="3">
        <f>IF($H52="","",M52*20%)</f>
      </c>
      <c r="O52" s="3">
        <v>1</v>
      </c>
      <c r="P52" s="3">
        <f>IF($H52="","",I52-J52-K52-L52-M52-N52-O52)</f>
      </c>
      <c r="Q52" s="3">
        <f>IF($H52="","",(P52-Y52)/G52*100)</f>
      </c>
      <c r="R52" s="3">
        <f>IF($H52="","",J52-N52)</f>
      </c>
      <c r="Z52" s="3">
        <f>IF($H52="","",P52-Y52)</f>
      </c>
    </row>
    <row r="53" spans="1:26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>
        <f>IF($H53="","",H53/100*11)</f>
      </c>
      <c r="L53" s="3">
        <v>8.99</v>
      </c>
      <c r="M53" s="3"/>
      <c r="N53" s="3">
        <f>IF($H53="","",M53*20%)</f>
      </c>
      <c r="O53" s="3">
        <v>1</v>
      </c>
      <c r="P53" s="3">
        <f>IF($H53="","",I53-J53-K53-L53-M53-N53-O53)</f>
      </c>
      <c r="Q53" s="3">
        <f>IF($H53="","",(P53-Y53)/G53*100)</f>
      </c>
      <c r="R53" s="3">
        <f>IF($H53="","",J53-N53)</f>
      </c>
      <c r="Z53" s="3">
        <f>IF($H53="","",P53-Y53)</f>
      </c>
    </row>
    <row r="54" spans="1:26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>
        <f>IF($H54="","",H54/100*11)</f>
      </c>
      <c r="L54" s="3">
        <v>8.99</v>
      </c>
      <c r="M54" s="3"/>
      <c r="N54" s="3">
        <f>IF($H54="","",M54*20%)</f>
      </c>
      <c r="O54" s="3">
        <v>1</v>
      </c>
      <c r="P54" s="3">
        <f>IF($H54="","",I54-J54-K54-L54-M54-N54-O54)</f>
      </c>
      <c r="Q54" s="3">
        <f>IF($H54="","",(P54-Y54)/G54*100)</f>
      </c>
      <c r="R54" s="3">
        <f>IF($H54="","",J54-N54)</f>
      </c>
      <c r="Z54" s="3">
        <f>IF($H54="","",P54-Y54)</f>
      </c>
    </row>
    <row r="55" spans="1:26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>
        <f>IF($H55="","",H55/100*11)</f>
      </c>
      <c r="L55" s="3">
        <v>8.99</v>
      </c>
      <c r="M55" s="3"/>
      <c r="N55" s="3">
        <f>IF($H55="","",M55*20%)</f>
      </c>
      <c r="O55" s="3">
        <v>1</v>
      </c>
      <c r="P55" s="3">
        <f>IF($H55="","",I55-J55-K55-L55-M55-N55-O55)</f>
      </c>
      <c r="Q55" s="3">
        <f>IF($H55="","",(P55-Y55)/G55*100)</f>
      </c>
      <c r="R55" s="3">
        <f>IF($H55="","",J55-N55)</f>
      </c>
      <c r="Z55" s="3">
        <f>IF($H55="","",P55-Y55)</f>
      </c>
    </row>
    <row r="56" spans="1:26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>
        <f>IF($H56="","",H56/100*11)</f>
      </c>
      <c r="L56" s="3">
        <v>8.99</v>
      </c>
      <c r="M56" s="3"/>
      <c r="N56" s="3">
        <f>IF($H56="","",M56*20%)</f>
      </c>
      <c r="O56" s="3">
        <v>1</v>
      </c>
      <c r="P56" s="3">
        <f>IF($H56="","",I56-J56-K56-L56-M56-N56-O56)</f>
      </c>
      <c r="Q56" s="3">
        <f>IF($H56="","",(P56-Y56)/G56*100)</f>
      </c>
      <c r="R56" s="3">
        <f>IF($H56="","",J56-N56)</f>
      </c>
      <c r="Z56" s="3">
        <f>IF($H56="","",P56-Y56)</f>
      </c>
    </row>
    <row r="57" spans="1:26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>
        <f>IF($H57="","",H57/100*11)</f>
      </c>
      <c r="L57" s="3">
        <v>8.99</v>
      </c>
      <c r="M57" s="3"/>
      <c r="N57" s="3">
        <f>IF($H57="","",M57*20%)</f>
      </c>
      <c r="O57" s="3">
        <v>1</v>
      </c>
      <c r="P57" s="3">
        <f>IF($H57="","",I57-J57-K57-L57-M57-N57-O57)</f>
      </c>
      <c r="Q57" s="3">
        <f>IF($H57="","",(P57-Y57)/G57*100)</f>
      </c>
      <c r="R57" s="3">
        <f>IF($H57="","",J57-N57)</f>
      </c>
      <c r="Z57" s="3">
        <f>IF($H57="","",P57-Y57)</f>
      </c>
    </row>
    <row r="58" spans="1:26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>
        <f>IF($H58="","",H58/100*11)</f>
      </c>
      <c r="L58" s="3">
        <v>8.99</v>
      </c>
      <c r="M58" s="3"/>
      <c r="N58" s="3">
        <f>IF($H58="","",M58*20%)</f>
      </c>
      <c r="O58" s="3">
        <v>1</v>
      </c>
      <c r="P58" s="3">
        <f>IF($H58="","",I58-J58-K58-L58-M58-N58-O58)</f>
      </c>
      <c r="Q58" s="3">
        <f>IF($H58="","",(P58-Y58)/G58*100)</f>
      </c>
      <c r="R58" s="3">
        <f>IF($H58="","",J58-N58)</f>
      </c>
      <c r="Z58" s="3">
        <f>IF($H58="","",P58-Y58)</f>
      </c>
    </row>
    <row r="59" spans="1:26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>
        <f>IF($H59="","",H59/100*11)</f>
      </c>
      <c r="L59" s="3">
        <v>8.99</v>
      </c>
      <c r="M59" s="3"/>
      <c r="N59" s="3">
        <f>IF($H59="","",M59*20%)</f>
      </c>
      <c r="O59" s="3">
        <v>1</v>
      </c>
      <c r="P59" s="3">
        <f>IF($H59="","",I59-J59-K59-L59-M59-N59-O59)</f>
      </c>
      <c r="Q59" s="3">
        <f>IF($H59="","",(P59-Y59)/G59*100)</f>
      </c>
      <c r="R59" s="3">
        <f>IF($H59="","",J59-N59)</f>
      </c>
      <c r="Z59" s="3">
        <f>IF($H59="","",P59-Y59)</f>
      </c>
    </row>
    <row r="60" spans="1:26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>
        <f>IF($H60="","",H60/100*11)</f>
      </c>
      <c r="L60" s="3">
        <v>8.99</v>
      </c>
      <c r="M60" s="3"/>
      <c r="N60" s="3">
        <f>IF($H60="","",M60*20%)</f>
      </c>
      <c r="O60" s="3">
        <v>1</v>
      </c>
      <c r="P60" s="3">
        <f>IF($H60="","",I60-J60-K60-L60-M60-N60-O60)</f>
      </c>
      <c r="Q60" s="3">
        <f>IF($H60="","",(P60-Y60)/G60*100)</f>
      </c>
      <c r="R60" s="3">
        <f>IF($H60="","",J60-N60)</f>
      </c>
      <c r="Z60" s="3">
        <f>IF($H60="","",P60-Y60)</f>
      </c>
    </row>
    <row r="61" spans="1:26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>
        <f>IF($H61="","",H61/100*11)</f>
      </c>
      <c r="L61" s="3">
        <v>8.99</v>
      </c>
      <c r="M61" s="3"/>
      <c r="N61" s="3">
        <f>IF($H61="","",M61*20%)</f>
      </c>
      <c r="O61" s="3">
        <v>1</v>
      </c>
      <c r="P61" s="3">
        <f>IF($H61="","",I61-J61-K61-L61-M61-N61-O61)</f>
      </c>
      <c r="Q61" s="3">
        <f>IF($H61="","",(P61-Y61)/G61*100)</f>
      </c>
      <c r="R61" s="3">
        <f>IF($H61="","",J61-N61)</f>
      </c>
      <c r="Z61" s="3">
        <f>IF($H61="","",P61-Y61)</f>
      </c>
    </row>
    <row r="62" spans="1:26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>
        <f>IF($H62="","",H62/100*11)</f>
      </c>
      <c r="L62" s="3">
        <v>8.99</v>
      </c>
      <c r="M62" s="3"/>
      <c r="N62" s="3">
        <f>IF($H62="","",M62*20%)</f>
      </c>
      <c r="O62" s="3">
        <v>1</v>
      </c>
      <c r="P62" s="3">
        <f>IF($H62="","",I62-J62-K62-L62-M62-N62-O62)</f>
      </c>
      <c r="Q62" s="3">
        <f>IF($H62="","",(P62-Y62)/G62*100)</f>
      </c>
      <c r="R62" s="3">
        <f>IF($H62="","",J62-N62)</f>
      </c>
      <c r="Z62" s="3">
        <f>IF($H62="","",P62-Y62)</f>
      </c>
    </row>
    <row r="63" spans="1:26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>
        <f>IF($H63="","",H63/100*11)</f>
      </c>
      <c r="L63" s="3">
        <v>8.99</v>
      </c>
      <c r="M63" s="3"/>
      <c r="N63" s="3">
        <f>IF($H63="","",M63*20%)</f>
      </c>
      <c r="O63" s="3">
        <v>1</v>
      </c>
      <c r="P63" s="3">
        <f>IF($H63="","",I63-J63-K63-L63-M63-N63-O63)</f>
      </c>
      <c r="Q63" s="3">
        <f>IF($H63="","",(P63-Y63)/G63*100)</f>
      </c>
      <c r="R63" s="3">
        <f>IF($H63="","",J63-N63)</f>
      </c>
      <c r="Z63" s="3">
        <f>IF($H63="","",P63-Y63)</f>
      </c>
    </row>
    <row r="64" spans="1:26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>
        <f>IF($H64="","",H64/100*11)</f>
      </c>
      <c r="L64" s="3">
        <v>8.99</v>
      </c>
      <c r="M64" s="3"/>
      <c r="N64" s="3">
        <f>IF($H64="","",M64*20%)</f>
      </c>
      <c r="O64" s="3">
        <v>1</v>
      </c>
      <c r="P64" s="3">
        <f>IF($H64="","",I64-J64-K64-L64-M64-N64-O64)</f>
      </c>
      <c r="Q64" s="3">
        <f>IF($H64="","",(P64-Y64)/G64*100)</f>
      </c>
      <c r="R64" s="3">
        <f>IF($H64="","",J64-N64)</f>
      </c>
      <c r="Z64" s="3">
        <f>IF($H64="","",P64-Y64)</f>
      </c>
    </row>
    <row r="65" spans="1:26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>
        <f>IF($H65="","",H65/100*11)</f>
      </c>
      <c r="L65" s="3">
        <v>8.99</v>
      </c>
      <c r="M65" s="3"/>
      <c r="N65" s="3">
        <f>IF($H65="","",M65*20%)</f>
      </c>
      <c r="O65" s="3">
        <v>1</v>
      </c>
      <c r="P65" s="3">
        <f>IF($H65="","",I65-J65-K65-L65-M65-N65-O65)</f>
      </c>
      <c r="Q65" s="3">
        <f>IF($H65="","",(P65-Y65)/G65*100)</f>
      </c>
      <c r="R65" s="3">
        <f>IF($H65="","",J65-N65)</f>
      </c>
      <c r="Z65" s="3">
        <f>IF($H65="","",P65-Y65)</f>
      </c>
    </row>
    <row r="66" spans="1:26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>
        <f>IF($H66="","",H66/100*11)</f>
      </c>
      <c r="L66" s="3">
        <v>8.99</v>
      </c>
      <c r="M66" s="3"/>
      <c r="N66" s="3">
        <f>IF($H66="","",M66*20%)</f>
      </c>
      <c r="O66" s="3">
        <v>1</v>
      </c>
      <c r="P66" s="3">
        <f>IF($H66="","",I66-J66-K66-L66-M66-N66-O66)</f>
      </c>
      <c r="Q66" s="3">
        <f>IF($H66="","",(P66-Y66)/G66*100)</f>
      </c>
      <c r="R66" s="3">
        <f>IF($H66="","",J66-N66)</f>
      </c>
      <c r="Z66" s="3">
        <f>IF($H66="","",P66-Y66)</f>
      </c>
    </row>
    <row r="67" spans="1:26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>
        <f>IF($H67="","",H67/100*11)</f>
      </c>
      <c r="L67" s="3">
        <v>8.99</v>
      </c>
      <c r="M67" s="3"/>
      <c r="N67" s="3">
        <f>IF($H67="","",M67*20%)</f>
      </c>
      <c r="O67" s="3">
        <v>1</v>
      </c>
      <c r="P67" s="3">
        <f>IF($H67="","",I67-J67-K67-L67-M67-N67-O67)</f>
      </c>
      <c r="Q67" s="3">
        <f>IF($H67="","",(P67-Y67)/G67*100)</f>
      </c>
      <c r="R67" s="3">
        <f>IF($H67="","",J67-N67)</f>
      </c>
      <c r="Z67" s="3">
        <f>IF($H67="","",P67-Y67)</f>
      </c>
    </row>
    <row r="68" spans="1:26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>
        <f>IF($H68="","",H68/100*11)</f>
      </c>
      <c r="L68" s="3">
        <v>8.99</v>
      </c>
      <c r="M68" s="3"/>
      <c r="N68" s="3">
        <f>IF($H68="","",M68*20%)</f>
      </c>
      <c r="O68" s="3">
        <v>1</v>
      </c>
      <c r="P68" s="3">
        <f>IF($H68="","",I68-J68-K68-L68-M68-N68-O68)</f>
      </c>
      <c r="Q68" s="3">
        <f>IF($H68="","",(P68-Y68)/G68*100)</f>
      </c>
      <c r="R68" s="3">
        <f>IF($H68="","",J68-N68)</f>
      </c>
      <c r="Z68" s="3">
        <f>IF($H68="","",P68-Y68)</f>
      </c>
    </row>
    <row r="69" spans="1:26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>
        <f>IF($H69="","",H69/100*11)</f>
      </c>
      <c r="L69" s="3">
        <v>8.99</v>
      </c>
      <c r="M69" s="3"/>
      <c r="N69" s="3">
        <f>IF($H69="","",M69*20%)</f>
      </c>
      <c r="O69" s="3">
        <v>1</v>
      </c>
      <c r="P69" s="3">
        <f>IF($H69="","",I69-J69-K69-L69-M69-N69-O69)</f>
      </c>
      <c r="Q69" s="3">
        <f>IF($H69="","",(P69-Y69)/G69*100)</f>
      </c>
      <c r="R69" s="3">
        <f>IF($H69="","",J69-N69)</f>
      </c>
      <c r="Z69" s="3">
        <f>IF($H69="","",P69-Y69)</f>
      </c>
    </row>
    <row r="70" spans="1:26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>
        <f>IF($H70="","",H70/100*11)</f>
      </c>
      <c r="L70" s="3">
        <v>8.99</v>
      </c>
      <c r="M70" s="3"/>
      <c r="N70" s="3">
        <f>IF($H70="","",M70*20%)</f>
      </c>
      <c r="O70" s="3">
        <v>1</v>
      </c>
      <c r="P70" s="3">
        <f>IF($H70="","",I70-J70-K70-L70-M70-N70-O70)</f>
      </c>
      <c r="Q70" s="3">
        <f>IF($H70="","",(P70-Y70)/G70*100)</f>
      </c>
      <c r="R70" s="3">
        <f>IF($H70="","",J70-N70)</f>
      </c>
      <c r="Z70" s="3">
        <f>IF($H70="","",P70-Y70)</f>
      </c>
    </row>
    <row r="71" spans="1:26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>
        <f>IF($H71="","",H71/100*11)</f>
      </c>
      <c r="L71" s="3">
        <v>8.99</v>
      </c>
      <c r="M71" s="3"/>
      <c r="N71" s="3">
        <f>IF($H71="","",M71*20%)</f>
      </c>
      <c r="O71" s="3">
        <v>1</v>
      </c>
      <c r="P71" s="3">
        <f>IF($H71="","",I71-J71-K71-L71-M71-N71-O71)</f>
      </c>
      <c r="Q71" s="3">
        <f>IF($H71="","",(P71-Y71)/G71*100)</f>
      </c>
      <c r="R71" s="3">
        <f>IF($H71="","",J71-N71)</f>
      </c>
      <c r="Z71" s="3">
        <f>IF($H71="","",P71-Y71)</f>
      </c>
    </row>
    <row r="72" spans="1:26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>
        <f>IF($H72="","",H72/100*11)</f>
      </c>
      <c r="L72" s="3">
        <v>8.99</v>
      </c>
      <c r="M72" s="3"/>
      <c r="N72" s="3">
        <f>IF($H72="","",M72*20%)</f>
      </c>
      <c r="O72" s="3">
        <v>1</v>
      </c>
      <c r="P72" s="3">
        <f>IF($H72="","",I72-J72-K72-L72-M72-N72-O72)</f>
      </c>
      <c r="Q72" s="3">
        <f>IF($H72="","",(P72-Y72)/G72*100)</f>
      </c>
      <c r="R72" s="3">
        <f>IF($H72="","",J72-N72)</f>
      </c>
      <c r="Z72" s="3">
        <f>IF($H72="","",P72-Y72)</f>
      </c>
    </row>
    <row r="73" spans="1:26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>
        <f>IF($H73="","",H73/100*11)</f>
      </c>
      <c r="L73" s="3">
        <v>8.99</v>
      </c>
      <c r="M73" s="3"/>
      <c r="N73" s="3">
        <f>IF($H73="","",M73*20%)</f>
      </c>
      <c r="O73" s="3">
        <v>1</v>
      </c>
      <c r="P73" s="3">
        <f>IF($H73="","",I73-J73-K73-L73-M73-N73-O73)</f>
      </c>
      <c r="Q73" s="3">
        <f>IF($H73="","",(P73-Y73)/G73*100)</f>
      </c>
      <c r="R73" s="3">
        <f>IF($H73="","",J73-N73)</f>
      </c>
      <c r="Z73" s="3">
        <f>IF($H73="","",P73-Y73)</f>
      </c>
    </row>
    <row r="74" spans="1:26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>
        <f>IF($H74="","",H74/100*11)</f>
      </c>
      <c r="L74" s="3">
        <v>8.99</v>
      </c>
      <c r="M74" s="3"/>
      <c r="N74" s="3">
        <f>IF($H74="","",M74*20%)</f>
      </c>
      <c r="O74" s="3">
        <v>1</v>
      </c>
      <c r="P74" s="3">
        <f>IF($H74="","",I74-J74-K74-L74-M74-N74-O74)</f>
      </c>
      <c r="Q74" s="3">
        <f>IF($H74="","",(P74-Y74)/G74*100)</f>
      </c>
      <c r="R74" s="3">
        <f>IF($H74="","",J74-N74)</f>
      </c>
      <c r="Z74" s="3">
        <f>IF($H74="","",P74-Y74)</f>
      </c>
    </row>
    <row r="75" spans="1:26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>
        <f>IF($H75="","",H75/100*11)</f>
      </c>
      <c r="L75" s="3">
        <v>8.99</v>
      </c>
      <c r="M75" s="3"/>
      <c r="N75" s="3">
        <f>IF($H75="","",M75*20%)</f>
      </c>
      <c r="O75" s="3">
        <v>1</v>
      </c>
      <c r="P75" s="3">
        <f>IF($H75="","",I75-J75-K75-L75-M75-N75-O75)</f>
      </c>
      <c r="Q75" s="3">
        <f>IF($H75="","",(P75-Y75)/G75*100)</f>
      </c>
      <c r="R75" s="3">
        <f>IF($H75="","",J75-N75)</f>
      </c>
      <c r="Z75" s="3">
        <f>IF($H75="","",P75-Y75)</f>
      </c>
    </row>
    <row r="76" spans="1:26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>
        <f>IF($H76="","",H76/100*11)</f>
      </c>
      <c r="L76" s="3">
        <v>8.99</v>
      </c>
      <c r="M76" s="3"/>
      <c r="N76" s="3">
        <f>IF($H76="","",M76*20%)</f>
      </c>
      <c r="O76" s="3">
        <v>1</v>
      </c>
      <c r="P76" s="3">
        <f>IF($H76="","",I76-J76-K76-L76-M76-N76-O76)</f>
      </c>
      <c r="Q76" s="3">
        <f>IF($H76="","",(P76-Y76)/G76*100)</f>
      </c>
      <c r="R76" s="3">
        <f>IF($H76="","",J76-N76)</f>
      </c>
      <c r="Z76" s="3">
        <f>IF($H76="","",P76-Y76)</f>
      </c>
    </row>
    <row r="77" spans="1:26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>
        <f>IF($H77="","",H77/100*11)</f>
      </c>
      <c r="L77" s="3">
        <v>8.99</v>
      </c>
      <c r="M77" s="3"/>
      <c r="N77" s="3">
        <f>IF($H77="","",M77*20%)</f>
      </c>
      <c r="O77" s="3">
        <v>1</v>
      </c>
      <c r="P77" s="3">
        <f>IF($H77="","",I77-J77-K77-L77-M77-N77-O77)</f>
      </c>
      <c r="Q77" s="3">
        <f>IF($H77="","",(P77-Y77)/G77*100)</f>
      </c>
      <c r="R77" s="3">
        <f>IF($H77="","",J77-N77)</f>
      </c>
      <c r="Z77" s="3">
        <f>IF($H77="","",P77-Y77)</f>
      </c>
    </row>
    <row r="78" spans="1:26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>
        <f>IF($H78="","",H78/100*11)</f>
      </c>
      <c r="L78" s="3">
        <v>8.99</v>
      </c>
      <c r="M78" s="3"/>
      <c r="N78" s="3">
        <f>IF($H78="","",M78*20%)</f>
      </c>
      <c r="O78" s="3">
        <v>1</v>
      </c>
      <c r="P78" s="3">
        <f>IF($H78="","",I78-J78-K78-L78-M78-N78-O78)</f>
      </c>
      <c r="Q78" s="3">
        <f>IF($H78="","",(P78-Y78)/G78*100)</f>
      </c>
      <c r="R78" s="3">
        <f>IF($H78="","",J78-N78)</f>
      </c>
      <c r="Z78" s="3">
        <f>IF($H78="","",P78-Y78)</f>
      </c>
    </row>
    <row r="79" spans="1:26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>
        <f>IF($H79="","",H79/100*11)</f>
      </c>
      <c r="L79" s="3">
        <v>8.99</v>
      </c>
      <c r="M79" s="3"/>
      <c r="N79" s="3">
        <f>IF($H79="","",M79*20%)</f>
      </c>
      <c r="O79" s="3">
        <v>1</v>
      </c>
      <c r="P79" s="3">
        <f>IF($H79="","",I79-J79-K79-L79-M79-N79-O79)</f>
      </c>
      <c r="Q79" s="3">
        <f>IF($H79="","",(P79-Y79)/G79*100)</f>
      </c>
      <c r="R79" s="3">
        <f>IF($H79="","",J79-N79)</f>
      </c>
      <c r="Z79" s="3">
        <f>IF($H79="","",P79-Y79)</f>
      </c>
    </row>
    <row r="80" spans="1:26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>
        <f>IF($H80="","",H80/100*11)</f>
      </c>
      <c r="L80" s="3">
        <v>8.99</v>
      </c>
      <c r="M80" s="3"/>
      <c r="N80" s="3">
        <f>IF($H80="","",M80*20%)</f>
      </c>
      <c r="O80" s="3">
        <v>1</v>
      </c>
      <c r="P80" s="3">
        <f>IF($H80="","",I80-J80-K80-L80-M80-N80-O80)</f>
      </c>
      <c r="Q80" s="3">
        <f>IF($H80="","",(P80-Y80)/G80*100)</f>
      </c>
      <c r="R80" s="3">
        <f>IF($H80="","",J80-N80)</f>
      </c>
      <c r="Z80" s="3">
        <f>IF($H80="","",P80-Y80)</f>
      </c>
    </row>
    <row r="81" spans="1:26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>
        <f>IF($H81="","",H81/100*11)</f>
      </c>
      <c r="L81" s="3">
        <v>8.99</v>
      </c>
      <c r="M81" s="3"/>
      <c r="N81" s="3">
        <f>IF($H81="","",M81*20%)</f>
      </c>
      <c r="O81" s="3">
        <v>1</v>
      </c>
      <c r="P81" s="3">
        <f>IF($H81="","",I81-J81-K81-L81-M81-N81-O81)</f>
      </c>
      <c r="Q81" s="3">
        <f>IF($H81="","",(P81-Y81)/G81*100)</f>
      </c>
      <c r="R81" s="3">
        <f>IF($H81="","",J81-N81)</f>
      </c>
      <c r="Z81" s="3">
        <f>IF($H81="","",P81-Y81)</f>
      </c>
    </row>
    <row r="82" spans="1:26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>
        <f>IF($H82="","",H82/100*11)</f>
      </c>
      <c r="L82" s="3">
        <v>8.99</v>
      </c>
      <c r="M82" s="3"/>
      <c r="N82" s="3">
        <f>IF($H82="","",M82*20%)</f>
      </c>
      <c r="O82" s="3">
        <v>1</v>
      </c>
      <c r="P82" s="3">
        <f>IF($H82="","",I82-J82-K82-L82-M82-N82-O82)</f>
      </c>
      <c r="Q82" s="3">
        <f>IF($H82="","",(P82-Y82)/G82*100)</f>
      </c>
      <c r="R82" s="3">
        <f>IF($H82="","",J82-N82)</f>
      </c>
      <c r="Z82" s="3">
        <f>IF($H82="","",P82-Y82)</f>
      </c>
    </row>
    <row r="83" spans="1:26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>
        <f>IF($H83="","",H83/100*11)</f>
      </c>
      <c r="L83" s="3">
        <v>8.99</v>
      </c>
      <c r="M83" s="3"/>
      <c r="N83" s="3">
        <f>IF($H83="","",M83*20%)</f>
      </c>
      <c r="O83" s="3">
        <v>1</v>
      </c>
      <c r="P83" s="3">
        <f>IF($H83="","",I83-J83-K83-L83-M83-N83-O83)</f>
      </c>
      <c r="Q83" s="3">
        <f>IF($H83="","",(P83-Y83)/G83*100)</f>
      </c>
      <c r="R83" s="3">
        <f>IF($H83="","",J83-N83)</f>
      </c>
      <c r="Z83" s="3">
        <f>IF($H83="","",P83-Y83)</f>
      </c>
    </row>
    <row r="84" spans="1:26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>
        <f>IF($H84="","",H84/100*11)</f>
      </c>
      <c r="L84" s="3">
        <v>8.99</v>
      </c>
      <c r="M84" s="3"/>
      <c r="N84" s="3">
        <f>IF($H84="","",M84*20%)</f>
      </c>
      <c r="O84" s="3">
        <v>1</v>
      </c>
      <c r="P84" s="3">
        <f>IF($H84="","",I84-J84-K84-L84-M84-N84-O84)</f>
      </c>
      <c r="Q84" s="3">
        <f>IF($H84="","",(P84-Y84)/G84*100)</f>
      </c>
      <c r="R84" s="3">
        <f>IF($H84="","",J84-N84)</f>
      </c>
      <c r="Z84" s="3">
        <f>IF($H84="","",P84-Y84)</f>
      </c>
    </row>
    <row r="85" spans="1:26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>
        <f>IF($H85="","",H85/100*11)</f>
      </c>
      <c r="L85" s="3">
        <v>8.99</v>
      </c>
      <c r="M85" s="3"/>
      <c r="N85" s="3">
        <f>IF($H85="","",M85*20%)</f>
      </c>
      <c r="O85" s="3">
        <v>1</v>
      </c>
      <c r="P85" s="3">
        <f>IF($H85="","",I85-J85-K85-L85-M85-N85-O85)</f>
      </c>
      <c r="Q85" s="3">
        <f>IF($H85="","",(P85-Y85)/G85*100)</f>
      </c>
      <c r="R85" s="3">
        <f>IF($H85="","",J85-N85)</f>
      </c>
      <c r="Z85" s="3">
        <f>IF($H85="","",P85-Y85)</f>
      </c>
    </row>
    <row r="86" spans="1:26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>
        <f>IF($H86="","",H86/100*11)</f>
      </c>
      <c r="L86" s="3">
        <v>8.99</v>
      </c>
      <c r="M86" s="3"/>
      <c r="N86" s="3">
        <f>IF($H86="","",M86*20%)</f>
      </c>
      <c r="O86" s="3">
        <v>1</v>
      </c>
      <c r="P86" s="3">
        <f>IF($H86="","",I86-J86-K86-L86-M86-N86-O86)</f>
      </c>
      <c r="Q86" s="3">
        <f>IF($H86="","",(P86-Y86)/G86*100)</f>
      </c>
      <c r="R86" s="3">
        <f>IF($H86="","",J86-N86)</f>
      </c>
      <c r="Z86" s="3">
        <f>IF($H86="","",P86-Y86)</f>
      </c>
    </row>
    <row r="87" spans="1:26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>
        <f>IF($H87="","",H87/100*11)</f>
      </c>
      <c r="L87" s="3">
        <v>8.99</v>
      </c>
      <c r="M87" s="3"/>
      <c r="N87" s="3">
        <f>IF($H87="","",M87*20%)</f>
      </c>
      <c r="O87" s="3">
        <v>1</v>
      </c>
      <c r="P87" s="3">
        <f>IF($H87="","",I87-J87-K87-L87-M87-N87-O87)</f>
      </c>
      <c r="Q87" s="3">
        <f>IF($H87="","",(P87-Y87)/G87*100)</f>
      </c>
      <c r="R87" s="3">
        <f>IF($H87="","",J87-N87)</f>
      </c>
      <c r="Z87" s="3">
        <f>IF($H87="","",P87-Y87)</f>
      </c>
    </row>
    <row r="88" spans="1:26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>
        <f>IF($H88="","",H88/100*11)</f>
      </c>
      <c r="L88" s="3">
        <v>8.99</v>
      </c>
      <c r="M88" s="3"/>
      <c r="N88" s="3">
        <f>IF($H88="","",M88*20%)</f>
      </c>
      <c r="O88" s="3">
        <v>1</v>
      </c>
      <c r="P88" s="3">
        <f>IF($H88="","",I88-J88-K88-L88-M88-N88-O88)</f>
      </c>
      <c r="Q88" s="3">
        <f>IF($H88="","",(P88-Y88)/G88*100)</f>
      </c>
      <c r="R88" s="3">
        <f>IF($H88="","",J88-N88)</f>
      </c>
      <c r="Z88" s="3">
        <f>IF($H88="","",P88-Y88)</f>
      </c>
    </row>
    <row r="89" spans="1:26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>
        <f>IF($H89="","",H89/100*11)</f>
      </c>
      <c r="L89" s="3">
        <v>8.99</v>
      </c>
      <c r="M89" s="3"/>
      <c r="N89" s="3">
        <f>IF($H89="","",M89*20%)</f>
      </c>
      <c r="O89" s="3">
        <v>1</v>
      </c>
      <c r="P89" s="3">
        <f>IF($H89="","",I89-J89-K89-L89-M89-N89-O89)</f>
      </c>
      <c r="Q89" s="3">
        <f>IF($H89="","",(P89-Y89)/G89*100)</f>
      </c>
      <c r="R89" s="3">
        <f>IF($H89="","",J89-N89)</f>
      </c>
      <c r="Z89" s="3">
        <f>IF($H89="","",P89-Y89)</f>
      </c>
    </row>
    <row r="90" spans="1:26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>
        <f>IF($H90="","",H90/100*11)</f>
      </c>
      <c r="L90" s="3">
        <v>8.99</v>
      </c>
      <c r="M90" s="3"/>
      <c r="N90" s="3">
        <f>IF($H90="","",M90*20%)</f>
      </c>
      <c r="O90" s="3">
        <v>1</v>
      </c>
      <c r="P90" s="3">
        <f>IF($H90="","",I90-J90-K90-L90-M90-N90-O90)</f>
      </c>
      <c r="Q90" s="3">
        <f>IF($H90="","",(P90-Y90)/G90*100)</f>
      </c>
      <c r="R90" s="3">
        <f>IF($H90="","",J90-N90)</f>
      </c>
      <c r="Z90" s="3">
        <f>IF($H90="","",P90-Y90)</f>
      </c>
    </row>
    <row r="91" spans="1:26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>
        <f>IF($H91="","",H91/100*11)</f>
      </c>
      <c r="L91" s="3">
        <v>8.99</v>
      </c>
      <c r="M91" s="3"/>
      <c r="N91" s="3">
        <f>IF($H91="","",M91*20%)</f>
      </c>
      <c r="O91" s="3">
        <v>1</v>
      </c>
      <c r="P91" s="3">
        <f>IF($H91="","",I91-J91-K91-L91-M91-N91-O91)</f>
      </c>
      <c r="Q91" s="3">
        <f>IF($H91="","",(P91-Y91)/G91*100)</f>
      </c>
      <c r="R91" s="3">
        <f>IF($H91="","",J91-N91)</f>
      </c>
      <c r="Z91" s="3">
        <f>IF($H91="","",P91-Y91)</f>
      </c>
    </row>
    <row r="92" spans="1:26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>
        <f>IF($H92="","",H92/100*11)</f>
      </c>
      <c r="L92" s="3">
        <v>8.99</v>
      </c>
      <c r="M92" s="3"/>
      <c r="N92" s="3">
        <f>IF($H92="","",M92*20%)</f>
      </c>
      <c r="O92" s="3">
        <v>1</v>
      </c>
      <c r="P92" s="3">
        <f>IF($H92="","",I92-J92-K92-L92-M92-N92-O92)</f>
      </c>
      <c r="Q92" s="3">
        <f>IF($H92="","",(P92-Y92)/G92*100)</f>
      </c>
      <c r="R92" s="3">
        <f>IF($H92="","",J92-N92)</f>
      </c>
      <c r="Z92" s="3">
        <f>IF($H92="","",P92-Y92)</f>
      </c>
    </row>
    <row r="93" spans="1:26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>
        <f>IF($H93="","",H93/100*11)</f>
      </c>
      <c r="L93" s="3">
        <v>8.99</v>
      </c>
      <c r="M93" s="3"/>
      <c r="N93" s="3">
        <f>IF($H93="","",M93*20%)</f>
      </c>
      <c r="O93" s="3">
        <v>1</v>
      </c>
      <c r="P93" s="3">
        <f>IF($H93="","",I93-J93-K93-L93-M93-N93-O93)</f>
      </c>
      <c r="Q93" s="3">
        <f>IF($H93="","",(P93-Y93)/G93*100)</f>
      </c>
      <c r="R93" s="3">
        <f>IF($H93="","",J93-N93)</f>
      </c>
      <c r="Z93" s="3">
        <f>IF($H93="","",P93-Y93)</f>
      </c>
    </row>
    <row r="94" spans="1:26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>
        <f>IF($H94="","",H94/100*11)</f>
      </c>
      <c r="L94" s="3">
        <v>8.99</v>
      </c>
      <c r="M94" s="3"/>
      <c r="N94" s="3">
        <f>IF($H94="","",M94*20%)</f>
      </c>
      <c r="O94" s="3">
        <v>1</v>
      </c>
      <c r="P94" s="3">
        <f>IF($H94="","",I94-J94-K94-L94-M94-N94-O94)</f>
      </c>
      <c r="Q94" s="3">
        <f>IF($H94="","",(P94-Y94)/G94*100)</f>
      </c>
      <c r="R94" s="3">
        <f>IF($H94="","",J94-N94)</f>
      </c>
      <c r="Z94" s="3">
        <f>IF($H94="","",P94-Y94)</f>
      </c>
    </row>
    <row r="95" spans="1:26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>
        <f>IF($H95="","",H95/100*11)</f>
      </c>
      <c r="L95" s="3">
        <v>8.99</v>
      </c>
      <c r="M95" s="3"/>
      <c r="N95" s="3">
        <f>IF($H95="","",M95*20%)</f>
      </c>
      <c r="O95" s="3">
        <v>1</v>
      </c>
      <c r="P95" s="3">
        <f>IF($H95="","",I95-J95-K95-L95-M95-N95-O95)</f>
      </c>
      <c r="Q95" s="3">
        <f>IF($H95="","",(P95-Y95)/G95*100)</f>
      </c>
      <c r="R95" s="3">
        <f>IF($H95="","",J95-N95)</f>
      </c>
      <c r="Z95" s="3">
        <f>IF($H95="","",P95-Y95)</f>
      </c>
    </row>
    <row r="96" spans="1:26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>
        <f>IF($H96="","",H96/100*11)</f>
      </c>
      <c r="L96" s="3">
        <v>8.99</v>
      </c>
      <c r="M96" s="3"/>
      <c r="N96" s="3">
        <f>IF($H96="","",M96*20%)</f>
      </c>
      <c r="O96" s="3">
        <v>1</v>
      </c>
      <c r="P96" s="3">
        <f>IF($H96="","",I96-J96-K96-L96-M96-N96-O96)</f>
      </c>
      <c r="Q96" s="3">
        <f>IF($H96="","",(P96-Y96)/G96*100)</f>
      </c>
      <c r="R96" s="3">
        <f>IF($H96="","",J96-N96)</f>
      </c>
      <c r="Z96" s="3">
        <f>IF($H96="","",P96-Y96)</f>
      </c>
    </row>
    <row r="97" spans="1:26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>
        <f>IF($H97="","",H97/100*11)</f>
      </c>
      <c r="L97" s="3">
        <v>8.99</v>
      </c>
      <c r="M97" s="3"/>
      <c r="N97" s="3">
        <f>IF($H97="","",M97*20%)</f>
      </c>
      <c r="O97" s="3">
        <v>1</v>
      </c>
      <c r="P97" s="3">
        <f>IF($H97="","",I97-J97-K97-L97-M97-N97-O97)</f>
      </c>
      <c r="Q97" s="3">
        <f>IF($H97="","",(P97-Y97)/G97*100)</f>
      </c>
      <c r="R97" s="3">
        <f>IF($H97="","",J97-N97)</f>
      </c>
      <c r="Z97" s="3">
        <f>IF($H97="","",P97-Y97)</f>
      </c>
    </row>
    <row r="98" spans="1:26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>
        <f>IF($H98="","",H98/100*11)</f>
      </c>
      <c r="L98" s="3">
        <v>8.99</v>
      </c>
      <c r="M98" s="3"/>
      <c r="N98" s="3">
        <f>IF($H98="","",M98*20%)</f>
      </c>
      <c r="O98" s="3">
        <v>1</v>
      </c>
      <c r="P98" s="3">
        <f>IF($H98="","",I98-J98-K98-L98-M98-N98-O98)</f>
      </c>
      <c r="Q98" s="3">
        <f>IF($H98="","",(P98-Y98)/G98*100)</f>
      </c>
      <c r="R98" s="3">
        <f>IF($H98="","",J98-N98)</f>
      </c>
      <c r="Z98" s="3">
        <f>IF($H98="","",P98-Y98)</f>
      </c>
    </row>
    <row r="99" spans="1:26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>
        <f>IF($H99="","",H99/100*11)</f>
      </c>
      <c r="L99" s="3">
        <v>8.99</v>
      </c>
      <c r="M99" s="3"/>
      <c r="N99" s="3">
        <f>IF($H99="","",M99*20%)</f>
      </c>
      <c r="O99" s="3">
        <v>1</v>
      </c>
      <c r="P99" s="3">
        <f>IF($H99="","",I99-J99-K99-L99-M99-N99-O99)</f>
      </c>
      <c r="Q99" s="3">
        <f>IF($H99="","",(P99-Y99)/G99*100)</f>
      </c>
      <c r="R99" s="3">
        <f>IF($H99="","",J99-N99)</f>
      </c>
      <c r="Z99" s="3">
        <f>IF($H99="","",P99-Y99)</f>
      </c>
    </row>
    <row r="100" spans="1:26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>
        <f>IF($H100="","",H100/100*11)</f>
      </c>
      <c r="L100" s="3">
        <v>8.99</v>
      </c>
      <c r="M100" s="3"/>
      <c r="N100" s="3">
        <f>IF($H100="","",M100*20%)</f>
      </c>
      <c r="O100" s="3">
        <v>1</v>
      </c>
      <c r="P100" s="3">
        <f>IF($H100="","",I100-J100-K100-L100-M100-N100-O100)</f>
      </c>
      <c r="Q100" s="3">
        <f>IF($H100="","",(P100-Y100)/G100*100)</f>
      </c>
      <c r="R100" s="3">
        <f>IF($H100="","",J100-N100)</f>
      </c>
      <c r="Z100" s="3">
        <f>IF($H100="","",P100-Y100)</f>
      </c>
    </row>
    <row r="101" spans="1:26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>
        <f>IF($H101="","",H101/100*11)</f>
      </c>
      <c r="L101" s="3">
        <v>8.99</v>
      </c>
      <c r="M101" s="3"/>
      <c r="N101" s="3">
        <f>IF($H101="","",M101*20%)</f>
      </c>
      <c r="O101" s="3">
        <v>1</v>
      </c>
      <c r="P101" s="3">
        <f>IF($H101="","",I101-J101-K101-L101-M101-N101-O101)</f>
      </c>
      <c r="Q101" s="3">
        <f>IF($H101="","",(P101-Y101)/G101*100)</f>
      </c>
      <c r="R101" s="3">
        <f>IF($H101="","",J101-N101)</f>
      </c>
      <c r="Z101" s="3">
        <f>IF($H101="","",P101-Y101)</f>
      </c>
    </row>
    <row r="102" spans="1:26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>
        <f>IF($H102="","",H102/100*11)</f>
      </c>
      <c r="L102" s="3">
        <v>8.99</v>
      </c>
      <c r="M102" s="3"/>
      <c r="N102" s="3">
        <f>IF($H102="","",M102*20%)</f>
      </c>
      <c r="O102" s="3">
        <v>1</v>
      </c>
      <c r="P102" s="3">
        <f>IF($H102="","",I102-J102-K102-L102-M102-N102-O102)</f>
      </c>
      <c r="Q102" s="3">
        <f>IF($H102="","",(P102-Y102)/G102*100)</f>
      </c>
      <c r="R102" s="3">
        <f>IF($H102="","",J102-N102)</f>
      </c>
      <c r="Z102" s="3">
        <f>IF($H102="","",P102-Y102)</f>
      </c>
    </row>
    <row r="103" spans="1:26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>
        <f>IF($H103="","",H103/100*11)</f>
      </c>
      <c r="L103" s="3">
        <v>8.99</v>
      </c>
      <c r="M103" s="3"/>
      <c r="N103" s="3">
        <f>IF($H103="","",M103*20%)</f>
      </c>
      <c r="O103" s="3">
        <v>1</v>
      </c>
      <c r="P103" s="3">
        <f>IF($H103="","",I103-J103-K103-L103-M103-N103-O103)</f>
      </c>
      <c r="Q103" s="3">
        <f>IF($H103="","",(P103-Y103)/G103*100)</f>
      </c>
      <c r="R103" s="3">
        <f>IF($H103="","",J103-N103)</f>
      </c>
      <c r="Z103" s="3">
        <f>IF($H103="","",P103-Y103)</f>
      </c>
    </row>
    <row r="104" spans="1:26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>
        <f>IF($H104="","",H104/100*11)</f>
      </c>
      <c r="L104" s="3">
        <v>8.99</v>
      </c>
      <c r="M104" s="3"/>
      <c r="N104" s="3">
        <f>IF($H104="","",M104*20%)</f>
      </c>
      <c r="O104" s="3">
        <v>1</v>
      </c>
      <c r="P104" s="3">
        <f>IF($H104="","",I104-J104-K104-L104-M104-N104-O104)</f>
      </c>
      <c r="Q104" s="3">
        <f>IF($H104="","",(P104-Y104)/G104*100)</f>
      </c>
      <c r="R104" s="3">
        <f>IF($H104="","",J104-N104)</f>
      </c>
      <c r="Z104" s="3">
        <f>IF($H104="","",P104-Y104)</f>
      </c>
    </row>
    <row r="105" spans="1:26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>
        <f>IF($H105="","",H105/100*11)</f>
      </c>
      <c r="L105" s="3">
        <v>8.99</v>
      </c>
      <c r="M105" s="3"/>
      <c r="N105" s="3">
        <f>IF($H105="","",M105*20%)</f>
      </c>
      <c r="O105" s="3">
        <v>1</v>
      </c>
      <c r="P105" s="3">
        <f>IF($H105="","",I105-J105-K105-L105-M105-N105-O105)</f>
      </c>
      <c r="Q105" s="3">
        <f>IF($H105="","",(P105-Y105)/G105*100)</f>
      </c>
      <c r="R105" s="3">
        <f>IF($H105="","",J105-N105)</f>
      </c>
      <c r="Z105" s="3">
        <f>IF($H105="","",P105-Y105)</f>
      </c>
    </row>
    <row r="106" spans="1:26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>
        <f>IF($H106="","",H106/100*11)</f>
      </c>
      <c r="L106" s="3">
        <v>8.99</v>
      </c>
      <c r="M106" s="3"/>
      <c r="N106" s="3">
        <f>IF($H106="","",M106*20%)</f>
      </c>
      <c r="O106" s="3">
        <v>1</v>
      </c>
      <c r="P106" s="3">
        <f>IF($H106="","",I106-J106-K106-L106-M106-N106-O106)</f>
      </c>
      <c r="Q106" s="3">
        <f>IF($H106="","",(P106-Y106)/G106*100)</f>
      </c>
      <c r="R106" s="3">
        <f>IF($H106="","",J106-N106)</f>
      </c>
      <c r="Z106" s="3">
        <f>IF($H106="","",P106-Y106)</f>
      </c>
    </row>
    <row r="107" spans="1:26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>
        <f>IF($H107="","",H107/100*11)</f>
      </c>
      <c r="L107" s="3">
        <v>8.99</v>
      </c>
      <c r="M107" s="3"/>
      <c r="N107" s="3">
        <f>IF($H107="","",M107*20%)</f>
      </c>
      <c r="O107" s="3">
        <v>1</v>
      </c>
      <c r="P107" s="3">
        <f>IF($H107="","",I107-J107-K107-L107-M107-N107-O107)</f>
      </c>
      <c r="Q107" s="3">
        <f>IF($H107="","",(P107-Y107)/G107*100)</f>
      </c>
      <c r="R107" s="3">
        <f>IF($H107="","",J107-N107)</f>
      </c>
      <c r="Z107" s="3">
        <f>IF($H107="","",P107-Y107)</f>
      </c>
    </row>
    <row r="108" spans="1:26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>
        <f>IF($H108="","",H108/100*11)</f>
      </c>
      <c r="L108" s="3">
        <v>8.99</v>
      </c>
      <c r="M108" s="3"/>
      <c r="N108" s="3">
        <f>IF($H108="","",M108*20%)</f>
      </c>
      <c r="O108" s="3">
        <v>1</v>
      </c>
      <c r="P108" s="3">
        <f>IF($H108="","",I108-J108-K108-L108-M108-N108-O108)</f>
      </c>
      <c r="Q108" s="3">
        <f>IF($H108="","",(P108-Y108)/G108*100)</f>
      </c>
      <c r="R108" s="3">
        <f>IF($H108="","",J108-N108)</f>
      </c>
      <c r="Z108" s="3">
        <f>IF($H108="","",P108-Y108)</f>
      </c>
    </row>
    <row r="109" spans="1:26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>
        <f>IF($H109="","",H109/100*11)</f>
      </c>
      <c r="L109" s="3">
        <v>8.99</v>
      </c>
      <c r="M109" s="3"/>
      <c r="N109" s="3">
        <f>IF($H109="","",M109*20%)</f>
      </c>
      <c r="O109" s="3">
        <v>1</v>
      </c>
      <c r="P109" s="3">
        <f>IF($H109="","",I109-J109-K109-L109-M109-N109-O109)</f>
      </c>
      <c r="Q109" s="3">
        <f>IF($H109="","",(P109-Y109)/G109*100)</f>
      </c>
      <c r="R109" s="3">
        <f>IF($H109="","",J109-N109)</f>
      </c>
      <c r="Z109" s="3">
        <f>IF($H109="","",P109-Y109)</f>
      </c>
    </row>
    <row r="110" spans="1:26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>
        <f>IF($H110="","",H110/100*11)</f>
      </c>
      <c r="L110" s="3">
        <v>8.99</v>
      </c>
      <c r="M110" s="3"/>
      <c r="N110" s="3">
        <f>IF($H110="","",M110*20%)</f>
      </c>
      <c r="O110" s="3">
        <v>1</v>
      </c>
      <c r="P110" s="3">
        <f>IF($H110="","",I110-J110-K110-L110-M110-N110-O110)</f>
      </c>
      <c r="Q110" s="3">
        <f>IF($H110="","",(P110-Y110)/G110*100)</f>
      </c>
      <c r="R110" s="3">
        <f>IF($H110="","",J110-N110)</f>
      </c>
      <c r="Z110" s="3">
        <f>IF($H110="","",P110-Y110)</f>
      </c>
    </row>
    <row r="111" spans="1:26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>
        <f>IF($H111="","",H111/100*11)</f>
      </c>
      <c r="L111" s="3">
        <v>8.99</v>
      </c>
      <c r="M111" s="3"/>
      <c r="N111" s="3">
        <f>IF($H111="","",M111*20%)</f>
      </c>
      <c r="O111" s="3">
        <v>1</v>
      </c>
      <c r="P111" s="3">
        <f>IF($H111="","",I111-J111-K111-L111-M111-N111-O111)</f>
      </c>
      <c r="Q111" s="3">
        <f>IF($H111="","",(P111-Y111)/G111*100)</f>
      </c>
      <c r="R111" s="3">
        <f>IF($H111="","",J111-N111)</f>
      </c>
      <c r="Z111" s="3">
        <f>IF($H111="","",P111-Y111)</f>
      </c>
    </row>
    <row r="112" spans="1:26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>
        <f>IF($H112="","",H112/100*11)</f>
      </c>
      <c r="L112" s="3">
        <v>8.99</v>
      </c>
      <c r="M112" s="3"/>
      <c r="N112" s="3">
        <f>IF($H112="","",M112*20%)</f>
      </c>
      <c r="O112" s="3">
        <v>1</v>
      </c>
      <c r="P112" s="3">
        <f>IF($H112="","",I112-J112-K112-L112-M112-N112-O112)</f>
      </c>
      <c r="Q112" s="3">
        <f>IF($H112="","",(P112-Y112)/G112*100)</f>
      </c>
      <c r="R112" s="3">
        <f>IF($H112="","",J112-N112)</f>
      </c>
      <c r="Z112" s="3">
        <f>IF($H112="","",P112-Y112)</f>
      </c>
    </row>
    <row r="113" spans="1:26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>
        <f>IF($H113="","",H113/100*11)</f>
      </c>
      <c r="L113" s="3">
        <v>8.99</v>
      </c>
      <c r="M113" s="3"/>
      <c r="N113" s="3">
        <f>IF($H113="","",M113*20%)</f>
      </c>
      <c r="O113" s="3">
        <v>1</v>
      </c>
      <c r="P113" s="3">
        <f>IF($H113="","",I113-J113-K113-L113-M113-N113-O113)</f>
      </c>
      <c r="Q113" s="3">
        <f>IF($H113="","",(P113-Y113)/G113*100)</f>
      </c>
      <c r="R113" s="3">
        <f>IF($H113="","",J113-N113)</f>
      </c>
      <c r="Z113" s="3">
        <f>IF($H113="","",P113-Y113)</f>
      </c>
    </row>
    <row r="114" spans="1:26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>
        <f>IF($H114="","",H114/100*11)</f>
      </c>
      <c r="L114" s="3">
        <v>8.99</v>
      </c>
      <c r="M114" s="3"/>
      <c r="N114" s="3">
        <f>IF($H114="","",M114*20%)</f>
      </c>
      <c r="O114" s="3">
        <v>1</v>
      </c>
      <c r="P114" s="3">
        <f>IF($H114="","",I114-J114-K114-L114-M114-N114-O114)</f>
      </c>
      <c r="Q114" s="3">
        <f>IF($H114="","",(P114-Y114)/G114*100)</f>
      </c>
      <c r="R114" s="3">
        <f>IF($H114="","",J114-N114)</f>
      </c>
      <c r="Z114" s="3">
        <f>IF($H114="","",P114-Y114)</f>
      </c>
    </row>
    <row r="115" spans="1:26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>
        <f>IF($H115="","",H115/100*11)</f>
      </c>
      <c r="L115" s="3">
        <v>8.99</v>
      </c>
      <c r="M115" s="3"/>
      <c r="N115" s="3">
        <f>IF($H115="","",M115*20%)</f>
      </c>
      <c r="O115" s="3">
        <v>1</v>
      </c>
      <c r="P115" s="3">
        <f>IF($H115="","",I115-J115-K115-L115-M115-N115-O115)</f>
      </c>
      <c r="Q115" s="3">
        <f>IF($H115="","",(P115-Y115)/G115*100)</f>
      </c>
      <c r="R115" s="3">
        <f>IF($H115="","",J115-N115)</f>
      </c>
      <c r="Z115" s="3">
        <f>IF($H115="","",P115-Y115)</f>
      </c>
    </row>
    <row r="116" spans="1:26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>
        <f>IF($H116="","",H116/100*11)</f>
      </c>
      <c r="L116" s="3">
        <v>8.99</v>
      </c>
      <c r="M116" s="3"/>
      <c r="N116" s="3">
        <f>IF($H116="","",M116*20%)</f>
      </c>
      <c r="O116" s="3">
        <v>1</v>
      </c>
      <c r="P116" s="3">
        <f>IF($H116="","",I116-J116-K116-L116-M116-N116-O116)</f>
      </c>
      <c r="Q116" s="3">
        <f>IF($H116="","",(P116-Y116)/G116*100)</f>
      </c>
      <c r="R116" s="3">
        <f>IF($H116="","",J116-N116)</f>
      </c>
      <c r="Z116" s="3">
        <f>IF($H116="","",P116-Y116)</f>
      </c>
    </row>
    <row r="117" spans="1:26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>
        <f>IF($H117="","",H117/100*11)</f>
      </c>
      <c r="L117" s="3">
        <v>8.99</v>
      </c>
      <c r="M117" s="3"/>
      <c r="N117" s="3">
        <f>IF($H117="","",M117*20%)</f>
      </c>
      <c r="O117" s="3">
        <v>1</v>
      </c>
      <c r="P117" s="3">
        <f>IF($H117="","",I117-J117-K117-L117-M117-N117-O117)</f>
      </c>
      <c r="Q117" s="3">
        <f>IF($H117="","",(P117-Y117)/G117*100)</f>
      </c>
      <c r="R117" s="3">
        <f>IF($H117="","",J117-N117)</f>
      </c>
      <c r="Z117" s="3">
        <f>IF($H117="","",P117-Y117)</f>
      </c>
    </row>
    <row r="118" spans="1:26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>
        <f>IF($H118="","",H118/100*11)</f>
      </c>
      <c r="L118" s="3">
        <v>8.99</v>
      </c>
      <c r="M118" s="3"/>
      <c r="N118" s="3">
        <f>IF($H118="","",M118*20%)</f>
      </c>
      <c r="O118" s="3">
        <v>1</v>
      </c>
      <c r="P118" s="3">
        <f>IF($H118="","",I118-J118-K118-L118-M118-N118-O118)</f>
      </c>
      <c r="Q118" s="3">
        <f>IF($H118="","",(P118-Y118)/G118*100)</f>
      </c>
      <c r="R118" s="3">
        <f>IF($H118="","",J118-N118)</f>
      </c>
      <c r="Z118" s="3">
        <f>IF($H118="","",P118-Y118)</f>
      </c>
    </row>
    <row r="119" spans="1:26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>
        <f>IF($H119="","",H119/100*11)</f>
      </c>
      <c r="L119" s="3">
        <v>8.99</v>
      </c>
      <c r="M119" s="3"/>
      <c r="N119" s="3">
        <f>IF($H119="","",M119*20%)</f>
      </c>
      <c r="O119" s="3">
        <v>1</v>
      </c>
      <c r="P119" s="3">
        <f>IF($H119="","",I119-J119-K119-L119-M119-N119-O119)</f>
      </c>
      <c r="Q119" s="3">
        <f>IF($H119="","",(P119-Y119)/G119*100)</f>
      </c>
      <c r="R119" s="3">
        <f>IF($H119="","",J119-N119)</f>
      </c>
      <c r="Z119" s="3">
        <f>IF($H119="","",P119-Y119)</f>
      </c>
    </row>
    <row r="120" spans="1:26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>
        <f>IF($H120="","",H120/100*11)</f>
      </c>
      <c r="L120" s="3">
        <v>8.99</v>
      </c>
      <c r="M120" s="3"/>
      <c r="N120" s="3">
        <f>IF($H120="","",M120*20%)</f>
      </c>
      <c r="O120" s="3">
        <v>1</v>
      </c>
      <c r="P120" s="3">
        <f>IF($H120="","",I120-J120-K120-L120-M120-N120-O120)</f>
      </c>
      <c r="Q120" s="3">
        <f>IF($H120="","",(P120-Y120)/G120*100)</f>
      </c>
      <c r="R120" s="3">
        <f>IF($H120="","",J120-N120)</f>
      </c>
      <c r="Z120" s="3">
        <f>IF($H120="","",P120-Y120)</f>
      </c>
    </row>
    <row r="121" spans="1:26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>
        <f>IF($H121="","",H121/100*11)</f>
      </c>
      <c r="L121" s="3">
        <v>8.99</v>
      </c>
      <c r="M121" s="3"/>
      <c r="N121" s="3">
        <f>IF($H121="","",M121*20%)</f>
      </c>
      <c r="O121" s="3">
        <v>1</v>
      </c>
      <c r="P121" s="3">
        <f>IF($H121="","",I121-J121-K121-L121-M121-N121-O121)</f>
      </c>
      <c r="Q121" s="3">
        <f>IF($H121="","",(P121-Y121)/G121*100)</f>
      </c>
      <c r="R121" s="3">
        <f>IF($H121="","",J121-N121)</f>
      </c>
      <c r="Z121" s="3">
        <f>IF($H121="","",P121-Y121)</f>
      </c>
    </row>
    <row r="122" spans="1:26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>
        <f>IF($H122="","",H122/100*11)</f>
      </c>
      <c r="L122" s="3">
        <v>8.99</v>
      </c>
      <c r="M122" s="3"/>
      <c r="N122" s="3">
        <f>IF($H122="","",M122*20%)</f>
      </c>
      <c r="O122" s="3">
        <v>1</v>
      </c>
      <c r="P122" s="3">
        <f>IF($H122="","",I122-J122-K122-L122-M122-N122-O122)</f>
      </c>
      <c r="Q122" s="3">
        <f>IF($H122="","",(P122-Y122)/G122*100)</f>
      </c>
      <c r="R122" s="3">
        <f>IF($H122="","",J122-N122)</f>
      </c>
      <c r="Z122" s="3">
        <f>IF($H122="","",P122-Y122)</f>
      </c>
    </row>
    <row r="123" spans="1:26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>
        <f>IF($H123="","",H123/100*11)</f>
      </c>
      <c r="L123" s="3">
        <v>8.99</v>
      </c>
      <c r="M123" s="3"/>
      <c r="N123" s="3">
        <f>IF($H123="","",M123*20%)</f>
      </c>
      <c r="O123" s="3">
        <v>1</v>
      </c>
      <c r="P123" s="3">
        <f>IF($H123="","",I123-J123-K123-L123-M123-N123-O123)</f>
      </c>
      <c r="Q123" s="3">
        <f>IF($H123="","",(P123-Y123)/G123*100)</f>
      </c>
      <c r="R123" s="3">
        <f>IF($H123="","",J123-N123)</f>
      </c>
      <c r="Z123" s="3">
        <f>IF($H123="","",P123-Y123)</f>
      </c>
    </row>
    <row r="124" spans="1:26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>
        <f>IF($H124="","",H124/100*11)</f>
      </c>
      <c r="L124" s="3">
        <v>8.99</v>
      </c>
      <c r="M124" s="3"/>
      <c r="N124" s="3">
        <f>IF($H124="","",M124*20%)</f>
      </c>
      <c r="O124" s="3">
        <v>1</v>
      </c>
      <c r="P124" s="3">
        <f>IF($H124="","",I124-J124-K124-L124-M124-N124-O124)</f>
      </c>
      <c r="Q124" s="3">
        <f>IF($H124="","",(P124-Y124)/G124*100)</f>
      </c>
      <c r="R124" s="3">
        <f>IF($H124="","",J124-N124)</f>
      </c>
      <c r="Z124" s="3">
        <f>IF($H124="","",P124-Y124)</f>
      </c>
    </row>
    <row r="125" spans="1:26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>
        <f>IF($H125="","",H125/100*11)</f>
      </c>
      <c r="L125" s="3">
        <v>8.99</v>
      </c>
      <c r="M125" s="3"/>
      <c r="N125" s="3">
        <f>IF($H125="","",M125*20%)</f>
      </c>
      <c r="O125" s="3">
        <v>1</v>
      </c>
      <c r="P125" s="3">
        <f>IF($H125="","",I125-J125-K125-L125-M125-N125-O125)</f>
      </c>
      <c r="Q125" s="3">
        <f>IF($H125="","",(P125-Y125)/G125*100)</f>
      </c>
      <c r="R125" s="3">
        <f>IF($H125="","",J125-N125)</f>
      </c>
      <c r="Z125" s="3">
        <f>IF($H125="","",P125-Y125)</f>
      </c>
    </row>
    <row r="126" spans="1:26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>
        <f>IF($H126="","",H126/100*11)</f>
      </c>
      <c r="L126" s="3">
        <v>8.99</v>
      </c>
      <c r="M126" s="3"/>
      <c r="N126" s="3">
        <f>IF($H126="","",M126*20%)</f>
      </c>
      <c r="O126" s="3">
        <v>1</v>
      </c>
      <c r="P126" s="3">
        <f>IF($H126="","",I126-J126-K126-L126-M126-N126-O126)</f>
      </c>
      <c r="Q126" s="3">
        <f>IF($H126="","",(P126-Y126)/G126*100)</f>
      </c>
      <c r="R126" s="3">
        <f>IF($H126="","",J126-N126)</f>
      </c>
      <c r="Z126" s="3">
        <f>IF($H126="","",P126-Y126)</f>
      </c>
    </row>
    <row r="127" spans="1:26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>
        <f>IF($H127="","",H127/100*11)</f>
      </c>
      <c r="L127" s="3">
        <v>8.99</v>
      </c>
      <c r="M127" s="3"/>
      <c r="N127" s="3">
        <f>IF($H127="","",M127*20%)</f>
      </c>
      <c r="O127" s="3">
        <v>1</v>
      </c>
      <c r="P127" s="3">
        <f>IF($H127="","",I127-J127-K127-L127-M127-N127-O127)</f>
      </c>
      <c r="Q127" s="3">
        <f>IF($H127="","",(P127-Y127)/G127*100)</f>
      </c>
      <c r="R127" s="3">
        <f>IF($H127="","",J127-N127)</f>
      </c>
      <c r="Z127" s="3">
        <f>IF($H127="","",P127-Y127)</f>
      </c>
    </row>
    <row r="128" spans="1:26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>
        <f>IF($H128="","",H128/100*11)</f>
      </c>
      <c r="L128" s="3">
        <v>8.99</v>
      </c>
      <c r="M128" s="3"/>
      <c r="N128" s="3">
        <f>IF($H128="","",M128*20%)</f>
      </c>
      <c r="O128" s="3">
        <v>1</v>
      </c>
      <c r="P128" s="3">
        <f>IF($H128="","",I128-J128-K128-L128-M128-N128-O128)</f>
      </c>
      <c r="Q128" s="3">
        <f>IF($H128="","",(P128-Y128)/G128*100)</f>
      </c>
      <c r="R128" s="3">
        <f>IF($H128="","",J128-N128)</f>
      </c>
      <c r="Z128" s="3">
        <f>IF($H128="","",P128-Y128)</f>
      </c>
    </row>
    <row r="129" spans="1:26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>
        <f>IF($H129="","",H129/100*11)</f>
      </c>
      <c r="L129" s="3">
        <v>8.99</v>
      </c>
      <c r="M129" s="3"/>
      <c r="N129" s="3">
        <f>IF($H129="","",M129*20%)</f>
      </c>
      <c r="O129" s="3">
        <v>1</v>
      </c>
      <c r="P129" s="3">
        <f>IF($H129="","",I129-J129-K129-L129-M129-N129-O129)</f>
      </c>
      <c r="Q129" s="3">
        <f>IF($H129="","",(P129-Y129)/G129*100)</f>
      </c>
      <c r="R129" s="3">
        <f>IF($H129="","",J129-N129)</f>
      </c>
      <c r="Z129" s="3">
        <f>IF($H129="","",P129-Y129)</f>
      </c>
    </row>
    <row r="130" spans="1:26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>
        <f>IF($H130="","",H130/100*11)</f>
      </c>
      <c r="L130" s="3">
        <v>8.99</v>
      </c>
      <c r="M130" s="3"/>
      <c r="N130" s="3">
        <f>IF($H130="","",M130*20%)</f>
      </c>
      <c r="O130" s="3">
        <v>1</v>
      </c>
      <c r="P130" s="3">
        <f>IF($H130="","",I130-J130-K130-L130-M130-N130-O130)</f>
      </c>
      <c r="Q130" s="3">
        <f>IF($H130="","",(P130-Y130)/G130*100)</f>
      </c>
      <c r="R130" s="3">
        <f>IF($H130="","",J130-N130)</f>
      </c>
      <c r="Z130" s="3">
        <f>IF($H130="","",P130-Y130)</f>
      </c>
    </row>
    <row r="131" spans="1:26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>
        <f>IF($H131="","",H131/100*11)</f>
      </c>
      <c r="L131" s="3">
        <v>8.99</v>
      </c>
      <c r="M131" s="3"/>
      <c r="N131" s="3">
        <f>IF($H131="","",M131*20%)</f>
      </c>
      <c r="O131" s="3">
        <v>1</v>
      </c>
      <c r="P131" s="3">
        <f>IF($H131="","",I131-J131-K131-L131-M131-N131-O131)</f>
      </c>
      <c r="Q131" s="3">
        <f>IF($H131="","",(P131-Y131)/G131*100)</f>
      </c>
      <c r="R131" s="3">
        <f>IF($H131="","",J131-N131)</f>
      </c>
      <c r="Z131" s="3">
        <f>IF($H131="","",P131-Y131)</f>
      </c>
    </row>
    <row r="132" spans="1:26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>
        <f>IF($H132="","",H132/100*11)</f>
      </c>
      <c r="L132" s="3">
        <v>8.99</v>
      </c>
      <c r="M132" s="3"/>
      <c r="N132" s="3">
        <f>IF($H132="","",M132*20%)</f>
      </c>
      <c r="O132" s="3">
        <v>1</v>
      </c>
      <c r="P132" s="3">
        <f>IF($H132="","",I132-J132-K132-L132-M132-N132-O132)</f>
      </c>
      <c r="Q132" s="3">
        <f>IF($H132="","",(P132-Y132)/G132*100)</f>
      </c>
      <c r="R132" s="3">
        <f>IF($H132="","",J132-N132)</f>
      </c>
      <c r="Z132" s="3">
        <f>IF($H132="","",P132-Y132)</f>
      </c>
    </row>
    <row r="133" spans="1:26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>
        <f>IF($H133="","",H133/100*11)</f>
      </c>
      <c r="L133" s="3">
        <v>8.99</v>
      </c>
      <c r="M133" s="3"/>
      <c r="N133" s="3">
        <f>IF($H133="","",M133*20%)</f>
      </c>
      <c r="O133" s="3">
        <v>1</v>
      </c>
      <c r="P133" s="3">
        <f>IF($H133="","",I133-J133-K133-L133-M133-N133-O133)</f>
      </c>
      <c r="Q133" s="3">
        <f>IF($H133="","",(P133-Y133)/G133*100)</f>
      </c>
      <c r="R133" s="3">
        <f>IF($H133="","",J133-N133)</f>
      </c>
      <c r="Z133" s="3">
        <f>IF($H133="","",P133-Y133)</f>
      </c>
    </row>
    <row r="134" spans="1:26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>
        <f>IF($H134="","",H134/100*11)</f>
      </c>
      <c r="L134" s="3">
        <v>8.99</v>
      </c>
      <c r="M134" s="3"/>
      <c r="N134" s="3">
        <f>IF($H134="","",M134*20%)</f>
      </c>
      <c r="O134" s="3">
        <v>1</v>
      </c>
      <c r="P134" s="3">
        <f>IF($H134="","",I134-J134-K134-L134-M134-N134-O134)</f>
      </c>
      <c r="Q134" s="3">
        <f>IF($H134="","",(P134-Y134)/G134*100)</f>
      </c>
      <c r="R134" s="3">
        <f>IF($H134="","",J134-N134)</f>
      </c>
      <c r="Z134" s="3">
        <f>IF($H134="","",P134-Y134)</f>
      </c>
    </row>
    <row r="135" spans="1:26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>
        <f>IF($H135="","",H135/100*11)</f>
      </c>
      <c r="L135" s="3">
        <v>8.99</v>
      </c>
      <c r="M135" s="3"/>
      <c r="N135" s="3">
        <f>IF($H135="","",M135*20%)</f>
      </c>
      <c r="O135" s="3">
        <v>1</v>
      </c>
      <c r="P135" s="3">
        <f>IF($H135="","",I135-J135-K135-L135-M135-N135-O135)</f>
      </c>
      <c r="Q135" s="3">
        <f>IF($H135="","",(P135-Y135)/G135*100)</f>
      </c>
      <c r="R135" s="3">
        <f>IF($H135="","",J135-N135)</f>
      </c>
      <c r="Z135" s="3">
        <f>IF($H135="","",P135-Y135)</f>
      </c>
    </row>
    <row r="136" spans="1:26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>
        <f>IF($H136="","",H136/100*11)</f>
      </c>
      <c r="L136" s="3">
        <v>8.99</v>
      </c>
      <c r="M136" s="3"/>
      <c r="N136" s="3">
        <f>IF($H136="","",M136*20%)</f>
      </c>
      <c r="O136" s="3">
        <v>1</v>
      </c>
      <c r="P136" s="3">
        <f>IF($H136="","",I136-J136-K136-L136-M136-N136-O136)</f>
      </c>
      <c r="Q136" s="3">
        <f>IF($H136="","",(P136-Y136)/G136*100)</f>
      </c>
      <c r="R136" s="3">
        <f>IF($H136="","",J136-N136)</f>
      </c>
      <c r="Z136" s="3">
        <f>IF($H136="","",P136-Y136)</f>
      </c>
    </row>
    <row r="137" spans="1:26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>
        <f>IF($H137="","",H137/100*11)</f>
      </c>
      <c r="L137" s="3">
        <v>8.99</v>
      </c>
      <c r="M137" s="3"/>
      <c r="N137" s="3">
        <f>IF($H137="","",M137*20%)</f>
      </c>
      <c r="O137" s="3">
        <v>1</v>
      </c>
      <c r="P137" s="3">
        <f>IF($H137="","",I137-J137-K137-L137-M137-N137-O137)</f>
      </c>
      <c r="Q137" s="3">
        <f>IF($H137="","",(P137-Y137)/G137*100)</f>
      </c>
      <c r="R137" s="3">
        <f>IF($H137="","",J137-N137)</f>
      </c>
      <c r="Z137" s="3">
        <f>IF($H137="","",P137-Y137)</f>
      </c>
    </row>
    <row r="138" spans="1:26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>
        <f>IF($H138="","",H138/100*11)</f>
      </c>
      <c r="L138" s="3">
        <v>8.99</v>
      </c>
      <c r="M138" s="3"/>
      <c r="N138" s="3">
        <f>IF($H138="","",M138*20%)</f>
      </c>
      <c r="O138" s="3">
        <v>1</v>
      </c>
      <c r="P138" s="3">
        <f>IF($H138="","",I138-J138-K138-L138-M138-N138-O138)</f>
      </c>
      <c r="Q138" s="3">
        <f>IF($H138="","",(P138-Y138)/G138*100)</f>
      </c>
      <c r="R138" s="3">
        <f>IF($H138="","",J138-N138)</f>
      </c>
      <c r="Z138" s="3">
        <f>IF($H138="","",P138-Y138)</f>
      </c>
    </row>
    <row r="139" spans="1:26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>
        <f>IF($H139="","",H139/100*11)</f>
      </c>
      <c r="L139" s="3">
        <v>8.99</v>
      </c>
      <c r="M139" s="3"/>
      <c r="N139" s="3">
        <f>IF($H139="","",M139*20%)</f>
      </c>
      <c r="O139" s="3">
        <v>1</v>
      </c>
      <c r="P139" s="3">
        <f>IF($H139="","",I139-J139-K139-L139-M139-N139-O139)</f>
      </c>
      <c r="Q139" s="3">
        <f>IF($H139="","",(P139-Y139)/G139*100)</f>
      </c>
      <c r="R139" s="3">
        <f>IF($H139="","",J139-N139)</f>
      </c>
      <c r="Z139" s="3">
        <f>IF($H139="","",P139-Y139)</f>
      </c>
    </row>
    <row r="140" spans="1:26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>
        <f>IF($H140="","",H140/100*11)</f>
      </c>
      <c r="L140" s="3">
        <v>8.99</v>
      </c>
      <c r="M140" s="3"/>
      <c r="N140" s="3">
        <f>IF($H140="","",M140*20%)</f>
      </c>
      <c r="O140" s="3">
        <v>1</v>
      </c>
      <c r="P140" s="3">
        <f>IF($H140="","",I140-J140-K140-L140-M140-N140-O140)</f>
      </c>
      <c r="Q140" s="3">
        <f>IF($H140="","",(P140-Y140)/G140*100)</f>
      </c>
      <c r="R140" s="3">
        <f>IF($H140="","",J140-N140)</f>
      </c>
      <c r="Z140" s="3">
        <f>IF($H140="","",P140-Y140)</f>
      </c>
    </row>
    <row r="141" spans="1:26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>
        <f>IF($H141="","",H141/100*11)</f>
      </c>
      <c r="L141" s="3">
        <v>8.99</v>
      </c>
      <c r="M141" s="3"/>
      <c r="N141" s="3">
        <f>IF($H141="","",M141*20%)</f>
      </c>
      <c r="O141" s="3">
        <v>1</v>
      </c>
      <c r="P141" s="3">
        <f>IF($H141="","",I141-J141-K141-L141-M141-N141-O141)</f>
      </c>
      <c r="Q141" s="3">
        <f>IF($H141="","",(P141-Y141)/G141*100)</f>
      </c>
      <c r="R141" s="3">
        <f>IF($H141="","",J141-N141)</f>
      </c>
      <c r="Z141" s="3">
        <f>IF($H141="","",P141-Y141)</f>
      </c>
    </row>
    <row r="142" spans="1:26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>
        <f>IF($H142="","",H142/100*11)</f>
      </c>
      <c r="L142" s="3">
        <v>8.99</v>
      </c>
      <c r="M142" s="3"/>
      <c r="N142" s="3">
        <f>IF($H142="","",M142*20%)</f>
      </c>
      <c r="O142" s="3">
        <v>1</v>
      </c>
      <c r="P142" s="3">
        <f>IF($H142="","",I142-J142-K142-L142-M142-N142-O142)</f>
      </c>
      <c r="Q142" s="3">
        <f>IF($H142="","",(P142-Y142)/G142*100)</f>
      </c>
      <c r="R142" s="3">
        <f>IF($H142="","",J142-N142)</f>
      </c>
      <c r="Z142" s="3">
        <f>IF($H142="","",P142-Y142)</f>
      </c>
    </row>
    <row r="143" spans="1:26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>
        <f>IF($H143="","",H143/100*11)</f>
      </c>
      <c r="L143" s="3">
        <v>8.99</v>
      </c>
      <c r="M143" s="3"/>
      <c r="N143" s="3">
        <f>IF($H143="","",M143*20%)</f>
      </c>
      <c r="O143" s="3">
        <v>1</v>
      </c>
      <c r="P143" s="3">
        <f>IF($H143="","",I143-J143-K143-L143-M143-N143-O143)</f>
      </c>
      <c r="Q143" s="3">
        <f>IF($H143="","",(P143-Y143)/G143*100)</f>
      </c>
      <c r="R143" s="3">
        <f>IF($H143="","",J143-N143)</f>
      </c>
      <c r="Z143" s="3">
        <f>IF($H143="","",P143-Y143)</f>
      </c>
    </row>
    <row r="144" spans="1:26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>
        <f>IF($H144="","",H144/100*11)</f>
      </c>
      <c r="L144" s="3">
        <v>8.99</v>
      </c>
      <c r="M144" s="3"/>
      <c r="N144" s="3">
        <f>IF($H144="","",M144*20%)</f>
      </c>
      <c r="O144" s="3">
        <v>1</v>
      </c>
      <c r="P144" s="3">
        <f>IF($H144="","",I144-J144-K144-L144-M144-N144-O144)</f>
      </c>
      <c r="Q144" s="3">
        <f>IF($H144="","",(P144-Y144)/G144*100)</f>
      </c>
      <c r="R144" s="3">
        <f>IF($H144="","",J144-N144)</f>
      </c>
      <c r="Z144" s="3">
        <f>IF($H144="","",P144-Y144)</f>
      </c>
    </row>
    <row r="145" spans="1:26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>
        <f>IF($H145="","",H145/100*11)</f>
      </c>
      <c r="L145" s="3">
        <v>8.99</v>
      </c>
      <c r="M145" s="3"/>
      <c r="N145" s="3">
        <f>IF($H145="","",M145*20%)</f>
      </c>
      <c r="O145" s="3">
        <v>1</v>
      </c>
      <c r="P145" s="3">
        <f>IF($H145="","",I145-J145-K145-L145-M145-N145-O145)</f>
      </c>
      <c r="Q145" s="3">
        <f>IF($H145="","",(P145-Y145)/G145*100)</f>
      </c>
      <c r="R145" s="3">
        <f>IF($H145="","",J145-N145)</f>
      </c>
      <c r="Z145" s="3">
        <f>IF($H145="","",P145-Y145)</f>
      </c>
    </row>
    <row r="146" spans="1:26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>
        <f>IF($H146="","",H146/100*11)</f>
      </c>
      <c r="L146" s="3">
        <v>8.99</v>
      </c>
      <c r="M146" s="3"/>
      <c r="N146" s="3">
        <f>IF($H146="","",M146*20%)</f>
      </c>
      <c r="O146" s="3">
        <v>1</v>
      </c>
      <c r="P146" s="3">
        <f>IF($H146="","",I146-J146-K146-L146-M146-N146-O146)</f>
      </c>
      <c r="Q146" s="3">
        <f>IF($H146="","",(P146-Y146)/G146*100)</f>
      </c>
      <c r="R146" s="3">
        <f>IF($H146="","",J146-N146)</f>
      </c>
      <c r="Z146" s="3">
        <f>IF($H146="","",P146-Y146)</f>
      </c>
    </row>
    <row r="147" spans="1:26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>
        <f>IF($H147="","",H147/100*11)</f>
      </c>
      <c r="L147" s="3">
        <v>8.99</v>
      </c>
      <c r="M147" s="3"/>
      <c r="N147" s="3">
        <f>IF($H147="","",M147*20%)</f>
      </c>
      <c r="O147" s="3">
        <v>1</v>
      </c>
      <c r="P147" s="3">
        <f>IF($H147="","",I147-J147-K147-L147-M147-N147-O147)</f>
      </c>
      <c r="Q147" s="3">
        <f>IF($H147="","",(P147-Y147)/G147*100)</f>
      </c>
      <c r="R147" s="3">
        <f>IF($H147="","",J147-N147)</f>
      </c>
      <c r="Z147" s="3">
        <f>IF($H147="","",P147-Y147)</f>
      </c>
    </row>
    <row r="148" spans="1:26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>
        <f>IF($H148="","",H148/100*11)</f>
      </c>
      <c r="L148" s="3">
        <v>8.99</v>
      </c>
      <c r="M148" s="3"/>
      <c r="N148" s="3">
        <f>IF($H148="","",M148*20%)</f>
      </c>
      <c r="O148" s="3">
        <v>1</v>
      </c>
      <c r="P148" s="3">
        <f>IF($H148="","",I148-J148-K148-L148-M148-N148-O148)</f>
      </c>
      <c r="Q148" s="3">
        <f>IF($H148="","",(P148-Y148)/G148*100)</f>
      </c>
      <c r="R148" s="3">
        <f>IF($H148="","",J148-N148)</f>
      </c>
      <c r="Z148" s="3">
        <f>IF($H148="","",P148-Y148)</f>
      </c>
    </row>
    <row r="149" spans="1:26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>
        <f>IF($H149="","",H149/100*11)</f>
      </c>
      <c r="L149" s="3">
        <v>8.99</v>
      </c>
      <c r="M149" s="3"/>
      <c r="N149" s="3">
        <f>IF($H149="","",M149*20%)</f>
      </c>
      <c r="O149" s="3">
        <v>1</v>
      </c>
      <c r="P149" s="3">
        <f>IF($H149="","",I149-J149-K149-L149-M149-N149-O149)</f>
      </c>
      <c r="Q149" s="3">
        <f>IF($H149="","",(P149-Y149)/G149*100)</f>
      </c>
      <c r="R149" s="3">
        <f>IF($H149="","",J149-N149)</f>
      </c>
      <c r="Z149" s="3">
        <f>IF($H149="","",P149-Y149)</f>
      </c>
    </row>
    <row r="150" spans="1:26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>
        <f>IF($H150="","",H150/100*11)</f>
      </c>
      <c r="L150" s="3">
        <v>8.99</v>
      </c>
      <c r="M150" s="3"/>
      <c r="N150" s="3">
        <f>IF($H150="","",M150*20%)</f>
      </c>
      <c r="O150" s="3">
        <v>1</v>
      </c>
      <c r="P150" s="3">
        <f>IF($H150="","",I150-J150-K150-L150-M150-N150-O150)</f>
      </c>
      <c r="Q150" s="3">
        <f>IF($H150="","",(P150-Y150)/G150*100)</f>
      </c>
      <c r="R150" s="3">
        <f>IF($H150="","",J150-N150)</f>
      </c>
      <c r="Z150" s="3">
        <f>IF($H150="","",P150-Y150)</f>
      </c>
    </row>
    <row r="151" spans="1:26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>
        <f>IF($H151="","",H151/100*11)</f>
      </c>
      <c r="L151" s="3">
        <v>8.99</v>
      </c>
      <c r="M151" s="3"/>
      <c r="N151" s="3">
        <f>IF($H151="","",M151*20%)</f>
      </c>
      <c r="O151" s="3">
        <v>1</v>
      </c>
      <c r="P151" s="3">
        <f>IF($H151="","",I151-J151-K151-L151-M151-N151-O151)</f>
      </c>
      <c r="Q151" s="3">
        <f>IF($H151="","",(P151-Y151)/G151*100)</f>
      </c>
      <c r="R151" s="3">
        <f>IF($H151="","",J151-N151)</f>
      </c>
      <c r="Z151" s="3">
        <f>IF($H151="","",P151-Y151)</f>
      </c>
    </row>
    <row r="152" spans="1:26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>
        <f>IF($H152="","",H152/100*11)</f>
      </c>
      <c r="L152" s="3">
        <v>8.99</v>
      </c>
      <c r="M152" s="3"/>
      <c r="N152" s="3">
        <f>IF($H152="","",M152*20%)</f>
      </c>
      <c r="O152" s="3">
        <v>1</v>
      </c>
      <c r="P152" s="3">
        <f>IF($H152="","",I152-J152-K152-L152-M152-N152-O152)</f>
      </c>
      <c r="Q152" s="3">
        <f>IF($H152="","",(P152-Y152)/G152*100)</f>
      </c>
      <c r="R152" s="3">
        <f>IF($H152="","",J152-N152)</f>
      </c>
      <c r="Z152" s="3">
        <f>IF($H152="","",P152-Y152)</f>
      </c>
    </row>
    <row r="153" spans="1:26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>
        <f>IF($H153="","",H153/100*11)</f>
      </c>
      <c r="L153" s="3">
        <v>8.99</v>
      </c>
      <c r="M153" s="3"/>
      <c r="N153" s="3">
        <f>IF($H153="","",M153*20%)</f>
      </c>
      <c r="O153" s="3">
        <v>1</v>
      </c>
      <c r="P153" s="3">
        <f>IF($H153="","",I153-J153-K153-L153-M153-N153-O153)</f>
      </c>
      <c r="Q153" s="3">
        <f>IF($H153="","",(P153-Y153)/G153*100)</f>
      </c>
      <c r="R153" s="3">
        <f>IF($H153="","",J153-N153)</f>
      </c>
      <c r="Z153" s="3">
        <f>IF($H153="","",P153-Y153)</f>
      </c>
    </row>
    <row r="154" spans="1:26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>
        <f>IF($H154="","",H154/100*11)</f>
      </c>
      <c r="L154" s="3">
        <v>8.99</v>
      </c>
      <c r="M154" s="3"/>
      <c r="N154" s="3">
        <f>IF($H154="","",M154*20%)</f>
      </c>
      <c r="O154" s="3">
        <v>1</v>
      </c>
      <c r="P154" s="3">
        <f>IF($H154="","",I154-J154-K154-L154-M154-N154-O154)</f>
      </c>
      <c r="Q154" s="3">
        <f>IF($H154="","",(P154-Y154)/G154*100)</f>
      </c>
      <c r="R154" s="3">
        <f>IF($H154="","",J154-N154)</f>
      </c>
      <c r="Z154" s="3">
        <f>IF($H154="","",P154-Y154)</f>
      </c>
    </row>
    <row r="155" spans="1:26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>
        <f>IF($H155="","",H155/100*11)</f>
      </c>
      <c r="L155" s="3">
        <v>8.99</v>
      </c>
      <c r="M155" s="3"/>
      <c r="N155" s="3">
        <f>IF($H155="","",M155*20%)</f>
      </c>
      <c r="O155" s="3">
        <v>1</v>
      </c>
      <c r="P155" s="3">
        <f>IF($H155="","",I155-J155-K155-L155-M155-N155-O155)</f>
      </c>
      <c r="Q155" s="3">
        <f>IF($H155="","",(P155-Y155)/G155*100)</f>
      </c>
      <c r="R155" s="3">
        <f>IF($H155="","",J155-N155)</f>
      </c>
      <c r="Z155" s="3">
        <f>IF($H155="","",P155-Y155)</f>
      </c>
    </row>
    <row r="156" spans="1:26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>
        <f>IF($H156="","",H156/100*11)</f>
      </c>
      <c r="L156" s="3">
        <v>8.99</v>
      </c>
      <c r="M156" s="3"/>
      <c r="N156" s="3">
        <f>IF($H156="","",M156*20%)</f>
      </c>
      <c r="O156" s="3">
        <v>1</v>
      </c>
      <c r="P156" s="3">
        <f>IF($H156="","",I156-J156-K156-L156-M156-N156-O156)</f>
      </c>
      <c r="Q156" s="3">
        <f>IF($H156="","",(P156-Y156)/G156*100)</f>
      </c>
      <c r="R156" s="3">
        <f>IF($H156="","",J156-N156)</f>
      </c>
      <c r="Z156" s="3">
        <f>IF($H156="","",P156-Y156)</f>
      </c>
    </row>
    <row r="157" spans="1:26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>
        <f>IF($H157="","",H157/100*11)</f>
      </c>
      <c r="L157" s="3">
        <v>8.99</v>
      </c>
      <c r="M157" s="3"/>
      <c r="N157" s="3">
        <f>IF($H157="","",M157*20%)</f>
      </c>
      <c r="O157" s="3">
        <v>1</v>
      </c>
      <c r="P157" s="3">
        <f>IF($H157="","",I157-J157-K157-L157-M157-N157-O157)</f>
      </c>
      <c r="Q157" s="3">
        <f>IF($H157="","",(P157-Y157)/G157*100)</f>
      </c>
      <c r="R157" s="3">
        <f>IF($H157="","",J157-N157)</f>
      </c>
      <c r="Z157" s="3">
        <f>IF($H157="","",P157-Y157)</f>
      </c>
    </row>
    <row r="158" spans="1:26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>
        <f>IF($H158="","",H158/100*11)</f>
      </c>
      <c r="L158" s="3">
        <v>8.99</v>
      </c>
      <c r="M158" s="3"/>
      <c r="N158" s="3">
        <f>IF($H158="","",M158*20%)</f>
      </c>
      <c r="O158" s="3">
        <v>1</v>
      </c>
      <c r="P158" s="3">
        <f>IF($H158="","",I158-J158-K158-L158-M158-N158-O158)</f>
      </c>
      <c r="Q158" s="3">
        <f>IF($H158="","",(P158-Y158)/G158*100)</f>
      </c>
      <c r="R158" s="3">
        <f>IF($H158="","",J158-N158)</f>
      </c>
      <c r="Z158" s="3">
        <f>IF($H158="","",P158-Y158)</f>
      </c>
    </row>
    <row r="159" spans="1:26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>
        <f>IF($H159="","",H159/100*11)</f>
      </c>
      <c r="L159" s="3">
        <v>8.99</v>
      </c>
      <c r="M159" s="3"/>
      <c r="N159" s="3">
        <f>IF($H159="","",M159*20%)</f>
      </c>
      <c r="O159" s="3">
        <v>1</v>
      </c>
      <c r="P159" s="3">
        <f>IF($H159="","",I159-J159-K159-L159-M159-N159-O159)</f>
      </c>
      <c r="Q159" s="3">
        <f>IF($H159="","",(P159-Y159)/G159*100)</f>
      </c>
      <c r="R159" s="3">
        <f>IF($H159="","",J159-N159)</f>
      </c>
      <c r="Z159" s="3">
        <f>IF($H159="","",P159-Y159)</f>
      </c>
    </row>
    <row r="160" spans="1:26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>
        <f>IF($H160="","",H160/100*11)</f>
      </c>
      <c r="L160" s="3">
        <v>8.99</v>
      </c>
      <c r="M160" s="3"/>
      <c r="N160" s="3">
        <f>IF($H160="","",M160*20%)</f>
      </c>
      <c r="O160" s="3">
        <v>1</v>
      </c>
      <c r="P160" s="3">
        <f>IF($H160="","",I160-J160-K160-L160-M160-N160-O160)</f>
      </c>
      <c r="Q160" s="3">
        <f>IF($H160="","",(P160-Y160)/G160*100)</f>
      </c>
      <c r="R160" s="3">
        <f>IF($H160="","",J160-N160)</f>
      </c>
      <c r="Z160" s="3">
        <f>IF($H160="","",P160-Y160)</f>
      </c>
    </row>
    <row r="161" spans="1:26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>
        <f>IF($H161="","",H161/100*11)</f>
      </c>
      <c r="L161" s="3">
        <v>8.99</v>
      </c>
      <c r="M161" s="3"/>
      <c r="N161" s="3">
        <f>IF($H161="","",M161*20%)</f>
      </c>
      <c r="O161" s="3">
        <v>1</v>
      </c>
      <c r="P161" s="3">
        <f>IF($H161="","",I161-J161-K161-L161-M161-N161-O161)</f>
      </c>
      <c r="Q161" s="3">
        <f>IF($H161="","",(P161-Y161)/G161*100)</f>
      </c>
      <c r="R161" s="3">
        <f>IF($H161="","",J161-N161)</f>
      </c>
      <c r="Z161" s="3">
        <f>IF($H161="","",P161-Y161)</f>
      </c>
    </row>
    <row r="162" spans="1:26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>
        <f>IF($H162="","",H162/100*11)</f>
      </c>
      <c r="L162" s="3">
        <v>8.99</v>
      </c>
      <c r="M162" s="3"/>
      <c r="N162" s="3">
        <f>IF($H162="","",M162*20%)</f>
      </c>
      <c r="O162" s="3">
        <v>1</v>
      </c>
      <c r="P162" s="3">
        <f>IF($H162="","",I162-J162-K162-L162-M162-N162-O162)</f>
      </c>
      <c r="Q162" s="3">
        <f>IF($H162="","",(P162-Y162)/G162*100)</f>
      </c>
      <c r="R162" s="3">
        <f>IF($H162="","",J162-N162)</f>
      </c>
      <c r="Z162" s="3">
        <f>IF($H162="","",P162-Y162)</f>
      </c>
    </row>
    <row r="163" spans="1:26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>
        <f>IF($H163="","",H163/100*11)</f>
      </c>
      <c r="L163" s="3">
        <v>8.99</v>
      </c>
      <c r="M163" s="3"/>
      <c r="N163" s="3">
        <f>IF($H163="","",M163*20%)</f>
      </c>
      <c r="O163" s="3">
        <v>1</v>
      </c>
      <c r="P163" s="3">
        <f>IF($H163="","",I163-J163-K163-L163-M163-N163-O163)</f>
      </c>
      <c r="Q163" s="3">
        <f>IF($H163="","",(P163-Y163)/G163*100)</f>
      </c>
      <c r="R163" s="3">
        <f>IF($H163="","",J163-N163)</f>
      </c>
      <c r="Z163" s="3">
        <f>IF($H163="","",P163-Y163)</f>
      </c>
    </row>
    <row r="164" spans="1:26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>
        <f>IF($H164="","",H164/100*11)</f>
      </c>
      <c r="L164" s="3">
        <v>8.99</v>
      </c>
      <c r="M164" s="3"/>
      <c r="N164" s="3">
        <f>IF($H164="","",M164*20%)</f>
      </c>
      <c r="O164" s="3">
        <v>1</v>
      </c>
      <c r="P164" s="3">
        <f>IF($H164="","",I164-J164-K164-L164-M164-N164-O164)</f>
      </c>
      <c r="Q164" s="3">
        <f>IF($H164="","",(P164-Y164)/G164*100)</f>
      </c>
      <c r="R164" s="3">
        <f>IF($H164="","",J164-N164)</f>
      </c>
      <c r="Z164" s="3">
        <f>IF($H164="","",P164-Y164)</f>
      </c>
    </row>
    <row r="165" spans="1:26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>
        <f>IF($H165="","",H165/100*11)</f>
      </c>
      <c r="L165" s="3">
        <v>8.99</v>
      </c>
      <c r="M165" s="3"/>
      <c r="N165" s="3">
        <f>IF($H165="","",M165*20%)</f>
      </c>
      <c r="O165" s="3">
        <v>1</v>
      </c>
      <c r="P165" s="3">
        <f>IF($H165="","",I165-J165-K165-L165-M165-N165-O165)</f>
      </c>
      <c r="Q165" s="3">
        <f>IF($H165="","",(P165-Y165)/G165*100)</f>
      </c>
      <c r="R165" s="3">
        <f>IF($H165="","",J165-N165)</f>
      </c>
      <c r="Z165" s="3">
        <f>IF($H165="","",P165-Y165)</f>
      </c>
    </row>
    <row r="166" spans="1:26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>
        <f>IF($H166="","",H166/100*11)</f>
      </c>
      <c r="L166" s="3">
        <v>8.99</v>
      </c>
      <c r="M166" s="3"/>
      <c r="N166" s="3">
        <f>IF($H166="","",M166*20%)</f>
      </c>
      <c r="O166" s="3">
        <v>1</v>
      </c>
      <c r="P166" s="3">
        <f>IF($H166="","",I166-J166-K166-L166-M166-N166-O166)</f>
      </c>
      <c r="Q166" s="3">
        <f>IF($H166="","",(P166-Y166)/G166*100)</f>
      </c>
      <c r="R166" s="3">
        <f>IF($H166="","",J166-N166)</f>
      </c>
      <c r="Z166" s="3">
        <f>IF($H166="","",P166-Y166)</f>
      </c>
    </row>
    <row r="167" spans="1:26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>
        <f>IF($H167="","",H167/100*11)</f>
      </c>
      <c r="L167" s="3">
        <v>8.99</v>
      </c>
      <c r="M167" s="3"/>
      <c r="N167" s="3">
        <f>IF($H167="","",M167*20%)</f>
      </c>
      <c r="O167" s="3">
        <v>1</v>
      </c>
      <c r="P167" s="3">
        <f>IF($H167="","",I167-J167-K167-L167-M167-N167-O167)</f>
      </c>
      <c r="Q167" s="3">
        <f>IF($H167="","",(P167-Y167)/G167*100)</f>
      </c>
      <c r="R167" s="3">
        <f>IF($H167="","",J167-N167)</f>
      </c>
      <c r="Z167" s="3">
        <f>IF($H167="","",P167-Y167)</f>
      </c>
    </row>
    <row r="168" spans="1:26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>
        <f>IF($H168="","",H168/100*11)</f>
      </c>
      <c r="L168" s="3">
        <v>8.99</v>
      </c>
      <c r="M168" s="3"/>
      <c r="N168" s="3">
        <f>IF($H168="","",M168*20%)</f>
      </c>
      <c r="O168" s="3">
        <v>1</v>
      </c>
      <c r="P168" s="3">
        <f>IF($H168="","",I168-J168-K168-L168-M168-N168-O168)</f>
      </c>
      <c r="Q168" s="3">
        <f>IF($H168="","",(P168-Y168)/G168*100)</f>
      </c>
      <c r="R168" s="3">
        <f>IF($H168="","",J168-N168)</f>
      </c>
      <c r="Z168" s="3">
        <f>IF($H168="","",P168-Y168)</f>
      </c>
    </row>
    <row r="169" spans="1:26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>
        <f>IF($H169="","",H169/100*11)</f>
      </c>
      <c r="L169" s="3">
        <v>8.99</v>
      </c>
      <c r="M169" s="3"/>
      <c r="N169" s="3">
        <f>IF($H169="","",M169*20%)</f>
      </c>
      <c r="O169" s="3">
        <v>1</v>
      </c>
      <c r="P169" s="3">
        <f>IF($H169="","",I169-J169-K169-L169-M169-N169-O169)</f>
      </c>
      <c r="Q169" s="3">
        <f>IF($H169="","",(P169-Y169)/G169*100)</f>
      </c>
      <c r="R169" s="3">
        <f>IF($H169="","",J169-N169)</f>
      </c>
      <c r="Z169" s="3">
        <f>IF($H169="","",P169-Y169)</f>
      </c>
    </row>
    <row r="170" spans="1:26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>
        <f>IF($H170="","",H170/100*11)</f>
      </c>
      <c r="L170" s="3">
        <v>8.99</v>
      </c>
      <c r="M170" s="3"/>
      <c r="N170" s="3">
        <f>IF($H170="","",M170*20%)</f>
      </c>
      <c r="O170" s="3">
        <v>1</v>
      </c>
      <c r="P170" s="3">
        <f>IF($H170="","",I170-J170-K170-L170-M170-N170-O170)</f>
      </c>
      <c r="Q170" s="3">
        <f>IF($H170="","",(P170-Y170)/G170*100)</f>
      </c>
      <c r="R170" s="3">
        <f>IF($H170="","",J170-N170)</f>
      </c>
      <c r="Z170" s="3">
        <f>IF($H170="","",P170-Y170)</f>
      </c>
    </row>
    <row r="171" spans="1:26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>
        <f>IF($H171="","",H171/100*11)</f>
      </c>
      <c r="L171" s="3">
        <v>8.99</v>
      </c>
      <c r="M171" s="3"/>
      <c r="N171" s="3">
        <f>IF($H171="","",M171*20%)</f>
      </c>
      <c r="O171" s="3">
        <v>1</v>
      </c>
      <c r="P171" s="3">
        <f>IF($H171="","",I171-J171-K171-L171-M171-N171-O171)</f>
      </c>
      <c r="Q171" s="3">
        <f>IF($H171="","",(P171-Y171)/G171*100)</f>
      </c>
      <c r="R171" s="3">
        <f>IF($H171="","",J171-N171)</f>
      </c>
      <c r="Z171" s="3">
        <f>IF($H171="","",P171-Y171)</f>
      </c>
    </row>
    <row r="172" spans="1:26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>
        <f>IF($H172="","",H172/100*11)</f>
      </c>
      <c r="L172" s="3">
        <v>8.99</v>
      </c>
      <c r="M172" s="3"/>
      <c r="N172" s="3">
        <f>IF($H172="","",M172*20%)</f>
      </c>
      <c r="O172" s="3">
        <v>1</v>
      </c>
      <c r="P172" s="3">
        <f>IF($H172="","",I172-J172-K172-L172-M172-N172-O172)</f>
      </c>
      <c r="Q172" s="3">
        <f>IF($H172="","",(P172-Y172)/G172*100)</f>
      </c>
      <c r="R172" s="3">
        <f>IF($H172="","",J172-N172)</f>
      </c>
      <c r="Z172" s="3">
        <f>IF($H172="","",P172-Y172)</f>
      </c>
    </row>
    <row r="173" spans="1:26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>
        <f>IF($H173="","",H173/100*11)</f>
      </c>
      <c r="L173" s="3">
        <v>8.99</v>
      </c>
      <c r="M173" s="3"/>
      <c r="N173" s="3">
        <f>IF($H173="","",M173*20%)</f>
      </c>
      <c r="O173" s="3">
        <v>1</v>
      </c>
      <c r="P173" s="3">
        <f>IF($H173="","",I173-J173-K173-L173-M173-N173-O173)</f>
      </c>
      <c r="Q173" s="3">
        <f>IF($H173="","",(P173-Y173)/G173*100)</f>
      </c>
      <c r="R173" s="3">
        <f>IF($H173="","",J173-N173)</f>
      </c>
      <c r="Z173" s="3">
        <f>IF($H173="","",P173-Y173)</f>
      </c>
    </row>
    <row r="174" spans="1:26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>
        <f>IF($H174="","",H174/100*11)</f>
      </c>
      <c r="L174" s="3">
        <v>8.99</v>
      </c>
      <c r="M174" s="3"/>
      <c r="N174" s="3">
        <f>IF($H174="","",M174*20%)</f>
      </c>
      <c r="O174" s="3">
        <v>1</v>
      </c>
      <c r="P174" s="3">
        <f>IF($H174="","",I174-J174-K174-L174-M174-N174-O174)</f>
      </c>
      <c r="Q174" s="3">
        <f>IF($H174="","",(P174-Y174)/G174*100)</f>
      </c>
      <c r="R174" s="3">
        <f>IF($H174="","",J174-N174)</f>
      </c>
      <c r="Z174" s="3">
        <f>IF($H174="","",P174-Y174)</f>
      </c>
    </row>
    <row r="175" spans="1:26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>
        <f>IF($H175="","",H175/100*11)</f>
      </c>
      <c r="L175" s="3">
        <v>8.99</v>
      </c>
      <c r="M175" s="3"/>
      <c r="N175" s="3">
        <f>IF($H175="","",M175*20%)</f>
      </c>
      <c r="O175" s="3">
        <v>1</v>
      </c>
      <c r="P175" s="3">
        <f>IF($H175="","",I175-J175-K175-L175-M175-N175-O175)</f>
      </c>
      <c r="Q175" s="3">
        <f>IF($H175="","",(P175-Y175)/G175*100)</f>
      </c>
      <c r="R175" s="3">
        <f>IF($H175="","",J175-N175)</f>
      </c>
      <c r="Z175" s="3">
        <f>IF($H175="","",P175-Y175)</f>
      </c>
    </row>
    <row r="176" spans="1:26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>
        <f>IF($H176="","",H176/100*11)</f>
      </c>
      <c r="L176" s="3">
        <v>8.99</v>
      </c>
      <c r="M176" s="3"/>
      <c r="N176" s="3">
        <f>IF($H176="","",M176*20%)</f>
      </c>
      <c r="O176" s="3">
        <v>1</v>
      </c>
      <c r="P176" s="3">
        <f>IF($H176="","",I176-J176-K176-L176-M176-N176-O176)</f>
      </c>
      <c r="Q176" s="3">
        <f>IF($H176="","",(P176-Y176)/G176*100)</f>
      </c>
      <c r="R176" s="3">
        <f>IF($H176="","",J176-N176)</f>
      </c>
      <c r="Z176" s="3">
        <f>IF($H176="","",P176-Y176)</f>
      </c>
    </row>
    <row r="177" spans="1:26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>
        <f>IF($H177="","",H177/100*11)</f>
      </c>
      <c r="L177" s="3">
        <v>8.99</v>
      </c>
      <c r="M177" s="3"/>
      <c r="N177" s="3">
        <f>IF($H177="","",M177*20%)</f>
      </c>
      <c r="O177" s="3">
        <v>1</v>
      </c>
      <c r="P177" s="3">
        <f>IF($H177="","",I177-J177-K177-L177-M177-N177-O177)</f>
      </c>
      <c r="Q177" s="3">
        <f>IF($H177="","",(P177-Y177)/G177*100)</f>
      </c>
      <c r="R177" s="3">
        <f>IF($H177="","",J177-N177)</f>
      </c>
      <c r="Z177" s="3">
        <f>IF($H177="","",P177-Y177)</f>
      </c>
    </row>
    <row r="178" spans="1:26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>
        <f>IF($H178="","",H178/100*11)</f>
      </c>
      <c r="L178" s="3">
        <v>8.99</v>
      </c>
      <c r="M178" s="3"/>
      <c r="N178" s="3">
        <f>IF($H178="","",M178*20%)</f>
      </c>
      <c r="O178" s="3">
        <v>1</v>
      </c>
      <c r="P178" s="3">
        <f>IF($H178="","",I178-J178-K178-L178-M178-N178-O178)</f>
      </c>
      <c r="Q178" s="3">
        <f>IF($H178="","",(P178-Y178)/G178*100)</f>
      </c>
      <c r="R178" s="3">
        <f>IF($H178="","",J178-N178)</f>
      </c>
      <c r="Z178" s="3">
        <f>IF($H178="","",P178-Y178)</f>
      </c>
    </row>
    <row r="179" spans="1:26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>
        <f>IF($H179="","",H179/100*11)</f>
      </c>
      <c r="L179" s="3">
        <v>8.99</v>
      </c>
      <c r="M179" s="3"/>
      <c r="N179" s="3">
        <f>IF($H179="","",M179*20%)</f>
      </c>
      <c r="O179" s="3">
        <v>1</v>
      </c>
      <c r="P179" s="3">
        <f>IF($H179="","",I179-J179-K179-L179-M179-N179-O179)</f>
      </c>
      <c r="Q179" s="3">
        <f>IF($H179="","",(P179-Y179)/G179*100)</f>
      </c>
      <c r="R179" s="3">
        <f>IF($H179="","",J179-N179)</f>
      </c>
      <c r="Z179" s="3">
        <f>IF($H179="","",P179-Y179)</f>
      </c>
    </row>
    <row r="180" spans="1:26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>
        <f>IF($H180="","",H180/100*11)</f>
      </c>
      <c r="L180" s="3">
        <v>8.99</v>
      </c>
      <c r="M180" s="3"/>
      <c r="N180" s="3">
        <f>IF($H180="","",M180*20%)</f>
      </c>
      <c r="O180" s="3">
        <v>1</v>
      </c>
      <c r="P180" s="3">
        <f>IF($H180="","",I180-J180-K180-L180-M180-N180-O180)</f>
      </c>
      <c r="Q180" s="3">
        <f>IF($H180="","",(P180-Y180)/G180*100)</f>
      </c>
      <c r="R180" s="3">
        <f>IF($H180="","",J180-N180)</f>
      </c>
      <c r="Z180" s="3">
        <f>IF($H180="","",P180-Y180)</f>
      </c>
    </row>
    <row r="181" spans="1:26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>
        <f>IF($H181="","",H181/100*11)</f>
      </c>
      <c r="L181" s="3">
        <v>8.99</v>
      </c>
      <c r="M181" s="3"/>
      <c r="N181" s="3">
        <f>IF($H181="","",M181*20%)</f>
      </c>
      <c r="O181" s="3">
        <v>1</v>
      </c>
      <c r="P181" s="3">
        <f>IF($H181="","",I181-J181-K181-L181-M181-N181-O181)</f>
      </c>
      <c r="Q181" s="3">
        <f>IF($H181="","",(P181-Y181)/G181*100)</f>
      </c>
      <c r="R181" s="3">
        <f>IF($H181="","",J181-N181)</f>
      </c>
      <c r="Z181" s="3">
        <f>IF($H181="","",P181-Y181)</f>
      </c>
    </row>
    <row r="182" spans="1:26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>
        <f>IF($H182="","",H182/100*11)</f>
      </c>
      <c r="L182" s="3">
        <v>8.99</v>
      </c>
      <c r="M182" s="3"/>
      <c r="N182" s="3">
        <f>IF($H182="","",M182*20%)</f>
      </c>
      <c r="O182" s="3">
        <v>1</v>
      </c>
      <c r="P182" s="3">
        <f>IF($H182="","",I182-J182-K182-L182-M182-N182-O182)</f>
      </c>
      <c r="Q182" s="3">
        <f>IF($H182="","",(P182-Y182)/G182*100)</f>
      </c>
      <c r="R182" s="3">
        <f>IF($H182="","",J182-N182)</f>
      </c>
      <c r="Z182" s="3">
        <f>IF($H182="","",P182-Y182)</f>
      </c>
    </row>
    <row r="183" spans="1:26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>
        <f>IF($H183="","",H183/100*11)</f>
      </c>
      <c r="L183" s="3">
        <v>8.99</v>
      </c>
      <c r="M183" s="3"/>
      <c r="N183" s="3">
        <f>IF($H183="","",M183*20%)</f>
      </c>
      <c r="O183" s="3">
        <v>1</v>
      </c>
      <c r="P183" s="3">
        <f>IF($H183="","",I183-J183-K183-L183-M183-N183-O183)</f>
      </c>
      <c r="Q183" s="3">
        <f>IF($H183="","",(P183-Y183)/G183*100)</f>
      </c>
      <c r="R183" s="3">
        <f>IF($H183="","",J183-N183)</f>
      </c>
      <c r="Z183" s="3">
        <f>IF($H183="","",P183-Y183)</f>
      </c>
    </row>
    <row r="184" spans="1:26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>
        <f>IF($H184="","",H184/100*11)</f>
      </c>
      <c r="L184" s="3">
        <v>8.99</v>
      </c>
      <c r="M184" s="3"/>
      <c r="N184" s="3">
        <f>IF($H184="","",M184*20%)</f>
      </c>
      <c r="O184" s="3">
        <v>1</v>
      </c>
      <c r="P184" s="3">
        <f>IF($H184="","",I184-J184-K184-L184-M184-N184-O184)</f>
      </c>
      <c r="Q184" s="3">
        <f>IF($H184="","",(P184-Y184)/G184*100)</f>
      </c>
      <c r="R184" s="3">
        <f>IF($H184="","",J184-N184)</f>
      </c>
      <c r="Z184" s="3">
        <f>IF($H184="","",P184-Y184)</f>
      </c>
    </row>
    <row r="185" spans="1:26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>
        <f>IF($H185="","",H185/100*11)</f>
      </c>
      <c r="L185" s="3">
        <v>8.99</v>
      </c>
      <c r="M185" s="3"/>
      <c r="N185" s="3">
        <f>IF($H185="","",M185*20%)</f>
      </c>
      <c r="O185" s="3">
        <v>1</v>
      </c>
      <c r="P185" s="3">
        <f>IF($H185="","",I185-J185-K185-L185-M185-N185-O185)</f>
      </c>
      <c r="Q185" s="3">
        <f>IF($H185="","",(P185-Y185)/G185*100)</f>
      </c>
      <c r="R185" s="3">
        <f>IF($H185="","",J185-N185)</f>
      </c>
      <c r="Z185" s="3">
        <f>IF($H185="","",P185-Y185)</f>
      </c>
    </row>
    <row r="186" spans="1:26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>
        <f>IF($H186="","",H186/100*11)</f>
      </c>
      <c r="L186" s="3">
        <v>8.99</v>
      </c>
      <c r="M186" s="3"/>
      <c r="N186" s="3">
        <f>IF($H186="","",M186*20%)</f>
      </c>
      <c r="O186" s="3">
        <v>1</v>
      </c>
      <c r="P186" s="3">
        <f>IF($H186="","",I186-J186-K186-L186-M186-N186-O186)</f>
      </c>
      <c r="Q186" s="3">
        <f>IF($H186="","",(P186-Y186)/G186*100)</f>
      </c>
      <c r="R186" s="3">
        <f>IF($H186="","",J186-N186)</f>
      </c>
      <c r="Z186" s="3">
        <f>IF($H186="","",P186-Y186)</f>
      </c>
    </row>
    <row r="187" spans="1:26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>
        <f>IF($H187="","",H187/100*11)</f>
      </c>
      <c r="L187" s="3">
        <v>8.99</v>
      </c>
      <c r="M187" s="3"/>
      <c r="N187" s="3">
        <f>IF($H187="","",M187*20%)</f>
      </c>
      <c r="O187" s="3">
        <v>1</v>
      </c>
      <c r="P187" s="3">
        <f>IF($H187="","",I187-J187-K187-L187-M187-N187-O187)</f>
      </c>
      <c r="Q187" s="3">
        <f>IF($H187="","",(P187-Y187)/G187*100)</f>
      </c>
      <c r="R187" s="3">
        <f>IF($H187="","",J187-N187)</f>
      </c>
      <c r="Z187" s="3">
        <f>IF($H187="","",P187-Y187)</f>
      </c>
    </row>
    <row r="188" spans="1:26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>
        <f>IF($H188="","",H188/100*11)</f>
      </c>
      <c r="L188" s="3">
        <v>8.99</v>
      </c>
      <c r="M188" s="3"/>
      <c r="N188" s="3">
        <f>IF($H188="","",M188*20%)</f>
      </c>
      <c r="O188" s="3">
        <v>1</v>
      </c>
      <c r="P188" s="3">
        <f>IF($H188="","",I188-J188-K188-L188-M188-N188-O188)</f>
      </c>
      <c r="Q188" s="3">
        <f>IF($H188="","",(P188-Y188)/G188*100)</f>
      </c>
      <c r="R188" s="3">
        <f>IF($H188="","",J188-N188)</f>
      </c>
      <c r="Z188" s="3">
        <f>IF($H188="","",P188-Y188)</f>
      </c>
    </row>
    <row r="189" spans="1:26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>
        <f>IF($H189="","",H189/100*11)</f>
      </c>
      <c r="L189" s="3">
        <v>8.99</v>
      </c>
      <c r="M189" s="3"/>
      <c r="N189" s="3">
        <f>IF($H189="","",M189*20%)</f>
      </c>
      <c r="O189" s="3">
        <v>1</v>
      </c>
      <c r="P189" s="3">
        <f>IF($H189="","",I189-J189-K189-L189-M189-N189-O189)</f>
      </c>
      <c r="Q189" s="3">
        <f>IF($H189="","",(P189-Y189)/G189*100)</f>
      </c>
      <c r="R189" s="3">
        <f>IF($H189="","",J189-N189)</f>
      </c>
      <c r="Z189" s="3">
        <f>IF($H189="","",P189-Y189)</f>
      </c>
    </row>
    <row r="190" spans="1:26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>
        <f>IF($H190="","",H190/100*11)</f>
      </c>
      <c r="L190" s="3">
        <v>8.99</v>
      </c>
      <c r="M190" s="3"/>
      <c r="N190" s="3">
        <f>IF($H190="","",M190*20%)</f>
      </c>
      <c r="O190" s="3">
        <v>1</v>
      </c>
      <c r="P190" s="3">
        <f>IF($H190="","",I190-J190-K190-L190-M190-N190-O190)</f>
      </c>
      <c r="Q190" s="3">
        <f>IF($H190="","",(P190-Y190)/G190*100)</f>
      </c>
      <c r="R190" s="3">
        <f>IF($H190="","",J190-N190)</f>
      </c>
      <c r="Z190" s="3">
        <f>IF($H190="","",P190-Y190)</f>
      </c>
    </row>
    <row r="191" spans="1:26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>
        <f>IF($H191="","",H191/100*11)</f>
      </c>
      <c r="L191" s="3">
        <v>8.99</v>
      </c>
      <c r="M191" s="3"/>
      <c r="N191" s="3">
        <f>IF($H191="","",M191*20%)</f>
      </c>
      <c r="O191" s="3">
        <v>1</v>
      </c>
      <c r="P191" s="3">
        <f>IF($H191="","",I191-J191-K191-L191-M191-N191-O191)</f>
      </c>
      <c r="Q191" s="3">
        <f>IF($H191="","",(P191-Y191)/G191*100)</f>
      </c>
      <c r="R191" s="3">
        <f>IF($H191="","",J191-N191)</f>
      </c>
      <c r="Z191" s="3">
        <f>IF($H191="","",P191-Y191)</f>
      </c>
    </row>
    <row r="192" spans="1:26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>
        <f>IF($H192="","",H192/100*11)</f>
      </c>
      <c r="L192" s="3">
        <v>8.99</v>
      </c>
      <c r="M192" s="3"/>
      <c r="N192" s="3">
        <f>IF($H192="","",M192*20%)</f>
      </c>
      <c r="O192" s="3">
        <v>1</v>
      </c>
      <c r="P192" s="3">
        <f>IF($H192="","",I192-J192-K192-L192-M192-N192-O192)</f>
      </c>
      <c r="Q192" s="3">
        <f>IF($H192="","",(P192-Y192)/G192*100)</f>
      </c>
      <c r="R192" s="3">
        <f>IF($H192="","",J192-N192)</f>
      </c>
      <c r="Z192" s="3">
        <f>IF($H192="","",P192-Y192)</f>
      </c>
    </row>
    <row r="193" spans="1:26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>
        <f>IF($H193="","",H193/100*11)</f>
      </c>
      <c r="L193" s="3">
        <v>8.99</v>
      </c>
      <c r="M193" s="3"/>
      <c r="N193" s="3">
        <f>IF($H193="","",M193*20%)</f>
      </c>
      <c r="O193" s="3">
        <v>1</v>
      </c>
      <c r="P193" s="3">
        <f>IF($H193="","",I193-J193-K193-L193-M193-N193-O193)</f>
      </c>
      <c r="Q193" s="3">
        <f>IF($H193="","",(P193-Y193)/G193*100)</f>
      </c>
      <c r="R193" s="3">
        <f>IF($H193="","",J193-N193)</f>
      </c>
      <c r="Z193" s="3">
        <f>IF($H193="","",P193-Y193)</f>
      </c>
    </row>
    <row r="194" spans="1:26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>
        <f>IF($H194="","",H194/100*11)</f>
      </c>
      <c r="L194" s="3">
        <v>8.99</v>
      </c>
      <c r="M194" s="3"/>
      <c r="N194" s="3">
        <f>IF($H194="","",M194*20%)</f>
      </c>
      <c r="O194" s="3">
        <v>1</v>
      </c>
      <c r="P194" s="3">
        <f>IF($H194="","",I194-J194-K194-L194-M194-N194-O194)</f>
      </c>
      <c r="Q194" s="3">
        <f>IF($H194="","",(P194-Y194)/G194*100)</f>
      </c>
      <c r="R194" s="3">
        <f>IF($H194="","",J194-N194)</f>
      </c>
      <c r="Z194" s="3">
        <f>IF($H194="","",P194-Y194)</f>
      </c>
    </row>
    <row r="195" spans="1:26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>
        <f>IF($H195="","",H195/100*11)</f>
      </c>
      <c r="L195" s="3">
        <v>8.99</v>
      </c>
      <c r="M195" s="3"/>
      <c r="N195" s="3">
        <f>IF($H195="","",M195*20%)</f>
      </c>
      <c r="O195" s="3">
        <v>1</v>
      </c>
      <c r="P195" s="3">
        <f>IF($H195="","",I195-J195-K195-L195-M195-N195-O195)</f>
      </c>
      <c r="Q195" s="3">
        <f>IF($H195="","",(P195-Y195)/G195*100)</f>
      </c>
      <c r="R195" s="3">
        <f>IF($H195="","",J195-N195)</f>
      </c>
      <c r="Z195" s="3">
        <f>IF($H195="","",P195-Y195)</f>
      </c>
    </row>
    <row r="196" spans="1:26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>
        <f>IF($H196="","",H196/100*11)</f>
      </c>
      <c r="L196" s="3">
        <v>8.99</v>
      </c>
      <c r="M196" s="3"/>
      <c r="N196" s="3">
        <f>IF($H196="","",M196*20%)</f>
      </c>
      <c r="O196" s="3">
        <v>1</v>
      </c>
      <c r="P196" s="3">
        <f>IF($H196="","",I196-J196-K196-L196-M196-N196-O196)</f>
      </c>
      <c r="Q196" s="3">
        <f>IF($H196="","",(P196-Y196)/G196*100)</f>
      </c>
      <c r="R196" s="3">
        <f>IF($H196="","",J196-N196)</f>
      </c>
      <c r="Z196" s="3">
        <f>IF($H196="","",P196-Y196)</f>
      </c>
    </row>
    <row r="197" spans="1:26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>
        <f>IF($H197="","",H197/100*11)</f>
      </c>
      <c r="L197" s="3">
        <v>8.99</v>
      </c>
      <c r="M197" s="3"/>
      <c r="N197" s="3">
        <f>IF($H197="","",M197*20%)</f>
      </c>
      <c r="O197" s="3">
        <v>1</v>
      </c>
      <c r="P197" s="3">
        <f>IF($H197="","",I197-J197-K197-L197-M197-N197-O197)</f>
      </c>
      <c r="Q197" s="3">
        <f>IF($H197="","",(P197-Y197)/G197*100)</f>
      </c>
      <c r="R197" s="3">
        <f>IF($H197="","",J197-N197)</f>
      </c>
      <c r="Z197" s="3">
        <f>IF($H197="","",P197-Y197)</f>
      </c>
    </row>
    <row r="198" spans="1:26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>
        <f>IF($H198="","",H198/100*11)</f>
      </c>
      <c r="L198" s="3">
        <v>8.99</v>
      </c>
      <c r="M198" s="3"/>
      <c r="N198" s="3">
        <f>IF($H198="","",M198*20%)</f>
      </c>
      <c r="O198" s="3">
        <v>1</v>
      </c>
      <c r="P198" s="3">
        <f>IF($H198="","",I198-J198-K198-L198-M198-N198-O198)</f>
      </c>
      <c r="Q198" s="3">
        <f>IF($H198="","",(P198-Y198)/G198*100)</f>
      </c>
      <c r="R198" s="3">
        <f>IF($H198="","",J198-N198)</f>
      </c>
      <c r="Z198" s="3">
        <f>IF($H198="","",P198-Y198)</f>
      </c>
    </row>
    <row r="199" spans="1:26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>
        <f>IF($H199="","",H199/100*11)</f>
      </c>
      <c r="L199" s="3">
        <v>8.99</v>
      </c>
      <c r="M199" s="3"/>
      <c r="N199" s="3">
        <f>IF($H199="","",M199*20%)</f>
      </c>
      <c r="O199" s="3">
        <v>1</v>
      </c>
      <c r="P199" s="3">
        <f>IF($H199="","",I199-J199-K199-L199-M199-N199-O199)</f>
      </c>
      <c r="Q199" s="3">
        <f>IF($H199="","",(P199-Y199)/G199*100)</f>
      </c>
      <c r="R199" s="3">
        <f>IF($H199="","",J199-N199)</f>
      </c>
      <c r="Z199" s="3">
        <f>IF($H199="","",P199-Y199)</f>
      </c>
    </row>
    <row r="200" spans="1:26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>
        <f>IF($H200="","",H200/100*11)</f>
      </c>
      <c r="L200" s="3">
        <v>8.99</v>
      </c>
      <c r="M200" s="3"/>
      <c r="N200" s="3">
        <f>IF($H200="","",M200*20%)</f>
      </c>
      <c r="O200" s="3">
        <v>1</v>
      </c>
      <c r="P200" s="3">
        <f>IF($H200="","",I200-J200-K200-L200-M200-N200-O200)</f>
      </c>
      <c r="Q200" s="3">
        <f>IF($H200="","",(P200-Y200)/G200*100)</f>
      </c>
      <c r="R200" s="3">
        <f>IF($H200="","",J200-N200)</f>
      </c>
      <c r="Z200" s="3">
        <f>IF($H200="","",P200-Y200)</f>
      </c>
    </row>
    <row r="201" spans="1:26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>
        <f>IF($H201="","",H201/100*11)</f>
      </c>
      <c r="L201" s="3">
        <v>8.99</v>
      </c>
      <c r="M201" s="3"/>
      <c r="N201" s="3">
        <f>IF($H201="","",M201*20%)</f>
      </c>
      <c r="O201" s="3">
        <v>1</v>
      </c>
      <c r="P201" s="3">
        <f>IF($H201="","",I201-J201-K201-L201-M201-N201-O201)</f>
      </c>
      <c r="Q201" s="3">
        <f>IF($H201="","",(P201-Y201)/G201*100)</f>
      </c>
      <c r="R201" s="3">
        <f>IF($H201="","",J201-N201)</f>
      </c>
      <c r="Z201" s="3">
        <f>IF($H201="","",P201-Y201)</f>
      </c>
    </row>
    <row r="202" spans="1:26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>
        <f>IF($H202="","",H202/100*11)</f>
      </c>
      <c r="L202" s="3">
        <v>8.99</v>
      </c>
      <c r="M202" s="3"/>
      <c r="N202" s="3">
        <f>IF($H202="","",M202*20%)</f>
      </c>
      <c r="O202" s="3">
        <v>1</v>
      </c>
      <c r="P202" s="3">
        <f>IF($H202="","",I202-J202-K202-L202-M202-N202-O202)</f>
      </c>
      <c r="Q202" s="3">
        <f>IF($H202="","",(P202-Y202)/G202*100)</f>
      </c>
      <c r="R202" s="3">
        <f>IF($H202="","",J202-N202)</f>
      </c>
      <c r="Z202" s="3">
        <f>IF($H202="","",P202-Y202)</f>
      </c>
    </row>
    <row r="203" spans="1:28" s="4" customFormat="1" x14ac:dyDescent="0.25">
      <c r="A203" s="5" t="s">
        <v>37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IFERROR((P203-Y203)/G203*100,0)</f>
      </c>
      <c r="R203" s="6">
        <f>SUM(R2:R202)</f>
      </c>
      <c r="S203" s="4"/>
      <c r="T203" s="4"/>
      <c r="U203" s="4"/>
      <c r="V203" s="4"/>
      <c r="W203" s="4"/>
      <c r="X203" s="4"/>
      <c r="Y203" s="6">
        <f>SUM(Y2:Y202)</f>
      </c>
      <c r="Z203" s="6">
        <f>SUM(Z2:Z202)</f>
      </c>
      <c r="AA203" s="4"/>
      <c r="AB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44</v>
      </c>
      <c r="M1" t="s">
        <v>45</v>
      </c>
      <c r="N1" t="s">
        <v>46</v>
      </c>
      <c r="O1" t="s">
        <v>47</v>
      </c>
      <c r="P1" t="s">
        <v>14</v>
      </c>
      <c r="Q1" t="s">
        <v>15</v>
      </c>
      <c r="R1" t="s">
        <v>48</v>
      </c>
      <c r="S1" t="s">
        <v>49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34" x14ac:dyDescent="0.25">
      <c r="A2" s="1">
        <v>46235.5</v>
      </c>
      <c r="B2" t="s">
        <v>50</v>
      </c>
      <c r="C2" t="s">
        <v>51</v>
      </c>
      <c r="D2" s="2" t="s">
        <v>52</v>
      </c>
      <c r="E2" t="s">
        <v>53</v>
      </c>
      <c r="F2">
        <v>1</v>
      </c>
      <c r="G2" s="3">
        <v>520</v>
      </c>
      <c r="H2" s="3">
        <v>679</v>
      </c>
      <c r="I2" s="3">
        <f>H2-G2</f>
      </c>
      <c r="J2" s="3">
        <f>I2*16.67%</f>
      </c>
      <c r="K2" s="3">
        <f>(H2*6.9%)-(H2*6.9%)*10%</f>
      </c>
      <c r="L2" s="3">
        <f>H2*0.35%</f>
      </c>
      <c r="M2" s="3">
        <v>0.4</v>
      </c>
      <c r="N2" s="3">
        <f>(K2+L2+M2)*20%</f>
      </c>
      <c r="O2" s="3">
        <f>K2+L2+M2+N2</f>
      </c>
      <c r="P2" s="3">
        <v>8</v>
      </c>
      <c r="Q2" s="3">
        <v>0</v>
      </c>
      <c r="R2" s="3">
        <v>0</v>
      </c>
      <c r="S2" s="3">
        <f>R2*20%</f>
      </c>
      <c r="T2" s="3">
        <v>1</v>
      </c>
      <c r="U2" s="3">
        <f>N2+Q2+S2</f>
      </c>
      <c r="V2" s="3">
        <f>I2-J2-O2-P2-Q2-R2-S2-T2</f>
      </c>
      <c r="W2" s="3">
        <f>(V2-AE2)/H2*100</f>
      </c>
      <c r="X2" s="3">
        <f>J2-U2</f>
      </c>
      <c r="Y2" t="s">
        <v>35</v>
      </c>
      <c r="Z2" t="s">
        <v>54</v>
      </c>
      <c r="AF2" s="3">
        <f>V2-AE2</f>
      </c>
      <c r="AG2" t="s">
        <v>35</v>
      </c>
      <c r="AH2" t="s">
        <v>35</v>
      </c>
    </row>
    <row r="3" spans="1:32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>
        <f>IF($H3="","",(H3*6.9%)-(H3*6.9%)*10%)</f>
      </c>
      <c r="L3" s="3">
        <f>IF($H3="","",H3*0.35%)</f>
      </c>
      <c r="M3" s="3">
        <v>0.4</v>
      </c>
      <c r="N3" s="3">
        <f>IF($H3="","",(K3+L3+M3)*20%)</f>
      </c>
      <c r="O3" s="3">
        <f>IF($H3="","",K3+L3+M3+N3)</f>
      </c>
      <c r="P3" s="3"/>
      <c r="Q3" s="3"/>
      <c r="R3" s="3"/>
      <c r="S3" s="3">
        <f>IF($H3="","",R3*20%)</f>
      </c>
      <c r="T3" s="3">
        <v>1</v>
      </c>
      <c r="U3" s="3">
        <f>IF($H3="","",N3+Q3+S3)</f>
      </c>
      <c r="V3" s="3">
        <f>IF($H3="","",I3-J3-O3-P3-Q3-R3-S3-T3)</f>
      </c>
      <c r="W3" s="3">
        <f>IF($H3="","",(V3-AE3)/H3*100)</f>
      </c>
      <c r="X3" s="3">
        <f>IF($H3="","",J3-U3)</f>
      </c>
      <c r="AF3" s="3">
        <f>IF($H3="","",V3-AE3)</f>
      </c>
    </row>
    <row r="4" spans="1:32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>
        <f>IF($H4="","",(H4*6.9%)-(H4*6.9%)*10%)</f>
      </c>
      <c r="L4" s="3">
        <f>IF($H4="","",H4*0.35%)</f>
      </c>
      <c r="M4" s="3">
        <v>0.4</v>
      </c>
      <c r="N4" s="3">
        <f>IF($H4="","",(K4+L4+M4)*20%)</f>
      </c>
      <c r="O4" s="3">
        <f>IF($H4="","",K4+L4+M4+N4)</f>
      </c>
      <c r="P4" s="3"/>
      <c r="Q4" s="3"/>
      <c r="R4" s="3"/>
      <c r="S4" s="3">
        <f>IF($H4="","",R4*20%)</f>
      </c>
      <c r="T4" s="3">
        <v>1</v>
      </c>
      <c r="U4" s="3">
        <f>IF($H4="","",N4+Q4+S4)</f>
      </c>
      <c r="V4" s="3">
        <f>IF($H4="","",I4-J4-O4-P4-Q4-R4-S4-T4)</f>
      </c>
      <c r="W4" s="3">
        <f>IF($H4="","",(V4-AE4)/H4*100)</f>
      </c>
      <c r="X4" s="3">
        <f>IF($H4="","",J4-U4)</f>
      </c>
      <c r="AF4" s="3">
        <f>IF($H4="","",V4-AE4)</f>
      </c>
    </row>
    <row r="5" spans="1:32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>
        <f>IF($H5="","",(H5*6.9%)-(H5*6.9%)*10%)</f>
      </c>
      <c r="L5" s="3">
        <f>IF($H5="","",H5*0.35%)</f>
      </c>
      <c r="M5" s="3">
        <v>0.4</v>
      </c>
      <c r="N5" s="3">
        <f>IF($H5="","",(K5+L5+M5)*20%)</f>
      </c>
      <c r="O5" s="3">
        <f>IF($H5="","",K5+L5+M5+N5)</f>
      </c>
      <c r="P5" s="3"/>
      <c r="Q5" s="3"/>
      <c r="R5" s="3"/>
      <c r="S5" s="3">
        <f>IF($H5="","",R5*20%)</f>
      </c>
      <c r="T5" s="3">
        <v>1</v>
      </c>
      <c r="U5" s="3">
        <f>IF($H5="","",N5+Q5+S5)</f>
      </c>
      <c r="V5" s="3">
        <f>IF($H5="","",I5-J5-O5-P5-Q5-R5-S5-T5)</f>
      </c>
      <c r="W5" s="3">
        <f>IF($H5="","",(V5-AE5)/H5*100)</f>
      </c>
      <c r="X5" s="3">
        <f>IF($H5="","",J5-U5)</f>
      </c>
      <c r="AF5" s="3">
        <f>IF($H5="","",V5-AE5)</f>
      </c>
    </row>
    <row r="6" spans="1:32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>
        <f>IF($H6="","",(H6*6.9%)-(H6*6.9%)*10%)</f>
      </c>
      <c r="L6" s="3">
        <f>IF($H6="","",H6*0.35%)</f>
      </c>
      <c r="M6" s="3">
        <v>0.4</v>
      </c>
      <c r="N6" s="3">
        <f>IF($H6="","",(K6+L6+M6)*20%)</f>
      </c>
      <c r="O6" s="3">
        <f>IF($H6="","",K6+L6+M6+N6)</f>
      </c>
      <c r="P6" s="3"/>
      <c r="Q6" s="3"/>
      <c r="R6" s="3"/>
      <c r="S6" s="3">
        <f>IF($H6="","",R6*20%)</f>
      </c>
      <c r="T6" s="3">
        <v>1</v>
      </c>
      <c r="U6" s="3">
        <f>IF($H6="","",N6+Q6+S6)</f>
      </c>
      <c r="V6" s="3">
        <f>IF($H6="","",I6-J6-O6-P6-Q6-R6-S6-T6)</f>
      </c>
      <c r="W6" s="3">
        <f>IF($H6="","",(V6-AE6)/H6*100)</f>
      </c>
      <c r="X6" s="3">
        <f>IF($H6="","",J6-U6)</f>
      </c>
      <c r="AF6" s="3">
        <f>IF($H6="","",V6-AE6)</f>
      </c>
    </row>
    <row r="7" spans="1:32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>
        <f>IF($H7="","",(H7*6.9%)-(H7*6.9%)*10%)</f>
      </c>
      <c r="L7" s="3">
        <f>IF($H7="","",H7*0.35%)</f>
      </c>
      <c r="M7" s="3">
        <v>0.4</v>
      </c>
      <c r="N7" s="3">
        <f>IF($H7="","",(K7+L7+M7)*20%)</f>
      </c>
      <c r="O7" s="3">
        <f>IF($H7="","",K7+L7+M7+N7)</f>
      </c>
      <c r="P7" s="3"/>
      <c r="Q7" s="3"/>
      <c r="R7" s="3"/>
      <c r="S7" s="3">
        <f>IF($H7="","",R7*20%)</f>
      </c>
      <c r="T7" s="3">
        <v>1</v>
      </c>
      <c r="U7" s="3">
        <f>IF($H7="","",N7+Q7+S7)</f>
      </c>
      <c r="V7" s="3">
        <f>IF($H7="","",I7-J7-O7-P7-Q7-R7-S7-T7)</f>
      </c>
      <c r="W7" s="3">
        <f>IF($H7="","",(V7-AE7)/H7*100)</f>
      </c>
      <c r="X7" s="3">
        <f>IF($H7="","",J7-U7)</f>
      </c>
      <c r="AF7" s="3">
        <f>IF($H7="","",V7-AE7)</f>
      </c>
    </row>
    <row r="8" spans="1:32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>
        <f>IF($H8="","",(H8*6.9%)-(H8*6.9%)*10%)</f>
      </c>
      <c r="L8" s="3">
        <f>IF($H8="","",H8*0.35%)</f>
      </c>
      <c r="M8" s="3">
        <v>0.4</v>
      </c>
      <c r="N8" s="3">
        <f>IF($H8="","",(K8+L8+M8)*20%)</f>
      </c>
      <c r="O8" s="3">
        <f>IF($H8="","",K8+L8+M8+N8)</f>
      </c>
      <c r="P8" s="3"/>
      <c r="Q8" s="3"/>
      <c r="R8" s="3"/>
      <c r="S8" s="3">
        <f>IF($H8="","",R8*20%)</f>
      </c>
      <c r="T8" s="3">
        <v>1</v>
      </c>
      <c r="U8" s="3">
        <f>IF($H8="","",N8+Q8+S8)</f>
      </c>
      <c r="V8" s="3">
        <f>IF($H8="","",I8-J8-O8-P8-Q8-R8-S8-T8)</f>
      </c>
      <c r="W8" s="3">
        <f>IF($H8="","",(V8-AE8)/H8*100)</f>
      </c>
      <c r="X8" s="3">
        <f>IF($H8="","",J8-U8)</f>
      </c>
      <c r="AF8" s="3">
        <f>IF($H8="","",V8-AE8)</f>
      </c>
    </row>
    <row r="9" spans="1:32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>
        <f>IF($H9="","",(H9*6.9%)-(H9*6.9%)*10%)</f>
      </c>
      <c r="L9" s="3">
        <f>IF($H9="","",H9*0.35%)</f>
      </c>
      <c r="M9" s="3">
        <v>0.4</v>
      </c>
      <c r="N9" s="3">
        <f>IF($H9="","",(K9+L9+M9)*20%)</f>
      </c>
      <c r="O9" s="3">
        <f>IF($H9="","",K9+L9+M9+N9)</f>
      </c>
      <c r="P9" s="3"/>
      <c r="Q9" s="3"/>
      <c r="R9" s="3"/>
      <c r="S9" s="3">
        <f>IF($H9="","",R9*20%)</f>
      </c>
      <c r="T9" s="3">
        <v>1</v>
      </c>
      <c r="U9" s="3">
        <f>IF($H9="","",N9+Q9+S9)</f>
      </c>
      <c r="V9" s="3">
        <f>IF($H9="","",I9-J9-O9-P9-Q9-R9-S9-T9)</f>
      </c>
      <c r="W9" s="3">
        <f>IF($H9="","",(V9-AE9)/H9*100)</f>
      </c>
      <c r="X9" s="3">
        <f>IF($H9="","",J9-U9)</f>
      </c>
      <c r="AF9" s="3">
        <f>IF($H9="","",V9-AE9)</f>
      </c>
    </row>
    <row r="10" spans="1:32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>
        <f>IF($H10="","",(H10*6.9%)-(H10*6.9%)*10%)</f>
      </c>
      <c r="L10" s="3">
        <f>IF($H10="","",H10*0.35%)</f>
      </c>
      <c r="M10" s="3">
        <v>0.4</v>
      </c>
      <c r="N10" s="3">
        <f>IF($H10="","",(K10+L10+M10)*20%)</f>
      </c>
      <c r="O10" s="3">
        <f>IF($H10="","",K10+L10+M10+N10)</f>
      </c>
      <c r="P10" s="3"/>
      <c r="Q10" s="3"/>
      <c r="R10" s="3"/>
      <c r="S10" s="3">
        <f>IF($H10="","",R10*20%)</f>
      </c>
      <c r="T10" s="3">
        <v>1</v>
      </c>
      <c r="U10" s="3">
        <f>IF($H10="","",N10+Q10+S10)</f>
      </c>
      <c r="V10" s="3">
        <f>IF($H10="","",I10-J10-O10-P10-Q10-R10-S10-T10)</f>
      </c>
      <c r="W10" s="3">
        <f>IF($H10="","",(V10-AE10)/H10*100)</f>
      </c>
      <c r="X10" s="3">
        <f>IF($H10="","",J10-U10)</f>
      </c>
      <c r="AF10" s="3">
        <f>IF($H10="","",V10-AE10)</f>
      </c>
    </row>
    <row r="11" spans="1:32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>
        <f>IF($H11="","",(H11*6.9%)-(H11*6.9%)*10%)</f>
      </c>
      <c r="L11" s="3">
        <f>IF($H11="","",H11*0.35%)</f>
      </c>
      <c r="M11" s="3">
        <v>0.4</v>
      </c>
      <c r="N11" s="3">
        <f>IF($H11="","",(K11+L11+M11)*20%)</f>
      </c>
      <c r="O11" s="3">
        <f>IF($H11="","",K11+L11+M11+N11)</f>
      </c>
      <c r="P11" s="3"/>
      <c r="Q11" s="3"/>
      <c r="R11" s="3"/>
      <c r="S11" s="3">
        <f>IF($H11="","",R11*20%)</f>
      </c>
      <c r="T11" s="3">
        <v>1</v>
      </c>
      <c r="U11" s="3">
        <f>IF($H11="","",N11+Q11+S11)</f>
      </c>
      <c r="V11" s="3">
        <f>IF($H11="","",I11-J11-O11-P11-Q11-R11-S11-T11)</f>
      </c>
      <c r="W11" s="3">
        <f>IF($H11="","",(V11-AE11)/H11*100)</f>
      </c>
      <c r="X11" s="3">
        <f>IF($H11="","",J11-U11)</f>
      </c>
      <c r="AF11" s="3">
        <f>IF($H11="","",V11-AE11)</f>
      </c>
    </row>
    <row r="12" spans="1:32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>
        <f>IF($H12="","",(H12*6.9%)-(H12*6.9%)*10%)</f>
      </c>
      <c r="L12" s="3">
        <f>IF($H12="","",H12*0.35%)</f>
      </c>
      <c r="M12" s="3">
        <v>0.4</v>
      </c>
      <c r="N12" s="3">
        <f>IF($H12="","",(K12+L12+M12)*20%)</f>
      </c>
      <c r="O12" s="3">
        <f>IF($H12="","",K12+L12+M12+N12)</f>
      </c>
      <c r="P12" s="3"/>
      <c r="Q12" s="3"/>
      <c r="R12" s="3"/>
      <c r="S12" s="3">
        <f>IF($H12="","",R12*20%)</f>
      </c>
      <c r="T12" s="3">
        <v>1</v>
      </c>
      <c r="U12" s="3">
        <f>IF($H12="","",N12+Q12+S12)</f>
      </c>
      <c r="V12" s="3">
        <f>IF($H12="","",I12-J12-O12-P12-Q12-R12-S12-T12)</f>
      </c>
      <c r="W12" s="3">
        <f>IF($H12="","",(V12-AE12)/H12*100)</f>
      </c>
      <c r="X12" s="3">
        <f>IF($H12="","",J12-U12)</f>
      </c>
      <c r="AF12" s="3">
        <f>IF($H12="","",V12-AE12)</f>
      </c>
    </row>
    <row r="13" spans="1:32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>
        <f>IF($H13="","",(H13*6.9%)-(H13*6.9%)*10%)</f>
      </c>
      <c r="L13" s="3">
        <f>IF($H13="","",H13*0.35%)</f>
      </c>
      <c r="M13" s="3">
        <v>0.4</v>
      </c>
      <c r="N13" s="3">
        <f>IF($H13="","",(K13+L13+M13)*20%)</f>
      </c>
      <c r="O13" s="3">
        <f>IF($H13="","",K13+L13+M13+N13)</f>
      </c>
      <c r="P13" s="3"/>
      <c r="Q13" s="3"/>
      <c r="R13" s="3"/>
      <c r="S13" s="3">
        <f>IF($H13="","",R13*20%)</f>
      </c>
      <c r="T13" s="3">
        <v>1</v>
      </c>
      <c r="U13" s="3">
        <f>IF($H13="","",N13+Q13+S13)</f>
      </c>
      <c r="V13" s="3">
        <f>IF($H13="","",I13-J13-O13-P13-Q13-R13-S13-T13)</f>
      </c>
      <c r="W13" s="3">
        <f>IF($H13="","",(V13-AE13)/H13*100)</f>
      </c>
      <c r="X13" s="3">
        <f>IF($H13="","",J13-U13)</f>
      </c>
      <c r="AF13" s="3">
        <f>IF($H13="","",V13-AE13)</f>
      </c>
    </row>
    <row r="14" spans="1:32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>
        <f>IF($H14="","",(H14*6.9%)-(H14*6.9%)*10%)</f>
      </c>
      <c r="L14" s="3">
        <f>IF($H14="","",H14*0.35%)</f>
      </c>
      <c r="M14" s="3">
        <v>0.4</v>
      </c>
      <c r="N14" s="3">
        <f>IF($H14="","",(K14+L14+M14)*20%)</f>
      </c>
      <c r="O14" s="3">
        <f>IF($H14="","",K14+L14+M14+N14)</f>
      </c>
      <c r="P14" s="3"/>
      <c r="Q14" s="3"/>
      <c r="R14" s="3"/>
      <c r="S14" s="3">
        <f>IF($H14="","",R14*20%)</f>
      </c>
      <c r="T14" s="3">
        <v>1</v>
      </c>
      <c r="U14" s="3">
        <f>IF($H14="","",N14+Q14+S14)</f>
      </c>
      <c r="V14" s="3">
        <f>IF($H14="","",I14-J14-O14-P14-Q14-R14-S14-T14)</f>
      </c>
      <c r="W14" s="3">
        <f>IF($H14="","",(V14-AE14)/H14*100)</f>
      </c>
      <c r="X14" s="3">
        <f>IF($H14="","",J14-U14)</f>
      </c>
      <c r="AF14" s="3">
        <f>IF($H14="","",V14-AE14)</f>
      </c>
    </row>
    <row r="15" spans="1:32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>
        <f>IF($H15="","",(H15*6.9%)-(H15*6.9%)*10%)</f>
      </c>
      <c r="L15" s="3">
        <f>IF($H15="","",H15*0.35%)</f>
      </c>
      <c r="M15" s="3">
        <v>0.4</v>
      </c>
      <c r="N15" s="3">
        <f>IF($H15="","",(K15+L15+M15)*20%)</f>
      </c>
      <c r="O15" s="3">
        <f>IF($H15="","",K15+L15+M15+N15)</f>
      </c>
      <c r="P15" s="3"/>
      <c r="Q15" s="3"/>
      <c r="R15" s="3"/>
      <c r="S15" s="3">
        <f>IF($H15="","",R15*20%)</f>
      </c>
      <c r="T15" s="3">
        <v>1</v>
      </c>
      <c r="U15" s="3">
        <f>IF($H15="","",N15+Q15+S15)</f>
      </c>
      <c r="V15" s="3">
        <f>IF($H15="","",I15-J15-O15-P15-Q15-R15-S15-T15)</f>
      </c>
      <c r="W15" s="3">
        <f>IF($H15="","",(V15-AE15)/H15*100)</f>
      </c>
      <c r="X15" s="3">
        <f>IF($H15="","",J15-U15)</f>
      </c>
      <c r="AF15" s="3">
        <f>IF($H15="","",V15-AE15)</f>
      </c>
    </row>
    <row r="16" spans="1:32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>
        <f>IF($H16="","",(H16*6.9%)-(H16*6.9%)*10%)</f>
      </c>
      <c r="L16" s="3">
        <f>IF($H16="","",H16*0.35%)</f>
      </c>
      <c r="M16" s="3">
        <v>0.4</v>
      </c>
      <c r="N16" s="3">
        <f>IF($H16="","",(K16+L16+M16)*20%)</f>
      </c>
      <c r="O16" s="3">
        <f>IF($H16="","",K16+L16+M16+N16)</f>
      </c>
      <c r="P16" s="3"/>
      <c r="Q16" s="3"/>
      <c r="R16" s="3"/>
      <c r="S16" s="3">
        <f>IF($H16="","",R16*20%)</f>
      </c>
      <c r="T16" s="3">
        <v>1</v>
      </c>
      <c r="U16" s="3">
        <f>IF($H16="","",N16+Q16+S16)</f>
      </c>
      <c r="V16" s="3">
        <f>IF($H16="","",I16-J16-O16-P16-Q16-R16-S16-T16)</f>
      </c>
      <c r="W16" s="3">
        <f>IF($H16="","",(V16-AE16)/H16*100)</f>
      </c>
      <c r="X16" s="3">
        <f>IF($H16="","",J16-U16)</f>
      </c>
      <c r="AF16" s="3">
        <f>IF($H16="","",V16-AE16)</f>
      </c>
    </row>
    <row r="17" spans="1:32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>
        <f>IF($H17="","",(H17*6.9%)-(H17*6.9%)*10%)</f>
      </c>
      <c r="L17" s="3">
        <f>IF($H17="","",H17*0.35%)</f>
      </c>
      <c r="M17" s="3">
        <v>0.4</v>
      </c>
      <c r="N17" s="3">
        <f>IF($H17="","",(K17+L17+M17)*20%)</f>
      </c>
      <c r="O17" s="3">
        <f>IF($H17="","",K17+L17+M17+N17)</f>
      </c>
      <c r="P17" s="3"/>
      <c r="Q17" s="3"/>
      <c r="R17" s="3"/>
      <c r="S17" s="3">
        <f>IF($H17="","",R17*20%)</f>
      </c>
      <c r="T17" s="3">
        <v>1</v>
      </c>
      <c r="U17" s="3">
        <f>IF($H17="","",N17+Q17+S17)</f>
      </c>
      <c r="V17" s="3">
        <f>IF($H17="","",I17-J17-O17-P17-Q17-R17-S17-T17)</f>
      </c>
      <c r="W17" s="3">
        <f>IF($H17="","",(V17-AE17)/H17*100)</f>
      </c>
      <c r="X17" s="3">
        <f>IF($H17="","",J17-U17)</f>
      </c>
      <c r="AF17" s="3">
        <f>IF($H17="","",V17-AE17)</f>
      </c>
    </row>
    <row r="18" spans="1:32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>
        <f>IF($H18="","",(H18*6.9%)-(H18*6.9%)*10%)</f>
      </c>
      <c r="L18" s="3">
        <f>IF($H18="","",H18*0.35%)</f>
      </c>
      <c r="M18" s="3">
        <v>0.4</v>
      </c>
      <c r="N18" s="3">
        <f>IF($H18="","",(K18+L18+M18)*20%)</f>
      </c>
      <c r="O18" s="3">
        <f>IF($H18="","",K18+L18+M18+N18)</f>
      </c>
      <c r="P18" s="3"/>
      <c r="Q18" s="3"/>
      <c r="R18" s="3"/>
      <c r="S18" s="3">
        <f>IF($H18="","",R18*20%)</f>
      </c>
      <c r="T18" s="3">
        <v>1</v>
      </c>
      <c r="U18" s="3">
        <f>IF($H18="","",N18+Q18+S18)</f>
      </c>
      <c r="V18" s="3">
        <f>IF($H18="","",I18-J18-O18-P18-Q18-R18-S18-T18)</f>
      </c>
      <c r="W18" s="3">
        <f>IF($H18="","",(V18-AE18)/H18*100)</f>
      </c>
      <c r="X18" s="3">
        <f>IF($H18="","",J18-U18)</f>
      </c>
      <c r="AF18" s="3">
        <f>IF($H18="","",V18-AE18)</f>
      </c>
    </row>
    <row r="19" spans="1:32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>
        <f>IF($H19="","",(H19*6.9%)-(H19*6.9%)*10%)</f>
      </c>
      <c r="L19" s="3">
        <f>IF($H19="","",H19*0.35%)</f>
      </c>
      <c r="M19" s="3">
        <v>0.4</v>
      </c>
      <c r="N19" s="3">
        <f>IF($H19="","",(K19+L19+M19)*20%)</f>
      </c>
      <c r="O19" s="3">
        <f>IF($H19="","",K19+L19+M19+N19)</f>
      </c>
      <c r="P19" s="3"/>
      <c r="Q19" s="3"/>
      <c r="R19" s="3"/>
      <c r="S19" s="3">
        <f>IF($H19="","",R19*20%)</f>
      </c>
      <c r="T19" s="3">
        <v>1</v>
      </c>
      <c r="U19" s="3">
        <f>IF($H19="","",N19+Q19+S19)</f>
      </c>
      <c r="V19" s="3">
        <f>IF($H19="","",I19-J19-O19-P19-Q19-R19-S19-T19)</f>
      </c>
      <c r="W19" s="3">
        <f>IF($H19="","",(V19-AE19)/H19*100)</f>
      </c>
      <c r="X19" s="3">
        <f>IF($H19="","",J19-U19)</f>
      </c>
      <c r="AF19" s="3">
        <f>IF($H19="","",V19-AE19)</f>
      </c>
    </row>
    <row r="20" spans="1:32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>
        <f>IF($H20="","",(H20*6.9%)-(H20*6.9%)*10%)</f>
      </c>
      <c r="L20" s="3">
        <f>IF($H20="","",H20*0.35%)</f>
      </c>
      <c r="M20" s="3">
        <v>0.4</v>
      </c>
      <c r="N20" s="3">
        <f>IF($H20="","",(K20+L20+M20)*20%)</f>
      </c>
      <c r="O20" s="3">
        <f>IF($H20="","",K20+L20+M20+N20)</f>
      </c>
      <c r="P20" s="3"/>
      <c r="Q20" s="3"/>
      <c r="R20" s="3"/>
      <c r="S20" s="3">
        <f>IF($H20="","",R20*20%)</f>
      </c>
      <c r="T20" s="3">
        <v>1</v>
      </c>
      <c r="U20" s="3">
        <f>IF($H20="","",N20+Q20+S20)</f>
      </c>
      <c r="V20" s="3">
        <f>IF($H20="","",I20-J20-O20-P20-Q20-R20-S20-T20)</f>
      </c>
      <c r="W20" s="3">
        <f>IF($H20="","",(V20-AE20)/H20*100)</f>
      </c>
      <c r="X20" s="3">
        <f>IF($H20="","",J20-U20)</f>
      </c>
      <c r="AF20" s="3">
        <f>IF($H20="","",V20-AE20)</f>
      </c>
    </row>
    <row r="21" spans="1:32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>
        <f>IF($H21="","",(H21*6.9%)-(H21*6.9%)*10%)</f>
      </c>
      <c r="L21" s="3">
        <f>IF($H21="","",H21*0.35%)</f>
      </c>
      <c r="M21" s="3">
        <v>0.4</v>
      </c>
      <c r="N21" s="3">
        <f>IF($H21="","",(K21+L21+M21)*20%)</f>
      </c>
      <c r="O21" s="3">
        <f>IF($H21="","",K21+L21+M21+N21)</f>
      </c>
      <c r="P21" s="3"/>
      <c r="Q21" s="3"/>
      <c r="R21" s="3"/>
      <c r="S21" s="3">
        <f>IF($H21="","",R21*20%)</f>
      </c>
      <c r="T21" s="3">
        <v>1</v>
      </c>
      <c r="U21" s="3">
        <f>IF($H21="","",N21+Q21+S21)</f>
      </c>
      <c r="V21" s="3">
        <f>IF($H21="","",I21-J21-O21-P21-Q21-R21-S21-T21)</f>
      </c>
      <c r="W21" s="3">
        <f>IF($H21="","",(V21-AE21)/H21*100)</f>
      </c>
      <c r="X21" s="3">
        <f>IF($H21="","",J21-U21)</f>
      </c>
      <c r="AF21" s="3">
        <f>IF($H21="","",V21-AE21)</f>
      </c>
    </row>
    <row r="22" spans="1:32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>
        <f>IF($H22="","",(H22*6.9%)-(H22*6.9%)*10%)</f>
      </c>
      <c r="L22" s="3">
        <f>IF($H22="","",H22*0.35%)</f>
      </c>
      <c r="M22" s="3">
        <v>0.4</v>
      </c>
      <c r="N22" s="3">
        <f>IF($H22="","",(K22+L22+M22)*20%)</f>
      </c>
      <c r="O22" s="3">
        <f>IF($H22="","",K22+L22+M22+N22)</f>
      </c>
      <c r="P22" s="3"/>
      <c r="Q22" s="3"/>
      <c r="R22" s="3"/>
      <c r="S22" s="3">
        <f>IF($H22="","",R22*20%)</f>
      </c>
      <c r="T22" s="3">
        <v>1</v>
      </c>
      <c r="U22" s="3">
        <f>IF($H22="","",N22+Q22+S22)</f>
      </c>
      <c r="V22" s="3">
        <f>IF($H22="","",I22-J22-O22-P22-Q22-R22-S22-T22)</f>
      </c>
      <c r="W22" s="3">
        <f>IF($H22="","",(V22-AE22)/H22*100)</f>
      </c>
      <c r="X22" s="3">
        <f>IF($H22="","",J22-U22)</f>
      </c>
      <c r="AF22" s="3">
        <f>IF($H22="","",V22-AE22)</f>
      </c>
    </row>
    <row r="23" spans="1:32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>
        <f>IF($H23="","",(H23*6.9%)-(H23*6.9%)*10%)</f>
      </c>
      <c r="L23" s="3">
        <f>IF($H23="","",H23*0.35%)</f>
      </c>
      <c r="M23" s="3">
        <v>0.4</v>
      </c>
      <c r="N23" s="3">
        <f>IF($H23="","",(K23+L23+M23)*20%)</f>
      </c>
      <c r="O23" s="3">
        <f>IF($H23="","",K23+L23+M23+N23)</f>
      </c>
      <c r="P23" s="3"/>
      <c r="Q23" s="3"/>
      <c r="R23" s="3"/>
      <c r="S23" s="3">
        <f>IF($H23="","",R23*20%)</f>
      </c>
      <c r="T23" s="3">
        <v>1</v>
      </c>
      <c r="U23" s="3">
        <f>IF($H23="","",N23+Q23+S23)</f>
      </c>
      <c r="V23" s="3">
        <f>IF($H23="","",I23-J23-O23-P23-Q23-R23-S23-T23)</f>
      </c>
      <c r="W23" s="3">
        <f>IF($H23="","",(V23-AE23)/H23*100)</f>
      </c>
      <c r="X23" s="3">
        <f>IF($H23="","",J23-U23)</f>
      </c>
      <c r="AF23" s="3">
        <f>IF($H23="","",V23-AE23)</f>
      </c>
    </row>
    <row r="24" spans="1:32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>
        <f>IF($H24="","",(H24*6.9%)-(H24*6.9%)*10%)</f>
      </c>
      <c r="L24" s="3">
        <f>IF($H24="","",H24*0.35%)</f>
      </c>
      <c r="M24" s="3">
        <v>0.4</v>
      </c>
      <c r="N24" s="3">
        <f>IF($H24="","",(K24+L24+M24)*20%)</f>
      </c>
      <c r="O24" s="3">
        <f>IF($H24="","",K24+L24+M24+N24)</f>
      </c>
      <c r="P24" s="3"/>
      <c r="Q24" s="3"/>
      <c r="R24" s="3"/>
      <c r="S24" s="3">
        <f>IF($H24="","",R24*20%)</f>
      </c>
      <c r="T24" s="3">
        <v>1</v>
      </c>
      <c r="U24" s="3">
        <f>IF($H24="","",N24+Q24+S24)</f>
      </c>
      <c r="V24" s="3">
        <f>IF($H24="","",I24-J24-O24-P24-Q24-R24-S24-T24)</f>
      </c>
      <c r="W24" s="3">
        <f>IF($H24="","",(V24-AE24)/H24*100)</f>
      </c>
      <c r="X24" s="3">
        <f>IF($H24="","",J24-U24)</f>
      </c>
      <c r="AF24" s="3">
        <f>IF($H24="","",V24-AE24)</f>
      </c>
    </row>
    <row r="25" spans="1:32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>
        <f>IF($H25="","",(H25*6.9%)-(H25*6.9%)*10%)</f>
      </c>
      <c r="L25" s="3">
        <f>IF($H25="","",H25*0.35%)</f>
      </c>
      <c r="M25" s="3">
        <v>0.4</v>
      </c>
      <c r="N25" s="3">
        <f>IF($H25="","",(K25+L25+M25)*20%)</f>
      </c>
      <c r="O25" s="3">
        <f>IF($H25="","",K25+L25+M25+N25)</f>
      </c>
      <c r="P25" s="3"/>
      <c r="Q25" s="3"/>
      <c r="R25" s="3"/>
      <c r="S25" s="3">
        <f>IF($H25="","",R25*20%)</f>
      </c>
      <c r="T25" s="3">
        <v>1</v>
      </c>
      <c r="U25" s="3">
        <f>IF($H25="","",N25+Q25+S25)</f>
      </c>
      <c r="V25" s="3">
        <f>IF($H25="","",I25-J25-O25-P25-Q25-R25-S25-T25)</f>
      </c>
      <c r="W25" s="3">
        <f>IF($H25="","",(V25-AE25)/H25*100)</f>
      </c>
      <c r="X25" s="3">
        <f>IF($H25="","",J25-U25)</f>
      </c>
      <c r="AF25" s="3">
        <f>IF($H25="","",V25-AE25)</f>
      </c>
    </row>
    <row r="26" spans="1:32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>
        <f>IF($H26="","",(H26*6.9%)-(H26*6.9%)*10%)</f>
      </c>
      <c r="L26" s="3">
        <f>IF($H26="","",H26*0.35%)</f>
      </c>
      <c r="M26" s="3">
        <v>0.4</v>
      </c>
      <c r="N26" s="3">
        <f>IF($H26="","",(K26+L26+M26)*20%)</f>
      </c>
      <c r="O26" s="3">
        <f>IF($H26="","",K26+L26+M26+N26)</f>
      </c>
      <c r="P26" s="3"/>
      <c r="Q26" s="3"/>
      <c r="R26" s="3"/>
      <c r="S26" s="3">
        <f>IF($H26="","",R26*20%)</f>
      </c>
      <c r="T26" s="3">
        <v>1</v>
      </c>
      <c r="U26" s="3">
        <f>IF($H26="","",N26+Q26+S26)</f>
      </c>
      <c r="V26" s="3">
        <f>IF($H26="","",I26-J26-O26-P26-Q26-R26-S26-T26)</f>
      </c>
      <c r="W26" s="3">
        <f>IF($H26="","",(V26-AE26)/H26*100)</f>
      </c>
      <c r="X26" s="3">
        <f>IF($H26="","",J26-U26)</f>
      </c>
      <c r="AF26" s="3">
        <f>IF($H26="","",V26-AE26)</f>
      </c>
    </row>
    <row r="27" spans="1:32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>
        <f>IF($H27="","",(H27*6.9%)-(H27*6.9%)*10%)</f>
      </c>
      <c r="L27" s="3">
        <f>IF($H27="","",H27*0.35%)</f>
      </c>
      <c r="M27" s="3">
        <v>0.4</v>
      </c>
      <c r="N27" s="3">
        <f>IF($H27="","",(K27+L27+M27)*20%)</f>
      </c>
      <c r="O27" s="3">
        <f>IF($H27="","",K27+L27+M27+N27)</f>
      </c>
      <c r="P27" s="3"/>
      <c r="Q27" s="3"/>
      <c r="R27" s="3"/>
      <c r="S27" s="3">
        <f>IF($H27="","",R27*20%)</f>
      </c>
      <c r="T27" s="3">
        <v>1</v>
      </c>
      <c r="U27" s="3">
        <f>IF($H27="","",N27+Q27+S27)</f>
      </c>
      <c r="V27" s="3">
        <f>IF($H27="","",I27-J27-O27-P27-Q27-R27-S27-T27)</f>
      </c>
      <c r="W27" s="3">
        <f>IF($H27="","",(V27-AE27)/H27*100)</f>
      </c>
      <c r="X27" s="3">
        <f>IF($H27="","",J27-U27)</f>
      </c>
      <c r="AF27" s="3">
        <f>IF($H27="","",V27-AE27)</f>
      </c>
    </row>
    <row r="28" spans="1:32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>
        <f>IF($H28="","",(H28*6.9%)-(H28*6.9%)*10%)</f>
      </c>
      <c r="L28" s="3">
        <f>IF($H28="","",H28*0.35%)</f>
      </c>
      <c r="M28" s="3">
        <v>0.4</v>
      </c>
      <c r="N28" s="3">
        <f>IF($H28="","",(K28+L28+M28)*20%)</f>
      </c>
      <c r="O28" s="3">
        <f>IF($H28="","",K28+L28+M28+N28)</f>
      </c>
      <c r="P28" s="3"/>
      <c r="Q28" s="3"/>
      <c r="R28" s="3"/>
      <c r="S28" s="3">
        <f>IF($H28="","",R28*20%)</f>
      </c>
      <c r="T28" s="3">
        <v>1</v>
      </c>
      <c r="U28" s="3">
        <f>IF($H28="","",N28+Q28+S28)</f>
      </c>
      <c r="V28" s="3">
        <f>IF($H28="","",I28-J28-O28-P28-Q28-R28-S28-T28)</f>
      </c>
      <c r="W28" s="3">
        <f>IF($H28="","",(V28-AE28)/H28*100)</f>
      </c>
      <c r="X28" s="3">
        <f>IF($H28="","",J28-U28)</f>
      </c>
      <c r="AF28" s="3">
        <f>IF($H28="","",V28-AE28)</f>
      </c>
    </row>
    <row r="29" spans="1:32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>
        <f>IF($H29="","",(H29*6.9%)-(H29*6.9%)*10%)</f>
      </c>
      <c r="L29" s="3">
        <f>IF($H29="","",H29*0.35%)</f>
      </c>
      <c r="M29" s="3">
        <v>0.4</v>
      </c>
      <c r="N29" s="3">
        <f>IF($H29="","",(K29+L29+M29)*20%)</f>
      </c>
      <c r="O29" s="3">
        <f>IF($H29="","",K29+L29+M29+N29)</f>
      </c>
      <c r="P29" s="3"/>
      <c r="Q29" s="3"/>
      <c r="R29" s="3"/>
      <c r="S29" s="3">
        <f>IF($H29="","",R29*20%)</f>
      </c>
      <c r="T29" s="3">
        <v>1</v>
      </c>
      <c r="U29" s="3">
        <f>IF($H29="","",N29+Q29+S29)</f>
      </c>
      <c r="V29" s="3">
        <f>IF($H29="","",I29-J29-O29-P29-Q29-R29-S29-T29)</f>
      </c>
      <c r="W29" s="3">
        <f>IF($H29="","",(V29-AE29)/H29*100)</f>
      </c>
      <c r="X29" s="3">
        <f>IF($H29="","",J29-U29)</f>
      </c>
      <c r="AF29" s="3">
        <f>IF($H29="","",V29-AE29)</f>
      </c>
    </row>
    <row r="30" spans="1:32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>
        <f>IF($H30="","",(H30*6.9%)-(H30*6.9%)*10%)</f>
      </c>
      <c r="L30" s="3">
        <f>IF($H30="","",H30*0.35%)</f>
      </c>
      <c r="M30" s="3">
        <v>0.4</v>
      </c>
      <c r="N30" s="3">
        <f>IF($H30="","",(K30+L30+M30)*20%)</f>
      </c>
      <c r="O30" s="3">
        <f>IF($H30="","",K30+L30+M30+N30)</f>
      </c>
      <c r="P30" s="3"/>
      <c r="Q30" s="3"/>
      <c r="R30" s="3"/>
      <c r="S30" s="3">
        <f>IF($H30="","",R30*20%)</f>
      </c>
      <c r="T30" s="3">
        <v>1</v>
      </c>
      <c r="U30" s="3">
        <f>IF($H30="","",N30+Q30+S30)</f>
      </c>
      <c r="V30" s="3">
        <f>IF($H30="","",I30-J30-O30-P30-Q30-R30-S30-T30)</f>
      </c>
      <c r="W30" s="3">
        <f>IF($H30="","",(V30-AE30)/H30*100)</f>
      </c>
      <c r="X30" s="3">
        <f>IF($H30="","",J30-U30)</f>
      </c>
      <c r="AF30" s="3">
        <f>IF($H30="","",V30-AE30)</f>
      </c>
    </row>
    <row r="31" spans="1:32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>
        <f>IF($H31="","",(H31*6.9%)-(H31*6.9%)*10%)</f>
      </c>
      <c r="L31" s="3">
        <f>IF($H31="","",H31*0.35%)</f>
      </c>
      <c r="M31" s="3">
        <v>0.4</v>
      </c>
      <c r="N31" s="3">
        <f>IF($H31="","",(K31+L31+M31)*20%)</f>
      </c>
      <c r="O31" s="3">
        <f>IF($H31="","",K31+L31+M31+N31)</f>
      </c>
      <c r="P31" s="3"/>
      <c r="Q31" s="3"/>
      <c r="R31" s="3"/>
      <c r="S31" s="3">
        <f>IF($H31="","",R31*20%)</f>
      </c>
      <c r="T31" s="3">
        <v>1</v>
      </c>
      <c r="U31" s="3">
        <f>IF($H31="","",N31+Q31+S31)</f>
      </c>
      <c r="V31" s="3">
        <f>IF($H31="","",I31-J31-O31-P31-Q31-R31-S31-T31)</f>
      </c>
      <c r="W31" s="3">
        <f>IF($H31="","",(V31-AE31)/H31*100)</f>
      </c>
      <c r="X31" s="3">
        <f>IF($H31="","",J31-U31)</f>
      </c>
      <c r="AF31" s="3">
        <f>IF($H31="","",V31-AE31)</f>
      </c>
    </row>
    <row r="32" spans="1:32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>
        <f>IF($H32="","",(H32*6.9%)-(H32*6.9%)*10%)</f>
      </c>
      <c r="L32" s="3">
        <f>IF($H32="","",H32*0.35%)</f>
      </c>
      <c r="M32" s="3">
        <v>0.4</v>
      </c>
      <c r="N32" s="3">
        <f>IF($H32="","",(K32+L32+M32)*20%)</f>
      </c>
      <c r="O32" s="3">
        <f>IF($H32="","",K32+L32+M32+N32)</f>
      </c>
      <c r="P32" s="3"/>
      <c r="Q32" s="3"/>
      <c r="R32" s="3"/>
      <c r="S32" s="3">
        <f>IF($H32="","",R32*20%)</f>
      </c>
      <c r="T32" s="3">
        <v>1</v>
      </c>
      <c r="U32" s="3">
        <f>IF($H32="","",N32+Q32+S32)</f>
      </c>
      <c r="V32" s="3">
        <f>IF($H32="","",I32-J32-O32-P32-Q32-R32-S32-T32)</f>
      </c>
      <c r="W32" s="3">
        <f>IF($H32="","",(V32-AE32)/H32*100)</f>
      </c>
      <c r="X32" s="3">
        <f>IF($H32="","",J32-U32)</f>
      </c>
      <c r="AF32" s="3">
        <f>IF($H32="","",V32-AE32)</f>
      </c>
    </row>
    <row r="33" spans="1:32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>
        <f>IF($H33="","",(H33*6.9%)-(H33*6.9%)*10%)</f>
      </c>
      <c r="L33" s="3">
        <f>IF($H33="","",H33*0.35%)</f>
      </c>
      <c r="M33" s="3">
        <v>0.4</v>
      </c>
      <c r="N33" s="3">
        <f>IF($H33="","",(K33+L33+M33)*20%)</f>
      </c>
      <c r="O33" s="3">
        <f>IF($H33="","",K33+L33+M33+N33)</f>
      </c>
      <c r="P33" s="3"/>
      <c r="Q33" s="3"/>
      <c r="R33" s="3"/>
      <c r="S33" s="3">
        <f>IF($H33="","",R33*20%)</f>
      </c>
      <c r="T33" s="3">
        <v>1</v>
      </c>
      <c r="U33" s="3">
        <f>IF($H33="","",N33+Q33+S33)</f>
      </c>
      <c r="V33" s="3">
        <f>IF($H33="","",I33-J33-O33-P33-Q33-R33-S33-T33)</f>
      </c>
      <c r="W33" s="3">
        <f>IF($H33="","",(V33-AE33)/H33*100)</f>
      </c>
      <c r="X33" s="3">
        <f>IF($H33="","",J33-U33)</f>
      </c>
      <c r="AF33" s="3">
        <f>IF($H33="","",V33-AE33)</f>
      </c>
    </row>
    <row r="34" spans="1:32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>
        <f>IF($H34="","",(H34*6.9%)-(H34*6.9%)*10%)</f>
      </c>
      <c r="L34" s="3">
        <f>IF($H34="","",H34*0.35%)</f>
      </c>
      <c r="M34" s="3">
        <v>0.4</v>
      </c>
      <c r="N34" s="3">
        <f>IF($H34="","",(K34+L34+M34)*20%)</f>
      </c>
      <c r="O34" s="3">
        <f>IF($H34="","",K34+L34+M34+N34)</f>
      </c>
      <c r="P34" s="3"/>
      <c r="Q34" s="3"/>
      <c r="R34" s="3"/>
      <c r="S34" s="3">
        <f>IF($H34="","",R34*20%)</f>
      </c>
      <c r="T34" s="3">
        <v>1</v>
      </c>
      <c r="U34" s="3">
        <f>IF($H34="","",N34+Q34+S34)</f>
      </c>
      <c r="V34" s="3">
        <f>IF($H34="","",I34-J34-O34-P34-Q34-R34-S34-T34)</f>
      </c>
      <c r="W34" s="3">
        <f>IF($H34="","",(V34-AE34)/H34*100)</f>
      </c>
      <c r="X34" s="3">
        <f>IF($H34="","",J34-U34)</f>
      </c>
      <c r="AF34" s="3">
        <f>IF($H34="","",V34-AE34)</f>
      </c>
    </row>
    <row r="35" spans="1:32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>
        <f>IF($H35="","",(H35*6.9%)-(H35*6.9%)*10%)</f>
      </c>
      <c r="L35" s="3">
        <f>IF($H35="","",H35*0.35%)</f>
      </c>
      <c r="M35" s="3">
        <v>0.4</v>
      </c>
      <c r="N35" s="3">
        <f>IF($H35="","",(K35+L35+M35)*20%)</f>
      </c>
      <c r="O35" s="3">
        <f>IF($H35="","",K35+L35+M35+N35)</f>
      </c>
      <c r="P35" s="3"/>
      <c r="Q35" s="3"/>
      <c r="R35" s="3"/>
      <c r="S35" s="3">
        <f>IF($H35="","",R35*20%)</f>
      </c>
      <c r="T35" s="3">
        <v>1</v>
      </c>
      <c r="U35" s="3">
        <f>IF($H35="","",N35+Q35+S35)</f>
      </c>
      <c r="V35" s="3">
        <f>IF($H35="","",I35-J35-O35-P35-Q35-R35-S35-T35)</f>
      </c>
      <c r="W35" s="3">
        <f>IF($H35="","",(V35-AE35)/H35*100)</f>
      </c>
      <c r="X35" s="3">
        <f>IF($H35="","",J35-U35)</f>
      </c>
      <c r="AF35" s="3">
        <f>IF($H35="","",V35-AE35)</f>
      </c>
    </row>
    <row r="36" spans="1:32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>
        <f>IF($H36="","",(H36*6.9%)-(H36*6.9%)*10%)</f>
      </c>
      <c r="L36" s="3">
        <f>IF($H36="","",H36*0.35%)</f>
      </c>
      <c r="M36" s="3">
        <v>0.4</v>
      </c>
      <c r="N36" s="3">
        <f>IF($H36="","",(K36+L36+M36)*20%)</f>
      </c>
      <c r="O36" s="3">
        <f>IF($H36="","",K36+L36+M36+N36)</f>
      </c>
      <c r="P36" s="3"/>
      <c r="Q36" s="3"/>
      <c r="R36" s="3"/>
      <c r="S36" s="3">
        <f>IF($H36="","",R36*20%)</f>
      </c>
      <c r="T36" s="3">
        <v>1</v>
      </c>
      <c r="U36" s="3">
        <f>IF($H36="","",N36+Q36+S36)</f>
      </c>
      <c r="V36" s="3">
        <f>IF($H36="","",I36-J36-O36-P36-Q36-R36-S36-T36)</f>
      </c>
      <c r="W36" s="3">
        <f>IF($H36="","",(V36-AE36)/H36*100)</f>
      </c>
      <c r="X36" s="3">
        <f>IF($H36="","",J36-U36)</f>
      </c>
      <c r="AF36" s="3">
        <f>IF($H36="","",V36-AE36)</f>
      </c>
    </row>
    <row r="37" spans="1:32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>
        <f>IF($H37="","",(H37*6.9%)-(H37*6.9%)*10%)</f>
      </c>
      <c r="L37" s="3">
        <f>IF($H37="","",H37*0.35%)</f>
      </c>
      <c r="M37" s="3">
        <v>0.4</v>
      </c>
      <c r="N37" s="3">
        <f>IF($H37="","",(K37+L37+M37)*20%)</f>
      </c>
      <c r="O37" s="3">
        <f>IF($H37="","",K37+L37+M37+N37)</f>
      </c>
      <c r="P37" s="3"/>
      <c r="Q37" s="3"/>
      <c r="R37" s="3"/>
      <c r="S37" s="3">
        <f>IF($H37="","",R37*20%)</f>
      </c>
      <c r="T37" s="3">
        <v>1</v>
      </c>
      <c r="U37" s="3">
        <f>IF($H37="","",N37+Q37+S37)</f>
      </c>
      <c r="V37" s="3">
        <f>IF($H37="","",I37-J37-O37-P37-Q37-R37-S37-T37)</f>
      </c>
      <c r="W37" s="3">
        <f>IF($H37="","",(V37-AE37)/H37*100)</f>
      </c>
      <c r="X37" s="3">
        <f>IF($H37="","",J37-U37)</f>
      </c>
      <c r="AF37" s="3">
        <f>IF($H37="","",V37-AE37)</f>
      </c>
    </row>
    <row r="38" spans="1:32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>
        <f>IF($H38="","",(H38*6.9%)-(H38*6.9%)*10%)</f>
      </c>
      <c r="L38" s="3">
        <f>IF($H38="","",H38*0.35%)</f>
      </c>
      <c r="M38" s="3">
        <v>0.4</v>
      </c>
      <c r="N38" s="3">
        <f>IF($H38="","",(K38+L38+M38)*20%)</f>
      </c>
      <c r="O38" s="3">
        <f>IF($H38="","",K38+L38+M38+N38)</f>
      </c>
      <c r="P38" s="3"/>
      <c r="Q38" s="3"/>
      <c r="R38" s="3"/>
      <c r="S38" s="3">
        <f>IF($H38="","",R38*20%)</f>
      </c>
      <c r="T38" s="3">
        <v>1</v>
      </c>
      <c r="U38" s="3">
        <f>IF($H38="","",N38+Q38+S38)</f>
      </c>
      <c r="V38" s="3">
        <f>IF($H38="","",I38-J38-O38-P38-Q38-R38-S38-T38)</f>
      </c>
      <c r="W38" s="3">
        <f>IF($H38="","",(V38-AE38)/H38*100)</f>
      </c>
      <c r="X38" s="3">
        <f>IF($H38="","",J38-U38)</f>
      </c>
      <c r="AF38" s="3">
        <f>IF($H38="","",V38-AE38)</f>
      </c>
    </row>
    <row r="39" spans="1:32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>
        <f>IF($H39="","",(H39*6.9%)-(H39*6.9%)*10%)</f>
      </c>
      <c r="L39" s="3">
        <f>IF($H39="","",H39*0.35%)</f>
      </c>
      <c r="M39" s="3">
        <v>0.4</v>
      </c>
      <c r="N39" s="3">
        <f>IF($H39="","",(K39+L39+M39)*20%)</f>
      </c>
      <c r="O39" s="3">
        <f>IF($H39="","",K39+L39+M39+N39)</f>
      </c>
      <c r="P39" s="3"/>
      <c r="Q39" s="3"/>
      <c r="R39" s="3"/>
      <c r="S39" s="3">
        <f>IF($H39="","",R39*20%)</f>
      </c>
      <c r="T39" s="3">
        <v>1</v>
      </c>
      <c r="U39" s="3">
        <f>IF($H39="","",N39+Q39+S39)</f>
      </c>
      <c r="V39" s="3">
        <f>IF($H39="","",I39-J39-O39-P39-Q39-R39-S39-T39)</f>
      </c>
      <c r="W39" s="3">
        <f>IF($H39="","",(V39-AE39)/H39*100)</f>
      </c>
      <c r="X39" s="3">
        <f>IF($H39="","",J39-U39)</f>
      </c>
      <c r="AF39" s="3">
        <f>IF($H39="","",V39-AE39)</f>
      </c>
    </row>
    <row r="40" spans="1:32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>
        <f>IF($H40="","",(H40*6.9%)-(H40*6.9%)*10%)</f>
      </c>
      <c r="L40" s="3">
        <f>IF($H40="","",H40*0.35%)</f>
      </c>
      <c r="M40" s="3">
        <v>0.4</v>
      </c>
      <c r="N40" s="3">
        <f>IF($H40="","",(K40+L40+M40)*20%)</f>
      </c>
      <c r="O40" s="3">
        <f>IF($H40="","",K40+L40+M40+N40)</f>
      </c>
      <c r="P40" s="3"/>
      <c r="Q40" s="3"/>
      <c r="R40" s="3"/>
      <c r="S40" s="3">
        <f>IF($H40="","",R40*20%)</f>
      </c>
      <c r="T40" s="3">
        <v>1</v>
      </c>
      <c r="U40" s="3">
        <f>IF($H40="","",N40+Q40+S40)</f>
      </c>
      <c r="V40" s="3">
        <f>IF($H40="","",I40-J40-O40-P40-Q40-R40-S40-T40)</f>
      </c>
      <c r="W40" s="3">
        <f>IF($H40="","",(V40-AE40)/H40*100)</f>
      </c>
      <c r="X40" s="3">
        <f>IF($H40="","",J40-U40)</f>
      </c>
      <c r="AF40" s="3">
        <f>IF($H40="","",V40-AE40)</f>
      </c>
    </row>
    <row r="41" spans="1:32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>
        <f>IF($H41="","",(H41*6.9%)-(H41*6.9%)*10%)</f>
      </c>
      <c r="L41" s="3">
        <f>IF($H41="","",H41*0.35%)</f>
      </c>
      <c r="M41" s="3">
        <v>0.4</v>
      </c>
      <c r="N41" s="3">
        <f>IF($H41="","",(K41+L41+M41)*20%)</f>
      </c>
      <c r="O41" s="3">
        <f>IF($H41="","",K41+L41+M41+N41)</f>
      </c>
      <c r="P41" s="3"/>
      <c r="Q41" s="3"/>
      <c r="R41" s="3"/>
      <c r="S41" s="3">
        <f>IF($H41="","",R41*20%)</f>
      </c>
      <c r="T41" s="3">
        <v>1</v>
      </c>
      <c r="U41" s="3">
        <f>IF($H41="","",N41+Q41+S41)</f>
      </c>
      <c r="V41" s="3">
        <f>IF($H41="","",I41-J41-O41-P41-Q41-R41-S41-T41)</f>
      </c>
      <c r="W41" s="3">
        <f>IF($H41="","",(V41-AE41)/H41*100)</f>
      </c>
      <c r="X41" s="3">
        <f>IF($H41="","",J41-U41)</f>
      </c>
      <c r="AF41" s="3">
        <f>IF($H41="","",V41-AE41)</f>
      </c>
    </row>
    <row r="42" spans="1:32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>
        <f>IF($H42="","",(H42*6.9%)-(H42*6.9%)*10%)</f>
      </c>
      <c r="L42" s="3">
        <f>IF($H42="","",H42*0.35%)</f>
      </c>
      <c r="M42" s="3">
        <v>0.4</v>
      </c>
      <c r="N42" s="3">
        <f>IF($H42="","",(K42+L42+M42)*20%)</f>
      </c>
      <c r="O42" s="3">
        <f>IF($H42="","",K42+L42+M42+N42)</f>
      </c>
      <c r="P42" s="3"/>
      <c r="Q42" s="3"/>
      <c r="R42" s="3"/>
      <c r="S42" s="3">
        <f>IF($H42="","",R42*20%)</f>
      </c>
      <c r="T42" s="3">
        <v>1</v>
      </c>
      <c r="U42" s="3">
        <f>IF($H42="","",N42+Q42+S42)</f>
      </c>
      <c r="V42" s="3">
        <f>IF($H42="","",I42-J42-O42-P42-Q42-R42-S42-T42)</f>
      </c>
      <c r="W42" s="3">
        <f>IF($H42="","",(V42-AE42)/H42*100)</f>
      </c>
      <c r="X42" s="3">
        <f>IF($H42="","",J42-U42)</f>
      </c>
      <c r="AF42" s="3">
        <f>IF($H42="","",V42-AE42)</f>
      </c>
    </row>
    <row r="43" spans="1:32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>
        <f>IF($H43="","",(H43*6.9%)-(H43*6.9%)*10%)</f>
      </c>
      <c r="L43" s="3">
        <f>IF($H43="","",H43*0.35%)</f>
      </c>
      <c r="M43" s="3">
        <v>0.4</v>
      </c>
      <c r="N43" s="3">
        <f>IF($H43="","",(K43+L43+M43)*20%)</f>
      </c>
      <c r="O43" s="3">
        <f>IF($H43="","",K43+L43+M43+N43)</f>
      </c>
      <c r="P43" s="3"/>
      <c r="Q43" s="3"/>
      <c r="R43" s="3"/>
      <c r="S43" s="3">
        <f>IF($H43="","",R43*20%)</f>
      </c>
      <c r="T43" s="3">
        <v>1</v>
      </c>
      <c r="U43" s="3">
        <f>IF($H43="","",N43+Q43+S43)</f>
      </c>
      <c r="V43" s="3">
        <f>IF($H43="","",I43-J43-O43-P43-Q43-R43-S43-T43)</f>
      </c>
      <c r="W43" s="3">
        <f>IF($H43="","",(V43-AE43)/H43*100)</f>
      </c>
      <c r="X43" s="3">
        <f>IF($H43="","",J43-U43)</f>
      </c>
      <c r="AF43" s="3">
        <f>IF($H43="","",V43-AE43)</f>
      </c>
    </row>
    <row r="44" spans="1:32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>
        <f>IF($H44="","",(H44*6.9%)-(H44*6.9%)*10%)</f>
      </c>
      <c r="L44" s="3">
        <f>IF($H44="","",H44*0.35%)</f>
      </c>
      <c r="M44" s="3">
        <v>0.4</v>
      </c>
      <c r="N44" s="3">
        <f>IF($H44="","",(K44+L44+M44)*20%)</f>
      </c>
      <c r="O44" s="3">
        <f>IF($H44="","",K44+L44+M44+N44)</f>
      </c>
      <c r="P44" s="3"/>
      <c r="Q44" s="3"/>
      <c r="R44" s="3"/>
      <c r="S44" s="3">
        <f>IF($H44="","",R44*20%)</f>
      </c>
      <c r="T44" s="3">
        <v>1</v>
      </c>
      <c r="U44" s="3">
        <f>IF($H44="","",N44+Q44+S44)</f>
      </c>
      <c r="V44" s="3">
        <f>IF($H44="","",I44-J44-O44-P44-Q44-R44-S44-T44)</f>
      </c>
      <c r="W44" s="3">
        <f>IF($H44="","",(V44-AE44)/H44*100)</f>
      </c>
      <c r="X44" s="3">
        <f>IF($H44="","",J44-U44)</f>
      </c>
      <c r="AF44" s="3">
        <f>IF($H44="","",V44-AE44)</f>
      </c>
    </row>
    <row r="45" spans="1:32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>
        <f>IF($H45="","",(H45*6.9%)-(H45*6.9%)*10%)</f>
      </c>
      <c r="L45" s="3">
        <f>IF($H45="","",H45*0.35%)</f>
      </c>
      <c r="M45" s="3">
        <v>0.4</v>
      </c>
      <c r="N45" s="3">
        <f>IF($H45="","",(K45+L45+M45)*20%)</f>
      </c>
      <c r="O45" s="3">
        <f>IF($H45="","",K45+L45+M45+N45)</f>
      </c>
      <c r="P45" s="3"/>
      <c r="Q45" s="3"/>
      <c r="R45" s="3"/>
      <c r="S45" s="3">
        <f>IF($H45="","",R45*20%)</f>
      </c>
      <c r="T45" s="3">
        <v>1</v>
      </c>
      <c r="U45" s="3">
        <f>IF($H45="","",N45+Q45+S45)</f>
      </c>
      <c r="V45" s="3">
        <f>IF($H45="","",I45-J45-O45-P45-Q45-R45-S45-T45)</f>
      </c>
      <c r="W45" s="3">
        <f>IF($H45="","",(V45-AE45)/H45*100)</f>
      </c>
      <c r="X45" s="3">
        <f>IF($H45="","",J45-U45)</f>
      </c>
      <c r="AF45" s="3">
        <f>IF($H45="","",V45-AE45)</f>
      </c>
    </row>
    <row r="46" spans="1:32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>
        <f>IF($H46="","",(H46*6.9%)-(H46*6.9%)*10%)</f>
      </c>
      <c r="L46" s="3">
        <f>IF($H46="","",H46*0.35%)</f>
      </c>
      <c r="M46" s="3">
        <v>0.4</v>
      </c>
      <c r="N46" s="3">
        <f>IF($H46="","",(K46+L46+M46)*20%)</f>
      </c>
      <c r="O46" s="3">
        <f>IF($H46="","",K46+L46+M46+N46)</f>
      </c>
      <c r="P46" s="3"/>
      <c r="Q46" s="3"/>
      <c r="R46" s="3"/>
      <c r="S46" s="3">
        <f>IF($H46="","",R46*20%)</f>
      </c>
      <c r="T46" s="3">
        <v>1</v>
      </c>
      <c r="U46" s="3">
        <f>IF($H46="","",N46+Q46+S46)</f>
      </c>
      <c r="V46" s="3">
        <f>IF($H46="","",I46-J46-O46-P46-Q46-R46-S46-T46)</f>
      </c>
      <c r="W46" s="3">
        <f>IF($H46="","",(V46-AE46)/H46*100)</f>
      </c>
      <c r="X46" s="3">
        <f>IF($H46="","",J46-U46)</f>
      </c>
      <c r="AF46" s="3">
        <f>IF($H46="","",V46-AE46)</f>
      </c>
    </row>
    <row r="47" spans="1:32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>
        <f>IF($H47="","",(H47*6.9%)-(H47*6.9%)*10%)</f>
      </c>
      <c r="L47" s="3">
        <f>IF($H47="","",H47*0.35%)</f>
      </c>
      <c r="M47" s="3">
        <v>0.4</v>
      </c>
      <c r="N47" s="3">
        <f>IF($H47="","",(K47+L47+M47)*20%)</f>
      </c>
      <c r="O47" s="3">
        <f>IF($H47="","",K47+L47+M47+N47)</f>
      </c>
      <c r="P47" s="3"/>
      <c r="Q47" s="3"/>
      <c r="R47" s="3"/>
      <c r="S47" s="3">
        <f>IF($H47="","",R47*20%)</f>
      </c>
      <c r="T47" s="3">
        <v>1</v>
      </c>
      <c r="U47" s="3">
        <f>IF($H47="","",N47+Q47+S47)</f>
      </c>
      <c r="V47" s="3">
        <f>IF($H47="","",I47-J47-O47-P47-Q47-R47-S47-T47)</f>
      </c>
      <c r="W47" s="3">
        <f>IF($H47="","",(V47-AE47)/H47*100)</f>
      </c>
      <c r="X47" s="3">
        <f>IF($H47="","",J47-U47)</f>
      </c>
      <c r="AF47" s="3">
        <f>IF($H47="","",V47-AE47)</f>
      </c>
    </row>
    <row r="48" spans="1:32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>
        <f>IF($H48="","",(H48*6.9%)-(H48*6.9%)*10%)</f>
      </c>
      <c r="L48" s="3">
        <f>IF($H48="","",H48*0.35%)</f>
      </c>
      <c r="M48" s="3">
        <v>0.4</v>
      </c>
      <c r="N48" s="3">
        <f>IF($H48="","",(K48+L48+M48)*20%)</f>
      </c>
      <c r="O48" s="3">
        <f>IF($H48="","",K48+L48+M48+N48)</f>
      </c>
      <c r="P48" s="3"/>
      <c r="Q48" s="3"/>
      <c r="R48" s="3"/>
      <c r="S48" s="3">
        <f>IF($H48="","",R48*20%)</f>
      </c>
      <c r="T48" s="3">
        <v>1</v>
      </c>
      <c r="U48" s="3">
        <f>IF($H48="","",N48+Q48+S48)</f>
      </c>
      <c r="V48" s="3">
        <f>IF($H48="","",I48-J48-O48-P48-Q48-R48-S48-T48)</f>
      </c>
      <c r="W48" s="3">
        <f>IF($H48="","",(V48-AE48)/H48*100)</f>
      </c>
      <c r="X48" s="3">
        <f>IF($H48="","",J48-U48)</f>
      </c>
      <c r="AF48" s="3">
        <f>IF($H48="","",V48-AE48)</f>
      </c>
    </row>
    <row r="49" spans="1:32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>
        <f>IF($H49="","",(H49*6.9%)-(H49*6.9%)*10%)</f>
      </c>
      <c r="L49" s="3">
        <f>IF($H49="","",H49*0.35%)</f>
      </c>
      <c r="M49" s="3">
        <v>0.4</v>
      </c>
      <c r="N49" s="3">
        <f>IF($H49="","",(K49+L49+M49)*20%)</f>
      </c>
      <c r="O49" s="3">
        <f>IF($H49="","",K49+L49+M49+N49)</f>
      </c>
      <c r="P49" s="3"/>
      <c r="Q49" s="3"/>
      <c r="R49" s="3"/>
      <c r="S49" s="3">
        <f>IF($H49="","",R49*20%)</f>
      </c>
      <c r="T49" s="3">
        <v>1</v>
      </c>
      <c r="U49" s="3">
        <f>IF($H49="","",N49+Q49+S49)</f>
      </c>
      <c r="V49" s="3">
        <f>IF($H49="","",I49-J49-O49-P49-Q49-R49-S49-T49)</f>
      </c>
      <c r="W49" s="3">
        <f>IF($H49="","",(V49-AE49)/H49*100)</f>
      </c>
      <c r="X49" s="3">
        <f>IF($H49="","",J49-U49)</f>
      </c>
      <c r="AF49" s="3">
        <f>IF($H49="","",V49-AE49)</f>
      </c>
    </row>
    <row r="50" spans="1:32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>
        <f>IF($H50="","",(H50*6.9%)-(H50*6.9%)*10%)</f>
      </c>
      <c r="L50" s="3">
        <f>IF($H50="","",H50*0.35%)</f>
      </c>
      <c r="M50" s="3">
        <v>0.4</v>
      </c>
      <c r="N50" s="3">
        <f>IF($H50="","",(K50+L50+M50)*20%)</f>
      </c>
      <c r="O50" s="3">
        <f>IF($H50="","",K50+L50+M50+N50)</f>
      </c>
      <c r="P50" s="3"/>
      <c r="Q50" s="3"/>
      <c r="R50" s="3"/>
      <c r="S50" s="3">
        <f>IF($H50="","",R50*20%)</f>
      </c>
      <c r="T50" s="3">
        <v>1</v>
      </c>
      <c r="U50" s="3">
        <f>IF($H50="","",N50+Q50+S50)</f>
      </c>
      <c r="V50" s="3">
        <f>IF($H50="","",I50-J50-O50-P50-Q50-R50-S50-T50)</f>
      </c>
      <c r="W50" s="3">
        <f>IF($H50="","",(V50-AE50)/H50*100)</f>
      </c>
      <c r="X50" s="3">
        <f>IF($H50="","",J50-U50)</f>
      </c>
      <c r="AF50" s="3">
        <f>IF($H50="","",V50-AE50)</f>
      </c>
    </row>
    <row r="51" spans="1:32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>
        <f>IF($H51="","",(H51*6.9%)-(H51*6.9%)*10%)</f>
      </c>
      <c r="L51" s="3">
        <f>IF($H51="","",H51*0.35%)</f>
      </c>
      <c r="M51" s="3">
        <v>0.4</v>
      </c>
      <c r="N51" s="3">
        <f>IF($H51="","",(K51+L51+M51)*20%)</f>
      </c>
      <c r="O51" s="3">
        <f>IF($H51="","",K51+L51+M51+N51)</f>
      </c>
      <c r="P51" s="3"/>
      <c r="Q51" s="3"/>
      <c r="R51" s="3"/>
      <c r="S51" s="3">
        <f>IF($H51="","",R51*20%)</f>
      </c>
      <c r="T51" s="3">
        <v>1</v>
      </c>
      <c r="U51" s="3">
        <f>IF($H51="","",N51+Q51+S51)</f>
      </c>
      <c r="V51" s="3">
        <f>IF($H51="","",I51-J51-O51-P51-Q51-R51-S51-T51)</f>
      </c>
      <c r="W51" s="3">
        <f>IF($H51="","",(V51-AE51)/H51*100)</f>
      </c>
      <c r="X51" s="3">
        <f>IF($H51="","",J51-U51)</f>
      </c>
      <c r="AF51" s="3">
        <f>IF($H51="","",V51-AE51)</f>
      </c>
    </row>
    <row r="52" spans="1:32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>
        <f>IF($H52="","",(H52*6.9%)-(H52*6.9%)*10%)</f>
      </c>
      <c r="L52" s="3">
        <f>IF($H52="","",H52*0.35%)</f>
      </c>
      <c r="M52" s="3">
        <v>0.4</v>
      </c>
      <c r="N52" s="3">
        <f>IF($H52="","",(K52+L52+M52)*20%)</f>
      </c>
      <c r="O52" s="3">
        <f>IF($H52="","",K52+L52+M52+N52)</f>
      </c>
      <c r="P52" s="3"/>
      <c r="Q52" s="3"/>
      <c r="R52" s="3"/>
      <c r="S52" s="3">
        <f>IF($H52="","",R52*20%)</f>
      </c>
      <c r="T52" s="3">
        <v>1</v>
      </c>
      <c r="U52" s="3">
        <f>IF($H52="","",N52+Q52+S52)</f>
      </c>
      <c r="V52" s="3">
        <f>IF($H52="","",I52-J52-O52-P52-Q52-R52-S52-T52)</f>
      </c>
      <c r="W52" s="3">
        <f>IF($H52="","",(V52-AE52)/H52*100)</f>
      </c>
      <c r="X52" s="3">
        <f>IF($H52="","",J52-U52)</f>
      </c>
      <c r="AF52" s="3">
        <f>IF($H52="","",V52-AE52)</f>
      </c>
    </row>
    <row r="53" spans="1:32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>
        <f>IF($H53="","",(H53*6.9%)-(H53*6.9%)*10%)</f>
      </c>
      <c r="L53" s="3">
        <f>IF($H53="","",H53*0.35%)</f>
      </c>
      <c r="M53" s="3">
        <v>0.4</v>
      </c>
      <c r="N53" s="3">
        <f>IF($H53="","",(K53+L53+M53)*20%)</f>
      </c>
      <c r="O53" s="3">
        <f>IF($H53="","",K53+L53+M53+N53)</f>
      </c>
      <c r="P53" s="3"/>
      <c r="Q53" s="3"/>
      <c r="R53" s="3"/>
      <c r="S53" s="3">
        <f>IF($H53="","",R53*20%)</f>
      </c>
      <c r="T53" s="3">
        <v>1</v>
      </c>
      <c r="U53" s="3">
        <f>IF($H53="","",N53+Q53+S53)</f>
      </c>
      <c r="V53" s="3">
        <f>IF($H53="","",I53-J53-O53-P53-Q53-R53-S53-T53)</f>
      </c>
      <c r="W53" s="3">
        <f>IF($H53="","",(V53-AE53)/H53*100)</f>
      </c>
      <c r="X53" s="3">
        <f>IF($H53="","",J53-U53)</f>
      </c>
      <c r="AF53" s="3">
        <f>IF($H53="","",V53-AE53)</f>
      </c>
    </row>
    <row r="54" spans="1:32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>
        <f>IF($H54="","",(H54*6.9%)-(H54*6.9%)*10%)</f>
      </c>
      <c r="L54" s="3">
        <f>IF($H54="","",H54*0.35%)</f>
      </c>
      <c r="M54" s="3">
        <v>0.4</v>
      </c>
      <c r="N54" s="3">
        <f>IF($H54="","",(K54+L54+M54)*20%)</f>
      </c>
      <c r="O54" s="3">
        <f>IF($H54="","",K54+L54+M54+N54)</f>
      </c>
      <c r="P54" s="3"/>
      <c r="Q54" s="3"/>
      <c r="R54" s="3"/>
      <c r="S54" s="3">
        <f>IF($H54="","",R54*20%)</f>
      </c>
      <c r="T54" s="3">
        <v>1</v>
      </c>
      <c r="U54" s="3">
        <f>IF($H54="","",N54+Q54+S54)</f>
      </c>
      <c r="V54" s="3">
        <f>IF($H54="","",I54-J54-O54-P54-Q54-R54-S54-T54)</f>
      </c>
      <c r="W54" s="3">
        <f>IF($H54="","",(V54-AE54)/H54*100)</f>
      </c>
      <c r="X54" s="3">
        <f>IF($H54="","",J54-U54)</f>
      </c>
      <c r="AF54" s="3">
        <f>IF($H54="","",V54-AE54)</f>
      </c>
    </row>
    <row r="55" spans="1:32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>
        <f>IF($H55="","",(H55*6.9%)-(H55*6.9%)*10%)</f>
      </c>
      <c r="L55" s="3">
        <f>IF($H55="","",H55*0.35%)</f>
      </c>
      <c r="M55" s="3">
        <v>0.4</v>
      </c>
      <c r="N55" s="3">
        <f>IF($H55="","",(K55+L55+M55)*20%)</f>
      </c>
      <c r="O55" s="3">
        <f>IF($H55="","",K55+L55+M55+N55)</f>
      </c>
      <c r="P55" s="3"/>
      <c r="Q55" s="3"/>
      <c r="R55" s="3"/>
      <c r="S55" s="3">
        <f>IF($H55="","",R55*20%)</f>
      </c>
      <c r="T55" s="3">
        <v>1</v>
      </c>
      <c r="U55" s="3">
        <f>IF($H55="","",N55+Q55+S55)</f>
      </c>
      <c r="V55" s="3">
        <f>IF($H55="","",I55-J55-O55-P55-Q55-R55-S55-T55)</f>
      </c>
      <c r="W55" s="3">
        <f>IF($H55="","",(V55-AE55)/H55*100)</f>
      </c>
      <c r="X55" s="3">
        <f>IF($H55="","",J55-U55)</f>
      </c>
      <c r="AF55" s="3">
        <f>IF($H55="","",V55-AE55)</f>
      </c>
    </row>
    <row r="56" spans="1:32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>
        <f>IF($H56="","",(H56*6.9%)-(H56*6.9%)*10%)</f>
      </c>
      <c r="L56" s="3">
        <f>IF($H56="","",H56*0.35%)</f>
      </c>
      <c r="M56" s="3">
        <v>0.4</v>
      </c>
      <c r="N56" s="3">
        <f>IF($H56="","",(K56+L56+M56)*20%)</f>
      </c>
      <c r="O56" s="3">
        <f>IF($H56="","",K56+L56+M56+N56)</f>
      </c>
      <c r="P56" s="3"/>
      <c r="Q56" s="3"/>
      <c r="R56" s="3"/>
      <c r="S56" s="3">
        <f>IF($H56="","",R56*20%)</f>
      </c>
      <c r="T56" s="3">
        <v>1</v>
      </c>
      <c r="U56" s="3">
        <f>IF($H56="","",N56+Q56+S56)</f>
      </c>
      <c r="V56" s="3">
        <f>IF($H56="","",I56-J56-O56-P56-Q56-R56-S56-T56)</f>
      </c>
      <c r="W56" s="3">
        <f>IF($H56="","",(V56-AE56)/H56*100)</f>
      </c>
      <c r="X56" s="3">
        <f>IF($H56="","",J56-U56)</f>
      </c>
      <c r="AF56" s="3">
        <f>IF($H56="","",V56-AE56)</f>
      </c>
    </row>
    <row r="57" spans="1:32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>
        <f>IF($H57="","",(H57*6.9%)-(H57*6.9%)*10%)</f>
      </c>
      <c r="L57" s="3">
        <f>IF($H57="","",H57*0.35%)</f>
      </c>
      <c r="M57" s="3">
        <v>0.4</v>
      </c>
      <c r="N57" s="3">
        <f>IF($H57="","",(K57+L57+M57)*20%)</f>
      </c>
      <c r="O57" s="3">
        <f>IF($H57="","",K57+L57+M57+N57)</f>
      </c>
      <c r="P57" s="3"/>
      <c r="Q57" s="3"/>
      <c r="R57" s="3"/>
      <c r="S57" s="3">
        <f>IF($H57="","",R57*20%)</f>
      </c>
      <c r="T57" s="3">
        <v>1</v>
      </c>
      <c r="U57" s="3">
        <f>IF($H57="","",N57+Q57+S57)</f>
      </c>
      <c r="V57" s="3">
        <f>IF($H57="","",I57-J57-O57-P57-Q57-R57-S57-T57)</f>
      </c>
      <c r="W57" s="3">
        <f>IF($H57="","",(V57-AE57)/H57*100)</f>
      </c>
      <c r="X57" s="3">
        <f>IF($H57="","",J57-U57)</f>
      </c>
      <c r="AF57" s="3">
        <f>IF($H57="","",V57-AE57)</f>
      </c>
    </row>
    <row r="58" spans="1:32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>
        <f>IF($H58="","",(H58*6.9%)-(H58*6.9%)*10%)</f>
      </c>
      <c r="L58" s="3">
        <f>IF($H58="","",H58*0.35%)</f>
      </c>
      <c r="M58" s="3">
        <v>0.4</v>
      </c>
      <c r="N58" s="3">
        <f>IF($H58="","",(K58+L58+M58)*20%)</f>
      </c>
      <c r="O58" s="3">
        <f>IF($H58="","",K58+L58+M58+N58)</f>
      </c>
      <c r="P58" s="3"/>
      <c r="Q58" s="3"/>
      <c r="R58" s="3"/>
      <c r="S58" s="3">
        <f>IF($H58="","",R58*20%)</f>
      </c>
      <c r="T58" s="3">
        <v>1</v>
      </c>
      <c r="U58" s="3">
        <f>IF($H58="","",N58+Q58+S58)</f>
      </c>
      <c r="V58" s="3">
        <f>IF($H58="","",I58-J58-O58-P58-Q58-R58-S58-T58)</f>
      </c>
      <c r="W58" s="3">
        <f>IF($H58="","",(V58-AE58)/H58*100)</f>
      </c>
      <c r="X58" s="3">
        <f>IF($H58="","",J58-U58)</f>
      </c>
      <c r="AF58" s="3">
        <f>IF($H58="","",V58-AE58)</f>
      </c>
    </row>
    <row r="59" spans="1:32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>
        <f>IF($H59="","",(H59*6.9%)-(H59*6.9%)*10%)</f>
      </c>
      <c r="L59" s="3">
        <f>IF($H59="","",H59*0.35%)</f>
      </c>
      <c r="M59" s="3">
        <v>0.4</v>
      </c>
      <c r="N59" s="3">
        <f>IF($H59="","",(K59+L59+M59)*20%)</f>
      </c>
      <c r="O59" s="3">
        <f>IF($H59="","",K59+L59+M59+N59)</f>
      </c>
      <c r="P59" s="3"/>
      <c r="Q59" s="3"/>
      <c r="R59" s="3"/>
      <c r="S59" s="3">
        <f>IF($H59="","",R59*20%)</f>
      </c>
      <c r="T59" s="3">
        <v>1</v>
      </c>
      <c r="U59" s="3">
        <f>IF($H59="","",N59+Q59+S59)</f>
      </c>
      <c r="V59" s="3">
        <f>IF($H59="","",I59-J59-O59-P59-Q59-R59-S59-T59)</f>
      </c>
      <c r="W59" s="3">
        <f>IF($H59="","",(V59-AE59)/H59*100)</f>
      </c>
      <c r="X59" s="3">
        <f>IF($H59="","",J59-U59)</f>
      </c>
      <c r="AF59" s="3">
        <f>IF($H59="","",V59-AE59)</f>
      </c>
    </row>
    <row r="60" spans="1:32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>
        <f>IF($H60="","",(H60*6.9%)-(H60*6.9%)*10%)</f>
      </c>
      <c r="L60" s="3">
        <f>IF($H60="","",H60*0.35%)</f>
      </c>
      <c r="M60" s="3">
        <v>0.4</v>
      </c>
      <c r="N60" s="3">
        <f>IF($H60="","",(K60+L60+M60)*20%)</f>
      </c>
      <c r="O60" s="3">
        <f>IF($H60="","",K60+L60+M60+N60)</f>
      </c>
      <c r="P60" s="3"/>
      <c r="Q60" s="3"/>
      <c r="R60" s="3"/>
      <c r="S60" s="3">
        <f>IF($H60="","",R60*20%)</f>
      </c>
      <c r="T60" s="3">
        <v>1</v>
      </c>
      <c r="U60" s="3">
        <f>IF($H60="","",N60+Q60+S60)</f>
      </c>
      <c r="V60" s="3">
        <f>IF($H60="","",I60-J60-O60-P60-Q60-R60-S60-T60)</f>
      </c>
      <c r="W60" s="3">
        <f>IF($H60="","",(V60-AE60)/H60*100)</f>
      </c>
      <c r="X60" s="3">
        <f>IF($H60="","",J60-U60)</f>
      </c>
      <c r="AF60" s="3">
        <f>IF($H60="","",V60-AE60)</f>
      </c>
    </row>
    <row r="61" spans="1:32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>
        <f>IF($H61="","",(H61*6.9%)-(H61*6.9%)*10%)</f>
      </c>
      <c r="L61" s="3">
        <f>IF($H61="","",H61*0.35%)</f>
      </c>
      <c r="M61" s="3">
        <v>0.4</v>
      </c>
      <c r="N61" s="3">
        <f>IF($H61="","",(K61+L61+M61)*20%)</f>
      </c>
      <c r="O61" s="3">
        <f>IF($H61="","",K61+L61+M61+N61)</f>
      </c>
      <c r="P61" s="3"/>
      <c r="Q61" s="3"/>
      <c r="R61" s="3"/>
      <c r="S61" s="3">
        <f>IF($H61="","",R61*20%)</f>
      </c>
      <c r="T61" s="3">
        <v>1</v>
      </c>
      <c r="U61" s="3">
        <f>IF($H61="","",N61+Q61+S61)</f>
      </c>
      <c r="V61" s="3">
        <f>IF($H61="","",I61-J61-O61-P61-Q61-R61-S61-T61)</f>
      </c>
      <c r="W61" s="3">
        <f>IF($H61="","",(V61-AE61)/H61*100)</f>
      </c>
      <c r="X61" s="3">
        <f>IF($H61="","",J61-U61)</f>
      </c>
      <c r="AF61" s="3">
        <f>IF($H61="","",V61-AE61)</f>
      </c>
    </row>
    <row r="62" spans="1:32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>
        <f>IF($H62="","",(H62*6.9%)-(H62*6.9%)*10%)</f>
      </c>
      <c r="L62" s="3">
        <f>IF($H62="","",H62*0.35%)</f>
      </c>
      <c r="M62" s="3">
        <v>0.4</v>
      </c>
      <c r="N62" s="3">
        <f>IF($H62="","",(K62+L62+M62)*20%)</f>
      </c>
      <c r="O62" s="3">
        <f>IF($H62="","",K62+L62+M62+N62)</f>
      </c>
      <c r="P62" s="3"/>
      <c r="Q62" s="3"/>
      <c r="R62" s="3"/>
      <c r="S62" s="3">
        <f>IF($H62="","",R62*20%)</f>
      </c>
      <c r="T62" s="3">
        <v>1</v>
      </c>
      <c r="U62" s="3">
        <f>IF($H62="","",N62+Q62+S62)</f>
      </c>
      <c r="V62" s="3">
        <f>IF($H62="","",I62-J62-O62-P62-Q62-R62-S62-T62)</f>
      </c>
      <c r="W62" s="3">
        <f>IF($H62="","",(V62-AE62)/H62*100)</f>
      </c>
      <c r="X62" s="3">
        <f>IF($H62="","",J62-U62)</f>
      </c>
      <c r="AF62" s="3">
        <f>IF($H62="","",V62-AE62)</f>
      </c>
    </row>
    <row r="63" spans="1:32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>
        <f>IF($H63="","",(H63*6.9%)-(H63*6.9%)*10%)</f>
      </c>
      <c r="L63" s="3">
        <f>IF($H63="","",H63*0.35%)</f>
      </c>
      <c r="M63" s="3">
        <v>0.4</v>
      </c>
      <c r="N63" s="3">
        <f>IF($H63="","",(K63+L63+M63)*20%)</f>
      </c>
      <c r="O63" s="3">
        <f>IF($H63="","",K63+L63+M63+N63)</f>
      </c>
      <c r="P63" s="3"/>
      <c r="Q63" s="3"/>
      <c r="R63" s="3"/>
      <c r="S63" s="3">
        <f>IF($H63="","",R63*20%)</f>
      </c>
      <c r="T63" s="3">
        <v>1</v>
      </c>
      <c r="U63" s="3">
        <f>IF($H63="","",N63+Q63+S63)</f>
      </c>
      <c r="V63" s="3">
        <f>IF($H63="","",I63-J63-O63-P63-Q63-R63-S63-T63)</f>
      </c>
      <c r="W63" s="3">
        <f>IF($H63="","",(V63-AE63)/H63*100)</f>
      </c>
      <c r="X63" s="3">
        <f>IF($H63="","",J63-U63)</f>
      </c>
      <c r="AF63" s="3">
        <f>IF($H63="","",V63-AE63)</f>
      </c>
    </row>
    <row r="64" spans="1:32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>
        <f>IF($H64="","",(H64*6.9%)-(H64*6.9%)*10%)</f>
      </c>
      <c r="L64" s="3">
        <f>IF($H64="","",H64*0.35%)</f>
      </c>
      <c r="M64" s="3">
        <v>0.4</v>
      </c>
      <c r="N64" s="3">
        <f>IF($H64="","",(K64+L64+M64)*20%)</f>
      </c>
      <c r="O64" s="3">
        <f>IF($H64="","",K64+L64+M64+N64)</f>
      </c>
      <c r="P64" s="3"/>
      <c r="Q64" s="3"/>
      <c r="R64" s="3"/>
      <c r="S64" s="3">
        <f>IF($H64="","",R64*20%)</f>
      </c>
      <c r="T64" s="3">
        <v>1</v>
      </c>
      <c r="U64" s="3">
        <f>IF($H64="","",N64+Q64+S64)</f>
      </c>
      <c r="V64" s="3">
        <f>IF($H64="","",I64-J64-O64-P64-Q64-R64-S64-T64)</f>
      </c>
      <c r="W64" s="3">
        <f>IF($H64="","",(V64-AE64)/H64*100)</f>
      </c>
      <c r="X64" s="3">
        <f>IF($H64="","",J64-U64)</f>
      </c>
      <c r="AF64" s="3">
        <f>IF($H64="","",V64-AE64)</f>
      </c>
    </row>
    <row r="65" spans="1:32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>
        <f>IF($H65="","",(H65*6.9%)-(H65*6.9%)*10%)</f>
      </c>
      <c r="L65" s="3">
        <f>IF($H65="","",H65*0.35%)</f>
      </c>
      <c r="M65" s="3">
        <v>0.4</v>
      </c>
      <c r="N65" s="3">
        <f>IF($H65="","",(K65+L65+M65)*20%)</f>
      </c>
      <c r="O65" s="3">
        <f>IF($H65="","",K65+L65+M65+N65)</f>
      </c>
      <c r="P65" s="3"/>
      <c r="Q65" s="3"/>
      <c r="R65" s="3"/>
      <c r="S65" s="3">
        <f>IF($H65="","",R65*20%)</f>
      </c>
      <c r="T65" s="3">
        <v>1</v>
      </c>
      <c r="U65" s="3">
        <f>IF($H65="","",N65+Q65+S65)</f>
      </c>
      <c r="V65" s="3">
        <f>IF($H65="","",I65-J65-O65-P65-Q65-R65-S65-T65)</f>
      </c>
      <c r="W65" s="3">
        <f>IF($H65="","",(V65-AE65)/H65*100)</f>
      </c>
      <c r="X65" s="3">
        <f>IF($H65="","",J65-U65)</f>
      </c>
      <c r="AF65" s="3">
        <f>IF($H65="","",V65-AE65)</f>
      </c>
    </row>
    <row r="66" spans="1:32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>
        <f>IF($H66="","",(H66*6.9%)-(H66*6.9%)*10%)</f>
      </c>
      <c r="L66" s="3">
        <f>IF($H66="","",H66*0.35%)</f>
      </c>
      <c r="M66" s="3">
        <v>0.4</v>
      </c>
      <c r="N66" s="3">
        <f>IF($H66="","",(K66+L66+M66)*20%)</f>
      </c>
      <c r="O66" s="3">
        <f>IF($H66="","",K66+L66+M66+N66)</f>
      </c>
      <c r="P66" s="3"/>
      <c r="Q66" s="3"/>
      <c r="R66" s="3"/>
      <c r="S66" s="3">
        <f>IF($H66="","",R66*20%)</f>
      </c>
      <c r="T66" s="3">
        <v>1</v>
      </c>
      <c r="U66" s="3">
        <f>IF($H66="","",N66+Q66+S66)</f>
      </c>
      <c r="V66" s="3">
        <f>IF($H66="","",I66-J66-O66-P66-Q66-R66-S66-T66)</f>
      </c>
      <c r="W66" s="3">
        <f>IF($H66="","",(V66-AE66)/H66*100)</f>
      </c>
      <c r="X66" s="3">
        <f>IF($H66="","",J66-U66)</f>
      </c>
      <c r="AF66" s="3">
        <f>IF($H66="","",V66-AE66)</f>
      </c>
    </row>
    <row r="67" spans="1:32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>
        <f>IF($H67="","",(H67*6.9%)-(H67*6.9%)*10%)</f>
      </c>
      <c r="L67" s="3">
        <f>IF($H67="","",H67*0.35%)</f>
      </c>
      <c r="M67" s="3">
        <v>0.4</v>
      </c>
      <c r="N67" s="3">
        <f>IF($H67="","",(K67+L67+M67)*20%)</f>
      </c>
      <c r="O67" s="3">
        <f>IF($H67="","",K67+L67+M67+N67)</f>
      </c>
      <c r="P67" s="3"/>
      <c r="Q67" s="3"/>
      <c r="R67" s="3"/>
      <c r="S67" s="3">
        <f>IF($H67="","",R67*20%)</f>
      </c>
      <c r="T67" s="3">
        <v>1</v>
      </c>
      <c r="U67" s="3">
        <f>IF($H67="","",N67+Q67+S67)</f>
      </c>
      <c r="V67" s="3">
        <f>IF($H67="","",I67-J67-O67-P67-Q67-R67-S67-T67)</f>
      </c>
      <c r="W67" s="3">
        <f>IF($H67="","",(V67-AE67)/H67*100)</f>
      </c>
      <c r="X67" s="3">
        <f>IF($H67="","",J67-U67)</f>
      </c>
      <c r="AF67" s="3">
        <f>IF($H67="","",V67-AE67)</f>
      </c>
    </row>
    <row r="68" spans="1:32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>
        <f>IF($H68="","",(H68*6.9%)-(H68*6.9%)*10%)</f>
      </c>
      <c r="L68" s="3">
        <f>IF($H68="","",H68*0.35%)</f>
      </c>
      <c r="M68" s="3">
        <v>0.4</v>
      </c>
      <c r="N68" s="3">
        <f>IF($H68="","",(K68+L68+M68)*20%)</f>
      </c>
      <c r="O68" s="3">
        <f>IF($H68="","",K68+L68+M68+N68)</f>
      </c>
      <c r="P68" s="3"/>
      <c r="Q68" s="3"/>
      <c r="R68" s="3"/>
      <c r="S68" s="3">
        <f>IF($H68="","",R68*20%)</f>
      </c>
      <c r="T68" s="3">
        <v>1</v>
      </c>
      <c r="U68" s="3">
        <f>IF($H68="","",N68+Q68+S68)</f>
      </c>
      <c r="V68" s="3">
        <f>IF($H68="","",I68-J68-O68-P68-Q68-R68-S68-T68)</f>
      </c>
      <c r="W68" s="3">
        <f>IF($H68="","",(V68-AE68)/H68*100)</f>
      </c>
      <c r="X68" s="3">
        <f>IF($H68="","",J68-U68)</f>
      </c>
      <c r="AF68" s="3">
        <f>IF($H68="","",V68-AE68)</f>
      </c>
    </row>
    <row r="69" spans="1:32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>
        <f>IF($H69="","",(H69*6.9%)-(H69*6.9%)*10%)</f>
      </c>
      <c r="L69" s="3">
        <f>IF($H69="","",H69*0.35%)</f>
      </c>
      <c r="M69" s="3">
        <v>0.4</v>
      </c>
      <c r="N69" s="3">
        <f>IF($H69="","",(K69+L69+M69)*20%)</f>
      </c>
      <c r="O69" s="3">
        <f>IF($H69="","",K69+L69+M69+N69)</f>
      </c>
      <c r="P69" s="3"/>
      <c r="Q69" s="3"/>
      <c r="R69" s="3"/>
      <c r="S69" s="3">
        <f>IF($H69="","",R69*20%)</f>
      </c>
      <c r="T69" s="3">
        <v>1</v>
      </c>
      <c r="U69" s="3">
        <f>IF($H69="","",N69+Q69+S69)</f>
      </c>
      <c r="V69" s="3">
        <f>IF($H69="","",I69-J69-O69-P69-Q69-R69-S69-T69)</f>
      </c>
      <c r="W69" s="3">
        <f>IF($H69="","",(V69-AE69)/H69*100)</f>
      </c>
      <c r="X69" s="3">
        <f>IF($H69="","",J69-U69)</f>
      </c>
      <c r="AF69" s="3">
        <f>IF($H69="","",V69-AE69)</f>
      </c>
    </row>
    <row r="70" spans="1:32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>
        <f>IF($H70="","",(H70*6.9%)-(H70*6.9%)*10%)</f>
      </c>
      <c r="L70" s="3">
        <f>IF($H70="","",H70*0.35%)</f>
      </c>
      <c r="M70" s="3">
        <v>0.4</v>
      </c>
      <c r="N70" s="3">
        <f>IF($H70="","",(K70+L70+M70)*20%)</f>
      </c>
      <c r="O70" s="3">
        <f>IF($H70="","",K70+L70+M70+N70)</f>
      </c>
      <c r="P70" s="3"/>
      <c r="Q70" s="3"/>
      <c r="R70" s="3"/>
      <c r="S70" s="3">
        <f>IF($H70="","",R70*20%)</f>
      </c>
      <c r="T70" s="3">
        <v>1</v>
      </c>
      <c r="U70" s="3">
        <f>IF($H70="","",N70+Q70+S70)</f>
      </c>
      <c r="V70" s="3">
        <f>IF($H70="","",I70-J70-O70-P70-Q70-R70-S70-T70)</f>
      </c>
      <c r="W70" s="3">
        <f>IF($H70="","",(V70-AE70)/H70*100)</f>
      </c>
      <c r="X70" s="3">
        <f>IF($H70="","",J70-U70)</f>
      </c>
      <c r="AF70" s="3">
        <f>IF($H70="","",V70-AE70)</f>
      </c>
    </row>
    <row r="71" spans="1:32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>
        <f>IF($H71="","",(H71*6.9%)-(H71*6.9%)*10%)</f>
      </c>
      <c r="L71" s="3">
        <f>IF($H71="","",H71*0.35%)</f>
      </c>
      <c r="M71" s="3">
        <v>0.4</v>
      </c>
      <c r="N71" s="3">
        <f>IF($H71="","",(K71+L71+M71)*20%)</f>
      </c>
      <c r="O71" s="3">
        <f>IF($H71="","",K71+L71+M71+N71)</f>
      </c>
      <c r="P71" s="3"/>
      <c r="Q71" s="3"/>
      <c r="R71" s="3"/>
      <c r="S71" s="3">
        <f>IF($H71="","",R71*20%)</f>
      </c>
      <c r="T71" s="3">
        <v>1</v>
      </c>
      <c r="U71" s="3">
        <f>IF($H71="","",N71+Q71+S71)</f>
      </c>
      <c r="V71" s="3">
        <f>IF($H71="","",I71-J71-O71-P71-Q71-R71-S71-T71)</f>
      </c>
      <c r="W71" s="3">
        <f>IF($H71="","",(V71-AE71)/H71*100)</f>
      </c>
      <c r="X71" s="3">
        <f>IF($H71="","",J71-U71)</f>
      </c>
      <c r="AF71" s="3">
        <f>IF($H71="","",V71-AE71)</f>
      </c>
    </row>
    <row r="72" spans="1:32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>
        <f>IF($H72="","",(H72*6.9%)-(H72*6.9%)*10%)</f>
      </c>
      <c r="L72" s="3">
        <f>IF($H72="","",H72*0.35%)</f>
      </c>
      <c r="M72" s="3">
        <v>0.4</v>
      </c>
      <c r="N72" s="3">
        <f>IF($H72="","",(K72+L72+M72)*20%)</f>
      </c>
      <c r="O72" s="3">
        <f>IF($H72="","",K72+L72+M72+N72)</f>
      </c>
      <c r="P72" s="3"/>
      <c r="Q72" s="3"/>
      <c r="R72" s="3"/>
      <c r="S72" s="3">
        <f>IF($H72="","",R72*20%)</f>
      </c>
      <c r="T72" s="3">
        <v>1</v>
      </c>
      <c r="U72" s="3">
        <f>IF($H72="","",N72+Q72+S72)</f>
      </c>
      <c r="V72" s="3">
        <f>IF($H72="","",I72-J72-O72-P72-Q72-R72-S72-T72)</f>
      </c>
      <c r="W72" s="3">
        <f>IF($H72="","",(V72-AE72)/H72*100)</f>
      </c>
      <c r="X72" s="3">
        <f>IF($H72="","",J72-U72)</f>
      </c>
      <c r="AF72" s="3">
        <f>IF($H72="","",V72-AE72)</f>
      </c>
    </row>
    <row r="73" spans="1:32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>
        <f>IF($H73="","",(H73*6.9%)-(H73*6.9%)*10%)</f>
      </c>
      <c r="L73" s="3">
        <f>IF($H73="","",H73*0.35%)</f>
      </c>
      <c r="M73" s="3">
        <v>0.4</v>
      </c>
      <c r="N73" s="3">
        <f>IF($H73="","",(K73+L73+M73)*20%)</f>
      </c>
      <c r="O73" s="3">
        <f>IF($H73="","",K73+L73+M73+N73)</f>
      </c>
      <c r="P73" s="3"/>
      <c r="Q73" s="3"/>
      <c r="R73" s="3"/>
      <c r="S73" s="3">
        <f>IF($H73="","",R73*20%)</f>
      </c>
      <c r="T73" s="3">
        <v>1</v>
      </c>
      <c r="U73" s="3">
        <f>IF($H73="","",N73+Q73+S73)</f>
      </c>
      <c r="V73" s="3">
        <f>IF($H73="","",I73-J73-O73-P73-Q73-R73-S73-T73)</f>
      </c>
      <c r="W73" s="3">
        <f>IF($H73="","",(V73-AE73)/H73*100)</f>
      </c>
      <c r="X73" s="3">
        <f>IF($H73="","",J73-U73)</f>
      </c>
      <c r="AF73" s="3">
        <f>IF($H73="","",V73-AE73)</f>
      </c>
    </row>
    <row r="74" spans="1:32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>
        <f>IF($H74="","",(H74*6.9%)-(H74*6.9%)*10%)</f>
      </c>
      <c r="L74" s="3">
        <f>IF($H74="","",H74*0.35%)</f>
      </c>
      <c r="M74" s="3">
        <v>0.4</v>
      </c>
      <c r="N74" s="3">
        <f>IF($H74="","",(K74+L74+M74)*20%)</f>
      </c>
      <c r="O74" s="3">
        <f>IF($H74="","",K74+L74+M74+N74)</f>
      </c>
      <c r="P74" s="3"/>
      <c r="Q74" s="3"/>
      <c r="R74" s="3"/>
      <c r="S74" s="3">
        <f>IF($H74="","",R74*20%)</f>
      </c>
      <c r="T74" s="3">
        <v>1</v>
      </c>
      <c r="U74" s="3">
        <f>IF($H74="","",N74+Q74+S74)</f>
      </c>
      <c r="V74" s="3">
        <f>IF($H74="","",I74-J74-O74-P74-Q74-R74-S74-T74)</f>
      </c>
      <c r="W74" s="3">
        <f>IF($H74="","",(V74-AE74)/H74*100)</f>
      </c>
      <c r="X74" s="3">
        <f>IF($H74="","",J74-U74)</f>
      </c>
      <c r="AF74" s="3">
        <f>IF($H74="","",V74-AE74)</f>
      </c>
    </row>
    <row r="75" spans="1:32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>
        <f>IF($H75="","",(H75*6.9%)-(H75*6.9%)*10%)</f>
      </c>
      <c r="L75" s="3">
        <f>IF($H75="","",H75*0.35%)</f>
      </c>
      <c r="M75" s="3">
        <v>0.4</v>
      </c>
      <c r="N75" s="3">
        <f>IF($H75="","",(K75+L75+M75)*20%)</f>
      </c>
      <c r="O75" s="3">
        <f>IF($H75="","",K75+L75+M75+N75)</f>
      </c>
      <c r="P75" s="3"/>
      <c r="Q75" s="3"/>
      <c r="R75" s="3"/>
      <c r="S75" s="3">
        <f>IF($H75="","",R75*20%)</f>
      </c>
      <c r="T75" s="3">
        <v>1</v>
      </c>
      <c r="U75" s="3">
        <f>IF($H75="","",N75+Q75+S75)</f>
      </c>
      <c r="V75" s="3">
        <f>IF($H75="","",I75-J75-O75-P75-Q75-R75-S75-T75)</f>
      </c>
      <c r="W75" s="3">
        <f>IF($H75="","",(V75-AE75)/H75*100)</f>
      </c>
      <c r="X75" s="3">
        <f>IF($H75="","",J75-U75)</f>
      </c>
      <c r="AF75" s="3">
        <f>IF($H75="","",V75-AE75)</f>
      </c>
    </row>
    <row r="76" spans="1:32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>
        <f>IF($H76="","",(H76*6.9%)-(H76*6.9%)*10%)</f>
      </c>
      <c r="L76" s="3">
        <f>IF($H76="","",H76*0.35%)</f>
      </c>
      <c r="M76" s="3">
        <v>0.4</v>
      </c>
      <c r="N76" s="3">
        <f>IF($H76="","",(K76+L76+M76)*20%)</f>
      </c>
      <c r="O76" s="3">
        <f>IF($H76="","",K76+L76+M76+N76)</f>
      </c>
      <c r="P76" s="3"/>
      <c r="Q76" s="3"/>
      <c r="R76" s="3"/>
      <c r="S76" s="3">
        <f>IF($H76="","",R76*20%)</f>
      </c>
      <c r="T76" s="3">
        <v>1</v>
      </c>
      <c r="U76" s="3">
        <f>IF($H76="","",N76+Q76+S76)</f>
      </c>
      <c r="V76" s="3">
        <f>IF($H76="","",I76-J76-O76-P76-Q76-R76-S76-T76)</f>
      </c>
      <c r="W76" s="3">
        <f>IF($H76="","",(V76-AE76)/H76*100)</f>
      </c>
      <c r="X76" s="3">
        <f>IF($H76="","",J76-U76)</f>
      </c>
      <c r="AF76" s="3">
        <f>IF($H76="","",V76-AE76)</f>
      </c>
    </row>
    <row r="77" spans="1:32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>
        <f>IF($H77="","",(H77*6.9%)-(H77*6.9%)*10%)</f>
      </c>
      <c r="L77" s="3">
        <f>IF($H77="","",H77*0.35%)</f>
      </c>
      <c r="M77" s="3">
        <v>0.4</v>
      </c>
      <c r="N77" s="3">
        <f>IF($H77="","",(K77+L77+M77)*20%)</f>
      </c>
      <c r="O77" s="3">
        <f>IF($H77="","",K77+L77+M77+N77)</f>
      </c>
      <c r="P77" s="3"/>
      <c r="Q77" s="3"/>
      <c r="R77" s="3"/>
      <c r="S77" s="3">
        <f>IF($H77="","",R77*20%)</f>
      </c>
      <c r="T77" s="3">
        <v>1</v>
      </c>
      <c r="U77" s="3">
        <f>IF($H77="","",N77+Q77+S77)</f>
      </c>
      <c r="V77" s="3">
        <f>IF($H77="","",I77-J77-O77-P77-Q77-R77-S77-T77)</f>
      </c>
      <c r="W77" s="3">
        <f>IF($H77="","",(V77-AE77)/H77*100)</f>
      </c>
      <c r="X77" s="3">
        <f>IF($H77="","",J77-U77)</f>
      </c>
      <c r="AF77" s="3">
        <f>IF($H77="","",V77-AE77)</f>
      </c>
    </row>
    <row r="78" spans="1:32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>
        <f>IF($H78="","",(H78*6.9%)-(H78*6.9%)*10%)</f>
      </c>
      <c r="L78" s="3">
        <f>IF($H78="","",H78*0.35%)</f>
      </c>
      <c r="M78" s="3">
        <v>0.4</v>
      </c>
      <c r="N78" s="3">
        <f>IF($H78="","",(K78+L78+M78)*20%)</f>
      </c>
      <c r="O78" s="3">
        <f>IF($H78="","",K78+L78+M78+N78)</f>
      </c>
      <c r="P78" s="3"/>
      <c r="Q78" s="3"/>
      <c r="R78" s="3"/>
      <c r="S78" s="3">
        <f>IF($H78="","",R78*20%)</f>
      </c>
      <c r="T78" s="3">
        <v>1</v>
      </c>
      <c r="U78" s="3">
        <f>IF($H78="","",N78+Q78+S78)</f>
      </c>
      <c r="V78" s="3">
        <f>IF($H78="","",I78-J78-O78-P78-Q78-R78-S78-T78)</f>
      </c>
      <c r="W78" s="3">
        <f>IF($H78="","",(V78-AE78)/H78*100)</f>
      </c>
      <c r="X78" s="3">
        <f>IF($H78="","",J78-U78)</f>
      </c>
      <c r="AF78" s="3">
        <f>IF($H78="","",V78-AE78)</f>
      </c>
    </row>
    <row r="79" spans="1:32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>
        <f>IF($H79="","",(H79*6.9%)-(H79*6.9%)*10%)</f>
      </c>
      <c r="L79" s="3">
        <f>IF($H79="","",H79*0.35%)</f>
      </c>
      <c r="M79" s="3">
        <v>0.4</v>
      </c>
      <c r="N79" s="3">
        <f>IF($H79="","",(K79+L79+M79)*20%)</f>
      </c>
      <c r="O79" s="3">
        <f>IF($H79="","",K79+L79+M79+N79)</f>
      </c>
      <c r="P79" s="3"/>
      <c r="Q79" s="3"/>
      <c r="R79" s="3"/>
      <c r="S79" s="3">
        <f>IF($H79="","",R79*20%)</f>
      </c>
      <c r="T79" s="3">
        <v>1</v>
      </c>
      <c r="U79" s="3">
        <f>IF($H79="","",N79+Q79+S79)</f>
      </c>
      <c r="V79" s="3">
        <f>IF($H79="","",I79-J79-O79-P79-Q79-R79-S79-T79)</f>
      </c>
      <c r="W79" s="3">
        <f>IF($H79="","",(V79-AE79)/H79*100)</f>
      </c>
      <c r="X79" s="3">
        <f>IF($H79="","",J79-U79)</f>
      </c>
      <c r="AF79" s="3">
        <f>IF($H79="","",V79-AE79)</f>
      </c>
    </row>
    <row r="80" spans="1:32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>
        <f>IF($H80="","",(H80*6.9%)-(H80*6.9%)*10%)</f>
      </c>
      <c r="L80" s="3">
        <f>IF($H80="","",H80*0.35%)</f>
      </c>
      <c r="M80" s="3">
        <v>0.4</v>
      </c>
      <c r="N80" s="3">
        <f>IF($H80="","",(K80+L80+M80)*20%)</f>
      </c>
      <c r="O80" s="3">
        <f>IF($H80="","",K80+L80+M80+N80)</f>
      </c>
      <c r="P80" s="3"/>
      <c r="Q80" s="3"/>
      <c r="R80" s="3"/>
      <c r="S80" s="3">
        <f>IF($H80="","",R80*20%)</f>
      </c>
      <c r="T80" s="3">
        <v>1</v>
      </c>
      <c r="U80" s="3">
        <f>IF($H80="","",N80+Q80+S80)</f>
      </c>
      <c r="V80" s="3">
        <f>IF($H80="","",I80-J80-O80-P80-Q80-R80-S80-T80)</f>
      </c>
      <c r="W80" s="3">
        <f>IF($H80="","",(V80-AE80)/H80*100)</f>
      </c>
      <c r="X80" s="3">
        <f>IF($H80="","",J80-U80)</f>
      </c>
      <c r="AF80" s="3">
        <f>IF($H80="","",V80-AE80)</f>
      </c>
    </row>
    <row r="81" spans="1:32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>
        <f>IF($H81="","",(H81*6.9%)-(H81*6.9%)*10%)</f>
      </c>
      <c r="L81" s="3">
        <f>IF($H81="","",H81*0.35%)</f>
      </c>
      <c r="M81" s="3">
        <v>0.4</v>
      </c>
      <c r="N81" s="3">
        <f>IF($H81="","",(K81+L81+M81)*20%)</f>
      </c>
      <c r="O81" s="3">
        <f>IF($H81="","",K81+L81+M81+N81)</f>
      </c>
      <c r="P81" s="3"/>
      <c r="Q81" s="3"/>
      <c r="R81" s="3"/>
      <c r="S81" s="3">
        <f>IF($H81="","",R81*20%)</f>
      </c>
      <c r="T81" s="3">
        <v>1</v>
      </c>
      <c r="U81" s="3">
        <f>IF($H81="","",N81+Q81+S81)</f>
      </c>
      <c r="V81" s="3">
        <f>IF($H81="","",I81-J81-O81-P81-Q81-R81-S81-T81)</f>
      </c>
      <c r="W81" s="3">
        <f>IF($H81="","",(V81-AE81)/H81*100)</f>
      </c>
      <c r="X81" s="3">
        <f>IF($H81="","",J81-U81)</f>
      </c>
      <c r="AF81" s="3">
        <f>IF($H81="","",V81-AE81)</f>
      </c>
    </row>
    <row r="82" spans="1:32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>
        <f>IF($H82="","",(H82*6.9%)-(H82*6.9%)*10%)</f>
      </c>
      <c r="L82" s="3">
        <f>IF($H82="","",H82*0.35%)</f>
      </c>
      <c r="M82" s="3">
        <v>0.4</v>
      </c>
      <c r="N82" s="3">
        <f>IF($H82="","",(K82+L82+M82)*20%)</f>
      </c>
      <c r="O82" s="3">
        <f>IF($H82="","",K82+L82+M82+N82)</f>
      </c>
      <c r="P82" s="3"/>
      <c r="Q82" s="3"/>
      <c r="R82" s="3"/>
      <c r="S82" s="3">
        <f>IF($H82="","",R82*20%)</f>
      </c>
      <c r="T82" s="3">
        <v>1</v>
      </c>
      <c r="U82" s="3">
        <f>IF($H82="","",N82+Q82+S82)</f>
      </c>
      <c r="V82" s="3">
        <f>IF($H82="","",I82-J82-O82-P82-Q82-R82-S82-T82)</f>
      </c>
      <c r="W82" s="3">
        <f>IF($H82="","",(V82-AE82)/H82*100)</f>
      </c>
      <c r="X82" s="3">
        <f>IF($H82="","",J82-U82)</f>
      </c>
      <c r="AF82" s="3">
        <f>IF($H82="","",V82-AE82)</f>
      </c>
    </row>
    <row r="83" spans="1:32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>
        <f>IF($H83="","",(H83*6.9%)-(H83*6.9%)*10%)</f>
      </c>
      <c r="L83" s="3">
        <f>IF($H83="","",H83*0.35%)</f>
      </c>
      <c r="M83" s="3">
        <v>0.4</v>
      </c>
      <c r="N83" s="3">
        <f>IF($H83="","",(K83+L83+M83)*20%)</f>
      </c>
      <c r="O83" s="3">
        <f>IF($H83="","",K83+L83+M83+N83)</f>
      </c>
      <c r="P83" s="3"/>
      <c r="Q83" s="3"/>
      <c r="R83" s="3"/>
      <c r="S83" s="3">
        <f>IF($H83="","",R83*20%)</f>
      </c>
      <c r="T83" s="3">
        <v>1</v>
      </c>
      <c r="U83" s="3">
        <f>IF($H83="","",N83+Q83+S83)</f>
      </c>
      <c r="V83" s="3">
        <f>IF($H83="","",I83-J83-O83-P83-Q83-R83-S83-T83)</f>
      </c>
      <c r="W83" s="3">
        <f>IF($H83="","",(V83-AE83)/H83*100)</f>
      </c>
      <c r="X83" s="3">
        <f>IF($H83="","",J83-U83)</f>
      </c>
      <c r="AF83" s="3">
        <f>IF($H83="","",V83-AE83)</f>
      </c>
    </row>
    <row r="84" spans="1:32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>
        <f>IF($H84="","",(H84*6.9%)-(H84*6.9%)*10%)</f>
      </c>
      <c r="L84" s="3">
        <f>IF($H84="","",H84*0.35%)</f>
      </c>
      <c r="M84" s="3">
        <v>0.4</v>
      </c>
      <c r="N84" s="3">
        <f>IF($H84="","",(K84+L84+M84)*20%)</f>
      </c>
      <c r="O84" s="3">
        <f>IF($H84="","",K84+L84+M84+N84)</f>
      </c>
      <c r="P84" s="3"/>
      <c r="Q84" s="3"/>
      <c r="R84" s="3"/>
      <c r="S84" s="3">
        <f>IF($H84="","",R84*20%)</f>
      </c>
      <c r="T84" s="3">
        <v>1</v>
      </c>
      <c r="U84" s="3">
        <f>IF($H84="","",N84+Q84+S84)</f>
      </c>
      <c r="V84" s="3">
        <f>IF($H84="","",I84-J84-O84-P84-Q84-R84-S84-T84)</f>
      </c>
      <c r="W84" s="3">
        <f>IF($H84="","",(V84-AE84)/H84*100)</f>
      </c>
      <c r="X84" s="3">
        <f>IF($H84="","",J84-U84)</f>
      </c>
      <c r="AF84" s="3">
        <f>IF($H84="","",V84-AE84)</f>
      </c>
    </row>
    <row r="85" spans="1:32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>
        <f>IF($H85="","",(H85*6.9%)-(H85*6.9%)*10%)</f>
      </c>
      <c r="L85" s="3">
        <f>IF($H85="","",H85*0.35%)</f>
      </c>
      <c r="M85" s="3">
        <v>0.4</v>
      </c>
      <c r="N85" s="3">
        <f>IF($H85="","",(K85+L85+M85)*20%)</f>
      </c>
      <c r="O85" s="3">
        <f>IF($H85="","",K85+L85+M85+N85)</f>
      </c>
      <c r="P85" s="3"/>
      <c r="Q85" s="3"/>
      <c r="R85" s="3"/>
      <c r="S85" s="3">
        <f>IF($H85="","",R85*20%)</f>
      </c>
      <c r="T85" s="3">
        <v>1</v>
      </c>
      <c r="U85" s="3">
        <f>IF($H85="","",N85+Q85+S85)</f>
      </c>
      <c r="V85" s="3">
        <f>IF($H85="","",I85-J85-O85-P85-Q85-R85-S85-T85)</f>
      </c>
      <c r="W85" s="3">
        <f>IF($H85="","",(V85-AE85)/H85*100)</f>
      </c>
      <c r="X85" s="3">
        <f>IF($H85="","",J85-U85)</f>
      </c>
      <c r="AF85" s="3">
        <f>IF($H85="","",V85-AE85)</f>
      </c>
    </row>
    <row r="86" spans="1:32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>
        <f>IF($H86="","",(H86*6.9%)-(H86*6.9%)*10%)</f>
      </c>
      <c r="L86" s="3">
        <f>IF($H86="","",H86*0.35%)</f>
      </c>
      <c r="M86" s="3">
        <v>0.4</v>
      </c>
      <c r="N86" s="3">
        <f>IF($H86="","",(K86+L86+M86)*20%)</f>
      </c>
      <c r="O86" s="3">
        <f>IF($H86="","",K86+L86+M86+N86)</f>
      </c>
      <c r="P86" s="3"/>
      <c r="Q86" s="3"/>
      <c r="R86" s="3"/>
      <c r="S86" s="3">
        <f>IF($H86="","",R86*20%)</f>
      </c>
      <c r="T86" s="3">
        <v>1</v>
      </c>
      <c r="U86" s="3">
        <f>IF($H86="","",N86+Q86+S86)</f>
      </c>
      <c r="V86" s="3">
        <f>IF($H86="","",I86-J86-O86-P86-Q86-R86-S86-T86)</f>
      </c>
      <c r="W86" s="3">
        <f>IF($H86="","",(V86-AE86)/H86*100)</f>
      </c>
      <c r="X86" s="3">
        <f>IF($H86="","",J86-U86)</f>
      </c>
      <c r="AF86" s="3">
        <f>IF($H86="","",V86-AE86)</f>
      </c>
    </row>
    <row r="87" spans="1:32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>
        <f>IF($H87="","",(H87*6.9%)-(H87*6.9%)*10%)</f>
      </c>
      <c r="L87" s="3">
        <f>IF($H87="","",H87*0.35%)</f>
      </c>
      <c r="M87" s="3">
        <v>0.4</v>
      </c>
      <c r="N87" s="3">
        <f>IF($H87="","",(K87+L87+M87)*20%)</f>
      </c>
      <c r="O87" s="3">
        <f>IF($H87="","",K87+L87+M87+N87)</f>
      </c>
      <c r="P87" s="3"/>
      <c r="Q87" s="3"/>
      <c r="R87" s="3"/>
      <c r="S87" s="3">
        <f>IF($H87="","",R87*20%)</f>
      </c>
      <c r="T87" s="3">
        <v>1</v>
      </c>
      <c r="U87" s="3">
        <f>IF($H87="","",N87+Q87+S87)</f>
      </c>
      <c r="V87" s="3">
        <f>IF($H87="","",I87-J87-O87-P87-Q87-R87-S87-T87)</f>
      </c>
      <c r="W87" s="3">
        <f>IF($H87="","",(V87-AE87)/H87*100)</f>
      </c>
      <c r="X87" s="3">
        <f>IF($H87="","",J87-U87)</f>
      </c>
      <c r="AF87" s="3">
        <f>IF($H87="","",V87-AE87)</f>
      </c>
    </row>
    <row r="88" spans="1:32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>
        <f>IF($H88="","",(H88*6.9%)-(H88*6.9%)*10%)</f>
      </c>
      <c r="L88" s="3">
        <f>IF($H88="","",H88*0.35%)</f>
      </c>
      <c r="M88" s="3">
        <v>0.4</v>
      </c>
      <c r="N88" s="3">
        <f>IF($H88="","",(K88+L88+M88)*20%)</f>
      </c>
      <c r="O88" s="3">
        <f>IF($H88="","",K88+L88+M88+N88)</f>
      </c>
      <c r="P88" s="3"/>
      <c r="Q88" s="3"/>
      <c r="R88" s="3"/>
      <c r="S88" s="3">
        <f>IF($H88="","",R88*20%)</f>
      </c>
      <c r="T88" s="3">
        <v>1</v>
      </c>
      <c r="U88" s="3">
        <f>IF($H88="","",N88+Q88+S88)</f>
      </c>
      <c r="V88" s="3">
        <f>IF($H88="","",I88-J88-O88-P88-Q88-R88-S88-T88)</f>
      </c>
      <c r="W88" s="3">
        <f>IF($H88="","",(V88-AE88)/H88*100)</f>
      </c>
      <c r="X88" s="3">
        <f>IF($H88="","",J88-U88)</f>
      </c>
      <c r="AF88" s="3">
        <f>IF($H88="","",V88-AE88)</f>
      </c>
    </row>
    <row r="89" spans="1:32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>
        <f>IF($H89="","",(H89*6.9%)-(H89*6.9%)*10%)</f>
      </c>
      <c r="L89" s="3">
        <f>IF($H89="","",H89*0.35%)</f>
      </c>
      <c r="M89" s="3">
        <v>0.4</v>
      </c>
      <c r="N89" s="3">
        <f>IF($H89="","",(K89+L89+M89)*20%)</f>
      </c>
      <c r="O89" s="3">
        <f>IF($H89="","",K89+L89+M89+N89)</f>
      </c>
      <c r="P89" s="3"/>
      <c r="Q89" s="3"/>
      <c r="R89" s="3"/>
      <c r="S89" s="3">
        <f>IF($H89="","",R89*20%)</f>
      </c>
      <c r="T89" s="3">
        <v>1</v>
      </c>
      <c r="U89" s="3">
        <f>IF($H89="","",N89+Q89+S89)</f>
      </c>
      <c r="V89" s="3">
        <f>IF($H89="","",I89-J89-O89-P89-Q89-R89-S89-T89)</f>
      </c>
      <c r="W89" s="3">
        <f>IF($H89="","",(V89-AE89)/H89*100)</f>
      </c>
      <c r="X89" s="3">
        <f>IF($H89="","",J89-U89)</f>
      </c>
      <c r="AF89" s="3">
        <f>IF($H89="","",V89-AE89)</f>
      </c>
    </row>
    <row r="90" spans="1:32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>
        <f>IF($H90="","",(H90*6.9%)-(H90*6.9%)*10%)</f>
      </c>
      <c r="L90" s="3">
        <f>IF($H90="","",H90*0.35%)</f>
      </c>
      <c r="M90" s="3">
        <v>0.4</v>
      </c>
      <c r="N90" s="3">
        <f>IF($H90="","",(K90+L90+M90)*20%)</f>
      </c>
      <c r="O90" s="3">
        <f>IF($H90="","",K90+L90+M90+N90)</f>
      </c>
      <c r="P90" s="3"/>
      <c r="Q90" s="3"/>
      <c r="R90" s="3"/>
      <c r="S90" s="3">
        <f>IF($H90="","",R90*20%)</f>
      </c>
      <c r="T90" s="3">
        <v>1</v>
      </c>
      <c r="U90" s="3">
        <f>IF($H90="","",N90+Q90+S90)</f>
      </c>
      <c r="V90" s="3">
        <f>IF($H90="","",I90-J90-O90-P90-Q90-R90-S90-T90)</f>
      </c>
      <c r="W90" s="3">
        <f>IF($H90="","",(V90-AE90)/H90*100)</f>
      </c>
      <c r="X90" s="3">
        <f>IF($H90="","",J90-U90)</f>
      </c>
      <c r="AF90" s="3">
        <f>IF($H90="","",V90-AE90)</f>
      </c>
    </row>
    <row r="91" spans="1:32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>
        <f>IF($H91="","",(H91*6.9%)-(H91*6.9%)*10%)</f>
      </c>
      <c r="L91" s="3">
        <f>IF($H91="","",H91*0.35%)</f>
      </c>
      <c r="M91" s="3">
        <v>0.4</v>
      </c>
      <c r="N91" s="3">
        <f>IF($H91="","",(K91+L91+M91)*20%)</f>
      </c>
      <c r="O91" s="3">
        <f>IF($H91="","",K91+L91+M91+N91)</f>
      </c>
      <c r="P91" s="3"/>
      <c r="Q91" s="3"/>
      <c r="R91" s="3"/>
      <c r="S91" s="3">
        <f>IF($H91="","",R91*20%)</f>
      </c>
      <c r="T91" s="3">
        <v>1</v>
      </c>
      <c r="U91" s="3">
        <f>IF($H91="","",N91+Q91+S91)</f>
      </c>
      <c r="V91" s="3">
        <f>IF($H91="","",I91-J91-O91-P91-Q91-R91-S91-T91)</f>
      </c>
      <c r="W91" s="3">
        <f>IF($H91="","",(V91-AE91)/H91*100)</f>
      </c>
      <c r="X91" s="3">
        <f>IF($H91="","",J91-U91)</f>
      </c>
      <c r="AF91" s="3">
        <f>IF($H91="","",V91-AE91)</f>
      </c>
    </row>
    <row r="92" spans="1:32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>
        <f>IF($H92="","",(H92*6.9%)-(H92*6.9%)*10%)</f>
      </c>
      <c r="L92" s="3">
        <f>IF($H92="","",H92*0.35%)</f>
      </c>
      <c r="M92" s="3">
        <v>0.4</v>
      </c>
      <c r="N92" s="3">
        <f>IF($H92="","",(K92+L92+M92)*20%)</f>
      </c>
      <c r="O92" s="3">
        <f>IF($H92="","",K92+L92+M92+N92)</f>
      </c>
      <c r="P92" s="3"/>
      <c r="Q92" s="3"/>
      <c r="R92" s="3"/>
      <c r="S92" s="3">
        <f>IF($H92="","",R92*20%)</f>
      </c>
      <c r="T92" s="3">
        <v>1</v>
      </c>
      <c r="U92" s="3">
        <f>IF($H92="","",N92+Q92+S92)</f>
      </c>
      <c r="V92" s="3">
        <f>IF($H92="","",I92-J92-O92-P92-Q92-R92-S92-T92)</f>
      </c>
      <c r="W92" s="3">
        <f>IF($H92="","",(V92-AE92)/H92*100)</f>
      </c>
      <c r="X92" s="3">
        <f>IF($H92="","",J92-U92)</f>
      </c>
      <c r="AF92" s="3">
        <f>IF($H92="","",V92-AE92)</f>
      </c>
    </row>
    <row r="93" spans="1:32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>
        <f>IF($H93="","",(H93*6.9%)-(H93*6.9%)*10%)</f>
      </c>
      <c r="L93" s="3">
        <f>IF($H93="","",H93*0.35%)</f>
      </c>
      <c r="M93" s="3">
        <v>0.4</v>
      </c>
      <c r="N93" s="3">
        <f>IF($H93="","",(K93+L93+M93)*20%)</f>
      </c>
      <c r="O93" s="3">
        <f>IF($H93="","",K93+L93+M93+N93)</f>
      </c>
      <c r="P93" s="3"/>
      <c r="Q93" s="3"/>
      <c r="R93" s="3"/>
      <c r="S93" s="3">
        <f>IF($H93="","",R93*20%)</f>
      </c>
      <c r="T93" s="3">
        <v>1</v>
      </c>
      <c r="U93" s="3">
        <f>IF($H93="","",N93+Q93+S93)</f>
      </c>
      <c r="V93" s="3">
        <f>IF($H93="","",I93-J93-O93-P93-Q93-R93-S93-T93)</f>
      </c>
      <c r="W93" s="3">
        <f>IF($H93="","",(V93-AE93)/H93*100)</f>
      </c>
      <c r="X93" s="3">
        <f>IF($H93="","",J93-U93)</f>
      </c>
      <c r="AF93" s="3">
        <f>IF($H93="","",V93-AE93)</f>
      </c>
    </row>
    <row r="94" spans="1:32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>
        <f>IF($H94="","",(H94*6.9%)-(H94*6.9%)*10%)</f>
      </c>
      <c r="L94" s="3">
        <f>IF($H94="","",H94*0.35%)</f>
      </c>
      <c r="M94" s="3">
        <v>0.4</v>
      </c>
      <c r="N94" s="3">
        <f>IF($H94="","",(K94+L94+M94)*20%)</f>
      </c>
      <c r="O94" s="3">
        <f>IF($H94="","",K94+L94+M94+N94)</f>
      </c>
      <c r="P94" s="3"/>
      <c r="Q94" s="3"/>
      <c r="R94" s="3"/>
      <c r="S94" s="3">
        <f>IF($H94="","",R94*20%)</f>
      </c>
      <c r="T94" s="3">
        <v>1</v>
      </c>
      <c r="U94" s="3">
        <f>IF($H94="","",N94+Q94+S94)</f>
      </c>
      <c r="V94" s="3">
        <f>IF($H94="","",I94-J94-O94-P94-Q94-R94-S94-T94)</f>
      </c>
      <c r="W94" s="3">
        <f>IF($H94="","",(V94-AE94)/H94*100)</f>
      </c>
      <c r="X94" s="3">
        <f>IF($H94="","",J94-U94)</f>
      </c>
      <c r="AF94" s="3">
        <f>IF($H94="","",V94-AE94)</f>
      </c>
    </row>
    <row r="95" spans="1:32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>
        <f>IF($H95="","",(H95*6.9%)-(H95*6.9%)*10%)</f>
      </c>
      <c r="L95" s="3">
        <f>IF($H95="","",H95*0.35%)</f>
      </c>
      <c r="M95" s="3">
        <v>0.4</v>
      </c>
      <c r="N95" s="3">
        <f>IF($H95="","",(K95+L95+M95)*20%)</f>
      </c>
      <c r="O95" s="3">
        <f>IF($H95="","",K95+L95+M95+N95)</f>
      </c>
      <c r="P95" s="3"/>
      <c r="Q95" s="3"/>
      <c r="R95" s="3"/>
      <c r="S95" s="3">
        <f>IF($H95="","",R95*20%)</f>
      </c>
      <c r="T95" s="3">
        <v>1</v>
      </c>
      <c r="U95" s="3">
        <f>IF($H95="","",N95+Q95+S95)</f>
      </c>
      <c r="V95" s="3">
        <f>IF($H95="","",I95-J95-O95-P95-Q95-R95-S95-T95)</f>
      </c>
      <c r="W95" s="3">
        <f>IF($H95="","",(V95-AE95)/H95*100)</f>
      </c>
      <c r="X95" s="3">
        <f>IF($H95="","",J95-U95)</f>
      </c>
      <c r="AF95" s="3">
        <f>IF($H95="","",V95-AE95)</f>
      </c>
    </row>
    <row r="96" spans="1:32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>
        <f>IF($H96="","",(H96*6.9%)-(H96*6.9%)*10%)</f>
      </c>
      <c r="L96" s="3">
        <f>IF($H96="","",H96*0.35%)</f>
      </c>
      <c r="M96" s="3">
        <v>0.4</v>
      </c>
      <c r="N96" s="3">
        <f>IF($H96="","",(K96+L96+M96)*20%)</f>
      </c>
      <c r="O96" s="3">
        <f>IF($H96="","",K96+L96+M96+N96)</f>
      </c>
      <c r="P96" s="3"/>
      <c r="Q96" s="3"/>
      <c r="R96" s="3"/>
      <c r="S96" s="3">
        <f>IF($H96="","",R96*20%)</f>
      </c>
      <c r="T96" s="3">
        <v>1</v>
      </c>
      <c r="U96" s="3">
        <f>IF($H96="","",N96+Q96+S96)</f>
      </c>
      <c r="V96" s="3">
        <f>IF($H96="","",I96-J96-O96-P96-Q96-R96-S96-T96)</f>
      </c>
      <c r="W96" s="3">
        <f>IF($H96="","",(V96-AE96)/H96*100)</f>
      </c>
      <c r="X96" s="3">
        <f>IF($H96="","",J96-U96)</f>
      </c>
      <c r="AF96" s="3">
        <f>IF($H96="","",V96-AE96)</f>
      </c>
    </row>
    <row r="97" spans="1:32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>
        <f>IF($H97="","",(H97*6.9%)-(H97*6.9%)*10%)</f>
      </c>
      <c r="L97" s="3">
        <f>IF($H97="","",H97*0.35%)</f>
      </c>
      <c r="M97" s="3">
        <v>0.4</v>
      </c>
      <c r="N97" s="3">
        <f>IF($H97="","",(K97+L97+M97)*20%)</f>
      </c>
      <c r="O97" s="3">
        <f>IF($H97="","",K97+L97+M97+N97)</f>
      </c>
      <c r="P97" s="3"/>
      <c r="Q97" s="3"/>
      <c r="R97" s="3"/>
      <c r="S97" s="3">
        <f>IF($H97="","",R97*20%)</f>
      </c>
      <c r="T97" s="3">
        <v>1</v>
      </c>
      <c r="U97" s="3">
        <f>IF($H97="","",N97+Q97+S97)</f>
      </c>
      <c r="V97" s="3">
        <f>IF($H97="","",I97-J97-O97-P97-Q97-R97-S97-T97)</f>
      </c>
      <c r="W97" s="3">
        <f>IF($H97="","",(V97-AE97)/H97*100)</f>
      </c>
      <c r="X97" s="3">
        <f>IF($H97="","",J97-U97)</f>
      </c>
      <c r="AF97" s="3">
        <f>IF($H97="","",V97-AE97)</f>
      </c>
    </row>
    <row r="98" spans="1:32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>
        <f>IF($H98="","",(H98*6.9%)-(H98*6.9%)*10%)</f>
      </c>
      <c r="L98" s="3">
        <f>IF($H98="","",H98*0.35%)</f>
      </c>
      <c r="M98" s="3">
        <v>0.4</v>
      </c>
      <c r="N98" s="3">
        <f>IF($H98="","",(K98+L98+M98)*20%)</f>
      </c>
      <c r="O98" s="3">
        <f>IF($H98="","",K98+L98+M98+N98)</f>
      </c>
      <c r="P98" s="3"/>
      <c r="Q98" s="3"/>
      <c r="R98" s="3"/>
      <c r="S98" s="3">
        <f>IF($H98="","",R98*20%)</f>
      </c>
      <c r="T98" s="3">
        <v>1</v>
      </c>
      <c r="U98" s="3">
        <f>IF($H98="","",N98+Q98+S98)</f>
      </c>
      <c r="V98" s="3">
        <f>IF($H98="","",I98-J98-O98-P98-Q98-R98-S98-T98)</f>
      </c>
      <c r="W98" s="3">
        <f>IF($H98="","",(V98-AE98)/H98*100)</f>
      </c>
      <c r="X98" s="3">
        <f>IF($H98="","",J98-U98)</f>
      </c>
      <c r="AF98" s="3">
        <f>IF($H98="","",V98-AE98)</f>
      </c>
    </row>
    <row r="99" spans="1:32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>
        <f>IF($H99="","",(H99*6.9%)-(H99*6.9%)*10%)</f>
      </c>
      <c r="L99" s="3">
        <f>IF($H99="","",H99*0.35%)</f>
      </c>
      <c r="M99" s="3">
        <v>0.4</v>
      </c>
      <c r="N99" s="3">
        <f>IF($H99="","",(K99+L99+M99)*20%)</f>
      </c>
      <c r="O99" s="3">
        <f>IF($H99="","",K99+L99+M99+N99)</f>
      </c>
      <c r="P99" s="3"/>
      <c r="Q99" s="3"/>
      <c r="R99" s="3"/>
      <c r="S99" s="3">
        <f>IF($H99="","",R99*20%)</f>
      </c>
      <c r="T99" s="3">
        <v>1</v>
      </c>
      <c r="U99" s="3">
        <f>IF($H99="","",N99+Q99+S99)</f>
      </c>
      <c r="V99" s="3">
        <f>IF($H99="","",I99-J99-O99-P99-Q99-R99-S99-T99)</f>
      </c>
      <c r="W99" s="3">
        <f>IF($H99="","",(V99-AE99)/H99*100)</f>
      </c>
      <c r="X99" s="3">
        <f>IF($H99="","",J99-U99)</f>
      </c>
      <c r="AF99" s="3">
        <f>IF($H99="","",V99-AE99)</f>
      </c>
    </row>
    <row r="100" spans="1:32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>
        <f>IF($H100="","",(H100*6.9%)-(H100*6.9%)*10%)</f>
      </c>
      <c r="L100" s="3">
        <f>IF($H100="","",H100*0.35%)</f>
      </c>
      <c r="M100" s="3">
        <v>0.4</v>
      </c>
      <c r="N100" s="3">
        <f>IF($H100="","",(K100+L100+M100)*20%)</f>
      </c>
      <c r="O100" s="3">
        <f>IF($H100="","",K100+L100+M100+N100)</f>
      </c>
      <c r="P100" s="3"/>
      <c r="Q100" s="3"/>
      <c r="R100" s="3"/>
      <c r="S100" s="3">
        <f>IF($H100="","",R100*20%)</f>
      </c>
      <c r="T100" s="3">
        <v>1</v>
      </c>
      <c r="U100" s="3">
        <f>IF($H100="","",N100+Q100+S100)</f>
      </c>
      <c r="V100" s="3">
        <f>IF($H100="","",I100-J100-O100-P100-Q100-R100-S100-T100)</f>
      </c>
      <c r="W100" s="3">
        <f>IF($H100="","",(V100-AE100)/H100*100)</f>
      </c>
      <c r="X100" s="3">
        <f>IF($H100="","",J100-U100)</f>
      </c>
      <c r="AF100" s="3">
        <f>IF($H100="","",V100-AE100)</f>
      </c>
    </row>
    <row r="101" spans="1:32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>
        <f>IF($H101="","",(H101*6.9%)-(H101*6.9%)*10%)</f>
      </c>
      <c r="L101" s="3">
        <f>IF($H101="","",H101*0.35%)</f>
      </c>
      <c r="M101" s="3">
        <v>0.4</v>
      </c>
      <c r="N101" s="3">
        <f>IF($H101="","",(K101+L101+M101)*20%)</f>
      </c>
      <c r="O101" s="3">
        <f>IF($H101="","",K101+L101+M101+N101)</f>
      </c>
      <c r="P101" s="3"/>
      <c r="Q101" s="3"/>
      <c r="R101" s="3"/>
      <c r="S101" s="3">
        <f>IF($H101="","",R101*20%)</f>
      </c>
      <c r="T101" s="3">
        <v>1</v>
      </c>
      <c r="U101" s="3">
        <f>IF($H101="","",N101+Q101+S101)</f>
      </c>
      <c r="V101" s="3">
        <f>IF($H101="","",I101-J101-O101-P101-Q101-R101-S101-T101)</f>
      </c>
      <c r="W101" s="3">
        <f>IF($H101="","",(V101-AE101)/H101*100)</f>
      </c>
      <c r="X101" s="3">
        <f>IF($H101="","",J101-U101)</f>
      </c>
      <c r="AF101" s="3">
        <f>IF($H101="","",V101-AE101)</f>
      </c>
    </row>
    <row r="102" spans="1:32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>
        <f>IF($H102="","",(H102*6.9%)-(H102*6.9%)*10%)</f>
      </c>
      <c r="L102" s="3">
        <f>IF($H102="","",H102*0.35%)</f>
      </c>
      <c r="M102" s="3">
        <v>0.4</v>
      </c>
      <c r="N102" s="3">
        <f>IF($H102="","",(K102+L102+M102)*20%)</f>
      </c>
      <c r="O102" s="3">
        <f>IF($H102="","",K102+L102+M102+N102)</f>
      </c>
      <c r="P102" s="3"/>
      <c r="Q102" s="3"/>
      <c r="R102" s="3"/>
      <c r="S102" s="3">
        <f>IF($H102="","",R102*20%)</f>
      </c>
      <c r="T102" s="3">
        <v>1</v>
      </c>
      <c r="U102" s="3">
        <f>IF($H102="","",N102+Q102+S102)</f>
      </c>
      <c r="V102" s="3">
        <f>IF($H102="","",I102-J102-O102-P102-Q102-R102-S102-T102)</f>
      </c>
      <c r="W102" s="3">
        <f>IF($H102="","",(V102-AE102)/H102*100)</f>
      </c>
      <c r="X102" s="3">
        <f>IF($H102="","",J102-U102)</f>
      </c>
      <c r="AF102" s="3">
        <f>IF($H102="","",V102-AE102)</f>
      </c>
    </row>
    <row r="103" spans="1:32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>
        <f>IF($H103="","",(H103*6.9%)-(H103*6.9%)*10%)</f>
      </c>
      <c r="L103" s="3">
        <f>IF($H103="","",H103*0.35%)</f>
      </c>
      <c r="M103" s="3">
        <v>0.4</v>
      </c>
      <c r="N103" s="3">
        <f>IF($H103="","",(K103+L103+M103)*20%)</f>
      </c>
      <c r="O103" s="3">
        <f>IF($H103="","",K103+L103+M103+N103)</f>
      </c>
      <c r="P103" s="3"/>
      <c r="Q103" s="3"/>
      <c r="R103" s="3"/>
      <c r="S103" s="3">
        <f>IF($H103="","",R103*20%)</f>
      </c>
      <c r="T103" s="3">
        <v>1</v>
      </c>
      <c r="U103" s="3">
        <f>IF($H103="","",N103+Q103+S103)</f>
      </c>
      <c r="V103" s="3">
        <f>IF($H103="","",I103-J103-O103-P103-Q103-R103-S103-T103)</f>
      </c>
      <c r="W103" s="3">
        <f>IF($H103="","",(V103-AE103)/H103*100)</f>
      </c>
      <c r="X103" s="3">
        <f>IF($H103="","",J103-U103)</f>
      </c>
      <c r="AF103" s="3">
        <f>IF($H103="","",V103-AE103)</f>
      </c>
    </row>
    <row r="104" spans="1:32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>
        <f>IF($H104="","",(H104*6.9%)-(H104*6.9%)*10%)</f>
      </c>
      <c r="L104" s="3">
        <f>IF($H104="","",H104*0.35%)</f>
      </c>
      <c r="M104" s="3">
        <v>0.4</v>
      </c>
      <c r="N104" s="3">
        <f>IF($H104="","",(K104+L104+M104)*20%)</f>
      </c>
      <c r="O104" s="3">
        <f>IF($H104="","",K104+L104+M104+N104)</f>
      </c>
      <c r="P104" s="3"/>
      <c r="Q104" s="3"/>
      <c r="R104" s="3"/>
      <c r="S104" s="3">
        <f>IF($H104="","",R104*20%)</f>
      </c>
      <c r="T104" s="3">
        <v>1</v>
      </c>
      <c r="U104" s="3">
        <f>IF($H104="","",N104+Q104+S104)</f>
      </c>
      <c r="V104" s="3">
        <f>IF($H104="","",I104-J104-O104-P104-Q104-R104-S104-T104)</f>
      </c>
      <c r="W104" s="3">
        <f>IF($H104="","",(V104-AE104)/H104*100)</f>
      </c>
      <c r="X104" s="3">
        <f>IF($H104="","",J104-U104)</f>
      </c>
      <c r="AF104" s="3">
        <f>IF($H104="","",V104-AE104)</f>
      </c>
    </row>
    <row r="105" spans="1:32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>
        <f>IF($H105="","",(H105*6.9%)-(H105*6.9%)*10%)</f>
      </c>
      <c r="L105" s="3">
        <f>IF($H105="","",H105*0.35%)</f>
      </c>
      <c r="M105" s="3">
        <v>0.4</v>
      </c>
      <c r="N105" s="3">
        <f>IF($H105="","",(K105+L105+M105)*20%)</f>
      </c>
      <c r="O105" s="3">
        <f>IF($H105="","",K105+L105+M105+N105)</f>
      </c>
      <c r="P105" s="3"/>
      <c r="Q105" s="3"/>
      <c r="R105" s="3"/>
      <c r="S105" s="3">
        <f>IF($H105="","",R105*20%)</f>
      </c>
      <c r="T105" s="3">
        <v>1</v>
      </c>
      <c r="U105" s="3">
        <f>IF($H105="","",N105+Q105+S105)</f>
      </c>
      <c r="V105" s="3">
        <f>IF($H105="","",I105-J105-O105-P105-Q105-R105-S105-T105)</f>
      </c>
      <c r="W105" s="3">
        <f>IF($H105="","",(V105-AE105)/H105*100)</f>
      </c>
      <c r="X105" s="3">
        <f>IF($H105="","",J105-U105)</f>
      </c>
      <c r="AF105" s="3">
        <f>IF($H105="","",V105-AE105)</f>
      </c>
    </row>
    <row r="106" spans="1:32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>
        <f>IF($H106="","",(H106*6.9%)-(H106*6.9%)*10%)</f>
      </c>
      <c r="L106" s="3">
        <f>IF($H106="","",H106*0.35%)</f>
      </c>
      <c r="M106" s="3">
        <v>0.4</v>
      </c>
      <c r="N106" s="3">
        <f>IF($H106="","",(K106+L106+M106)*20%)</f>
      </c>
      <c r="O106" s="3">
        <f>IF($H106="","",K106+L106+M106+N106)</f>
      </c>
      <c r="P106" s="3"/>
      <c r="Q106" s="3"/>
      <c r="R106" s="3"/>
      <c r="S106" s="3">
        <f>IF($H106="","",R106*20%)</f>
      </c>
      <c r="T106" s="3">
        <v>1</v>
      </c>
      <c r="U106" s="3">
        <f>IF($H106="","",N106+Q106+S106)</f>
      </c>
      <c r="V106" s="3">
        <f>IF($H106="","",I106-J106-O106-P106-Q106-R106-S106-T106)</f>
      </c>
      <c r="W106" s="3">
        <f>IF($H106="","",(V106-AE106)/H106*100)</f>
      </c>
      <c r="X106" s="3">
        <f>IF($H106="","",J106-U106)</f>
      </c>
      <c r="AF106" s="3">
        <f>IF($H106="","",V106-AE106)</f>
      </c>
    </row>
    <row r="107" spans="1:32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>
        <f>IF($H107="","",(H107*6.9%)-(H107*6.9%)*10%)</f>
      </c>
      <c r="L107" s="3">
        <f>IF($H107="","",H107*0.35%)</f>
      </c>
      <c r="M107" s="3">
        <v>0.4</v>
      </c>
      <c r="N107" s="3">
        <f>IF($H107="","",(K107+L107+M107)*20%)</f>
      </c>
      <c r="O107" s="3">
        <f>IF($H107="","",K107+L107+M107+N107)</f>
      </c>
      <c r="P107" s="3"/>
      <c r="Q107" s="3"/>
      <c r="R107" s="3"/>
      <c r="S107" s="3">
        <f>IF($H107="","",R107*20%)</f>
      </c>
      <c r="T107" s="3">
        <v>1</v>
      </c>
      <c r="U107" s="3">
        <f>IF($H107="","",N107+Q107+S107)</f>
      </c>
      <c r="V107" s="3">
        <f>IF($H107="","",I107-J107-O107-P107-Q107-R107-S107-T107)</f>
      </c>
      <c r="W107" s="3">
        <f>IF($H107="","",(V107-AE107)/H107*100)</f>
      </c>
      <c r="X107" s="3">
        <f>IF($H107="","",J107-U107)</f>
      </c>
      <c r="AF107" s="3">
        <f>IF($H107="","",V107-AE107)</f>
      </c>
    </row>
    <row r="108" spans="1:32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>
        <f>IF($H108="","",(H108*6.9%)-(H108*6.9%)*10%)</f>
      </c>
      <c r="L108" s="3">
        <f>IF($H108="","",H108*0.35%)</f>
      </c>
      <c r="M108" s="3">
        <v>0.4</v>
      </c>
      <c r="N108" s="3">
        <f>IF($H108="","",(K108+L108+M108)*20%)</f>
      </c>
      <c r="O108" s="3">
        <f>IF($H108="","",K108+L108+M108+N108)</f>
      </c>
      <c r="P108" s="3"/>
      <c r="Q108" s="3"/>
      <c r="R108" s="3"/>
      <c r="S108" s="3">
        <f>IF($H108="","",R108*20%)</f>
      </c>
      <c r="T108" s="3">
        <v>1</v>
      </c>
      <c r="U108" s="3">
        <f>IF($H108="","",N108+Q108+S108)</f>
      </c>
      <c r="V108" s="3">
        <f>IF($H108="","",I108-J108-O108-P108-Q108-R108-S108-T108)</f>
      </c>
      <c r="W108" s="3">
        <f>IF($H108="","",(V108-AE108)/H108*100)</f>
      </c>
      <c r="X108" s="3">
        <f>IF($H108="","",J108-U108)</f>
      </c>
      <c r="AF108" s="3">
        <f>IF($H108="","",V108-AE108)</f>
      </c>
    </row>
    <row r="109" spans="1:32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>
        <f>IF($H109="","",(H109*6.9%)-(H109*6.9%)*10%)</f>
      </c>
      <c r="L109" s="3">
        <f>IF($H109="","",H109*0.35%)</f>
      </c>
      <c r="M109" s="3">
        <v>0.4</v>
      </c>
      <c r="N109" s="3">
        <f>IF($H109="","",(K109+L109+M109)*20%)</f>
      </c>
      <c r="O109" s="3">
        <f>IF($H109="","",K109+L109+M109+N109)</f>
      </c>
      <c r="P109" s="3"/>
      <c r="Q109" s="3"/>
      <c r="R109" s="3"/>
      <c r="S109" s="3">
        <f>IF($H109="","",R109*20%)</f>
      </c>
      <c r="T109" s="3">
        <v>1</v>
      </c>
      <c r="U109" s="3">
        <f>IF($H109="","",N109+Q109+S109)</f>
      </c>
      <c r="V109" s="3">
        <f>IF($H109="","",I109-J109-O109-P109-Q109-R109-S109-T109)</f>
      </c>
      <c r="W109" s="3">
        <f>IF($H109="","",(V109-AE109)/H109*100)</f>
      </c>
      <c r="X109" s="3">
        <f>IF($H109="","",J109-U109)</f>
      </c>
      <c r="AF109" s="3">
        <f>IF($H109="","",V109-AE109)</f>
      </c>
    </row>
    <row r="110" spans="1:32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>
        <f>IF($H110="","",(H110*6.9%)-(H110*6.9%)*10%)</f>
      </c>
      <c r="L110" s="3">
        <f>IF($H110="","",H110*0.35%)</f>
      </c>
      <c r="M110" s="3">
        <v>0.4</v>
      </c>
      <c r="N110" s="3">
        <f>IF($H110="","",(K110+L110+M110)*20%)</f>
      </c>
      <c r="O110" s="3">
        <f>IF($H110="","",K110+L110+M110+N110)</f>
      </c>
      <c r="P110" s="3"/>
      <c r="Q110" s="3"/>
      <c r="R110" s="3"/>
      <c r="S110" s="3">
        <f>IF($H110="","",R110*20%)</f>
      </c>
      <c r="T110" s="3">
        <v>1</v>
      </c>
      <c r="U110" s="3">
        <f>IF($H110="","",N110+Q110+S110)</f>
      </c>
      <c r="V110" s="3">
        <f>IF($H110="","",I110-J110-O110-P110-Q110-R110-S110-T110)</f>
      </c>
      <c r="W110" s="3">
        <f>IF($H110="","",(V110-AE110)/H110*100)</f>
      </c>
      <c r="X110" s="3">
        <f>IF($H110="","",J110-U110)</f>
      </c>
      <c r="AF110" s="3">
        <f>IF($H110="","",V110-AE110)</f>
      </c>
    </row>
    <row r="111" spans="1:32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>
        <f>IF($H111="","",(H111*6.9%)-(H111*6.9%)*10%)</f>
      </c>
      <c r="L111" s="3">
        <f>IF($H111="","",H111*0.35%)</f>
      </c>
      <c r="M111" s="3">
        <v>0.4</v>
      </c>
      <c r="N111" s="3">
        <f>IF($H111="","",(K111+L111+M111)*20%)</f>
      </c>
      <c r="O111" s="3">
        <f>IF($H111="","",K111+L111+M111+N111)</f>
      </c>
      <c r="P111" s="3"/>
      <c r="Q111" s="3"/>
      <c r="R111" s="3"/>
      <c r="S111" s="3">
        <f>IF($H111="","",R111*20%)</f>
      </c>
      <c r="T111" s="3">
        <v>1</v>
      </c>
      <c r="U111" s="3">
        <f>IF($H111="","",N111+Q111+S111)</f>
      </c>
      <c r="V111" s="3">
        <f>IF($H111="","",I111-J111-O111-P111-Q111-R111-S111-T111)</f>
      </c>
      <c r="W111" s="3">
        <f>IF($H111="","",(V111-AE111)/H111*100)</f>
      </c>
      <c r="X111" s="3">
        <f>IF($H111="","",J111-U111)</f>
      </c>
      <c r="AF111" s="3">
        <f>IF($H111="","",V111-AE111)</f>
      </c>
    </row>
    <row r="112" spans="1:32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>
        <f>IF($H112="","",(H112*6.9%)-(H112*6.9%)*10%)</f>
      </c>
      <c r="L112" s="3">
        <f>IF($H112="","",H112*0.35%)</f>
      </c>
      <c r="M112" s="3">
        <v>0.4</v>
      </c>
      <c r="N112" s="3">
        <f>IF($H112="","",(K112+L112+M112)*20%)</f>
      </c>
      <c r="O112" s="3">
        <f>IF($H112="","",K112+L112+M112+N112)</f>
      </c>
      <c r="P112" s="3"/>
      <c r="Q112" s="3"/>
      <c r="R112" s="3"/>
      <c r="S112" s="3">
        <f>IF($H112="","",R112*20%)</f>
      </c>
      <c r="T112" s="3">
        <v>1</v>
      </c>
      <c r="U112" s="3">
        <f>IF($H112="","",N112+Q112+S112)</f>
      </c>
      <c r="V112" s="3">
        <f>IF($H112="","",I112-J112-O112-P112-Q112-R112-S112-T112)</f>
      </c>
      <c r="W112" s="3">
        <f>IF($H112="","",(V112-AE112)/H112*100)</f>
      </c>
      <c r="X112" s="3">
        <f>IF($H112="","",J112-U112)</f>
      </c>
      <c r="AF112" s="3">
        <f>IF($H112="","",V112-AE112)</f>
      </c>
    </row>
    <row r="113" spans="1:32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>
        <f>IF($H113="","",(H113*6.9%)-(H113*6.9%)*10%)</f>
      </c>
      <c r="L113" s="3">
        <f>IF($H113="","",H113*0.35%)</f>
      </c>
      <c r="M113" s="3">
        <v>0.4</v>
      </c>
      <c r="N113" s="3">
        <f>IF($H113="","",(K113+L113+M113)*20%)</f>
      </c>
      <c r="O113" s="3">
        <f>IF($H113="","",K113+L113+M113+N113)</f>
      </c>
      <c r="P113" s="3"/>
      <c r="Q113" s="3"/>
      <c r="R113" s="3"/>
      <c r="S113" s="3">
        <f>IF($H113="","",R113*20%)</f>
      </c>
      <c r="T113" s="3">
        <v>1</v>
      </c>
      <c r="U113" s="3">
        <f>IF($H113="","",N113+Q113+S113)</f>
      </c>
      <c r="V113" s="3">
        <f>IF($H113="","",I113-J113-O113-P113-Q113-R113-S113-T113)</f>
      </c>
      <c r="W113" s="3">
        <f>IF($H113="","",(V113-AE113)/H113*100)</f>
      </c>
      <c r="X113" s="3">
        <f>IF($H113="","",J113-U113)</f>
      </c>
      <c r="AF113" s="3">
        <f>IF($H113="","",V113-AE113)</f>
      </c>
    </row>
    <row r="114" spans="1:32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>
        <f>IF($H114="","",(H114*6.9%)-(H114*6.9%)*10%)</f>
      </c>
      <c r="L114" s="3">
        <f>IF($H114="","",H114*0.35%)</f>
      </c>
      <c r="M114" s="3">
        <v>0.4</v>
      </c>
      <c r="N114" s="3">
        <f>IF($H114="","",(K114+L114+M114)*20%)</f>
      </c>
      <c r="O114" s="3">
        <f>IF($H114="","",K114+L114+M114+N114)</f>
      </c>
      <c r="P114" s="3"/>
      <c r="Q114" s="3"/>
      <c r="R114" s="3"/>
      <c r="S114" s="3">
        <f>IF($H114="","",R114*20%)</f>
      </c>
      <c r="T114" s="3">
        <v>1</v>
      </c>
      <c r="U114" s="3">
        <f>IF($H114="","",N114+Q114+S114)</f>
      </c>
      <c r="V114" s="3">
        <f>IF($H114="","",I114-J114-O114-P114-Q114-R114-S114-T114)</f>
      </c>
      <c r="W114" s="3">
        <f>IF($H114="","",(V114-AE114)/H114*100)</f>
      </c>
      <c r="X114" s="3">
        <f>IF($H114="","",J114-U114)</f>
      </c>
      <c r="AF114" s="3">
        <f>IF($H114="","",V114-AE114)</f>
      </c>
    </row>
    <row r="115" spans="1:32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>
        <f>IF($H115="","",(H115*6.9%)-(H115*6.9%)*10%)</f>
      </c>
      <c r="L115" s="3">
        <f>IF($H115="","",H115*0.35%)</f>
      </c>
      <c r="M115" s="3">
        <v>0.4</v>
      </c>
      <c r="N115" s="3">
        <f>IF($H115="","",(K115+L115+M115)*20%)</f>
      </c>
      <c r="O115" s="3">
        <f>IF($H115="","",K115+L115+M115+N115)</f>
      </c>
      <c r="P115" s="3"/>
      <c r="Q115" s="3"/>
      <c r="R115" s="3"/>
      <c r="S115" s="3">
        <f>IF($H115="","",R115*20%)</f>
      </c>
      <c r="T115" s="3">
        <v>1</v>
      </c>
      <c r="U115" s="3">
        <f>IF($H115="","",N115+Q115+S115)</f>
      </c>
      <c r="V115" s="3">
        <f>IF($H115="","",I115-J115-O115-P115-Q115-R115-S115-T115)</f>
      </c>
      <c r="W115" s="3">
        <f>IF($H115="","",(V115-AE115)/H115*100)</f>
      </c>
      <c r="X115" s="3">
        <f>IF($H115="","",J115-U115)</f>
      </c>
      <c r="AF115" s="3">
        <f>IF($H115="","",V115-AE115)</f>
      </c>
    </row>
    <row r="116" spans="1:32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>
        <f>IF($H116="","",(H116*6.9%)-(H116*6.9%)*10%)</f>
      </c>
      <c r="L116" s="3">
        <f>IF($H116="","",H116*0.35%)</f>
      </c>
      <c r="M116" s="3">
        <v>0.4</v>
      </c>
      <c r="N116" s="3">
        <f>IF($H116="","",(K116+L116+M116)*20%)</f>
      </c>
      <c r="O116" s="3">
        <f>IF($H116="","",K116+L116+M116+N116)</f>
      </c>
      <c r="P116" s="3"/>
      <c r="Q116" s="3"/>
      <c r="R116" s="3"/>
      <c r="S116" s="3">
        <f>IF($H116="","",R116*20%)</f>
      </c>
      <c r="T116" s="3">
        <v>1</v>
      </c>
      <c r="U116" s="3">
        <f>IF($H116="","",N116+Q116+S116)</f>
      </c>
      <c r="V116" s="3">
        <f>IF($H116="","",I116-J116-O116-P116-Q116-R116-S116-T116)</f>
      </c>
      <c r="W116" s="3">
        <f>IF($H116="","",(V116-AE116)/H116*100)</f>
      </c>
      <c r="X116" s="3">
        <f>IF($H116="","",J116-U116)</f>
      </c>
      <c r="AF116" s="3">
        <f>IF($H116="","",V116-AE116)</f>
      </c>
    </row>
    <row r="117" spans="1:32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>
        <f>IF($H117="","",(H117*6.9%)-(H117*6.9%)*10%)</f>
      </c>
      <c r="L117" s="3">
        <f>IF($H117="","",H117*0.35%)</f>
      </c>
      <c r="M117" s="3">
        <v>0.4</v>
      </c>
      <c r="N117" s="3">
        <f>IF($H117="","",(K117+L117+M117)*20%)</f>
      </c>
      <c r="O117" s="3">
        <f>IF($H117="","",K117+L117+M117+N117)</f>
      </c>
      <c r="P117" s="3"/>
      <c r="Q117" s="3"/>
      <c r="R117" s="3"/>
      <c r="S117" s="3">
        <f>IF($H117="","",R117*20%)</f>
      </c>
      <c r="T117" s="3">
        <v>1</v>
      </c>
      <c r="U117" s="3">
        <f>IF($H117="","",N117+Q117+S117)</f>
      </c>
      <c r="V117" s="3">
        <f>IF($H117="","",I117-J117-O117-P117-Q117-R117-S117-T117)</f>
      </c>
      <c r="W117" s="3">
        <f>IF($H117="","",(V117-AE117)/H117*100)</f>
      </c>
      <c r="X117" s="3">
        <f>IF($H117="","",J117-U117)</f>
      </c>
      <c r="AF117" s="3">
        <f>IF($H117="","",V117-AE117)</f>
      </c>
    </row>
    <row r="118" spans="1:32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>
        <f>IF($H118="","",(H118*6.9%)-(H118*6.9%)*10%)</f>
      </c>
      <c r="L118" s="3">
        <f>IF($H118="","",H118*0.35%)</f>
      </c>
      <c r="M118" s="3">
        <v>0.4</v>
      </c>
      <c r="N118" s="3">
        <f>IF($H118="","",(K118+L118+M118)*20%)</f>
      </c>
      <c r="O118" s="3">
        <f>IF($H118="","",K118+L118+M118+N118)</f>
      </c>
      <c r="P118" s="3"/>
      <c r="Q118" s="3"/>
      <c r="R118" s="3"/>
      <c r="S118" s="3">
        <f>IF($H118="","",R118*20%)</f>
      </c>
      <c r="T118" s="3">
        <v>1</v>
      </c>
      <c r="U118" s="3">
        <f>IF($H118="","",N118+Q118+S118)</f>
      </c>
      <c r="V118" s="3">
        <f>IF($H118="","",I118-J118-O118-P118-Q118-R118-S118-T118)</f>
      </c>
      <c r="W118" s="3">
        <f>IF($H118="","",(V118-AE118)/H118*100)</f>
      </c>
      <c r="X118" s="3">
        <f>IF($H118="","",J118-U118)</f>
      </c>
      <c r="AF118" s="3">
        <f>IF($H118="","",V118-AE118)</f>
      </c>
    </row>
    <row r="119" spans="1:32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>
        <f>IF($H119="","",(H119*6.9%)-(H119*6.9%)*10%)</f>
      </c>
      <c r="L119" s="3">
        <f>IF($H119="","",H119*0.35%)</f>
      </c>
      <c r="M119" s="3">
        <v>0.4</v>
      </c>
      <c r="N119" s="3">
        <f>IF($H119="","",(K119+L119+M119)*20%)</f>
      </c>
      <c r="O119" s="3">
        <f>IF($H119="","",K119+L119+M119+N119)</f>
      </c>
      <c r="P119" s="3"/>
      <c r="Q119" s="3"/>
      <c r="R119" s="3"/>
      <c r="S119" s="3">
        <f>IF($H119="","",R119*20%)</f>
      </c>
      <c r="T119" s="3">
        <v>1</v>
      </c>
      <c r="U119" s="3">
        <f>IF($H119="","",N119+Q119+S119)</f>
      </c>
      <c r="V119" s="3">
        <f>IF($H119="","",I119-J119-O119-P119-Q119-R119-S119-T119)</f>
      </c>
      <c r="W119" s="3">
        <f>IF($H119="","",(V119-AE119)/H119*100)</f>
      </c>
      <c r="X119" s="3">
        <f>IF($H119="","",J119-U119)</f>
      </c>
      <c r="AF119" s="3">
        <f>IF($H119="","",V119-AE119)</f>
      </c>
    </row>
    <row r="120" spans="1:32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>
        <f>IF($H120="","",(H120*6.9%)-(H120*6.9%)*10%)</f>
      </c>
      <c r="L120" s="3">
        <f>IF($H120="","",H120*0.35%)</f>
      </c>
      <c r="M120" s="3">
        <v>0.4</v>
      </c>
      <c r="N120" s="3">
        <f>IF($H120="","",(K120+L120+M120)*20%)</f>
      </c>
      <c r="O120" s="3">
        <f>IF($H120="","",K120+L120+M120+N120)</f>
      </c>
      <c r="P120" s="3"/>
      <c r="Q120" s="3"/>
      <c r="R120" s="3"/>
      <c r="S120" s="3">
        <f>IF($H120="","",R120*20%)</f>
      </c>
      <c r="T120" s="3">
        <v>1</v>
      </c>
      <c r="U120" s="3">
        <f>IF($H120="","",N120+Q120+S120)</f>
      </c>
      <c r="V120" s="3">
        <f>IF($H120="","",I120-J120-O120-P120-Q120-R120-S120-T120)</f>
      </c>
      <c r="W120" s="3">
        <f>IF($H120="","",(V120-AE120)/H120*100)</f>
      </c>
      <c r="X120" s="3">
        <f>IF($H120="","",J120-U120)</f>
      </c>
      <c r="AF120" s="3">
        <f>IF($H120="","",V120-AE120)</f>
      </c>
    </row>
    <row r="121" spans="1:32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>
        <f>IF($H121="","",(H121*6.9%)-(H121*6.9%)*10%)</f>
      </c>
      <c r="L121" s="3">
        <f>IF($H121="","",H121*0.35%)</f>
      </c>
      <c r="M121" s="3">
        <v>0.4</v>
      </c>
      <c r="N121" s="3">
        <f>IF($H121="","",(K121+L121+M121)*20%)</f>
      </c>
      <c r="O121" s="3">
        <f>IF($H121="","",K121+L121+M121+N121)</f>
      </c>
      <c r="P121" s="3"/>
      <c r="Q121" s="3"/>
      <c r="R121" s="3"/>
      <c r="S121" s="3">
        <f>IF($H121="","",R121*20%)</f>
      </c>
      <c r="T121" s="3">
        <v>1</v>
      </c>
      <c r="U121" s="3">
        <f>IF($H121="","",N121+Q121+S121)</f>
      </c>
      <c r="V121" s="3">
        <f>IF($H121="","",I121-J121-O121-P121-Q121-R121-S121-T121)</f>
      </c>
      <c r="W121" s="3">
        <f>IF($H121="","",(V121-AE121)/H121*100)</f>
      </c>
      <c r="X121" s="3">
        <f>IF($H121="","",J121-U121)</f>
      </c>
      <c r="AF121" s="3">
        <f>IF($H121="","",V121-AE121)</f>
      </c>
    </row>
    <row r="122" spans="1:32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>
        <f>IF($H122="","",(H122*6.9%)-(H122*6.9%)*10%)</f>
      </c>
      <c r="L122" s="3">
        <f>IF($H122="","",H122*0.35%)</f>
      </c>
      <c r="M122" s="3">
        <v>0.4</v>
      </c>
      <c r="N122" s="3">
        <f>IF($H122="","",(K122+L122+M122)*20%)</f>
      </c>
      <c r="O122" s="3">
        <f>IF($H122="","",K122+L122+M122+N122)</f>
      </c>
      <c r="P122" s="3"/>
      <c r="Q122" s="3"/>
      <c r="R122" s="3"/>
      <c r="S122" s="3">
        <f>IF($H122="","",R122*20%)</f>
      </c>
      <c r="T122" s="3">
        <v>1</v>
      </c>
      <c r="U122" s="3">
        <f>IF($H122="","",N122+Q122+S122)</f>
      </c>
      <c r="V122" s="3">
        <f>IF($H122="","",I122-J122-O122-P122-Q122-R122-S122-T122)</f>
      </c>
      <c r="W122" s="3">
        <f>IF($H122="","",(V122-AE122)/H122*100)</f>
      </c>
      <c r="X122" s="3">
        <f>IF($H122="","",J122-U122)</f>
      </c>
      <c r="AF122" s="3">
        <f>IF($H122="","",V122-AE122)</f>
      </c>
    </row>
    <row r="123" spans="1:32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>
        <f>IF($H123="","",(H123*6.9%)-(H123*6.9%)*10%)</f>
      </c>
      <c r="L123" s="3">
        <f>IF($H123="","",H123*0.35%)</f>
      </c>
      <c r="M123" s="3">
        <v>0.4</v>
      </c>
      <c r="N123" s="3">
        <f>IF($H123="","",(K123+L123+M123)*20%)</f>
      </c>
      <c r="O123" s="3">
        <f>IF($H123="","",K123+L123+M123+N123)</f>
      </c>
      <c r="P123" s="3"/>
      <c r="Q123" s="3"/>
      <c r="R123" s="3"/>
      <c r="S123" s="3">
        <f>IF($H123="","",R123*20%)</f>
      </c>
      <c r="T123" s="3">
        <v>1</v>
      </c>
      <c r="U123" s="3">
        <f>IF($H123="","",N123+Q123+S123)</f>
      </c>
      <c r="V123" s="3">
        <f>IF($H123="","",I123-J123-O123-P123-Q123-R123-S123-T123)</f>
      </c>
      <c r="W123" s="3">
        <f>IF($H123="","",(V123-AE123)/H123*100)</f>
      </c>
      <c r="X123" s="3">
        <f>IF($H123="","",J123-U123)</f>
      </c>
      <c r="AF123" s="3">
        <f>IF($H123="","",V123-AE123)</f>
      </c>
    </row>
    <row r="124" spans="1:32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>
        <f>IF($H124="","",(H124*6.9%)-(H124*6.9%)*10%)</f>
      </c>
      <c r="L124" s="3">
        <f>IF($H124="","",H124*0.35%)</f>
      </c>
      <c r="M124" s="3">
        <v>0.4</v>
      </c>
      <c r="N124" s="3">
        <f>IF($H124="","",(K124+L124+M124)*20%)</f>
      </c>
      <c r="O124" s="3">
        <f>IF($H124="","",K124+L124+M124+N124)</f>
      </c>
      <c r="P124" s="3"/>
      <c r="Q124" s="3"/>
      <c r="R124" s="3"/>
      <c r="S124" s="3">
        <f>IF($H124="","",R124*20%)</f>
      </c>
      <c r="T124" s="3">
        <v>1</v>
      </c>
      <c r="U124" s="3">
        <f>IF($H124="","",N124+Q124+S124)</f>
      </c>
      <c r="V124" s="3">
        <f>IF($H124="","",I124-J124-O124-P124-Q124-R124-S124-T124)</f>
      </c>
      <c r="W124" s="3">
        <f>IF($H124="","",(V124-AE124)/H124*100)</f>
      </c>
      <c r="X124" s="3">
        <f>IF($H124="","",J124-U124)</f>
      </c>
      <c r="AF124" s="3">
        <f>IF($H124="","",V124-AE124)</f>
      </c>
    </row>
    <row r="125" spans="1:32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>
        <f>IF($H125="","",(H125*6.9%)-(H125*6.9%)*10%)</f>
      </c>
      <c r="L125" s="3">
        <f>IF($H125="","",H125*0.35%)</f>
      </c>
      <c r="M125" s="3">
        <v>0.4</v>
      </c>
      <c r="N125" s="3">
        <f>IF($H125="","",(K125+L125+M125)*20%)</f>
      </c>
      <c r="O125" s="3">
        <f>IF($H125="","",K125+L125+M125+N125)</f>
      </c>
      <c r="P125" s="3"/>
      <c r="Q125" s="3"/>
      <c r="R125" s="3"/>
      <c r="S125" s="3">
        <f>IF($H125="","",R125*20%)</f>
      </c>
      <c r="T125" s="3">
        <v>1</v>
      </c>
      <c r="U125" s="3">
        <f>IF($H125="","",N125+Q125+S125)</f>
      </c>
      <c r="V125" s="3">
        <f>IF($H125="","",I125-J125-O125-P125-Q125-R125-S125-T125)</f>
      </c>
      <c r="W125" s="3">
        <f>IF($H125="","",(V125-AE125)/H125*100)</f>
      </c>
      <c r="X125" s="3">
        <f>IF($H125="","",J125-U125)</f>
      </c>
      <c r="AF125" s="3">
        <f>IF($H125="","",V125-AE125)</f>
      </c>
    </row>
    <row r="126" spans="1:32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>
        <f>IF($H126="","",(H126*6.9%)-(H126*6.9%)*10%)</f>
      </c>
      <c r="L126" s="3">
        <f>IF($H126="","",H126*0.35%)</f>
      </c>
      <c r="M126" s="3">
        <v>0.4</v>
      </c>
      <c r="N126" s="3">
        <f>IF($H126="","",(K126+L126+M126)*20%)</f>
      </c>
      <c r="O126" s="3">
        <f>IF($H126="","",K126+L126+M126+N126)</f>
      </c>
      <c r="P126" s="3"/>
      <c r="Q126" s="3"/>
      <c r="R126" s="3"/>
      <c r="S126" s="3">
        <f>IF($H126="","",R126*20%)</f>
      </c>
      <c r="T126" s="3">
        <v>1</v>
      </c>
      <c r="U126" s="3">
        <f>IF($H126="","",N126+Q126+S126)</f>
      </c>
      <c r="V126" s="3">
        <f>IF($H126="","",I126-J126-O126-P126-Q126-R126-S126-T126)</f>
      </c>
      <c r="W126" s="3">
        <f>IF($H126="","",(V126-AE126)/H126*100)</f>
      </c>
      <c r="X126" s="3">
        <f>IF($H126="","",J126-U126)</f>
      </c>
      <c r="AF126" s="3">
        <f>IF($H126="","",V126-AE126)</f>
      </c>
    </row>
    <row r="127" spans="1:32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>
        <f>IF($H127="","",(H127*6.9%)-(H127*6.9%)*10%)</f>
      </c>
      <c r="L127" s="3">
        <f>IF($H127="","",H127*0.35%)</f>
      </c>
      <c r="M127" s="3">
        <v>0.4</v>
      </c>
      <c r="N127" s="3">
        <f>IF($H127="","",(K127+L127+M127)*20%)</f>
      </c>
      <c r="O127" s="3">
        <f>IF($H127="","",K127+L127+M127+N127)</f>
      </c>
      <c r="P127" s="3"/>
      <c r="Q127" s="3"/>
      <c r="R127" s="3"/>
      <c r="S127" s="3">
        <f>IF($H127="","",R127*20%)</f>
      </c>
      <c r="T127" s="3">
        <v>1</v>
      </c>
      <c r="U127" s="3">
        <f>IF($H127="","",N127+Q127+S127)</f>
      </c>
      <c r="V127" s="3">
        <f>IF($H127="","",I127-J127-O127-P127-Q127-R127-S127-T127)</f>
      </c>
      <c r="W127" s="3">
        <f>IF($H127="","",(V127-AE127)/H127*100)</f>
      </c>
      <c r="X127" s="3">
        <f>IF($H127="","",J127-U127)</f>
      </c>
      <c r="AF127" s="3">
        <f>IF($H127="","",V127-AE127)</f>
      </c>
    </row>
    <row r="128" spans="1:32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>
        <f>IF($H128="","",(H128*6.9%)-(H128*6.9%)*10%)</f>
      </c>
      <c r="L128" s="3">
        <f>IF($H128="","",H128*0.35%)</f>
      </c>
      <c r="M128" s="3">
        <v>0.4</v>
      </c>
      <c r="N128" s="3">
        <f>IF($H128="","",(K128+L128+M128)*20%)</f>
      </c>
      <c r="O128" s="3">
        <f>IF($H128="","",K128+L128+M128+N128)</f>
      </c>
      <c r="P128" s="3"/>
      <c r="Q128" s="3"/>
      <c r="R128" s="3"/>
      <c r="S128" s="3">
        <f>IF($H128="","",R128*20%)</f>
      </c>
      <c r="T128" s="3">
        <v>1</v>
      </c>
      <c r="U128" s="3">
        <f>IF($H128="","",N128+Q128+S128)</f>
      </c>
      <c r="V128" s="3">
        <f>IF($H128="","",I128-J128-O128-P128-Q128-R128-S128-T128)</f>
      </c>
      <c r="W128" s="3">
        <f>IF($H128="","",(V128-AE128)/H128*100)</f>
      </c>
      <c r="X128" s="3">
        <f>IF($H128="","",J128-U128)</f>
      </c>
      <c r="AF128" s="3">
        <f>IF($H128="","",V128-AE128)</f>
      </c>
    </row>
    <row r="129" spans="1:32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>
        <f>IF($H129="","",(H129*6.9%)-(H129*6.9%)*10%)</f>
      </c>
      <c r="L129" s="3">
        <f>IF($H129="","",H129*0.35%)</f>
      </c>
      <c r="M129" s="3">
        <v>0.4</v>
      </c>
      <c r="N129" s="3">
        <f>IF($H129="","",(K129+L129+M129)*20%)</f>
      </c>
      <c r="O129" s="3">
        <f>IF($H129="","",K129+L129+M129+N129)</f>
      </c>
      <c r="P129" s="3"/>
      <c r="Q129" s="3"/>
      <c r="R129" s="3"/>
      <c r="S129" s="3">
        <f>IF($H129="","",R129*20%)</f>
      </c>
      <c r="T129" s="3">
        <v>1</v>
      </c>
      <c r="U129" s="3">
        <f>IF($H129="","",N129+Q129+S129)</f>
      </c>
      <c r="V129" s="3">
        <f>IF($H129="","",I129-J129-O129-P129-Q129-R129-S129-T129)</f>
      </c>
      <c r="W129" s="3">
        <f>IF($H129="","",(V129-AE129)/H129*100)</f>
      </c>
      <c r="X129" s="3">
        <f>IF($H129="","",J129-U129)</f>
      </c>
      <c r="AF129" s="3">
        <f>IF($H129="","",V129-AE129)</f>
      </c>
    </row>
    <row r="130" spans="1:32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>
        <f>IF($H130="","",(H130*6.9%)-(H130*6.9%)*10%)</f>
      </c>
      <c r="L130" s="3">
        <f>IF($H130="","",H130*0.35%)</f>
      </c>
      <c r="M130" s="3">
        <v>0.4</v>
      </c>
      <c r="N130" s="3">
        <f>IF($H130="","",(K130+L130+M130)*20%)</f>
      </c>
      <c r="O130" s="3">
        <f>IF($H130="","",K130+L130+M130+N130)</f>
      </c>
      <c r="P130" s="3"/>
      <c r="Q130" s="3"/>
      <c r="R130" s="3"/>
      <c r="S130" s="3">
        <f>IF($H130="","",R130*20%)</f>
      </c>
      <c r="T130" s="3">
        <v>1</v>
      </c>
      <c r="U130" s="3">
        <f>IF($H130="","",N130+Q130+S130)</f>
      </c>
      <c r="V130" s="3">
        <f>IF($H130="","",I130-J130-O130-P130-Q130-R130-S130-T130)</f>
      </c>
      <c r="W130" s="3">
        <f>IF($H130="","",(V130-AE130)/H130*100)</f>
      </c>
      <c r="X130" s="3">
        <f>IF($H130="","",J130-U130)</f>
      </c>
      <c r="AF130" s="3">
        <f>IF($H130="","",V130-AE130)</f>
      </c>
    </row>
    <row r="131" spans="1:32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>
        <f>IF($H131="","",(H131*6.9%)-(H131*6.9%)*10%)</f>
      </c>
      <c r="L131" s="3">
        <f>IF($H131="","",H131*0.35%)</f>
      </c>
      <c r="M131" s="3">
        <v>0.4</v>
      </c>
      <c r="N131" s="3">
        <f>IF($H131="","",(K131+L131+M131)*20%)</f>
      </c>
      <c r="O131" s="3">
        <f>IF($H131="","",K131+L131+M131+N131)</f>
      </c>
      <c r="P131" s="3"/>
      <c r="Q131" s="3"/>
      <c r="R131" s="3"/>
      <c r="S131" s="3">
        <f>IF($H131="","",R131*20%)</f>
      </c>
      <c r="T131" s="3">
        <v>1</v>
      </c>
      <c r="U131" s="3">
        <f>IF($H131="","",N131+Q131+S131)</f>
      </c>
      <c r="V131" s="3">
        <f>IF($H131="","",I131-J131-O131-P131-Q131-R131-S131-T131)</f>
      </c>
      <c r="W131" s="3">
        <f>IF($H131="","",(V131-AE131)/H131*100)</f>
      </c>
      <c r="X131" s="3">
        <f>IF($H131="","",J131-U131)</f>
      </c>
      <c r="AF131" s="3">
        <f>IF($H131="","",V131-AE131)</f>
      </c>
    </row>
    <row r="132" spans="1:32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>
        <f>IF($H132="","",(H132*6.9%)-(H132*6.9%)*10%)</f>
      </c>
      <c r="L132" s="3">
        <f>IF($H132="","",H132*0.35%)</f>
      </c>
      <c r="M132" s="3">
        <v>0.4</v>
      </c>
      <c r="N132" s="3">
        <f>IF($H132="","",(K132+L132+M132)*20%)</f>
      </c>
      <c r="O132" s="3">
        <f>IF($H132="","",K132+L132+M132+N132)</f>
      </c>
      <c r="P132" s="3"/>
      <c r="Q132" s="3"/>
      <c r="R132" s="3"/>
      <c r="S132" s="3">
        <f>IF($H132="","",R132*20%)</f>
      </c>
      <c r="T132" s="3">
        <v>1</v>
      </c>
      <c r="U132" s="3">
        <f>IF($H132="","",N132+Q132+S132)</f>
      </c>
      <c r="V132" s="3">
        <f>IF($H132="","",I132-J132-O132-P132-Q132-R132-S132-T132)</f>
      </c>
      <c r="W132" s="3">
        <f>IF($H132="","",(V132-AE132)/H132*100)</f>
      </c>
      <c r="X132" s="3">
        <f>IF($H132="","",J132-U132)</f>
      </c>
      <c r="AF132" s="3">
        <f>IF($H132="","",V132-AE132)</f>
      </c>
    </row>
    <row r="133" spans="1:32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>
        <f>IF($H133="","",(H133*6.9%)-(H133*6.9%)*10%)</f>
      </c>
      <c r="L133" s="3">
        <f>IF($H133="","",H133*0.35%)</f>
      </c>
      <c r="M133" s="3">
        <v>0.4</v>
      </c>
      <c r="N133" s="3">
        <f>IF($H133="","",(K133+L133+M133)*20%)</f>
      </c>
      <c r="O133" s="3">
        <f>IF($H133="","",K133+L133+M133+N133)</f>
      </c>
      <c r="P133" s="3"/>
      <c r="Q133" s="3"/>
      <c r="R133" s="3"/>
      <c r="S133" s="3">
        <f>IF($H133="","",R133*20%)</f>
      </c>
      <c r="T133" s="3">
        <v>1</v>
      </c>
      <c r="U133" s="3">
        <f>IF($H133="","",N133+Q133+S133)</f>
      </c>
      <c r="V133" s="3">
        <f>IF($H133="","",I133-J133-O133-P133-Q133-R133-S133-T133)</f>
      </c>
      <c r="W133" s="3">
        <f>IF($H133="","",(V133-AE133)/H133*100)</f>
      </c>
      <c r="X133" s="3">
        <f>IF($H133="","",J133-U133)</f>
      </c>
      <c r="AF133" s="3">
        <f>IF($H133="","",V133-AE133)</f>
      </c>
    </row>
    <row r="134" spans="1:32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>
        <f>IF($H134="","",(H134*6.9%)-(H134*6.9%)*10%)</f>
      </c>
      <c r="L134" s="3">
        <f>IF($H134="","",H134*0.35%)</f>
      </c>
      <c r="M134" s="3">
        <v>0.4</v>
      </c>
      <c r="N134" s="3">
        <f>IF($H134="","",(K134+L134+M134)*20%)</f>
      </c>
      <c r="O134" s="3">
        <f>IF($H134="","",K134+L134+M134+N134)</f>
      </c>
      <c r="P134" s="3"/>
      <c r="Q134" s="3"/>
      <c r="R134" s="3"/>
      <c r="S134" s="3">
        <f>IF($H134="","",R134*20%)</f>
      </c>
      <c r="T134" s="3">
        <v>1</v>
      </c>
      <c r="U134" s="3">
        <f>IF($H134="","",N134+Q134+S134)</f>
      </c>
      <c r="V134" s="3">
        <f>IF($H134="","",I134-J134-O134-P134-Q134-R134-S134-T134)</f>
      </c>
      <c r="W134" s="3">
        <f>IF($H134="","",(V134-AE134)/H134*100)</f>
      </c>
      <c r="X134" s="3">
        <f>IF($H134="","",J134-U134)</f>
      </c>
      <c r="AF134" s="3">
        <f>IF($H134="","",V134-AE134)</f>
      </c>
    </row>
    <row r="135" spans="1:32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>
        <f>IF($H135="","",(H135*6.9%)-(H135*6.9%)*10%)</f>
      </c>
      <c r="L135" s="3">
        <f>IF($H135="","",H135*0.35%)</f>
      </c>
      <c r="M135" s="3">
        <v>0.4</v>
      </c>
      <c r="N135" s="3">
        <f>IF($H135="","",(K135+L135+M135)*20%)</f>
      </c>
      <c r="O135" s="3">
        <f>IF($H135="","",K135+L135+M135+N135)</f>
      </c>
      <c r="P135" s="3"/>
      <c r="Q135" s="3"/>
      <c r="R135" s="3"/>
      <c r="S135" s="3">
        <f>IF($H135="","",R135*20%)</f>
      </c>
      <c r="T135" s="3">
        <v>1</v>
      </c>
      <c r="U135" s="3">
        <f>IF($H135="","",N135+Q135+S135)</f>
      </c>
      <c r="V135" s="3">
        <f>IF($H135="","",I135-J135-O135-P135-Q135-R135-S135-T135)</f>
      </c>
      <c r="W135" s="3">
        <f>IF($H135="","",(V135-AE135)/H135*100)</f>
      </c>
      <c r="X135" s="3">
        <f>IF($H135="","",J135-U135)</f>
      </c>
      <c r="AF135" s="3">
        <f>IF($H135="","",V135-AE135)</f>
      </c>
    </row>
    <row r="136" spans="1:32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>
        <f>IF($H136="","",(H136*6.9%)-(H136*6.9%)*10%)</f>
      </c>
      <c r="L136" s="3">
        <f>IF($H136="","",H136*0.35%)</f>
      </c>
      <c r="M136" s="3">
        <v>0.4</v>
      </c>
      <c r="N136" s="3">
        <f>IF($H136="","",(K136+L136+M136)*20%)</f>
      </c>
      <c r="O136" s="3">
        <f>IF($H136="","",K136+L136+M136+N136)</f>
      </c>
      <c r="P136" s="3"/>
      <c r="Q136" s="3"/>
      <c r="R136" s="3"/>
      <c r="S136" s="3">
        <f>IF($H136="","",R136*20%)</f>
      </c>
      <c r="T136" s="3">
        <v>1</v>
      </c>
      <c r="U136" s="3">
        <f>IF($H136="","",N136+Q136+S136)</f>
      </c>
      <c r="V136" s="3">
        <f>IF($H136="","",I136-J136-O136-P136-Q136-R136-S136-T136)</f>
      </c>
      <c r="W136" s="3">
        <f>IF($H136="","",(V136-AE136)/H136*100)</f>
      </c>
      <c r="X136" s="3">
        <f>IF($H136="","",J136-U136)</f>
      </c>
      <c r="AF136" s="3">
        <f>IF($H136="","",V136-AE136)</f>
      </c>
    </row>
    <row r="137" spans="1:32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>
        <f>IF($H137="","",(H137*6.9%)-(H137*6.9%)*10%)</f>
      </c>
      <c r="L137" s="3">
        <f>IF($H137="","",H137*0.35%)</f>
      </c>
      <c r="M137" s="3">
        <v>0.4</v>
      </c>
      <c r="N137" s="3">
        <f>IF($H137="","",(K137+L137+M137)*20%)</f>
      </c>
      <c r="O137" s="3">
        <f>IF($H137="","",K137+L137+M137+N137)</f>
      </c>
      <c r="P137" s="3"/>
      <c r="Q137" s="3"/>
      <c r="R137" s="3"/>
      <c r="S137" s="3">
        <f>IF($H137="","",R137*20%)</f>
      </c>
      <c r="T137" s="3">
        <v>1</v>
      </c>
      <c r="U137" s="3">
        <f>IF($H137="","",N137+Q137+S137)</f>
      </c>
      <c r="V137" s="3">
        <f>IF($H137="","",I137-J137-O137-P137-Q137-R137-S137-T137)</f>
      </c>
      <c r="W137" s="3">
        <f>IF($H137="","",(V137-AE137)/H137*100)</f>
      </c>
      <c r="X137" s="3">
        <f>IF($H137="","",J137-U137)</f>
      </c>
      <c r="AF137" s="3">
        <f>IF($H137="","",V137-AE137)</f>
      </c>
    </row>
    <row r="138" spans="1:32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>
        <f>IF($H138="","",(H138*6.9%)-(H138*6.9%)*10%)</f>
      </c>
      <c r="L138" s="3">
        <f>IF($H138="","",H138*0.35%)</f>
      </c>
      <c r="M138" s="3">
        <v>0.4</v>
      </c>
      <c r="N138" s="3">
        <f>IF($H138="","",(K138+L138+M138)*20%)</f>
      </c>
      <c r="O138" s="3">
        <f>IF($H138="","",K138+L138+M138+N138)</f>
      </c>
      <c r="P138" s="3"/>
      <c r="Q138" s="3"/>
      <c r="R138" s="3"/>
      <c r="S138" s="3">
        <f>IF($H138="","",R138*20%)</f>
      </c>
      <c r="T138" s="3">
        <v>1</v>
      </c>
      <c r="U138" s="3">
        <f>IF($H138="","",N138+Q138+S138)</f>
      </c>
      <c r="V138" s="3">
        <f>IF($H138="","",I138-J138-O138-P138-Q138-R138-S138-T138)</f>
      </c>
      <c r="W138" s="3">
        <f>IF($H138="","",(V138-AE138)/H138*100)</f>
      </c>
      <c r="X138" s="3">
        <f>IF($H138="","",J138-U138)</f>
      </c>
      <c r="AF138" s="3">
        <f>IF($H138="","",V138-AE138)</f>
      </c>
    </row>
    <row r="139" spans="1:32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>
        <f>IF($H139="","",(H139*6.9%)-(H139*6.9%)*10%)</f>
      </c>
      <c r="L139" s="3">
        <f>IF($H139="","",H139*0.35%)</f>
      </c>
      <c r="M139" s="3">
        <v>0.4</v>
      </c>
      <c r="N139" s="3">
        <f>IF($H139="","",(K139+L139+M139)*20%)</f>
      </c>
      <c r="O139" s="3">
        <f>IF($H139="","",K139+L139+M139+N139)</f>
      </c>
      <c r="P139" s="3"/>
      <c r="Q139" s="3"/>
      <c r="R139" s="3"/>
      <c r="S139" s="3">
        <f>IF($H139="","",R139*20%)</f>
      </c>
      <c r="T139" s="3">
        <v>1</v>
      </c>
      <c r="U139" s="3">
        <f>IF($H139="","",N139+Q139+S139)</f>
      </c>
      <c r="V139" s="3">
        <f>IF($H139="","",I139-J139-O139-P139-Q139-R139-S139-T139)</f>
      </c>
      <c r="W139" s="3">
        <f>IF($H139="","",(V139-AE139)/H139*100)</f>
      </c>
      <c r="X139" s="3">
        <f>IF($H139="","",J139-U139)</f>
      </c>
      <c r="AF139" s="3">
        <f>IF($H139="","",V139-AE139)</f>
      </c>
    </row>
    <row r="140" spans="1:32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>
        <f>IF($H140="","",(H140*6.9%)-(H140*6.9%)*10%)</f>
      </c>
      <c r="L140" s="3">
        <f>IF($H140="","",H140*0.35%)</f>
      </c>
      <c r="M140" s="3">
        <v>0.4</v>
      </c>
      <c r="N140" s="3">
        <f>IF($H140="","",(K140+L140+M140)*20%)</f>
      </c>
      <c r="O140" s="3">
        <f>IF($H140="","",K140+L140+M140+N140)</f>
      </c>
      <c r="P140" s="3"/>
      <c r="Q140" s="3"/>
      <c r="R140" s="3"/>
      <c r="S140" s="3">
        <f>IF($H140="","",R140*20%)</f>
      </c>
      <c r="T140" s="3">
        <v>1</v>
      </c>
      <c r="U140" s="3">
        <f>IF($H140="","",N140+Q140+S140)</f>
      </c>
      <c r="V140" s="3">
        <f>IF($H140="","",I140-J140-O140-P140-Q140-R140-S140-T140)</f>
      </c>
      <c r="W140" s="3">
        <f>IF($H140="","",(V140-AE140)/H140*100)</f>
      </c>
      <c r="X140" s="3">
        <f>IF($H140="","",J140-U140)</f>
      </c>
      <c r="AF140" s="3">
        <f>IF($H140="","",V140-AE140)</f>
      </c>
    </row>
    <row r="141" spans="1:32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>
        <f>IF($H141="","",(H141*6.9%)-(H141*6.9%)*10%)</f>
      </c>
      <c r="L141" s="3">
        <f>IF($H141="","",H141*0.35%)</f>
      </c>
      <c r="M141" s="3">
        <v>0.4</v>
      </c>
      <c r="N141" s="3">
        <f>IF($H141="","",(K141+L141+M141)*20%)</f>
      </c>
      <c r="O141" s="3">
        <f>IF($H141="","",K141+L141+M141+N141)</f>
      </c>
      <c r="P141" s="3"/>
      <c r="Q141" s="3"/>
      <c r="R141" s="3"/>
      <c r="S141" s="3">
        <f>IF($H141="","",R141*20%)</f>
      </c>
      <c r="T141" s="3">
        <v>1</v>
      </c>
      <c r="U141" s="3">
        <f>IF($H141="","",N141+Q141+S141)</f>
      </c>
      <c r="V141" s="3">
        <f>IF($H141="","",I141-J141-O141-P141-Q141-R141-S141-T141)</f>
      </c>
      <c r="W141" s="3">
        <f>IF($H141="","",(V141-AE141)/H141*100)</f>
      </c>
      <c r="X141" s="3">
        <f>IF($H141="","",J141-U141)</f>
      </c>
      <c r="AF141" s="3">
        <f>IF($H141="","",V141-AE141)</f>
      </c>
    </row>
    <row r="142" spans="1:32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>
        <f>IF($H142="","",(H142*6.9%)-(H142*6.9%)*10%)</f>
      </c>
      <c r="L142" s="3">
        <f>IF($H142="","",H142*0.35%)</f>
      </c>
      <c r="M142" s="3">
        <v>0.4</v>
      </c>
      <c r="N142" s="3">
        <f>IF($H142="","",(K142+L142+M142)*20%)</f>
      </c>
      <c r="O142" s="3">
        <f>IF($H142="","",K142+L142+M142+N142)</f>
      </c>
      <c r="P142" s="3"/>
      <c r="Q142" s="3"/>
      <c r="R142" s="3"/>
      <c r="S142" s="3">
        <f>IF($H142="","",R142*20%)</f>
      </c>
      <c r="T142" s="3">
        <v>1</v>
      </c>
      <c r="U142" s="3">
        <f>IF($H142="","",N142+Q142+S142)</f>
      </c>
      <c r="V142" s="3">
        <f>IF($H142="","",I142-J142-O142-P142-Q142-R142-S142-T142)</f>
      </c>
      <c r="W142" s="3">
        <f>IF($H142="","",(V142-AE142)/H142*100)</f>
      </c>
      <c r="X142" s="3">
        <f>IF($H142="","",J142-U142)</f>
      </c>
      <c r="AF142" s="3">
        <f>IF($H142="","",V142-AE142)</f>
      </c>
    </row>
    <row r="143" spans="1:32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>
        <f>IF($H143="","",(H143*6.9%)-(H143*6.9%)*10%)</f>
      </c>
      <c r="L143" s="3">
        <f>IF($H143="","",H143*0.35%)</f>
      </c>
      <c r="M143" s="3">
        <v>0.4</v>
      </c>
      <c r="N143" s="3">
        <f>IF($H143="","",(K143+L143+M143)*20%)</f>
      </c>
      <c r="O143" s="3">
        <f>IF($H143="","",K143+L143+M143+N143)</f>
      </c>
      <c r="P143" s="3"/>
      <c r="Q143" s="3"/>
      <c r="R143" s="3"/>
      <c r="S143" s="3">
        <f>IF($H143="","",R143*20%)</f>
      </c>
      <c r="T143" s="3">
        <v>1</v>
      </c>
      <c r="U143" s="3">
        <f>IF($H143="","",N143+Q143+S143)</f>
      </c>
      <c r="V143" s="3">
        <f>IF($H143="","",I143-J143-O143-P143-Q143-R143-S143-T143)</f>
      </c>
      <c r="W143" s="3">
        <f>IF($H143="","",(V143-AE143)/H143*100)</f>
      </c>
      <c r="X143" s="3">
        <f>IF($H143="","",J143-U143)</f>
      </c>
      <c r="AF143" s="3">
        <f>IF($H143="","",V143-AE143)</f>
      </c>
    </row>
    <row r="144" spans="1:32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>
        <f>IF($H144="","",(H144*6.9%)-(H144*6.9%)*10%)</f>
      </c>
      <c r="L144" s="3">
        <f>IF($H144="","",H144*0.35%)</f>
      </c>
      <c r="M144" s="3">
        <v>0.4</v>
      </c>
      <c r="N144" s="3">
        <f>IF($H144="","",(K144+L144+M144)*20%)</f>
      </c>
      <c r="O144" s="3">
        <f>IF($H144="","",K144+L144+M144+N144)</f>
      </c>
      <c r="P144" s="3"/>
      <c r="Q144" s="3"/>
      <c r="R144" s="3"/>
      <c r="S144" s="3">
        <f>IF($H144="","",R144*20%)</f>
      </c>
      <c r="T144" s="3">
        <v>1</v>
      </c>
      <c r="U144" s="3">
        <f>IF($H144="","",N144+Q144+S144)</f>
      </c>
      <c r="V144" s="3">
        <f>IF($H144="","",I144-J144-O144-P144-Q144-R144-S144-T144)</f>
      </c>
      <c r="W144" s="3">
        <f>IF($H144="","",(V144-AE144)/H144*100)</f>
      </c>
      <c r="X144" s="3">
        <f>IF($H144="","",J144-U144)</f>
      </c>
      <c r="AF144" s="3">
        <f>IF($H144="","",V144-AE144)</f>
      </c>
    </row>
    <row r="145" spans="1:32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>
        <f>IF($H145="","",(H145*6.9%)-(H145*6.9%)*10%)</f>
      </c>
      <c r="L145" s="3">
        <f>IF($H145="","",H145*0.35%)</f>
      </c>
      <c r="M145" s="3">
        <v>0.4</v>
      </c>
      <c r="N145" s="3">
        <f>IF($H145="","",(K145+L145+M145)*20%)</f>
      </c>
      <c r="O145" s="3">
        <f>IF($H145="","",K145+L145+M145+N145)</f>
      </c>
      <c r="P145" s="3"/>
      <c r="Q145" s="3"/>
      <c r="R145" s="3"/>
      <c r="S145" s="3">
        <f>IF($H145="","",R145*20%)</f>
      </c>
      <c r="T145" s="3">
        <v>1</v>
      </c>
      <c r="U145" s="3">
        <f>IF($H145="","",N145+Q145+S145)</f>
      </c>
      <c r="V145" s="3">
        <f>IF($H145="","",I145-J145-O145-P145-Q145-R145-S145-T145)</f>
      </c>
      <c r="W145" s="3">
        <f>IF($H145="","",(V145-AE145)/H145*100)</f>
      </c>
      <c r="X145" s="3">
        <f>IF($H145="","",J145-U145)</f>
      </c>
      <c r="AF145" s="3">
        <f>IF($H145="","",V145-AE145)</f>
      </c>
    </row>
    <row r="146" spans="1:32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>
        <f>IF($H146="","",(H146*6.9%)-(H146*6.9%)*10%)</f>
      </c>
      <c r="L146" s="3">
        <f>IF($H146="","",H146*0.35%)</f>
      </c>
      <c r="M146" s="3">
        <v>0.4</v>
      </c>
      <c r="N146" s="3">
        <f>IF($H146="","",(K146+L146+M146)*20%)</f>
      </c>
      <c r="O146" s="3">
        <f>IF($H146="","",K146+L146+M146+N146)</f>
      </c>
      <c r="P146" s="3"/>
      <c r="Q146" s="3"/>
      <c r="R146" s="3"/>
      <c r="S146" s="3">
        <f>IF($H146="","",R146*20%)</f>
      </c>
      <c r="T146" s="3">
        <v>1</v>
      </c>
      <c r="U146" s="3">
        <f>IF($H146="","",N146+Q146+S146)</f>
      </c>
      <c r="V146" s="3">
        <f>IF($H146="","",I146-J146-O146-P146-Q146-R146-S146-T146)</f>
      </c>
      <c r="W146" s="3">
        <f>IF($H146="","",(V146-AE146)/H146*100)</f>
      </c>
      <c r="X146" s="3">
        <f>IF($H146="","",J146-U146)</f>
      </c>
      <c r="AF146" s="3">
        <f>IF($H146="","",V146-AE146)</f>
      </c>
    </row>
    <row r="147" spans="1:32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>
        <f>IF($H147="","",(H147*6.9%)-(H147*6.9%)*10%)</f>
      </c>
      <c r="L147" s="3">
        <f>IF($H147="","",H147*0.35%)</f>
      </c>
      <c r="M147" s="3">
        <v>0.4</v>
      </c>
      <c r="N147" s="3">
        <f>IF($H147="","",(K147+L147+M147)*20%)</f>
      </c>
      <c r="O147" s="3">
        <f>IF($H147="","",K147+L147+M147+N147)</f>
      </c>
      <c r="P147" s="3"/>
      <c r="Q147" s="3"/>
      <c r="R147" s="3"/>
      <c r="S147" s="3">
        <f>IF($H147="","",R147*20%)</f>
      </c>
      <c r="T147" s="3">
        <v>1</v>
      </c>
      <c r="U147" s="3">
        <f>IF($H147="","",N147+Q147+S147)</f>
      </c>
      <c r="V147" s="3">
        <f>IF($H147="","",I147-J147-O147-P147-Q147-R147-S147-T147)</f>
      </c>
      <c r="W147" s="3">
        <f>IF($H147="","",(V147-AE147)/H147*100)</f>
      </c>
      <c r="X147" s="3">
        <f>IF($H147="","",J147-U147)</f>
      </c>
      <c r="AF147" s="3">
        <f>IF($H147="","",V147-AE147)</f>
      </c>
    </row>
    <row r="148" spans="1:32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>
        <f>IF($H148="","",(H148*6.9%)-(H148*6.9%)*10%)</f>
      </c>
      <c r="L148" s="3">
        <f>IF($H148="","",H148*0.35%)</f>
      </c>
      <c r="M148" s="3">
        <v>0.4</v>
      </c>
      <c r="N148" s="3">
        <f>IF($H148="","",(K148+L148+M148)*20%)</f>
      </c>
      <c r="O148" s="3">
        <f>IF($H148="","",K148+L148+M148+N148)</f>
      </c>
      <c r="P148" s="3"/>
      <c r="Q148" s="3"/>
      <c r="R148" s="3"/>
      <c r="S148" s="3">
        <f>IF($H148="","",R148*20%)</f>
      </c>
      <c r="T148" s="3">
        <v>1</v>
      </c>
      <c r="U148" s="3">
        <f>IF($H148="","",N148+Q148+S148)</f>
      </c>
      <c r="V148" s="3">
        <f>IF($H148="","",I148-J148-O148-P148-Q148-R148-S148-T148)</f>
      </c>
      <c r="W148" s="3">
        <f>IF($H148="","",(V148-AE148)/H148*100)</f>
      </c>
      <c r="X148" s="3">
        <f>IF($H148="","",J148-U148)</f>
      </c>
      <c r="AF148" s="3">
        <f>IF($H148="","",V148-AE148)</f>
      </c>
    </row>
    <row r="149" spans="1:32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>
        <f>IF($H149="","",(H149*6.9%)-(H149*6.9%)*10%)</f>
      </c>
      <c r="L149" s="3">
        <f>IF($H149="","",H149*0.35%)</f>
      </c>
      <c r="M149" s="3">
        <v>0.4</v>
      </c>
      <c r="N149" s="3">
        <f>IF($H149="","",(K149+L149+M149)*20%)</f>
      </c>
      <c r="O149" s="3">
        <f>IF($H149="","",K149+L149+M149+N149)</f>
      </c>
      <c r="P149" s="3"/>
      <c r="Q149" s="3"/>
      <c r="R149" s="3"/>
      <c r="S149" s="3">
        <f>IF($H149="","",R149*20%)</f>
      </c>
      <c r="T149" s="3">
        <v>1</v>
      </c>
      <c r="U149" s="3">
        <f>IF($H149="","",N149+Q149+S149)</f>
      </c>
      <c r="V149" s="3">
        <f>IF($H149="","",I149-J149-O149-P149-Q149-R149-S149-T149)</f>
      </c>
      <c r="W149" s="3">
        <f>IF($H149="","",(V149-AE149)/H149*100)</f>
      </c>
      <c r="X149" s="3">
        <f>IF($H149="","",J149-U149)</f>
      </c>
      <c r="AF149" s="3">
        <f>IF($H149="","",V149-AE149)</f>
      </c>
    </row>
    <row r="150" spans="1:32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>
        <f>IF($H150="","",(H150*6.9%)-(H150*6.9%)*10%)</f>
      </c>
      <c r="L150" s="3">
        <f>IF($H150="","",H150*0.35%)</f>
      </c>
      <c r="M150" s="3">
        <v>0.4</v>
      </c>
      <c r="N150" s="3">
        <f>IF($H150="","",(K150+L150+M150)*20%)</f>
      </c>
      <c r="O150" s="3">
        <f>IF($H150="","",K150+L150+M150+N150)</f>
      </c>
      <c r="P150" s="3"/>
      <c r="Q150" s="3"/>
      <c r="R150" s="3"/>
      <c r="S150" s="3">
        <f>IF($H150="","",R150*20%)</f>
      </c>
      <c r="T150" s="3">
        <v>1</v>
      </c>
      <c r="U150" s="3">
        <f>IF($H150="","",N150+Q150+S150)</f>
      </c>
      <c r="V150" s="3">
        <f>IF($H150="","",I150-J150-O150-P150-Q150-R150-S150-T150)</f>
      </c>
      <c r="W150" s="3">
        <f>IF($H150="","",(V150-AE150)/H150*100)</f>
      </c>
      <c r="X150" s="3">
        <f>IF($H150="","",J150-U150)</f>
      </c>
      <c r="AF150" s="3">
        <f>IF($H150="","",V150-AE150)</f>
      </c>
    </row>
    <row r="151" spans="1:32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>
        <f>IF($H151="","",(H151*6.9%)-(H151*6.9%)*10%)</f>
      </c>
      <c r="L151" s="3">
        <f>IF($H151="","",H151*0.35%)</f>
      </c>
      <c r="M151" s="3">
        <v>0.4</v>
      </c>
      <c r="N151" s="3">
        <f>IF($H151="","",(K151+L151+M151)*20%)</f>
      </c>
      <c r="O151" s="3">
        <f>IF($H151="","",K151+L151+M151+N151)</f>
      </c>
      <c r="P151" s="3"/>
      <c r="Q151" s="3"/>
      <c r="R151" s="3"/>
      <c r="S151" s="3">
        <f>IF($H151="","",R151*20%)</f>
      </c>
      <c r="T151" s="3">
        <v>1</v>
      </c>
      <c r="U151" s="3">
        <f>IF($H151="","",N151+Q151+S151)</f>
      </c>
      <c r="V151" s="3">
        <f>IF($H151="","",I151-J151-O151-P151-Q151-R151-S151-T151)</f>
      </c>
      <c r="W151" s="3">
        <f>IF($H151="","",(V151-AE151)/H151*100)</f>
      </c>
      <c r="X151" s="3">
        <f>IF($H151="","",J151-U151)</f>
      </c>
      <c r="AF151" s="3">
        <f>IF($H151="","",V151-AE151)</f>
      </c>
    </row>
    <row r="152" spans="1:32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>
        <f>IF($H152="","",(H152*6.9%)-(H152*6.9%)*10%)</f>
      </c>
      <c r="L152" s="3">
        <f>IF($H152="","",H152*0.35%)</f>
      </c>
      <c r="M152" s="3">
        <v>0.4</v>
      </c>
      <c r="N152" s="3">
        <f>IF($H152="","",(K152+L152+M152)*20%)</f>
      </c>
      <c r="O152" s="3">
        <f>IF($H152="","",K152+L152+M152+N152)</f>
      </c>
      <c r="P152" s="3"/>
      <c r="Q152" s="3"/>
      <c r="R152" s="3"/>
      <c r="S152" s="3">
        <f>IF($H152="","",R152*20%)</f>
      </c>
      <c r="T152" s="3">
        <v>1</v>
      </c>
      <c r="U152" s="3">
        <f>IF($H152="","",N152+Q152+S152)</f>
      </c>
      <c r="V152" s="3">
        <f>IF($H152="","",I152-J152-O152-P152-Q152-R152-S152-T152)</f>
      </c>
      <c r="W152" s="3">
        <f>IF($H152="","",(V152-AE152)/H152*100)</f>
      </c>
      <c r="X152" s="3">
        <f>IF($H152="","",J152-U152)</f>
      </c>
      <c r="AF152" s="3">
        <f>IF($H152="","",V152-AE152)</f>
      </c>
    </row>
    <row r="153" spans="1:32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>
        <f>IF($H153="","",(H153*6.9%)-(H153*6.9%)*10%)</f>
      </c>
      <c r="L153" s="3">
        <f>IF($H153="","",H153*0.35%)</f>
      </c>
      <c r="M153" s="3">
        <v>0.4</v>
      </c>
      <c r="N153" s="3">
        <f>IF($H153="","",(K153+L153+M153)*20%)</f>
      </c>
      <c r="O153" s="3">
        <f>IF($H153="","",K153+L153+M153+N153)</f>
      </c>
      <c r="P153" s="3"/>
      <c r="Q153" s="3"/>
      <c r="R153" s="3"/>
      <c r="S153" s="3">
        <f>IF($H153="","",R153*20%)</f>
      </c>
      <c r="T153" s="3">
        <v>1</v>
      </c>
      <c r="U153" s="3">
        <f>IF($H153="","",N153+Q153+S153)</f>
      </c>
      <c r="V153" s="3">
        <f>IF($H153="","",I153-J153-O153-P153-Q153-R153-S153-T153)</f>
      </c>
      <c r="W153" s="3">
        <f>IF($H153="","",(V153-AE153)/H153*100)</f>
      </c>
      <c r="X153" s="3">
        <f>IF($H153="","",J153-U153)</f>
      </c>
      <c r="AF153" s="3">
        <f>IF($H153="","",V153-AE153)</f>
      </c>
    </row>
    <row r="154" spans="1:32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>
        <f>IF($H154="","",(H154*6.9%)-(H154*6.9%)*10%)</f>
      </c>
      <c r="L154" s="3">
        <f>IF($H154="","",H154*0.35%)</f>
      </c>
      <c r="M154" s="3">
        <v>0.4</v>
      </c>
      <c r="N154" s="3">
        <f>IF($H154="","",(K154+L154+M154)*20%)</f>
      </c>
      <c r="O154" s="3">
        <f>IF($H154="","",K154+L154+M154+N154)</f>
      </c>
      <c r="P154" s="3"/>
      <c r="Q154" s="3"/>
      <c r="R154" s="3"/>
      <c r="S154" s="3">
        <f>IF($H154="","",R154*20%)</f>
      </c>
      <c r="T154" s="3">
        <v>1</v>
      </c>
      <c r="U154" s="3">
        <f>IF($H154="","",N154+Q154+S154)</f>
      </c>
      <c r="V154" s="3">
        <f>IF($H154="","",I154-J154-O154-P154-Q154-R154-S154-T154)</f>
      </c>
      <c r="W154" s="3">
        <f>IF($H154="","",(V154-AE154)/H154*100)</f>
      </c>
      <c r="X154" s="3">
        <f>IF($H154="","",J154-U154)</f>
      </c>
      <c r="AF154" s="3">
        <f>IF($H154="","",V154-AE154)</f>
      </c>
    </row>
    <row r="155" spans="1:32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>
        <f>IF($H155="","",(H155*6.9%)-(H155*6.9%)*10%)</f>
      </c>
      <c r="L155" s="3">
        <f>IF($H155="","",H155*0.35%)</f>
      </c>
      <c r="M155" s="3">
        <v>0.4</v>
      </c>
      <c r="N155" s="3">
        <f>IF($H155="","",(K155+L155+M155)*20%)</f>
      </c>
      <c r="O155" s="3">
        <f>IF($H155="","",K155+L155+M155+N155)</f>
      </c>
      <c r="P155" s="3"/>
      <c r="Q155" s="3"/>
      <c r="R155" s="3"/>
      <c r="S155" s="3">
        <f>IF($H155="","",R155*20%)</f>
      </c>
      <c r="T155" s="3">
        <v>1</v>
      </c>
      <c r="U155" s="3">
        <f>IF($H155="","",N155+Q155+S155)</f>
      </c>
      <c r="V155" s="3">
        <f>IF($H155="","",I155-J155-O155-P155-Q155-R155-S155-T155)</f>
      </c>
      <c r="W155" s="3">
        <f>IF($H155="","",(V155-AE155)/H155*100)</f>
      </c>
      <c r="X155" s="3">
        <f>IF($H155="","",J155-U155)</f>
      </c>
      <c r="AF155" s="3">
        <f>IF($H155="","",V155-AE155)</f>
      </c>
    </row>
    <row r="156" spans="1:32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>
        <f>IF($H156="","",(H156*6.9%)-(H156*6.9%)*10%)</f>
      </c>
      <c r="L156" s="3">
        <f>IF($H156="","",H156*0.35%)</f>
      </c>
      <c r="M156" s="3">
        <v>0.4</v>
      </c>
      <c r="N156" s="3">
        <f>IF($H156="","",(K156+L156+M156)*20%)</f>
      </c>
      <c r="O156" s="3">
        <f>IF($H156="","",K156+L156+M156+N156)</f>
      </c>
      <c r="P156" s="3"/>
      <c r="Q156" s="3"/>
      <c r="R156" s="3"/>
      <c r="S156" s="3">
        <f>IF($H156="","",R156*20%)</f>
      </c>
      <c r="T156" s="3">
        <v>1</v>
      </c>
      <c r="U156" s="3">
        <f>IF($H156="","",N156+Q156+S156)</f>
      </c>
      <c r="V156" s="3">
        <f>IF($H156="","",I156-J156-O156-P156-Q156-R156-S156-T156)</f>
      </c>
      <c r="W156" s="3">
        <f>IF($H156="","",(V156-AE156)/H156*100)</f>
      </c>
      <c r="X156" s="3">
        <f>IF($H156="","",J156-U156)</f>
      </c>
      <c r="AF156" s="3">
        <f>IF($H156="","",V156-AE156)</f>
      </c>
    </row>
    <row r="157" spans="1:32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>
        <f>IF($H157="","",(H157*6.9%)-(H157*6.9%)*10%)</f>
      </c>
      <c r="L157" s="3">
        <f>IF($H157="","",H157*0.35%)</f>
      </c>
      <c r="M157" s="3">
        <v>0.4</v>
      </c>
      <c r="N157" s="3">
        <f>IF($H157="","",(K157+L157+M157)*20%)</f>
      </c>
      <c r="O157" s="3">
        <f>IF($H157="","",K157+L157+M157+N157)</f>
      </c>
      <c r="P157" s="3"/>
      <c r="Q157" s="3"/>
      <c r="R157" s="3"/>
      <c r="S157" s="3">
        <f>IF($H157="","",R157*20%)</f>
      </c>
      <c r="T157" s="3">
        <v>1</v>
      </c>
      <c r="U157" s="3">
        <f>IF($H157="","",N157+Q157+S157)</f>
      </c>
      <c r="V157" s="3">
        <f>IF($H157="","",I157-J157-O157-P157-Q157-R157-S157-T157)</f>
      </c>
      <c r="W157" s="3">
        <f>IF($H157="","",(V157-AE157)/H157*100)</f>
      </c>
      <c r="X157" s="3">
        <f>IF($H157="","",J157-U157)</f>
      </c>
      <c r="AF157" s="3">
        <f>IF($H157="","",V157-AE157)</f>
      </c>
    </row>
    <row r="158" spans="1:32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>
        <f>IF($H158="","",(H158*6.9%)-(H158*6.9%)*10%)</f>
      </c>
      <c r="L158" s="3">
        <f>IF($H158="","",H158*0.35%)</f>
      </c>
      <c r="M158" s="3">
        <v>0.4</v>
      </c>
      <c r="N158" s="3">
        <f>IF($H158="","",(K158+L158+M158)*20%)</f>
      </c>
      <c r="O158" s="3">
        <f>IF($H158="","",K158+L158+M158+N158)</f>
      </c>
      <c r="P158" s="3"/>
      <c r="Q158" s="3"/>
      <c r="R158" s="3"/>
      <c r="S158" s="3">
        <f>IF($H158="","",R158*20%)</f>
      </c>
      <c r="T158" s="3">
        <v>1</v>
      </c>
      <c r="U158" s="3">
        <f>IF($H158="","",N158+Q158+S158)</f>
      </c>
      <c r="V158" s="3">
        <f>IF($H158="","",I158-J158-O158-P158-Q158-R158-S158-T158)</f>
      </c>
      <c r="W158" s="3">
        <f>IF($H158="","",(V158-AE158)/H158*100)</f>
      </c>
      <c r="X158" s="3">
        <f>IF($H158="","",J158-U158)</f>
      </c>
      <c r="AF158" s="3">
        <f>IF($H158="","",V158-AE158)</f>
      </c>
    </row>
    <row r="159" spans="1:32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>
        <f>IF($H159="","",(H159*6.9%)-(H159*6.9%)*10%)</f>
      </c>
      <c r="L159" s="3">
        <f>IF($H159="","",H159*0.35%)</f>
      </c>
      <c r="M159" s="3">
        <v>0.4</v>
      </c>
      <c r="N159" s="3">
        <f>IF($H159="","",(K159+L159+M159)*20%)</f>
      </c>
      <c r="O159" s="3">
        <f>IF($H159="","",K159+L159+M159+N159)</f>
      </c>
      <c r="P159" s="3"/>
      <c r="Q159" s="3"/>
      <c r="R159" s="3"/>
      <c r="S159" s="3">
        <f>IF($H159="","",R159*20%)</f>
      </c>
      <c r="T159" s="3">
        <v>1</v>
      </c>
      <c r="U159" s="3">
        <f>IF($H159="","",N159+Q159+S159)</f>
      </c>
      <c r="V159" s="3">
        <f>IF($H159="","",I159-J159-O159-P159-Q159-R159-S159-T159)</f>
      </c>
      <c r="W159" s="3">
        <f>IF($H159="","",(V159-AE159)/H159*100)</f>
      </c>
      <c r="X159" s="3">
        <f>IF($H159="","",J159-U159)</f>
      </c>
      <c r="AF159" s="3">
        <f>IF($H159="","",V159-AE159)</f>
      </c>
    </row>
    <row r="160" spans="1:32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>
        <f>IF($H160="","",(H160*6.9%)-(H160*6.9%)*10%)</f>
      </c>
      <c r="L160" s="3">
        <f>IF($H160="","",H160*0.35%)</f>
      </c>
      <c r="M160" s="3">
        <v>0.4</v>
      </c>
      <c r="N160" s="3">
        <f>IF($H160="","",(K160+L160+M160)*20%)</f>
      </c>
      <c r="O160" s="3">
        <f>IF($H160="","",K160+L160+M160+N160)</f>
      </c>
      <c r="P160" s="3"/>
      <c r="Q160" s="3"/>
      <c r="R160" s="3"/>
      <c r="S160" s="3">
        <f>IF($H160="","",R160*20%)</f>
      </c>
      <c r="T160" s="3">
        <v>1</v>
      </c>
      <c r="U160" s="3">
        <f>IF($H160="","",N160+Q160+S160)</f>
      </c>
      <c r="V160" s="3">
        <f>IF($H160="","",I160-J160-O160-P160-Q160-R160-S160-T160)</f>
      </c>
      <c r="W160" s="3">
        <f>IF($H160="","",(V160-AE160)/H160*100)</f>
      </c>
      <c r="X160" s="3">
        <f>IF($H160="","",J160-U160)</f>
      </c>
      <c r="AF160" s="3">
        <f>IF($H160="","",V160-AE160)</f>
      </c>
    </row>
    <row r="161" spans="1:32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>
        <f>IF($H161="","",(H161*6.9%)-(H161*6.9%)*10%)</f>
      </c>
      <c r="L161" s="3">
        <f>IF($H161="","",H161*0.35%)</f>
      </c>
      <c r="M161" s="3">
        <v>0.4</v>
      </c>
      <c r="N161" s="3">
        <f>IF($H161="","",(K161+L161+M161)*20%)</f>
      </c>
      <c r="O161" s="3">
        <f>IF($H161="","",K161+L161+M161+N161)</f>
      </c>
      <c r="P161" s="3"/>
      <c r="Q161" s="3"/>
      <c r="R161" s="3"/>
      <c r="S161" s="3">
        <f>IF($H161="","",R161*20%)</f>
      </c>
      <c r="T161" s="3">
        <v>1</v>
      </c>
      <c r="U161" s="3">
        <f>IF($H161="","",N161+Q161+S161)</f>
      </c>
      <c r="V161" s="3">
        <f>IF($H161="","",I161-J161-O161-P161-Q161-R161-S161-T161)</f>
      </c>
      <c r="W161" s="3">
        <f>IF($H161="","",(V161-AE161)/H161*100)</f>
      </c>
      <c r="X161" s="3">
        <f>IF($H161="","",J161-U161)</f>
      </c>
      <c r="AF161" s="3">
        <f>IF($H161="","",V161-AE161)</f>
      </c>
    </row>
    <row r="162" spans="1:32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>
        <f>IF($H162="","",(H162*6.9%)-(H162*6.9%)*10%)</f>
      </c>
      <c r="L162" s="3">
        <f>IF($H162="","",H162*0.35%)</f>
      </c>
      <c r="M162" s="3">
        <v>0.4</v>
      </c>
      <c r="N162" s="3">
        <f>IF($H162="","",(K162+L162+M162)*20%)</f>
      </c>
      <c r="O162" s="3">
        <f>IF($H162="","",K162+L162+M162+N162)</f>
      </c>
      <c r="P162" s="3"/>
      <c r="Q162" s="3"/>
      <c r="R162" s="3"/>
      <c r="S162" s="3">
        <f>IF($H162="","",R162*20%)</f>
      </c>
      <c r="T162" s="3">
        <v>1</v>
      </c>
      <c r="U162" s="3">
        <f>IF($H162="","",N162+Q162+S162)</f>
      </c>
      <c r="V162" s="3">
        <f>IF($H162="","",I162-J162-O162-P162-Q162-R162-S162-T162)</f>
      </c>
      <c r="W162" s="3">
        <f>IF($H162="","",(V162-AE162)/H162*100)</f>
      </c>
      <c r="X162" s="3">
        <f>IF($H162="","",J162-U162)</f>
      </c>
      <c r="AF162" s="3">
        <f>IF($H162="","",V162-AE162)</f>
      </c>
    </row>
    <row r="163" spans="1:32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>
        <f>IF($H163="","",(H163*6.9%)-(H163*6.9%)*10%)</f>
      </c>
      <c r="L163" s="3">
        <f>IF($H163="","",H163*0.35%)</f>
      </c>
      <c r="M163" s="3">
        <v>0.4</v>
      </c>
      <c r="N163" s="3">
        <f>IF($H163="","",(K163+L163+M163)*20%)</f>
      </c>
      <c r="O163" s="3">
        <f>IF($H163="","",K163+L163+M163+N163)</f>
      </c>
      <c r="P163" s="3"/>
      <c r="Q163" s="3"/>
      <c r="R163" s="3"/>
      <c r="S163" s="3">
        <f>IF($H163="","",R163*20%)</f>
      </c>
      <c r="T163" s="3">
        <v>1</v>
      </c>
      <c r="U163" s="3">
        <f>IF($H163="","",N163+Q163+S163)</f>
      </c>
      <c r="V163" s="3">
        <f>IF($H163="","",I163-J163-O163-P163-Q163-R163-S163-T163)</f>
      </c>
      <c r="W163" s="3">
        <f>IF($H163="","",(V163-AE163)/H163*100)</f>
      </c>
      <c r="X163" s="3">
        <f>IF($H163="","",J163-U163)</f>
      </c>
      <c r="AF163" s="3">
        <f>IF($H163="","",V163-AE163)</f>
      </c>
    </row>
    <row r="164" spans="1:32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>
        <f>IF($H164="","",(H164*6.9%)-(H164*6.9%)*10%)</f>
      </c>
      <c r="L164" s="3">
        <f>IF($H164="","",H164*0.35%)</f>
      </c>
      <c r="M164" s="3">
        <v>0.4</v>
      </c>
      <c r="N164" s="3">
        <f>IF($H164="","",(K164+L164+M164)*20%)</f>
      </c>
      <c r="O164" s="3">
        <f>IF($H164="","",K164+L164+M164+N164)</f>
      </c>
      <c r="P164" s="3"/>
      <c r="Q164" s="3"/>
      <c r="R164" s="3"/>
      <c r="S164" s="3">
        <f>IF($H164="","",R164*20%)</f>
      </c>
      <c r="T164" s="3">
        <v>1</v>
      </c>
      <c r="U164" s="3">
        <f>IF($H164="","",N164+Q164+S164)</f>
      </c>
      <c r="V164" s="3">
        <f>IF($H164="","",I164-J164-O164-P164-Q164-R164-S164-T164)</f>
      </c>
      <c r="W164" s="3">
        <f>IF($H164="","",(V164-AE164)/H164*100)</f>
      </c>
      <c r="X164" s="3">
        <f>IF($H164="","",J164-U164)</f>
      </c>
      <c r="AF164" s="3">
        <f>IF($H164="","",V164-AE164)</f>
      </c>
    </row>
    <row r="165" spans="1:32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>
        <f>IF($H165="","",(H165*6.9%)-(H165*6.9%)*10%)</f>
      </c>
      <c r="L165" s="3">
        <f>IF($H165="","",H165*0.35%)</f>
      </c>
      <c r="M165" s="3">
        <v>0.4</v>
      </c>
      <c r="N165" s="3">
        <f>IF($H165="","",(K165+L165+M165)*20%)</f>
      </c>
      <c r="O165" s="3">
        <f>IF($H165="","",K165+L165+M165+N165)</f>
      </c>
      <c r="P165" s="3"/>
      <c r="Q165" s="3"/>
      <c r="R165" s="3"/>
      <c r="S165" s="3">
        <f>IF($H165="","",R165*20%)</f>
      </c>
      <c r="T165" s="3">
        <v>1</v>
      </c>
      <c r="U165" s="3">
        <f>IF($H165="","",N165+Q165+S165)</f>
      </c>
      <c r="V165" s="3">
        <f>IF($H165="","",I165-J165-O165-P165-Q165-R165-S165-T165)</f>
      </c>
      <c r="W165" s="3">
        <f>IF($H165="","",(V165-AE165)/H165*100)</f>
      </c>
      <c r="X165" s="3">
        <f>IF($H165="","",J165-U165)</f>
      </c>
      <c r="AF165" s="3">
        <f>IF($H165="","",V165-AE165)</f>
      </c>
    </row>
    <row r="166" spans="1:32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>
        <f>IF($H166="","",(H166*6.9%)-(H166*6.9%)*10%)</f>
      </c>
      <c r="L166" s="3">
        <f>IF($H166="","",H166*0.35%)</f>
      </c>
      <c r="M166" s="3">
        <v>0.4</v>
      </c>
      <c r="N166" s="3">
        <f>IF($H166="","",(K166+L166+M166)*20%)</f>
      </c>
      <c r="O166" s="3">
        <f>IF($H166="","",K166+L166+M166+N166)</f>
      </c>
      <c r="P166" s="3"/>
      <c r="Q166" s="3"/>
      <c r="R166" s="3"/>
      <c r="S166" s="3">
        <f>IF($H166="","",R166*20%)</f>
      </c>
      <c r="T166" s="3">
        <v>1</v>
      </c>
      <c r="U166" s="3">
        <f>IF($H166="","",N166+Q166+S166)</f>
      </c>
      <c r="V166" s="3">
        <f>IF($H166="","",I166-J166-O166-P166-Q166-R166-S166-T166)</f>
      </c>
      <c r="W166" s="3">
        <f>IF($H166="","",(V166-AE166)/H166*100)</f>
      </c>
      <c r="X166" s="3">
        <f>IF($H166="","",J166-U166)</f>
      </c>
      <c r="AF166" s="3">
        <f>IF($H166="","",V166-AE166)</f>
      </c>
    </row>
    <row r="167" spans="1:32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>
        <f>IF($H167="","",(H167*6.9%)-(H167*6.9%)*10%)</f>
      </c>
      <c r="L167" s="3">
        <f>IF($H167="","",H167*0.35%)</f>
      </c>
      <c r="M167" s="3">
        <v>0.4</v>
      </c>
      <c r="N167" s="3">
        <f>IF($H167="","",(K167+L167+M167)*20%)</f>
      </c>
      <c r="O167" s="3">
        <f>IF($H167="","",K167+L167+M167+N167)</f>
      </c>
      <c r="P167" s="3"/>
      <c r="Q167" s="3"/>
      <c r="R167" s="3"/>
      <c r="S167" s="3">
        <f>IF($H167="","",R167*20%)</f>
      </c>
      <c r="T167" s="3">
        <v>1</v>
      </c>
      <c r="U167" s="3">
        <f>IF($H167="","",N167+Q167+S167)</f>
      </c>
      <c r="V167" s="3">
        <f>IF($H167="","",I167-J167-O167-P167-Q167-R167-S167-T167)</f>
      </c>
      <c r="W167" s="3">
        <f>IF($H167="","",(V167-AE167)/H167*100)</f>
      </c>
      <c r="X167" s="3">
        <f>IF($H167="","",J167-U167)</f>
      </c>
      <c r="AF167" s="3">
        <f>IF($H167="","",V167-AE167)</f>
      </c>
    </row>
    <row r="168" spans="1:32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>
        <f>IF($H168="","",(H168*6.9%)-(H168*6.9%)*10%)</f>
      </c>
      <c r="L168" s="3">
        <f>IF($H168="","",H168*0.35%)</f>
      </c>
      <c r="M168" s="3">
        <v>0.4</v>
      </c>
      <c r="N168" s="3">
        <f>IF($H168="","",(K168+L168+M168)*20%)</f>
      </c>
      <c r="O168" s="3">
        <f>IF($H168="","",K168+L168+M168+N168)</f>
      </c>
      <c r="P168" s="3"/>
      <c r="Q168" s="3"/>
      <c r="R168" s="3"/>
      <c r="S168" s="3">
        <f>IF($H168="","",R168*20%)</f>
      </c>
      <c r="T168" s="3">
        <v>1</v>
      </c>
      <c r="U168" s="3">
        <f>IF($H168="","",N168+Q168+S168)</f>
      </c>
      <c r="V168" s="3">
        <f>IF($H168="","",I168-J168-O168-P168-Q168-R168-S168-T168)</f>
      </c>
      <c r="W168" s="3">
        <f>IF($H168="","",(V168-AE168)/H168*100)</f>
      </c>
      <c r="X168" s="3">
        <f>IF($H168="","",J168-U168)</f>
      </c>
      <c r="AF168" s="3">
        <f>IF($H168="","",V168-AE168)</f>
      </c>
    </row>
    <row r="169" spans="1:32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>
        <f>IF($H169="","",(H169*6.9%)-(H169*6.9%)*10%)</f>
      </c>
      <c r="L169" s="3">
        <f>IF($H169="","",H169*0.35%)</f>
      </c>
      <c r="M169" s="3">
        <v>0.4</v>
      </c>
      <c r="N169" s="3">
        <f>IF($H169="","",(K169+L169+M169)*20%)</f>
      </c>
      <c r="O169" s="3">
        <f>IF($H169="","",K169+L169+M169+N169)</f>
      </c>
      <c r="P169" s="3"/>
      <c r="Q169" s="3"/>
      <c r="R169" s="3"/>
      <c r="S169" s="3">
        <f>IF($H169="","",R169*20%)</f>
      </c>
      <c r="T169" s="3">
        <v>1</v>
      </c>
      <c r="U169" s="3">
        <f>IF($H169="","",N169+Q169+S169)</f>
      </c>
      <c r="V169" s="3">
        <f>IF($H169="","",I169-J169-O169-P169-Q169-R169-S169-T169)</f>
      </c>
      <c r="W169" s="3">
        <f>IF($H169="","",(V169-AE169)/H169*100)</f>
      </c>
      <c r="X169" s="3">
        <f>IF($H169="","",J169-U169)</f>
      </c>
      <c r="AF169" s="3">
        <f>IF($H169="","",V169-AE169)</f>
      </c>
    </row>
    <row r="170" spans="1:32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>
        <f>IF($H170="","",(H170*6.9%)-(H170*6.9%)*10%)</f>
      </c>
      <c r="L170" s="3">
        <f>IF($H170="","",H170*0.35%)</f>
      </c>
      <c r="M170" s="3">
        <v>0.4</v>
      </c>
      <c r="N170" s="3">
        <f>IF($H170="","",(K170+L170+M170)*20%)</f>
      </c>
      <c r="O170" s="3">
        <f>IF($H170="","",K170+L170+M170+N170)</f>
      </c>
      <c r="P170" s="3"/>
      <c r="Q170" s="3"/>
      <c r="R170" s="3"/>
      <c r="S170" s="3">
        <f>IF($H170="","",R170*20%)</f>
      </c>
      <c r="T170" s="3">
        <v>1</v>
      </c>
      <c r="U170" s="3">
        <f>IF($H170="","",N170+Q170+S170)</f>
      </c>
      <c r="V170" s="3">
        <f>IF($H170="","",I170-J170-O170-P170-Q170-R170-S170-T170)</f>
      </c>
      <c r="W170" s="3">
        <f>IF($H170="","",(V170-AE170)/H170*100)</f>
      </c>
      <c r="X170" s="3">
        <f>IF($H170="","",J170-U170)</f>
      </c>
      <c r="AF170" s="3">
        <f>IF($H170="","",V170-AE170)</f>
      </c>
    </row>
    <row r="171" spans="1:32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>
        <f>IF($H171="","",(H171*6.9%)-(H171*6.9%)*10%)</f>
      </c>
      <c r="L171" s="3">
        <f>IF($H171="","",H171*0.35%)</f>
      </c>
      <c r="M171" s="3">
        <v>0.4</v>
      </c>
      <c r="N171" s="3">
        <f>IF($H171="","",(K171+L171+M171)*20%)</f>
      </c>
      <c r="O171" s="3">
        <f>IF($H171="","",K171+L171+M171+N171)</f>
      </c>
      <c r="P171" s="3"/>
      <c r="Q171" s="3"/>
      <c r="R171" s="3"/>
      <c r="S171" s="3">
        <f>IF($H171="","",R171*20%)</f>
      </c>
      <c r="T171" s="3">
        <v>1</v>
      </c>
      <c r="U171" s="3">
        <f>IF($H171="","",N171+Q171+S171)</f>
      </c>
      <c r="V171" s="3">
        <f>IF($H171="","",I171-J171-O171-P171-Q171-R171-S171-T171)</f>
      </c>
      <c r="W171" s="3">
        <f>IF($H171="","",(V171-AE171)/H171*100)</f>
      </c>
      <c r="X171" s="3">
        <f>IF($H171="","",J171-U171)</f>
      </c>
      <c r="AF171" s="3">
        <f>IF($H171="","",V171-AE171)</f>
      </c>
    </row>
    <row r="172" spans="1:32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>
        <f>IF($H172="","",(H172*6.9%)-(H172*6.9%)*10%)</f>
      </c>
      <c r="L172" s="3">
        <f>IF($H172="","",H172*0.35%)</f>
      </c>
      <c r="M172" s="3">
        <v>0.4</v>
      </c>
      <c r="N172" s="3">
        <f>IF($H172="","",(K172+L172+M172)*20%)</f>
      </c>
      <c r="O172" s="3">
        <f>IF($H172="","",K172+L172+M172+N172)</f>
      </c>
      <c r="P172" s="3"/>
      <c r="Q172" s="3"/>
      <c r="R172" s="3"/>
      <c r="S172" s="3">
        <f>IF($H172="","",R172*20%)</f>
      </c>
      <c r="T172" s="3">
        <v>1</v>
      </c>
      <c r="U172" s="3">
        <f>IF($H172="","",N172+Q172+S172)</f>
      </c>
      <c r="V172" s="3">
        <f>IF($H172="","",I172-J172-O172-P172-Q172-R172-S172-T172)</f>
      </c>
      <c r="W172" s="3">
        <f>IF($H172="","",(V172-AE172)/H172*100)</f>
      </c>
      <c r="X172" s="3">
        <f>IF($H172="","",J172-U172)</f>
      </c>
      <c r="AF172" s="3">
        <f>IF($H172="","",V172-AE172)</f>
      </c>
    </row>
    <row r="173" spans="1:32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>
        <f>IF($H173="","",(H173*6.9%)-(H173*6.9%)*10%)</f>
      </c>
      <c r="L173" s="3">
        <f>IF($H173="","",H173*0.35%)</f>
      </c>
      <c r="M173" s="3">
        <v>0.4</v>
      </c>
      <c r="N173" s="3">
        <f>IF($H173="","",(K173+L173+M173)*20%)</f>
      </c>
      <c r="O173" s="3">
        <f>IF($H173="","",K173+L173+M173+N173)</f>
      </c>
      <c r="P173" s="3"/>
      <c r="Q173" s="3"/>
      <c r="R173" s="3"/>
      <c r="S173" s="3">
        <f>IF($H173="","",R173*20%)</f>
      </c>
      <c r="T173" s="3">
        <v>1</v>
      </c>
      <c r="U173" s="3">
        <f>IF($H173="","",N173+Q173+S173)</f>
      </c>
      <c r="V173" s="3">
        <f>IF($H173="","",I173-J173-O173-P173-Q173-R173-S173-T173)</f>
      </c>
      <c r="W173" s="3">
        <f>IF($H173="","",(V173-AE173)/H173*100)</f>
      </c>
      <c r="X173" s="3">
        <f>IF($H173="","",J173-U173)</f>
      </c>
      <c r="AF173" s="3">
        <f>IF($H173="","",V173-AE173)</f>
      </c>
    </row>
    <row r="174" spans="1:32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>
        <f>IF($H174="","",(H174*6.9%)-(H174*6.9%)*10%)</f>
      </c>
      <c r="L174" s="3">
        <f>IF($H174="","",H174*0.35%)</f>
      </c>
      <c r="M174" s="3">
        <v>0.4</v>
      </c>
      <c r="N174" s="3">
        <f>IF($H174="","",(K174+L174+M174)*20%)</f>
      </c>
      <c r="O174" s="3">
        <f>IF($H174="","",K174+L174+M174+N174)</f>
      </c>
      <c r="P174" s="3"/>
      <c r="Q174" s="3"/>
      <c r="R174" s="3"/>
      <c r="S174" s="3">
        <f>IF($H174="","",R174*20%)</f>
      </c>
      <c r="T174" s="3">
        <v>1</v>
      </c>
      <c r="U174" s="3">
        <f>IF($H174="","",N174+Q174+S174)</f>
      </c>
      <c r="V174" s="3">
        <f>IF($H174="","",I174-J174-O174-P174-Q174-R174-S174-T174)</f>
      </c>
      <c r="W174" s="3">
        <f>IF($H174="","",(V174-AE174)/H174*100)</f>
      </c>
      <c r="X174" s="3">
        <f>IF($H174="","",J174-U174)</f>
      </c>
      <c r="AF174" s="3">
        <f>IF($H174="","",V174-AE174)</f>
      </c>
    </row>
    <row r="175" spans="1:32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>
        <f>IF($H175="","",(H175*6.9%)-(H175*6.9%)*10%)</f>
      </c>
      <c r="L175" s="3">
        <f>IF($H175="","",H175*0.35%)</f>
      </c>
      <c r="M175" s="3">
        <v>0.4</v>
      </c>
      <c r="N175" s="3">
        <f>IF($H175="","",(K175+L175+M175)*20%)</f>
      </c>
      <c r="O175" s="3">
        <f>IF($H175="","",K175+L175+M175+N175)</f>
      </c>
      <c r="P175" s="3"/>
      <c r="Q175" s="3"/>
      <c r="R175" s="3"/>
      <c r="S175" s="3">
        <f>IF($H175="","",R175*20%)</f>
      </c>
      <c r="T175" s="3">
        <v>1</v>
      </c>
      <c r="U175" s="3">
        <f>IF($H175="","",N175+Q175+S175)</f>
      </c>
      <c r="V175" s="3">
        <f>IF($H175="","",I175-J175-O175-P175-Q175-R175-S175-T175)</f>
      </c>
      <c r="W175" s="3">
        <f>IF($H175="","",(V175-AE175)/H175*100)</f>
      </c>
      <c r="X175" s="3">
        <f>IF($H175="","",J175-U175)</f>
      </c>
      <c r="AF175" s="3">
        <f>IF($H175="","",V175-AE175)</f>
      </c>
    </row>
    <row r="176" spans="1:32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>
        <f>IF($H176="","",(H176*6.9%)-(H176*6.9%)*10%)</f>
      </c>
      <c r="L176" s="3">
        <f>IF($H176="","",H176*0.35%)</f>
      </c>
      <c r="M176" s="3">
        <v>0.4</v>
      </c>
      <c r="N176" s="3">
        <f>IF($H176="","",(K176+L176+M176)*20%)</f>
      </c>
      <c r="O176" s="3">
        <f>IF($H176="","",K176+L176+M176+N176)</f>
      </c>
      <c r="P176" s="3"/>
      <c r="Q176" s="3"/>
      <c r="R176" s="3"/>
      <c r="S176" s="3">
        <f>IF($H176="","",R176*20%)</f>
      </c>
      <c r="T176" s="3">
        <v>1</v>
      </c>
      <c r="U176" s="3">
        <f>IF($H176="","",N176+Q176+S176)</f>
      </c>
      <c r="V176" s="3">
        <f>IF($H176="","",I176-J176-O176-P176-Q176-R176-S176-T176)</f>
      </c>
      <c r="W176" s="3">
        <f>IF($H176="","",(V176-AE176)/H176*100)</f>
      </c>
      <c r="X176" s="3">
        <f>IF($H176="","",J176-U176)</f>
      </c>
      <c r="AF176" s="3">
        <f>IF($H176="","",V176-AE176)</f>
      </c>
    </row>
    <row r="177" spans="1:32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>
        <f>IF($H177="","",(H177*6.9%)-(H177*6.9%)*10%)</f>
      </c>
      <c r="L177" s="3">
        <f>IF($H177="","",H177*0.35%)</f>
      </c>
      <c r="M177" s="3">
        <v>0.4</v>
      </c>
      <c r="N177" s="3">
        <f>IF($H177="","",(K177+L177+M177)*20%)</f>
      </c>
      <c r="O177" s="3">
        <f>IF($H177="","",K177+L177+M177+N177)</f>
      </c>
      <c r="P177" s="3"/>
      <c r="Q177" s="3"/>
      <c r="R177" s="3"/>
      <c r="S177" s="3">
        <f>IF($H177="","",R177*20%)</f>
      </c>
      <c r="T177" s="3">
        <v>1</v>
      </c>
      <c r="U177" s="3">
        <f>IF($H177="","",N177+Q177+S177)</f>
      </c>
      <c r="V177" s="3">
        <f>IF($H177="","",I177-J177-O177-P177-Q177-R177-S177-T177)</f>
      </c>
      <c r="W177" s="3">
        <f>IF($H177="","",(V177-AE177)/H177*100)</f>
      </c>
      <c r="X177" s="3">
        <f>IF($H177="","",J177-U177)</f>
      </c>
      <c r="AF177" s="3">
        <f>IF($H177="","",V177-AE177)</f>
      </c>
    </row>
    <row r="178" spans="1:32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>
        <f>IF($H178="","",(H178*6.9%)-(H178*6.9%)*10%)</f>
      </c>
      <c r="L178" s="3">
        <f>IF($H178="","",H178*0.35%)</f>
      </c>
      <c r="M178" s="3">
        <v>0.4</v>
      </c>
      <c r="N178" s="3">
        <f>IF($H178="","",(K178+L178+M178)*20%)</f>
      </c>
      <c r="O178" s="3">
        <f>IF($H178="","",K178+L178+M178+N178)</f>
      </c>
      <c r="P178" s="3"/>
      <c r="Q178" s="3"/>
      <c r="R178" s="3"/>
      <c r="S178" s="3">
        <f>IF($H178="","",R178*20%)</f>
      </c>
      <c r="T178" s="3">
        <v>1</v>
      </c>
      <c r="U178" s="3">
        <f>IF($H178="","",N178+Q178+S178)</f>
      </c>
      <c r="V178" s="3">
        <f>IF($H178="","",I178-J178-O178-P178-Q178-R178-S178-T178)</f>
      </c>
      <c r="W178" s="3">
        <f>IF($H178="","",(V178-AE178)/H178*100)</f>
      </c>
      <c r="X178" s="3">
        <f>IF($H178="","",J178-U178)</f>
      </c>
      <c r="AF178" s="3">
        <f>IF($H178="","",V178-AE178)</f>
      </c>
    </row>
    <row r="179" spans="1:32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>
        <f>IF($H179="","",(H179*6.9%)-(H179*6.9%)*10%)</f>
      </c>
      <c r="L179" s="3">
        <f>IF($H179="","",H179*0.35%)</f>
      </c>
      <c r="M179" s="3">
        <v>0.4</v>
      </c>
      <c r="N179" s="3">
        <f>IF($H179="","",(K179+L179+M179)*20%)</f>
      </c>
      <c r="O179" s="3">
        <f>IF($H179="","",K179+L179+M179+N179)</f>
      </c>
      <c r="P179" s="3"/>
      <c r="Q179" s="3"/>
      <c r="R179" s="3"/>
      <c r="S179" s="3">
        <f>IF($H179="","",R179*20%)</f>
      </c>
      <c r="T179" s="3">
        <v>1</v>
      </c>
      <c r="U179" s="3">
        <f>IF($H179="","",N179+Q179+S179)</f>
      </c>
      <c r="V179" s="3">
        <f>IF($H179="","",I179-J179-O179-P179-Q179-R179-S179-T179)</f>
      </c>
      <c r="W179" s="3">
        <f>IF($H179="","",(V179-AE179)/H179*100)</f>
      </c>
      <c r="X179" s="3">
        <f>IF($H179="","",J179-U179)</f>
      </c>
      <c r="AF179" s="3">
        <f>IF($H179="","",V179-AE179)</f>
      </c>
    </row>
    <row r="180" spans="1:32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>
        <f>IF($H180="","",(H180*6.9%)-(H180*6.9%)*10%)</f>
      </c>
      <c r="L180" s="3">
        <f>IF($H180="","",H180*0.35%)</f>
      </c>
      <c r="M180" s="3">
        <v>0.4</v>
      </c>
      <c r="N180" s="3">
        <f>IF($H180="","",(K180+L180+M180)*20%)</f>
      </c>
      <c r="O180" s="3">
        <f>IF($H180="","",K180+L180+M180+N180)</f>
      </c>
      <c r="P180" s="3"/>
      <c r="Q180" s="3"/>
      <c r="R180" s="3"/>
      <c r="S180" s="3">
        <f>IF($H180="","",R180*20%)</f>
      </c>
      <c r="T180" s="3">
        <v>1</v>
      </c>
      <c r="U180" s="3">
        <f>IF($H180="","",N180+Q180+S180)</f>
      </c>
      <c r="V180" s="3">
        <f>IF($H180="","",I180-J180-O180-P180-Q180-R180-S180-T180)</f>
      </c>
      <c r="W180" s="3">
        <f>IF($H180="","",(V180-AE180)/H180*100)</f>
      </c>
      <c r="X180" s="3">
        <f>IF($H180="","",J180-U180)</f>
      </c>
      <c r="AF180" s="3">
        <f>IF($H180="","",V180-AE180)</f>
      </c>
    </row>
    <row r="181" spans="1:32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>
        <f>IF($H181="","",(H181*6.9%)-(H181*6.9%)*10%)</f>
      </c>
      <c r="L181" s="3">
        <f>IF($H181="","",H181*0.35%)</f>
      </c>
      <c r="M181" s="3">
        <v>0.4</v>
      </c>
      <c r="N181" s="3">
        <f>IF($H181="","",(K181+L181+M181)*20%)</f>
      </c>
      <c r="O181" s="3">
        <f>IF($H181="","",K181+L181+M181+N181)</f>
      </c>
      <c r="P181" s="3"/>
      <c r="Q181" s="3"/>
      <c r="R181" s="3"/>
      <c r="S181" s="3">
        <f>IF($H181="","",R181*20%)</f>
      </c>
      <c r="T181" s="3">
        <v>1</v>
      </c>
      <c r="U181" s="3">
        <f>IF($H181="","",N181+Q181+S181)</f>
      </c>
      <c r="V181" s="3">
        <f>IF($H181="","",I181-J181-O181-P181-Q181-R181-S181-T181)</f>
      </c>
      <c r="W181" s="3">
        <f>IF($H181="","",(V181-AE181)/H181*100)</f>
      </c>
      <c r="X181" s="3">
        <f>IF($H181="","",J181-U181)</f>
      </c>
      <c r="AF181" s="3">
        <f>IF($H181="","",V181-AE181)</f>
      </c>
    </row>
    <row r="182" spans="1:32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>
        <f>IF($H182="","",(H182*6.9%)-(H182*6.9%)*10%)</f>
      </c>
      <c r="L182" s="3">
        <f>IF($H182="","",H182*0.35%)</f>
      </c>
      <c r="M182" s="3">
        <v>0.4</v>
      </c>
      <c r="N182" s="3">
        <f>IF($H182="","",(K182+L182+M182)*20%)</f>
      </c>
      <c r="O182" s="3">
        <f>IF($H182="","",K182+L182+M182+N182)</f>
      </c>
      <c r="P182" s="3"/>
      <c r="Q182" s="3"/>
      <c r="R182" s="3"/>
      <c r="S182" s="3">
        <f>IF($H182="","",R182*20%)</f>
      </c>
      <c r="T182" s="3">
        <v>1</v>
      </c>
      <c r="U182" s="3">
        <f>IF($H182="","",N182+Q182+S182)</f>
      </c>
      <c r="V182" s="3">
        <f>IF($H182="","",I182-J182-O182-P182-Q182-R182-S182-T182)</f>
      </c>
      <c r="W182" s="3">
        <f>IF($H182="","",(V182-AE182)/H182*100)</f>
      </c>
      <c r="X182" s="3">
        <f>IF($H182="","",J182-U182)</f>
      </c>
      <c r="AF182" s="3">
        <f>IF($H182="","",V182-AE182)</f>
      </c>
    </row>
    <row r="183" spans="1:32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>
        <f>IF($H183="","",(H183*6.9%)-(H183*6.9%)*10%)</f>
      </c>
      <c r="L183" s="3">
        <f>IF($H183="","",H183*0.35%)</f>
      </c>
      <c r="M183" s="3">
        <v>0.4</v>
      </c>
      <c r="N183" s="3">
        <f>IF($H183="","",(K183+L183+M183)*20%)</f>
      </c>
      <c r="O183" s="3">
        <f>IF($H183="","",K183+L183+M183+N183)</f>
      </c>
      <c r="P183" s="3"/>
      <c r="Q183" s="3"/>
      <c r="R183" s="3"/>
      <c r="S183" s="3">
        <f>IF($H183="","",R183*20%)</f>
      </c>
      <c r="T183" s="3">
        <v>1</v>
      </c>
      <c r="U183" s="3">
        <f>IF($H183="","",N183+Q183+S183)</f>
      </c>
      <c r="V183" s="3">
        <f>IF($H183="","",I183-J183-O183-P183-Q183-R183-S183-T183)</f>
      </c>
      <c r="W183" s="3">
        <f>IF($H183="","",(V183-AE183)/H183*100)</f>
      </c>
      <c r="X183" s="3">
        <f>IF($H183="","",J183-U183)</f>
      </c>
      <c r="AF183" s="3">
        <f>IF($H183="","",V183-AE183)</f>
      </c>
    </row>
    <row r="184" spans="1:32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>
        <f>IF($H184="","",(H184*6.9%)-(H184*6.9%)*10%)</f>
      </c>
      <c r="L184" s="3">
        <f>IF($H184="","",H184*0.35%)</f>
      </c>
      <c r="M184" s="3">
        <v>0.4</v>
      </c>
      <c r="N184" s="3">
        <f>IF($H184="","",(K184+L184+M184)*20%)</f>
      </c>
      <c r="O184" s="3">
        <f>IF($H184="","",K184+L184+M184+N184)</f>
      </c>
      <c r="P184" s="3"/>
      <c r="Q184" s="3"/>
      <c r="R184" s="3"/>
      <c r="S184" s="3">
        <f>IF($H184="","",R184*20%)</f>
      </c>
      <c r="T184" s="3">
        <v>1</v>
      </c>
      <c r="U184" s="3">
        <f>IF($H184="","",N184+Q184+S184)</f>
      </c>
      <c r="V184" s="3">
        <f>IF($H184="","",I184-J184-O184-P184-Q184-R184-S184-T184)</f>
      </c>
      <c r="W184" s="3">
        <f>IF($H184="","",(V184-AE184)/H184*100)</f>
      </c>
      <c r="X184" s="3">
        <f>IF($H184="","",J184-U184)</f>
      </c>
      <c r="AF184" s="3">
        <f>IF($H184="","",V184-AE184)</f>
      </c>
    </row>
    <row r="185" spans="1:32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>
        <f>IF($H185="","",(H185*6.9%)-(H185*6.9%)*10%)</f>
      </c>
      <c r="L185" s="3">
        <f>IF($H185="","",H185*0.35%)</f>
      </c>
      <c r="M185" s="3">
        <v>0.4</v>
      </c>
      <c r="N185" s="3">
        <f>IF($H185="","",(K185+L185+M185)*20%)</f>
      </c>
      <c r="O185" s="3">
        <f>IF($H185="","",K185+L185+M185+N185)</f>
      </c>
      <c r="P185" s="3"/>
      <c r="Q185" s="3"/>
      <c r="R185" s="3"/>
      <c r="S185" s="3">
        <f>IF($H185="","",R185*20%)</f>
      </c>
      <c r="T185" s="3">
        <v>1</v>
      </c>
      <c r="U185" s="3">
        <f>IF($H185="","",N185+Q185+S185)</f>
      </c>
      <c r="V185" s="3">
        <f>IF($H185="","",I185-J185-O185-P185-Q185-R185-S185-T185)</f>
      </c>
      <c r="W185" s="3">
        <f>IF($H185="","",(V185-AE185)/H185*100)</f>
      </c>
      <c r="X185" s="3">
        <f>IF($H185="","",J185-U185)</f>
      </c>
      <c r="AF185" s="3">
        <f>IF($H185="","",V185-AE185)</f>
      </c>
    </row>
    <row r="186" spans="1:32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>
        <f>IF($H186="","",(H186*6.9%)-(H186*6.9%)*10%)</f>
      </c>
      <c r="L186" s="3">
        <f>IF($H186="","",H186*0.35%)</f>
      </c>
      <c r="M186" s="3">
        <v>0.4</v>
      </c>
      <c r="N186" s="3">
        <f>IF($H186="","",(K186+L186+M186)*20%)</f>
      </c>
      <c r="O186" s="3">
        <f>IF($H186="","",K186+L186+M186+N186)</f>
      </c>
      <c r="P186" s="3"/>
      <c r="Q186" s="3"/>
      <c r="R186" s="3"/>
      <c r="S186" s="3">
        <f>IF($H186="","",R186*20%)</f>
      </c>
      <c r="T186" s="3">
        <v>1</v>
      </c>
      <c r="U186" s="3">
        <f>IF($H186="","",N186+Q186+S186)</f>
      </c>
      <c r="V186" s="3">
        <f>IF($H186="","",I186-J186-O186-P186-Q186-R186-S186-T186)</f>
      </c>
      <c r="W186" s="3">
        <f>IF($H186="","",(V186-AE186)/H186*100)</f>
      </c>
      <c r="X186" s="3">
        <f>IF($H186="","",J186-U186)</f>
      </c>
      <c r="AF186" s="3">
        <f>IF($H186="","",V186-AE186)</f>
      </c>
    </row>
    <row r="187" spans="1:32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>
        <f>IF($H187="","",(H187*6.9%)-(H187*6.9%)*10%)</f>
      </c>
      <c r="L187" s="3">
        <f>IF($H187="","",H187*0.35%)</f>
      </c>
      <c r="M187" s="3">
        <v>0.4</v>
      </c>
      <c r="N187" s="3">
        <f>IF($H187="","",(K187+L187+M187)*20%)</f>
      </c>
      <c r="O187" s="3">
        <f>IF($H187="","",K187+L187+M187+N187)</f>
      </c>
      <c r="P187" s="3"/>
      <c r="Q187" s="3"/>
      <c r="R187" s="3"/>
      <c r="S187" s="3">
        <f>IF($H187="","",R187*20%)</f>
      </c>
      <c r="T187" s="3">
        <v>1</v>
      </c>
      <c r="U187" s="3">
        <f>IF($H187="","",N187+Q187+S187)</f>
      </c>
      <c r="V187" s="3">
        <f>IF($H187="","",I187-J187-O187-P187-Q187-R187-S187-T187)</f>
      </c>
      <c r="W187" s="3">
        <f>IF($H187="","",(V187-AE187)/H187*100)</f>
      </c>
      <c r="X187" s="3">
        <f>IF($H187="","",J187-U187)</f>
      </c>
      <c r="AF187" s="3">
        <f>IF($H187="","",V187-AE187)</f>
      </c>
    </row>
    <row r="188" spans="1:32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>
        <f>IF($H188="","",(H188*6.9%)-(H188*6.9%)*10%)</f>
      </c>
      <c r="L188" s="3">
        <f>IF($H188="","",H188*0.35%)</f>
      </c>
      <c r="M188" s="3">
        <v>0.4</v>
      </c>
      <c r="N188" s="3">
        <f>IF($H188="","",(K188+L188+M188)*20%)</f>
      </c>
      <c r="O188" s="3">
        <f>IF($H188="","",K188+L188+M188+N188)</f>
      </c>
      <c r="P188" s="3"/>
      <c r="Q188" s="3"/>
      <c r="R188" s="3"/>
      <c r="S188" s="3">
        <f>IF($H188="","",R188*20%)</f>
      </c>
      <c r="T188" s="3">
        <v>1</v>
      </c>
      <c r="U188" s="3">
        <f>IF($H188="","",N188+Q188+S188)</f>
      </c>
      <c r="V188" s="3">
        <f>IF($H188="","",I188-J188-O188-P188-Q188-R188-S188-T188)</f>
      </c>
      <c r="W188" s="3">
        <f>IF($H188="","",(V188-AE188)/H188*100)</f>
      </c>
      <c r="X188" s="3">
        <f>IF($H188="","",J188-U188)</f>
      </c>
      <c r="AF188" s="3">
        <f>IF($H188="","",V188-AE188)</f>
      </c>
    </row>
    <row r="189" spans="1:32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>
        <f>IF($H189="","",(H189*6.9%)-(H189*6.9%)*10%)</f>
      </c>
      <c r="L189" s="3">
        <f>IF($H189="","",H189*0.35%)</f>
      </c>
      <c r="M189" s="3">
        <v>0.4</v>
      </c>
      <c r="N189" s="3">
        <f>IF($H189="","",(K189+L189+M189)*20%)</f>
      </c>
      <c r="O189" s="3">
        <f>IF($H189="","",K189+L189+M189+N189)</f>
      </c>
      <c r="P189" s="3"/>
      <c r="Q189" s="3"/>
      <c r="R189" s="3"/>
      <c r="S189" s="3">
        <f>IF($H189="","",R189*20%)</f>
      </c>
      <c r="T189" s="3">
        <v>1</v>
      </c>
      <c r="U189" s="3">
        <f>IF($H189="","",N189+Q189+S189)</f>
      </c>
      <c r="V189" s="3">
        <f>IF($H189="","",I189-J189-O189-P189-Q189-R189-S189-T189)</f>
      </c>
      <c r="W189" s="3">
        <f>IF($H189="","",(V189-AE189)/H189*100)</f>
      </c>
      <c r="X189" s="3">
        <f>IF($H189="","",J189-U189)</f>
      </c>
      <c r="AF189" s="3">
        <f>IF($H189="","",V189-AE189)</f>
      </c>
    </row>
    <row r="190" spans="1:32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>
        <f>IF($H190="","",(H190*6.9%)-(H190*6.9%)*10%)</f>
      </c>
      <c r="L190" s="3">
        <f>IF($H190="","",H190*0.35%)</f>
      </c>
      <c r="M190" s="3">
        <v>0.4</v>
      </c>
      <c r="N190" s="3">
        <f>IF($H190="","",(K190+L190+M190)*20%)</f>
      </c>
      <c r="O190" s="3">
        <f>IF($H190="","",K190+L190+M190+N190)</f>
      </c>
      <c r="P190" s="3"/>
      <c r="Q190" s="3"/>
      <c r="R190" s="3"/>
      <c r="S190" s="3">
        <f>IF($H190="","",R190*20%)</f>
      </c>
      <c r="T190" s="3">
        <v>1</v>
      </c>
      <c r="U190" s="3">
        <f>IF($H190="","",N190+Q190+S190)</f>
      </c>
      <c r="V190" s="3">
        <f>IF($H190="","",I190-J190-O190-P190-Q190-R190-S190-T190)</f>
      </c>
      <c r="W190" s="3">
        <f>IF($H190="","",(V190-AE190)/H190*100)</f>
      </c>
      <c r="X190" s="3">
        <f>IF($H190="","",J190-U190)</f>
      </c>
      <c r="AF190" s="3">
        <f>IF($H190="","",V190-AE190)</f>
      </c>
    </row>
    <row r="191" spans="1:32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>
        <f>IF($H191="","",(H191*6.9%)-(H191*6.9%)*10%)</f>
      </c>
      <c r="L191" s="3">
        <f>IF($H191="","",H191*0.35%)</f>
      </c>
      <c r="M191" s="3">
        <v>0.4</v>
      </c>
      <c r="N191" s="3">
        <f>IF($H191="","",(K191+L191+M191)*20%)</f>
      </c>
      <c r="O191" s="3">
        <f>IF($H191="","",K191+L191+M191+N191)</f>
      </c>
      <c r="P191" s="3"/>
      <c r="Q191" s="3"/>
      <c r="R191" s="3"/>
      <c r="S191" s="3">
        <f>IF($H191="","",R191*20%)</f>
      </c>
      <c r="T191" s="3">
        <v>1</v>
      </c>
      <c r="U191" s="3">
        <f>IF($H191="","",N191+Q191+S191)</f>
      </c>
      <c r="V191" s="3">
        <f>IF($H191="","",I191-J191-O191-P191-Q191-R191-S191-T191)</f>
      </c>
      <c r="W191" s="3">
        <f>IF($H191="","",(V191-AE191)/H191*100)</f>
      </c>
      <c r="X191" s="3">
        <f>IF($H191="","",J191-U191)</f>
      </c>
      <c r="AF191" s="3">
        <f>IF($H191="","",V191-AE191)</f>
      </c>
    </row>
    <row r="192" spans="1:32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>
        <f>IF($H192="","",(H192*6.9%)-(H192*6.9%)*10%)</f>
      </c>
      <c r="L192" s="3">
        <f>IF($H192="","",H192*0.35%)</f>
      </c>
      <c r="M192" s="3">
        <v>0.4</v>
      </c>
      <c r="N192" s="3">
        <f>IF($H192="","",(K192+L192+M192)*20%)</f>
      </c>
      <c r="O192" s="3">
        <f>IF($H192="","",K192+L192+M192+N192)</f>
      </c>
      <c r="P192" s="3"/>
      <c r="Q192" s="3"/>
      <c r="R192" s="3"/>
      <c r="S192" s="3">
        <f>IF($H192="","",R192*20%)</f>
      </c>
      <c r="T192" s="3">
        <v>1</v>
      </c>
      <c r="U192" s="3">
        <f>IF($H192="","",N192+Q192+S192)</f>
      </c>
      <c r="V192" s="3">
        <f>IF($H192="","",I192-J192-O192-P192-Q192-R192-S192-T192)</f>
      </c>
      <c r="W192" s="3">
        <f>IF($H192="","",(V192-AE192)/H192*100)</f>
      </c>
      <c r="X192" s="3">
        <f>IF($H192="","",J192-U192)</f>
      </c>
      <c r="AF192" s="3">
        <f>IF($H192="","",V192-AE192)</f>
      </c>
    </row>
    <row r="193" spans="1:32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>
        <f>IF($H193="","",(H193*6.9%)-(H193*6.9%)*10%)</f>
      </c>
      <c r="L193" s="3">
        <f>IF($H193="","",H193*0.35%)</f>
      </c>
      <c r="M193" s="3">
        <v>0.4</v>
      </c>
      <c r="N193" s="3">
        <f>IF($H193="","",(K193+L193+M193)*20%)</f>
      </c>
      <c r="O193" s="3">
        <f>IF($H193="","",K193+L193+M193+N193)</f>
      </c>
      <c r="P193" s="3"/>
      <c r="Q193" s="3"/>
      <c r="R193" s="3"/>
      <c r="S193" s="3">
        <f>IF($H193="","",R193*20%)</f>
      </c>
      <c r="T193" s="3">
        <v>1</v>
      </c>
      <c r="U193" s="3">
        <f>IF($H193="","",N193+Q193+S193)</f>
      </c>
      <c r="V193" s="3">
        <f>IF($H193="","",I193-J193-O193-P193-Q193-R193-S193-T193)</f>
      </c>
      <c r="W193" s="3">
        <f>IF($H193="","",(V193-AE193)/H193*100)</f>
      </c>
      <c r="X193" s="3">
        <f>IF($H193="","",J193-U193)</f>
      </c>
      <c r="AF193" s="3">
        <f>IF($H193="","",V193-AE193)</f>
      </c>
    </row>
    <row r="194" spans="1:32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>
        <f>IF($H194="","",(H194*6.9%)-(H194*6.9%)*10%)</f>
      </c>
      <c r="L194" s="3">
        <f>IF($H194="","",H194*0.35%)</f>
      </c>
      <c r="M194" s="3">
        <v>0.4</v>
      </c>
      <c r="N194" s="3">
        <f>IF($H194="","",(K194+L194+M194)*20%)</f>
      </c>
      <c r="O194" s="3">
        <f>IF($H194="","",K194+L194+M194+N194)</f>
      </c>
      <c r="P194" s="3"/>
      <c r="Q194" s="3"/>
      <c r="R194" s="3"/>
      <c r="S194" s="3">
        <f>IF($H194="","",R194*20%)</f>
      </c>
      <c r="T194" s="3">
        <v>1</v>
      </c>
      <c r="U194" s="3">
        <f>IF($H194="","",N194+Q194+S194)</f>
      </c>
      <c r="V194" s="3">
        <f>IF($H194="","",I194-J194-O194-P194-Q194-R194-S194-T194)</f>
      </c>
      <c r="W194" s="3">
        <f>IF($H194="","",(V194-AE194)/H194*100)</f>
      </c>
      <c r="X194" s="3">
        <f>IF($H194="","",J194-U194)</f>
      </c>
      <c r="AF194" s="3">
        <f>IF($H194="","",V194-AE194)</f>
      </c>
    </row>
    <row r="195" spans="1:32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>
        <f>IF($H195="","",(H195*6.9%)-(H195*6.9%)*10%)</f>
      </c>
      <c r="L195" s="3">
        <f>IF($H195="","",H195*0.35%)</f>
      </c>
      <c r="M195" s="3">
        <v>0.4</v>
      </c>
      <c r="N195" s="3">
        <f>IF($H195="","",(K195+L195+M195)*20%)</f>
      </c>
      <c r="O195" s="3">
        <f>IF($H195="","",K195+L195+M195+N195)</f>
      </c>
      <c r="P195" s="3"/>
      <c r="Q195" s="3"/>
      <c r="R195" s="3"/>
      <c r="S195" s="3">
        <f>IF($H195="","",R195*20%)</f>
      </c>
      <c r="T195" s="3">
        <v>1</v>
      </c>
      <c r="U195" s="3">
        <f>IF($H195="","",N195+Q195+S195)</f>
      </c>
      <c r="V195" s="3">
        <f>IF($H195="","",I195-J195-O195-P195-Q195-R195-S195-T195)</f>
      </c>
      <c r="W195" s="3">
        <f>IF($H195="","",(V195-AE195)/H195*100)</f>
      </c>
      <c r="X195" s="3">
        <f>IF($H195="","",J195-U195)</f>
      </c>
      <c r="AF195" s="3">
        <f>IF($H195="","",V195-AE195)</f>
      </c>
    </row>
    <row r="196" spans="1:32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>
        <f>IF($H196="","",(H196*6.9%)-(H196*6.9%)*10%)</f>
      </c>
      <c r="L196" s="3">
        <f>IF($H196="","",H196*0.35%)</f>
      </c>
      <c r="M196" s="3">
        <v>0.4</v>
      </c>
      <c r="N196" s="3">
        <f>IF($H196="","",(K196+L196+M196)*20%)</f>
      </c>
      <c r="O196" s="3">
        <f>IF($H196="","",K196+L196+M196+N196)</f>
      </c>
      <c r="P196" s="3"/>
      <c r="Q196" s="3"/>
      <c r="R196" s="3"/>
      <c r="S196" s="3">
        <f>IF($H196="","",R196*20%)</f>
      </c>
      <c r="T196" s="3">
        <v>1</v>
      </c>
      <c r="U196" s="3">
        <f>IF($H196="","",N196+Q196+S196)</f>
      </c>
      <c r="V196" s="3">
        <f>IF($H196="","",I196-J196-O196-P196-Q196-R196-S196-T196)</f>
      </c>
      <c r="W196" s="3">
        <f>IF($H196="","",(V196-AE196)/H196*100)</f>
      </c>
      <c r="X196" s="3">
        <f>IF($H196="","",J196-U196)</f>
      </c>
      <c r="AF196" s="3">
        <f>IF($H196="","",V196-AE196)</f>
      </c>
    </row>
    <row r="197" spans="1:32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>
        <f>IF($H197="","",(H197*6.9%)-(H197*6.9%)*10%)</f>
      </c>
      <c r="L197" s="3">
        <f>IF($H197="","",H197*0.35%)</f>
      </c>
      <c r="M197" s="3">
        <v>0.4</v>
      </c>
      <c r="N197" s="3">
        <f>IF($H197="","",(K197+L197+M197)*20%)</f>
      </c>
      <c r="O197" s="3">
        <f>IF($H197="","",K197+L197+M197+N197)</f>
      </c>
      <c r="P197" s="3"/>
      <c r="Q197" s="3"/>
      <c r="R197" s="3"/>
      <c r="S197" s="3">
        <f>IF($H197="","",R197*20%)</f>
      </c>
      <c r="T197" s="3">
        <v>1</v>
      </c>
      <c r="U197" s="3">
        <f>IF($H197="","",N197+Q197+S197)</f>
      </c>
      <c r="V197" s="3">
        <f>IF($H197="","",I197-J197-O197-P197-Q197-R197-S197-T197)</f>
      </c>
      <c r="W197" s="3">
        <f>IF($H197="","",(V197-AE197)/H197*100)</f>
      </c>
      <c r="X197" s="3">
        <f>IF($H197="","",J197-U197)</f>
      </c>
      <c r="AF197" s="3">
        <f>IF($H197="","",V197-AE197)</f>
      </c>
    </row>
    <row r="198" spans="1:32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>
        <f>IF($H198="","",(H198*6.9%)-(H198*6.9%)*10%)</f>
      </c>
      <c r="L198" s="3">
        <f>IF($H198="","",H198*0.35%)</f>
      </c>
      <c r="M198" s="3">
        <v>0.4</v>
      </c>
      <c r="N198" s="3">
        <f>IF($H198="","",(K198+L198+M198)*20%)</f>
      </c>
      <c r="O198" s="3">
        <f>IF($H198="","",K198+L198+M198+N198)</f>
      </c>
      <c r="P198" s="3"/>
      <c r="Q198" s="3"/>
      <c r="R198" s="3"/>
      <c r="S198" s="3">
        <f>IF($H198="","",R198*20%)</f>
      </c>
      <c r="T198" s="3">
        <v>1</v>
      </c>
      <c r="U198" s="3">
        <f>IF($H198="","",N198+Q198+S198)</f>
      </c>
      <c r="V198" s="3">
        <f>IF($H198="","",I198-J198-O198-P198-Q198-R198-S198-T198)</f>
      </c>
      <c r="W198" s="3">
        <f>IF($H198="","",(V198-AE198)/H198*100)</f>
      </c>
      <c r="X198" s="3">
        <f>IF($H198="","",J198-U198)</f>
      </c>
      <c r="AF198" s="3">
        <f>IF($H198="","",V198-AE198)</f>
      </c>
    </row>
    <row r="199" spans="1:32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>
        <f>IF($H199="","",(H199*6.9%)-(H199*6.9%)*10%)</f>
      </c>
      <c r="L199" s="3">
        <f>IF($H199="","",H199*0.35%)</f>
      </c>
      <c r="M199" s="3">
        <v>0.4</v>
      </c>
      <c r="N199" s="3">
        <f>IF($H199="","",(K199+L199+M199)*20%)</f>
      </c>
      <c r="O199" s="3">
        <f>IF($H199="","",K199+L199+M199+N199)</f>
      </c>
      <c r="P199" s="3"/>
      <c r="Q199" s="3"/>
      <c r="R199" s="3"/>
      <c r="S199" s="3">
        <f>IF($H199="","",R199*20%)</f>
      </c>
      <c r="T199" s="3">
        <v>1</v>
      </c>
      <c r="U199" s="3">
        <f>IF($H199="","",N199+Q199+S199)</f>
      </c>
      <c r="V199" s="3">
        <f>IF($H199="","",I199-J199-O199-P199-Q199-R199-S199-T199)</f>
      </c>
      <c r="W199" s="3">
        <f>IF($H199="","",(V199-AE199)/H199*100)</f>
      </c>
      <c r="X199" s="3">
        <f>IF($H199="","",J199-U199)</f>
      </c>
      <c r="AF199" s="3">
        <f>IF($H199="","",V199-AE199)</f>
      </c>
    </row>
    <row r="200" spans="1:32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>
        <f>IF($H200="","",(H200*6.9%)-(H200*6.9%)*10%)</f>
      </c>
      <c r="L200" s="3">
        <f>IF($H200="","",H200*0.35%)</f>
      </c>
      <c r="M200" s="3">
        <v>0.4</v>
      </c>
      <c r="N200" s="3">
        <f>IF($H200="","",(K200+L200+M200)*20%)</f>
      </c>
      <c r="O200" s="3">
        <f>IF($H200="","",K200+L200+M200+N200)</f>
      </c>
      <c r="P200" s="3"/>
      <c r="Q200" s="3"/>
      <c r="R200" s="3"/>
      <c r="S200" s="3">
        <f>IF($H200="","",R200*20%)</f>
      </c>
      <c r="T200" s="3">
        <v>1</v>
      </c>
      <c r="U200" s="3">
        <f>IF($H200="","",N200+Q200+S200)</f>
      </c>
      <c r="V200" s="3">
        <f>IF($H200="","",I200-J200-O200-P200-Q200-R200-S200-T200)</f>
      </c>
      <c r="W200" s="3">
        <f>IF($H200="","",(V200-AE200)/H200*100)</f>
      </c>
      <c r="X200" s="3">
        <f>IF($H200="","",J200-U200)</f>
      </c>
      <c r="AF200" s="3">
        <f>IF($H200="","",V200-AE200)</f>
      </c>
    </row>
    <row r="201" spans="1:32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>
        <f>IF($H201="","",(H201*6.9%)-(H201*6.9%)*10%)</f>
      </c>
      <c r="L201" s="3">
        <f>IF($H201="","",H201*0.35%)</f>
      </c>
      <c r="M201" s="3">
        <v>0.4</v>
      </c>
      <c r="N201" s="3">
        <f>IF($H201="","",(K201+L201+M201)*20%)</f>
      </c>
      <c r="O201" s="3">
        <f>IF($H201="","",K201+L201+M201+N201)</f>
      </c>
      <c r="P201" s="3"/>
      <c r="Q201" s="3"/>
      <c r="R201" s="3"/>
      <c r="S201" s="3">
        <f>IF($H201="","",R201*20%)</f>
      </c>
      <c r="T201" s="3">
        <v>1</v>
      </c>
      <c r="U201" s="3">
        <f>IF($H201="","",N201+Q201+S201)</f>
      </c>
      <c r="V201" s="3">
        <f>IF($H201="","",I201-J201-O201-P201-Q201-R201-S201-T201)</f>
      </c>
      <c r="W201" s="3">
        <f>IF($H201="","",(V201-AE201)/H201*100)</f>
      </c>
      <c r="X201" s="3">
        <f>IF($H201="","",J201-U201)</f>
      </c>
      <c r="AF201" s="3">
        <f>IF($H201="","",V201-AE201)</f>
      </c>
    </row>
    <row r="202" spans="1:32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>
        <f>IF($H202="","",(H202*6.9%)-(H202*6.9%)*10%)</f>
      </c>
      <c r="L202" s="3">
        <f>IF($H202="","",H202*0.35%)</f>
      </c>
      <c r="M202" s="3">
        <v>0.4</v>
      </c>
      <c r="N202" s="3">
        <f>IF($H202="","",(K202+L202+M202)*20%)</f>
      </c>
      <c r="O202" s="3">
        <f>IF($H202="","",K202+L202+M202+N202)</f>
      </c>
      <c r="P202" s="3"/>
      <c r="Q202" s="3"/>
      <c r="R202" s="3"/>
      <c r="S202" s="3">
        <f>IF($H202="","",R202*20%)</f>
      </c>
      <c r="T202" s="3">
        <v>1</v>
      </c>
      <c r="U202" s="3">
        <f>IF($H202="","",N202+Q202+S202)</f>
      </c>
      <c r="V202" s="3">
        <f>IF($H202="","",I202-J202-O202-P202-Q202-R202-S202-T202)</f>
      </c>
      <c r="W202" s="3">
        <f>IF($H202="","",(V202-AE202)/H202*100)</f>
      </c>
      <c r="X202" s="3">
        <f>IF($H202="","",J202-U202)</f>
      </c>
      <c r="AF202" s="3">
        <f>IF($H202="","",V202-AE202)</f>
      </c>
    </row>
    <row r="203" spans="1:34" s="4" customFormat="1" x14ac:dyDescent="0.25">
      <c r="A203" s="5" t="s">
        <v>37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SUM(R2:R202)</f>
      </c>
      <c r="S203" s="6">
        <f>SUM(S2:S202)</f>
      </c>
      <c r="T203" s="6">
        <f>SUM(T2:T202)</f>
      </c>
      <c r="U203" s="6">
        <f>SUM(U2:U202)</f>
      </c>
      <c r="V203" s="6">
        <f>SUM(V2:V202)</f>
      </c>
      <c r="W203" s="6">
        <f>IFERROR((V203-AE203)/H203*100,0)</f>
      </c>
      <c r="X203" s="6">
        <f>SUM(X2:X202)</f>
      </c>
      <c r="Y203" s="4"/>
      <c r="Z203" s="4"/>
      <c r="AA203" s="4"/>
      <c r="AB203" s="4"/>
      <c r="AC203" s="4"/>
      <c r="AD203" s="4"/>
      <c r="AE203" s="6">
        <f>SUM(AE2:AE202)</f>
      </c>
      <c r="AF203" s="6">
        <f>SUM(AF2:AF202)</f>
      </c>
      <c r="AG203" s="4"/>
      <c r="AH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3"/>
  <sheetFormatPr defaultRowHeight="15" outlineLevelRow="0" outlineLevelCol="0" x14ac:dyDescent="5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55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25">
      <c r="A2" s="1">
        <v>46235.5</v>
      </c>
      <c r="B2" t="s">
        <v>56</v>
      </c>
      <c r="C2" t="s">
        <v>57</v>
      </c>
      <c r="D2" s="2" t="s">
        <v>58</v>
      </c>
      <c r="E2" t="s">
        <v>59</v>
      </c>
      <c r="F2" s="3">
        <v>275</v>
      </c>
      <c r="G2" s="3">
        <v>359</v>
      </c>
      <c r="H2" s="3">
        <f>G2-F2</f>
      </c>
      <c r="I2" s="3">
        <f>H2*16.67%</f>
      </c>
      <c r="J2" s="3">
        <f>G2*7%</f>
      </c>
      <c r="K2" s="3">
        <f>J2*20%</f>
      </c>
      <c r="L2" s="3">
        <v>8</v>
      </c>
      <c r="M2" s="3">
        <f>L2*20%</f>
      </c>
      <c r="N2" s="3">
        <v>1</v>
      </c>
      <c r="O2" s="3">
        <f>K2+M2</f>
      </c>
      <c r="P2" s="3">
        <f>H2-I2-J2-K2-L2-M2-N2</f>
      </c>
      <c r="Q2" s="3">
        <f>(P2-Y2)/F2*100</f>
      </c>
      <c r="R2" s="3">
        <f>I2-O2</f>
      </c>
      <c r="S2" t="s">
        <v>35</v>
      </c>
      <c r="T2" t="s">
        <v>57</v>
      </c>
      <c r="Z2" s="3">
        <f>P2-Y2</f>
      </c>
      <c r="AA2" t="s">
        <v>35</v>
      </c>
      <c r="AB2" t="s">
        <v>35</v>
      </c>
    </row>
    <row r="3" spans="1:26" x14ac:dyDescent="0.25">
      <c r="A3" s="1"/>
      <c r="D3" s="2"/>
      <c r="F3" s="3"/>
      <c r="G3" s="3"/>
      <c r="H3" s="3">
        <f>IF($G3="","",G3-F3)</f>
      </c>
      <c r="I3" s="3">
        <f>IF($G3="","",H3*16.67%)</f>
      </c>
      <c r="J3" s="3">
        <f>IF($G3="","",G3*7%)</f>
      </c>
      <c r="K3" s="3">
        <f>IF($G3="","",J3*20%)</f>
      </c>
      <c r="L3" s="3"/>
      <c r="M3" s="3">
        <f>IF($G3="","",L3*20%)</f>
      </c>
      <c r="N3" s="3">
        <v>1</v>
      </c>
      <c r="O3" s="3">
        <f>IF($G3="","",K3+M3)</f>
      </c>
      <c r="P3" s="3">
        <f>IF($G3="","",H3-I3-J3-K3-L3-M3-N3)</f>
      </c>
      <c r="Q3" s="3">
        <f>IF($G3="","",(P3-Y3)/F3*100)</f>
      </c>
      <c r="R3" s="3">
        <f>IF($G3="","",I3-O3)</f>
      </c>
      <c r="Z3" s="3">
        <f>IF($G3="","",P3-Y3)</f>
      </c>
    </row>
    <row r="4" spans="1:26" x14ac:dyDescent="0.25">
      <c r="A4" s="1"/>
      <c r="D4" s="2"/>
      <c r="F4" s="3"/>
      <c r="G4" s="3"/>
      <c r="H4" s="3">
        <f>IF($G4="","",G4-F4)</f>
      </c>
      <c r="I4" s="3">
        <f>IF($G4="","",H4*16.67%)</f>
      </c>
      <c r="J4" s="3">
        <f>IF($G4="","",G4*7%)</f>
      </c>
      <c r="K4" s="3">
        <f>IF($G4="","",J4*20%)</f>
      </c>
      <c r="L4" s="3"/>
      <c r="M4" s="3">
        <f>IF($G4="","",L4*20%)</f>
      </c>
      <c r="N4" s="3">
        <v>1</v>
      </c>
      <c r="O4" s="3">
        <f>IF($G4="","",K4+M4)</f>
      </c>
      <c r="P4" s="3">
        <f>IF($G4="","",H4-I4-J4-K4-L4-M4-N4)</f>
      </c>
      <c r="Q4" s="3">
        <f>IF($G4="","",(P4-Y4)/F4*100)</f>
      </c>
      <c r="R4" s="3">
        <f>IF($G4="","",I4-O4)</f>
      </c>
      <c r="Z4" s="3">
        <f>IF($G4="","",P4-Y4)</f>
      </c>
    </row>
    <row r="5" spans="1:26" x14ac:dyDescent="0.25">
      <c r="A5" s="1"/>
      <c r="D5" s="2"/>
      <c r="F5" s="3"/>
      <c r="G5" s="3"/>
      <c r="H5" s="3">
        <f>IF($G5="","",G5-F5)</f>
      </c>
      <c r="I5" s="3">
        <f>IF($G5="","",H5*16.67%)</f>
      </c>
      <c r="J5" s="3">
        <f>IF($G5="","",G5*7%)</f>
      </c>
      <c r="K5" s="3">
        <f>IF($G5="","",J5*20%)</f>
      </c>
      <c r="L5" s="3"/>
      <c r="M5" s="3">
        <f>IF($G5="","",L5*20%)</f>
      </c>
      <c r="N5" s="3">
        <v>1</v>
      </c>
      <c r="O5" s="3">
        <f>IF($G5="","",K5+M5)</f>
      </c>
      <c r="P5" s="3">
        <f>IF($G5="","",H5-I5-J5-K5-L5-M5-N5)</f>
      </c>
      <c r="Q5" s="3">
        <f>IF($G5="","",(P5-Y5)/F5*100)</f>
      </c>
      <c r="R5" s="3">
        <f>IF($G5="","",I5-O5)</f>
      </c>
      <c r="Z5" s="3">
        <f>IF($G5="","",P5-Y5)</f>
      </c>
    </row>
    <row r="6" spans="1:26" x14ac:dyDescent="0.25">
      <c r="A6" s="1"/>
      <c r="D6" s="2"/>
      <c r="F6" s="3"/>
      <c r="G6" s="3"/>
      <c r="H6" s="3">
        <f>IF($G6="","",G6-F6)</f>
      </c>
      <c r="I6" s="3">
        <f>IF($G6="","",H6*16.67%)</f>
      </c>
      <c r="J6" s="3">
        <f>IF($G6="","",G6*7%)</f>
      </c>
      <c r="K6" s="3">
        <f>IF($G6="","",J6*20%)</f>
      </c>
      <c r="L6" s="3"/>
      <c r="M6" s="3">
        <f>IF($G6="","",L6*20%)</f>
      </c>
      <c r="N6" s="3">
        <v>1</v>
      </c>
      <c r="O6" s="3">
        <f>IF($G6="","",K6+M6)</f>
      </c>
      <c r="P6" s="3">
        <f>IF($G6="","",H6-I6-J6-K6-L6-M6-N6)</f>
      </c>
      <c r="Q6" s="3">
        <f>IF($G6="","",(P6-Y6)/F6*100)</f>
      </c>
      <c r="R6" s="3">
        <f>IF($G6="","",I6-O6)</f>
      </c>
      <c r="Z6" s="3">
        <f>IF($G6="","",P6-Y6)</f>
      </c>
    </row>
    <row r="7" spans="1:26" x14ac:dyDescent="0.25">
      <c r="A7" s="1"/>
      <c r="D7" s="2"/>
      <c r="F7" s="3"/>
      <c r="G7" s="3"/>
      <c r="H7" s="3">
        <f>IF($G7="","",G7-F7)</f>
      </c>
      <c r="I7" s="3">
        <f>IF($G7="","",H7*16.67%)</f>
      </c>
      <c r="J7" s="3">
        <f>IF($G7="","",G7*7%)</f>
      </c>
      <c r="K7" s="3">
        <f>IF($G7="","",J7*20%)</f>
      </c>
      <c r="L7" s="3"/>
      <c r="M7" s="3">
        <f>IF($G7="","",L7*20%)</f>
      </c>
      <c r="N7" s="3">
        <v>1</v>
      </c>
      <c r="O7" s="3">
        <f>IF($G7="","",K7+M7)</f>
      </c>
      <c r="P7" s="3">
        <f>IF($G7="","",H7-I7-J7-K7-L7-M7-N7)</f>
      </c>
      <c r="Q7" s="3">
        <f>IF($G7="","",(P7-Y7)/F7*100)</f>
      </c>
      <c r="R7" s="3">
        <f>IF($G7="","",I7-O7)</f>
      </c>
      <c r="Z7" s="3">
        <f>IF($G7="","",P7-Y7)</f>
      </c>
    </row>
    <row r="8" spans="1:26" x14ac:dyDescent="0.25">
      <c r="A8" s="1"/>
      <c r="D8" s="2"/>
      <c r="F8" s="3"/>
      <c r="G8" s="3"/>
      <c r="H8" s="3">
        <f>IF($G8="","",G8-F8)</f>
      </c>
      <c r="I8" s="3">
        <f>IF($G8="","",H8*16.67%)</f>
      </c>
      <c r="J8" s="3">
        <f>IF($G8="","",G8*7%)</f>
      </c>
      <c r="K8" s="3">
        <f>IF($G8="","",J8*20%)</f>
      </c>
      <c r="L8" s="3"/>
      <c r="M8" s="3">
        <f>IF($G8="","",L8*20%)</f>
      </c>
      <c r="N8" s="3">
        <v>1</v>
      </c>
      <c r="O8" s="3">
        <f>IF($G8="","",K8+M8)</f>
      </c>
      <c r="P8" s="3">
        <f>IF($G8="","",H8-I8-J8-K8-L8-M8-N8)</f>
      </c>
      <c r="Q8" s="3">
        <f>IF($G8="","",(P8-Y8)/F8*100)</f>
      </c>
      <c r="R8" s="3">
        <f>IF($G8="","",I8-O8)</f>
      </c>
      <c r="Z8" s="3">
        <f>IF($G8="","",P8-Y8)</f>
      </c>
    </row>
    <row r="9" spans="1:26" x14ac:dyDescent="0.25">
      <c r="A9" s="1"/>
      <c r="D9" s="2"/>
      <c r="F9" s="3"/>
      <c r="G9" s="3"/>
      <c r="H9" s="3">
        <f>IF($G9="","",G9-F9)</f>
      </c>
      <c r="I9" s="3">
        <f>IF($G9="","",H9*16.67%)</f>
      </c>
      <c r="J9" s="3">
        <f>IF($G9="","",G9*7%)</f>
      </c>
      <c r="K9" s="3">
        <f>IF($G9="","",J9*20%)</f>
      </c>
      <c r="L9" s="3"/>
      <c r="M9" s="3">
        <f>IF($G9="","",L9*20%)</f>
      </c>
      <c r="N9" s="3">
        <v>1</v>
      </c>
      <c r="O9" s="3">
        <f>IF($G9="","",K9+M9)</f>
      </c>
      <c r="P9" s="3">
        <f>IF($G9="","",H9-I9-J9-K9-L9-M9-N9)</f>
      </c>
      <c r="Q9" s="3">
        <f>IF($G9="","",(P9-Y9)/F9*100)</f>
      </c>
      <c r="R9" s="3">
        <f>IF($G9="","",I9-O9)</f>
      </c>
      <c r="Z9" s="3">
        <f>IF($G9="","",P9-Y9)</f>
      </c>
    </row>
    <row r="10" spans="1:26" x14ac:dyDescent="0.25">
      <c r="A10" s="1"/>
      <c r="D10" s="2"/>
      <c r="F10" s="3"/>
      <c r="G10" s="3"/>
      <c r="H10" s="3">
        <f>IF($G10="","",G10-F10)</f>
      </c>
      <c r="I10" s="3">
        <f>IF($G10="","",H10*16.67%)</f>
      </c>
      <c r="J10" s="3">
        <f>IF($G10="","",G10*7%)</f>
      </c>
      <c r="K10" s="3">
        <f>IF($G10="","",J10*20%)</f>
      </c>
      <c r="L10" s="3"/>
      <c r="M10" s="3">
        <f>IF($G10="","",L10*20%)</f>
      </c>
      <c r="N10" s="3">
        <v>1</v>
      </c>
      <c r="O10" s="3">
        <f>IF($G10="","",K10+M10)</f>
      </c>
      <c r="P10" s="3">
        <f>IF($G10="","",H10-I10-J10-K10-L10-M10-N10)</f>
      </c>
      <c r="Q10" s="3">
        <f>IF($G10="","",(P10-Y10)/F10*100)</f>
      </c>
      <c r="R10" s="3">
        <f>IF($G10="","",I10-O10)</f>
      </c>
      <c r="Z10" s="3">
        <f>IF($G10="","",P10-Y10)</f>
      </c>
    </row>
    <row r="11" spans="1:26" x14ac:dyDescent="0.25">
      <c r="A11" s="1"/>
      <c r="D11" s="2"/>
      <c r="F11" s="3"/>
      <c r="G11" s="3"/>
      <c r="H11" s="3">
        <f>IF($G11="","",G11-F11)</f>
      </c>
      <c r="I11" s="3">
        <f>IF($G11="","",H11*16.67%)</f>
      </c>
      <c r="J11" s="3">
        <f>IF($G11="","",G11*7%)</f>
      </c>
      <c r="K11" s="3">
        <f>IF($G11="","",J11*20%)</f>
      </c>
      <c r="L11" s="3"/>
      <c r="M11" s="3">
        <f>IF($G11="","",L11*20%)</f>
      </c>
      <c r="N11" s="3">
        <v>1</v>
      </c>
      <c r="O11" s="3">
        <f>IF($G11="","",K11+M11)</f>
      </c>
      <c r="P11" s="3">
        <f>IF($G11="","",H11-I11-J11-K11-L11-M11-N11)</f>
      </c>
      <c r="Q11" s="3">
        <f>IF($G11="","",(P11-Y11)/F11*100)</f>
      </c>
      <c r="R11" s="3">
        <f>IF($G11="","",I11-O11)</f>
      </c>
      <c r="Z11" s="3">
        <f>IF($G11="","",P11-Y11)</f>
      </c>
    </row>
    <row r="12" spans="1:26" x14ac:dyDescent="0.25">
      <c r="A12" s="1"/>
      <c r="D12" s="2"/>
      <c r="F12" s="3"/>
      <c r="G12" s="3"/>
      <c r="H12" s="3">
        <f>IF($G12="","",G12-F12)</f>
      </c>
      <c r="I12" s="3">
        <f>IF($G12="","",H12*16.67%)</f>
      </c>
      <c r="J12" s="3">
        <f>IF($G12="","",G12*7%)</f>
      </c>
      <c r="K12" s="3">
        <f>IF($G12="","",J12*20%)</f>
      </c>
      <c r="L12" s="3"/>
      <c r="M12" s="3">
        <f>IF($G12="","",L12*20%)</f>
      </c>
      <c r="N12" s="3">
        <v>1</v>
      </c>
      <c r="O12" s="3">
        <f>IF($G12="","",K12+M12)</f>
      </c>
      <c r="P12" s="3">
        <f>IF($G12="","",H12-I12-J12-K12-L12-M12-N12)</f>
      </c>
      <c r="Q12" s="3">
        <f>IF($G12="","",(P12-Y12)/F12*100)</f>
      </c>
      <c r="R12" s="3">
        <f>IF($G12="","",I12-O12)</f>
      </c>
      <c r="Z12" s="3">
        <f>IF($G12="","",P12-Y12)</f>
      </c>
    </row>
    <row r="13" spans="1:26" x14ac:dyDescent="0.25">
      <c r="A13" s="1"/>
      <c r="D13" s="2"/>
      <c r="F13" s="3"/>
      <c r="G13" s="3"/>
      <c r="H13" s="3">
        <f>IF($G13="","",G13-F13)</f>
      </c>
      <c r="I13" s="3">
        <f>IF($G13="","",H13*16.67%)</f>
      </c>
      <c r="J13" s="3">
        <f>IF($G13="","",G13*7%)</f>
      </c>
      <c r="K13" s="3">
        <f>IF($G13="","",J13*20%)</f>
      </c>
      <c r="L13" s="3"/>
      <c r="M13" s="3">
        <f>IF($G13="","",L13*20%)</f>
      </c>
      <c r="N13" s="3">
        <v>1</v>
      </c>
      <c r="O13" s="3">
        <f>IF($G13="","",K13+M13)</f>
      </c>
      <c r="P13" s="3">
        <f>IF($G13="","",H13-I13-J13-K13-L13-M13-N13)</f>
      </c>
      <c r="Q13" s="3">
        <f>IF($G13="","",(P13-Y13)/F13*100)</f>
      </c>
      <c r="R13" s="3">
        <f>IF($G13="","",I13-O13)</f>
      </c>
      <c r="Z13" s="3">
        <f>IF($G13="","",P13-Y13)</f>
      </c>
    </row>
    <row r="14" spans="1:26" x14ac:dyDescent="0.25">
      <c r="A14" s="1"/>
      <c r="D14" s="2"/>
      <c r="F14" s="3"/>
      <c r="G14" s="3"/>
      <c r="H14" s="3">
        <f>IF($G14="","",G14-F14)</f>
      </c>
      <c r="I14" s="3">
        <f>IF($G14="","",H14*16.67%)</f>
      </c>
      <c r="J14" s="3">
        <f>IF($G14="","",G14*7%)</f>
      </c>
      <c r="K14" s="3">
        <f>IF($G14="","",J14*20%)</f>
      </c>
      <c r="L14" s="3"/>
      <c r="M14" s="3">
        <f>IF($G14="","",L14*20%)</f>
      </c>
      <c r="N14" s="3">
        <v>1</v>
      </c>
      <c r="O14" s="3">
        <f>IF($G14="","",K14+M14)</f>
      </c>
      <c r="P14" s="3">
        <f>IF($G14="","",H14-I14-J14-K14-L14-M14-N14)</f>
      </c>
      <c r="Q14" s="3">
        <f>IF($G14="","",(P14-Y14)/F14*100)</f>
      </c>
      <c r="R14" s="3">
        <f>IF($G14="","",I14-O14)</f>
      </c>
      <c r="Z14" s="3">
        <f>IF($G14="","",P14-Y14)</f>
      </c>
    </row>
    <row r="15" spans="1:26" x14ac:dyDescent="0.25">
      <c r="A15" s="1"/>
      <c r="D15" s="2"/>
      <c r="F15" s="3"/>
      <c r="G15" s="3"/>
      <c r="H15" s="3">
        <f>IF($G15="","",G15-F15)</f>
      </c>
      <c r="I15" s="3">
        <f>IF($G15="","",H15*16.67%)</f>
      </c>
      <c r="J15" s="3">
        <f>IF($G15="","",G15*7%)</f>
      </c>
      <c r="K15" s="3">
        <f>IF($G15="","",J15*20%)</f>
      </c>
      <c r="L15" s="3"/>
      <c r="M15" s="3">
        <f>IF($G15="","",L15*20%)</f>
      </c>
      <c r="N15" s="3">
        <v>1</v>
      </c>
      <c r="O15" s="3">
        <f>IF($G15="","",K15+M15)</f>
      </c>
      <c r="P15" s="3">
        <f>IF($G15="","",H15-I15-J15-K15-L15-M15-N15)</f>
      </c>
      <c r="Q15" s="3">
        <f>IF($G15="","",(P15-Y15)/F15*100)</f>
      </c>
      <c r="R15" s="3">
        <f>IF($G15="","",I15-O15)</f>
      </c>
      <c r="Z15" s="3">
        <f>IF($G15="","",P15-Y15)</f>
      </c>
    </row>
    <row r="16" spans="1:26" x14ac:dyDescent="0.25">
      <c r="A16" s="1"/>
      <c r="D16" s="2"/>
      <c r="F16" s="3"/>
      <c r="G16" s="3"/>
      <c r="H16" s="3">
        <f>IF($G16="","",G16-F16)</f>
      </c>
      <c r="I16" s="3">
        <f>IF($G16="","",H16*16.67%)</f>
      </c>
      <c r="J16" s="3">
        <f>IF($G16="","",G16*7%)</f>
      </c>
      <c r="K16" s="3">
        <f>IF($G16="","",J16*20%)</f>
      </c>
      <c r="L16" s="3"/>
      <c r="M16" s="3">
        <f>IF($G16="","",L16*20%)</f>
      </c>
      <c r="N16" s="3">
        <v>1</v>
      </c>
      <c r="O16" s="3">
        <f>IF($G16="","",K16+M16)</f>
      </c>
      <c r="P16" s="3">
        <f>IF($G16="","",H16-I16-J16-K16-L16-M16-N16)</f>
      </c>
      <c r="Q16" s="3">
        <f>IF($G16="","",(P16-Y16)/F16*100)</f>
      </c>
      <c r="R16" s="3">
        <f>IF($G16="","",I16-O16)</f>
      </c>
      <c r="Z16" s="3">
        <f>IF($G16="","",P16-Y16)</f>
      </c>
    </row>
    <row r="17" spans="1:26" x14ac:dyDescent="0.25">
      <c r="A17" s="1"/>
      <c r="D17" s="2"/>
      <c r="F17" s="3"/>
      <c r="G17" s="3"/>
      <c r="H17" s="3">
        <f>IF($G17="","",G17-F17)</f>
      </c>
      <c r="I17" s="3">
        <f>IF($G17="","",H17*16.67%)</f>
      </c>
      <c r="J17" s="3">
        <f>IF($G17="","",G17*7%)</f>
      </c>
      <c r="K17" s="3">
        <f>IF($G17="","",J17*20%)</f>
      </c>
      <c r="L17" s="3"/>
      <c r="M17" s="3">
        <f>IF($G17="","",L17*20%)</f>
      </c>
      <c r="N17" s="3">
        <v>1</v>
      </c>
      <c r="O17" s="3">
        <f>IF($G17="","",K17+M17)</f>
      </c>
      <c r="P17" s="3">
        <f>IF($G17="","",H17-I17-J17-K17-L17-M17-N17)</f>
      </c>
      <c r="Q17" s="3">
        <f>IF($G17="","",(P17-Y17)/F17*100)</f>
      </c>
      <c r="R17" s="3">
        <f>IF($G17="","",I17-O17)</f>
      </c>
      <c r="Z17" s="3">
        <f>IF($G17="","",P17-Y17)</f>
      </c>
    </row>
    <row r="18" spans="1:26" x14ac:dyDescent="0.25">
      <c r="A18" s="1"/>
      <c r="D18" s="2"/>
      <c r="F18" s="3"/>
      <c r="G18" s="3"/>
      <c r="H18" s="3">
        <f>IF($G18="","",G18-F18)</f>
      </c>
      <c r="I18" s="3">
        <f>IF($G18="","",H18*16.67%)</f>
      </c>
      <c r="J18" s="3">
        <f>IF($G18="","",G18*7%)</f>
      </c>
      <c r="K18" s="3">
        <f>IF($G18="","",J18*20%)</f>
      </c>
      <c r="L18" s="3"/>
      <c r="M18" s="3">
        <f>IF($G18="","",L18*20%)</f>
      </c>
      <c r="N18" s="3">
        <v>1</v>
      </c>
      <c r="O18" s="3">
        <f>IF($G18="","",K18+M18)</f>
      </c>
      <c r="P18" s="3">
        <f>IF($G18="","",H18-I18-J18-K18-L18-M18-N18)</f>
      </c>
      <c r="Q18" s="3">
        <f>IF($G18="","",(P18-Y18)/F18*100)</f>
      </c>
      <c r="R18" s="3">
        <f>IF($G18="","",I18-O18)</f>
      </c>
      <c r="Z18" s="3">
        <f>IF($G18="","",P18-Y18)</f>
      </c>
    </row>
    <row r="19" spans="1:26" x14ac:dyDescent="0.25">
      <c r="A19" s="1"/>
      <c r="D19" s="2"/>
      <c r="F19" s="3"/>
      <c r="G19" s="3"/>
      <c r="H19" s="3">
        <f>IF($G19="","",G19-F19)</f>
      </c>
      <c r="I19" s="3">
        <f>IF($G19="","",H19*16.67%)</f>
      </c>
      <c r="J19" s="3">
        <f>IF($G19="","",G19*7%)</f>
      </c>
      <c r="K19" s="3">
        <f>IF($G19="","",J19*20%)</f>
      </c>
      <c r="L19" s="3"/>
      <c r="M19" s="3">
        <f>IF($G19="","",L19*20%)</f>
      </c>
      <c r="N19" s="3">
        <v>1</v>
      </c>
      <c r="O19" s="3">
        <f>IF($G19="","",K19+M19)</f>
      </c>
      <c r="P19" s="3">
        <f>IF($G19="","",H19-I19-J19-K19-L19-M19-N19)</f>
      </c>
      <c r="Q19" s="3">
        <f>IF($G19="","",(P19-Y19)/F19*100)</f>
      </c>
      <c r="R19" s="3">
        <f>IF($G19="","",I19-O19)</f>
      </c>
      <c r="Z19" s="3">
        <f>IF($G19="","",P19-Y19)</f>
      </c>
    </row>
    <row r="20" spans="1:26" x14ac:dyDescent="0.25">
      <c r="A20" s="1"/>
      <c r="D20" s="2"/>
      <c r="F20" s="3"/>
      <c r="G20" s="3"/>
      <c r="H20" s="3">
        <f>IF($G20="","",G20-F20)</f>
      </c>
      <c r="I20" s="3">
        <f>IF($G20="","",H20*16.67%)</f>
      </c>
      <c r="J20" s="3">
        <f>IF($G20="","",G20*7%)</f>
      </c>
      <c r="K20" s="3">
        <f>IF($G20="","",J20*20%)</f>
      </c>
      <c r="L20" s="3"/>
      <c r="M20" s="3">
        <f>IF($G20="","",L20*20%)</f>
      </c>
      <c r="N20" s="3">
        <v>1</v>
      </c>
      <c r="O20" s="3">
        <f>IF($G20="","",K20+M20)</f>
      </c>
      <c r="P20" s="3">
        <f>IF($G20="","",H20-I20-J20-K20-L20-M20-N20)</f>
      </c>
      <c r="Q20" s="3">
        <f>IF($G20="","",(P20-Y20)/F20*100)</f>
      </c>
      <c r="R20" s="3">
        <f>IF($G20="","",I20-O20)</f>
      </c>
      <c r="Z20" s="3">
        <f>IF($G20="","",P20-Y20)</f>
      </c>
    </row>
    <row r="21" spans="1:26" x14ac:dyDescent="0.25">
      <c r="A21" s="1"/>
      <c r="D21" s="2"/>
      <c r="F21" s="3"/>
      <c r="G21" s="3"/>
      <c r="H21" s="3">
        <f>IF($G21="","",G21-F21)</f>
      </c>
      <c r="I21" s="3">
        <f>IF($G21="","",H21*16.67%)</f>
      </c>
      <c r="J21" s="3">
        <f>IF($G21="","",G21*7%)</f>
      </c>
      <c r="K21" s="3">
        <f>IF($G21="","",J21*20%)</f>
      </c>
      <c r="L21" s="3"/>
      <c r="M21" s="3">
        <f>IF($G21="","",L21*20%)</f>
      </c>
      <c r="N21" s="3">
        <v>1</v>
      </c>
      <c r="O21" s="3">
        <f>IF($G21="","",K21+M21)</f>
      </c>
      <c r="P21" s="3">
        <f>IF($G21="","",H21-I21-J21-K21-L21-M21-N21)</f>
      </c>
      <c r="Q21" s="3">
        <f>IF($G21="","",(P21-Y21)/F21*100)</f>
      </c>
      <c r="R21" s="3">
        <f>IF($G21="","",I21-O21)</f>
      </c>
      <c r="Z21" s="3">
        <f>IF($G21="","",P21-Y21)</f>
      </c>
    </row>
    <row r="22" spans="1:26" x14ac:dyDescent="0.25">
      <c r="A22" s="1"/>
      <c r="D22" s="2"/>
      <c r="F22" s="3"/>
      <c r="G22" s="3"/>
      <c r="H22" s="3">
        <f>IF($G22="","",G22-F22)</f>
      </c>
      <c r="I22" s="3">
        <f>IF($G22="","",H22*16.67%)</f>
      </c>
      <c r="J22" s="3">
        <f>IF($G22="","",G22*7%)</f>
      </c>
      <c r="K22" s="3">
        <f>IF($G22="","",J22*20%)</f>
      </c>
      <c r="L22" s="3"/>
      <c r="M22" s="3">
        <f>IF($G22="","",L22*20%)</f>
      </c>
      <c r="N22" s="3">
        <v>1</v>
      </c>
      <c r="O22" s="3">
        <f>IF($G22="","",K22+M22)</f>
      </c>
      <c r="P22" s="3">
        <f>IF($G22="","",H22-I22-J22-K22-L22-M22-N22)</f>
      </c>
      <c r="Q22" s="3">
        <f>IF($G22="","",(P22-Y22)/F22*100)</f>
      </c>
      <c r="R22" s="3">
        <f>IF($G22="","",I22-O22)</f>
      </c>
      <c r="Z22" s="3">
        <f>IF($G22="","",P22-Y22)</f>
      </c>
    </row>
    <row r="23" spans="1:26" x14ac:dyDescent="0.25">
      <c r="A23" s="1"/>
      <c r="D23" s="2"/>
      <c r="F23" s="3"/>
      <c r="G23" s="3"/>
      <c r="H23" s="3">
        <f>IF($G23="","",G23-F23)</f>
      </c>
      <c r="I23" s="3">
        <f>IF($G23="","",H23*16.67%)</f>
      </c>
      <c r="J23" s="3">
        <f>IF($G23="","",G23*7%)</f>
      </c>
      <c r="K23" s="3">
        <f>IF($G23="","",J23*20%)</f>
      </c>
      <c r="L23" s="3"/>
      <c r="M23" s="3">
        <f>IF($G23="","",L23*20%)</f>
      </c>
      <c r="N23" s="3">
        <v>1</v>
      </c>
      <c r="O23" s="3">
        <f>IF($G23="","",K23+M23)</f>
      </c>
      <c r="P23" s="3">
        <f>IF($G23="","",H23-I23-J23-K23-L23-M23-N23)</f>
      </c>
      <c r="Q23" s="3">
        <f>IF($G23="","",(P23-Y23)/F23*100)</f>
      </c>
      <c r="R23" s="3">
        <f>IF($G23="","",I23-O23)</f>
      </c>
      <c r="Z23" s="3">
        <f>IF($G23="","",P23-Y23)</f>
      </c>
    </row>
    <row r="24" spans="1:26" x14ac:dyDescent="0.25">
      <c r="A24" s="1"/>
      <c r="D24" s="2"/>
      <c r="F24" s="3"/>
      <c r="G24" s="3"/>
      <c r="H24" s="3">
        <f>IF($G24="","",G24-F24)</f>
      </c>
      <c r="I24" s="3">
        <f>IF($G24="","",H24*16.67%)</f>
      </c>
      <c r="J24" s="3">
        <f>IF($G24="","",G24*7%)</f>
      </c>
      <c r="K24" s="3">
        <f>IF($G24="","",J24*20%)</f>
      </c>
      <c r="L24" s="3"/>
      <c r="M24" s="3">
        <f>IF($G24="","",L24*20%)</f>
      </c>
      <c r="N24" s="3">
        <v>1</v>
      </c>
      <c r="O24" s="3">
        <f>IF($G24="","",K24+M24)</f>
      </c>
      <c r="P24" s="3">
        <f>IF($G24="","",H24-I24-J24-K24-L24-M24-N24)</f>
      </c>
      <c r="Q24" s="3">
        <f>IF($G24="","",(P24-Y24)/F24*100)</f>
      </c>
      <c r="R24" s="3">
        <f>IF($G24="","",I24-O24)</f>
      </c>
      <c r="Z24" s="3">
        <f>IF($G24="","",P24-Y24)</f>
      </c>
    </row>
    <row r="25" spans="1:26" x14ac:dyDescent="0.25">
      <c r="A25" s="1"/>
      <c r="D25" s="2"/>
      <c r="F25" s="3"/>
      <c r="G25" s="3"/>
      <c r="H25" s="3">
        <f>IF($G25="","",G25-F25)</f>
      </c>
      <c r="I25" s="3">
        <f>IF($G25="","",H25*16.67%)</f>
      </c>
      <c r="J25" s="3">
        <f>IF($G25="","",G25*7%)</f>
      </c>
      <c r="K25" s="3">
        <f>IF($G25="","",J25*20%)</f>
      </c>
      <c r="L25" s="3"/>
      <c r="M25" s="3">
        <f>IF($G25="","",L25*20%)</f>
      </c>
      <c r="N25" s="3">
        <v>1</v>
      </c>
      <c r="O25" s="3">
        <f>IF($G25="","",K25+M25)</f>
      </c>
      <c r="P25" s="3">
        <f>IF($G25="","",H25-I25-J25-K25-L25-M25-N25)</f>
      </c>
      <c r="Q25" s="3">
        <f>IF($G25="","",(P25-Y25)/F25*100)</f>
      </c>
      <c r="R25" s="3">
        <f>IF($G25="","",I25-O25)</f>
      </c>
      <c r="Z25" s="3">
        <f>IF($G25="","",P25-Y25)</f>
      </c>
    </row>
    <row r="26" spans="1:26" x14ac:dyDescent="0.25">
      <c r="A26" s="1"/>
      <c r="D26" s="2"/>
      <c r="F26" s="3"/>
      <c r="G26" s="3"/>
      <c r="H26" s="3">
        <f>IF($G26="","",G26-F26)</f>
      </c>
      <c r="I26" s="3">
        <f>IF($G26="","",H26*16.67%)</f>
      </c>
      <c r="J26" s="3">
        <f>IF($G26="","",G26*7%)</f>
      </c>
      <c r="K26" s="3">
        <f>IF($G26="","",J26*20%)</f>
      </c>
      <c r="L26" s="3"/>
      <c r="M26" s="3">
        <f>IF($G26="","",L26*20%)</f>
      </c>
      <c r="N26" s="3">
        <v>1</v>
      </c>
      <c r="O26" s="3">
        <f>IF($G26="","",K26+M26)</f>
      </c>
      <c r="P26" s="3">
        <f>IF($G26="","",H26-I26-J26-K26-L26-M26-N26)</f>
      </c>
      <c r="Q26" s="3">
        <f>IF($G26="","",(P26-Y26)/F26*100)</f>
      </c>
      <c r="R26" s="3">
        <f>IF($G26="","",I26-O26)</f>
      </c>
      <c r="Z26" s="3">
        <f>IF($G26="","",P26-Y26)</f>
      </c>
    </row>
    <row r="27" spans="1:26" x14ac:dyDescent="0.25">
      <c r="A27" s="1"/>
      <c r="D27" s="2"/>
      <c r="F27" s="3"/>
      <c r="G27" s="3"/>
      <c r="H27" s="3">
        <f>IF($G27="","",G27-F27)</f>
      </c>
      <c r="I27" s="3">
        <f>IF($G27="","",H27*16.67%)</f>
      </c>
      <c r="J27" s="3">
        <f>IF($G27="","",G27*7%)</f>
      </c>
      <c r="K27" s="3">
        <f>IF($G27="","",J27*20%)</f>
      </c>
      <c r="L27" s="3"/>
      <c r="M27" s="3">
        <f>IF($G27="","",L27*20%)</f>
      </c>
      <c r="N27" s="3">
        <v>1</v>
      </c>
      <c r="O27" s="3">
        <f>IF($G27="","",K27+M27)</f>
      </c>
      <c r="P27" s="3">
        <f>IF($G27="","",H27-I27-J27-K27-L27-M27-N27)</f>
      </c>
      <c r="Q27" s="3">
        <f>IF($G27="","",(P27-Y27)/F27*100)</f>
      </c>
      <c r="R27" s="3">
        <f>IF($G27="","",I27-O27)</f>
      </c>
      <c r="Z27" s="3">
        <f>IF($G27="","",P27-Y27)</f>
      </c>
    </row>
    <row r="28" spans="1:26" x14ac:dyDescent="0.25">
      <c r="A28" s="1"/>
      <c r="D28" s="2"/>
      <c r="F28" s="3"/>
      <c r="G28" s="3"/>
      <c r="H28" s="3">
        <f>IF($G28="","",G28-F28)</f>
      </c>
      <c r="I28" s="3">
        <f>IF($G28="","",H28*16.67%)</f>
      </c>
      <c r="J28" s="3">
        <f>IF($G28="","",G28*7%)</f>
      </c>
      <c r="K28" s="3">
        <f>IF($G28="","",J28*20%)</f>
      </c>
      <c r="L28" s="3"/>
      <c r="M28" s="3">
        <f>IF($G28="","",L28*20%)</f>
      </c>
      <c r="N28" s="3">
        <v>1</v>
      </c>
      <c r="O28" s="3">
        <f>IF($G28="","",K28+M28)</f>
      </c>
      <c r="P28" s="3">
        <f>IF($G28="","",H28-I28-J28-K28-L28-M28-N28)</f>
      </c>
      <c r="Q28" s="3">
        <f>IF($G28="","",(P28-Y28)/F28*100)</f>
      </c>
      <c r="R28" s="3">
        <f>IF($G28="","",I28-O28)</f>
      </c>
      <c r="Z28" s="3">
        <f>IF($G28="","",P28-Y28)</f>
      </c>
    </row>
    <row r="29" spans="1:26" x14ac:dyDescent="0.25">
      <c r="A29" s="1"/>
      <c r="D29" s="2"/>
      <c r="F29" s="3"/>
      <c r="G29" s="3"/>
      <c r="H29" s="3">
        <f>IF($G29="","",G29-F29)</f>
      </c>
      <c r="I29" s="3">
        <f>IF($G29="","",H29*16.67%)</f>
      </c>
      <c r="J29" s="3">
        <f>IF($G29="","",G29*7%)</f>
      </c>
      <c r="K29" s="3">
        <f>IF($G29="","",J29*20%)</f>
      </c>
      <c r="L29" s="3"/>
      <c r="M29" s="3">
        <f>IF($G29="","",L29*20%)</f>
      </c>
      <c r="N29" s="3">
        <v>1</v>
      </c>
      <c r="O29" s="3">
        <f>IF($G29="","",K29+M29)</f>
      </c>
      <c r="P29" s="3">
        <f>IF($G29="","",H29-I29-J29-K29-L29-M29-N29)</f>
      </c>
      <c r="Q29" s="3">
        <f>IF($G29="","",(P29-Y29)/F29*100)</f>
      </c>
      <c r="R29" s="3">
        <f>IF($G29="","",I29-O29)</f>
      </c>
      <c r="Z29" s="3">
        <f>IF($G29="","",P29-Y29)</f>
      </c>
    </row>
    <row r="30" spans="1:26" x14ac:dyDescent="0.25">
      <c r="A30" s="1"/>
      <c r="D30" s="2"/>
      <c r="F30" s="3"/>
      <c r="G30" s="3"/>
      <c r="H30" s="3">
        <f>IF($G30="","",G30-F30)</f>
      </c>
      <c r="I30" s="3">
        <f>IF($G30="","",H30*16.67%)</f>
      </c>
      <c r="J30" s="3">
        <f>IF($G30="","",G30*7%)</f>
      </c>
      <c r="K30" s="3">
        <f>IF($G30="","",J30*20%)</f>
      </c>
      <c r="L30" s="3"/>
      <c r="M30" s="3">
        <f>IF($G30="","",L30*20%)</f>
      </c>
      <c r="N30" s="3">
        <v>1</v>
      </c>
      <c r="O30" s="3">
        <f>IF($G30="","",K30+M30)</f>
      </c>
      <c r="P30" s="3">
        <f>IF($G30="","",H30-I30-J30-K30-L30-M30-N30)</f>
      </c>
      <c r="Q30" s="3">
        <f>IF($G30="","",(P30-Y30)/F30*100)</f>
      </c>
      <c r="R30" s="3">
        <f>IF($G30="","",I30-O30)</f>
      </c>
      <c r="Z30" s="3">
        <f>IF($G30="","",P30-Y30)</f>
      </c>
    </row>
    <row r="31" spans="1:26" x14ac:dyDescent="0.25">
      <c r="A31" s="1"/>
      <c r="D31" s="2"/>
      <c r="F31" s="3"/>
      <c r="G31" s="3"/>
      <c r="H31" s="3">
        <f>IF($G31="","",G31-F31)</f>
      </c>
      <c r="I31" s="3">
        <f>IF($G31="","",H31*16.67%)</f>
      </c>
      <c r="J31" s="3">
        <f>IF($G31="","",G31*7%)</f>
      </c>
      <c r="K31" s="3">
        <f>IF($G31="","",J31*20%)</f>
      </c>
      <c r="L31" s="3"/>
      <c r="M31" s="3">
        <f>IF($G31="","",L31*20%)</f>
      </c>
      <c r="N31" s="3">
        <v>1</v>
      </c>
      <c r="O31" s="3">
        <f>IF($G31="","",K31+M31)</f>
      </c>
      <c r="P31" s="3">
        <f>IF($G31="","",H31-I31-J31-K31-L31-M31-N31)</f>
      </c>
      <c r="Q31" s="3">
        <f>IF($G31="","",(P31-Y31)/F31*100)</f>
      </c>
      <c r="R31" s="3">
        <f>IF($G31="","",I31-O31)</f>
      </c>
      <c r="Z31" s="3">
        <f>IF($G31="","",P31-Y31)</f>
      </c>
    </row>
    <row r="32" spans="1:26" x14ac:dyDescent="0.25">
      <c r="A32" s="1"/>
      <c r="D32" s="2"/>
      <c r="F32" s="3"/>
      <c r="G32" s="3"/>
      <c r="H32" s="3">
        <f>IF($G32="","",G32-F32)</f>
      </c>
      <c r="I32" s="3">
        <f>IF($G32="","",H32*16.67%)</f>
      </c>
      <c r="J32" s="3">
        <f>IF($G32="","",G32*7%)</f>
      </c>
      <c r="K32" s="3">
        <f>IF($G32="","",J32*20%)</f>
      </c>
      <c r="L32" s="3"/>
      <c r="M32" s="3">
        <f>IF($G32="","",L32*20%)</f>
      </c>
      <c r="N32" s="3">
        <v>1</v>
      </c>
      <c r="O32" s="3">
        <f>IF($G32="","",K32+M32)</f>
      </c>
      <c r="P32" s="3">
        <f>IF($G32="","",H32-I32-J32-K32-L32-M32-N32)</f>
      </c>
      <c r="Q32" s="3">
        <f>IF($G32="","",(P32-Y32)/F32*100)</f>
      </c>
      <c r="R32" s="3">
        <f>IF($G32="","",I32-O32)</f>
      </c>
      <c r="Z32" s="3">
        <f>IF($G32="","",P32-Y32)</f>
      </c>
    </row>
    <row r="33" spans="1:26" x14ac:dyDescent="0.25">
      <c r="A33" s="1"/>
      <c r="D33" s="2"/>
      <c r="F33" s="3"/>
      <c r="G33" s="3"/>
      <c r="H33" s="3">
        <f>IF($G33="","",G33-F33)</f>
      </c>
      <c r="I33" s="3">
        <f>IF($G33="","",H33*16.67%)</f>
      </c>
      <c r="J33" s="3">
        <f>IF($G33="","",G33*7%)</f>
      </c>
      <c r="K33" s="3">
        <f>IF($G33="","",J33*20%)</f>
      </c>
      <c r="L33" s="3"/>
      <c r="M33" s="3">
        <f>IF($G33="","",L33*20%)</f>
      </c>
      <c r="N33" s="3">
        <v>1</v>
      </c>
      <c r="O33" s="3">
        <f>IF($G33="","",K33+M33)</f>
      </c>
      <c r="P33" s="3">
        <f>IF($G33="","",H33-I33-J33-K33-L33-M33-N33)</f>
      </c>
      <c r="Q33" s="3">
        <f>IF($G33="","",(P33-Y33)/F33*100)</f>
      </c>
      <c r="R33" s="3">
        <f>IF($G33="","",I33-O33)</f>
      </c>
      <c r="Z33" s="3">
        <f>IF($G33="","",P33-Y33)</f>
      </c>
    </row>
    <row r="34" spans="1:26" x14ac:dyDescent="0.25">
      <c r="A34" s="1"/>
      <c r="D34" s="2"/>
      <c r="F34" s="3"/>
      <c r="G34" s="3"/>
      <c r="H34" s="3">
        <f>IF($G34="","",G34-F34)</f>
      </c>
      <c r="I34" s="3">
        <f>IF($G34="","",H34*16.67%)</f>
      </c>
      <c r="J34" s="3">
        <f>IF($G34="","",G34*7%)</f>
      </c>
      <c r="K34" s="3">
        <f>IF($G34="","",J34*20%)</f>
      </c>
      <c r="L34" s="3"/>
      <c r="M34" s="3">
        <f>IF($G34="","",L34*20%)</f>
      </c>
      <c r="N34" s="3">
        <v>1</v>
      </c>
      <c r="O34" s="3">
        <f>IF($G34="","",K34+M34)</f>
      </c>
      <c r="P34" s="3">
        <f>IF($G34="","",H34-I34-J34-K34-L34-M34-N34)</f>
      </c>
      <c r="Q34" s="3">
        <f>IF($G34="","",(P34-Y34)/F34*100)</f>
      </c>
      <c r="R34" s="3">
        <f>IF($G34="","",I34-O34)</f>
      </c>
      <c r="Z34" s="3">
        <f>IF($G34="","",P34-Y34)</f>
      </c>
    </row>
    <row r="35" spans="1:26" x14ac:dyDescent="0.25">
      <c r="A35" s="1"/>
      <c r="D35" s="2"/>
      <c r="F35" s="3"/>
      <c r="G35" s="3"/>
      <c r="H35" s="3">
        <f>IF($G35="","",G35-F35)</f>
      </c>
      <c r="I35" s="3">
        <f>IF($G35="","",H35*16.67%)</f>
      </c>
      <c r="J35" s="3">
        <f>IF($G35="","",G35*7%)</f>
      </c>
      <c r="K35" s="3">
        <f>IF($G35="","",J35*20%)</f>
      </c>
      <c r="L35" s="3"/>
      <c r="M35" s="3">
        <f>IF($G35="","",L35*20%)</f>
      </c>
      <c r="N35" s="3">
        <v>1</v>
      </c>
      <c r="O35" s="3">
        <f>IF($G35="","",K35+M35)</f>
      </c>
      <c r="P35" s="3">
        <f>IF($G35="","",H35-I35-J35-K35-L35-M35-N35)</f>
      </c>
      <c r="Q35" s="3">
        <f>IF($G35="","",(P35-Y35)/F35*100)</f>
      </c>
      <c r="R35" s="3">
        <f>IF($G35="","",I35-O35)</f>
      </c>
      <c r="Z35" s="3">
        <f>IF($G35="","",P35-Y35)</f>
      </c>
    </row>
    <row r="36" spans="1:26" x14ac:dyDescent="0.25">
      <c r="A36" s="1"/>
      <c r="D36" s="2"/>
      <c r="F36" s="3"/>
      <c r="G36" s="3"/>
      <c r="H36" s="3">
        <f>IF($G36="","",G36-F36)</f>
      </c>
      <c r="I36" s="3">
        <f>IF($G36="","",H36*16.67%)</f>
      </c>
      <c r="J36" s="3">
        <f>IF($G36="","",G36*7%)</f>
      </c>
      <c r="K36" s="3">
        <f>IF($G36="","",J36*20%)</f>
      </c>
      <c r="L36" s="3"/>
      <c r="M36" s="3">
        <f>IF($G36="","",L36*20%)</f>
      </c>
      <c r="N36" s="3">
        <v>1</v>
      </c>
      <c r="O36" s="3">
        <f>IF($G36="","",K36+M36)</f>
      </c>
      <c r="P36" s="3">
        <f>IF($G36="","",H36-I36-J36-K36-L36-M36-N36)</f>
      </c>
      <c r="Q36" s="3">
        <f>IF($G36="","",(P36-Y36)/F36*100)</f>
      </c>
      <c r="R36" s="3">
        <f>IF($G36="","",I36-O36)</f>
      </c>
      <c r="Z36" s="3">
        <f>IF($G36="","",P36-Y36)</f>
      </c>
    </row>
    <row r="37" spans="1:26" x14ac:dyDescent="0.25">
      <c r="A37" s="1"/>
      <c r="D37" s="2"/>
      <c r="F37" s="3"/>
      <c r="G37" s="3"/>
      <c r="H37" s="3">
        <f>IF($G37="","",G37-F37)</f>
      </c>
      <c r="I37" s="3">
        <f>IF($G37="","",H37*16.67%)</f>
      </c>
      <c r="J37" s="3">
        <f>IF($G37="","",G37*7%)</f>
      </c>
      <c r="K37" s="3">
        <f>IF($G37="","",J37*20%)</f>
      </c>
      <c r="L37" s="3"/>
      <c r="M37" s="3">
        <f>IF($G37="","",L37*20%)</f>
      </c>
      <c r="N37" s="3">
        <v>1</v>
      </c>
      <c r="O37" s="3">
        <f>IF($G37="","",K37+M37)</f>
      </c>
      <c r="P37" s="3">
        <f>IF($G37="","",H37-I37-J37-K37-L37-M37-N37)</f>
      </c>
      <c r="Q37" s="3">
        <f>IF($G37="","",(P37-Y37)/F37*100)</f>
      </c>
      <c r="R37" s="3">
        <f>IF($G37="","",I37-O37)</f>
      </c>
      <c r="Z37" s="3">
        <f>IF($G37="","",P37-Y37)</f>
      </c>
    </row>
    <row r="38" spans="1:26" x14ac:dyDescent="0.25">
      <c r="A38" s="1"/>
      <c r="D38" s="2"/>
      <c r="F38" s="3"/>
      <c r="G38" s="3"/>
      <c r="H38" s="3">
        <f>IF($G38="","",G38-F38)</f>
      </c>
      <c r="I38" s="3">
        <f>IF($G38="","",H38*16.67%)</f>
      </c>
      <c r="J38" s="3">
        <f>IF($G38="","",G38*7%)</f>
      </c>
      <c r="K38" s="3">
        <f>IF($G38="","",J38*20%)</f>
      </c>
      <c r="L38" s="3"/>
      <c r="M38" s="3">
        <f>IF($G38="","",L38*20%)</f>
      </c>
      <c r="N38" s="3">
        <v>1</v>
      </c>
      <c r="O38" s="3">
        <f>IF($G38="","",K38+M38)</f>
      </c>
      <c r="P38" s="3">
        <f>IF($G38="","",H38-I38-J38-K38-L38-M38-N38)</f>
      </c>
      <c r="Q38" s="3">
        <f>IF($G38="","",(P38-Y38)/F38*100)</f>
      </c>
      <c r="R38" s="3">
        <f>IF($G38="","",I38-O38)</f>
      </c>
      <c r="Z38" s="3">
        <f>IF($G38="","",P38-Y38)</f>
      </c>
    </row>
    <row r="39" spans="1:26" x14ac:dyDescent="0.25">
      <c r="A39" s="1"/>
      <c r="D39" s="2"/>
      <c r="F39" s="3"/>
      <c r="G39" s="3"/>
      <c r="H39" s="3">
        <f>IF($G39="","",G39-F39)</f>
      </c>
      <c r="I39" s="3">
        <f>IF($G39="","",H39*16.67%)</f>
      </c>
      <c r="J39" s="3">
        <f>IF($G39="","",G39*7%)</f>
      </c>
      <c r="K39" s="3">
        <f>IF($G39="","",J39*20%)</f>
      </c>
      <c r="L39" s="3"/>
      <c r="M39" s="3">
        <f>IF($G39="","",L39*20%)</f>
      </c>
      <c r="N39" s="3">
        <v>1</v>
      </c>
      <c r="O39" s="3">
        <f>IF($G39="","",K39+M39)</f>
      </c>
      <c r="P39" s="3">
        <f>IF($G39="","",H39-I39-J39-K39-L39-M39-N39)</f>
      </c>
      <c r="Q39" s="3">
        <f>IF($G39="","",(P39-Y39)/F39*100)</f>
      </c>
      <c r="R39" s="3">
        <f>IF($G39="","",I39-O39)</f>
      </c>
      <c r="Z39" s="3">
        <f>IF($G39="","",P39-Y39)</f>
      </c>
    </row>
    <row r="40" spans="1:26" x14ac:dyDescent="0.25">
      <c r="A40" s="1"/>
      <c r="D40" s="2"/>
      <c r="F40" s="3"/>
      <c r="G40" s="3"/>
      <c r="H40" s="3">
        <f>IF($G40="","",G40-F40)</f>
      </c>
      <c r="I40" s="3">
        <f>IF($G40="","",H40*16.67%)</f>
      </c>
      <c r="J40" s="3">
        <f>IF($G40="","",G40*7%)</f>
      </c>
      <c r="K40" s="3">
        <f>IF($G40="","",J40*20%)</f>
      </c>
      <c r="L40" s="3"/>
      <c r="M40" s="3">
        <f>IF($G40="","",L40*20%)</f>
      </c>
      <c r="N40" s="3">
        <v>1</v>
      </c>
      <c r="O40" s="3">
        <f>IF($G40="","",K40+M40)</f>
      </c>
      <c r="P40" s="3">
        <f>IF($G40="","",H40-I40-J40-K40-L40-M40-N40)</f>
      </c>
      <c r="Q40" s="3">
        <f>IF($G40="","",(P40-Y40)/F40*100)</f>
      </c>
      <c r="R40" s="3">
        <f>IF($G40="","",I40-O40)</f>
      </c>
      <c r="Z40" s="3">
        <f>IF($G40="","",P40-Y40)</f>
      </c>
    </row>
    <row r="41" spans="1:26" x14ac:dyDescent="0.25">
      <c r="A41" s="1"/>
      <c r="D41" s="2"/>
      <c r="F41" s="3"/>
      <c r="G41" s="3"/>
      <c r="H41" s="3">
        <f>IF($G41="","",G41-F41)</f>
      </c>
      <c r="I41" s="3">
        <f>IF($G41="","",H41*16.67%)</f>
      </c>
      <c r="J41" s="3">
        <f>IF($G41="","",G41*7%)</f>
      </c>
      <c r="K41" s="3">
        <f>IF($G41="","",J41*20%)</f>
      </c>
      <c r="L41" s="3"/>
      <c r="M41" s="3">
        <f>IF($G41="","",L41*20%)</f>
      </c>
      <c r="N41" s="3">
        <v>1</v>
      </c>
      <c r="O41" s="3">
        <f>IF($G41="","",K41+M41)</f>
      </c>
      <c r="P41" s="3">
        <f>IF($G41="","",H41-I41-J41-K41-L41-M41-N41)</f>
      </c>
      <c r="Q41" s="3">
        <f>IF($G41="","",(P41-Y41)/F41*100)</f>
      </c>
      <c r="R41" s="3">
        <f>IF($G41="","",I41-O41)</f>
      </c>
      <c r="Z41" s="3">
        <f>IF($G41="","",P41-Y41)</f>
      </c>
    </row>
    <row r="42" spans="1:26" x14ac:dyDescent="0.25">
      <c r="A42" s="1"/>
      <c r="D42" s="2"/>
      <c r="F42" s="3"/>
      <c r="G42" s="3"/>
      <c r="H42" s="3">
        <f>IF($G42="","",G42-F42)</f>
      </c>
      <c r="I42" s="3">
        <f>IF($G42="","",H42*16.67%)</f>
      </c>
      <c r="J42" s="3">
        <f>IF($G42="","",G42*7%)</f>
      </c>
      <c r="K42" s="3">
        <f>IF($G42="","",J42*20%)</f>
      </c>
      <c r="L42" s="3"/>
      <c r="M42" s="3">
        <f>IF($G42="","",L42*20%)</f>
      </c>
      <c r="N42" s="3">
        <v>1</v>
      </c>
      <c r="O42" s="3">
        <f>IF($G42="","",K42+M42)</f>
      </c>
      <c r="P42" s="3">
        <f>IF($G42="","",H42-I42-J42-K42-L42-M42-N42)</f>
      </c>
      <c r="Q42" s="3">
        <f>IF($G42="","",(P42-Y42)/F42*100)</f>
      </c>
      <c r="R42" s="3">
        <f>IF($G42="","",I42-O42)</f>
      </c>
      <c r="Z42" s="3">
        <f>IF($G42="","",P42-Y42)</f>
      </c>
    </row>
    <row r="43" spans="1:26" x14ac:dyDescent="0.25">
      <c r="A43" s="1"/>
      <c r="D43" s="2"/>
      <c r="F43" s="3"/>
      <c r="G43" s="3"/>
      <c r="H43" s="3">
        <f>IF($G43="","",G43-F43)</f>
      </c>
      <c r="I43" s="3">
        <f>IF($G43="","",H43*16.67%)</f>
      </c>
      <c r="J43" s="3">
        <f>IF($G43="","",G43*7%)</f>
      </c>
      <c r="K43" s="3">
        <f>IF($G43="","",J43*20%)</f>
      </c>
      <c r="L43" s="3"/>
      <c r="M43" s="3">
        <f>IF($G43="","",L43*20%)</f>
      </c>
      <c r="N43" s="3">
        <v>1</v>
      </c>
      <c r="O43" s="3">
        <f>IF($G43="","",K43+M43)</f>
      </c>
      <c r="P43" s="3">
        <f>IF($G43="","",H43-I43-J43-K43-L43-M43-N43)</f>
      </c>
      <c r="Q43" s="3">
        <f>IF($G43="","",(P43-Y43)/F43*100)</f>
      </c>
      <c r="R43" s="3">
        <f>IF($G43="","",I43-O43)</f>
      </c>
      <c r="Z43" s="3">
        <f>IF($G43="","",P43-Y43)</f>
      </c>
    </row>
    <row r="44" spans="1:26" x14ac:dyDescent="0.25">
      <c r="A44" s="1"/>
      <c r="D44" s="2"/>
      <c r="F44" s="3"/>
      <c r="G44" s="3"/>
      <c r="H44" s="3">
        <f>IF($G44="","",G44-F44)</f>
      </c>
      <c r="I44" s="3">
        <f>IF($G44="","",H44*16.67%)</f>
      </c>
      <c r="J44" s="3">
        <f>IF($G44="","",G44*7%)</f>
      </c>
      <c r="K44" s="3">
        <f>IF($G44="","",J44*20%)</f>
      </c>
      <c r="L44" s="3"/>
      <c r="M44" s="3">
        <f>IF($G44="","",L44*20%)</f>
      </c>
      <c r="N44" s="3">
        <v>1</v>
      </c>
      <c r="O44" s="3">
        <f>IF($G44="","",K44+M44)</f>
      </c>
      <c r="P44" s="3">
        <f>IF($G44="","",H44-I44-J44-K44-L44-M44-N44)</f>
      </c>
      <c r="Q44" s="3">
        <f>IF($G44="","",(P44-Y44)/F44*100)</f>
      </c>
      <c r="R44" s="3">
        <f>IF($G44="","",I44-O44)</f>
      </c>
      <c r="Z44" s="3">
        <f>IF($G44="","",P44-Y44)</f>
      </c>
    </row>
    <row r="45" spans="1:26" x14ac:dyDescent="0.25">
      <c r="A45" s="1"/>
      <c r="D45" s="2"/>
      <c r="F45" s="3"/>
      <c r="G45" s="3"/>
      <c r="H45" s="3">
        <f>IF($G45="","",G45-F45)</f>
      </c>
      <c r="I45" s="3">
        <f>IF($G45="","",H45*16.67%)</f>
      </c>
      <c r="J45" s="3">
        <f>IF($G45="","",G45*7%)</f>
      </c>
      <c r="K45" s="3">
        <f>IF($G45="","",J45*20%)</f>
      </c>
      <c r="L45" s="3"/>
      <c r="M45" s="3">
        <f>IF($G45="","",L45*20%)</f>
      </c>
      <c r="N45" s="3">
        <v>1</v>
      </c>
      <c r="O45" s="3">
        <f>IF($G45="","",K45+M45)</f>
      </c>
      <c r="P45" s="3">
        <f>IF($G45="","",H45-I45-J45-K45-L45-M45-N45)</f>
      </c>
      <c r="Q45" s="3">
        <f>IF($G45="","",(P45-Y45)/F45*100)</f>
      </c>
      <c r="R45" s="3">
        <f>IF($G45="","",I45-O45)</f>
      </c>
      <c r="Z45" s="3">
        <f>IF($G45="","",P45-Y45)</f>
      </c>
    </row>
    <row r="46" spans="1:26" x14ac:dyDescent="0.25">
      <c r="A46" s="1"/>
      <c r="D46" s="2"/>
      <c r="F46" s="3"/>
      <c r="G46" s="3"/>
      <c r="H46" s="3">
        <f>IF($G46="","",G46-F46)</f>
      </c>
      <c r="I46" s="3">
        <f>IF($G46="","",H46*16.67%)</f>
      </c>
      <c r="J46" s="3">
        <f>IF($G46="","",G46*7%)</f>
      </c>
      <c r="K46" s="3">
        <f>IF($G46="","",J46*20%)</f>
      </c>
      <c r="L46" s="3"/>
      <c r="M46" s="3">
        <f>IF($G46="","",L46*20%)</f>
      </c>
      <c r="N46" s="3">
        <v>1</v>
      </c>
      <c r="O46" s="3">
        <f>IF($G46="","",K46+M46)</f>
      </c>
      <c r="P46" s="3">
        <f>IF($G46="","",H46-I46-J46-K46-L46-M46-N46)</f>
      </c>
      <c r="Q46" s="3">
        <f>IF($G46="","",(P46-Y46)/F46*100)</f>
      </c>
      <c r="R46" s="3">
        <f>IF($G46="","",I46-O46)</f>
      </c>
      <c r="Z46" s="3">
        <f>IF($G46="","",P46-Y46)</f>
      </c>
    </row>
    <row r="47" spans="1:26" x14ac:dyDescent="0.25">
      <c r="A47" s="1"/>
      <c r="D47" s="2"/>
      <c r="F47" s="3"/>
      <c r="G47" s="3"/>
      <c r="H47" s="3">
        <f>IF($G47="","",G47-F47)</f>
      </c>
      <c r="I47" s="3">
        <f>IF($G47="","",H47*16.67%)</f>
      </c>
      <c r="J47" s="3">
        <f>IF($G47="","",G47*7%)</f>
      </c>
      <c r="K47" s="3">
        <f>IF($G47="","",J47*20%)</f>
      </c>
      <c r="L47" s="3"/>
      <c r="M47" s="3">
        <f>IF($G47="","",L47*20%)</f>
      </c>
      <c r="N47" s="3">
        <v>1</v>
      </c>
      <c r="O47" s="3">
        <f>IF($G47="","",K47+M47)</f>
      </c>
      <c r="P47" s="3">
        <f>IF($G47="","",H47-I47-J47-K47-L47-M47-N47)</f>
      </c>
      <c r="Q47" s="3">
        <f>IF($G47="","",(P47-Y47)/F47*100)</f>
      </c>
      <c r="R47" s="3">
        <f>IF($G47="","",I47-O47)</f>
      </c>
      <c r="Z47" s="3">
        <f>IF($G47="","",P47-Y47)</f>
      </c>
    </row>
    <row r="48" spans="1:26" x14ac:dyDescent="0.25">
      <c r="A48" s="1"/>
      <c r="D48" s="2"/>
      <c r="F48" s="3"/>
      <c r="G48" s="3"/>
      <c r="H48" s="3">
        <f>IF($G48="","",G48-F48)</f>
      </c>
      <c r="I48" s="3">
        <f>IF($G48="","",H48*16.67%)</f>
      </c>
      <c r="J48" s="3">
        <f>IF($G48="","",G48*7%)</f>
      </c>
      <c r="K48" s="3">
        <f>IF($G48="","",J48*20%)</f>
      </c>
      <c r="L48" s="3"/>
      <c r="M48" s="3">
        <f>IF($G48="","",L48*20%)</f>
      </c>
      <c r="N48" s="3">
        <v>1</v>
      </c>
      <c r="O48" s="3">
        <f>IF($G48="","",K48+M48)</f>
      </c>
      <c r="P48" s="3">
        <f>IF($G48="","",H48-I48-J48-K48-L48-M48-N48)</f>
      </c>
      <c r="Q48" s="3">
        <f>IF($G48="","",(P48-Y48)/F48*100)</f>
      </c>
      <c r="R48" s="3">
        <f>IF($G48="","",I48-O48)</f>
      </c>
      <c r="Z48" s="3">
        <f>IF($G48="","",P48-Y48)</f>
      </c>
    </row>
    <row r="49" spans="1:26" x14ac:dyDescent="0.25">
      <c r="A49" s="1"/>
      <c r="D49" s="2"/>
      <c r="F49" s="3"/>
      <c r="G49" s="3"/>
      <c r="H49" s="3">
        <f>IF($G49="","",G49-F49)</f>
      </c>
      <c r="I49" s="3">
        <f>IF($G49="","",H49*16.67%)</f>
      </c>
      <c r="J49" s="3">
        <f>IF($G49="","",G49*7%)</f>
      </c>
      <c r="K49" s="3">
        <f>IF($G49="","",J49*20%)</f>
      </c>
      <c r="L49" s="3"/>
      <c r="M49" s="3">
        <f>IF($G49="","",L49*20%)</f>
      </c>
      <c r="N49" s="3">
        <v>1</v>
      </c>
      <c r="O49" s="3">
        <f>IF($G49="","",K49+M49)</f>
      </c>
      <c r="P49" s="3">
        <f>IF($G49="","",H49-I49-J49-K49-L49-M49-N49)</f>
      </c>
      <c r="Q49" s="3">
        <f>IF($G49="","",(P49-Y49)/F49*100)</f>
      </c>
      <c r="R49" s="3">
        <f>IF($G49="","",I49-O49)</f>
      </c>
      <c r="Z49" s="3">
        <f>IF($G49="","",P49-Y49)</f>
      </c>
    </row>
    <row r="50" spans="1:26" x14ac:dyDescent="0.25">
      <c r="A50" s="1"/>
      <c r="D50" s="2"/>
      <c r="F50" s="3"/>
      <c r="G50" s="3"/>
      <c r="H50" s="3">
        <f>IF($G50="","",G50-F50)</f>
      </c>
      <c r="I50" s="3">
        <f>IF($G50="","",H50*16.67%)</f>
      </c>
      <c r="J50" s="3">
        <f>IF($G50="","",G50*7%)</f>
      </c>
      <c r="K50" s="3">
        <f>IF($G50="","",J50*20%)</f>
      </c>
      <c r="L50" s="3"/>
      <c r="M50" s="3">
        <f>IF($G50="","",L50*20%)</f>
      </c>
      <c r="N50" s="3">
        <v>1</v>
      </c>
      <c r="O50" s="3">
        <f>IF($G50="","",K50+M50)</f>
      </c>
      <c r="P50" s="3">
        <f>IF($G50="","",H50-I50-J50-K50-L50-M50-N50)</f>
      </c>
      <c r="Q50" s="3">
        <f>IF($G50="","",(P50-Y50)/F50*100)</f>
      </c>
      <c r="R50" s="3">
        <f>IF($G50="","",I50-O50)</f>
      </c>
      <c r="Z50" s="3">
        <f>IF($G50="","",P50-Y50)</f>
      </c>
    </row>
    <row r="51" spans="1:26" x14ac:dyDescent="0.25">
      <c r="A51" s="1"/>
      <c r="D51" s="2"/>
      <c r="F51" s="3"/>
      <c r="G51" s="3"/>
      <c r="H51" s="3">
        <f>IF($G51="","",G51-F51)</f>
      </c>
      <c r="I51" s="3">
        <f>IF($G51="","",H51*16.67%)</f>
      </c>
      <c r="J51" s="3">
        <f>IF($G51="","",G51*7%)</f>
      </c>
      <c r="K51" s="3">
        <f>IF($G51="","",J51*20%)</f>
      </c>
      <c r="L51" s="3"/>
      <c r="M51" s="3">
        <f>IF($G51="","",L51*20%)</f>
      </c>
      <c r="N51" s="3">
        <v>1</v>
      </c>
      <c r="O51" s="3">
        <f>IF($G51="","",K51+M51)</f>
      </c>
      <c r="P51" s="3">
        <f>IF($G51="","",H51-I51-J51-K51-L51-M51-N51)</f>
      </c>
      <c r="Q51" s="3">
        <f>IF($G51="","",(P51-Y51)/F51*100)</f>
      </c>
      <c r="R51" s="3">
        <f>IF($G51="","",I51-O51)</f>
      </c>
      <c r="Z51" s="3">
        <f>IF($G51="","",P51-Y51)</f>
      </c>
    </row>
    <row r="52" spans="1:26" x14ac:dyDescent="0.25">
      <c r="A52" s="1"/>
      <c r="D52" s="2"/>
      <c r="F52" s="3"/>
      <c r="G52" s="3"/>
      <c r="H52" s="3">
        <f>IF($G52="","",G52-F52)</f>
      </c>
      <c r="I52" s="3">
        <f>IF($G52="","",H52*16.67%)</f>
      </c>
      <c r="J52" s="3">
        <f>IF($G52="","",G52*7%)</f>
      </c>
      <c r="K52" s="3">
        <f>IF($G52="","",J52*20%)</f>
      </c>
      <c r="L52" s="3"/>
      <c r="M52" s="3">
        <f>IF($G52="","",L52*20%)</f>
      </c>
      <c r="N52" s="3">
        <v>1</v>
      </c>
      <c r="O52" s="3">
        <f>IF($G52="","",K52+M52)</f>
      </c>
      <c r="P52" s="3">
        <f>IF($G52="","",H52-I52-J52-K52-L52-M52-N52)</f>
      </c>
      <c r="Q52" s="3">
        <f>IF($G52="","",(P52-Y52)/F52*100)</f>
      </c>
      <c r="R52" s="3">
        <f>IF($G52="","",I52-O52)</f>
      </c>
      <c r="Z52" s="3">
        <f>IF($G52="","",P52-Y52)</f>
      </c>
    </row>
    <row r="53" spans="1:26" x14ac:dyDescent="0.25">
      <c r="A53" s="1"/>
      <c r="D53" s="2"/>
      <c r="F53" s="3"/>
      <c r="G53" s="3"/>
      <c r="H53" s="3">
        <f>IF($G53="","",G53-F53)</f>
      </c>
      <c r="I53" s="3">
        <f>IF($G53="","",H53*16.67%)</f>
      </c>
      <c r="J53" s="3">
        <f>IF($G53="","",G53*7%)</f>
      </c>
      <c r="K53" s="3">
        <f>IF($G53="","",J53*20%)</f>
      </c>
      <c r="L53" s="3"/>
      <c r="M53" s="3">
        <f>IF($G53="","",L53*20%)</f>
      </c>
      <c r="N53" s="3">
        <v>1</v>
      </c>
      <c r="O53" s="3">
        <f>IF($G53="","",K53+M53)</f>
      </c>
      <c r="P53" s="3">
        <f>IF($G53="","",H53-I53-J53-K53-L53-M53-N53)</f>
      </c>
      <c r="Q53" s="3">
        <f>IF($G53="","",(P53-Y53)/F53*100)</f>
      </c>
      <c r="R53" s="3">
        <f>IF($G53="","",I53-O53)</f>
      </c>
      <c r="Z53" s="3">
        <f>IF($G53="","",P53-Y53)</f>
      </c>
    </row>
    <row r="54" spans="1:26" x14ac:dyDescent="0.25">
      <c r="A54" s="1"/>
      <c r="D54" s="2"/>
      <c r="F54" s="3"/>
      <c r="G54" s="3"/>
      <c r="H54" s="3">
        <f>IF($G54="","",G54-F54)</f>
      </c>
      <c r="I54" s="3">
        <f>IF($G54="","",H54*16.67%)</f>
      </c>
      <c r="J54" s="3">
        <f>IF($G54="","",G54*7%)</f>
      </c>
      <c r="K54" s="3">
        <f>IF($G54="","",J54*20%)</f>
      </c>
      <c r="L54" s="3"/>
      <c r="M54" s="3">
        <f>IF($G54="","",L54*20%)</f>
      </c>
      <c r="N54" s="3">
        <v>1</v>
      </c>
      <c r="O54" s="3">
        <f>IF($G54="","",K54+M54)</f>
      </c>
      <c r="P54" s="3">
        <f>IF($G54="","",H54-I54-J54-K54-L54-M54-N54)</f>
      </c>
      <c r="Q54" s="3">
        <f>IF($G54="","",(P54-Y54)/F54*100)</f>
      </c>
      <c r="R54" s="3">
        <f>IF($G54="","",I54-O54)</f>
      </c>
      <c r="Z54" s="3">
        <f>IF($G54="","",P54-Y54)</f>
      </c>
    </row>
    <row r="55" spans="1:26" x14ac:dyDescent="0.25">
      <c r="A55" s="1"/>
      <c r="D55" s="2"/>
      <c r="F55" s="3"/>
      <c r="G55" s="3"/>
      <c r="H55" s="3">
        <f>IF($G55="","",G55-F55)</f>
      </c>
      <c r="I55" s="3">
        <f>IF($G55="","",H55*16.67%)</f>
      </c>
      <c r="J55" s="3">
        <f>IF($G55="","",G55*7%)</f>
      </c>
      <c r="K55" s="3">
        <f>IF($G55="","",J55*20%)</f>
      </c>
      <c r="L55" s="3"/>
      <c r="M55" s="3">
        <f>IF($G55="","",L55*20%)</f>
      </c>
      <c r="N55" s="3">
        <v>1</v>
      </c>
      <c r="O55" s="3">
        <f>IF($G55="","",K55+M55)</f>
      </c>
      <c r="P55" s="3">
        <f>IF($G55="","",H55-I55-J55-K55-L55-M55-N55)</f>
      </c>
      <c r="Q55" s="3">
        <f>IF($G55="","",(P55-Y55)/F55*100)</f>
      </c>
      <c r="R55" s="3">
        <f>IF($G55="","",I55-O55)</f>
      </c>
      <c r="Z55" s="3">
        <f>IF($G55="","",P55-Y55)</f>
      </c>
    </row>
    <row r="56" spans="1:26" x14ac:dyDescent="0.25">
      <c r="A56" s="1"/>
      <c r="D56" s="2"/>
      <c r="F56" s="3"/>
      <c r="G56" s="3"/>
      <c r="H56" s="3">
        <f>IF($G56="","",G56-F56)</f>
      </c>
      <c r="I56" s="3">
        <f>IF($G56="","",H56*16.67%)</f>
      </c>
      <c r="J56" s="3">
        <f>IF($G56="","",G56*7%)</f>
      </c>
      <c r="K56" s="3">
        <f>IF($G56="","",J56*20%)</f>
      </c>
      <c r="L56" s="3"/>
      <c r="M56" s="3">
        <f>IF($G56="","",L56*20%)</f>
      </c>
      <c r="N56" s="3">
        <v>1</v>
      </c>
      <c r="O56" s="3">
        <f>IF($G56="","",K56+M56)</f>
      </c>
      <c r="P56" s="3">
        <f>IF($G56="","",H56-I56-J56-K56-L56-M56-N56)</f>
      </c>
      <c r="Q56" s="3">
        <f>IF($G56="","",(P56-Y56)/F56*100)</f>
      </c>
      <c r="R56" s="3">
        <f>IF($G56="","",I56-O56)</f>
      </c>
      <c r="Z56" s="3">
        <f>IF($G56="","",P56-Y56)</f>
      </c>
    </row>
    <row r="57" spans="1:26" x14ac:dyDescent="0.25">
      <c r="A57" s="1"/>
      <c r="D57" s="2"/>
      <c r="F57" s="3"/>
      <c r="G57" s="3"/>
      <c r="H57" s="3">
        <f>IF($G57="","",G57-F57)</f>
      </c>
      <c r="I57" s="3">
        <f>IF($G57="","",H57*16.67%)</f>
      </c>
      <c r="J57" s="3">
        <f>IF($G57="","",G57*7%)</f>
      </c>
      <c r="K57" s="3">
        <f>IF($G57="","",J57*20%)</f>
      </c>
      <c r="L57" s="3"/>
      <c r="M57" s="3">
        <f>IF($G57="","",L57*20%)</f>
      </c>
      <c r="N57" s="3">
        <v>1</v>
      </c>
      <c r="O57" s="3">
        <f>IF($G57="","",K57+M57)</f>
      </c>
      <c r="P57" s="3">
        <f>IF($G57="","",H57-I57-J57-K57-L57-M57-N57)</f>
      </c>
      <c r="Q57" s="3">
        <f>IF($G57="","",(P57-Y57)/F57*100)</f>
      </c>
      <c r="R57" s="3">
        <f>IF($G57="","",I57-O57)</f>
      </c>
      <c r="Z57" s="3">
        <f>IF($G57="","",P57-Y57)</f>
      </c>
    </row>
    <row r="58" spans="1:26" x14ac:dyDescent="0.25">
      <c r="A58" s="1"/>
      <c r="D58" s="2"/>
      <c r="F58" s="3"/>
      <c r="G58" s="3"/>
      <c r="H58" s="3">
        <f>IF($G58="","",G58-F58)</f>
      </c>
      <c r="I58" s="3">
        <f>IF($G58="","",H58*16.67%)</f>
      </c>
      <c r="J58" s="3">
        <f>IF($G58="","",G58*7%)</f>
      </c>
      <c r="K58" s="3">
        <f>IF($G58="","",J58*20%)</f>
      </c>
      <c r="L58" s="3"/>
      <c r="M58" s="3">
        <f>IF($G58="","",L58*20%)</f>
      </c>
      <c r="N58" s="3">
        <v>1</v>
      </c>
      <c r="O58" s="3">
        <f>IF($G58="","",K58+M58)</f>
      </c>
      <c r="P58" s="3">
        <f>IF($G58="","",H58-I58-J58-K58-L58-M58-N58)</f>
      </c>
      <c r="Q58" s="3">
        <f>IF($G58="","",(P58-Y58)/F58*100)</f>
      </c>
      <c r="R58" s="3">
        <f>IF($G58="","",I58-O58)</f>
      </c>
      <c r="Z58" s="3">
        <f>IF($G58="","",P58-Y58)</f>
      </c>
    </row>
    <row r="59" spans="1:26" x14ac:dyDescent="0.25">
      <c r="A59" s="1"/>
      <c r="D59" s="2"/>
      <c r="F59" s="3"/>
      <c r="G59" s="3"/>
      <c r="H59" s="3">
        <f>IF($G59="","",G59-F59)</f>
      </c>
      <c r="I59" s="3">
        <f>IF($G59="","",H59*16.67%)</f>
      </c>
      <c r="J59" s="3">
        <f>IF($G59="","",G59*7%)</f>
      </c>
      <c r="K59" s="3">
        <f>IF($G59="","",J59*20%)</f>
      </c>
      <c r="L59" s="3"/>
      <c r="M59" s="3">
        <f>IF($G59="","",L59*20%)</f>
      </c>
      <c r="N59" s="3">
        <v>1</v>
      </c>
      <c r="O59" s="3">
        <f>IF($G59="","",K59+M59)</f>
      </c>
      <c r="P59" s="3">
        <f>IF($G59="","",H59-I59-J59-K59-L59-M59-N59)</f>
      </c>
      <c r="Q59" s="3">
        <f>IF($G59="","",(P59-Y59)/F59*100)</f>
      </c>
      <c r="R59" s="3">
        <f>IF($G59="","",I59-O59)</f>
      </c>
      <c r="Z59" s="3">
        <f>IF($G59="","",P59-Y59)</f>
      </c>
    </row>
    <row r="60" spans="1:26" x14ac:dyDescent="0.25">
      <c r="A60" s="1"/>
      <c r="D60" s="2"/>
      <c r="F60" s="3"/>
      <c r="G60" s="3"/>
      <c r="H60" s="3">
        <f>IF($G60="","",G60-F60)</f>
      </c>
      <c r="I60" s="3">
        <f>IF($G60="","",H60*16.67%)</f>
      </c>
      <c r="J60" s="3">
        <f>IF($G60="","",G60*7%)</f>
      </c>
      <c r="K60" s="3">
        <f>IF($G60="","",J60*20%)</f>
      </c>
      <c r="L60" s="3"/>
      <c r="M60" s="3">
        <f>IF($G60="","",L60*20%)</f>
      </c>
      <c r="N60" s="3">
        <v>1</v>
      </c>
      <c r="O60" s="3">
        <f>IF($G60="","",K60+M60)</f>
      </c>
      <c r="P60" s="3">
        <f>IF($G60="","",H60-I60-J60-K60-L60-M60-N60)</f>
      </c>
      <c r="Q60" s="3">
        <f>IF($G60="","",(P60-Y60)/F60*100)</f>
      </c>
      <c r="R60" s="3">
        <f>IF($G60="","",I60-O60)</f>
      </c>
      <c r="Z60" s="3">
        <f>IF($G60="","",P60-Y60)</f>
      </c>
    </row>
    <row r="61" spans="1:26" x14ac:dyDescent="0.25">
      <c r="A61" s="1"/>
      <c r="D61" s="2"/>
      <c r="F61" s="3"/>
      <c r="G61" s="3"/>
      <c r="H61" s="3">
        <f>IF($G61="","",G61-F61)</f>
      </c>
      <c r="I61" s="3">
        <f>IF($G61="","",H61*16.67%)</f>
      </c>
      <c r="J61" s="3">
        <f>IF($G61="","",G61*7%)</f>
      </c>
      <c r="K61" s="3">
        <f>IF($G61="","",J61*20%)</f>
      </c>
      <c r="L61" s="3"/>
      <c r="M61" s="3">
        <f>IF($G61="","",L61*20%)</f>
      </c>
      <c r="N61" s="3">
        <v>1</v>
      </c>
      <c r="O61" s="3">
        <f>IF($G61="","",K61+M61)</f>
      </c>
      <c r="P61" s="3">
        <f>IF($G61="","",H61-I61-J61-K61-L61-M61-N61)</f>
      </c>
      <c r="Q61" s="3">
        <f>IF($G61="","",(P61-Y61)/F61*100)</f>
      </c>
      <c r="R61" s="3">
        <f>IF($G61="","",I61-O61)</f>
      </c>
      <c r="Z61" s="3">
        <f>IF($G61="","",P61-Y61)</f>
      </c>
    </row>
    <row r="62" spans="1:26" x14ac:dyDescent="0.25">
      <c r="A62" s="1"/>
      <c r="D62" s="2"/>
      <c r="F62" s="3"/>
      <c r="G62" s="3"/>
      <c r="H62" s="3">
        <f>IF($G62="","",G62-F62)</f>
      </c>
      <c r="I62" s="3">
        <f>IF($G62="","",H62*16.67%)</f>
      </c>
      <c r="J62" s="3">
        <f>IF($G62="","",G62*7%)</f>
      </c>
      <c r="K62" s="3">
        <f>IF($G62="","",J62*20%)</f>
      </c>
      <c r="L62" s="3"/>
      <c r="M62" s="3">
        <f>IF($G62="","",L62*20%)</f>
      </c>
      <c r="N62" s="3">
        <v>1</v>
      </c>
      <c r="O62" s="3">
        <f>IF($G62="","",K62+M62)</f>
      </c>
      <c r="P62" s="3">
        <f>IF($G62="","",H62-I62-J62-K62-L62-M62-N62)</f>
      </c>
      <c r="Q62" s="3">
        <f>IF($G62="","",(P62-Y62)/F62*100)</f>
      </c>
      <c r="R62" s="3">
        <f>IF($G62="","",I62-O62)</f>
      </c>
      <c r="Z62" s="3">
        <f>IF($G62="","",P62-Y62)</f>
      </c>
    </row>
    <row r="63" spans="1:26" x14ac:dyDescent="0.25">
      <c r="A63" s="1"/>
      <c r="D63" s="2"/>
      <c r="F63" s="3"/>
      <c r="G63" s="3"/>
      <c r="H63" s="3">
        <f>IF($G63="","",G63-F63)</f>
      </c>
      <c r="I63" s="3">
        <f>IF($G63="","",H63*16.67%)</f>
      </c>
      <c r="J63" s="3">
        <f>IF($G63="","",G63*7%)</f>
      </c>
      <c r="K63" s="3">
        <f>IF($G63="","",J63*20%)</f>
      </c>
      <c r="L63" s="3"/>
      <c r="M63" s="3">
        <f>IF($G63="","",L63*20%)</f>
      </c>
      <c r="N63" s="3">
        <v>1</v>
      </c>
      <c r="O63" s="3">
        <f>IF($G63="","",K63+M63)</f>
      </c>
      <c r="P63" s="3">
        <f>IF($G63="","",H63-I63-J63-K63-L63-M63-N63)</f>
      </c>
      <c r="Q63" s="3">
        <f>IF($G63="","",(P63-Y63)/F63*100)</f>
      </c>
      <c r="R63" s="3">
        <f>IF($G63="","",I63-O63)</f>
      </c>
      <c r="Z63" s="3">
        <f>IF($G63="","",P63-Y63)</f>
      </c>
    </row>
    <row r="64" spans="1:26" x14ac:dyDescent="0.25">
      <c r="A64" s="1"/>
      <c r="D64" s="2"/>
      <c r="F64" s="3"/>
      <c r="G64" s="3"/>
      <c r="H64" s="3">
        <f>IF($G64="","",G64-F64)</f>
      </c>
      <c r="I64" s="3">
        <f>IF($G64="","",H64*16.67%)</f>
      </c>
      <c r="J64" s="3">
        <f>IF($G64="","",G64*7%)</f>
      </c>
      <c r="K64" s="3">
        <f>IF($G64="","",J64*20%)</f>
      </c>
      <c r="L64" s="3"/>
      <c r="M64" s="3">
        <f>IF($G64="","",L64*20%)</f>
      </c>
      <c r="N64" s="3">
        <v>1</v>
      </c>
      <c r="O64" s="3">
        <f>IF($G64="","",K64+M64)</f>
      </c>
      <c r="P64" s="3">
        <f>IF($G64="","",H64-I64-J64-K64-L64-M64-N64)</f>
      </c>
      <c r="Q64" s="3">
        <f>IF($G64="","",(P64-Y64)/F64*100)</f>
      </c>
      <c r="R64" s="3">
        <f>IF($G64="","",I64-O64)</f>
      </c>
      <c r="Z64" s="3">
        <f>IF($G64="","",P64-Y64)</f>
      </c>
    </row>
    <row r="65" spans="1:26" x14ac:dyDescent="0.25">
      <c r="A65" s="1"/>
      <c r="D65" s="2"/>
      <c r="F65" s="3"/>
      <c r="G65" s="3"/>
      <c r="H65" s="3">
        <f>IF($G65="","",G65-F65)</f>
      </c>
      <c r="I65" s="3">
        <f>IF($G65="","",H65*16.67%)</f>
      </c>
      <c r="J65" s="3">
        <f>IF($G65="","",G65*7%)</f>
      </c>
      <c r="K65" s="3">
        <f>IF($G65="","",J65*20%)</f>
      </c>
      <c r="L65" s="3"/>
      <c r="M65" s="3">
        <f>IF($G65="","",L65*20%)</f>
      </c>
      <c r="N65" s="3">
        <v>1</v>
      </c>
      <c r="O65" s="3">
        <f>IF($G65="","",K65+M65)</f>
      </c>
      <c r="P65" s="3">
        <f>IF($G65="","",H65-I65-J65-K65-L65-M65-N65)</f>
      </c>
      <c r="Q65" s="3">
        <f>IF($G65="","",(P65-Y65)/F65*100)</f>
      </c>
      <c r="R65" s="3">
        <f>IF($G65="","",I65-O65)</f>
      </c>
      <c r="Z65" s="3">
        <f>IF($G65="","",P65-Y65)</f>
      </c>
    </row>
    <row r="66" spans="1:26" x14ac:dyDescent="0.25">
      <c r="A66" s="1"/>
      <c r="D66" s="2"/>
      <c r="F66" s="3"/>
      <c r="G66" s="3"/>
      <c r="H66" s="3">
        <f>IF($G66="","",G66-F66)</f>
      </c>
      <c r="I66" s="3">
        <f>IF($G66="","",H66*16.67%)</f>
      </c>
      <c r="J66" s="3">
        <f>IF($G66="","",G66*7%)</f>
      </c>
      <c r="K66" s="3">
        <f>IF($G66="","",J66*20%)</f>
      </c>
      <c r="L66" s="3"/>
      <c r="M66" s="3">
        <f>IF($G66="","",L66*20%)</f>
      </c>
      <c r="N66" s="3">
        <v>1</v>
      </c>
      <c r="O66" s="3">
        <f>IF($G66="","",K66+M66)</f>
      </c>
      <c r="P66" s="3">
        <f>IF($G66="","",H66-I66-J66-K66-L66-M66-N66)</f>
      </c>
      <c r="Q66" s="3">
        <f>IF($G66="","",(P66-Y66)/F66*100)</f>
      </c>
      <c r="R66" s="3">
        <f>IF($G66="","",I66-O66)</f>
      </c>
      <c r="Z66" s="3">
        <f>IF($G66="","",P66-Y66)</f>
      </c>
    </row>
    <row r="67" spans="1:26" x14ac:dyDescent="0.25">
      <c r="A67" s="1"/>
      <c r="D67" s="2"/>
      <c r="F67" s="3"/>
      <c r="G67" s="3"/>
      <c r="H67" s="3">
        <f>IF($G67="","",G67-F67)</f>
      </c>
      <c r="I67" s="3">
        <f>IF($G67="","",H67*16.67%)</f>
      </c>
      <c r="J67" s="3">
        <f>IF($G67="","",G67*7%)</f>
      </c>
      <c r="K67" s="3">
        <f>IF($G67="","",J67*20%)</f>
      </c>
      <c r="L67" s="3"/>
      <c r="M67" s="3">
        <f>IF($G67="","",L67*20%)</f>
      </c>
      <c r="N67" s="3">
        <v>1</v>
      </c>
      <c r="O67" s="3">
        <f>IF($G67="","",K67+M67)</f>
      </c>
      <c r="P67" s="3">
        <f>IF($G67="","",H67-I67-J67-K67-L67-M67-N67)</f>
      </c>
      <c r="Q67" s="3">
        <f>IF($G67="","",(P67-Y67)/F67*100)</f>
      </c>
      <c r="R67" s="3">
        <f>IF($G67="","",I67-O67)</f>
      </c>
      <c r="Z67" s="3">
        <f>IF($G67="","",P67-Y67)</f>
      </c>
    </row>
    <row r="68" spans="1:26" x14ac:dyDescent="0.25">
      <c r="A68" s="1"/>
      <c r="D68" s="2"/>
      <c r="F68" s="3"/>
      <c r="G68" s="3"/>
      <c r="H68" s="3">
        <f>IF($G68="","",G68-F68)</f>
      </c>
      <c r="I68" s="3">
        <f>IF($G68="","",H68*16.67%)</f>
      </c>
      <c r="J68" s="3">
        <f>IF($G68="","",G68*7%)</f>
      </c>
      <c r="K68" s="3">
        <f>IF($G68="","",J68*20%)</f>
      </c>
      <c r="L68" s="3"/>
      <c r="M68" s="3">
        <f>IF($G68="","",L68*20%)</f>
      </c>
      <c r="N68" s="3">
        <v>1</v>
      </c>
      <c r="O68" s="3">
        <f>IF($G68="","",K68+M68)</f>
      </c>
      <c r="P68" s="3">
        <f>IF($G68="","",H68-I68-J68-K68-L68-M68-N68)</f>
      </c>
      <c r="Q68" s="3">
        <f>IF($G68="","",(P68-Y68)/F68*100)</f>
      </c>
      <c r="R68" s="3">
        <f>IF($G68="","",I68-O68)</f>
      </c>
      <c r="Z68" s="3">
        <f>IF($G68="","",P68-Y68)</f>
      </c>
    </row>
    <row r="69" spans="1:26" x14ac:dyDescent="0.25">
      <c r="A69" s="1"/>
      <c r="D69" s="2"/>
      <c r="F69" s="3"/>
      <c r="G69" s="3"/>
      <c r="H69" s="3">
        <f>IF($G69="","",G69-F69)</f>
      </c>
      <c r="I69" s="3">
        <f>IF($G69="","",H69*16.67%)</f>
      </c>
      <c r="J69" s="3">
        <f>IF($G69="","",G69*7%)</f>
      </c>
      <c r="K69" s="3">
        <f>IF($G69="","",J69*20%)</f>
      </c>
      <c r="L69" s="3"/>
      <c r="M69" s="3">
        <f>IF($G69="","",L69*20%)</f>
      </c>
      <c r="N69" s="3">
        <v>1</v>
      </c>
      <c r="O69" s="3">
        <f>IF($G69="","",K69+M69)</f>
      </c>
      <c r="P69" s="3">
        <f>IF($G69="","",H69-I69-J69-K69-L69-M69-N69)</f>
      </c>
      <c r="Q69" s="3">
        <f>IF($G69="","",(P69-Y69)/F69*100)</f>
      </c>
      <c r="R69" s="3">
        <f>IF($G69="","",I69-O69)</f>
      </c>
      <c r="Z69" s="3">
        <f>IF($G69="","",P69-Y69)</f>
      </c>
    </row>
    <row r="70" spans="1:26" x14ac:dyDescent="0.25">
      <c r="A70" s="1"/>
      <c r="D70" s="2"/>
      <c r="F70" s="3"/>
      <c r="G70" s="3"/>
      <c r="H70" s="3">
        <f>IF($G70="","",G70-F70)</f>
      </c>
      <c r="I70" s="3">
        <f>IF($G70="","",H70*16.67%)</f>
      </c>
      <c r="J70" s="3">
        <f>IF($G70="","",G70*7%)</f>
      </c>
      <c r="K70" s="3">
        <f>IF($G70="","",J70*20%)</f>
      </c>
      <c r="L70" s="3"/>
      <c r="M70" s="3">
        <f>IF($G70="","",L70*20%)</f>
      </c>
      <c r="N70" s="3">
        <v>1</v>
      </c>
      <c r="O70" s="3">
        <f>IF($G70="","",K70+M70)</f>
      </c>
      <c r="P70" s="3">
        <f>IF($G70="","",H70-I70-J70-K70-L70-M70-N70)</f>
      </c>
      <c r="Q70" s="3">
        <f>IF($G70="","",(P70-Y70)/F70*100)</f>
      </c>
      <c r="R70" s="3">
        <f>IF($G70="","",I70-O70)</f>
      </c>
      <c r="Z70" s="3">
        <f>IF($G70="","",P70-Y70)</f>
      </c>
    </row>
    <row r="71" spans="1:26" x14ac:dyDescent="0.25">
      <c r="A71" s="1"/>
      <c r="D71" s="2"/>
      <c r="F71" s="3"/>
      <c r="G71" s="3"/>
      <c r="H71" s="3">
        <f>IF($G71="","",G71-F71)</f>
      </c>
      <c r="I71" s="3">
        <f>IF($G71="","",H71*16.67%)</f>
      </c>
      <c r="J71" s="3">
        <f>IF($G71="","",G71*7%)</f>
      </c>
      <c r="K71" s="3">
        <f>IF($G71="","",J71*20%)</f>
      </c>
      <c r="L71" s="3"/>
      <c r="M71" s="3">
        <f>IF($G71="","",L71*20%)</f>
      </c>
      <c r="N71" s="3">
        <v>1</v>
      </c>
      <c r="O71" s="3">
        <f>IF($G71="","",K71+M71)</f>
      </c>
      <c r="P71" s="3">
        <f>IF($G71="","",H71-I71-J71-K71-L71-M71-N71)</f>
      </c>
      <c r="Q71" s="3">
        <f>IF($G71="","",(P71-Y71)/F71*100)</f>
      </c>
      <c r="R71" s="3">
        <f>IF($G71="","",I71-O71)</f>
      </c>
      <c r="Z71" s="3">
        <f>IF($G71="","",P71-Y71)</f>
      </c>
    </row>
    <row r="72" spans="1:26" x14ac:dyDescent="0.25">
      <c r="A72" s="1"/>
      <c r="D72" s="2"/>
      <c r="F72" s="3"/>
      <c r="G72" s="3"/>
      <c r="H72" s="3">
        <f>IF($G72="","",G72-F72)</f>
      </c>
      <c r="I72" s="3">
        <f>IF($G72="","",H72*16.67%)</f>
      </c>
      <c r="J72" s="3">
        <f>IF($G72="","",G72*7%)</f>
      </c>
      <c r="K72" s="3">
        <f>IF($G72="","",J72*20%)</f>
      </c>
      <c r="L72" s="3"/>
      <c r="M72" s="3">
        <f>IF($G72="","",L72*20%)</f>
      </c>
      <c r="N72" s="3">
        <v>1</v>
      </c>
      <c r="O72" s="3">
        <f>IF($G72="","",K72+M72)</f>
      </c>
      <c r="P72" s="3">
        <f>IF($G72="","",H72-I72-J72-K72-L72-M72-N72)</f>
      </c>
      <c r="Q72" s="3">
        <f>IF($G72="","",(P72-Y72)/F72*100)</f>
      </c>
      <c r="R72" s="3">
        <f>IF($G72="","",I72-O72)</f>
      </c>
      <c r="Z72" s="3">
        <f>IF($G72="","",P72-Y72)</f>
      </c>
    </row>
    <row r="73" spans="1:26" x14ac:dyDescent="0.25">
      <c r="A73" s="1"/>
      <c r="D73" s="2"/>
      <c r="F73" s="3"/>
      <c r="G73" s="3"/>
      <c r="H73" s="3">
        <f>IF($G73="","",G73-F73)</f>
      </c>
      <c r="I73" s="3">
        <f>IF($G73="","",H73*16.67%)</f>
      </c>
      <c r="J73" s="3">
        <f>IF($G73="","",G73*7%)</f>
      </c>
      <c r="K73" s="3">
        <f>IF($G73="","",J73*20%)</f>
      </c>
      <c r="L73" s="3"/>
      <c r="M73" s="3">
        <f>IF($G73="","",L73*20%)</f>
      </c>
      <c r="N73" s="3">
        <v>1</v>
      </c>
      <c r="O73" s="3">
        <f>IF($G73="","",K73+M73)</f>
      </c>
      <c r="P73" s="3">
        <f>IF($G73="","",H73-I73-J73-K73-L73-M73-N73)</f>
      </c>
      <c r="Q73" s="3">
        <f>IF($G73="","",(P73-Y73)/F73*100)</f>
      </c>
      <c r="R73" s="3">
        <f>IF($G73="","",I73-O73)</f>
      </c>
      <c r="Z73" s="3">
        <f>IF($G73="","",P73-Y73)</f>
      </c>
    </row>
    <row r="74" spans="1:26" x14ac:dyDescent="0.25">
      <c r="A74" s="1"/>
      <c r="D74" s="2"/>
      <c r="F74" s="3"/>
      <c r="G74" s="3"/>
      <c r="H74" s="3">
        <f>IF($G74="","",G74-F74)</f>
      </c>
      <c r="I74" s="3">
        <f>IF($G74="","",H74*16.67%)</f>
      </c>
      <c r="J74" s="3">
        <f>IF($G74="","",G74*7%)</f>
      </c>
      <c r="K74" s="3">
        <f>IF($G74="","",J74*20%)</f>
      </c>
      <c r="L74" s="3"/>
      <c r="M74" s="3">
        <f>IF($G74="","",L74*20%)</f>
      </c>
      <c r="N74" s="3">
        <v>1</v>
      </c>
      <c r="O74" s="3">
        <f>IF($G74="","",K74+M74)</f>
      </c>
      <c r="P74" s="3">
        <f>IF($G74="","",H74-I74-J74-K74-L74-M74-N74)</f>
      </c>
      <c r="Q74" s="3">
        <f>IF($G74="","",(P74-Y74)/F74*100)</f>
      </c>
      <c r="R74" s="3">
        <f>IF($G74="","",I74-O74)</f>
      </c>
      <c r="Z74" s="3">
        <f>IF($G74="","",P74-Y74)</f>
      </c>
    </row>
    <row r="75" spans="1:26" x14ac:dyDescent="0.25">
      <c r="A75" s="1"/>
      <c r="D75" s="2"/>
      <c r="F75" s="3"/>
      <c r="G75" s="3"/>
      <c r="H75" s="3">
        <f>IF($G75="","",G75-F75)</f>
      </c>
      <c r="I75" s="3">
        <f>IF($G75="","",H75*16.67%)</f>
      </c>
      <c r="J75" s="3">
        <f>IF($G75="","",G75*7%)</f>
      </c>
      <c r="K75" s="3">
        <f>IF($G75="","",J75*20%)</f>
      </c>
      <c r="L75" s="3"/>
      <c r="M75" s="3">
        <f>IF($G75="","",L75*20%)</f>
      </c>
      <c r="N75" s="3">
        <v>1</v>
      </c>
      <c r="O75" s="3">
        <f>IF($G75="","",K75+M75)</f>
      </c>
      <c r="P75" s="3">
        <f>IF($G75="","",H75-I75-J75-K75-L75-M75-N75)</f>
      </c>
      <c r="Q75" s="3">
        <f>IF($G75="","",(P75-Y75)/F75*100)</f>
      </c>
      <c r="R75" s="3">
        <f>IF($G75="","",I75-O75)</f>
      </c>
      <c r="Z75" s="3">
        <f>IF($G75="","",P75-Y75)</f>
      </c>
    </row>
    <row r="76" spans="1:26" x14ac:dyDescent="0.25">
      <c r="A76" s="1"/>
      <c r="D76" s="2"/>
      <c r="F76" s="3"/>
      <c r="G76" s="3"/>
      <c r="H76" s="3">
        <f>IF($G76="","",G76-F76)</f>
      </c>
      <c r="I76" s="3">
        <f>IF($G76="","",H76*16.67%)</f>
      </c>
      <c r="J76" s="3">
        <f>IF($G76="","",G76*7%)</f>
      </c>
      <c r="K76" s="3">
        <f>IF($G76="","",J76*20%)</f>
      </c>
      <c r="L76" s="3"/>
      <c r="M76" s="3">
        <f>IF($G76="","",L76*20%)</f>
      </c>
      <c r="N76" s="3">
        <v>1</v>
      </c>
      <c r="O76" s="3">
        <f>IF($G76="","",K76+M76)</f>
      </c>
      <c r="P76" s="3">
        <f>IF($G76="","",H76-I76-J76-K76-L76-M76-N76)</f>
      </c>
      <c r="Q76" s="3">
        <f>IF($G76="","",(P76-Y76)/F76*100)</f>
      </c>
      <c r="R76" s="3">
        <f>IF($G76="","",I76-O76)</f>
      </c>
      <c r="Z76" s="3">
        <f>IF($G76="","",P76-Y76)</f>
      </c>
    </row>
    <row r="77" spans="1:26" x14ac:dyDescent="0.25">
      <c r="A77" s="1"/>
      <c r="D77" s="2"/>
      <c r="F77" s="3"/>
      <c r="G77" s="3"/>
      <c r="H77" s="3">
        <f>IF($G77="","",G77-F77)</f>
      </c>
      <c r="I77" s="3">
        <f>IF($G77="","",H77*16.67%)</f>
      </c>
      <c r="J77" s="3">
        <f>IF($G77="","",G77*7%)</f>
      </c>
      <c r="K77" s="3">
        <f>IF($G77="","",J77*20%)</f>
      </c>
      <c r="L77" s="3"/>
      <c r="M77" s="3">
        <f>IF($G77="","",L77*20%)</f>
      </c>
      <c r="N77" s="3">
        <v>1</v>
      </c>
      <c r="O77" s="3">
        <f>IF($G77="","",K77+M77)</f>
      </c>
      <c r="P77" s="3">
        <f>IF($G77="","",H77-I77-J77-K77-L77-M77-N77)</f>
      </c>
      <c r="Q77" s="3">
        <f>IF($G77="","",(P77-Y77)/F77*100)</f>
      </c>
      <c r="R77" s="3">
        <f>IF($G77="","",I77-O77)</f>
      </c>
      <c r="Z77" s="3">
        <f>IF($G77="","",P77-Y77)</f>
      </c>
    </row>
    <row r="78" spans="1:26" x14ac:dyDescent="0.25">
      <c r="A78" s="1"/>
      <c r="D78" s="2"/>
      <c r="F78" s="3"/>
      <c r="G78" s="3"/>
      <c r="H78" s="3">
        <f>IF($G78="","",G78-F78)</f>
      </c>
      <c r="I78" s="3">
        <f>IF($G78="","",H78*16.67%)</f>
      </c>
      <c r="J78" s="3">
        <f>IF($G78="","",G78*7%)</f>
      </c>
      <c r="K78" s="3">
        <f>IF($G78="","",J78*20%)</f>
      </c>
      <c r="L78" s="3"/>
      <c r="M78" s="3">
        <f>IF($G78="","",L78*20%)</f>
      </c>
      <c r="N78" s="3">
        <v>1</v>
      </c>
      <c r="O78" s="3">
        <f>IF($G78="","",K78+M78)</f>
      </c>
      <c r="P78" s="3">
        <f>IF($G78="","",H78-I78-J78-K78-L78-M78-N78)</f>
      </c>
      <c r="Q78" s="3">
        <f>IF($G78="","",(P78-Y78)/F78*100)</f>
      </c>
      <c r="R78" s="3">
        <f>IF($G78="","",I78-O78)</f>
      </c>
      <c r="Z78" s="3">
        <f>IF($G78="","",P78-Y78)</f>
      </c>
    </row>
    <row r="79" spans="1:26" x14ac:dyDescent="0.25">
      <c r="A79" s="1"/>
      <c r="D79" s="2"/>
      <c r="F79" s="3"/>
      <c r="G79" s="3"/>
      <c r="H79" s="3">
        <f>IF($G79="","",G79-F79)</f>
      </c>
      <c r="I79" s="3">
        <f>IF($G79="","",H79*16.67%)</f>
      </c>
      <c r="J79" s="3">
        <f>IF($G79="","",G79*7%)</f>
      </c>
      <c r="K79" s="3">
        <f>IF($G79="","",J79*20%)</f>
      </c>
      <c r="L79" s="3"/>
      <c r="M79" s="3">
        <f>IF($G79="","",L79*20%)</f>
      </c>
      <c r="N79" s="3">
        <v>1</v>
      </c>
      <c r="O79" s="3">
        <f>IF($G79="","",K79+M79)</f>
      </c>
      <c r="P79" s="3">
        <f>IF($G79="","",H79-I79-J79-K79-L79-M79-N79)</f>
      </c>
      <c r="Q79" s="3">
        <f>IF($G79="","",(P79-Y79)/F79*100)</f>
      </c>
      <c r="R79" s="3">
        <f>IF($G79="","",I79-O79)</f>
      </c>
      <c r="Z79" s="3">
        <f>IF($G79="","",P79-Y79)</f>
      </c>
    </row>
    <row r="80" spans="1:26" x14ac:dyDescent="0.25">
      <c r="A80" s="1"/>
      <c r="D80" s="2"/>
      <c r="F80" s="3"/>
      <c r="G80" s="3"/>
      <c r="H80" s="3">
        <f>IF($G80="","",G80-F80)</f>
      </c>
      <c r="I80" s="3">
        <f>IF($G80="","",H80*16.67%)</f>
      </c>
      <c r="J80" s="3">
        <f>IF($G80="","",G80*7%)</f>
      </c>
      <c r="K80" s="3">
        <f>IF($G80="","",J80*20%)</f>
      </c>
      <c r="L80" s="3"/>
      <c r="M80" s="3">
        <f>IF($G80="","",L80*20%)</f>
      </c>
      <c r="N80" s="3">
        <v>1</v>
      </c>
      <c r="O80" s="3">
        <f>IF($G80="","",K80+M80)</f>
      </c>
      <c r="P80" s="3">
        <f>IF($G80="","",H80-I80-J80-K80-L80-M80-N80)</f>
      </c>
      <c r="Q80" s="3">
        <f>IF($G80="","",(P80-Y80)/F80*100)</f>
      </c>
      <c r="R80" s="3">
        <f>IF($G80="","",I80-O80)</f>
      </c>
      <c r="Z80" s="3">
        <f>IF($G80="","",P80-Y80)</f>
      </c>
    </row>
    <row r="81" spans="1:26" x14ac:dyDescent="0.25">
      <c r="A81" s="1"/>
      <c r="D81" s="2"/>
      <c r="F81" s="3"/>
      <c r="G81" s="3"/>
      <c r="H81" s="3">
        <f>IF($G81="","",G81-F81)</f>
      </c>
      <c r="I81" s="3">
        <f>IF($G81="","",H81*16.67%)</f>
      </c>
      <c r="J81" s="3">
        <f>IF($G81="","",G81*7%)</f>
      </c>
      <c r="K81" s="3">
        <f>IF($G81="","",J81*20%)</f>
      </c>
      <c r="L81" s="3"/>
      <c r="M81" s="3">
        <f>IF($G81="","",L81*20%)</f>
      </c>
      <c r="N81" s="3">
        <v>1</v>
      </c>
      <c r="O81" s="3">
        <f>IF($G81="","",K81+M81)</f>
      </c>
      <c r="P81" s="3">
        <f>IF($G81="","",H81-I81-J81-K81-L81-M81-N81)</f>
      </c>
      <c r="Q81" s="3">
        <f>IF($G81="","",(P81-Y81)/F81*100)</f>
      </c>
      <c r="R81" s="3">
        <f>IF($G81="","",I81-O81)</f>
      </c>
      <c r="Z81" s="3">
        <f>IF($G81="","",P81-Y81)</f>
      </c>
    </row>
    <row r="82" spans="1:26" x14ac:dyDescent="0.25">
      <c r="A82" s="1"/>
      <c r="D82" s="2"/>
      <c r="F82" s="3"/>
      <c r="G82" s="3"/>
      <c r="H82" s="3">
        <f>IF($G82="","",G82-F82)</f>
      </c>
      <c r="I82" s="3">
        <f>IF($G82="","",H82*16.67%)</f>
      </c>
      <c r="J82" s="3">
        <f>IF($G82="","",G82*7%)</f>
      </c>
      <c r="K82" s="3">
        <f>IF($G82="","",J82*20%)</f>
      </c>
      <c r="L82" s="3"/>
      <c r="M82" s="3">
        <f>IF($G82="","",L82*20%)</f>
      </c>
      <c r="N82" s="3">
        <v>1</v>
      </c>
      <c r="O82" s="3">
        <f>IF($G82="","",K82+M82)</f>
      </c>
      <c r="P82" s="3">
        <f>IF($G82="","",H82-I82-J82-K82-L82-M82-N82)</f>
      </c>
      <c r="Q82" s="3">
        <f>IF($G82="","",(P82-Y82)/F82*100)</f>
      </c>
      <c r="R82" s="3">
        <f>IF($G82="","",I82-O82)</f>
      </c>
      <c r="Z82" s="3">
        <f>IF($G82="","",P82-Y82)</f>
      </c>
    </row>
    <row r="83" spans="1:26" x14ac:dyDescent="0.25">
      <c r="A83" s="1"/>
      <c r="D83" s="2"/>
      <c r="F83" s="3"/>
      <c r="G83" s="3"/>
      <c r="H83" s="3">
        <f>IF($G83="","",G83-F83)</f>
      </c>
      <c r="I83" s="3">
        <f>IF($G83="","",H83*16.67%)</f>
      </c>
      <c r="J83" s="3">
        <f>IF($G83="","",G83*7%)</f>
      </c>
      <c r="K83" s="3">
        <f>IF($G83="","",J83*20%)</f>
      </c>
      <c r="L83" s="3"/>
      <c r="M83" s="3">
        <f>IF($G83="","",L83*20%)</f>
      </c>
      <c r="N83" s="3">
        <v>1</v>
      </c>
      <c r="O83" s="3">
        <f>IF($G83="","",K83+M83)</f>
      </c>
      <c r="P83" s="3">
        <f>IF($G83="","",H83-I83-J83-K83-L83-M83-N83)</f>
      </c>
      <c r="Q83" s="3">
        <f>IF($G83="","",(P83-Y83)/F83*100)</f>
      </c>
      <c r="R83" s="3">
        <f>IF($G83="","",I83-O83)</f>
      </c>
      <c r="Z83" s="3">
        <f>IF($G83="","",P83-Y83)</f>
      </c>
    </row>
    <row r="84" spans="1:26" x14ac:dyDescent="0.25">
      <c r="A84" s="1"/>
      <c r="D84" s="2"/>
      <c r="F84" s="3"/>
      <c r="G84" s="3"/>
      <c r="H84" s="3">
        <f>IF($G84="","",G84-F84)</f>
      </c>
      <c r="I84" s="3">
        <f>IF($G84="","",H84*16.67%)</f>
      </c>
      <c r="J84" s="3">
        <f>IF($G84="","",G84*7%)</f>
      </c>
      <c r="K84" s="3">
        <f>IF($G84="","",J84*20%)</f>
      </c>
      <c r="L84" s="3"/>
      <c r="M84" s="3">
        <f>IF($G84="","",L84*20%)</f>
      </c>
      <c r="N84" s="3">
        <v>1</v>
      </c>
      <c r="O84" s="3">
        <f>IF($G84="","",K84+M84)</f>
      </c>
      <c r="P84" s="3">
        <f>IF($G84="","",H84-I84-J84-K84-L84-M84-N84)</f>
      </c>
      <c r="Q84" s="3">
        <f>IF($G84="","",(P84-Y84)/F84*100)</f>
      </c>
      <c r="R84" s="3">
        <f>IF($G84="","",I84-O84)</f>
      </c>
      <c r="Z84" s="3">
        <f>IF($G84="","",P84-Y84)</f>
      </c>
    </row>
    <row r="85" spans="1:26" x14ac:dyDescent="0.25">
      <c r="A85" s="1"/>
      <c r="D85" s="2"/>
      <c r="F85" s="3"/>
      <c r="G85" s="3"/>
      <c r="H85" s="3">
        <f>IF($G85="","",G85-F85)</f>
      </c>
      <c r="I85" s="3">
        <f>IF($G85="","",H85*16.67%)</f>
      </c>
      <c r="J85" s="3">
        <f>IF($G85="","",G85*7%)</f>
      </c>
      <c r="K85" s="3">
        <f>IF($G85="","",J85*20%)</f>
      </c>
      <c r="L85" s="3"/>
      <c r="M85" s="3">
        <f>IF($G85="","",L85*20%)</f>
      </c>
      <c r="N85" s="3">
        <v>1</v>
      </c>
      <c r="O85" s="3">
        <f>IF($G85="","",K85+M85)</f>
      </c>
      <c r="P85" s="3">
        <f>IF($G85="","",H85-I85-J85-K85-L85-M85-N85)</f>
      </c>
      <c r="Q85" s="3">
        <f>IF($G85="","",(P85-Y85)/F85*100)</f>
      </c>
      <c r="R85" s="3">
        <f>IF($G85="","",I85-O85)</f>
      </c>
      <c r="Z85" s="3">
        <f>IF($G85="","",P85-Y85)</f>
      </c>
    </row>
    <row r="86" spans="1:26" x14ac:dyDescent="0.25">
      <c r="A86" s="1"/>
      <c r="D86" s="2"/>
      <c r="F86" s="3"/>
      <c r="G86" s="3"/>
      <c r="H86" s="3">
        <f>IF($G86="","",G86-F86)</f>
      </c>
      <c r="I86" s="3">
        <f>IF($G86="","",H86*16.67%)</f>
      </c>
      <c r="J86" s="3">
        <f>IF($G86="","",G86*7%)</f>
      </c>
      <c r="K86" s="3">
        <f>IF($G86="","",J86*20%)</f>
      </c>
      <c r="L86" s="3"/>
      <c r="M86" s="3">
        <f>IF($G86="","",L86*20%)</f>
      </c>
      <c r="N86" s="3">
        <v>1</v>
      </c>
      <c r="O86" s="3">
        <f>IF($G86="","",K86+M86)</f>
      </c>
      <c r="P86" s="3">
        <f>IF($G86="","",H86-I86-J86-K86-L86-M86-N86)</f>
      </c>
      <c r="Q86" s="3">
        <f>IF($G86="","",(P86-Y86)/F86*100)</f>
      </c>
      <c r="R86" s="3">
        <f>IF($G86="","",I86-O86)</f>
      </c>
      <c r="Z86" s="3">
        <f>IF($G86="","",P86-Y86)</f>
      </c>
    </row>
    <row r="87" spans="1:26" x14ac:dyDescent="0.25">
      <c r="A87" s="1"/>
      <c r="D87" s="2"/>
      <c r="F87" s="3"/>
      <c r="G87" s="3"/>
      <c r="H87" s="3">
        <f>IF($G87="","",G87-F87)</f>
      </c>
      <c r="I87" s="3">
        <f>IF($G87="","",H87*16.67%)</f>
      </c>
      <c r="J87" s="3">
        <f>IF($G87="","",G87*7%)</f>
      </c>
      <c r="K87" s="3">
        <f>IF($G87="","",J87*20%)</f>
      </c>
      <c r="L87" s="3"/>
      <c r="M87" s="3">
        <f>IF($G87="","",L87*20%)</f>
      </c>
      <c r="N87" s="3">
        <v>1</v>
      </c>
      <c r="O87" s="3">
        <f>IF($G87="","",K87+M87)</f>
      </c>
      <c r="P87" s="3">
        <f>IF($G87="","",H87-I87-J87-K87-L87-M87-N87)</f>
      </c>
      <c r="Q87" s="3">
        <f>IF($G87="","",(P87-Y87)/F87*100)</f>
      </c>
      <c r="R87" s="3">
        <f>IF($G87="","",I87-O87)</f>
      </c>
      <c r="Z87" s="3">
        <f>IF($G87="","",P87-Y87)</f>
      </c>
    </row>
    <row r="88" spans="1:26" x14ac:dyDescent="0.25">
      <c r="A88" s="1"/>
      <c r="D88" s="2"/>
      <c r="F88" s="3"/>
      <c r="G88" s="3"/>
      <c r="H88" s="3">
        <f>IF($G88="","",G88-F88)</f>
      </c>
      <c r="I88" s="3">
        <f>IF($G88="","",H88*16.67%)</f>
      </c>
      <c r="J88" s="3">
        <f>IF($G88="","",G88*7%)</f>
      </c>
      <c r="K88" s="3">
        <f>IF($G88="","",J88*20%)</f>
      </c>
      <c r="L88" s="3"/>
      <c r="M88" s="3">
        <f>IF($G88="","",L88*20%)</f>
      </c>
      <c r="N88" s="3">
        <v>1</v>
      </c>
      <c r="O88" s="3">
        <f>IF($G88="","",K88+M88)</f>
      </c>
      <c r="P88" s="3">
        <f>IF($G88="","",H88-I88-J88-K88-L88-M88-N88)</f>
      </c>
      <c r="Q88" s="3">
        <f>IF($G88="","",(P88-Y88)/F88*100)</f>
      </c>
      <c r="R88" s="3">
        <f>IF($G88="","",I88-O88)</f>
      </c>
      <c r="Z88" s="3">
        <f>IF($G88="","",P88-Y88)</f>
      </c>
    </row>
    <row r="89" spans="1:26" x14ac:dyDescent="0.25">
      <c r="A89" s="1"/>
      <c r="D89" s="2"/>
      <c r="F89" s="3"/>
      <c r="G89" s="3"/>
      <c r="H89" s="3">
        <f>IF($G89="","",G89-F89)</f>
      </c>
      <c r="I89" s="3">
        <f>IF($G89="","",H89*16.67%)</f>
      </c>
      <c r="J89" s="3">
        <f>IF($G89="","",G89*7%)</f>
      </c>
      <c r="K89" s="3">
        <f>IF($G89="","",J89*20%)</f>
      </c>
      <c r="L89" s="3"/>
      <c r="M89" s="3">
        <f>IF($G89="","",L89*20%)</f>
      </c>
      <c r="N89" s="3">
        <v>1</v>
      </c>
      <c r="O89" s="3">
        <f>IF($G89="","",K89+M89)</f>
      </c>
      <c r="P89" s="3">
        <f>IF($G89="","",H89-I89-J89-K89-L89-M89-N89)</f>
      </c>
      <c r="Q89" s="3">
        <f>IF($G89="","",(P89-Y89)/F89*100)</f>
      </c>
      <c r="R89" s="3">
        <f>IF($G89="","",I89-O89)</f>
      </c>
      <c r="Z89" s="3">
        <f>IF($G89="","",P89-Y89)</f>
      </c>
    </row>
    <row r="90" spans="1:26" x14ac:dyDescent="0.25">
      <c r="A90" s="1"/>
      <c r="D90" s="2"/>
      <c r="F90" s="3"/>
      <c r="G90" s="3"/>
      <c r="H90" s="3">
        <f>IF($G90="","",G90-F90)</f>
      </c>
      <c r="I90" s="3">
        <f>IF($G90="","",H90*16.67%)</f>
      </c>
      <c r="J90" s="3">
        <f>IF($G90="","",G90*7%)</f>
      </c>
      <c r="K90" s="3">
        <f>IF($G90="","",J90*20%)</f>
      </c>
      <c r="L90" s="3"/>
      <c r="M90" s="3">
        <f>IF($G90="","",L90*20%)</f>
      </c>
      <c r="N90" s="3">
        <v>1</v>
      </c>
      <c r="O90" s="3">
        <f>IF($G90="","",K90+M90)</f>
      </c>
      <c r="P90" s="3">
        <f>IF($G90="","",H90-I90-J90-K90-L90-M90-N90)</f>
      </c>
      <c r="Q90" s="3">
        <f>IF($G90="","",(P90-Y90)/F90*100)</f>
      </c>
      <c r="R90" s="3">
        <f>IF($G90="","",I90-O90)</f>
      </c>
      <c r="Z90" s="3">
        <f>IF($G90="","",P90-Y90)</f>
      </c>
    </row>
    <row r="91" spans="1:26" x14ac:dyDescent="0.25">
      <c r="A91" s="1"/>
      <c r="D91" s="2"/>
      <c r="F91" s="3"/>
      <c r="G91" s="3"/>
      <c r="H91" s="3">
        <f>IF($G91="","",G91-F91)</f>
      </c>
      <c r="I91" s="3">
        <f>IF($G91="","",H91*16.67%)</f>
      </c>
      <c r="J91" s="3">
        <f>IF($G91="","",G91*7%)</f>
      </c>
      <c r="K91" s="3">
        <f>IF($G91="","",J91*20%)</f>
      </c>
      <c r="L91" s="3"/>
      <c r="M91" s="3">
        <f>IF($G91="","",L91*20%)</f>
      </c>
      <c r="N91" s="3">
        <v>1</v>
      </c>
      <c r="O91" s="3">
        <f>IF($G91="","",K91+M91)</f>
      </c>
      <c r="P91" s="3">
        <f>IF($G91="","",H91-I91-J91-K91-L91-M91-N91)</f>
      </c>
      <c r="Q91" s="3">
        <f>IF($G91="","",(P91-Y91)/F91*100)</f>
      </c>
      <c r="R91" s="3">
        <f>IF($G91="","",I91-O91)</f>
      </c>
      <c r="Z91" s="3">
        <f>IF($G91="","",P91-Y91)</f>
      </c>
    </row>
    <row r="92" spans="1:26" x14ac:dyDescent="0.25">
      <c r="A92" s="1"/>
      <c r="D92" s="2"/>
      <c r="F92" s="3"/>
      <c r="G92" s="3"/>
      <c r="H92" s="3">
        <f>IF($G92="","",G92-F92)</f>
      </c>
      <c r="I92" s="3">
        <f>IF($G92="","",H92*16.67%)</f>
      </c>
      <c r="J92" s="3">
        <f>IF($G92="","",G92*7%)</f>
      </c>
      <c r="K92" s="3">
        <f>IF($G92="","",J92*20%)</f>
      </c>
      <c r="L92" s="3"/>
      <c r="M92" s="3">
        <f>IF($G92="","",L92*20%)</f>
      </c>
      <c r="N92" s="3">
        <v>1</v>
      </c>
      <c r="O92" s="3">
        <f>IF($G92="","",K92+M92)</f>
      </c>
      <c r="P92" s="3">
        <f>IF($G92="","",H92-I92-J92-K92-L92-M92-N92)</f>
      </c>
      <c r="Q92" s="3">
        <f>IF($G92="","",(P92-Y92)/F92*100)</f>
      </c>
      <c r="R92" s="3">
        <f>IF($G92="","",I92-O92)</f>
      </c>
      <c r="Z92" s="3">
        <f>IF($G92="","",P92-Y92)</f>
      </c>
    </row>
    <row r="93" spans="1:26" x14ac:dyDescent="0.25">
      <c r="A93" s="1"/>
      <c r="D93" s="2"/>
      <c r="F93" s="3"/>
      <c r="G93" s="3"/>
      <c r="H93" s="3">
        <f>IF($G93="","",G93-F93)</f>
      </c>
      <c r="I93" s="3">
        <f>IF($G93="","",H93*16.67%)</f>
      </c>
      <c r="J93" s="3">
        <f>IF($G93="","",G93*7%)</f>
      </c>
      <c r="K93" s="3">
        <f>IF($G93="","",J93*20%)</f>
      </c>
      <c r="L93" s="3"/>
      <c r="M93" s="3">
        <f>IF($G93="","",L93*20%)</f>
      </c>
      <c r="N93" s="3">
        <v>1</v>
      </c>
      <c r="O93" s="3">
        <f>IF($G93="","",K93+M93)</f>
      </c>
      <c r="P93" s="3">
        <f>IF($G93="","",H93-I93-J93-K93-L93-M93-N93)</f>
      </c>
      <c r="Q93" s="3">
        <f>IF($G93="","",(P93-Y93)/F93*100)</f>
      </c>
      <c r="R93" s="3">
        <f>IF($G93="","",I93-O93)</f>
      </c>
      <c r="Z93" s="3">
        <f>IF($G93="","",P93-Y93)</f>
      </c>
    </row>
    <row r="94" spans="1:26" x14ac:dyDescent="0.25">
      <c r="A94" s="1"/>
      <c r="D94" s="2"/>
      <c r="F94" s="3"/>
      <c r="G94" s="3"/>
      <c r="H94" s="3">
        <f>IF($G94="","",G94-F94)</f>
      </c>
      <c r="I94" s="3">
        <f>IF($G94="","",H94*16.67%)</f>
      </c>
      <c r="J94" s="3">
        <f>IF($G94="","",G94*7%)</f>
      </c>
      <c r="K94" s="3">
        <f>IF($G94="","",J94*20%)</f>
      </c>
      <c r="L94" s="3"/>
      <c r="M94" s="3">
        <f>IF($G94="","",L94*20%)</f>
      </c>
      <c r="N94" s="3">
        <v>1</v>
      </c>
      <c r="O94" s="3">
        <f>IF($G94="","",K94+M94)</f>
      </c>
      <c r="P94" s="3">
        <f>IF($G94="","",H94-I94-J94-K94-L94-M94-N94)</f>
      </c>
      <c r="Q94" s="3">
        <f>IF($G94="","",(P94-Y94)/F94*100)</f>
      </c>
      <c r="R94" s="3">
        <f>IF($G94="","",I94-O94)</f>
      </c>
      <c r="Z94" s="3">
        <f>IF($G94="","",P94-Y94)</f>
      </c>
    </row>
    <row r="95" spans="1:26" x14ac:dyDescent="0.25">
      <c r="A95" s="1"/>
      <c r="D95" s="2"/>
      <c r="F95" s="3"/>
      <c r="G95" s="3"/>
      <c r="H95" s="3">
        <f>IF($G95="","",G95-F95)</f>
      </c>
      <c r="I95" s="3">
        <f>IF($G95="","",H95*16.67%)</f>
      </c>
      <c r="J95" s="3">
        <f>IF($G95="","",G95*7%)</f>
      </c>
      <c r="K95" s="3">
        <f>IF($G95="","",J95*20%)</f>
      </c>
      <c r="L95" s="3"/>
      <c r="M95" s="3">
        <f>IF($G95="","",L95*20%)</f>
      </c>
      <c r="N95" s="3">
        <v>1</v>
      </c>
      <c r="O95" s="3">
        <f>IF($G95="","",K95+M95)</f>
      </c>
      <c r="P95" s="3">
        <f>IF($G95="","",H95-I95-J95-K95-L95-M95-N95)</f>
      </c>
      <c r="Q95" s="3">
        <f>IF($G95="","",(P95-Y95)/F95*100)</f>
      </c>
      <c r="R95" s="3">
        <f>IF($G95="","",I95-O95)</f>
      </c>
      <c r="Z95" s="3">
        <f>IF($G95="","",P95-Y95)</f>
      </c>
    </row>
    <row r="96" spans="1:26" x14ac:dyDescent="0.25">
      <c r="A96" s="1"/>
      <c r="D96" s="2"/>
      <c r="F96" s="3"/>
      <c r="G96" s="3"/>
      <c r="H96" s="3">
        <f>IF($G96="","",G96-F96)</f>
      </c>
      <c r="I96" s="3">
        <f>IF($G96="","",H96*16.67%)</f>
      </c>
      <c r="J96" s="3">
        <f>IF($G96="","",G96*7%)</f>
      </c>
      <c r="K96" s="3">
        <f>IF($G96="","",J96*20%)</f>
      </c>
      <c r="L96" s="3"/>
      <c r="M96" s="3">
        <f>IF($G96="","",L96*20%)</f>
      </c>
      <c r="N96" s="3">
        <v>1</v>
      </c>
      <c r="O96" s="3">
        <f>IF($G96="","",K96+M96)</f>
      </c>
      <c r="P96" s="3">
        <f>IF($G96="","",H96-I96-J96-K96-L96-M96-N96)</f>
      </c>
      <c r="Q96" s="3">
        <f>IF($G96="","",(P96-Y96)/F96*100)</f>
      </c>
      <c r="R96" s="3">
        <f>IF($G96="","",I96-O96)</f>
      </c>
      <c r="Z96" s="3">
        <f>IF($G96="","",P96-Y96)</f>
      </c>
    </row>
    <row r="97" spans="1:26" x14ac:dyDescent="0.25">
      <c r="A97" s="1"/>
      <c r="D97" s="2"/>
      <c r="F97" s="3"/>
      <c r="G97" s="3"/>
      <c r="H97" s="3">
        <f>IF($G97="","",G97-F97)</f>
      </c>
      <c r="I97" s="3">
        <f>IF($G97="","",H97*16.67%)</f>
      </c>
      <c r="J97" s="3">
        <f>IF($G97="","",G97*7%)</f>
      </c>
      <c r="K97" s="3">
        <f>IF($G97="","",J97*20%)</f>
      </c>
      <c r="L97" s="3"/>
      <c r="M97" s="3">
        <f>IF($G97="","",L97*20%)</f>
      </c>
      <c r="N97" s="3">
        <v>1</v>
      </c>
      <c r="O97" s="3">
        <f>IF($G97="","",K97+M97)</f>
      </c>
      <c r="P97" s="3">
        <f>IF($G97="","",H97-I97-J97-K97-L97-M97-N97)</f>
      </c>
      <c r="Q97" s="3">
        <f>IF($G97="","",(P97-Y97)/F97*100)</f>
      </c>
      <c r="R97" s="3">
        <f>IF($G97="","",I97-O97)</f>
      </c>
      <c r="Z97" s="3">
        <f>IF($G97="","",P97-Y97)</f>
      </c>
    </row>
    <row r="98" spans="1:26" x14ac:dyDescent="0.25">
      <c r="A98" s="1"/>
      <c r="D98" s="2"/>
      <c r="F98" s="3"/>
      <c r="G98" s="3"/>
      <c r="H98" s="3">
        <f>IF($G98="","",G98-F98)</f>
      </c>
      <c r="I98" s="3">
        <f>IF($G98="","",H98*16.67%)</f>
      </c>
      <c r="J98" s="3">
        <f>IF($G98="","",G98*7%)</f>
      </c>
      <c r="K98" s="3">
        <f>IF($G98="","",J98*20%)</f>
      </c>
      <c r="L98" s="3"/>
      <c r="M98" s="3">
        <f>IF($G98="","",L98*20%)</f>
      </c>
      <c r="N98" s="3">
        <v>1</v>
      </c>
      <c r="O98" s="3">
        <f>IF($G98="","",K98+M98)</f>
      </c>
      <c r="P98" s="3">
        <f>IF($G98="","",H98-I98-J98-K98-L98-M98-N98)</f>
      </c>
      <c r="Q98" s="3">
        <f>IF($G98="","",(P98-Y98)/F98*100)</f>
      </c>
      <c r="R98" s="3">
        <f>IF($G98="","",I98-O98)</f>
      </c>
      <c r="Z98" s="3">
        <f>IF($G98="","",P98-Y98)</f>
      </c>
    </row>
    <row r="99" spans="1:26" x14ac:dyDescent="0.25">
      <c r="A99" s="1"/>
      <c r="D99" s="2"/>
      <c r="F99" s="3"/>
      <c r="G99" s="3"/>
      <c r="H99" s="3">
        <f>IF($G99="","",G99-F99)</f>
      </c>
      <c r="I99" s="3">
        <f>IF($G99="","",H99*16.67%)</f>
      </c>
      <c r="J99" s="3">
        <f>IF($G99="","",G99*7%)</f>
      </c>
      <c r="K99" s="3">
        <f>IF($G99="","",J99*20%)</f>
      </c>
      <c r="L99" s="3"/>
      <c r="M99" s="3">
        <f>IF($G99="","",L99*20%)</f>
      </c>
      <c r="N99" s="3">
        <v>1</v>
      </c>
      <c r="O99" s="3">
        <f>IF($G99="","",K99+M99)</f>
      </c>
      <c r="P99" s="3">
        <f>IF($G99="","",H99-I99-J99-K99-L99-M99-N99)</f>
      </c>
      <c r="Q99" s="3">
        <f>IF($G99="","",(P99-Y99)/F99*100)</f>
      </c>
      <c r="R99" s="3">
        <f>IF($G99="","",I99-O99)</f>
      </c>
      <c r="Z99" s="3">
        <f>IF($G99="","",P99-Y99)</f>
      </c>
    </row>
    <row r="100" spans="1:26" x14ac:dyDescent="0.25">
      <c r="A100" s="1"/>
      <c r="D100" s="2"/>
      <c r="F100" s="3"/>
      <c r="G100" s="3"/>
      <c r="H100" s="3">
        <f>IF($G100="","",G100-F100)</f>
      </c>
      <c r="I100" s="3">
        <f>IF($G100="","",H100*16.67%)</f>
      </c>
      <c r="J100" s="3">
        <f>IF($G100="","",G100*7%)</f>
      </c>
      <c r="K100" s="3">
        <f>IF($G100="","",J100*20%)</f>
      </c>
      <c r="L100" s="3"/>
      <c r="M100" s="3">
        <f>IF($G100="","",L100*20%)</f>
      </c>
      <c r="N100" s="3">
        <v>1</v>
      </c>
      <c r="O100" s="3">
        <f>IF($G100="","",K100+M100)</f>
      </c>
      <c r="P100" s="3">
        <f>IF($G100="","",H100-I100-J100-K100-L100-M100-N100)</f>
      </c>
      <c r="Q100" s="3">
        <f>IF($G100="","",(P100-Y100)/F100*100)</f>
      </c>
      <c r="R100" s="3">
        <f>IF($G100="","",I100-O100)</f>
      </c>
      <c r="Z100" s="3">
        <f>IF($G100="","",P100-Y100)</f>
      </c>
    </row>
    <row r="101" spans="1:26" x14ac:dyDescent="0.25">
      <c r="A101" s="1"/>
      <c r="D101" s="2"/>
      <c r="F101" s="3"/>
      <c r="G101" s="3"/>
      <c r="H101" s="3">
        <f>IF($G101="","",G101-F101)</f>
      </c>
      <c r="I101" s="3">
        <f>IF($G101="","",H101*16.67%)</f>
      </c>
      <c r="J101" s="3">
        <f>IF($G101="","",G101*7%)</f>
      </c>
      <c r="K101" s="3">
        <f>IF($G101="","",J101*20%)</f>
      </c>
      <c r="L101" s="3"/>
      <c r="M101" s="3">
        <f>IF($G101="","",L101*20%)</f>
      </c>
      <c r="N101" s="3">
        <v>1</v>
      </c>
      <c r="O101" s="3">
        <f>IF($G101="","",K101+M101)</f>
      </c>
      <c r="P101" s="3">
        <f>IF($G101="","",H101-I101-J101-K101-L101-M101-N101)</f>
      </c>
      <c r="Q101" s="3">
        <f>IF($G101="","",(P101-Y101)/F101*100)</f>
      </c>
      <c r="R101" s="3">
        <f>IF($G101="","",I101-O101)</f>
      </c>
      <c r="Z101" s="3">
        <f>IF($G101="","",P101-Y101)</f>
      </c>
    </row>
    <row r="102" spans="1:26" x14ac:dyDescent="0.25">
      <c r="A102" s="1"/>
      <c r="D102" s="2"/>
      <c r="F102" s="3"/>
      <c r="G102" s="3"/>
      <c r="H102" s="3">
        <f>IF($G102="","",G102-F102)</f>
      </c>
      <c r="I102" s="3">
        <f>IF($G102="","",H102*16.67%)</f>
      </c>
      <c r="J102" s="3">
        <f>IF($G102="","",G102*7%)</f>
      </c>
      <c r="K102" s="3">
        <f>IF($G102="","",J102*20%)</f>
      </c>
      <c r="L102" s="3"/>
      <c r="M102" s="3">
        <f>IF($G102="","",L102*20%)</f>
      </c>
      <c r="N102" s="3">
        <v>1</v>
      </c>
      <c r="O102" s="3">
        <f>IF($G102="","",K102+M102)</f>
      </c>
      <c r="P102" s="3">
        <f>IF($G102="","",H102-I102-J102-K102-L102-M102-N102)</f>
      </c>
      <c r="Q102" s="3">
        <f>IF($G102="","",(P102-Y102)/F102*100)</f>
      </c>
      <c r="R102" s="3">
        <f>IF($G102="","",I102-O102)</f>
      </c>
      <c r="Z102" s="3">
        <f>IF($G102="","",P102-Y102)</f>
      </c>
    </row>
    <row r="103" spans="1:26" x14ac:dyDescent="0.25">
      <c r="A103" s="1"/>
      <c r="D103" s="2"/>
      <c r="F103" s="3"/>
      <c r="G103" s="3"/>
      <c r="H103" s="3">
        <f>IF($G103="","",G103-F103)</f>
      </c>
      <c r="I103" s="3">
        <f>IF($G103="","",H103*16.67%)</f>
      </c>
      <c r="J103" s="3">
        <f>IF($G103="","",G103*7%)</f>
      </c>
      <c r="K103" s="3">
        <f>IF($G103="","",J103*20%)</f>
      </c>
      <c r="L103" s="3"/>
      <c r="M103" s="3">
        <f>IF($G103="","",L103*20%)</f>
      </c>
      <c r="N103" s="3">
        <v>1</v>
      </c>
      <c r="O103" s="3">
        <f>IF($G103="","",K103+M103)</f>
      </c>
      <c r="P103" s="3">
        <f>IF($G103="","",H103-I103-J103-K103-L103-M103-N103)</f>
      </c>
      <c r="Q103" s="3">
        <f>IF($G103="","",(P103-Y103)/F103*100)</f>
      </c>
      <c r="R103" s="3">
        <f>IF($G103="","",I103-O103)</f>
      </c>
      <c r="Z103" s="3">
        <f>IF($G103="","",P103-Y103)</f>
      </c>
    </row>
    <row r="104" spans="1:26" x14ac:dyDescent="0.25">
      <c r="A104" s="1"/>
      <c r="D104" s="2"/>
      <c r="F104" s="3"/>
      <c r="G104" s="3"/>
      <c r="H104" s="3">
        <f>IF($G104="","",G104-F104)</f>
      </c>
      <c r="I104" s="3">
        <f>IF($G104="","",H104*16.67%)</f>
      </c>
      <c r="J104" s="3">
        <f>IF($G104="","",G104*7%)</f>
      </c>
      <c r="K104" s="3">
        <f>IF($G104="","",J104*20%)</f>
      </c>
      <c r="L104" s="3"/>
      <c r="M104" s="3">
        <f>IF($G104="","",L104*20%)</f>
      </c>
      <c r="N104" s="3">
        <v>1</v>
      </c>
      <c r="O104" s="3">
        <f>IF($G104="","",K104+M104)</f>
      </c>
      <c r="P104" s="3">
        <f>IF($G104="","",H104-I104-J104-K104-L104-M104-N104)</f>
      </c>
      <c r="Q104" s="3">
        <f>IF($G104="","",(P104-Y104)/F104*100)</f>
      </c>
      <c r="R104" s="3">
        <f>IF($G104="","",I104-O104)</f>
      </c>
      <c r="Z104" s="3">
        <f>IF($G104="","",P104-Y104)</f>
      </c>
    </row>
    <row r="105" spans="1:26" x14ac:dyDescent="0.25">
      <c r="A105" s="1"/>
      <c r="D105" s="2"/>
      <c r="F105" s="3"/>
      <c r="G105" s="3"/>
      <c r="H105" s="3">
        <f>IF($G105="","",G105-F105)</f>
      </c>
      <c r="I105" s="3">
        <f>IF($G105="","",H105*16.67%)</f>
      </c>
      <c r="J105" s="3">
        <f>IF($G105="","",G105*7%)</f>
      </c>
      <c r="K105" s="3">
        <f>IF($G105="","",J105*20%)</f>
      </c>
      <c r="L105" s="3"/>
      <c r="M105" s="3">
        <f>IF($G105="","",L105*20%)</f>
      </c>
      <c r="N105" s="3">
        <v>1</v>
      </c>
      <c r="O105" s="3">
        <f>IF($G105="","",K105+M105)</f>
      </c>
      <c r="P105" s="3">
        <f>IF($G105="","",H105-I105-J105-K105-L105-M105-N105)</f>
      </c>
      <c r="Q105" s="3">
        <f>IF($G105="","",(P105-Y105)/F105*100)</f>
      </c>
      <c r="R105" s="3">
        <f>IF($G105="","",I105-O105)</f>
      </c>
      <c r="Z105" s="3">
        <f>IF($G105="","",P105-Y105)</f>
      </c>
    </row>
    <row r="106" spans="1:26" x14ac:dyDescent="0.25">
      <c r="A106" s="1"/>
      <c r="D106" s="2"/>
      <c r="F106" s="3"/>
      <c r="G106" s="3"/>
      <c r="H106" s="3">
        <f>IF($G106="","",G106-F106)</f>
      </c>
      <c r="I106" s="3">
        <f>IF($G106="","",H106*16.67%)</f>
      </c>
      <c r="J106" s="3">
        <f>IF($G106="","",G106*7%)</f>
      </c>
      <c r="K106" s="3">
        <f>IF($G106="","",J106*20%)</f>
      </c>
      <c r="L106" s="3"/>
      <c r="M106" s="3">
        <f>IF($G106="","",L106*20%)</f>
      </c>
      <c r="N106" s="3">
        <v>1</v>
      </c>
      <c r="O106" s="3">
        <f>IF($G106="","",K106+M106)</f>
      </c>
      <c r="P106" s="3">
        <f>IF($G106="","",H106-I106-J106-K106-L106-M106-N106)</f>
      </c>
      <c r="Q106" s="3">
        <f>IF($G106="","",(P106-Y106)/F106*100)</f>
      </c>
      <c r="R106" s="3">
        <f>IF($G106="","",I106-O106)</f>
      </c>
      <c r="Z106" s="3">
        <f>IF($G106="","",P106-Y106)</f>
      </c>
    </row>
    <row r="107" spans="1:26" x14ac:dyDescent="0.25">
      <c r="A107" s="1"/>
      <c r="D107" s="2"/>
      <c r="F107" s="3"/>
      <c r="G107" s="3"/>
      <c r="H107" s="3">
        <f>IF($G107="","",G107-F107)</f>
      </c>
      <c r="I107" s="3">
        <f>IF($G107="","",H107*16.67%)</f>
      </c>
      <c r="J107" s="3">
        <f>IF($G107="","",G107*7%)</f>
      </c>
      <c r="K107" s="3">
        <f>IF($G107="","",J107*20%)</f>
      </c>
      <c r="L107" s="3"/>
      <c r="M107" s="3">
        <f>IF($G107="","",L107*20%)</f>
      </c>
      <c r="N107" s="3">
        <v>1</v>
      </c>
      <c r="O107" s="3">
        <f>IF($G107="","",K107+M107)</f>
      </c>
      <c r="P107" s="3">
        <f>IF($G107="","",H107-I107-J107-K107-L107-M107-N107)</f>
      </c>
      <c r="Q107" s="3">
        <f>IF($G107="","",(P107-Y107)/F107*100)</f>
      </c>
      <c r="R107" s="3">
        <f>IF($G107="","",I107-O107)</f>
      </c>
      <c r="Z107" s="3">
        <f>IF($G107="","",P107-Y107)</f>
      </c>
    </row>
    <row r="108" spans="1:26" x14ac:dyDescent="0.25">
      <c r="A108" s="1"/>
      <c r="D108" s="2"/>
      <c r="F108" s="3"/>
      <c r="G108" s="3"/>
      <c r="H108" s="3">
        <f>IF($G108="","",G108-F108)</f>
      </c>
      <c r="I108" s="3">
        <f>IF($G108="","",H108*16.67%)</f>
      </c>
      <c r="J108" s="3">
        <f>IF($G108="","",G108*7%)</f>
      </c>
      <c r="K108" s="3">
        <f>IF($G108="","",J108*20%)</f>
      </c>
      <c r="L108" s="3"/>
      <c r="M108" s="3">
        <f>IF($G108="","",L108*20%)</f>
      </c>
      <c r="N108" s="3">
        <v>1</v>
      </c>
      <c r="O108" s="3">
        <f>IF($G108="","",K108+M108)</f>
      </c>
      <c r="P108" s="3">
        <f>IF($G108="","",H108-I108-J108-K108-L108-M108-N108)</f>
      </c>
      <c r="Q108" s="3">
        <f>IF($G108="","",(P108-Y108)/F108*100)</f>
      </c>
      <c r="R108" s="3">
        <f>IF($G108="","",I108-O108)</f>
      </c>
      <c r="Z108" s="3">
        <f>IF($G108="","",P108-Y108)</f>
      </c>
    </row>
    <row r="109" spans="1:26" x14ac:dyDescent="0.25">
      <c r="A109" s="1"/>
      <c r="D109" s="2"/>
      <c r="F109" s="3"/>
      <c r="G109" s="3"/>
      <c r="H109" s="3">
        <f>IF($G109="","",G109-F109)</f>
      </c>
      <c r="I109" s="3">
        <f>IF($G109="","",H109*16.67%)</f>
      </c>
      <c r="J109" s="3">
        <f>IF($G109="","",G109*7%)</f>
      </c>
      <c r="K109" s="3">
        <f>IF($G109="","",J109*20%)</f>
      </c>
      <c r="L109" s="3"/>
      <c r="M109" s="3">
        <f>IF($G109="","",L109*20%)</f>
      </c>
      <c r="N109" s="3">
        <v>1</v>
      </c>
      <c r="O109" s="3">
        <f>IF($G109="","",K109+M109)</f>
      </c>
      <c r="P109" s="3">
        <f>IF($G109="","",H109-I109-J109-K109-L109-M109-N109)</f>
      </c>
      <c r="Q109" s="3">
        <f>IF($G109="","",(P109-Y109)/F109*100)</f>
      </c>
      <c r="R109" s="3">
        <f>IF($G109="","",I109-O109)</f>
      </c>
      <c r="Z109" s="3">
        <f>IF($G109="","",P109-Y109)</f>
      </c>
    </row>
    <row r="110" spans="1:26" x14ac:dyDescent="0.25">
      <c r="A110" s="1"/>
      <c r="D110" s="2"/>
      <c r="F110" s="3"/>
      <c r="G110" s="3"/>
      <c r="H110" s="3">
        <f>IF($G110="","",G110-F110)</f>
      </c>
      <c r="I110" s="3">
        <f>IF($G110="","",H110*16.67%)</f>
      </c>
      <c r="J110" s="3">
        <f>IF($G110="","",G110*7%)</f>
      </c>
      <c r="K110" s="3">
        <f>IF($G110="","",J110*20%)</f>
      </c>
      <c r="L110" s="3"/>
      <c r="M110" s="3">
        <f>IF($G110="","",L110*20%)</f>
      </c>
      <c r="N110" s="3">
        <v>1</v>
      </c>
      <c r="O110" s="3">
        <f>IF($G110="","",K110+M110)</f>
      </c>
      <c r="P110" s="3">
        <f>IF($G110="","",H110-I110-J110-K110-L110-M110-N110)</f>
      </c>
      <c r="Q110" s="3">
        <f>IF($G110="","",(P110-Y110)/F110*100)</f>
      </c>
      <c r="R110" s="3">
        <f>IF($G110="","",I110-O110)</f>
      </c>
      <c r="Z110" s="3">
        <f>IF($G110="","",P110-Y110)</f>
      </c>
    </row>
    <row r="111" spans="1:26" x14ac:dyDescent="0.25">
      <c r="A111" s="1"/>
      <c r="D111" s="2"/>
      <c r="F111" s="3"/>
      <c r="G111" s="3"/>
      <c r="H111" s="3">
        <f>IF($G111="","",G111-F111)</f>
      </c>
      <c r="I111" s="3">
        <f>IF($G111="","",H111*16.67%)</f>
      </c>
      <c r="J111" s="3">
        <f>IF($G111="","",G111*7%)</f>
      </c>
      <c r="K111" s="3">
        <f>IF($G111="","",J111*20%)</f>
      </c>
      <c r="L111" s="3"/>
      <c r="M111" s="3">
        <f>IF($G111="","",L111*20%)</f>
      </c>
      <c r="N111" s="3">
        <v>1</v>
      </c>
      <c r="O111" s="3">
        <f>IF($G111="","",K111+M111)</f>
      </c>
      <c r="P111" s="3">
        <f>IF($G111="","",H111-I111-J111-K111-L111-M111-N111)</f>
      </c>
      <c r="Q111" s="3">
        <f>IF($G111="","",(P111-Y111)/F111*100)</f>
      </c>
      <c r="R111" s="3">
        <f>IF($G111="","",I111-O111)</f>
      </c>
      <c r="Z111" s="3">
        <f>IF($G111="","",P111-Y111)</f>
      </c>
    </row>
    <row r="112" spans="1:26" x14ac:dyDescent="0.25">
      <c r="A112" s="1"/>
      <c r="D112" s="2"/>
      <c r="F112" s="3"/>
      <c r="G112" s="3"/>
      <c r="H112" s="3">
        <f>IF($G112="","",G112-F112)</f>
      </c>
      <c r="I112" s="3">
        <f>IF($G112="","",H112*16.67%)</f>
      </c>
      <c r="J112" s="3">
        <f>IF($G112="","",G112*7%)</f>
      </c>
      <c r="K112" s="3">
        <f>IF($G112="","",J112*20%)</f>
      </c>
      <c r="L112" s="3"/>
      <c r="M112" s="3">
        <f>IF($G112="","",L112*20%)</f>
      </c>
      <c r="N112" s="3">
        <v>1</v>
      </c>
      <c r="O112" s="3">
        <f>IF($G112="","",K112+M112)</f>
      </c>
      <c r="P112" s="3">
        <f>IF($G112="","",H112-I112-J112-K112-L112-M112-N112)</f>
      </c>
      <c r="Q112" s="3">
        <f>IF($G112="","",(P112-Y112)/F112*100)</f>
      </c>
      <c r="R112" s="3">
        <f>IF($G112="","",I112-O112)</f>
      </c>
      <c r="Z112" s="3">
        <f>IF($G112="","",P112-Y112)</f>
      </c>
    </row>
    <row r="113" spans="1:26" x14ac:dyDescent="0.25">
      <c r="A113" s="1"/>
      <c r="D113" s="2"/>
      <c r="F113" s="3"/>
      <c r="G113" s="3"/>
      <c r="H113" s="3">
        <f>IF($G113="","",G113-F113)</f>
      </c>
      <c r="I113" s="3">
        <f>IF($G113="","",H113*16.67%)</f>
      </c>
      <c r="J113" s="3">
        <f>IF($G113="","",G113*7%)</f>
      </c>
      <c r="K113" s="3">
        <f>IF($G113="","",J113*20%)</f>
      </c>
      <c r="L113" s="3"/>
      <c r="M113" s="3">
        <f>IF($G113="","",L113*20%)</f>
      </c>
      <c r="N113" s="3">
        <v>1</v>
      </c>
      <c r="O113" s="3">
        <f>IF($G113="","",K113+M113)</f>
      </c>
      <c r="P113" s="3">
        <f>IF($G113="","",H113-I113-J113-K113-L113-M113-N113)</f>
      </c>
      <c r="Q113" s="3">
        <f>IF($G113="","",(P113-Y113)/F113*100)</f>
      </c>
      <c r="R113" s="3">
        <f>IF($G113="","",I113-O113)</f>
      </c>
      <c r="Z113" s="3">
        <f>IF($G113="","",P113-Y113)</f>
      </c>
    </row>
    <row r="114" spans="1:26" x14ac:dyDescent="0.25">
      <c r="A114" s="1"/>
      <c r="D114" s="2"/>
      <c r="F114" s="3"/>
      <c r="G114" s="3"/>
      <c r="H114" s="3">
        <f>IF($G114="","",G114-F114)</f>
      </c>
      <c r="I114" s="3">
        <f>IF($G114="","",H114*16.67%)</f>
      </c>
      <c r="J114" s="3">
        <f>IF($G114="","",G114*7%)</f>
      </c>
      <c r="K114" s="3">
        <f>IF($G114="","",J114*20%)</f>
      </c>
      <c r="L114" s="3"/>
      <c r="M114" s="3">
        <f>IF($G114="","",L114*20%)</f>
      </c>
      <c r="N114" s="3">
        <v>1</v>
      </c>
      <c r="O114" s="3">
        <f>IF($G114="","",K114+M114)</f>
      </c>
      <c r="P114" s="3">
        <f>IF($G114="","",H114-I114-J114-K114-L114-M114-N114)</f>
      </c>
      <c r="Q114" s="3">
        <f>IF($G114="","",(P114-Y114)/F114*100)</f>
      </c>
      <c r="R114" s="3">
        <f>IF($G114="","",I114-O114)</f>
      </c>
      <c r="Z114" s="3">
        <f>IF($G114="","",P114-Y114)</f>
      </c>
    </row>
    <row r="115" spans="1:26" x14ac:dyDescent="0.25">
      <c r="A115" s="1"/>
      <c r="D115" s="2"/>
      <c r="F115" s="3"/>
      <c r="G115" s="3"/>
      <c r="H115" s="3">
        <f>IF($G115="","",G115-F115)</f>
      </c>
      <c r="I115" s="3">
        <f>IF($G115="","",H115*16.67%)</f>
      </c>
      <c r="J115" s="3">
        <f>IF($G115="","",G115*7%)</f>
      </c>
      <c r="K115" s="3">
        <f>IF($G115="","",J115*20%)</f>
      </c>
      <c r="L115" s="3"/>
      <c r="M115" s="3">
        <f>IF($G115="","",L115*20%)</f>
      </c>
      <c r="N115" s="3">
        <v>1</v>
      </c>
      <c r="O115" s="3">
        <f>IF($G115="","",K115+M115)</f>
      </c>
      <c r="P115" s="3">
        <f>IF($G115="","",H115-I115-J115-K115-L115-M115-N115)</f>
      </c>
      <c r="Q115" s="3">
        <f>IF($G115="","",(P115-Y115)/F115*100)</f>
      </c>
      <c r="R115" s="3">
        <f>IF($G115="","",I115-O115)</f>
      </c>
      <c r="Z115" s="3">
        <f>IF($G115="","",P115-Y115)</f>
      </c>
    </row>
    <row r="116" spans="1:26" x14ac:dyDescent="0.25">
      <c r="A116" s="1"/>
      <c r="D116" s="2"/>
      <c r="F116" s="3"/>
      <c r="G116" s="3"/>
      <c r="H116" s="3">
        <f>IF($G116="","",G116-F116)</f>
      </c>
      <c r="I116" s="3">
        <f>IF($G116="","",H116*16.67%)</f>
      </c>
      <c r="J116" s="3">
        <f>IF($G116="","",G116*7%)</f>
      </c>
      <c r="K116" s="3">
        <f>IF($G116="","",J116*20%)</f>
      </c>
      <c r="L116" s="3"/>
      <c r="M116" s="3">
        <f>IF($G116="","",L116*20%)</f>
      </c>
      <c r="N116" s="3">
        <v>1</v>
      </c>
      <c r="O116" s="3">
        <f>IF($G116="","",K116+M116)</f>
      </c>
      <c r="P116" s="3">
        <f>IF($G116="","",H116-I116-J116-K116-L116-M116-N116)</f>
      </c>
      <c r="Q116" s="3">
        <f>IF($G116="","",(P116-Y116)/F116*100)</f>
      </c>
      <c r="R116" s="3">
        <f>IF($G116="","",I116-O116)</f>
      </c>
      <c r="Z116" s="3">
        <f>IF($G116="","",P116-Y116)</f>
      </c>
    </row>
    <row r="117" spans="1:26" x14ac:dyDescent="0.25">
      <c r="A117" s="1"/>
      <c r="D117" s="2"/>
      <c r="F117" s="3"/>
      <c r="G117" s="3"/>
      <c r="H117" s="3">
        <f>IF($G117="","",G117-F117)</f>
      </c>
      <c r="I117" s="3">
        <f>IF($G117="","",H117*16.67%)</f>
      </c>
      <c r="J117" s="3">
        <f>IF($G117="","",G117*7%)</f>
      </c>
      <c r="K117" s="3">
        <f>IF($G117="","",J117*20%)</f>
      </c>
      <c r="L117" s="3"/>
      <c r="M117" s="3">
        <f>IF($G117="","",L117*20%)</f>
      </c>
      <c r="N117" s="3">
        <v>1</v>
      </c>
      <c r="O117" s="3">
        <f>IF($G117="","",K117+M117)</f>
      </c>
      <c r="P117" s="3">
        <f>IF($G117="","",H117-I117-J117-K117-L117-M117-N117)</f>
      </c>
      <c r="Q117" s="3">
        <f>IF($G117="","",(P117-Y117)/F117*100)</f>
      </c>
      <c r="R117" s="3">
        <f>IF($G117="","",I117-O117)</f>
      </c>
      <c r="Z117" s="3">
        <f>IF($G117="","",P117-Y117)</f>
      </c>
    </row>
    <row r="118" spans="1:26" x14ac:dyDescent="0.25">
      <c r="A118" s="1"/>
      <c r="D118" s="2"/>
      <c r="F118" s="3"/>
      <c r="G118" s="3"/>
      <c r="H118" s="3">
        <f>IF($G118="","",G118-F118)</f>
      </c>
      <c r="I118" s="3">
        <f>IF($G118="","",H118*16.67%)</f>
      </c>
      <c r="J118" s="3">
        <f>IF($G118="","",G118*7%)</f>
      </c>
      <c r="K118" s="3">
        <f>IF($G118="","",J118*20%)</f>
      </c>
      <c r="L118" s="3"/>
      <c r="M118" s="3">
        <f>IF($G118="","",L118*20%)</f>
      </c>
      <c r="N118" s="3">
        <v>1</v>
      </c>
      <c r="O118" s="3">
        <f>IF($G118="","",K118+M118)</f>
      </c>
      <c r="P118" s="3">
        <f>IF($G118="","",H118-I118-J118-K118-L118-M118-N118)</f>
      </c>
      <c r="Q118" s="3">
        <f>IF($G118="","",(P118-Y118)/F118*100)</f>
      </c>
      <c r="R118" s="3">
        <f>IF($G118="","",I118-O118)</f>
      </c>
      <c r="Z118" s="3">
        <f>IF($G118="","",P118-Y118)</f>
      </c>
    </row>
    <row r="119" spans="1:26" x14ac:dyDescent="0.25">
      <c r="A119" s="1"/>
      <c r="D119" s="2"/>
      <c r="F119" s="3"/>
      <c r="G119" s="3"/>
      <c r="H119" s="3">
        <f>IF($G119="","",G119-F119)</f>
      </c>
      <c r="I119" s="3">
        <f>IF($G119="","",H119*16.67%)</f>
      </c>
      <c r="J119" s="3">
        <f>IF($G119="","",G119*7%)</f>
      </c>
      <c r="K119" s="3">
        <f>IF($G119="","",J119*20%)</f>
      </c>
      <c r="L119" s="3"/>
      <c r="M119" s="3">
        <f>IF($G119="","",L119*20%)</f>
      </c>
      <c r="N119" s="3">
        <v>1</v>
      </c>
      <c r="O119" s="3">
        <f>IF($G119="","",K119+M119)</f>
      </c>
      <c r="P119" s="3">
        <f>IF($G119="","",H119-I119-J119-K119-L119-M119-N119)</f>
      </c>
      <c r="Q119" s="3">
        <f>IF($G119="","",(P119-Y119)/F119*100)</f>
      </c>
      <c r="R119" s="3">
        <f>IF($G119="","",I119-O119)</f>
      </c>
      <c r="Z119" s="3">
        <f>IF($G119="","",P119-Y119)</f>
      </c>
    </row>
    <row r="120" spans="1:26" x14ac:dyDescent="0.25">
      <c r="A120" s="1"/>
      <c r="D120" s="2"/>
      <c r="F120" s="3"/>
      <c r="G120" s="3"/>
      <c r="H120" s="3">
        <f>IF($G120="","",G120-F120)</f>
      </c>
      <c r="I120" s="3">
        <f>IF($G120="","",H120*16.67%)</f>
      </c>
      <c r="J120" s="3">
        <f>IF($G120="","",G120*7%)</f>
      </c>
      <c r="K120" s="3">
        <f>IF($G120="","",J120*20%)</f>
      </c>
      <c r="L120" s="3"/>
      <c r="M120" s="3">
        <f>IF($G120="","",L120*20%)</f>
      </c>
      <c r="N120" s="3">
        <v>1</v>
      </c>
      <c r="O120" s="3">
        <f>IF($G120="","",K120+M120)</f>
      </c>
      <c r="P120" s="3">
        <f>IF($G120="","",H120-I120-J120-K120-L120-M120-N120)</f>
      </c>
      <c r="Q120" s="3">
        <f>IF($G120="","",(P120-Y120)/F120*100)</f>
      </c>
      <c r="R120" s="3">
        <f>IF($G120="","",I120-O120)</f>
      </c>
      <c r="Z120" s="3">
        <f>IF($G120="","",P120-Y120)</f>
      </c>
    </row>
    <row r="121" spans="1:26" x14ac:dyDescent="0.25">
      <c r="A121" s="1"/>
      <c r="D121" s="2"/>
      <c r="F121" s="3"/>
      <c r="G121" s="3"/>
      <c r="H121" s="3">
        <f>IF($G121="","",G121-F121)</f>
      </c>
      <c r="I121" s="3">
        <f>IF($G121="","",H121*16.67%)</f>
      </c>
      <c r="J121" s="3">
        <f>IF($G121="","",G121*7%)</f>
      </c>
      <c r="K121" s="3">
        <f>IF($G121="","",J121*20%)</f>
      </c>
      <c r="L121" s="3"/>
      <c r="M121" s="3">
        <f>IF($G121="","",L121*20%)</f>
      </c>
      <c r="N121" s="3">
        <v>1</v>
      </c>
      <c r="O121" s="3">
        <f>IF($G121="","",K121+M121)</f>
      </c>
      <c r="P121" s="3">
        <f>IF($G121="","",H121-I121-J121-K121-L121-M121-N121)</f>
      </c>
      <c r="Q121" s="3">
        <f>IF($G121="","",(P121-Y121)/F121*100)</f>
      </c>
      <c r="R121" s="3">
        <f>IF($G121="","",I121-O121)</f>
      </c>
      <c r="Z121" s="3">
        <f>IF($G121="","",P121-Y121)</f>
      </c>
    </row>
    <row r="122" spans="1:26" x14ac:dyDescent="0.25">
      <c r="A122" s="1"/>
      <c r="D122" s="2"/>
      <c r="F122" s="3"/>
      <c r="G122" s="3"/>
      <c r="H122" s="3">
        <f>IF($G122="","",G122-F122)</f>
      </c>
      <c r="I122" s="3">
        <f>IF($G122="","",H122*16.67%)</f>
      </c>
      <c r="J122" s="3">
        <f>IF($G122="","",G122*7%)</f>
      </c>
      <c r="K122" s="3">
        <f>IF($G122="","",J122*20%)</f>
      </c>
      <c r="L122" s="3"/>
      <c r="M122" s="3">
        <f>IF($G122="","",L122*20%)</f>
      </c>
      <c r="N122" s="3">
        <v>1</v>
      </c>
      <c r="O122" s="3">
        <f>IF($G122="","",K122+M122)</f>
      </c>
      <c r="P122" s="3">
        <f>IF($G122="","",H122-I122-J122-K122-L122-M122-N122)</f>
      </c>
      <c r="Q122" s="3">
        <f>IF($G122="","",(P122-Y122)/F122*100)</f>
      </c>
      <c r="R122" s="3">
        <f>IF($G122="","",I122-O122)</f>
      </c>
      <c r="Z122" s="3">
        <f>IF($G122="","",P122-Y122)</f>
      </c>
    </row>
    <row r="123" spans="1:26" x14ac:dyDescent="0.25">
      <c r="A123" s="1"/>
      <c r="D123" s="2"/>
      <c r="F123" s="3"/>
      <c r="G123" s="3"/>
      <c r="H123" s="3">
        <f>IF($G123="","",G123-F123)</f>
      </c>
      <c r="I123" s="3">
        <f>IF($G123="","",H123*16.67%)</f>
      </c>
      <c r="J123" s="3">
        <f>IF($G123="","",G123*7%)</f>
      </c>
      <c r="K123" s="3">
        <f>IF($G123="","",J123*20%)</f>
      </c>
      <c r="L123" s="3"/>
      <c r="M123" s="3">
        <f>IF($G123="","",L123*20%)</f>
      </c>
      <c r="N123" s="3">
        <v>1</v>
      </c>
      <c r="O123" s="3">
        <f>IF($G123="","",K123+M123)</f>
      </c>
      <c r="P123" s="3">
        <f>IF($G123="","",H123-I123-J123-K123-L123-M123-N123)</f>
      </c>
      <c r="Q123" s="3">
        <f>IF($G123="","",(P123-Y123)/F123*100)</f>
      </c>
      <c r="R123" s="3">
        <f>IF($G123="","",I123-O123)</f>
      </c>
      <c r="Z123" s="3">
        <f>IF($G123="","",P123-Y123)</f>
      </c>
    </row>
    <row r="124" spans="1:26" x14ac:dyDescent="0.25">
      <c r="A124" s="1"/>
      <c r="D124" s="2"/>
      <c r="F124" s="3"/>
      <c r="G124" s="3"/>
      <c r="H124" s="3">
        <f>IF($G124="","",G124-F124)</f>
      </c>
      <c r="I124" s="3">
        <f>IF($G124="","",H124*16.67%)</f>
      </c>
      <c r="J124" s="3">
        <f>IF($G124="","",G124*7%)</f>
      </c>
      <c r="K124" s="3">
        <f>IF($G124="","",J124*20%)</f>
      </c>
      <c r="L124" s="3"/>
      <c r="M124" s="3">
        <f>IF($G124="","",L124*20%)</f>
      </c>
      <c r="N124" s="3">
        <v>1</v>
      </c>
      <c r="O124" s="3">
        <f>IF($G124="","",K124+M124)</f>
      </c>
      <c r="P124" s="3">
        <f>IF($G124="","",H124-I124-J124-K124-L124-M124-N124)</f>
      </c>
      <c r="Q124" s="3">
        <f>IF($G124="","",(P124-Y124)/F124*100)</f>
      </c>
      <c r="R124" s="3">
        <f>IF($G124="","",I124-O124)</f>
      </c>
      <c r="Z124" s="3">
        <f>IF($G124="","",P124-Y124)</f>
      </c>
    </row>
    <row r="125" spans="1:26" x14ac:dyDescent="0.25">
      <c r="A125" s="1"/>
      <c r="D125" s="2"/>
      <c r="F125" s="3"/>
      <c r="G125" s="3"/>
      <c r="H125" s="3">
        <f>IF($G125="","",G125-F125)</f>
      </c>
      <c r="I125" s="3">
        <f>IF($G125="","",H125*16.67%)</f>
      </c>
      <c r="J125" s="3">
        <f>IF($G125="","",G125*7%)</f>
      </c>
      <c r="K125" s="3">
        <f>IF($G125="","",J125*20%)</f>
      </c>
      <c r="L125" s="3"/>
      <c r="M125" s="3">
        <f>IF($G125="","",L125*20%)</f>
      </c>
      <c r="N125" s="3">
        <v>1</v>
      </c>
      <c r="O125" s="3">
        <f>IF($G125="","",K125+M125)</f>
      </c>
      <c r="P125" s="3">
        <f>IF($G125="","",H125-I125-J125-K125-L125-M125-N125)</f>
      </c>
      <c r="Q125" s="3">
        <f>IF($G125="","",(P125-Y125)/F125*100)</f>
      </c>
      <c r="R125" s="3">
        <f>IF($G125="","",I125-O125)</f>
      </c>
      <c r="Z125" s="3">
        <f>IF($G125="","",P125-Y125)</f>
      </c>
    </row>
    <row r="126" spans="1:26" x14ac:dyDescent="0.25">
      <c r="A126" s="1"/>
      <c r="D126" s="2"/>
      <c r="F126" s="3"/>
      <c r="G126" s="3"/>
      <c r="H126" s="3">
        <f>IF($G126="","",G126-F126)</f>
      </c>
      <c r="I126" s="3">
        <f>IF($G126="","",H126*16.67%)</f>
      </c>
      <c r="J126" s="3">
        <f>IF($G126="","",G126*7%)</f>
      </c>
      <c r="K126" s="3">
        <f>IF($G126="","",J126*20%)</f>
      </c>
      <c r="L126" s="3"/>
      <c r="M126" s="3">
        <f>IF($G126="","",L126*20%)</f>
      </c>
      <c r="N126" s="3">
        <v>1</v>
      </c>
      <c r="O126" s="3">
        <f>IF($G126="","",K126+M126)</f>
      </c>
      <c r="P126" s="3">
        <f>IF($G126="","",H126-I126-J126-K126-L126-M126-N126)</f>
      </c>
      <c r="Q126" s="3">
        <f>IF($G126="","",(P126-Y126)/F126*100)</f>
      </c>
      <c r="R126" s="3">
        <f>IF($G126="","",I126-O126)</f>
      </c>
      <c r="Z126" s="3">
        <f>IF($G126="","",P126-Y126)</f>
      </c>
    </row>
    <row r="127" spans="1:26" x14ac:dyDescent="0.25">
      <c r="A127" s="1"/>
      <c r="D127" s="2"/>
      <c r="F127" s="3"/>
      <c r="G127" s="3"/>
      <c r="H127" s="3">
        <f>IF($G127="","",G127-F127)</f>
      </c>
      <c r="I127" s="3">
        <f>IF($G127="","",H127*16.67%)</f>
      </c>
      <c r="J127" s="3">
        <f>IF($G127="","",G127*7%)</f>
      </c>
      <c r="K127" s="3">
        <f>IF($G127="","",J127*20%)</f>
      </c>
      <c r="L127" s="3"/>
      <c r="M127" s="3">
        <f>IF($G127="","",L127*20%)</f>
      </c>
      <c r="N127" s="3">
        <v>1</v>
      </c>
      <c r="O127" s="3">
        <f>IF($G127="","",K127+M127)</f>
      </c>
      <c r="P127" s="3">
        <f>IF($G127="","",H127-I127-J127-K127-L127-M127-N127)</f>
      </c>
      <c r="Q127" s="3">
        <f>IF($G127="","",(P127-Y127)/F127*100)</f>
      </c>
      <c r="R127" s="3">
        <f>IF($G127="","",I127-O127)</f>
      </c>
      <c r="Z127" s="3">
        <f>IF($G127="","",P127-Y127)</f>
      </c>
    </row>
    <row r="128" spans="1:26" x14ac:dyDescent="0.25">
      <c r="A128" s="1"/>
      <c r="D128" s="2"/>
      <c r="F128" s="3"/>
      <c r="G128" s="3"/>
      <c r="H128" s="3">
        <f>IF($G128="","",G128-F128)</f>
      </c>
      <c r="I128" s="3">
        <f>IF($G128="","",H128*16.67%)</f>
      </c>
      <c r="J128" s="3">
        <f>IF($G128="","",G128*7%)</f>
      </c>
      <c r="K128" s="3">
        <f>IF($G128="","",J128*20%)</f>
      </c>
      <c r="L128" s="3"/>
      <c r="M128" s="3">
        <f>IF($G128="","",L128*20%)</f>
      </c>
      <c r="N128" s="3">
        <v>1</v>
      </c>
      <c r="O128" s="3">
        <f>IF($G128="","",K128+M128)</f>
      </c>
      <c r="P128" s="3">
        <f>IF($G128="","",H128-I128-J128-K128-L128-M128-N128)</f>
      </c>
      <c r="Q128" s="3">
        <f>IF($G128="","",(P128-Y128)/F128*100)</f>
      </c>
      <c r="R128" s="3">
        <f>IF($G128="","",I128-O128)</f>
      </c>
      <c r="Z128" s="3">
        <f>IF($G128="","",P128-Y128)</f>
      </c>
    </row>
    <row r="129" spans="1:26" x14ac:dyDescent="0.25">
      <c r="A129" s="1"/>
      <c r="D129" s="2"/>
      <c r="F129" s="3"/>
      <c r="G129" s="3"/>
      <c r="H129" s="3">
        <f>IF($G129="","",G129-F129)</f>
      </c>
      <c r="I129" s="3">
        <f>IF($G129="","",H129*16.67%)</f>
      </c>
      <c r="J129" s="3">
        <f>IF($G129="","",G129*7%)</f>
      </c>
      <c r="K129" s="3">
        <f>IF($G129="","",J129*20%)</f>
      </c>
      <c r="L129" s="3"/>
      <c r="M129" s="3">
        <f>IF($G129="","",L129*20%)</f>
      </c>
      <c r="N129" s="3">
        <v>1</v>
      </c>
      <c r="O129" s="3">
        <f>IF($G129="","",K129+M129)</f>
      </c>
      <c r="P129" s="3">
        <f>IF($G129="","",H129-I129-J129-K129-L129-M129-N129)</f>
      </c>
      <c r="Q129" s="3">
        <f>IF($G129="","",(P129-Y129)/F129*100)</f>
      </c>
      <c r="R129" s="3">
        <f>IF($G129="","",I129-O129)</f>
      </c>
      <c r="Z129" s="3">
        <f>IF($G129="","",P129-Y129)</f>
      </c>
    </row>
    <row r="130" spans="1:26" x14ac:dyDescent="0.25">
      <c r="A130" s="1"/>
      <c r="D130" s="2"/>
      <c r="F130" s="3"/>
      <c r="G130" s="3"/>
      <c r="H130" s="3">
        <f>IF($G130="","",G130-F130)</f>
      </c>
      <c r="I130" s="3">
        <f>IF($G130="","",H130*16.67%)</f>
      </c>
      <c r="J130" s="3">
        <f>IF($G130="","",G130*7%)</f>
      </c>
      <c r="K130" s="3">
        <f>IF($G130="","",J130*20%)</f>
      </c>
      <c r="L130" s="3"/>
      <c r="M130" s="3">
        <f>IF($G130="","",L130*20%)</f>
      </c>
      <c r="N130" s="3">
        <v>1</v>
      </c>
      <c r="O130" s="3">
        <f>IF($G130="","",K130+M130)</f>
      </c>
      <c r="P130" s="3">
        <f>IF($G130="","",H130-I130-J130-K130-L130-M130-N130)</f>
      </c>
      <c r="Q130" s="3">
        <f>IF($G130="","",(P130-Y130)/F130*100)</f>
      </c>
      <c r="R130" s="3">
        <f>IF($G130="","",I130-O130)</f>
      </c>
      <c r="Z130" s="3">
        <f>IF($G130="","",P130-Y130)</f>
      </c>
    </row>
    <row r="131" spans="1:26" x14ac:dyDescent="0.25">
      <c r="A131" s="1"/>
      <c r="D131" s="2"/>
      <c r="F131" s="3"/>
      <c r="G131" s="3"/>
      <c r="H131" s="3">
        <f>IF($G131="","",G131-F131)</f>
      </c>
      <c r="I131" s="3">
        <f>IF($G131="","",H131*16.67%)</f>
      </c>
      <c r="J131" s="3">
        <f>IF($G131="","",G131*7%)</f>
      </c>
      <c r="K131" s="3">
        <f>IF($G131="","",J131*20%)</f>
      </c>
      <c r="L131" s="3"/>
      <c r="M131" s="3">
        <f>IF($G131="","",L131*20%)</f>
      </c>
      <c r="N131" s="3">
        <v>1</v>
      </c>
      <c r="O131" s="3">
        <f>IF($G131="","",K131+M131)</f>
      </c>
      <c r="P131" s="3">
        <f>IF($G131="","",H131-I131-J131-K131-L131-M131-N131)</f>
      </c>
      <c r="Q131" s="3">
        <f>IF($G131="","",(P131-Y131)/F131*100)</f>
      </c>
      <c r="R131" s="3">
        <f>IF($G131="","",I131-O131)</f>
      </c>
      <c r="Z131" s="3">
        <f>IF($G131="","",P131-Y131)</f>
      </c>
    </row>
    <row r="132" spans="1:26" x14ac:dyDescent="0.25">
      <c r="A132" s="1"/>
      <c r="D132" s="2"/>
      <c r="F132" s="3"/>
      <c r="G132" s="3"/>
      <c r="H132" s="3">
        <f>IF($G132="","",G132-F132)</f>
      </c>
      <c r="I132" s="3">
        <f>IF($G132="","",H132*16.67%)</f>
      </c>
      <c r="J132" s="3">
        <f>IF($G132="","",G132*7%)</f>
      </c>
      <c r="K132" s="3">
        <f>IF($G132="","",J132*20%)</f>
      </c>
      <c r="L132" s="3"/>
      <c r="M132" s="3">
        <f>IF($G132="","",L132*20%)</f>
      </c>
      <c r="N132" s="3">
        <v>1</v>
      </c>
      <c r="O132" s="3">
        <f>IF($G132="","",K132+M132)</f>
      </c>
      <c r="P132" s="3">
        <f>IF($G132="","",H132-I132-J132-K132-L132-M132-N132)</f>
      </c>
      <c r="Q132" s="3">
        <f>IF($G132="","",(P132-Y132)/F132*100)</f>
      </c>
      <c r="R132" s="3">
        <f>IF($G132="","",I132-O132)</f>
      </c>
      <c r="Z132" s="3">
        <f>IF($G132="","",P132-Y132)</f>
      </c>
    </row>
    <row r="133" spans="1:26" x14ac:dyDescent="0.25">
      <c r="A133" s="1"/>
      <c r="D133" s="2"/>
      <c r="F133" s="3"/>
      <c r="G133" s="3"/>
      <c r="H133" s="3">
        <f>IF($G133="","",G133-F133)</f>
      </c>
      <c r="I133" s="3">
        <f>IF($G133="","",H133*16.67%)</f>
      </c>
      <c r="J133" s="3">
        <f>IF($G133="","",G133*7%)</f>
      </c>
      <c r="K133" s="3">
        <f>IF($G133="","",J133*20%)</f>
      </c>
      <c r="L133" s="3"/>
      <c r="M133" s="3">
        <f>IF($G133="","",L133*20%)</f>
      </c>
      <c r="N133" s="3">
        <v>1</v>
      </c>
      <c r="O133" s="3">
        <f>IF($G133="","",K133+M133)</f>
      </c>
      <c r="P133" s="3">
        <f>IF($G133="","",H133-I133-J133-K133-L133-M133-N133)</f>
      </c>
      <c r="Q133" s="3">
        <f>IF($G133="","",(P133-Y133)/F133*100)</f>
      </c>
      <c r="R133" s="3">
        <f>IF($G133="","",I133-O133)</f>
      </c>
      <c r="Z133" s="3">
        <f>IF($G133="","",P133-Y133)</f>
      </c>
    </row>
    <row r="134" spans="1:26" x14ac:dyDescent="0.25">
      <c r="A134" s="1"/>
      <c r="D134" s="2"/>
      <c r="F134" s="3"/>
      <c r="G134" s="3"/>
      <c r="H134" s="3">
        <f>IF($G134="","",G134-F134)</f>
      </c>
      <c r="I134" s="3">
        <f>IF($G134="","",H134*16.67%)</f>
      </c>
      <c r="J134" s="3">
        <f>IF($G134="","",G134*7%)</f>
      </c>
      <c r="K134" s="3">
        <f>IF($G134="","",J134*20%)</f>
      </c>
      <c r="L134" s="3"/>
      <c r="M134" s="3">
        <f>IF($G134="","",L134*20%)</f>
      </c>
      <c r="N134" s="3">
        <v>1</v>
      </c>
      <c r="O134" s="3">
        <f>IF($G134="","",K134+M134)</f>
      </c>
      <c r="P134" s="3">
        <f>IF($G134="","",H134-I134-J134-K134-L134-M134-N134)</f>
      </c>
      <c r="Q134" s="3">
        <f>IF($G134="","",(P134-Y134)/F134*100)</f>
      </c>
      <c r="R134" s="3">
        <f>IF($G134="","",I134-O134)</f>
      </c>
      <c r="Z134" s="3">
        <f>IF($G134="","",P134-Y134)</f>
      </c>
    </row>
    <row r="135" spans="1:26" x14ac:dyDescent="0.25">
      <c r="A135" s="1"/>
      <c r="D135" s="2"/>
      <c r="F135" s="3"/>
      <c r="G135" s="3"/>
      <c r="H135" s="3">
        <f>IF($G135="","",G135-F135)</f>
      </c>
      <c r="I135" s="3">
        <f>IF($G135="","",H135*16.67%)</f>
      </c>
      <c r="J135" s="3">
        <f>IF($G135="","",G135*7%)</f>
      </c>
      <c r="K135" s="3">
        <f>IF($G135="","",J135*20%)</f>
      </c>
      <c r="L135" s="3"/>
      <c r="M135" s="3">
        <f>IF($G135="","",L135*20%)</f>
      </c>
      <c r="N135" s="3">
        <v>1</v>
      </c>
      <c r="O135" s="3">
        <f>IF($G135="","",K135+M135)</f>
      </c>
      <c r="P135" s="3">
        <f>IF($G135="","",H135-I135-J135-K135-L135-M135-N135)</f>
      </c>
      <c r="Q135" s="3">
        <f>IF($G135="","",(P135-Y135)/F135*100)</f>
      </c>
      <c r="R135" s="3">
        <f>IF($G135="","",I135-O135)</f>
      </c>
      <c r="Z135" s="3">
        <f>IF($G135="","",P135-Y135)</f>
      </c>
    </row>
    <row r="136" spans="1:26" x14ac:dyDescent="0.25">
      <c r="A136" s="1"/>
      <c r="D136" s="2"/>
      <c r="F136" s="3"/>
      <c r="G136" s="3"/>
      <c r="H136" s="3">
        <f>IF($G136="","",G136-F136)</f>
      </c>
      <c r="I136" s="3">
        <f>IF($G136="","",H136*16.67%)</f>
      </c>
      <c r="J136" s="3">
        <f>IF($G136="","",G136*7%)</f>
      </c>
      <c r="K136" s="3">
        <f>IF($G136="","",J136*20%)</f>
      </c>
      <c r="L136" s="3"/>
      <c r="M136" s="3">
        <f>IF($G136="","",L136*20%)</f>
      </c>
      <c r="N136" s="3">
        <v>1</v>
      </c>
      <c r="O136" s="3">
        <f>IF($G136="","",K136+M136)</f>
      </c>
      <c r="P136" s="3">
        <f>IF($G136="","",H136-I136-J136-K136-L136-M136-N136)</f>
      </c>
      <c r="Q136" s="3">
        <f>IF($G136="","",(P136-Y136)/F136*100)</f>
      </c>
      <c r="R136" s="3">
        <f>IF($G136="","",I136-O136)</f>
      </c>
      <c r="Z136" s="3">
        <f>IF($G136="","",P136-Y136)</f>
      </c>
    </row>
    <row r="137" spans="1:26" x14ac:dyDescent="0.25">
      <c r="A137" s="1"/>
      <c r="D137" s="2"/>
      <c r="F137" s="3"/>
      <c r="G137" s="3"/>
      <c r="H137" s="3">
        <f>IF($G137="","",G137-F137)</f>
      </c>
      <c r="I137" s="3">
        <f>IF($G137="","",H137*16.67%)</f>
      </c>
      <c r="J137" s="3">
        <f>IF($G137="","",G137*7%)</f>
      </c>
      <c r="K137" s="3">
        <f>IF($G137="","",J137*20%)</f>
      </c>
      <c r="L137" s="3"/>
      <c r="M137" s="3">
        <f>IF($G137="","",L137*20%)</f>
      </c>
      <c r="N137" s="3">
        <v>1</v>
      </c>
      <c r="O137" s="3">
        <f>IF($G137="","",K137+M137)</f>
      </c>
      <c r="P137" s="3">
        <f>IF($G137="","",H137-I137-J137-K137-L137-M137-N137)</f>
      </c>
      <c r="Q137" s="3">
        <f>IF($G137="","",(P137-Y137)/F137*100)</f>
      </c>
      <c r="R137" s="3">
        <f>IF($G137="","",I137-O137)</f>
      </c>
      <c r="Z137" s="3">
        <f>IF($G137="","",P137-Y137)</f>
      </c>
    </row>
    <row r="138" spans="1:26" x14ac:dyDescent="0.25">
      <c r="A138" s="1"/>
      <c r="D138" s="2"/>
      <c r="F138" s="3"/>
      <c r="G138" s="3"/>
      <c r="H138" s="3">
        <f>IF($G138="","",G138-F138)</f>
      </c>
      <c r="I138" s="3">
        <f>IF($G138="","",H138*16.67%)</f>
      </c>
      <c r="J138" s="3">
        <f>IF($G138="","",G138*7%)</f>
      </c>
      <c r="K138" s="3">
        <f>IF($G138="","",J138*20%)</f>
      </c>
      <c r="L138" s="3"/>
      <c r="M138" s="3">
        <f>IF($G138="","",L138*20%)</f>
      </c>
      <c r="N138" s="3">
        <v>1</v>
      </c>
      <c r="O138" s="3">
        <f>IF($G138="","",K138+M138)</f>
      </c>
      <c r="P138" s="3">
        <f>IF($G138="","",H138-I138-J138-K138-L138-M138-N138)</f>
      </c>
      <c r="Q138" s="3">
        <f>IF($G138="","",(P138-Y138)/F138*100)</f>
      </c>
      <c r="R138" s="3">
        <f>IF($G138="","",I138-O138)</f>
      </c>
      <c r="Z138" s="3">
        <f>IF($G138="","",P138-Y138)</f>
      </c>
    </row>
    <row r="139" spans="1:26" x14ac:dyDescent="0.25">
      <c r="A139" s="1"/>
      <c r="D139" s="2"/>
      <c r="F139" s="3"/>
      <c r="G139" s="3"/>
      <c r="H139" s="3">
        <f>IF($G139="","",G139-F139)</f>
      </c>
      <c r="I139" s="3">
        <f>IF($G139="","",H139*16.67%)</f>
      </c>
      <c r="J139" s="3">
        <f>IF($G139="","",G139*7%)</f>
      </c>
      <c r="K139" s="3">
        <f>IF($G139="","",J139*20%)</f>
      </c>
      <c r="L139" s="3"/>
      <c r="M139" s="3">
        <f>IF($G139="","",L139*20%)</f>
      </c>
      <c r="N139" s="3">
        <v>1</v>
      </c>
      <c r="O139" s="3">
        <f>IF($G139="","",K139+M139)</f>
      </c>
      <c r="P139" s="3">
        <f>IF($G139="","",H139-I139-J139-K139-L139-M139-N139)</f>
      </c>
      <c r="Q139" s="3">
        <f>IF($G139="","",(P139-Y139)/F139*100)</f>
      </c>
      <c r="R139" s="3">
        <f>IF($G139="","",I139-O139)</f>
      </c>
      <c r="Z139" s="3">
        <f>IF($G139="","",P139-Y139)</f>
      </c>
    </row>
    <row r="140" spans="1:26" x14ac:dyDescent="0.25">
      <c r="A140" s="1"/>
      <c r="D140" s="2"/>
      <c r="F140" s="3"/>
      <c r="G140" s="3"/>
      <c r="H140" s="3">
        <f>IF($G140="","",G140-F140)</f>
      </c>
      <c r="I140" s="3">
        <f>IF($G140="","",H140*16.67%)</f>
      </c>
      <c r="J140" s="3">
        <f>IF($G140="","",G140*7%)</f>
      </c>
      <c r="K140" s="3">
        <f>IF($G140="","",J140*20%)</f>
      </c>
      <c r="L140" s="3"/>
      <c r="M140" s="3">
        <f>IF($G140="","",L140*20%)</f>
      </c>
      <c r="N140" s="3">
        <v>1</v>
      </c>
      <c r="O140" s="3">
        <f>IF($G140="","",K140+M140)</f>
      </c>
      <c r="P140" s="3">
        <f>IF($G140="","",H140-I140-J140-K140-L140-M140-N140)</f>
      </c>
      <c r="Q140" s="3">
        <f>IF($G140="","",(P140-Y140)/F140*100)</f>
      </c>
      <c r="R140" s="3">
        <f>IF($G140="","",I140-O140)</f>
      </c>
      <c r="Z140" s="3">
        <f>IF($G140="","",P140-Y140)</f>
      </c>
    </row>
    <row r="141" spans="1:26" x14ac:dyDescent="0.25">
      <c r="A141" s="1"/>
      <c r="D141" s="2"/>
      <c r="F141" s="3"/>
      <c r="G141" s="3"/>
      <c r="H141" s="3">
        <f>IF($G141="","",G141-F141)</f>
      </c>
      <c r="I141" s="3">
        <f>IF($G141="","",H141*16.67%)</f>
      </c>
      <c r="J141" s="3">
        <f>IF($G141="","",G141*7%)</f>
      </c>
      <c r="K141" s="3">
        <f>IF($G141="","",J141*20%)</f>
      </c>
      <c r="L141" s="3"/>
      <c r="M141" s="3">
        <f>IF($G141="","",L141*20%)</f>
      </c>
      <c r="N141" s="3">
        <v>1</v>
      </c>
      <c r="O141" s="3">
        <f>IF($G141="","",K141+M141)</f>
      </c>
      <c r="P141" s="3">
        <f>IF($G141="","",H141-I141-J141-K141-L141-M141-N141)</f>
      </c>
      <c r="Q141" s="3">
        <f>IF($G141="","",(P141-Y141)/F141*100)</f>
      </c>
      <c r="R141" s="3">
        <f>IF($G141="","",I141-O141)</f>
      </c>
      <c r="Z141" s="3">
        <f>IF($G141="","",P141-Y141)</f>
      </c>
    </row>
    <row r="142" spans="1:26" x14ac:dyDescent="0.25">
      <c r="A142" s="1"/>
      <c r="D142" s="2"/>
      <c r="F142" s="3"/>
      <c r="G142" s="3"/>
      <c r="H142" s="3">
        <f>IF($G142="","",G142-F142)</f>
      </c>
      <c r="I142" s="3">
        <f>IF($G142="","",H142*16.67%)</f>
      </c>
      <c r="J142" s="3">
        <f>IF($G142="","",G142*7%)</f>
      </c>
      <c r="K142" s="3">
        <f>IF($G142="","",J142*20%)</f>
      </c>
      <c r="L142" s="3"/>
      <c r="M142" s="3">
        <f>IF($G142="","",L142*20%)</f>
      </c>
      <c r="N142" s="3">
        <v>1</v>
      </c>
      <c r="O142" s="3">
        <f>IF($G142="","",K142+M142)</f>
      </c>
      <c r="P142" s="3">
        <f>IF($G142="","",H142-I142-J142-K142-L142-M142-N142)</f>
      </c>
      <c r="Q142" s="3">
        <f>IF($G142="","",(P142-Y142)/F142*100)</f>
      </c>
      <c r="R142" s="3">
        <f>IF($G142="","",I142-O142)</f>
      </c>
      <c r="Z142" s="3">
        <f>IF($G142="","",P142-Y142)</f>
      </c>
    </row>
    <row r="143" spans="1:26" x14ac:dyDescent="0.25">
      <c r="A143" s="1"/>
      <c r="D143" s="2"/>
      <c r="F143" s="3"/>
      <c r="G143" s="3"/>
      <c r="H143" s="3">
        <f>IF($G143="","",G143-F143)</f>
      </c>
      <c r="I143" s="3">
        <f>IF($G143="","",H143*16.67%)</f>
      </c>
      <c r="J143" s="3">
        <f>IF($G143="","",G143*7%)</f>
      </c>
      <c r="K143" s="3">
        <f>IF($G143="","",J143*20%)</f>
      </c>
      <c r="L143" s="3"/>
      <c r="M143" s="3">
        <f>IF($G143="","",L143*20%)</f>
      </c>
      <c r="N143" s="3">
        <v>1</v>
      </c>
      <c r="O143" s="3">
        <f>IF($G143="","",K143+M143)</f>
      </c>
      <c r="P143" s="3">
        <f>IF($G143="","",H143-I143-J143-K143-L143-M143-N143)</f>
      </c>
      <c r="Q143" s="3">
        <f>IF($G143="","",(P143-Y143)/F143*100)</f>
      </c>
      <c r="R143" s="3">
        <f>IF($G143="","",I143-O143)</f>
      </c>
      <c r="Z143" s="3">
        <f>IF($G143="","",P143-Y143)</f>
      </c>
    </row>
    <row r="144" spans="1:26" x14ac:dyDescent="0.25">
      <c r="A144" s="1"/>
      <c r="D144" s="2"/>
      <c r="F144" s="3"/>
      <c r="G144" s="3"/>
      <c r="H144" s="3">
        <f>IF($G144="","",G144-F144)</f>
      </c>
      <c r="I144" s="3">
        <f>IF($G144="","",H144*16.67%)</f>
      </c>
      <c r="J144" s="3">
        <f>IF($G144="","",G144*7%)</f>
      </c>
      <c r="K144" s="3">
        <f>IF($G144="","",J144*20%)</f>
      </c>
      <c r="L144" s="3"/>
      <c r="M144" s="3">
        <f>IF($G144="","",L144*20%)</f>
      </c>
      <c r="N144" s="3">
        <v>1</v>
      </c>
      <c r="O144" s="3">
        <f>IF($G144="","",K144+M144)</f>
      </c>
      <c r="P144" s="3">
        <f>IF($G144="","",H144-I144-J144-K144-L144-M144-N144)</f>
      </c>
      <c r="Q144" s="3">
        <f>IF($G144="","",(P144-Y144)/F144*100)</f>
      </c>
      <c r="R144" s="3">
        <f>IF($G144="","",I144-O144)</f>
      </c>
      <c r="Z144" s="3">
        <f>IF($G144="","",P144-Y144)</f>
      </c>
    </row>
    <row r="145" spans="1:26" x14ac:dyDescent="0.25">
      <c r="A145" s="1"/>
      <c r="D145" s="2"/>
      <c r="F145" s="3"/>
      <c r="G145" s="3"/>
      <c r="H145" s="3">
        <f>IF($G145="","",G145-F145)</f>
      </c>
      <c r="I145" s="3">
        <f>IF($G145="","",H145*16.67%)</f>
      </c>
      <c r="J145" s="3">
        <f>IF($G145="","",G145*7%)</f>
      </c>
      <c r="K145" s="3">
        <f>IF($G145="","",J145*20%)</f>
      </c>
      <c r="L145" s="3"/>
      <c r="M145" s="3">
        <f>IF($G145="","",L145*20%)</f>
      </c>
      <c r="N145" s="3">
        <v>1</v>
      </c>
      <c r="O145" s="3">
        <f>IF($G145="","",K145+M145)</f>
      </c>
      <c r="P145" s="3">
        <f>IF($G145="","",H145-I145-J145-K145-L145-M145-N145)</f>
      </c>
      <c r="Q145" s="3">
        <f>IF($G145="","",(P145-Y145)/F145*100)</f>
      </c>
      <c r="R145" s="3">
        <f>IF($G145="","",I145-O145)</f>
      </c>
      <c r="Z145" s="3">
        <f>IF($G145="","",P145-Y145)</f>
      </c>
    </row>
    <row r="146" spans="1:26" x14ac:dyDescent="0.25">
      <c r="A146" s="1"/>
      <c r="D146" s="2"/>
      <c r="F146" s="3"/>
      <c r="G146" s="3"/>
      <c r="H146" s="3">
        <f>IF($G146="","",G146-F146)</f>
      </c>
      <c r="I146" s="3">
        <f>IF($G146="","",H146*16.67%)</f>
      </c>
      <c r="J146" s="3">
        <f>IF($G146="","",G146*7%)</f>
      </c>
      <c r="K146" s="3">
        <f>IF($G146="","",J146*20%)</f>
      </c>
      <c r="L146" s="3"/>
      <c r="M146" s="3">
        <f>IF($G146="","",L146*20%)</f>
      </c>
      <c r="N146" s="3">
        <v>1</v>
      </c>
      <c r="O146" s="3">
        <f>IF($G146="","",K146+M146)</f>
      </c>
      <c r="P146" s="3">
        <f>IF($G146="","",H146-I146-J146-K146-L146-M146-N146)</f>
      </c>
      <c r="Q146" s="3">
        <f>IF($G146="","",(P146-Y146)/F146*100)</f>
      </c>
      <c r="R146" s="3">
        <f>IF($G146="","",I146-O146)</f>
      </c>
      <c r="Z146" s="3">
        <f>IF($G146="","",P146-Y146)</f>
      </c>
    </row>
    <row r="147" spans="1:26" x14ac:dyDescent="0.25">
      <c r="A147" s="1"/>
      <c r="D147" s="2"/>
      <c r="F147" s="3"/>
      <c r="G147" s="3"/>
      <c r="H147" s="3">
        <f>IF($G147="","",G147-F147)</f>
      </c>
      <c r="I147" s="3">
        <f>IF($G147="","",H147*16.67%)</f>
      </c>
      <c r="J147" s="3">
        <f>IF($G147="","",G147*7%)</f>
      </c>
      <c r="K147" s="3">
        <f>IF($G147="","",J147*20%)</f>
      </c>
      <c r="L147" s="3"/>
      <c r="M147" s="3">
        <f>IF($G147="","",L147*20%)</f>
      </c>
      <c r="N147" s="3">
        <v>1</v>
      </c>
      <c r="O147" s="3">
        <f>IF($G147="","",K147+M147)</f>
      </c>
      <c r="P147" s="3">
        <f>IF($G147="","",H147-I147-J147-K147-L147-M147-N147)</f>
      </c>
      <c r="Q147" s="3">
        <f>IF($G147="","",(P147-Y147)/F147*100)</f>
      </c>
      <c r="R147" s="3">
        <f>IF($G147="","",I147-O147)</f>
      </c>
      <c r="Z147" s="3">
        <f>IF($G147="","",P147-Y147)</f>
      </c>
    </row>
    <row r="148" spans="1:26" x14ac:dyDescent="0.25">
      <c r="A148" s="1"/>
      <c r="D148" s="2"/>
      <c r="F148" s="3"/>
      <c r="G148" s="3"/>
      <c r="H148" s="3">
        <f>IF($G148="","",G148-F148)</f>
      </c>
      <c r="I148" s="3">
        <f>IF($G148="","",H148*16.67%)</f>
      </c>
      <c r="J148" s="3">
        <f>IF($G148="","",G148*7%)</f>
      </c>
      <c r="K148" s="3">
        <f>IF($G148="","",J148*20%)</f>
      </c>
      <c r="L148" s="3"/>
      <c r="M148" s="3">
        <f>IF($G148="","",L148*20%)</f>
      </c>
      <c r="N148" s="3">
        <v>1</v>
      </c>
      <c r="O148" s="3">
        <f>IF($G148="","",K148+M148)</f>
      </c>
      <c r="P148" s="3">
        <f>IF($G148="","",H148-I148-J148-K148-L148-M148-N148)</f>
      </c>
      <c r="Q148" s="3">
        <f>IF($G148="","",(P148-Y148)/F148*100)</f>
      </c>
      <c r="R148" s="3">
        <f>IF($G148="","",I148-O148)</f>
      </c>
      <c r="Z148" s="3">
        <f>IF($G148="","",P148-Y148)</f>
      </c>
    </row>
    <row r="149" spans="1:26" x14ac:dyDescent="0.25">
      <c r="A149" s="1"/>
      <c r="D149" s="2"/>
      <c r="F149" s="3"/>
      <c r="G149" s="3"/>
      <c r="H149" s="3">
        <f>IF($G149="","",G149-F149)</f>
      </c>
      <c r="I149" s="3">
        <f>IF($G149="","",H149*16.67%)</f>
      </c>
      <c r="J149" s="3">
        <f>IF($G149="","",G149*7%)</f>
      </c>
      <c r="K149" s="3">
        <f>IF($G149="","",J149*20%)</f>
      </c>
      <c r="L149" s="3"/>
      <c r="M149" s="3">
        <f>IF($G149="","",L149*20%)</f>
      </c>
      <c r="N149" s="3">
        <v>1</v>
      </c>
      <c r="O149" s="3">
        <f>IF($G149="","",K149+M149)</f>
      </c>
      <c r="P149" s="3">
        <f>IF($G149="","",H149-I149-J149-K149-L149-M149-N149)</f>
      </c>
      <c r="Q149" s="3">
        <f>IF($G149="","",(P149-Y149)/F149*100)</f>
      </c>
      <c r="R149" s="3">
        <f>IF($G149="","",I149-O149)</f>
      </c>
      <c r="Z149" s="3">
        <f>IF($G149="","",P149-Y149)</f>
      </c>
    </row>
    <row r="150" spans="1:26" x14ac:dyDescent="0.25">
      <c r="A150" s="1"/>
      <c r="D150" s="2"/>
      <c r="F150" s="3"/>
      <c r="G150" s="3"/>
      <c r="H150" s="3">
        <f>IF($G150="","",G150-F150)</f>
      </c>
      <c r="I150" s="3">
        <f>IF($G150="","",H150*16.67%)</f>
      </c>
      <c r="J150" s="3">
        <f>IF($G150="","",G150*7%)</f>
      </c>
      <c r="K150" s="3">
        <f>IF($G150="","",J150*20%)</f>
      </c>
      <c r="L150" s="3"/>
      <c r="M150" s="3">
        <f>IF($G150="","",L150*20%)</f>
      </c>
      <c r="N150" s="3">
        <v>1</v>
      </c>
      <c r="O150" s="3">
        <f>IF($G150="","",K150+M150)</f>
      </c>
      <c r="P150" s="3">
        <f>IF($G150="","",H150-I150-J150-K150-L150-M150-N150)</f>
      </c>
      <c r="Q150" s="3">
        <f>IF($G150="","",(P150-Y150)/F150*100)</f>
      </c>
      <c r="R150" s="3">
        <f>IF($G150="","",I150-O150)</f>
      </c>
      <c r="Z150" s="3">
        <f>IF($G150="","",P150-Y150)</f>
      </c>
    </row>
    <row r="151" spans="1:26" x14ac:dyDescent="0.25">
      <c r="A151" s="1"/>
      <c r="D151" s="2"/>
      <c r="F151" s="3"/>
      <c r="G151" s="3"/>
      <c r="H151" s="3">
        <f>IF($G151="","",G151-F151)</f>
      </c>
      <c r="I151" s="3">
        <f>IF($G151="","",H151*16.67%)</f>
      </c>
      <c r="J151" s="3">
        <f>IF($G151="","",G151*7%)</f>
      </c>
      <c r="K151" s="3">
        <f>IF($G151="","",J151*20%)</f>
      </c>
      <c r="L151" s="3"/>
      <c r="M151" s="3">
        <f>IF($G151="","",L151*20%)</f>
      </c>
      <c r="N151" s="3">
        <v>1</v>
      </c>
      <c r="O151" s="3">
        <f>IF($G151="","",K151+M151)</f>
      </c>
      <c r="P151" s="3">
        <f>IF($G151="","",H151-I151-J151-K151-L151-M151-N151)</f>
      </c>
      <c r="Q151" s="3">
        <f>IF($G151="","",(P151-Y151)/F151*100)</f>
      </c>
      <c r="R151" s="3">
        <f>IF($G151="","",I151-O151)</f>
      </c>
      <c r="Z151" s="3">
        <f>IF($G151="","",P151-Y151)</f>
      </c>
    </row>
    <row r="152" spans="1:26" x14ac:dyDescent="0.25">
      <c r="A152" s="1"/>
      <c r="D152" s="2"/>
      <c r="F152" s="3"/>
      <c r="G152" s="3"/>
      <c r="H152" s="3">
        <f>IF($G152="","",G152-F152)</f>
      </c>
      <c r="I152" s="3">
        <f>IF($G152="","",H152*16.67%)</f>
      </c>
      <c r="J152" s="3">
        <f>IF($G152="","",G152*7%)</f>
      </c>
      <c r="K152" s="3">
        <f>IF($G152="","",J152*20%)</f>
      </c>
      <c r="L152" s="3"/>
      <c r="M152" s="3">
        <f>IF($G152="","",L152*20%)</f>
      </c>
      <c r="N152" s="3">
        <v>1</v>
      </c>
      <c r="O152" s="3">
        <f>IF($G152="","",K152+M152)</f>
      </c>
      <c r="P152" s="3">
        <f>IF($G152="","",H152-I152-J152-K152-L152-M152-N152)</f>
      </c>
      <c r="Q152" s="3">
        <f>IF($G152="","",(P152-Y152)/F152*100)</f>
      </c>
      <c r="R152" s="3">
        <f>IF($G152="","",I152-O152)</f>
      </c>
      <c r="Z152" s="3">
        <f>IF($G152="","",P152-Y152)</f>
      </c>
    </row>
    <row r="153" spans="1:26" x14ac:dyDescent="0.25">
      <c r="A153" s="1"/>
      <c r="D153" s="2"/>
      <c r="F153" s="3"/>
      <c r="G153" s="3"/>
      <c r="H153" s="3">
        <f>IF($G153="","",G153-F153)</f>
      </c>
      <c r="I153" s="3">
        <f>IF($G153="","",H153*16.67%)</f>
      </c>
      <c r="J153" s="3">
        <f>IF($G153="","",G153*7%)</f>
      </c>
      <c r="K153" s="3">
        <f>IF($G153="","",J153*20%)</f>
      </c>
      <c r="L153" s="3"/>
      <c r="M153" s="3">
        <f>IF($G153="","",L153*20%)</f>
      </c>
      <c r="N153" s="3">
        <v>1</v>
      </c>
      <c r="O153" s="3">
        <f>IF($G153="","",K153+M153)</f>
      </c>
      <c r="P153" s="3">
        <f>IF($G153="","",H153-I153-J153-K153-L153-M153-N153)</f>
      </c>
      <c r="Q153" s="3">
        <f>IF($G153="","",(P153-Y153)/F153*100)</f>
      </c>
      <c r="R153" s="3">
        <f>IF($G153="","",I153-O153)</f>
      </c>
      <c r="Z153" s="3">
        <f>IF($G153="","",P153-Y153)</f>
      </c>
    </row>
    <row r="154" spans="1:26" x14ac:dyDescent="0.25">
      <c r="A154" s="1"/>
      <c r="D154" s="2"/>
      <c r="F154" s="3"/>
      <c r="G154" s="3"/>
      <c r="H154" s="3">
        <f>IF($G154="","",G154-F154)</f>
      </c>
      <c r="I154" s="3">
        <f>IF($G154="","",H154*16.67%)</f>
      </c>
      <c r="J154" s="3">
        <f>IF($G154="","",G154*7%)</f>
      </c>
      <c r="K154" s="3">
        <f>IF($G154="","",J154*20%)</f>
      </c>
      <c r="L154" s="3"/>
      <c r="M154" s="3">
        <f>IF($G154="","",L154*20%)</f>
      </c>
      <c r="N154" s="3">
        <v>1</v>
      </c>
      <c r="O154" s="3">
        <f>IF($G154="","",K154+M154)</f>
      </c>
      <c r="P154" s="3">
        <f>IF($G154="","",H154-I154-J154-K154-L154-M154-N154)</f>
      </c>
      <c r="Q154" s="3">
        <f>IF($G154="","",(P154-Y154)/F154*100)</f>
      </c>
      <c r="R154" s="3">
        <f>IF($G154="","",I154-O154)</f>
      </c>
      <c r="Z154" s="3">
        <f>IF($G154="","",P154-Y154)</f>
      </c>
    </row>
    <row r="155" spans="1:26" x14ac:dyDescent="0.25">
      <c r="A155" s="1"/>
      <c r="D155" s="2"/>
      <c r="F155" s="3"/>
      <c r="G155" s="3"/>
      <c r="H155" s="3">
        <f>IF($G155="","",G155-F155)</f>
      </c>
      <c r="I155" s="3">
        <f>IF($G155="","",H155*16.67%)</f>
      </c>
      <c r="J155" s="3">
        <f>IF($G155="","",G155*7%)</f>
      </c>
      <c r="K155" s="3">
        <f>IF($G155="","",J155*20%)</f>
      </c>
      <c r="L155" s="3"/>
      <c r="M155" s="3">
        <f>IF($G155="","",L155*20%)</f>
      </c>
      <c r="N155" s="3">
        <v>1</v>
      </c>
      <c r="O155" s="3">
        <f>IF($G155="","",K155+M155)</f>
      </c>
      <c r="P155" s="3">
        <f>IF($G155="","",H155-I155-J155-K155-L155-M155-N155)</f>
      </c>
      <c r="Q155" s="3">
        <f>IF($G155="","",(P155-Y155)/F155*100)</f>
      </c>
      <c r="R155" s="3">
        <f>IF($G155="","",I155-O155)</f>
      </c>
      <c r="Z155" s="3">
        <f>IF($G155="","",P155-Y155)</f>
      </c>
    </row>
    <row r="156" spans="1:26" x14ac:dyDescent="0.25">
      <c r="A156" s="1"/>
      <c r="D156" s="2"/>
      <c r="F156" s="3"/>
      <c r="G156" s="3"/>
      <c r="H156" s="3">
        <f>IF($G156="","",G156-F156)</f>
      </c>
      <c r="I156" s="3">
        <f>IF($G156="","",H156*16.67%)</f>
      </c>
      <c r="J156" s="3">
        <f>IF($G156="","",G156*7%)</f>
      </c>
      <c r="K156" s="3">
        <f>IF($G156="","",J156*20%)</f>
      </c>
      <c r="L156" s="3"/>
      <c r="M156" s="3">
        <f>IF($G156="","",L156*20%)</f>
      </c>
      <c r="N156" s="3">
        <v>1</v>
      </c>
      <c r="O156" s="3">
        <f>IF($G156="","",K156+M156)</f>
      </c>
      <c r="P156" s="3">
        <f>IF($G156="","",H156-I156-J156-K156-L156-M156-N156)</f>
      </c>
      <c r="Q156" s="3">
        <f>IF($G156="","",(P156-Y156)/F156*100)</f>
      </c>
      <c r="R156" s="3">
        <f>IF($G156="","",I156-O156)</f>
      </c>
      <c r="Z156" s="3">
        <f>IF($G156="","",P156-Y156)</f>
      </c>
    </row>
    <row r="157" spans="1:26" x14ac:dyDescent="0.25">
      <c r="A157" s="1"/>
      <c r="D157" s="2"/>
      <c r="F157" s="3"/>
      <c r="G157" s="3"/>
      <c r="H157" s="3">
        <f>IF($G157="","",G157-F157)</f>
      </c>
      <c r="I157" s="3">
        <f>IF($G157="","",H157*16.67%)</f>
      </c>
      <c r="J157" s="3">
        <f>IF($G157="","",G157*7%)</f>
      </c>
      <c r="K157" s="3">
        <f>IF($G157="","",J157*20%)</f>
      </c>
      <c r="L157" s="3"/>
      <c r="M157" s="3">
        <f>IF($G157="","",L157*20%)</f>
      </c>
      <c r="N157" s="3">
        <v>1</v>
      </c>
      <c r="O157" s="3">
        <f>IF($G157="","",K157+M157)</f>
      </c>
      <c r="P157" s="3">
        <f>IF($G157="","",H157-I157-J157-K157-L157-M157-N157)</f>
      </c>
      <c r="Q157" s="3">
        <f>IF($G157="","",(P157-Y157)/F157*100)</f>
      </c>
      <c r="R157" s="3">
        <f>IF($G157="","",I157-O157)</f>
      </c>
      <c r="Z157" s="3">
        <f>IF($G157="","",P157-Y157)</f>
      </c>
    </row>
    <row r="158" spans="1:26" x14ac:dyDescent="0.25">
      <c r="A158" s="1"/>
      <c r="D158" s="2"/>
      <c r="F158" s="3"/>
      <c r="G158" s="3"/>
      <c r="H158" s="3">
        <f>IF($G158="","",G158-F158)</f>
      </c>
      <c r="I158" s="3">
        <f>IF($G158="","",H158*16.67%)</f>
      </c>
      <c r="J158" s="3">
        <f>IF($G158="","",G158*7%)</f>
      </c>
      <c r="K158" s="3">
        <f>IF($G158="","",J158*20%)</f>
      </c>
      <c r="L158" s="3"/>
      <c r="M158" s="3">
        <f>IF($G158="","",L158*20%)</f>
      </c>
      <c r="N158" s="3">
        <v>1</v>
      </c>
      <c r="O158" s="3">
        <f>IF($G158="","",K158+M158)</f>
      </c>
      <c r="P158" s="3">
        <f>IF($G158="","",H158-I158-J158-K158-L158-M158-N158)</f>
      </c>
      <c r="Q158" s="3">
        <f>IF($G158="","",(P158-Y158)/F158*100)</f>
      </c>
      <c r="R158" s="3">
        <f>IF($G158="","",I158-O158)</f>
      </c>
      <c r="Z158" s="3">
        <f>IF($G158="","",P158-Y158)</f>
      </c>
    </row>
    <row r="159" spans="1:26" x14ac:dyDescent="0.25">
      <c r="A159" s="1"/>
      <c r="D159" s="2"/>
      <c r="F159" s="3"/>
      <c r="G159" s="3"/>
      <c r="H159" s="3">
        <f>IF($G159="","",G159-F159)</f>
      </c>
      <c r="I159" s="3">
        <f>IF($G159="","",H159*16.67%)</f>
      </c>
      <c r="J159" s="3">
        <f>IF($G159="","",G159*7%)</f>
      </c>
      <c r="K159" s="3">
        <f>IF($G159="","",J159*20%)</f>
      </c>
      <c r="L159" s="3"/>
      <c r="M159" s="3">
        <f>IF($G159="","",L159*20%)</f>
      </c>
      <c r="N159" s="3">
        <v>1</v>
      </c>
      <c r="O159" s="3">
        <f>IF($G159="","",K159+M159)</f>
      </c>
      <c r="P159" s="3">
        <f>IF($G159="","",H159-I159-J159-K159-L159-M159-N159)</f>
      </c>
      <c r="Q159" s="3">
        <f>IF($G159="","",(P159-Y159)/F159*100)</f>
      </c>
      <c r="R159" s="3">
        <f>IF($G159="","",I159-O159)</f>
      </c>
      <c r="Z159" s="3">
        <f>IF($G159="","",P159-Y159)</f>
      </c>
    </row>
    <row r="160" spans="1:26" x14ac:dyDescent="0.25">
      <c r="A160" s="1"/>
      <c r="D160" s="2"/>
      <c r="F160" s="3"/>
      <c r="G160" s="3"/>
      <c r="H160" s="3">
        <f>IF($G160="","",G160-F160)</f>
      </c>
      <c r="I160" s="3">
        <f>IF($G160="","",H160*16.67%)</f>
      </c>
      <c r="J160" s="3">
        <f>IF($G160="","",G160*7%)</f>
      </c>
      <c r="K160" s="3">
        <f>IF($G160="","",J160*20%)</f>
      </c>
      <c r="L160" s="3"/>
      <c r="M160" s="3">
        <f>IF($G160="","",L160*20%)</f>
      </c>
      <c r="N160" s="3">
        <v>1</v>
      </c>
      <c r="O160" s="3">
        <f>IF($G160="","",K160+M160)</f>
      </c>
      <c r="P160" s="3">
        <f>IF($G160="","",H160-I160-J160-K160-L160-M160-N160)</f>
      </c>
      <c r="Q160" s="3">
        <f>IF($G160="","",(P160-Y160)/F160*100)</f>
      </c>
      <c r="R160" s="3">
        <f>IF($G160="","",I160-O160)</f>
      </c>
      <c r="Z160" s="3">
        <f>IF($G160="","",P160-Y160)</f>
      </c>
    </row>
    <row r="161" spans="1:26" x14ac:dyDescent="0.25">
      <c r="A161" s="1"/>
      <c r="D161" s="2"/>
      <c r="F161" s="3"/>
      <c r="G161" s="3"/>
      <c r="H161" s="3">
        <f>IF($G161="","",G161-F161)</f>
      </c>
      <c r="I161" s="3">
        <f>IF($G161="","",H161*16.67%)</f>
      </c>
      <c r="J161" s="3">
        <f>IF($G161="","",G161*7%)</f>
      </c>
      <c r="K161" s="3">
        <f>IF($G161="","",J161*20%)</f>
      </c>
      <c r="L161" s="3"/>
      <c r="M161" s="3">
        <f>IF($G161="","",L161*20%)</f>
      </c>
      <c r="N161" s="3">
        <v>1</v>
      </c>
      <c r="O161" s="3">
        <f>IF($G161="","",K161+M161)</f>
      </c>
      <c r="P161" s="3">
        <f>IF($G161="","",H161-I161-J161-K161-L161-M161-N161)</f>
      </c>
      <c r="Q161" s="3">
        <f>IF($G161="","",(P161-Y161)/F161*100)</f>
      </c>
      <c r="R161" s="3">
        <f>IF($G161="","",I161-O161)</f>
      </c>
      <c r="Z161" s="3">
        <f>IF($G161="","",P161-Y161)</f>
      </c>
    </row>
    <row r="162" spans="1:26" x14ac:dyDescent="0.25">
      <c r="A162" s="1"/>
      <c r="D162" s="2"/>
      <c r="F162" s="3"/>
      <c r="G162" s="3"/>
      <c r="H162" s="3">
        <f>IF($G162="","",G162-F162)</f>
      </c>
      <c r="I162" s="3">
        <f>IF($G162="","",H162*16.67%)</f>
      </c>
      <c r="J162" s="3">
        <f>IF($G162="","",G162*7%)</f>
      </c>
      <c r="K162" s="3">
        <f>IF($G162="","",J162*20%)</f>
      </c>
      <c r="L162" s="3"/>
      <c r="M162" s="3">
        <f>IF($G162="","",L162*20%)</f>
      </c>
      <c r="N162" s="3">
        <v>1</v>
      </c>
      <c r="O162" s="3">
        <f>IF($G162="","",K162+M162)</f>
      </c>
      <c r="P162" s="3">
        <f>IF($G162="","",H162-I162-J162-K162-L162-M162-N162)</f>
      </c>
      <c r="Q162" s="3">
        <f>IF($G162="","",(P162-Y162)/F162*100)</f>
      </c>
      <c r="R162" s="3">
        <f>IF($G162="","",I162-O162)</f>
      </c>
      <c r="Z162" s="3">
        <f>IF($G162="","",P162-Y162)</f>
      </c>
    </row>
    <row r="163" spans="1:26" x14ac:dyDescent="0.25">
      <c r="A163" s="1"/>
      <c r="D163" s="2"/>
      <c r="F163" s="3"/>
      <c r="G163" s="3"/>
      <c r="H163" s="3">
        <f>IF($G163="","",G163-F163)</f>
      </c>
      <c r="I163" s="3">
        <f>IF($G163="","",H163*16.67%)</f>
      </c>
      <c r="J163" s="3">
        <f>IF($G163="","",G163*7%)</f>
      </c>
      <c r="K163" s="3">
        <f>IF($G163="","",J163*20%)</f>
      </c>
      <c r="L163" s="3"/>
      <c r="M163" s="3">
        <f>IF($G163="","",L163*20%)</f>
      </c>
      <c r="N163" s="3">
        <v>1</v>
      </c>
      <c r="O163" s="3">
        <f>IF($G163="","",K163+M163)</f>
      </c>
      <c r="P163" s="3">
        <f>IF($G163="","",H163-I163-J163-K163-L163-M163-N163)</f>
      </c>
      <c r="Q163" s="3">
        <f>IF($G163="","",(P163-Y163)/F163*100)</f>
      </c>
      <c r="R163" s="3">
        <f>IF($G163="","",I163-O163)</f>
      </c>
      <c r="Z163" s="3">
        <f>IF($G163="","",P163-Y163)</f>
      </c>
    </row>
    <row r="164" spans="1:26" x14ac:dyDescent="0.25">
      <c r="A164" s="1"/>
      <c r="D164" s="2"/>
      <c r="F164" s="3"/>
      <c r="G164" s="3"/>
      <c r="H164" s="3">
        <f>IF($G164="","",G164-F164)</f>
      </c>
      <c r="I164" s="3">
        <f>IF($G164="","",H164*16.67%)</f>
      </c>
      <c r="J164" s="3">
        <f>IF($G164="","",G164*7%)</f>
      </c>
      <c r="K164" s="3">
        <f>IF($G164="","",J164*20%)</f>
      </c>
      <c r="L164" s="3"/>
      <c r="M164" s="3">
        <f>IF($G164="","",L164*20%)</f>
      </c>
      <c r="N164" s="3">
        <v>1</v>
      </c>
      <c r="O164" s="3">
        <f>IF($G164="","",K164+M164)</f>
      </c>
      <c r="P164" s="3">
        <f>IF($G164="","",H164-I164-J164-K164-L164-M164-N164)</f>
      </c>
      <c r="Q164" s="3">
        <f>IF($G164="","",(P164-Y164)/F164*100)</f>
      </c>
      <c r="R164" s="3">
        <f>IF($G164="","",I164-O164)</f>
      </c>
      <c r="Z164" s="3">
        <f>IF($G164="","",P164-Y164)</f>
      </c>
    </row>
    <row r="165" spans="1:26" x14ac:dyDescent="0.25">
      <c r="A165" s="1"/>
      <c r="D165" s="2"/>
      <c r="F165" s="3"/>
      <c r="G165" s="3"/>
      <c r="H165" s="3">
        <f>IF($G165="","",G165-F165)</f>
      </c>
      <c r="I165" s="3">
        <f>IF($G165="","",H165*16.67%)</f>
      </c>
      <c r="J165" s="3">
        <f>IF($G165="","",G165*7%)</f>
      </c>
      <c r="K165" s="3">
        <f>IF($G165="","",J165*20%)</f>
      </c>
      <c r="L165" s="3"/>
      <c r="M165" s="3">
        <f>IF($G165="","",L165*20%)</f>
      </c>
      <c r="N165" s="3">
        <v>1</v>
      </c>
      <c r="O165" s="3">
        <f>IF($G165="","",K165+M165)</f>
      </c>
      <c r="P165" s="3">
        <f>IF($G165="","",H165-I165-J165-K165-L165-M165-N165)</f>
      </c>
      <c r="Q165" s="3">
        <f>IF($G165="","",(P165-Y165)/F165*100)</f>
      </c>
      <c r="R165" s="3">
        <f>IF($G165="","",I165-O165)</f>
      </c>
      <c r="Z165" s="3">
        <f>IF($G165="","",P165-Y165)</f>
      </c>
    </row>
    <row r="166" spans="1:26" x14ac:dyDescent="0.25">
      <c r="A166" s="1"/>
      <c r="D166" s="2"/>
      <c r="F166" s="3"/>
      <c r="G166" s="3"/>
      <c r="H166" s="3">
        <f>IF($G166="","",G166-F166)</f>
      </c>
      <c r="I166" s="3">
        <f>IF($G166="","",H166*16.67%)</f>
      </c>
      <c r="J166" s="3">
        <f>IF($G166="","",G166*7%)</f>
      </c>
      <c r="K166" s="3">
        <f>IF($G166="","",J166*20%)</f>
      </c>
      <c r="L166" s="3"/>
      <c r="M166" s="3">
        <f>IF($G166="","",L166*20%)</f>
      </c>
      <c r="N166" s="3">
        <v>1</v>
      </c>
      <c r="O166" s="3">
        <f>IF($G166="","",K166+M166)</f>
      </c>
      <c r="P166" s="3">
        <f>IF($G166="","",H166-I166-J166-K166-L166-M166-N166)</f>
      </c>
      <c r="Q166" s="3">
        <f>IF($G166="","",(P166-Y166)/F166*100)</f>
      </c>
      <c r="R166" s="3">
        <f>IF($G166="","",I166-O166)</f>
      </c>
      <c r="Z166" s="3">
        <f>IF($G166="","",P166-Y166)</f>
      </c>
    </row>
    <row r="167" spans="1:26" x14ac:dyDescent="0.25">
      <c r="A167" s="1"/>
      <c r="D167" s="2"/>
      <c r="F167" s="3"/>
      <c r="G167" s="3"/>
      <c r="H167" s="3">
        <f>IF($G167="","",G167-F167)</f>
      </c>
      <c r="I167" s="3">
        <f>IF($G167="","",H167*16.67%)</f>
      </c>
      <c r="J167" s="3">
        <f>IF($G167="","",G167*7%)</f>
      </c>
      <c r="K167" s="3">
        <f>IF($G167="","",J167*20%)</f>
      </c>
      <c r="L167" s="3"/>
      <c r="M167" s="3">
        <f>IF($G167="","",L167*20%)</f>
      </c>
      <c r="N167" s="3">
        <v>1</v>
      </c>
      <c r="O167" s="3">
        <f>IF($G167="","",K167+M167)</f>
      </c>
      <c r="P167" s="3">
        <f>IF($G167="","",H167-I167-J167-K167-L167-M167-N167)</f>
      </c>
      <c r="Q167" s="3">
        <f>IF($G167="","",(P167-Y167)/F167*100)</f>
      </c>
      <c r="R167" s="3">
        <f>IF($G167="","",I167-O167)</f>
      </c>
      <c r="Z167" s="3">
        <f>IF($G167="","",P167-Y167)</f>
      </c>
    </row>
    <row r="168" spans="1:26" x14ac:dyDescent="0.25">
      <c r="A168" s="1"/>
      <c r="D168" s="2"/>
      <c r="F168" s="3"/>
      <c r="G168" s="3"/>
      <c r="H168" s="3">
        <f>IF($G168="","",G168-F168)</f>
      </c>
      <c r="I168" s="3">
        <f>IF($G168="","",H168*16.67%)</f>
      </c>
      <c r="J168" s="3">
        <f>IF($G168="","",G168*7%)</f>
      </c>
      <c r="K168" s="3">
        <f>IF($G168="","",J168*20%)</f>
      </c>
      <c r="L168" s="3"/>
      <c r="M168" s="3">
        <f>IF($G168="","",L168*20%)</f>
      </c>
      <c r="N168" s="3">
        <v>1</v>
      </c>
      <c r="O168" s="3">
        <f>IF($G168="","",K168+M168)</f>
      </c>
      <c r="P168" s="3">
        <f>IF($G168="","",H168-I168-J168-K168-L168-M168-N168)</f>
      </c>
      <c r="Q168" s="3">
        <f>IF($G168="","",(P168-Y168)/F168*100)</f>
      </c>
      <c r="R168" s="3">
        <f>IF($G168="","",I168-O168)</f>
      </c>
      <c r="Z168" s="3">
        <f>IF($G168="","",P168-Y168)</f>
      </c>
    </row>
    <row r="169" spans="1:26" x14ac:dyDescent="0.25">
      <c r="A169" s="1"/>
      <c r="D169" s="2"/>
      <c r="F169" s="3"/>
      <c r="G169" s="3"/>
      <c r="H169" s="3">
        <f>IF($G169="","",G169-F169)</f>
      </c>
      <c r="I169" s="3">
        <f>IF($G169="","",H169*16.67%)</f>
      </c>
      <c r="J169" s="3">
        <f>IF($G169="","",G169*7%)</f>
      </c>
      <c r="K169" s="3">
        <f>IF($G169="","",J169*20%)</f>
      </c>
      <c r="L169" s="3"/>
      <c r="M169" s="3">
        <f>IF($G169="","",L169*20%)</f>
      </c>
      <c r="N169" s="3">
        <v>1</v>
      </c>
      <c r="O169" s="3">
        <f>IF($G169="","",K169+M169)</f>
      </c>
      <c r="P169" s="3">
        <f>IF($G169="","",H169-I169-J169-K169-L169-M169-N169)</f>
      </c>
      <c r="Q169" s="3">
        <f>IF($G169="","",(P169-Y169)/F169*100)</f>
      </c>
      <c r="R169" s="3">
        <f>IF($G169="","",I169-O169)</f>
      </c>
      <c r="Z169" s="3">
        <f>IF($G169="","",P169-Y169)</f>
      </c>
    </row>
    <row r="170" spans="1:26" x14ac:dyDescent="0.25">
      <c r="A170" s="1"/>
      <c r="D170" s="2"/>
      <c r="F170" s="3"/>
      <c r="G170" s="3"/>
      <c r="H170" s="3">
        <f>IF($G170="","",G170-F170)</f>
      </c>
      <c r="I170" s="3">
        <f>IF($G170="","",H170*16.67%)</f>
      </c>
      <c r="J170" s="3">
        <f>IF($G170="","",G170*7%)</f>
      </c>
      <c r="K170" s="3">
        <f>IF($G170="","",J170*20%)</f>
      </c>
      <c r="L170" s="3"/>
      <c r="M170" s="3">
        <f>IF($G170="","",L170*20%)</f>
      </c>
      <c r="N170" s="3">
        <v>1</v>
      </c>
      <c r="O170" s="3">
        <f>IF($G170="","",K170+M170)</f>
      </c>
      <c r="P170" s="3">
        <f>IF($G170="","",H170-I170-J170-K170-L170-M170-N170)</f>
      </c>
      <c r="Q170" s="3">
        <f>IF($G170="","",(P170-Y170)/F170*100)</f>
      </c>
      <c r="R170" s="3">
        <f>IF($G170="","",I170-O170)</f>
      </c>
      <c r="Z170" s="3">
        <f>IF($G170="","",P170-Y170)</f>
      </c>
    </row>
    <row r="171" spans="1:26" x14ac:dyDescent="0.25">
      <c r="A171" s="1"/>
      <c r="D171" s="2"/>
      <c r="F171" s="3"/>
      <c r="G171" s="3"/>
      <c r="H171" s="3">
        <f>IF($G171="","",G171-F171)</f>
      </c>
      <c r="I171" s="3">
        <f>IF($G171="","",H171*16.67%)</f>
      </c>
      <c r="J171" s="3">
        <f>IF($G171="","",G171*7%)</f>
      </c>
      <c r="K171" s="3">
        <f>IF($G171="","",J171*20%)</f>
      </c>
      <c r="L171" s="3"/>
      <c r="M171" s="3">
        <f>IF($G171="","",L171*20%)</f>
      </c>
      <c r="N171" s="3">
        <v>1</v>
      </c>
      <c r="O171" s="3">
        <f>IF($G171="","",K171+M171)</f>
      </c>
      <c r="P171" s="3">
        <f>IF($G171="","",H171-I171-J171-K171-L171-M171-N171)</f>
      </c>
      <c r="Q171" s="3">
        <f>IF($G171="","",(P171-Y171)/F171*100)</f>
      </c>
      <c r="R171" s="3">
        <f>IF($G171="","",I171-O171)</f>
      </c>
      <c r="Z171" s="3">
        <f>IF($G171="","",P171-Y171)</f>
      </c>
    </row>
    <row r="172" spans="1:26" x14ac:dyDescent="0.25">
      <c r="A172" s="1"/>
      <c r="D172" s="2"/>
      <c r="F172" s="3"/>
      <c r="G172" s="3"/>
      <c r="H172" s="3">
        <f>IF($G172="","",G172-F172)</f>
      </c>
      <c r="I172" s="3">
        <f>IF($G172="","",H172*16.67%)</f>
      </c>
      <c r="J172" s="3">
        <f>IF($G172="","",G172*7%)</f>
      </c>
      <c r="K172" s="3">
        <f>IF($G172="","",J172*20%)</f>
      </c>
      <c r="L172" s="3"/>
      <c r="M172" s="3">
        <f>IF($G172="","",L172*20%)</f>
      </c>
      <c r="N172" s="3">
        <v>1</v>
      </c>
      <c r="O172" s="3">
        <f>IF($G172="","",K172+M172)</f>
      </c>
      <c r="P172" s="3">
        <f>IF($G172="","",H172-I172-J172-K172-L172-M172-N172)</f>
      </c>
      <c r="Q172" s="3">
        <f>IF($G172="","",(P172-Y172)/F172*100)</f>
      </c>
      <c r="R172" s="3">
        <f>IF($G172="","",I172-O172)</f>
      </c>
      <c r="Z172" s="3">
        <f>IF($G172="","",P172-Y172)</f>
      </c>
    </row>
    <row r="173" spans="1:26" x14ac:dyDescent="0.25">
      <c r="A173" s="1"/>
      <c r="D173" s="2"/>
      <c r="F173" s="3"/>
      <c r="G173" s="3"/>
      <c r="H173" s="3">
        <f>IF($G173="","",G173-F173)</f>
      </c>
      <c r="I173" s="3">
        <f>IF($G173="","",H173*16.67%)</f>
      </c>
      <c r="J173" s="3">
        <f>IF($G173="","",G173*7%)</f>
      </c>
      <c r="K173" s="3">
        <f>IF($G173="","",J173*20%)</f>
      </c>
      <c r="L173" s="3"/>
      <c r="M173" s="3">
        <f>IF($G173="","",L173*20%)</f>
      </c>
      <c r="N173" s="3">
        <v>1</v>
      </c>
      <c r="O173" s="3">
        <f>IF($G173="","",K173+M173)</f>
      </c>
      <c r="P173" s="3">
        <f>IF($G173="","",H173-I173-J173-K173-L173-M173-N173)</f>
      </c>
      <c r="Q173" s="3">
        <f>IF($G173="","",(P173-Y173)/F173*100)</f>
      </c>
      <c r="R173" s="3">
        <f>IF($G173="","",I173-O173)</f>
      </c>
      <c r="Z173" s="3">
        <f>IF($G173="","",P173-Y173)</f>
      </c>
    </row>
    <row r="174" spans="1:26" x14ac:dyDescent="0.25">
      <c r="A174" s="1"/>
      <c r="D174" s="2"/>
      <c r="F174" s="3"/>
      <c r="G174" s="3"/>
      <c r="H174" s="3">
        <f>IF($G174="","",G174-F174)</f>
      </c>
      <c r="I174" s="3">
        <f>IF($G174="","",H174*16.67%)</f>
      </c>
      <c r="J174" s="3">
        <f>IF($G174="","",G174*7%)</f>
      </c>
      <c r="K174" s="3">
        <f>IF($G174="","",J174*20%)</f>
      </c>
      <c r="L174" s="3"/>
      <c r="M174" s="3">
        <f>IF($G174="","",L174*20%)</f>
      </c>
      <c r="N174" s="3">
        <v>1</v>
      </c>
      <c r="O174" s="3">
        <f>IF($G174="","",K174+M174)</f>
      </c>
      <c r="P174" s="3">
        <f>IF($G174="","",H174-I174-J174-K174-L174-M174-N174)</f>
      </c>
      <c r="Q174" s="3">
        <f>IF($G174="","",(P174-Y174)/F174*100)</f>
      </c>
      <c r="R174" s="3">
        <f>IF($G174="","",I174-O174)</f>
      </c>
      <c r="Z174" s="3">
        <f>IF($G174="","",P174-Y174)</f>
      </c>
    </row>
    <row r="175" spans="1:26" x14ac:dyDescent="0.25">
      <c r="A175" s="1"/>
      <c r="D175" s="2"/>
      <c r="F175" s="3"/>
      <c r="G175" s="3"/>
      <c r="H175" s="3">
        <f>IF($G175="","",G175-F175)</f>
      </c>
      <c r="I175" s="3">
        <f>IF($G175="","",H175*16.67%)</f>
      </c>
      <c r="J175" s="3">
        <f>IF($G175="","",G175*7%)</f>
      </c>
      <c r="K175" s="3">
        <f>IF($G175="","",J175*20%)</f>
      </c>
      <c r="L175" s="3"/>
      <c r="M175" s="3">
        <f>IF($G175="","",L175*20%)</f>
      </c>
      <c r="N175" s="3">
        <v>1</v>
      </c>
      <c r="O175" s="3">
        <f>IF($G175="","",K175+M175)</f>
      </c>
      <c r="P175" s="3">
        <f>IF($G175="","",H175-I175-J175-K175-L175-M175-N175)</f>
      </c>
      <c r="Q175" s="3">
        <f>IF($G175="","",(P175-Y175)/F175*100)</f>
      </c>
      <c r="R175" s="3">
        <f>IF($G175="","",I175-O175)</f>
      </c>
      <c r="Z175" s="3">
        <f>IF($G175="","",P175-Y175)</f>
      </c>
    </row>
    <row r="176" spans="1:26" x14ac:dyDescent="0.25">
      <c r="A176" s="1"/>
      <c r="D176" s="2"/>
      <c r="F176" s="3"/>
      <c r="G176" s="3"/>
      <c r="H176" s="3">
        <f>IF($G176="","",G176-F176)</f>
      </c>
      <c r="I176" s="3">
        <f>IF($G176="","",H176*16.67%)</f>
      </c>
      <c r="J176" s="3">
        <f>IF($G176="","",G176*7%)</f>
      </c>
      <c r="K176" s="3">
        <f>IF($G176="","",J176*20%)</f>
      </c>
      <c r="L176" s="3"/>
      <c r="M176" s="3">
        <f>IF($G176="","",L176*20%)</f>
      </c>
      <c r="N176" s="3">
        <v>1</v>
      </c>
      <c r="O176" s="3">
        <f>IF($G176="","",K176+M176)</f>
      </c>
      <c r="P176" s="3">
        <f>IF($G176="","",H176-I176-J176-K176-L176-M176-N176)</f>
      </c>
      <c r="Q176" s="3">
        <f>IF($G176="","",(P176-Y176)/F176*100)</f>
      </c>
      <c r="R176" s="3">
        <f>IF($G176="","",I176-O176)</f>
      </c>
      <c r="Z176" s="3">
        <f>IF($G176="","",P176-Y176)</f>
      </c>
    </row>
    <row r="177" spans="1:26" x14ac:dyDescent="0.25">
      <c r="A177" s="1"/>
      <c r="D177" s="2"/>
      <c r="F177" s="3"/>
      <c r="G177" s="3"/>
      <c r="H177" s="3">
        <f>IF($G177="","",G177-F177)</f>
      </c>
      <c r="I177" s="3">
        <f>IF($G177="","",H177*16.67%)</f>
      </c>
      <c r="J177" s="3">
        <f>IF($G177="","",G177*7%)</f>
      </c>
      <c r="K177" s="3">
        <f>IF($G177="","",J177*20%)</f>
      </c>
      <c r="L177" s="3"/>
      <c r="M177" s="3">
        <f>IF($G177="","",L177*20%)</f>
      </c>
      <c r="N177" s="3">
        <v>1</v>
      </c>
      <c r="O177" s="3">
        <f>IF($G177="","",K177+M177)</f>
      </c>
      <c r="P177" s="3">
        <f>IF($G177="","",H177-I177-J177-K177-L177-M177-N177)</f>
      </c>
      <c r="Q177" s="3">
        <f>IF($G177="","",(P177-Y177)/F177*100)</f>
      </c>
      <c r="R177" s="3">
        <f>IF($G177="","",I177-O177)</f>
      </c>
      <c r="Z177" s="3">
        <f>IF($G177="","",P177-Y177)</f>
      </c>
    </row>
    <row r="178" spans="1:26" x14ac:dyDescent="0.25">
      <c r="A178" s="1"/>
      <c r="D178" s="2"/>
      <c r="F178" s="3"/>
      <c r="G178" s="3"/>
      <c r="H178" s="3">
        <f>IF($G178="","",G178-F178)</f>
      </c>
      <c r="I178" s="3">
        <f>IF($G178="","",H178*16.67%)</f>
      </c>
      <c r="J178" s="3">
        <f>IF($G178="","",G178*7%)</f>
      </c>
      <c r="K178" s="3">
        <f>IF($G178="","",J178*20%)</f>
      </c>
      <c r="L178" s="3"/>
      <c r="M178" s="3">
        <f>IF($G178="","",L178*20%)</f>
      </c>
      <c r="N178" s="3">
        <v>1</v>
      </c>
      <c r="O178" s="3">
        <f>IF($G178="","",K178+M178)</f>
      </c>
      <c r="P178" s="3">
        <f>IF($G178="","",H178-I178-J178-K178-L178-M178-N178)</f>
      </c>
      <c r="Q178" s="3">
        <f>IF($G178="","",(P178-Y178)/F178*100)</f>
      </c>
      <c r="R178" s="3">
        <f>IF($G178="","",I178-O178)</f>
      </c>
      <c r="Z178" s="3">
        <f>IF($G178="","",P178-Y178)</f>
      </c>
    </row>
    <row r="179" spans="1:26" x14ac:dyDescent="0.25">
      <c r="A179" s="1"/>
      <c r="D179" s="2"/>
      <c r="F179" s="3"/>
      <c r="G179" s="3"/>
      <c r="H179" s="3">
        <f>IF($G179="","",G179-F179)</f>
      </c>
      <c r="I179" s="3">
        <f>IF($G179="","",H179*16.67%)</f>
      </c>
      <c r="J179" s="3">
        <f>IF($G179="","",G179*7%)</f>
      </c>
      <c r="K179" s="3">
        <f>IF($G179="","",J179*20%)</f>
      </c>
      <c r="L179" s="3"/>
      <c r="M179" s="3">
        <f>IF($G179="","",L179*20%)</f>
      </c>
      <c r="N179" s="3">
        <v>1</v>
      </c>
      <c r="O179" s="3">
        <f>IF($G179="","",K179+M179)</f>
      </c>
      <c r="P179" s="3">
        <f>IF($G179="","",H179-I179-J179-K179-L179-M179-N179)</f>
      </c>
      <c r="Q179" s="3">
        <f>IF($G179="","",(P179-Y179)/F179*100)</f>
      </c>
      <c r="R179" s="3">
        <f>IF($G179="","",I179-O179)</f>
      </c>
      <c r="Z179" s="3">
        <f>IF($G179="","",P179-Y179)</f>
      </c>
    </row>
    <row r="180" spans="1:26" x14ac:dyDescent="0.25">
      <c r="A180" s="1"/>
      <c r="D180" s="2"/>
      <c r="F180" s="3"/>
      <c r="G180" s="3"/>
      <c r="H180" s="3">
        <f>IF($G180="","",G180-F180)</f>
      </c>
      <c r="I180" s="3">
        <f>IF($G180="","",H180*16.67%)</f>
      </c>
      <c r="J180" s="3">
        <f>IF($G180="","",G180*7%)</f>
      </c>
      <c r="K180" s="3">
        <f>IF($G180="","",J180*20%)</f>
      </c>
      <c r="L180" s="3"/>
      <c r="M180" s="3">
        <f>IF($G180="","",L180*20%)</f>
      </c>
      <c r="N180" s="3">
        <v>1</v>
      </c>
      <c r="O180" s="3">
        <f>IF($G180="","",K180+M180)</f>
      </c>
      <c r="P180" s="3">
        <f>IF($G180="","",H180-I180-J180-K180-L180-M180-N180)</f>
      </c>
      <c r="Q180" s="3">
        <f>IF($G180="","",(P180-Y180)/F180*100)</f>
      </c>
      <c r="R180" s="3">
        <f>IF($G180="","",I180-O180)</f>
      </c>
      <c r="Z180" s="3">
        <f>IF($G180="","",P180-Y180)</f>
      </c>
    </row>
    <row r="181" spans="1:26" x14ac:dyDescent="0.25">
      <c r="A181" s="1"/>
      <c r="D181" s="2"/>
      <c r="F181" s="3"/>
      <c r="G181" s="3"/>
      <c r="H181" s="3">
        <f>IF($G181="","",G181-F181)</f>
      </c>
      <c r="I181" s="3">
        <f>IF($G181="","",H181*16.67%)</f>
      </c>
      <c r="J181" s="3">
        <f>IF($G181="","",G181*7%)</f>
      </c>
      <c r="K181" s="3">
        <f>IF($G181="","",J181*20%)</f>
      </c>
      <c r="L181" s="3"/>
      <c r="M181" s="3">
        <f>IF($G181="","",L181*20%)</f>
      </c>
      <c r="N181" s="3">
        <v>1</v>
      </c>
      <c r="O181" s="3">
        <f>IF($G181="","",K181+M181)</f>
      </c>
      <c r="P181" s="3">
        <f>IF($G181="","",H181-I181-J181-K181-L181-M181-N181)</f>
      </c>
      <c r="Q181" s="3">
        <f>IF($G181="","",(P181-Y181)/F181*100)</f>
      </c>
      <c r="R181" s="3">
        <f>IF($G181="","",I181-O181)</f>
      </c>
      <c r="Z181" s="3">
        <f>IF($G181="","",P181-Y181)</f>
      </c>
    </row>
    <row r="182" spans="1:26" x14ac:dyDescent="0.25">
      <c r="A182" s="1"/>
      <c r="D182" s="2"/>
      <c r="F182" s="3"/>
      <c r="G182" s="3"/>
      <c r="H182" s="3">
        <f>IF($G182="","",G182-F182)</f>
      </c>
      <c r="I182" s="3">
        <f>IF($G182="","",H182*16.67%)</f>
      </c>
      <c r="J182" s="3">
        <f>IF($G182="","",G182*7%)</f>
      </c>
      <c r="K182" s="3">
        <f>IF($G182="","",J182*20%)</f>
      </c>
      <c r="L182" s="3"/>
      <c r="M182" s="3">
        <f>IF($G182="","",L182*20%)</f>
      </c>
      <c r="N182" s="3">
        <v>1</v>
      </c>
      <c r="O182" s="3">
        <f>IF($G182="","",K182+M182)</f>
      </c>
      <c r="P182" s="3">
        <f>IF($G182="","",H182-I182-J182-K182-L182-M182-N182)</f>
      </c>
      <c r="Q182" s="3">
        <f>IF($G182="","",(P182-Y182)/F182*100)</f>
      </c>
      <c r="R182" s="3">
        <f>IF($G182="","",I182-O182)</f>
      </c>
      <c r="Z182" s="3">
        <f>IF($G182="","",P182-Y182)</f>
      </c>
    </row>
    <row r="183" spans="1:26" x14ac:dyDescent="0.25">
      <c r="A183" s="1"/>
      <c r="D183" s="2"/>
      <c r="F183" s="3"/>
      <c r="G183" s="3"/>
      <c r="H183" s="3">
        <f>IF($G183="","",G183-F183)</f>
      </c>
      <c r="I183" s="3">
        <f>IF($G183="","",H183*16.67%)</f>
      </c>
      <c r="J183" s="3">
        <f>IF($G183="","",G183*7%)</f>
      </c>
      <c r="K183" s="3">
        <f>IF($G183="","",J183*20%)</f>
      </c>
      <c r="L183" s="3"/>
      <c r="M183" s="3">
        <f>IF($G183="","",L183*20%)</f>
      </c>
      <c r="N183" s="3">
        <v>1</v>
      </c>
      <c r="O183" s="3">
        <f>IF($G183="","",K183+M183)</f>
      </c>
      <c r="P183" s="3">
        <f>IF($G183="","",H183-I183-J183-K183-L183-M183-N183)</f>
      </c>
      <c r="Q183" s="3">
        <f>IF($G183="","",(P183-Y183)/F183*100)</f>
      </c>
      <c r="R183" s="3">
        <f>IF($G183="","",I183-O183)</f>
      </c>
      <c r="Z183" s="3">
        <f>IF($G183="","",P183-Y183)</f>
      </c>
    </row>
    <row r="184" spans="1:26" x14ac:dyDescent="0.25">
      <c r="A184" s="1"/>
      <c r="D184" s="2"/>
      <c r="F184" s="3"/>
      <c r="G184" s="3"/>
      <c r="H184" s="3">
        <f>IF($G184="","",G184-F184)</f>
      </c>
      <c r="I184" s="3">
        <f>IF($G184="","",H184*16.67%)</f>
      </c>
      <c r="J184" s="3">
        <f>IF($G184="","",G184*7%)</f>
      </c>
      <c r="K184" s="3">
        <f>IF($G184="","",J184*20%)</f>
      </c>
      <c r="L184" s="3"/>
      <c r="M184" s="3">
        <f>IF($G184="","",L184*20%)</f>
      </c>
      <c r="N184" s="3">
        <v>1</v>
      </c>
      <c r="O184" s="3">
        <f>IF($G184="","",K184+M184)</f>
      </c>
      <c r="P184" s="3">
        <f>IF($G184="","",H184-I184-J184-K184-L184-M184-N184)</f>
      </c>
      <c r="Q184" s="3">
        <f>IF($G184="","",(P184-Y184)/F184*100)</f>
      </c>
      <c r="R184" s="3">
        <f>IF($G184="","",I184-O184)</f>
      </c>
      <c r="Z184" s="3">
        <f>IF($G184="","",P184-Y184)</f>
      </c>
    </row>
    <row r="185" spans="1:26" x14ac:dyDescent="0.25">
      <c r="A185" s="1"/>
      <c r="D185" s="2"/>
      <c r="F185" s="3"/>
      <c r="G185" s="3"/>
      <c r="H185" s="3">
        <f>IF($G185="","",G185-F185)</f>
      </c>
      <c r="I185" s="3">
        <f>IF($G185="","",H185*16.67%)</f>
      </c>
      <c r="J185" s="3">
        <f>IF($G185="","",G185*7%)</f>
      </c>
      <c r="K185" s="3">
        <f>IF($G185="","",J185*20%)</f>
      </c>
      <c r="L185" s="3"/>
      <c r="M185" s="3">
        <f>IF($G185="","",L185*20%)</f>
      </c>
      <c r="N185" s="3">
        <v>1</v>
      </c>
      <c r="O185" s="3">
        <f>IF($G185="","",K185+M185)</f>
      </c>
      <c r="P185" s="3">
        <f>IF($G185="","",H185-I185-J185-K185-L185-M185-N185)</f>
      </c>
      <c r="Q185" s="3">
        <f>IF($G185="","",(P185-Y185)/F185*100)</f>
      </c>
      <c r="R185" s="3">
        <f>IF($G185="","",I185-O185)</f>
      </c>
      <c r="Z185" s="3">
        <f>IF($G185="","",P185-Y185)</f>
      </c>
    </row>
    <row r="186" spans="1:26" x14ac:dyDescent="0.25">
      <c r="A186" s="1"/>
      <c r="D186" s="2"/>
      <c r="F186" s="3"/>
      <c r="G186" s="3"/>
      <c r="H186" s="3">
        <f>IF($G186="","",G186-F186)</f>
      </c>
      <c r="I186" s="3">
        <f>IF($G186="","",H186*16.67%)</f>
      </c>
      <c r="J186" s="3">
        <f>IF($G186="","",G186*7%)</f>
      </c>
      <c r="K186" s="3">
        <f>IF($G186="","",J186*20%)</f>
      </c>
      <c r="L186" s="3"/>
      <c r="M186" s="3">
        <f>IF($G186="","",L186*20%)</f>
      </c>
      <c r="N186" s="3">
        <v>1</v>
      </c>
      <c r="O186" s="3">
        <f>IF($G186="","",K186+M186)</f>
      </c>
      <c r="P186" s="3">
        <f>IF($G186="","",H186-I186-J186-K186-L186-M186-N186)</f>
      </c>
      <c r="Q186" s="3">
        <f>IF($G186="","",(P186-Y186)/F186*100)</f>
      </c>
      <c r="R186" s="3">
        <f>IF($G186="","",I186-O186)</f>
      </c>
      <c r="Z186" s="3">
        <f>IF($G186="","",P186-Y186)</f>
      </c>
    </row>
    <row r="187" spans="1:26" x14ac:dyDescent="0.25">
      <c r="A187" s="1"/>
      <c r="D187" s="2"/>
      <c r="F187" s="3"/>
      <c r="G187" s="3"/>
      <c r="H187" s="3">
        <f>IF($G187="","",G187-F187)</f>
      </c>
      <c r="I187" s="3">
        <f>IF($G187="","",H187*16.67%)</f>
      </c>
      <c r="J187" s="3">
        <f>IF($G187="","",G187*7%)</f>
      </c>
      <c r="K187" s="3">
        <f>IF($G187="","",J187*20%)</f>
      </c>
      <c r="L187" s="3"/>
      <c r="M187" s="3">
        <f>IF($G187="","",L187*20%)</f>
      </c>
      <c r="N187" s="3">
        <v>1</v>
      </c>
      <c r="O187" s="3">
        <f>IF($G187="","",K187+M187)</f>
      </c>
      <c r="P187" s="3">
        <f>IF($G187="","",H187-I187-J187-K187-L187-M187-N187)</f>
      </c>
      <c r="Q187" s="3">
        <f>IF($G187="","",(P187-Y187)/F187*100)</f>
      </c>
      <c r="R187" s="3">
        <f>IF($G187="","",I187-O187)</f>
      </c>
      <c r="Z187" s="3">
        <f>IF($G187="","",P187-Y187)</f>
      </c>
    </row>
    <row r="188" spans="1:26" x14ac:dyDescent="0.25">
      <c r="A188" s="1"/>
      <c r="D188" s="2"/>
      <c r="F188" s="3"/>
      <c r="G188" s="3"/>
      <c r="H188" s="3">
        <f>IF($G188="","",G188-F188)</f>
      </c>
      <c r="I188" s="3">
        <f>IF($G188="","",H188*16.67%)</f>
      </c>
      <c r="J188" s="3">
        <f>IF($G188="","",G188*7%)</f>
      </c>
      <c r="K188" s="3">
        <f>IF($G188="","",J188*20%)</f>
      </c>
      <c r="L188" s="3"/>
      <c r="M188" s="3">
        <f>IF($G188="","",L188*20%)</f>
      </c>
      <c r="N188" s="3">
        <v>1</v>
      </c>
      <c r="O188" s="3">
        <f>IF($G188="","",K188+M188)</f>
      </c>
      <c r="P188" s="3">
        <f>IF($G188="","",H188-I188-J188-K188-L188-M188-N188)</f>
      </c>
      <c r="Q188" s="3">
        <f>IF($G188="","",(P188-Y188)/F188*100)</f>
      </c>
      <c r="R188" s="3">
        <f>IF($G188="","",I188-O188)</f>
      </c>
      <c r="Z188" s="3">
        <f>IF($G188="","",P188-Y188)</f>
      </c>
    </row>
    <row r="189" spans="1:26" x14ac:dyDescent="0.25">
      <c r="A189" s="1"/>
      <c r="D189" s="2"/>
      <c r="F189" s="3"/>
      <c r="G189" s="3"/>
      <c r="H189" s="3">
        <f>IF($G189="","",G189-F189)</f>
      </c>
      <c r="I189" s="3">
        <f>IF($G189="","",H189*16.67%)</f>
      </c>
      <c r="J189" s="3">
        <f>IF($G189="","",G189*7%)</f>
      </c>
      <c r="K189" s="3">
        <f>IF($G189="","",J189*20%)</f>
      </c>
      <c r="L189" s="3"/>
      <c r="M189" s="3">
        <f>IF($G189="","",L189*20%)</f>
      </c>
      <c r="N189" s="3">
        <v>1</v>
      </c>
      <c r="O189" s="3">
        <f>IF($G189="","",K189+M189)</f>
      </c>
      <c r="P189" s="3">
        <f>IF($G189="","",H189-I189-J189-K189-L189-M189-N189)</f>
      </c>
      <c r="Q189" s="3">
        <f>IF($G189="","",(P189-Y189)/F189*100)</f>
      </c>
      <c r="R189" s="3">
        <f>IF($G189="","",I189-O189)</f>
      </c>
      <c r="Z189" s="3">
        <f>IF($G189="","",P189-Y189)</f>
      </c>
    </row>
    <row r="190" spans="1:26" x14ac:dyDescent="0.25">
      <c r="A190" s="1"/>
      <c r="D190" s="2"/>
      <c r="F190" s="3"/>
      <c r="G190" s="3"/>
      <c r="H190" s="3">
        <f>IF($G190="","",G190-F190)</f>
      </c>
      <c r="I190" s="3">
        <f>IF($G190="","",H190*16.67%)</f>
      </c>
      <c r="J190" s="3">
        <f>IF($G190="","",G190*7%)</f>
      </c>
      <c r="K190" s="3">
        <f>IF($G190="","",J190*20%)</f>
      </c>
      <c r="L190" s="3"/>
      <c r="M190" s="3">
        <f>IF($G190="","",L190*20%)</f>
      </c>
      <c r="N190" s="3">
        <v>1</v>
      </c>
      <c r="O190" s="3">
        <f>IF($G190="","",K190+M190)</f>
      </c>
      <c r="P190" s="3">
        <f>IF($G190="","",H190-I190-J190-K190-L190-M190-N190)</f>
      </c>
      <c r="Q190" s="3">
        <f>IF($G190="","",(P190-Y190)/F190*100)</f>
      </c>
      <c r="R190" s="3">
        <f>IF($G190="","",I190-O190)</f>
      </c>
      <c r="Z190" s="3">
        <f>IF($G190="","",P190-Y190)</f>
      </c>
    </row>
    <row r="191" spans="1:26" x14ac:dyDescent="0.25">
      <c r="A191" s="1"/>
      <c r="D191" s="2"/>
      <c r="F191" s="3"/>
      <c r="G191" s="3"/>
      <c r="H191" s="3">
        <f>IF($G191="","",G191-F191)</f>
      </c>
      <c r="I191" s="3">
        <f>IF($G191="","",H191*16.67%)</f>
      </c>
      <c r="J191" s="3">
        <f>IF($G191="","",G191*7%)</f>
      </c>
      <c r="K191" s="3">
        <f>IF($G191="","",J191*20%)</f>
      </c>
      <c r="L191" s="3"/>
      <c r="M191" s="3">
        <f>IF($G191="","",L191*20%)</f>
      </c>
      <c r="N191" s="3">
        <v>1</v>
      </c>
      <c r="O191" s="3">
        <f>IF($G191="","",K191+M191)</f>
      </c>
      <c r="P191" s="3">
        <f>IF($G191="","",H191-I191-J191-K191-L191-M191-N191)</f>
      </c>
      <c r="Q191" s="3">
        <f>IF($G191="","",(P191-Y191)/F191*100)</f>
      </c>
      <c r="R191" s="3">
        <f>IF($G191="","",I191-O191)</f>
      </c>
      <c r="Z191" s="3">
        <f>IF($G191="","",P191-Y191)</f>
      </c>
    </row>
    <row r="192" spans="1:26" x14ac:dyDescent="0.25">
      <c r="A192" s="1"/>
      <c r="D192" s="2"/>
      <c r="F192" s="3"/>
      <c r="G192" s="3"/>
      <c r="H192" s="3">
        <f>IF($G192="","",G192-F192)</f>
      </c>
      <c r="I192" s="3">
        <f>IF($G192="","",H192*16.67%)</f>
      </c>
      <c r="J192" s="3">
        <f>IF($G192="","",G192*7%)</f>
      </c>
      <c r="K192" s="3">
        <f>IF($G192="","",J192*20%)</f>
      </c>
      <c r="L192" s="3"/>
      <c r="M192" s="3">
        <f>IF($G192="","",L192*20%)</f>
      </c>
      <c r="N192" s="3">
        <v>1</v>
      </c>
      <c r="O192" s="3">
        <f>IF($G192="","",K192+M192)</f>
      </c>
      <c r="P192" s="3">
        <f>IF($G192="","",H192-I192-J192-K192-L192-M192-N192)</f>
      </c>
      <c r="Q192" s="3">
        <f>IF($G192="","",(P192-Y192)/F192*100)</f>
      </c>
      <c r="R192" s="3">
        <f>IF($G192="","",I192-O192)</f>
      </c>
      <c r="Z192" s="3">
        <f>IF($G192="","",P192-Y192)</f>
      </c>
    </row>
    <row r="193" spans="1:26" x14ac:dyDescent="0.25">
      <c r="A193" s="1"/>
      <c r="D193" s="2"/>
      <c r="F193" s="3"/>
      <c r="G193" s="3"/>
      <c r="H193" s="3">
        <f>IF($G193="","",G193-F193)</f>
      </c>
      <c r="I193" s="3">
        <f>IF($G193="","",H193*16.67%)</f>
      </c>
      <c r="J193" s="3">
        <f>IF($G193="","",G193*7%)</f>
      </c>
      <c r="K193" s="3">
        <f>IF($G193="","",J193*20%)</f>
      </c>
      <c r="L193" s="3"/>
      <c r="M193" s="3">
        <f>IF($G193="","",L193*20%)</f>
      </c>
      <c r="N193" s="3">
        <v>1</v>
      </c>
      <c r="O193" s="3">
        <f>IF($G193="","",K193+M193)</f>
      </c>
      <c r="P193" s="3">
        <f>IF($G193="","",H193-I193-J193-K193-L193-M193-N193)</f>
      </c>
      <c r="Q193" s="3">
        <f>IF($G193="","",(P193-Y193)/F193*100)</f>
      </c>
      <c r="R193" s="3">
        <f>IF($G193="","",I193-O193)</f>
      </c>
      <c r="Z193" s="3">
        <f>IF($G193="","",P193-Y193)</f>
      </c>
    </row>
    <row r="194" spans="1:26" x14ac:dyDescent="0.25">
      <c r="A194" s="1"/>
      <c r="D194" s="2"/>
      <c r="F194" s="3"/>
      <c r="G194" s="3"/>
      <c r="H194" s="3">
        <f>IF($G194="","",G194-F194)</f>
      </c>
      <c r="I194" s="3">
        <f>IF($G194="","",H194*16.67%)</f>
      </c>
      <c r="J194" s="3">
        <f>IF($G194="","",G194*7%)</f>
      </c>
      <c r="K194" s="3">
        <f>IF($G194="","",J194*20%)</f>
      </c>
      <c r="L194" s="3"/>
      <c r="M194" s="3">
        <f>IF($G194="","",L194*20%)</f>
      </c>
      <c r="N194" s="3">
        <v>1</v>
      </c>
      <c r="O194" s="3">
        <f>IF($G194="","",K194+M194)</f>
      </c>
      <c r="P194" s="3">
        <f>IF($G194="","",H194-I194-J194-K194-L194-M194-N194)</f>
      </c>
      <c r="Q194" s="3">
        <f>IF($G194="","",(P194-Y194)/F194*100)</f>
      </c>
      <c r="R194" s="3">
        <f>IF($G194="","",I194-O194)</f>
      </c>
      <c r="Z194" s="3">
        <f>IF($G194="","",P194-Y194)</f>
      </c>
    </row>
    <row r="195" spans="1:26" x14ac:dyDescent="0.25">
      <c r="A195" s="1"/>
      <c r="D195" s="2"/>
      <c r="F195" s="3"/>
      <c r="G195" s="3"/>
      <c r="H195" s="3">
        <f>IF($G195="","",G195-F195)</f>
      </c>
      <c r="I195" s="3">
        <f>IF($G195="","",H195*16.67%)</f>
      </c>
      <c r="J195" s="3">
        <f>IF($G195="","",G195*7%)</f>
      </c>
      <c r="K195" s="3">
        <f>IF($G195="","",J195*20%)</f>
      </c>
      <c r="L195" s="3"/>
      <c r="M195" s="3">
        <f>IF($G195="","",L195*20%)</f>
      </c>
      <c r="N195" s="3">
        <v>1</v>
      </c>
      <c r="O195" s="3">
        <f>IF($G195="","",K195+M195)</f>
      </c>
      <c r="P195" s="3">
        <f>IF($G195="","",H195-I195-J195-K195-L195-M195-N195)</f>
      </c>
      <c r="Q195" s="3">
        <f>IF($G195="","",(P195-Y195)/F195*100)</f>
      </c>
      <c r="R195" s="3">
        <f>IF($G195="","",I195-O195)</f>
      </c>
      <c r="Z195" s="3">
        <f>IF($G195="","",P195-Y195)</f>
      </c>
    </row>
    <row r="196" spans="1:26" x14ac:dyDescent="0.25">
      <c r="A196" s="1"/>
      <c r="D196" s="2"/>
      <c r="F196" s="3"/>
      <c r="G196" s="3"/>
      <c r="H196" s="3">
        <f>IF($G196="","",G196-F196)</f>
      </c>
      <c r="I196" s="3">
        <f>IF($G196="","",H196*16.67%)</f>
      </c>
      <c r="J196" s="3">
        <f>IF($G196="","",G196*7%)</f>
      </c>
      <c r="K196" s="3">
        <f>IF($G196="","",J196*20%)</f>
      </c>
      <c r="L196" s="3"/>
      <c r="M196" s="3">
        <f>IF($G196="","",L196*20%)</f>
      </c>
      <c r="N196" s="3">
        <v>1</v>
      </c>
      <c r="O196" s="3">
        <f>IF($G196="","",K196+M196)</f>
      </c>
      <c r="P196" s="3">
        <f>IF($G196="","",H196-I196-J196-K196-L196-M196-N196)</f>
      </c>
      <c r="Q196" s="3">
        <f>IF($G196="","",(P196-Y196)/F196*100)</f>
      </c>
      <c r="R196" s="3">
        <f>IF($G196="","",I196-O196)</f>
      </c>
      <c r="Z196" s="3">
        <f>IF($G196="","",P196-Y196)</f>
      </c>
    </row>
    <row r="197" spans="1:26" x14ac:dyDescent="0.25">
      <c r="A197" s="1"/>
      <c r="D197" s="2"/>
      <c r="F197" s="3"/>
      <c r="G197" s="3"/>
      <c r="H197" s="3">
        <f>IF($G197="","",G197-F197)</f>
      </c>
      <c r="I197" s="3">
        <f>IF($G197="","",H197*16.67%)</f>
      </c>
      <c r="J197" s="3">
        <f>IF($G197="","",G197*7%)</f>
      </c>
      <c r="K197" s="3">
        <f>IF($G197="","",J197*20%)</f>
      </c>
      <c r="L197" s="3"/>
      <c r="M197" s="3">
        <f>IF($G197="","",L197*20%)</f>
      </c>
      <c r="N197" s="3">
        <v>1</v>
      </c>
      <c r="O197" s="3">
        <f>IF($G197="","",K197+M197)</f>
      </c>
      <c r="P197" s="3">
        <f>IF($G197="","",H197-I197-J197-K197-L197-M197-N197)</f>
      </c>
      <c r="Q197" s="3">
        <f>IF($G197="","",(P197-Y197)/F197*100)</f>
      </c>
      <c r="R197" s="3">
        <f>IF($G197="","",I197-O197)</f>
      </c>
      <c r="Z197" s="3">
        <f>IF($G197="","",P197-Y197)</f>
      </c>
    </row>
    <row r="198" spans="1:26" x14ac:dyDescent="0.25">
      <c r="A198" s="1"/>
      <c r="D198" s="2"/>
      <c r="F198" s="3"/>
      <c r="G198" s="3"/>
      <c r="H198" s="3">
        <f>IF($G198="","",G198-F198)</f>
      </c>
      <c r="I198" s="3">
        <f>IF($G198="","",H198*16.67%)</f>
      </c>
      <c r="J198" s="3">
        <f>IF($G198="","",G198*7%)</f>
      </c>
      <c r="K198" s="3">
        <f>IF($G198="","",J198*20%)</f>
      </c>
      <c r="L198" s="3"/>
      <c r="M198" s="3">
        <f>IF($G198="","",L198*20%)</f>
      </c>
      <c r="N198" s="3">
        <v>1</v>
      </c>
      <c r="O198" s="3">
        <f>IF($G198="","",K198+M198)</f>
      </c>
      <c r="P198" s="3">
        <f>IF($G198="","",H198-I198-J198-K198-L198-M198-N198)</f>
      </c>
      <c r="Q198" s="3">
        <f>IF($G198="","",(P198-Y198)/F198*100)</f>
      </c>
      <c r="R198" s="3">
        <f>IF($G198="","",I198-O198)</f>
      </c>
      <c r="Z198" s="3">
        <f>IF($G198="","",P198-Y198)</f>
      </c>
    </row>
    <row r="199" spans="1:26" x14ac:dyDescent="0.25">
      <c r="A199" s="1"/>
      <c r="D199" s="2"/>
      <c r="F199" s="3"/>
      <c r="G199" s="3"/>
      <c r="H199" s="3">
        <f>IF($G199="","",G199-F199)</f>
      </c>
      <c r="I199" s="3">
        <f>IF($G199="","",H199*16.67%)</f>
      </c>
      <c r="J199" s="3">
        <f>IF($G199="","",G199*7%)</f>
      </c>
      <c r="K199" s="3">
        <f>IF($G199="","",J199*20%)</f>
      </c>
      <c r="L199" s="3"/>
      <c r="M199" s="3">
        <f>IF($G199="","",L199*20%)</f>
      </c>
      <c r="N199" s="3">
        <v>1</v>
      </c>
      <c r="O199" s="3">
        <f>IF($G199="","",K199+M199)</f>
      </c>
      <c r="P199" s="3">
        <f>IF($G199="","",H199-I199-J199-K199-L199-M199-N199)</f>
      </c>
      <c r="Q199" s="3">
        <f>IF($G199="","",(P199-Y199)/F199*100)</f>
      </c>
      <c r="R199" s="3">
        <f>IF($G199="","",I199-O199)</f>
      </c>
      <c r="Z199" s="3">
        <f>IF($G199="","",P199-Y199)</f>
      </c>
    </row>
    <row r="200" spans="1:26" x14ac:dyDescent="0.25">
      <c r="A200" s="1"/>
      <c r="D200" s="2"/>
      <c r="F200" s="3"/>
      <c r="G200" s="3"/>
      <c r="H200" s="3">
        <f>IF($G200="","",G200-F200)</f>
      </c>
      <c r="I200" s="3">
        <f>IF($G200="","",H200*16.67%)</f>
      </c>
      <c r="J200" s="3">
        <f>IF($G200="","",G200*7%)</f>
      </c>
      <c r="K200" s="3">
        <f>IF($G200="","",J200*20%)</f>
      </c>
      <c r="L200" s="3"/>
      <c r="M200" s="3">
        <f>IF($G200="","",L200*20%)</f>
      </c>
      <c r="N200" s="3">
        <v>1</v>
      </c>
      <c r="O200" s="3">
        <f>IF($G200="","",K200+M200)</f>
      </c>
      <c r="P200" s="3">
        <f>IF($G200="","",H200-I200-J200-K200-L200-M200-N200)</f>
      </c>
      <c r="Q200" s="3">
        <f>IF($G200="","",(P200-Y200)/F200*100)</f>
      </c>
      <c r="R200" s="3">
        <f>IF($G200="","",I200-O200)</f>
      </c>
      <c r="Z200" s="3">
        <f>IF($G200="","",P200-Y200)</f>
      </c>
    </row>
    <row r="201" spans="1:26" x14ac:dyDescent="0.25">
      <c r="A201" s="1"/>
      <c r="D201" s="2"/>
      <c r="F201" s="3"/>
      <c r="G201" s="3"/>
      <c r="H201" s="3">
        <f>IF($G201="","",G201-F201)</f>
      </c>
      <c r="I201" s="3">
        <f>IF($G201="","",H201*16.67%)</f>
      </c>
      <c r="J201" s="3">
        <f>IF($G201="","",G201*7%)</f>
      </c>
      <c r="K201" s="3">
        <f>IF($G201="","",J201*20%)</f>
      </c>
      <c r="L201" s="3"/>
      <c r="M201" s="3">
        <f>IF($G201="","",L201*20%)</f>
      </c>
      <c r="N201" s="3">
        <v>1</v>
      </c>
      <c r="O201" s="3">
        <f>IF($G201="","",K201+M201)</f>
      </c>
      <c r="P201" s="3">
        <f>IF($G201="","",H201-I201-J201-K201-L201-M201-N201)</f>
      </c>
      <c r="Q201" s="3">
        <f>IF($G201="","",(P201-Y201)/F201*100)</f>
      </c>
      <c r="R201" s="3">
        <f>IF($G201="","",I201-O201)</f>
      </c>
      <c r="Z201" s="3">
        <f>IF($G201="","",P201-Y201)</f>
      </c>
    </row>
    <row r="202" spans="1:26" x14ac:dyDescent="0.25">
      <c r="A202" s="1"/>
      <c r="D202" s="2"/>
      <c r="F202" s="3"/>
      <c r="G202" s="3"/>
      <c r="H202" s="3">
        <f>IF($G202="","",G202-F202)</f>
      </c>
      <c r="I202" s="3">
        <f>IF($G202="","",H202*16.67%)</f>
      </c>
      <c r="J202" s="3">
        <f>IF($G202="","",G202*7%)</f>
      </c>
      <c r="K202" s="3">
        <f>IF($G202="","",J202*20%)</f>
      </c>
      <c r="L202" s="3"/>
      <c r="M202" s="3">
        <f>IF($G202="","",L202*20%)</f>
      </c>
      <c r="N202" s="3">
        <v>1</v>
      </c>
      <c r="O202" s="3">
        <f>IF($G202="","",K202+M202)</f>
      </c>
      <c r="P202" s="3">
        <f>IF($G202="","",H202-I202-J202-K202-L202-M202-N202)</f>
      </c>
      <c r="Q202" s="3">
        <f>IF($G202="","",(P202-Y202)/F202*100)</f>
      </c>
      <c r="R202" s="3">
        <f>IF($G202="","",I202-O202)</f>
      </c>
      <c r="Z202" s="3">
        <f>IF($G202="","",P202-Y202)</f>
      </c>
    </row>
    <row r="203" spans="1:28" s="4" customFormat="1" x14ac:dyDescent="0.25">
      <c r="A203" s="5" t="s">
        <v>37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IFERROR((P203-Y203)/F203*100,0)</f>
      </c>
      <c r="R203" s="6">
        <f>SUM(R2:R202)</f>
      </c>
      <c r="S203" s="4"/>
      <c r="T203" s="4"/>
      <c r="U203" s="4"/>
      <c r="V203" s="4"/>
      <c r="W203" s="4"/>
      <c r="X203" s="4"/>
      <c r="Y203" s="6">
        <f>SUM(Y2:Y202)</f>
      </c>
      <c r="Z203" s="6">
        <f>SUM(Z2:Z202)</f>
      </c>
      <c r="AA203" s="4"/>
      <c r="AB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3"/>
  <sheetFormatPr defaultRowHeight="15" outlineLevelRow="0" outlineLevelCol="0" x14ac:dyDescent="5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60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x14ac:dyDescent="0.25">
      <c r="A2" s="1">
        <v>46235.5</v>
      </c>
      <c r="B2" t="s">
        <v>61</v>
      </c>
      <c r="C2" t="s">
        <v>62</v>
      </c>
      <c r="D2" s="2" t="s">
        <v>63</v>
      </c>
      <c r="E2" t="s">
        <v>64</v>
      </c>
      <c r="F2">
        <v>1</v>
      </c>
      <c r="G2" s="3">
        <v>55</v>
      </c>
      <c r="H2" s="3">
        <v>83.99</v>
      </c>
      <c r="I2" s="3">
        <f>H2-G2</f>
      </c>
      <c r="J2" s="3">
        <f>I2*16.67%</f>
      </c>
      <c r="K2" s="3">
        <v>3.87</v>
      </c>
      <c r="L2" s="3">
        <f>K2*20%</f>
      </c>
      <c r="M2" s="3">
        <v>6.3</v>
      </c>
      <c r="N2" s="3">
        <f>M2*20%</f>
      </c>
      <c r="O2" s="3">
        <v>1</v>
      </c>
      <c r="P2" s="3">
        <f>N2</f>
      </c>
      <c r="Q2" s="3">
        <f>I2-J2-K2-M2-N2-O2</f>
      </c>
      <c r="R2" s="3">
        <f>(Q2-Z2)/G2*100</f>
      </c>
      <c r="S2" s="3">
        <f>J2-P2</f>
      </c>
      <c r="T2" t="s">
        <v>35</v>
      </c>
      <c r="U2" t="s">
        <v>65</v>
      </c>
      <c r="AA2" s="3">
        <f>Q2-Z2</f>
      </c>
      <c r="AB2" t="s">
        <v>35</v>
      </c>
      <c r="AC2" t="s">
        <v>35</v>
      </c>
    </row>
    <row r="3" spans="1:27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/>
      <c r="L3" s="3">
        <f>IF($H3="","",K3*20%)</f>
      </c>
      <c r="M3" s="3"/>
      <c r="N3" s="3">
        <f>IF($H3="","",M3*20%)</f>
      </c>
      <c r="O3" s="3">
        <v>1</v>
      </c>
      <c r="P3" s="3">
        <f>IF($H3="","",N3)</f>
      </c>
      <c r="Q3" s="3">
        <f>IF($H3="","",I3-J3-K3-M3-N3-O3)</f>
      </c>
      <c r="R3" s="3">
        <f>IF($H3="","",(Q3-Z3)/G3*100)</f>
      </c>
      <c r="S3" s="3">
        <f>IF($H3="","",J3-P3)</f>
      </c>
      <c r="AA3" s="3">
        <f>IF($H3="","",Q3-Z3)</f>
      </c>
    </row>
    <row r="4" spans="1:27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/>
      <c r="L4" s="3">
        <f>IF($H4="","",K4*20%)</f>
      </c>
      <c r="M4" s="3"/>
      <c r="N4" s="3">
        <f>IF($H4="","",M4*20%)</f>
      </c>
      <c r="O4" s="3">
        <v>1</v>
      </c>
      <c r="P4" s="3">
        <f>IF($H4="","",N4)</f>
      </c>
      <c r="Q4" s="3">
        <f>IF($H4="","",I4-J4-K4-M4-N4-O4)</f>
      </c>
      <c r="R4" s="3">
        <f>IF($H4="","",(Q4-Z4)/G4*100)</f>
      </c>
      <c r="S4" s="3">
        <f>IF($H4="","",J4-P4)</f>
      </c>
      <c r="AA4" s="3">
        <f>IF($H4="","",Q4-Z4)</f>
      </c>
    </row>
    <row r="5" spans="1:27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/>
      <c r="L5" s="3">
        <f>IF($H5="","",K5*20%)</f>
      </c>
      <c r="M5" s="3"/>
      <c r="N5" s="3">
        <f>IF($H5="","",M5*20%)</f>
      </c>
      <c r="O5" s="3">
        <v>1</v>
      </c>
      <c r="P5" s="3">
        <f>IF($H5="","",N5)</f>
      </c>
      <c r="Q5" s="3">
        <f>IF($H5="","",I5-J5-K5-M5-N5-O5)</f>
      </c>
      <c r="R5" s="3">
        <f>IF($H5="","",(Q5-Z5)/G5*100)</f>
      </c>
      <c r="S5" s="3">
        <f>IF($H5="","",J5-P5)</f>
      </c>
      <c r="AA5" s="3">
        <f>IF($H5="","",Q5-Z5)</f>
      </c>
    </row>
    <row r="6" spans="1:27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/>
      <c r="L6" s="3">
        <f>IF($H6="","",K6*20%)</f>
      </c>
      <c r="M6" s="3"/>
      <c r="N6" s="3">
        <f>IF($H6="","",M6*20%)</f>
      </c>
      <c r="O6" s="3">
        <v>1</v>
      </c>
      <c r="P6" s="3">
        <f>IF($H6="","",N6)</f>
      </c>
      <c r="Q6" s="3">
        <f>IF($H6="","",I6-J6-K6-M6-N6-O6)</f>
      </c>
      <c r="R6" s="3">
        <f>IF($H6="","",(Q6-Z6)/G6*100)</f>
      </c>
      <c r="S6" s="3">
        <f>IF($H6="","",J6-P6)</f>
      </c>
      <c r="AA6" s="3">
        <f>IF($H6="","",Q6-Z6)</f>
      </c>
    </row>
    <row r="7" spans="1:27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/>
      <c r="L7" s="3">
        <f>IF($H7="","",K7*20%)</f>
      </c>
      <c r="M7" s="3"/>
      <c r="N7" s="3">
        <f>IF($H7="","",M7*20%)</f>
      </c>
      <c r="O7" s="3">
        <v>1</v>
      </c>
      <c r="P7" s="3">
        <f>IF($H7="","",N7)</f>
      </c>
      <c r="Q7" s="3">
        <f>IF($H7="","",I7-J7-K7-M7-N7-O7)</f>
      </c>
      <c r="R7" s="3">
        <f>IF($H7="","",(Q7-Z7)/G7*100)</f>
      </c>
      <c r="S7" s="3">
        <f>IF($H7="","",J7-P7)</f>
      </c>
      <c r="AA7" s="3">
        <f>IF($H7="","",Q7-Z7)</f>
      </c>
    </row>
    <row r="8" spans="1:27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/>
      <c r="L8" s="3">
        <f>IF($H8="","",K8*20%)</f>
      </c>
      <c r="M8" s="3"/>
      <c r="N8" s="3">
        <f>IF($H8="","",M8*20%)</f>
      </c>
      <c r="O8" s="3">
        <v>1</v>
      </c>
      <c r="P8" s="3">
        <f>IF($H8="","",N8)</f>
      </c>
      <c r="Q8" s="3">
        <f>IF($H8="","",I8-J8-K8-M8-N8-O8)</f>
      </c>
      <c r="R8" s="3">
        <f>IF($H8="","",(Q8-Z8)/G8*100)</f>
      </c>
      <c r="S8" s="3">
        <f>IF($H8="","",J8-P8)</f>
      </c>
      <c r="AA8" s="3">
        <f>IF($H8="","",Q8-Z8)</f>
      </c>
    </row>
    <row r="9" spans="1:27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/>
      <c r="L9" s="3">
        <f>IF($H9="","",K9*20%)</f>
      </c>
      <c r="M9" s="3"/>
      <c r="N9" s="3">
        <f>IF($H9="","",M9*20%)</f>
      </c>
      <c r="O9" s="3">
        <v>1</v>
      </c>
      <c r="P9" s="3">
        <f>IF($H9="","",N9)</f>
      </c>
      <c r="Q9" s="3">
        <f>IF($H9="","",I9-J9-K9-M9-N9-O9)</f>
      </c>
      <c r="R9" s="3">
        <f>IF($H9="","",(Q9-Z9)/G9*100)</f>
      </c>
      <c r="S9" s="3">
        <f>IF($H9="","",J9-P9)</f>
      </c>
      <c r="AA9" s="3">
        <f>IF($H9="","",Q9-Z9)</f>
      </c>
    </row>
    <row r="10" spans="1:27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/>
      <c r="L10" s="3">
        <f>IF($H10="","",K10*20%)</f>
      </c>
      <c r="M10" s="3"/>
      <c r="N10" s="3">
        <f>IF($H10="","",M10*20%)</f>
      </c>
      <c r="O10" s="3">
        <v>1</v>
      </c>
      <c r="P10" s="3">
        <f>IF($H10="","",N10)</f>
      </c>
      <c r="Q10" s="3">
        <f>IF($H10="","",I10-J10-K10-M10-N10-O10)</f>
      </c>
      <c r="R10" s="3">
        <f>IF($H10="","",(Q10-Z10)/G10*100)</f>
      </c>
      <c r="S10" s="3">
        <f>IF($H10="","",J10-P10)</f>
      </c>
      <c r="AA10" s="3">
        <f>IF($H10="","",Q10-Z10)</f>
      </c>
    </row>
    <row r="11" spans="1:27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/>
      <c r="L11" s="3">
        <f>IF($H11="","",K11*20%)</f>
      </c>
      <c r="M11" s="3"/>
      <c r="N11" s="3">
        <f>IF($H11="","",M11*20%)</f>
      </c>
      <c r="O11" s="3">
        <v>1</v>
      </c>
      <c r="P11" s="3">
        <f>IF($H11="","",N11)</f>
      </c>
      <c r="Q11" s="3">
        <f>IF($H11="","",I11-J11-K11-M11-N11-O11)</f>
      </c>
      <c r="R11" s="3">
        <f>IF($H11="","",(Q11-Z11)/G11*100)</f>
      </c>
      <c r="S11" s="3">
        <f>IF($H11="","",J11-P11)</f>
      </c>
      <c r="AA11" s="3">
        <f>IF($H11="","",Q11-Z11)</f>
      </c>
    </row>
    <row r="12" spans="1:27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/>
      <c r="L12" s="3">
        <f>IF($H12="","",K12*20%)</f>
      </c>
      <c r="M12" s="3"/>
      <c r="N12" s="3">
        <f>IF($H12="","",M12*20%)</f>
      </c>
      <c r="O12" s="3">
        <v>1</v>
      </c>
      <c r="P12" s="3">
        <f>IF($H12="","",N12)</f>
      </c>
      <c r="Q12" s="3">
        <f>IF($H12="","",I12-J12-K12-M12-N12-O12)</f>
      </c>
      <c r="R12" s="3">
        <f>IF($H12="","",(Q12-Z12)/G12*100)</f>
      </c>
      <c r="S12" s="3">
        <f>IF($H12="","",J12-P12)</f>
      </c>
      <c r="AA12" s="3">
        <f>IF($H12="","",Q12-Z12)</f>
      </c>
    </row>
    <row r="13" spans="1:27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/>
      <c r="L13" s="3">
        <f>IF($H13="","",K13*20%)</f>
      </c>
      <c r="M13" s="3"/>
      <c r="N13" s="3">
        <f>IF($H13="","",M13*20%)</f>
      </c>
      <c r="O13" s="3">
        <v>1</v>
      </c>
      <c r="P13" s="3">
        <f>IF($H13="","",N13)</f>
      </c>
      <c r="Q13" s="3">
        <f>IF($H13="","",I13-J13-K13-M13-N13-O13)</f>
      </c>
      <c r="R13" s="3">
        <f>IF($H13="","",(Q13-Z13)/G13*100)</f>
      </c>
      <c r="S13" s="3">
        <f>IF($H13="","",J13-P13)</f>
      </c>
      <c r="AA13" s="3">
        <f>IF($H13="","",Q13-Z13)</f>
      </c>
    </row>
    <row r="14" spans="1:27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/>
      <c r="L14" s="3">
        <f>IF($H14="","",K14*20%)</f>
      </c>
      <c r="M14" s="3"/>
      <c r="N14" s="3">
        <f>IF($H14="","",M14*20%)</f>
      </c>
      <c r="O14" s="3">
        <v>1</v>
      </c>
      <c r="P14" s="3">
        <f>IF($H14="","",N14)</f>
      </c>
      <c r="Q14" s="3">
        <f>IF($H14="","",I14-J14-K14-M14-N14-O14)</f>
      </c>
      <c r="R14" s="3">
        <f>IF($H14="","",(Q14-Z14)/G14*100)</f>
      </c>
      <c r="S14" s="3">
        <f>IF($H14="","",J14-P14)</f>
      </c>
      <c r="AA14" s="3">
        <f>IF($H14="","",Q14-Z14)</f>
      </c>
    </row>
    <row r="15" spans="1:27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/>
      <c r="L15" s="3">
        <f>IF($H15="","",K15*20%)</f>
      </c>
      <c r="M15" s="3"/>
      <c r="N15" s="3">
        <f>IF($H15="","",M15*20%)</f>
      </c>
      <c r="O15" s="3">
        <v>1</v>
      </c>
      <c r="P15" s="3">
        <f>IF($H15="","",N15)</f>
      </c>
      <c r="Q15" s="3">
        <f>IF($H15="","",I15-J15-K15-M15-N15-O15)</f>
      </c>
      <c r="R15" s="3">
        <f>IF($H15="","",(Q15-Z15)/G15*100)</f>
      </c>
      <c r="S15" s="3">
        <f>IF($H15="","",J15-P15)</f>
      </c>
      <c r="AA15" s="3">
        <f>IF($H15="","",Q15-Z15)</f>
      </c>
    </row>
    <row r="16" spans="1:27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/>
      <c r="L16" s="3">
        <f>IF($H16="","",K16*20%)</f>
      </c>
      <c r="M16" s="3"/>
      <c r="N16" s="3">
        <f>IF($H16="","",M16*20%)</f>
      </c>
      <c r="O16" s="3">
        <v>1</v>
      </c>
      <c r="P16" s="3">
        <f>IF($H16="","",N16)</f>
      </c>
      <c r="Q16" s="3">
        <f>IF($H16="","",I16-J16-K16-M16-N16-O16)</f>
      </c>
      <c r="R16" s="3">
        <f>IF($H16="","",(Q16-Z16)/G16*100)</f>
      </c>
      <c r="S16" s="3">
        <f>IF($H16="","",J16-P16)</f>
      </c>
      <c r="AA16" s="3">
        <f>IF($H16="","",Q16-Z16)</f>
      </c>
    </row>
    <row r="17" spans="1:27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/>
      <c r="L17" s="3">
        <f>IF($H17="","",K17*20%)</f>
      </c>
      <c r="M17" s="3"/>
      <c r="N17" s="3">
        <f>IF($H17="","",M17*20%)</f>
      </c>
      <c r="O17" s="3">
        <v>1</v>
      </c>
      <c r="P17" s="3">
        <f>IF($H17="","",N17)</f>
      </c>
      <c r="Q17" s="3">
        <f>IF($H17="","",I17-J17-K17-M17-N17-O17)</f>
      </c>
      <c r="R17" s="3">
        <f>IF($H17="","",(Q17-Z17)/G17*100)</f>
      </c>
      <c r="S17" s="3">
        <f>IF($H17="","",J17-P17)</f>
      </c>
      <c r="AA17" s="3">
        <f>IF($H17="","",Q17-Z17)</f>
      </c>
    </row>
    <row r="18" spans="1:27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/>
      <c r="L18" s="3">
        <f>IF($H18="","",K18*20%)</f>
      </c>
      <c r="M18" s="3"/>
      <c r="N18" s="3">
        <f>IF($H18="","",M18*20%)</f>
      </c>
      <c r="O18" s="3">
        <v>1</v>
      </c>
      <c r="P18" s="3">
        <f>IF($H18="","",N18)</f>
      </c>
      <c r="Q18" s="3">
        <f>IF($H18="","",I18-J18-K18-M18-N18-O18)</f>
      </c>
      <c r="R18" s="3">
        <f>IF($H18="","",(Q18-Z18)/G18*100)</f>
      </c>
      <c r="S18" s="3">
        <f>IF($H18="","",J18-P18)</f>
      </c>
      <c r="AA18" s="3">
        <f>IF($H18="","",Q18-Z18)</f>
      </c>
    </row>
    <row r="19" spans="1:27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/>
      <c r="L19" s="3">
        <f>IF($H19="","",K19*20%)</f>
      </c>
      <c r="M19" s="3"/>
      <c r="N19" s="3">
        <f>IF($H19="","",M19*20%)</f>
      </c>
      <c r="O19" s="3">
        <v>1</v>
      </c>
      <c r="P19" s="3">
        <f>IF($H19="","",N19)</f>
      </c>
      <c r="Q19" s="3">
        <f>IF($H19="","",I19-J19-K19-M19-N19-O19)</f>
      </c>
      <c r="R19" s="3">
        <f>IF($H19="","",(Q19-Z19)/G19*100)</f>
      </c>
      <c r="S19" s="3">
        <f>IF($H19="","",J19-P19)</f>
      </c>
      <c r="AA19" s="3">
        <f>IF($H19="","",Q19-Z19)</f>
      </c>
    </row>
    <row r="20" spans="1:27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/>
      <c r="L20" s="3">
        <f>IF($H20="","",K20*20%)</f>
      </c>
      <c r="M20" s="3"/>
      <c r="N20" s="3">
        <f>IF($H20="","",M20*20%)</f>
      </c>
      <c r="O20" s="3">
        <v>1</v>
      </c>
      <c r="P20" s="3">
        <f>IF($H20="","",N20)</f>
      </c>
      <c r="Q20" s="3">
        <f>IF($H20="","",I20-J20-K20-M20-N20-O20)</f>
      </c>
      <c r="R20" s="3">
        <f>IF($H20="","",(Q20-Z20)/G20*100)</f>
      </c>
      <c r="S20" s="3">
        <f>IF($H20="","",J20-P20)</f>
      </c>
      <c r="AA20" s="3">
        <f>IF($H20="","",Q20-Z20)</f>
      </c>
    </row>
    <row r="21" spans="1:27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/>
      <c r="L21" s="3">
        <f>IF($H21="","",K21*20%)</f>
      </c>
      <c r="M21" s="3"/>
      <c r="N21" s="3">
        <f>IF($H21="","",M21*20%)</f>
      </c>
      <c r="O21" s="3">
        <v>1</v>
      </c>
      <c r="P21" s="3">
        <f>IF($H21="","",N21)</f>
      </c>
      <c r="Q21" s="3">
        <f>IF($H21="","",I21-J21-K21-M21-N21-O21)</f>
      </c>
      <c r="R21" s="3">
        <f>IF($H21="","",(Q21-Z21)/G21*100)</f>
      </c>
      <c r="S21" s="3">
        <f>IF($H21="","",J21-P21)</f>
      </c>
      <c r="AA21" s="3">
        <f>IF($H21="","",Q21-Z21)</f>
      </c>
    </row>
    <row r="22" spans="1:27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/>
      <c r="L22" s="3">
        <f>IF($H22="","",K22*20%)</f>
      </c>
      <c r="M22" s="3"/>
      <c r="N22" s="3">
        <f>IF($H22="","",M22*20%)</f>
      </c>
      <c r="O22" s="3">
        <v>1</v>
      </c>
      <c r="P22" s="3">
        <f>IF($H22="","",N22)</f>
      </c>
      <c r="Q22" s="3">
        <f>IF($H22="","",I22-J22-K22-M22-N22-O22)</f>
      </c>
      <c r="R22" s="3">
        <f>IF($H22="","",(Q22-Z22)/G22*100)</f>
      </c>
      <c r="S22" s="3">
        <f>IF($H22="","",J22-P22)</f>
      </c>
      <c r="AA22" s="3">
        <f>IF($H22="","",Q22-Z22)</f>
      </c>
    </row>
    <row r="23" spans="1:27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/>
      <c r="L23" s="3">
        <f>IF($H23="","",K23*20%)</f>
      </c>
      <c r="M23" s="3"/>
      <c r="N23" s="3">
        <f>IF($H23="","",M23*20%)</f>
      </c>
      <c r="O23" s="3">
        <v>1</v>
      </c>
      <c r="P23" s="3">
        <f>IF($H23="","",N23)</f>
      </c>
      <c r="Q23" s="3">
        <f>IF($H23="","",I23-J23-K23-M23-N23-O23)</f>
      </c>
      <c r="R23" s="3">
        <f>IF($H23="","",(Q23-Z23)/G23*100)</f>
      </c>
      <c r="S23" s="3">
        <f>IF($H23="","",J23-P23)</f>
      </c>
      <c r="AA23" s="3">
        <f>IF($H23="","",Q23-Z23)</f>
      </c>
    </row>
    <row r="24" spans="1:27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/>
      <c r="L24" s="3">
        <f>IF($H24="","",K24*20%)</f>
      </c>
      <c r="M24" s="3"/>
      <c r="N24" s="3">
        <f>IF($H24="","",M24*20%)</f>
      </c>
      <c r="O24" s="3">
        <v>1</v>
      </c>
      <c r="P24" s="3">
        <f>IF($H24="","",N24)</f>
      </c>
      <c r="Q24" s="3">
        <f>IF($H24="","",I24-J24-K24-M24-N24-O24)</f>
      </c>
      <c r="R24" s="3">
        <f>IF($H24="","",(Q24-Z24)/G24*100)</f>
      </c>
      <c r="S24" s="3">
        <f>IF($H24="","",J24-P24)</f>
      </c>
      <c r="AA24" s="3">
        <f>IF($H24="","",Q24-Z24)</f>
      </c>
    </row>
    <row r="25" spans="1:27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/>
      <c r="L25" s="3">
        <f>IF($H25="","",K25*20%)</f>
      </c>
      <c r="M25" s="3"/>
      <c r="N25" s="3">
        <f>IF($H25="","",M25*20%)</f>
      </c>
      <c r="O25" s="3">
        <v>1</v>
      </c>
      <c r="P25" s="3">
        <f>IF($H25="","",N25)</f>
      </c>
      <c r="Q25" s="3">
        <f>IF($H25="","",I25-J25-K25-M25-N25-O25)</f>
      </c>
      <c r="R25" s="3">
        <f>IF($H25="","",(Q25-Z25)/G25*100)</f>
      </c>
      <c r="S25" s="3">
        <f>IF($H25="","",J25-P25)</f>
      </c>
      <c r="AA25" s="3">
        <f>IF($H25="","",Q25-Z25)</f>
      </c>
    </row>
    <row r="26" spans="1:27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/>
      <c r="L26" s="3">
        <f>IF($H26="","",K26*20%)</f>
      </c>
      <c r="M26" s="3"/>
      <c r="N26" s="3">
        <f>IF($H26="","",M26*20%)</f>
      </c>
      <c r="O26" s="3">
        <v>1</v>
      </c>
      <c r="P26" s="3">
        <f>IF($H26="","",N26)</f>
      </c>
      <c r="Q26" s="3">
        <f>IF($H26="","",I26-J26-K26-M26-N26-O26)</f>
      </c>
      <c r="R26" s="3">
        <f>IF($H26="","",(Q26-Z26)/G26*100)</f>
      </c>
      <c r="S26" s="3">
        <f>IF($H26="","",J26-P26)</f>
      </c>
      <c r="AA26" s="3">
        <f>IF($H26="","",Q26-Z26)</f>
      </c>
    </row>
    <row r="27" spans="1:27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/>
      <c r="L27" s="3">
        <f>IF($H27="","",K27*20%)</f>
      </c>
      <c r="M27" s="3"/>
      <c r="N27" s="3">
        <f>IF($H27="","",M27*20%)</f>
      </c>
      <c r="O27" s="3">
        <v>1</v>
      </c>
      <c r="P27" s="3">
        <f>IF($H27="","",N27)</f>
      </c>
      <c r="Q27" s="3">
        <f>IF($H27="","",I27-J27-K27-M27-N27-O27)</f>
      </c>
      <c r="R27" s="3">
        <f>IF($H27="","",(Q27-Z27)/G27*100)</f>
      </c>
      <c r="S27" s="3">
        <f>IF($H27="","",J27-P27)</f>
      </c>
      <c r="AA27" s="3">
        <f>IF($H27="","",Q27-Z27)</f>
      </c>
    </row>
    <row r="28" spans="1:27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/>
      <c r="L28" s="3">
        <f>IF($H28="","",K28*20%)</f>
      </c>
      <c r="M28" s="3"/>
      <c r="N28" s="3">
        <f>IF($H28="","",M28*20%)</f>
      </c>
      <c r="O28" s="3">
        <v>1</v>
      </c>
      <c r="P28" s="3">
        <f>IF($H28="","",N28)</f>
      </c>
      <c r="Q28" s="3">
        <f>IF($H28="","",I28-J28-K28-M28-N28-O28)</f>
      </c>
      <c r="R28" s="3">
        <f>IF($H28="","",(Q28-Z28)/G28*100)</f>
      </c>
      <c r="S28" s="3">
        <f>IF($H28="","",J28-P28)</f>
      </c>
      <c r="AA28" s="3">
        <f>IF($H28="","",Q28-Z28)</f>
      </c>
    </row>
    <row r="29" spans="1:27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/>
      <c r="L29" s="3">
        <f>IF($H29="","",K29*20%)</f>
      </c>
      <c r="M29" s="3"/>
      <c r="N29" s="3">
        <f>IF($H29="","",M29*20%)</f>
      </c>
      <c r="O29" s="3">
        <v>1</v>
      </c>
      <c r="P29" s="3">
        <f>IF($H29="","",N29)</f>
      </c>
      <c r="Q29" s="3">
        <f>IF($H29="","",I29-J29-K29-M29-N29-O29)</f>
      </c>
      <c r="R29" s="3">
        <f>IF($H29="","",(Q29-Z29)/G29*100)</f>
      </c>
      <c r="S29" s="3">
        <f>IF($H29="","",J29-P29)</f>
      </c>
      <c r="AA29" s="3">
        <f>IF($H29="","",Q29-Z29)</f>
      </c>
    </row>
    <row r="30" spans="1:27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/>
      <c r="L30" s="3">
        <f>IF($H30="","",K30*20%)</f>
      </c>
      <c r="M30" s="3"/>
      <c r="N30" s="3">
        <f>IF($H30="","",M30*20%)</f>
      </c>
      <c r="O30" s="3">
        <v>1</v>
      </c>
      <c r="P30" s="3">
        <f>IF($H30="","",N30)</f>
      </c>
      <c r="Q30" s="3">
        <f>IF($H30="","",I30-J30-K30-M30-N30-O30)</f>
      </c>
      <c r="R30" s="3">
        <f>IF($H30="","",(Q30-Z30)/G30*100)</f>
      </c>
      <c r="S30" s="3">
        <f>IF($H30="","",J30-P30)</f>
      </c>
      <c r="AA30" s="3">
        <f>IF($H30="","",Q30-Z30)</f>
      </c>
    </row>
    <row r="31" spans="1:27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/>
      <c r="L31" s="3">
        <f>IF($H31="","",K31*20%)</f>
      </c>
      <c r="M31" s="3"/>
      <c r="N31" s="3">
        <f>IF($H31="","",M31*20%)</f>
      </c>
      <c r="O31" s="3">
        <v>1</v>
      </c>
      <c r="P31" s="3">
        <f>IF($H31="","",N31)</f>
      </c>
      <c r="Q31" s="3">
        <f>IF($H31="","",I31-J31-K31-M31-N31-O31)</f>
      </c>
      <c r="R31" s="3">
        <f>IF($H31="","",(Q31-Z31)/G31*100)</f>
      </c>
      <c r="S31" s="3">
        <f>IF($H31="","",J31-P31)</f>
      </c>
      <c r="AA31" s="3">
        <f>IF($H31="","",Q31-Z31)</f>
      </c>
    </row>
    <row r="32" spans="1:27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/>
      <c r="L32" s="3">
        <f>IF($H32="","",K32*20%)</f>
      </c>
      <c r="M32" s="3"/>
      <c r="N32" s="3">
        <f>IF($H32="","",M32*20%)</f>
      </c>
      <c r="O32" s="3">
        <v>1</v>
      </c>
      <c r="P32" s="3">
        <f>IF($H32="","",N32)</f>
      </c>
      <c r="Q32" s="3">
        <f>IF($H32="","",I32-J32-K32-M32-N32-O32)</f>
      </c>
      <c r="R32" s="3">
        <f>IF($H32="","",(Q32-Z32)/G32*100)</f>
      </c>
      <c r="S32" s="3">
        <f>IF($H32="","",J32-P32)</f>
      </c>
      <c r="AA32" s="3">
        <f>IF($H32="","",Q32-Z32)</f>
      </c>
    </row>
    <row r="33" spans="1:27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/>
      <c r="L33" s="3">
        <f>IF($H33="","",K33*20%)</f>
      </c>
      <c r="M33" s="3"/>
      <c r="N33" s="3">
        <f>IF($H33="","",M33*20%)</f>
      </c>
      <c r="O33" s="3">
        <v>1</v>
      </c>
      <c r="P33" s="3">
        <f>IF($H33="","",N33)</f>
      </c>
      <c r="Q33" s="3">
        <f>IF($H33="","",I33-J33-K33-M33-N33-O33)</f>
      </c>
      <c r="R33" s="3">
        <f>IF($H33="","",(Q33-Z33)/G33*100)</f>
      </c>
      <c r="S33" s="3">
        <f>IF($H33="","",J33-P33)</f>
      </c>
      <c r="AA33" s="3">
        <f>IF($H33="","",Q33-Z33)</f>
      </c>
    </row>
    <row r="34" spans="1:27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/>
      <c r="L34" s="3">
        <f>IF($H34="","",K34*20%)</f>
      </c>
      <c r="M34" s="3"/>
      <c r="N34" s="3">
        <f>IF($H34="","",M34*20%)</f>
      </c>
      <c r="O34" s="3">
        <v>1</v>
      </c>
      <c r="P34" s="3">
        <f>IF($H34="","",N34)</f>
      </c>
      <c r="Q34" s="3">
        <f>IF($H34="","",I34-J34-K34-M34-N34-O34)</f>
      </c>
      <c r="R34" s="3">
        <f>IF($H34="","",(Q34-Z34)/G34*100)</f>
      </c>
      <c r="S34" s="3">
        <f>IF($H34="","",J34-P34)</f>
      </c>
      <c r="AA34" s="3">
        <f>IF($H34="","",Q34-Z34)</f>
      </c>
    </row>
    <row r="35" spans="1:27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/>
      <c r="L35" s="3">
        <f>IF($H35="","",K35*20%)</f>
      </c>
      <c r="M35" s="3"/>
      <c r="N35" s="3">
        <f>IF($H35="","",M35*20%)</f>
      </c>
      <c r="O35" s="3">
        <v>1</v>
      </c>
      <c r="P35" s="3">
        <f>IF($H35="","",N35)</f>
      </c>
      <c r="Q35" s="3">
        <f>IF($H35="","",I35-J35-K35-M35-N35-O35)</f>
      </c>
      <c r="R35" s="3">
        <f>IF($H35="","",(Q35-Z35)/G35*100)</f>
      </c>
      <c r="S35" s="3">
        <f>IF($H35="","",J35-P35)</f>
      </c>
      <c r="AA35" s="3">
        <f>IF($H35="","",Q35-Z35)</f>
      </c>
    </row>
    <row r="36" spans="1:27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/>
      <c r="L36" s="3">
        <f>IF($H36="","",K36*20%)</f>
      </c>
      <c r="M36" s="3"/>
      <c r="N36" s="3">
        <f>IF($H36="","",M36*20%)</f>
      </c>
      <c r="O36" s="3">
        <v>1</v>
      </c>
      <c r="P36" s="3">
        <f>IF($H36="","",N36)</f>
      </c>
      <c r="Q36" s="3">
        <f>IF($H36="","",I36-J36-K36-M36-N36-O36)</f>
      </c>
      <c r="R36" s="3">
        <f>IF($H36="","",(Q36-Z36)/G36*100)</f>
      </c>
      <c r="S36" s="3">
        <f>IF($H36="","",J36-P36)</f>
      </c>
      <c r="AA36" s="3">
        <f>IF($H36="","",Q36-Z36)</f>
      </c>
    </row>
    <row r="37" spans="1:27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/>
      <c r="L37" s="3">
        <f>IF($H37="","",K37*20%)</f>
      </c>
      <c r="M37" s="3"/>
      <c r="N37" s="3">
        <f>IF($H37="","",M37*20%)</f>
      </c>
      <c r="O37" s="3">
        <v>1</v>
      </c>
      <c r="P37" s="3">
        <f>IF($H37="","",N37)</f>
      </c>
      <c r="Q37" s="3">
        <f>IF($H37="","",I37-J37-K37-M37-N37-O37)</f>
      </c>
      <c r="R37" s="3">
        <f>IF($H37="","",(Q37-Z37)/G37*100)</f>
      </c>
      <c r="S37" s="3">
        <f>IF($H37="","",J37-P37)</f>
      </c>
      <c r="AA37" s="3">
        <f>IF($H37="","",Q37-Z37)</f>
      </c>
    </row>
    <row r="38" spans="1:27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/>
      <c r="L38" s="3">
        <f>IF($H38="","",K38*20%)</f>
      </c>
      <c r="M38" s="3"/>
      <c r="N38" s="3">
        <f>IF($H38="","",M38*20%)</f>
      </c>
      <c r="O38" s="3">
        <v>1</v>
      </c>
      <c r="P38" s="3">
        <f>IF($H38="","",N38)</f>
      </c>
      <c r="Q38" s="3">
        <f>IF($H38="","",I38-J38-K38-M38-N38-O38)</f>
      </c>
      <c r="R38" s="3">
        <f>IF($H38="","",(Q38-Z38)/G38*100)</f>
      </c>
      <c r="S38" s="3">
        <f>IF($H38="","",J38-P38)</f>
      </c>
      <c r="AA38" s="3">
        <f>IF($H38="","",Q38-Z38)</f>
      </c>
    </row>
    <row r="39" spans="1:27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/>
      <c r="L39" s="3">
        <f>IF($H39="","",K39*20%)</f>
      </c>
      <c r="M39" s="3"/>
      <c r="N39" s="3">
        <f>IF($H39="","",M39*20%)</f>
      </c>
      <c r="O39" s="3">
        <v>1</v>
      </c>
      <c r="P39" s="3">
        <f>IF($H39="","",N39)</f>
      </c>
      <c r="Q39" s="3">
        <f>IF($H39="","",I39-J39-K39-M39-N39-O39)</f>
      </c>
      <c r="R39" s="3">
        <f>IF($H39="","",(Q39-Z39)/G39*100)</f>
      </c>
      <c r="S39" s="3">
        <f>IF($H39="","",J39-P39)</f>
      </c>
      <c r="AA39" s="3">
        <f>IF($H39="","",Q39-Z39)</f>
      </c>
    </row>
    <row r="40" spans="1:27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/>
      <c r="L40" s="3">
        <f>IF($H40="","",K40*20%)</f>
      </c>
      <c r="M40" s="3"/>
      <c r="N40" s="3">
        <f>IF($H40="","",M40*20%)</f>
      </c>
      <c r="O40" s="3">
        <v>1</v>
      </c>
      <c r="P40" s="3">
        <f>IF($H40="","",N40)</f>
      </c>
      <c r="Q40" s="3">
        <f>IF($H40="","",I40-J40-K40-M40-N40-O40)</f>
      </c>
      <c r="R40" s="3">
        <f>IF($H40="","",(Q40-Z40)/G40*100)</f>
      </c>
      <c r="S40" s="3">
        <f>IF($H40="","",J40-P40)</f>
      </c>
      <c r="AA40" s="3">
        <f>IF($H40="","",Q40-Z40)</f>
      </c>
    </row>
    <row r="41" spans="1:27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/>
      <c r="L41" s="3">
        <f>IF($H41="","",K41*20%)</f>
      </c>
      <c r="M41" s="3"/>
      <c r="N41" s="3">
        <f>IF($H41="","",M41*20%)</f>
      </c>
      <c r="O41" s="3">
        <v>1</v>
      </c>
      <c r="P41" s="3">
        <f>IF($H41="","",N41)</f>
      </c>
      <c r="Q41" s="3">
        <f>IF($H41="","",I41-J41-K41-M41-N41-O41)</f>
      </c>
      <c r="R41" s="3">
        <f>IF($H41="","",(Q41-Z41)/G41*100)</f>
      </c>
      <c r="S41" s="3">
        <f>IF($H41="","",J41-P41)</f>
      </c>
      <c r="AA41" s="3">
        <f>IF($H41="","",Q41-Z41)</f>
      </c>
    </row>
    <row r="42" spans="1:27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/>
      <c r="L42" s="3">
        <f>IF($H42="","",K42*20%)</f>
      </c>
      <c r="M42" s="3"/>
      <c r="N42" s="3">
        <f>IF($H42="","",M42*20%)</f>
      </c>
      <c r="O42" s="3">
        <v>1</v>
      </c>
      <c r="P42" s="3">
        <f>IF($H42="","",N42)</f>
      </c>
      <c r="Q42" s="3">
        <f>IF($H42="","",I42-J42-K42-M42-N42-O42)</f>
      </c>
      <c r="R42" s="3">
        <f>IF($H42="","",(Q42-Z42)/G42*100)</f>
      </c>
      <c r="S42" s="3">
        <f>IF($H42="","",J42-P42)</f>
      </c>
      <c r="AA42" s="3">
        <f>IF($H42="","",Q42-Z42)</f>
      </c>
    </row>
    <row r="43" spans="1:27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/>
      <c r="L43" s="3">
        <f>IF($H43="","",K43*20%)</f>
      </c>
      <c r="M43" s="3"/>
      <c r="N43" s="3">
        <f>IF($H43="","",M43*20%)</f>
      </c>
      <c r="O43" s="3">
        <v>1</v>
      </c>
      <c r="P43" s="3">
        <f>IF($H43="","",N43)</f>
      </c>
      <c r="Q43" s="3">
        <f>IF($H43="","",I43-J43-K43-M43-N43-O43)</f>
      </c>
      <c r="R43" s="3">
        <f>IF($H43="","",(Q43-Z43)/G43*100)</f>
      </c>
      <c r="S43" s="3">
        <f>IF($H43="","",J43-P43)</f>
      </c>
      <c r="AA43" s="3">
        <f>IF($H43="","",Q43-Z43)</f>
      </c>
    </row>
    <row r="44" spans="1:27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/>
      <c r="L44" s="3">
        <f>IF($H44="","",K44*20%)</f>
      </c>
      <c r="M44" s="3"/>
      <c r="N44" s="3">
        <f>IF($H44="","",M44*20%)</f>
      </c>
      <c r="O44" s="3">
        <v>1</v>
      </c>
      <c r="P44" s="3">
        <f>IF($H44="","",N44)</f>
      </c>
      <c r="Q44" s="3">
        <f>IF($H44="","",I44-J44-K44-M44-N44-O44)</f>
      </c>
      <c r="R44" s="3">
        <f>IF($H44="","",(Q44-Z44)/G44*100)</f>
      </c>
      <c r="S44" s="3">
        <f>IF($H44="","",J44-P44)</f>
      </c>
      <c r="AA44" s="3">
        <f>IF($H44="","",Q44-Z44)</f>
      </c>
    </row>
    <row r="45" spans="1:27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/>
      <c r="L45" s="3">
        <f>IF($H45="","",K45*20%)</f>
      </c>
      <c r="M45" s="3"/>
      <c r="N45" s="3">
        <f>IF($H45="","",M45*20%)</f>
      </c>
      <c r="O45" s="3">
        <v>1</v>
      </c>
      <c r="P45" s="3">
        <f>IF($H45="","",N45)</f>
      </c>
      <c r="Q45" s="3">
        <f>IF($H45="","",I45-J45-K45-M45-N45-O45)</f>
      </c>
      <c r="R45" s="3">
        <f>IF($H45="","",(Q45-Z45)/G45*100)</f>
      </c>
      <c r="S45" s="3">
        <f>IF($H45="","",J45-P45)</f>
      </c>
      <c r="AA45" s="3">
        <f>IF($H45="","",Q45-Z45)</f>
      </c>
    </row>
    <row r="46" spans="1:27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/>
      <c r="L46" s="3">
        <f>IF($H46="","",K46*20%)</f>
      </c>
      <c r="M46" s="3"/>
      <c r="N46" s="3">
        <f>IF($H46="","",M46*20%)</f>
      </c>
      <c r="O46" s="3">
        <v>1</v>
      </c>
      <c r="P46" s="3">
        <f>IF($H46="","",N46)</f>
      </c>
      <c r="Q46" s="3">
        <f>IF($H46="","",I46-J46-K46-M46-N46-O46)</f>
      </c>
      <c r="R46" s="3">
        <f>IF($H46="","",(Q46-Z46)/G46*100)</f>
      </c>
      <c r="S46" s="3">
        <f>IF($H46="","",J46-P46)</f>
      </c>
      <c r="AA46" s="3">
        <f>IF($H46="","",Q46-Z46)</f>
      </c>
    </row>
    <row r="47" spans="1:27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/>
      <c r="L47" s="3">
        <f>IF($H47="","",K47*20%)</f>
      </c>
      <c r="M47" s="3"/>
      <c r="N47" s="3">
        <f>IF($H47="","",M47*20%)</f>
      </c>
      <c r="O47" s="3">
        <v>1</v>
      </c>
      <c r="P47" s="3">
        <f>IF($H47="","",N47)</f>
      </c>
      <c r="Q47" s="3">
        <f>IF($H47="","",I47-J47-K47-M47-N47-O47)</f>
      </c>
      <c r="R47" s="3">
        <f>IF($H47="","",(Q47-Z47)/G47*100)</f>
      </c>
      <c r="S47" s="3">
        <f>IF($H47="","",J47-P47)</f>
      </c>
      <c r="AA47" s="3">
        <f>IF($H47="","",Q47-Z47)</f>
      </c>
    </row>
    <row r="48" spans="1:27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/>
      <c r="L48" s="3">
        <f>IF($H48="","",K48*20%)</f>
      </c>
      <c r="M48" s="3"/>
      <c r="N48" s="3">
        <f>IF($H48="","",M48*20%)</f>
      </c>
      <c r="O48" s="3">
        <v>1</v>
      </c>
      <c r="P48" s="3">
        <f>IF($H48="","",N48)</f>
      </c>
      <c r="Q48" s="3">
        <f>IF($H48="","",I48-J48-K48-M48-N48-O48)</f>
      </c>
      <c r="R48" s="3">
        <f>IF($H48="","",(Q48-Z48)/G48*100)</f>
      </c>
      <c r="S48" s="3">
        <f>IF($H48="","",J48-P48)</f>
      </c>
      <c r="AA48" s="3">
        <f>IF($H48="","",Q48-Z48)</f>
      </c>
    </row>
    <row r="49" spans="1:27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/>
      <c r="L49" s="3">
        <f>IF($H49="","",K49*20%)</f>
      </c>
      <c r="M49" s="3"/>
      <c r="N49" s="3">
        <f>IF($H49="","",M49*20%)</f>
      </c>
      <c r="O49" s="3">
        <v>1</v>
      </c>
      <c r="P49" s="3">
        <f>IF($H49="","",N49)</f>
      </c>
      <c r="Q49" s="3">
        <f>IF($H49="","",I49-J49-K49-M49-N49-O49)</f>
      </c>
      <c r="R49" s="3">
        <f>IF($H49="","",(Q49-Z49)/G49*100)</f>
      </c>
      <c r="S49" s="3">
        <f>IF($H49="","",J49-P49)</f>
      </c>
      <c r="AA49" s="3">
        <f>IF($H49="","",Q49-Z49)</f>
      </c>
    </row>
    <row r="50" spans="1:27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/>
      <c r="L50" s="3">
        <f>IF($H50="","",K50*20%)</f>
      </c>
      <c r="M50" s="3"/>
      <c r="N50" s="3">
        <f>IF($H50="","",M50*20%)</f>
      </c>
      <c r="O50" s="3">
        <v>1</v>
      </c>
      <c r="P50" s="3">
        <f>IF($H50="","",N50)</f>
      </c>
      <c r="Q50" s="3">
        <f>IF($H50="","",I50-J50-K50-M50-N50-O50)</f>
      </c>
      <c r="R50" s="3">
        <f>IF($H50="","",(Q50-Z50)/G50*100)</f>
      </c>
      <c r="S50" s="3">
        <f>IF($H50="","",J50-P50)</f>
      </c>
      <c r="AA50" s="3">
        <f>IF($H50="","",Q50-Z50)</f>
      </c>
    </row>
    <row r="51" spans="1:27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/>
      <c r="L51" s="3">
        <f>IF($H51="","",K51*20%)</f>
      </c>
      <c r="M51" s="3"/>
      <c r="N51" s="3">
        <f>IF($H51="","",M51*20%)</f>
      </c>
      <c r="O51" s="3">
        <v>1</v>
      </c>
      <c r="P51" s="3">
        <f>IF($H51="","",N51)</f>
      </c>
      <c r="Q51" s="3">
        <f>IF($H51="","",I51-J51-K51-M51-N51-O51)</f>
      </c>
      <c r="R51" s="3">
        <f>IF($H51="","",(Q51-Z51)/G51*100)</f>
      </c>
      <c r="S51" s="3">
        <f>IF($H51="","",J51-P51)</f>
      </c>
      <c r="AA51" s="3">
        <f>IF($H51="","",Q51-Z51)</f>
      </c>
    </row>
    <row r="52" spans="1:27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/>
      <c r="L52" s="3">
        <f>IF($H52="","",K52*20%)</f>
      </c>
      <c r="M52" s="3"/>
      <c r="N52" s="3">
        <f>IF($H52="","",M52*20%)</f>
      </c>
      <c r="O52" s="3">
        <v>1</v>
      </c>
      <c r="P52" s="3">
        <f>IF($H52="","",N52)</f>
      </c>
      <c r="Q52" s="3">
        <f>IF($H52="","",I52-J52-K52-M52-N52-O52)</f>
      </c>
      <c r="R52" s="3">
        <f>IF($H52="","",(Q52-Z52)/G52*100)</f>
      </c>
      <c r="S52" s="3">
        <f>IF($H52="","",J52-P52)</f>
      </c>
      <c r="AA52" s="3">
        <f>IF($H52="","",Q52-Z52)</f>
      </c>
    </row>
    <row r="53" spans="1:27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/>
      <c r="L53" s="3">
        <f>IF($H53="","",K53*20%)</f>
      </c>
      <c r="M53" s="3"/>
      <c r="N53" s="3">
        <f>IF($H53="","",M53*20%)</f>
      </c>
      <c r="O53" s="3">
        <v>1</v>
      </c>
      <c r="P53" s="3">
        <f>IF($H53="","",N53)</f>
      </c>
      <c r="Q53" s="3">
        <f>IF($H53="","",I53-J53-K53-M53-N53-O53)</f>
      </c>
      <c r="R53" s="3">
        <f>IF($H53="","",(Q53-Z53)/G53*100)</f>
      </c>
      <c r="S53" s="3">
        <f>IF($H53="","",J53-P53)</f>
      </c>
      <c r="AA53" s="3">
        <f>IF($H53="","",Q53-Z53)</f>
      </c>
    </row>
    <row r="54" spans="1:27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/>
      <c r="L54" s="3">
        <f>IF($H54="","",K54*20%)</f>
      </c>
      <c r="M54" s="3"/>
      <c r="N54" s="3">
        <f>IF($H54="","",M54*20%)</f>
      </c>
      <c r="O54" s="3">
        <v>1</v>
      </c>
      <c r="P54" s="3">
        <f>IF($H54="","",N54)</f>
      </c>
      <c r="Q54" s="3">
        <f>IF($H54="","",I54-J54-K54-M54-N54-O54)</f>
      </c>
      <c r="R54" s="3">
        <f>IF($H54="","",(Q54-Z54)/G54*100)</f>
      </c>
      <c r="S54" s="3">
        <f>IF($H54="","",J54-P54)</f>
      </c>
      <c r="AA54" s="3">
        <f>IF($H54="","",Q54-Z54)</f>
      </c>
    </row>
    <row r="55" spans="1:27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/>
      <c r="L55" s="3">
        <f>IF($H55="","",K55*20%)</f>
      </c>
      <c r="M55" s="3"/>
      <c r="N55" s="3">
        <f>IF($H55="","",M55*20%)</f>
      </c>
      <c r="O55" s="3">
        <v>1</v>
      </c>
      <c r="P55" s="3">
        <f>IF($H55="","",N55)</f>
      </c>
      <c r="Q55" s="3">
        <f>IF($H55="","",I55-J55-K55-M55-N55-O55)</f>
      </c>
      <c r="R55" s="3">
        <f>IF($H55="","",(Q55-Z55)/G55*100)</f>
      </c>
      <c r="S55" s="3">
        <f>IF($H55="","",J55-P55)</f>
      </c>
      <c r="AA55" s="3">
        <f>IF($H55="","",Q55-Z55)</f>
      </c>
    </row>
    <row r="56" spans="1:27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/>
      <c r="L56" s="3">
        <f>IF($H56="","",K56*20%)</f>
      </c>
      <c r="M56" s="3"/>
      <c r="N56" s="3">
        <f>IF($H56="","",M56*20%)</f>
      </c>
      <c r="O56" s="3">
        <v>1</v>
      </c>
      <c r="P56" s="3">
        <f>IF($H56="","",N56)</f>
      </c>
      <c r="Q56" s="3">
        <f>IF($H56="","",I56-J56-K56-M56-N56-O56)</f>
      </c>
      <c r="R56" s="3">
        <f>IF($H56="","",(Q56-Z56)/G56*100)</f>
      </c>
      <c r="S56" s="3">
        <f>IF($H56="","",J56-P56)</f>
      </c>
      <c r="AA56" s="3">
        <f>IF($H56="","",Q56-Z56)</f>
      </c>
    </row>
    <row r="57" spans="1:27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/>
      <c r="L57" s="3">
        <f>IF($H57="","",K57*20%)</f>
      </c>
      <c r="M57" s="3"/>
      <c r="N57" s="3">
        <f>IF($H57="","",M57*20%)</f>
      </c>
      <c r="O57" s="3">
        <v>1</v>
      </c>
      <c r="P57" s="3">
        <f>IF($H57="","",N57)</f>
      </c>
      <c r="Q57" s="3">
        <f>IF($H57="","",I57-J57-K57-M57-N57-O57)</f>
      </c>
      <c r="R57" s="3">
        <f>IF($H57="","",(Q57-Z57)/G57*100)</f>
      </c>
      <c r="S57" s="3">
        <f>IF($H57="","",J57-P57)</f>
      </c>
      <c r="AA57" s="3">
        <f>IF($H57="","",Q57-Z57)</f>
      </c>
    </row>
    <row r="58" spans="1:27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/>
      <c r="L58" s="3">
        <f>IF($H58="","",K58*20%)</f>
      </c>
      <c r="M58" s="3"/>
      <c r="N58" s="3">
        <f>IF($H58="","",M58*20%)</f>
      </c>
      <c r="O58" s="3">
        <v>1</v>
      </c>
      <c r="P58" s="3">
        <f>IF($H58="","",N58)</f>
      </c>
      <c r="Q58" s="3">
        <f>IF($H58="","",I58-J58-K58-M58-N58-O58)</f>
      </c>
      <c r="R58" s="3">
        <f>IF($H58="","",(Q58-Z58)/G58*100)</f>
      </c>
      <c r="S58" s="3">
        <f>IF($H58="","",J58-P58)</f>
      </c>
      <c r="AA58" s="3">
        <f>IF($H58="","",Q58-Z58)</f>
      </c>
    </row>
    <row r="59" spans="1:27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/>
      <c r="L59" s="3">
        <f>IF($H59="","",K59*20%)</f>
      </c>
      <c r="M59" s="3"/>
      <c r="N59" s="3">
        <f>IF($H59="","",M59*20%)</f>
      </c>
      <c r="O59" s="3">
        <v>1</v>
      </c>
      <c r="P59" s="3">
        <f>IF($H59="","",N59)</f>
      </c>
      <c r="Q59" s="3">
        <f>IF($H59="","",I59-J59-K59-M59-N59-O59)</f>
      </c>
      <c r="R59" s="3">
        <f>IF($H59="","",(Q59-Z59)/G59*100)</f>
      </c>
      <c r="S59" s="3">
        <f>IF($H59="","",J59-P59)</f>
      </c>
      <c r="AA59" s="3">
        <f>IF($H59="","",Q59-Z59)</f>
      </c>
    </row>
    <row r="60" spans="1:27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/>
      <c r="L60" s="3">
        <f>IF($H60="","",K60*20%)</f>
      </c>
      <c r="M60" s="3"/>
      <c r="N60" s="3">
        <f>IF($H60="","",M60*20%)</f>
      </c>
      <c r="O60" s="3">
        <v>1</v>
      </c>
      <c r="P60" s="3">
        <f>IF($H60="","",N60)</f>
      </c>
      <c r="Q60" s="3">
        <f>IF($H60="","",I60-J60-K60-M60-N60-O60)</f>
      </c>
      <c r="R60" s="3">
        <f>IF($H60="","",(Q60-Z60)/G60*100)</f>
      </c>
      <c r="S60" s="3">
        <f>IF($H60="","",J60-P60)</f>
      </c>
      <c r="AA60" s="3">
        <f>IF($H60="","",Q60-Z60)</f>
      </c>
    </row>
    <row r="61" spans="1:27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/>
      <c r="L61" s="3">
        <f>IF($H61="","",K61*20%)</f>
      </c>
      <c r="M61" s="3"/>
      <c r="N61" s="3">
        <f>IF($H61="","",M61*20%)</f>
      </c>
      <c r="O61" s="3">
        <v>1</v>
      </c>
      <c r="P61" s="3">
        <f>IF($H61="","",N61)</f>
      </c>
      <c r="Q61" s="3">
        <f>IF($H61="","",I61-J61-K61-M61-N61-O61)</f>
      </c>
      <c r="R61" s="3">
        <f>IF($H61="","",(Q61-Z61)/G61*100)</f>
      </c>
      <c r="S61" s="3">
        <f>IF($H61="","",J61-P61)</f>
      </c>
      <c r="AA61" s="3">
        <f>IF($H61="","",Q61-Z61)</f>
      </c>
    </row>
    <row r="62" spans="1:27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/>
      <c r="L62" s="3">
        <f>IF($H62="","",K62*20%)</f>
      </c>
      <c r="M62" s="3"/>
      <c r="N62" s="3">
        <f>IF($H62="","",M62*20%)</f>
      </c>
      <c r="O62" s="3">
        <v>1</v>
      </c>
      <c r="P62" s="3">
        <f>IF($H62="","",N62)</f>
      </c>
      <c r="Q62" s="3">
        <f>IF($H62="","",I62-J62-K62-M62-N62-O62)</f>
      </c>
      <c r="R62" s="3">
        <f>IF($H62="","",(Q62-Z62)/G62*100)</f>
      </c>
      <c r="S62" s="3">
        <f>IF($H62="","",J62-P62)</f>
      </c>
      <c r="AA62" s="3">
        <f>IF($H62="","",Q62-Z62)</f>
      </c>
    </row>
    <row r="63" spans="1:27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/>
      <c r="L63" s="3">
        <f>IF($H63="","",K63*20%)</f>
      </c>
      <c r="M63" s="3"/>
      <c r="N63" s="3">
        <f>IF($H63="","",M63*20%)</f>
      </c>
      <c r="O63" s="3">
        <v>1</v>
      </c>
      <c r="P63" s="3">
        <f>IF($H63="","",N63)</f>
      </c>
      <c r="Q63" s="3">
        <f>IF($H63="","",I63-J63-K63-M63-N63-O63)</f>
      </c>
      <c r="R63" s="3">
        <f>IF($H63="","",(Q63-Z63)/G63*100)</f>
      </c>
      <c r="S63" s="3">
        <f>IF($H63="","",J63-P63)</f>
      </c>
      <c r="AA63" s="3">
        <f>IF($H63="","",Q63-Z63)</f>
      </c>
    </row>
    <row r="64" spans="1:27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/>
      <c r="L64" s="3">
        <f>IF($H64="","",K64*20%)</f>
      </c>
      <c r="M64" s="3"/>
      <c r="N64" s="3">
        <f>IF($H64="","",M64*20%)</f>
      </c>
      <c r="O64" s="3">
        <v>1</v>
      </c>
      <c r="P64" s="3">
        <f>IF($H64="","",N64)</f>
      </c>
      <c r="Q64" s="3">
        <f>IF($H64="","",I64-J64-K64-M64-N64-O64)</f>
      </c>
      <c r="R64" s="3">
        <f>IF($H64="","",(Q64-Z64)/G64*100)</f>
      </c>
      <c r="S64" s="3">
        <f>IF($H64="","",J64-P64)</f>
      </c>
      <c r="AA64" s="3">
        <f>IF($H64="","",Q64-Z64)</f>
      </c>
    </row>
    <row r="65" spans="1:27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/>
      <c r="L65" s="3">
        <f>IF($H65="","",K65*20%)</f>
      </c>
      <c r="M65" s="3"/>
      <c r="N65" s="3">
        <f>IF($H65="","",M65*20%)</f>
      </c>
      <c r="O65" s="3">
        <v>1</v>
      </c>
      <c r="P65" s="3">
        <f>IF($H65="","",N65)</f>
      </c>
      <c r="Q65" s="3">
        <f>IF($H65="","",I65-J65-K65-M65-N65-O65)</f>
      </c>
      <c r="R65" s="3">
        <f>IF($H65="","",(Q65-Z65)/G65*100)</f>
      </c>
      <c r="S65" s="3">
        <f>IF($H65="","",J65-P65)</f>
      </c>
      <c r="AA65" s="3">
        <f>IF($H65="","",Q65-Z65)</f>
      </c>
    </row>
    <row r="66" spans="1:27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/>
      <c r="L66" s="3">
        <f>IF($H66="","",K66*20%)</f>
      </c>
      <c r="M66" s="3"/>
      <c r="N66" s="3">
        <f>IF($H66="","",M66*20%)</f>
      </c>
      <c r="O66" s="3">
        <v>1</v>
      </c>
      <c r="P66" s="3">
        <f>IF($H66="","",N66)</f>
      </c>
      <c r="Q66" s="3">
        <f>IF($H66="","",I66-J66-K66-M66-N66-O66)</f>
      </c>
      <c r="R66" s="3">
        <f>IF($H66="","",(Q66-Z66)/G66*100)</f>
      </c>
      <c r="S66" s="3">
        <f>IF($H66="","",J66-P66)</f>
      </c>
      <c r="AA66" s="3">
        <f>IF($H66="","",Q66-Z66)</f>
      </c>
    </row>
    <row r="67" spans="1:27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/>
      <c r="L67" s="3">
        <f>IF($H67="","",K67*20%)</f>
      </c>
      <c r="M67" s="3"/>
      <c r="N67" s="3">
        <f>IF($H67="","",M67*20%)</f>
      </c>
      <c r="O67" s="3">
        <v>1</v>
      </c>
      <c r="P67" s="3">
        <f>IF($H67="","",N67)</f>
      </c>
      <c r="Q67" s="3">
        <f>IF($H67="","",I67-J67-K67-M67-N67-O67)</f>
      </c>
      <c r="R67" s="3">
        <f>IF($H67="","",(Q67-Z67)/G67*100)</f>
      </c>
      <c r="S67" s="3">
        <f>IF($H67="","",J67-P67)</f>
      </c>
      <c r="AA67" s="3">
        <f>IF($H67="","",Q67-Z67)</f>
      </c>
    </row>
    <row r="68" spans="1:27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/>
      <c r="L68" s="3">
        <f>IF($H68="","",K68*20%)</f>
      </c>
      <c r="M68" s="3"/>
      <c r="N68" s="3">
        <f>IF($H68="","",M68*20%)</f>
      </c>
      <c r="O68" s="3">
        <v>1</v>
      </c>
      <c r="P68" s="3">
        <f>IF($H68="","",N68)</f>
      </c>
      <c r="Q68" s="3">
        <f>IF($H68="","",I68-J68-K68-M68-N68-O68)</f>
      </c>
      <c r="R68" s="3">
        <f>IF($H68="","",(Q68-Z68)/G68*100)</f>
      </c>
      <c r="S68" s="3">
        <f>IF($H68="","",J68-P68)</f>
      </c>
      <c r="AA68" s="3">
        <f>IF($H68="","",Q68-Z68)</f>
      </c>
    </row>
    <row r="69" spans="1:27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/>
      <c r="L69" s="3">
        <f>IF($H69="","",K69*20%)</f>
      </c>
      <c r="M69" s="3"/>
      <c r="N69" s="3">
        <f>IF($H69="","",M69*20%)</f>
      </c>
      <c r="O69" s="3">
        <v>1</v>
      </c>
      <c r="P69" s="3">
        <f>IF($H69="","",N69)</f>
      </c>
      <c r="Q69" s="3">
        <f>IF($H69="","",I69-J69-K69-M69-N69-O69)</f>
      </c>
      <c r="R69" s="3">
        <f>IF($H69="","",(Q69-Z69)/G69*100)</f>
      </c>
      <c r="S69" s="3">
        <f>IF($H69="","",J69-P69)</f>
      </c>
      <c r="AA69" s="3">
        <f>IF($H69="","",Q69-Z69)</f>
      </c>
    </row>
    <row r="70" spans="1:27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/>
      <c r="L70" s="3">
        <f>IF($H70="","",K70*20%)</f>
      </c>
      <c r="M70" s="3"/>
      <c r="N70" s="3">
        <f>IF($H70="","",M70*20%)</f>
      </c>
      <c r="O70" s="3">
        <v>1</v>
      </c>
      <c r="P70" s="3">
        <f>IF($H70="","",N70)</f>
      </c>
      <c r="Q70" s="3">
        <f>IF($H70="","",I70-J70-K70-M70-N70-O70)</f>
      </c>
      <c r="R70" s="3">
        <f>IF($H70="","",(Q70-Z70)/G70*100)</f>
      </c>
      <c r="S70" s="3">
        <f>IF($H70="","",J70-P70)</f>
      </c>
      <c r="AA70" s="3">
        <f>IF($H70="","",Q70-Z70)</f>
      </c>
    </row>
    <row r="71" spans="1:27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/>
      <c r="L71" s="3">
        <f>IF($H71="","",K71*20%)</f>
      </c>
      <c r="M71" s="3"/>
      <c r="N71" s="3">
        <f>IF($H71="","",M71*20%)</f>
      </c>
      <c r="O71" s="3">
        <v>1</v>
      </c>
      <c r="P71" s="3">
        <f>IF($H71="","",N71)</f>
      </c>
      <c r="Q71" s="3">
        <f>IF($H71="","",I71-J71-K71-M71-N71-O71)</f>
      </c>
      <c r="R71" s="3">
        <f>IF($H71="","",(Q71-Z71)/G71*100)</f>
      </c>
      <c r="S71" s="3">
        <f>IF($H71="","",J71-P71)</f>
      </c>
      <c r="AA71" s="3">
        <f>IF($H71="","",Q71-Z71)</f>
      </c>
    </row>
    <row r="72" spans="1:27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/>
      <c r="L72" s="3">
        <f>IF($H72="","",K72*20%)</f>
      </c>
      <c r="M72" s="3"/>
      <c r="N72" s="3">
        <f>IF($H72="","",M72*20%)</f>
      </c>
      <c r="O72" s="3">
        <v>1</v>
      </c>
      <c r="P72" s="3">
        <f>IF($H72="","",N72)</f>
      </c>
      <c r="Q72" s="3">
        <f>IF($H72="","",I72-J72-K72-M72-N72-O72)</f>
      </c>
      <c r="R72" s="3">
        <f>IF($H72="","",(Q72-Z72)/G72*100)</f>
      </c>
      <c r="S72" s="3">
        <f>IF($H72="","",J72-P72)</f>
      </c>
      <c r="AA72" s="3">
        <f>IF($H72="","",Q72-Z72)</f>
      </c>
    </row>
    <row r="73" spans="1:27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/>
      <c r="L73" s="3">
        <f>IF($H73="","",K73*20%)</f>
      </c>
      <c r="M73" s="3"/>
      <c r="N73" s="3">
        <f>IF($H73="","",M73*20%)</f>
      </c>
      <c r="O73" s="3">
        <v>1</v>
      </c>
      <c r="P73" s="3">
        <f>IF($H73="","",N73)</f>
      </c>
      <c r="Q73" s="3">
        <f>IF($H73="","",I73-J73-K73-M73-N73-O73)</f>
      </c>
      <c r="R73" s="3">
        <f>IF($H73="","",(Q73-Z73)/G73*100)</f>
      </c>
      <c r="S73" s="3">
        <f>IF($H73="","",J73-P73)</f>
      </c>
      <c r="AA73" s="3">
        <f>IF($H73="","",Q73-Z73)</f>
      </c>
    </row>
    <row r="74" spans="1:27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/>
      <c r="L74" s="3">
        <f>IF($H74="","",K74*20%)</f>
      </c>
      <c r="M74" s="3"/>
      <c r="N74" s="3">
        <f>IF($H74="","",M74*20%)</f>
      </c>
      <c r="O74" s="3">
        <v>1</v>
      </c>
      <c r="P74" s="3">
        <f>IF($H74="","",N74)</f>
      </c>
      <c r="Q74" s="3">
        <f>IF($H74="","",I74-J74-K74-M74-N74-O74)</f>
      </c>
      <c r="R74" s="3">
        <f>IF($H74="","",(Q74-Z74)/G74*100)</f>
      </c>
      <c r="S74" s="3">
        <f>IF($H74="","",J74-P74)</f>
      </c>
      <c r="AA74" s="3">
        <f>IF($H74="","",Q74-Z74)</f>
      </c>
    </row>
    <row r="75" spans="1:27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/>
      <c r="L75" s="3">
        <f>IF($H75="","",K75*20%)</f>
      </c>
      <c r="M75" s="3"/>
      <c r="N75" s="3">
        <f>IF($H75="","",M75*20%)</f>
      </c>
      <c r="O75" s="3">
        <v>1</v>
      </c>
      <c r="P75" s="3">
        <f>IF($H75="","",N75)</f>
      </c>
      <c r="Q75" s="3">
        <f>IF($H75="","",I75-J75-K75-M75-N75-O75)</f>
      </c>
      <c r="R75" s="3">
        <f>IF($H75="","",(Q75-Z75)/G75*100)</f>
      </c>
      <c r="S75" s="3">
        <f>IF($H75="","",J75-P75)</f>
      </c>
      <c r="AA75" s="3">
        <f>IF($H75="","",Q75-Z75)</f>
      </c>
    </row>
    <row r="76" spans="1:27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/>
      <c r="L76" s="3">
        <f>IF($H76="","",K76*20%)</f>
      </c>
      <c r="M76" s="3"/>
      <c r="N76" s="3">
        <f>IF($H76="","",M76*20%)</f>
      </c>
      <c r="O76" s="3">
        <v>1</v>
      </c>
      <c r="P76" s="3">
        <f>IF($H76="","",N76)</f>
      </c>
      <c r="Q76" s="3">
        <f>IF($H76="","",I76-J76-K76-M76-N76-O76)</f>
      </c>
      <c r="R76" s="3">
        <f>IF($H76="","",(Q76-Z76)/G76*100)</f>
      </c>
      <c r="S76" s="3">
        <f>IF($H76="","",J76-P76)</f>
      </c>
      <c r="AA76" s="3">
        <f>IF($H76="","",Q76-Z76)</f>
      </c>
    </row>
    <row r="77" spans="1:27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/>
      <c r="L77" s="3">
        <f>IF($H77="","",K77*20%)</f>
      </c>
      <c r="M77" s="3"/>
      <c r="N77" s="3">
        <f>IF($H77="","",M77*20%)</f>
      </c>
      <c r="O77" s="3">
        <v>1</v>
      </c>
      <c r="P77" s="3">
        <f>IF($H77="","",N77)</f>
      </c>
      <c r="Q77" s="3">
        <f>IF($H77="","",I77-J77-K77-M77-N77-O77)</f>
      </c>
      <c r="R77" s="3">
        <f>IF($H77="","",(Q77-Z77)/G77*100)</f>
      </c>
      <c r="S77" s="3">
        <f>IF($H77="","",J77-P77)</f>
      </c>
      <c r="AA77" s="3">
        <f>IF($H77="","",Q77-Z77)</f>
      </c>
    </row>
    <row r="78" spans="1:27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/>
      <c r="L78" s="3">
        <f>IF($H78="","",K78*20%)</f>
      </c>
      <c r="M78" s="3"/>
      <c r="N78" s="3">
        <f>IF($H78="","",M78*20%)</f>
      </c>
      <c r="O78" s="3">
        <v>1</v>
      </c>
      <c r="P78" s="3">
        <f>IF($H78="","",N78)</f>
      </c>
      <c r="Q78" s="3">
        <f>IF($H78="","",I78-J78-K78-M78-N78-O78)</f>
      </c>
      <c r="R78" s="3">
        <f>IF($H78="","",(Q78-Z78)/G78*100)</f>
      </c>
      <c r="S78" s="3">
        <f>IF($H78="","",J78-P78)</f>
      </c>
      <c r="AA78" s="3">
        <f>IF($H78="","",Q78-Z78)</f>
      </c>
    </row>
    <row r="79" spans="1:27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/>
      <c r="L79" s="3">
        <f>IF($H79="","",K79*20%)</f>
      </c>
      <c r="M79" s="3"/>
      <c r="N79" s="3">
        <f>IF($H79="","",M79*20%)</f>
      </c>
      <c r="O79" s="3">
        <v>1</v>
      </c>
      <c r="P79" s="3">
        <f>IF($H79="","",N79)</f>
      </c>
      <c r="Q79" s="3">
        <f>IF($H79="","",I79-J79-K79-M79-N79-O79)</f>
      </c>
      <c r="R79" s="3">
        <f>IF($H79="","",(Q79-Z79)/G79*100)</f>
      </c>
      <c r="S79" s="3">
        <f>IF($H79="","",J79-P79)</f>
      </c>
      <c r="AA79" s="3">
        <f>IF($H79="","",Q79-Z79)</f>
      </c>
    </row>
    <row r="80" spans="1:27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/>
      <c r="L80" s="3">
        <f>IF($H80="","",K80*20%)</f>
      </c>
      <c r="M80" s="3"/>
      <c r="N80" s="3">
        <f>IF($H80="","",M80*20%)</f>
      </c>
      <c r="O80" s="3">
        <v>1</v>
      </c>
      <c r="P80" s="3">
        <f>IF($H80="","",N80)</f>
      </c>
      <c r="Q80" s="3">
        <f>IF($H80="","",I80-J80-K80-M80-N80-O80)</f>
      </c>
      <c r="R80" s="3">
        <f>IF($H80="","",(Q80-Z80)/G80*100)</f>
      </c>
      <c r="S80" s="3">
        <f>IF($H80="","",J80-P80)</f>
      </c>
      <c r="AA80" s="3">
        <f>IF($H80="","",Q80-Z80)</f>
      </c>
    </row>
    <row r="81" spans="1:27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/>
      <c r="L81" s="3">
        <f>IF($H81="","",K81*20%)</f>
      </c>
      <c r="M81" s="3"/>
      <c r="N81" s="3">
        <f>IF($H81="","",M81*20%)</f>
      </c>
      <c r="O81" s="3">
        <v>1</v>
      </c>
      <c r="P81" s="3">
        <f>IF($H81="","",N81)</f>
      </c>
      <c r="Q81" s="3">
        <f>IF($H81="","",I81-J81-K81-M81-N81-O81)</f>
      </c>
      <c r="R81" s="3">
        <f>IF($H81="","",(Q81-Z81)/G81*100)</f>
      </c>
      <c r="S81" s="3">
        <f>IF($H81="","",J81-P81)</f>
      </c>
      <c r="AA81" s="3">
        <f>IF($H81="","",Q81-Z81)</f>
      </c>
    </row>
    <row r="82" spans="1:27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/>
      <c r="L82" s="3">
        <f>IF($H82="","",K82*20%)</f>
      </c>
      <c r="M82" s="3"/>
      <c r="N82" s="3">
        <f>IF($H82="","",M82*20%)</f>
      </c>
      <c r="O82" s="3">
        <v>1</v>
      </c>
      <c r="P82" s="3">
        <f>IF($H82="","",N82)</f>
      </c>
      <c r="Q82" s="3">
        <f>IF($H82="","",I82-J82-K82-M82-N82-O82)</f>
      </c>
      <c r="R82" s="3">
        <f>IF($H82="","",(Q82-Z82)/G82*100)</f>
      </c>
      <c r="S82" s="3">
        <f>IF($H82="","",J82-P82)</f>
      </c>
      <c r="AA82" s="3">
        <f>IF($H82="","",Q82-Z82)</f>
      </c>
    </row>
    <row r="83" spans="1:27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/>
      <c r="L83" s="3">
        <f>IF($H83="","",K83*20%)</f>
      </c>
      <c r="M83" s="3"/>
      <c r="N83" s="3">
        <f>IF($H83="","",M83*20%)</f>
      </c>
      <c r="O83" s="3">
        <v>1</v>
      </c>
      <c r="P83" s="3">
        <f>IF($H83="","",N83)</f>
      </c>
      <c r="Q83" s="3">
        <f>IF($H83="","",I83-J83-K83-M83-N83-O83)</f>
      </c>
      <c r="R83" s="3">
        <f>IF($H83="","",(Q83-Z83)/G83*100)</f>
      </c>
      <c r="S83" s="3">
        <f>IF($H83="","",J83-P83)</f>
      </c>
      <c r="AA83" s="3">
        <f>IF($H83="","",Q83-Z83)</f>
      </c>
    </row>
    <row r="84" spans="1:27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/>
      <c r="L84" s="3">
        <f>IF($H84="","",K84*20%)</f>
      </c>
      <c r="M84" s="3"/>
      <c r="N84" s="3">
        <f>IF($H84="","",M84*20%)</f>
      </c>
      <c r="O84" s="3">
        <v>1</v>
      </c>
      <c r="P84" s="3">
        <f>IF($H84="","",N84)</f>
      </c>
      <c r="Q84" s="3">
        <f>IF($H84="","",I84-J84-K84-M84-N84-O84)</f>
      </c>
      <c r="R84" s="3">
        <f>IF($H84="","",(Q84-Z84)/G84*100)</f>
      </c>
      <c r="S84" s="3">
        <f>IF($H84="","",J84-P84)</f>
      </c>
      <c r="AA84" s="3">
        <f>IF($H84="","",Q84-Z84)</f>
      </c>
    </row>
    <row r="85" spans="1:27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/>
      <c r="L85" s="3">
        <f>IF($H85="","",K85*20%)</f>
      </c>
      <c r="M85" s="3"/>
      <c r="N85" s="3">
        <f>IF($H85="","",M85*20%)</f>
      </c>
      <c r="O85" s="3">
        <v>1</v>
      </c>
      <c r="P85" s="3">
        <f>IF($H85="","",N85)</f>
      </c>
      <c r="Q85" s="3">
        <f>IF($H85="","",I85-J85-K85-M85-N85-O85)</f>
      </c>
      <c r="R85" s="3">
        <f>IF($H85="","",(Q85-Z85)/G85*100)</f>
      </c>
      <c r="S85" s="3">
        <f>IF($H85="","",J85-P85)</f>
      </c>
      <c r="AA85" s="3">
        <f>IF($H85="","",Q85-Z85)</f>
      </c>
    </row>
    <row r="86" spans="1:27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/>
      <c r="L86" s="3">
        <f>IF($H86="","",K86*20%)</f>
      </c>
      <c r="M86" s="3"/>
      <c r="N86" s="3">
        <f>IF($H86="","",M86*20%)</f>
      </c>
      <c r="O86" s="3">
        <v>1</v>
      </c>
      <c r="P86" s="3">
        <f>IF($H86="","",N86)</f>
      </c>
      <c r="Q86" s="3">
        <f>IF($H86="","",I86-J86-K86-M86-N86-O86)</f>
      </c>
      <c r="R86" s="3">
        <f>IF($H86="","",(Q86-Z86)/G86*100)</f>
      </c>
      <c r="S86" s="3">
        <f>IF($H86="","",J86-P86)</f>
      </c>
      <c r="AA86" s="3">
        <f>IF($H86="","",Q86-Z86)</f>
      </c>
    </row>
    <row r="87" spans="1:27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/>
      <c r="L87" s="3">
        <f>IF($H87="","",K87*20%)</f>
      </c>
      <c r="M87" s="3"/>
      <c r="N87" s="3">
        <f>IF($H87="","",M87*20%)</f>
      </c>
      <c r="O87" s="3">
        <v>1</v>
      </c>
      <c r="P87" s="3">
        <f>IF($H87="","",N87)</f>
      </c>
      <c r="Q87" s="3">
        <f>IF($H87="","",I87-J87-K87-M87-N87-O87)</f>
      </c>
      <c r="R87" s="3">
        <f>IF($H87="","",(Q87-Z87)/G87*100)</f>
      </c>
      <c r="S87" s="3">
        <f>IF($H87="","",J87-P87)</f>
      </c>
      <c r="AA87" s="3">
        <f>IF($H87="","",Q87-Z87)</f>
      </c>
    </row>
    <row r="88" spans="1:27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/>
      <c r="L88" s="3">
        <f>IF($H88="","",K88*20%)</f>
      </c>
      <c r="M88" s="3"/>
      <c r="N88" s="3">
        <f>IF($H88="","",M88*20%)</f>
      </c>
      <c r="O88" s="3">
        <v>1</v>
      </c>
      <c r="P88" s="3">
        <f>IF($H88="","",N88)</f>
      </c>
      <c r="Q88" s="3">
        <f>IF($H88="","",I88-J88-K88-M88-N88-O88)</f>
      </c>
      <c r="R88" s="3">
        <f>IF($H88="","",(Q88-Z88)/G88*100)</f>
      </c>
      <c r="S88" s="3">
        <f>IF($H88="","",J88-P88)</f>
      </c>
      <c r="AA88" s="3">
        <f>IF($H88="","",Q88-Z88)</f>
      </c>
    </row>
    <row r="89" spans="1:27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/>
      <c r="L89" s="3">
        <f>IF($H89="","",K89*20%)</f>
      </c>
      <c r="M89" s="3"/>
      <c r="N89" s="3">
        <f>IF($H89="","",M89*20%)</f>
      </c>
      <c r="O89" s="3">
        <v>1</v>
      </c>
      <c r="P89" s="3">
        <f>IF($H89="","",N89)</f>
      </c>
      <c r="Q89" s="3">
        <f>IF($H89="","",I89-J89-K89-M89-N89-O89)</f>
      </c>
      <c r="R89" s="3">
        <f>IF($H89="","",(Q89-Z89)/G89*100)</f>
      </c>
      <c r="S89" s="3">
        <f>IF($H89="","",J89-P89)</f>
      </c>
      <c r="AA89" s="3">
        <f>IF($H89="","",Q89-Z89)</f>
      </c>
    </row>
    <row r="90" spans="1:27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/>
      <c r="L90" s="3">
        <f>IF($H90="","",K90*20%)</f>
      </c>
      <c r="M90" s="3"/>
      <c r="N90" s="3">
        <f>IF($H90="","",M90*20%)</f>
      </c>
      <c r="O90" s="3">
        <v>1</v>
      </c>
      <c r="P90" s="3">
        <f>IF($H90="","",N90)</f>
      </c>
      <c r="Q90" s="3">
        <f>IF($H90="","",I90-J90-K90-M90-N90-O90)</f>
      </c>
      <c r="R90" s="3">
        <f>IF($H90="","",(Q90-Z90)/G90*100)</f>
      </c>
      <c r="S90" s="3">
        <f>IF($H90="","",J90-P90)</f>
      </c>
      <c r="AA90" s="3">
        <f>IF($H90="","",Q90-Z90)</f>
      </c>
    </row>
    <row r="91" spans="1:27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/>
      <c r="L91" s="3">
        <f>IF($H91="","",K91*20%)</f>
      </c>
      <c r="M91" s="3"/>
      <c r="N91" s="3">
        <f>IF($H91="","",M91*20%)</f>
      </c>
      <c r="O91" s="3">
        <v>1</v>
      </c>
      <c r="P91" s="3">
        <f>IF($H91="","",N91)</f>
      </c>
      <c r="Q91" s="3">
        <f>IF($H91="","",I91-J91-K91-M91-N91-O91)</f>
      </c>
      <c r="R91" s="3">
        <f>IF($H91="","",(Q91-Z91)/G91*100)</f>
      </c>
      <c r="S91" s="3">
        <f>IF($H91="","",J91-P91)</f>
      </c>
      <c r="AA91" s="3">
        <f>IF($H91="","",Q91-Z91)</f>
      </c>
    </row>
    <row r="92" spans="1:27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/>
      <c r="L92" s="3">
        <f>IF($H92="","",K92*20%)</f>
      </c>
      <c r="M92" s="3"/>
      <c r="N92" s="3">
        <f>IF($H92="","",M92*20%)</f>
      </c>
      <c r="O92" s="3">
        <v>1</v>
      </c>
      <c r="P92" s="3">
        <f>IF($H92="","",N92)</f>
      </c>
      <c r="Q92" s="3">
        <f>IF($H92="","",I92-J92-K92-M92-N92-O92)</f>
      </c>
      <c r="R92" s="3">
        <f>IF($H92="","",(Q92-Z92)/G92*100)</f>
      </c>
      <c r="S92" s="3">
        <f>IF($H92="","",J92-P92)</f>
      </c>
      <c r="AA92" s="3">
        <f>IF($H92="","",Q92-Z92)</f>
      </c>
    </row>
    <row r="93" spans="1:27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/>
      <c r="L93" s="3">
        <f>IF($H93="","",K93*20%)</f>
      </c>
      <c r="M93" s="3"/>
      <c r="N93" s="3">
        <f>IF($H93="","",M93*20%)</f>
      </c>
      <c r="O93" s="3">
        <v>1</v>
      </c>
      <c r="P93" s="3">
        <f>IF($H93="","",N93)</f>
      </c>
      <c r="Q93" s="3">
        <f>IF($H93="","",I93-J93-K93-M93-N93-O93)</f>
      </c>
      <c r="R93" s="3">
        <f>IF($H93="","",(Q93-Z93)/G93*100)</f>
      </c>
      <c r="S93" s="3">
        <f>IF($H93="","",J93-P93)</f>
      </c>
      <c r="AA93" s="3">
        <f>IF($H93="","",Q93-Z93)</f>
      </c>
    </row>
    <row r="94" spans="1:27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/>
      <c r="L94" s="3">
        <f>IF($H94="","",K94*20%)</f>
      </c>
      <c r="M94" s="3"/>
      <c r="N94" s="3">
        <f>IF($H94="","",M94*20%)</f>
      </c>
      <c r="O94" s="3">
        <v>1</v>
      </c>
      <c r="P94" s="3">
        <f>IF($H94="","",N94)</f>
      </c>
      <c r="Q94" s="3">
        <f>IF($H94="","",I94-J94-K94-M94-N94-O94)</f>
      </c>
      <c r="R94" s="3">
        <f>IF($H94="","",(Q94-Z94)/G94*100)</f>
      </c>
      <c r="S94" s="3">
        <f>IF($H94="","",J94-P94)</f>
      </c>
      <c r="AA94" s="3">
        <f>IF($H94="","",Q94-Z94)</f>
      </c>
    </row>
    <row r="95" spans="1:27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/>
      <c r="L95" s="3">
        <f>IF($H95="","",K95*20%)</f>
      </c>
      <c r="M95" s="3"/>
      <c r="N95" s="3">
        <f>IF($H95="","",M95*20%)</f>
      </c>
      <c r="O95" s="3">
        <v>1</v>
      </c>
      <c r="P95" s="3">
        <f>IF($H95="","",N95)</f>
      </c>
      <c r="Q95" s="3">
        <f>IF($H95="","",I95-J95-K95-M95-N95-O95)</f>
      </c>
      <c r="R95" s="3">
        <f>IF($H95="","",(Q95-Z95)/G95*100)</f>
      </c>
      <c r="S95" s="3">
        <f>IF($H95="","",J95-P95)</f>
      </c>
      <c r="AA95" s="3">
        <f>IF($H95="","",Q95-Z95)</f>
      </c>
    </row>
    <row r="96" spans="1:27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/>
      <c r="L96" s="3">
        <f>IF($H96="","",K96*20%)</f>
      </c>
      <c r="M96" s="3"/>
      <c r="N96" s="3">
        <f>IF($H96="","",M96*20%)</f>
      </c>
      <c r="O96" s="3">
        <v>1</v>
      </c>
      <c r="P96" s="3">
        <f>IF($H96="","",N96)</f>
      </c>
      <c r="Q96" s="3">
        <f>IF($H96="","",I96-J96-K96-M96-N96-O96)</f>
      </c>
      <c r="R96" s="3">
        <f>IF($H96="","",(Q96-Z96)/G96*100)</f>
      </c>
      <c r="S96" s="3">
        <f>IF($H96="","",J96-P96)</f>
      </c>
      <c r="AA96" s="3">
        <f>IF($H96="","",Q96-Z96)</f>
      </c>
    </row>
    <row r="97" spans="1:27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/>
      <c r="L97" s="3">
        <f>IF($H97="","",K97*20%)</f>
      </c>
      <c r="M97" s="3"/>
      <c r="N97" s="3">
        <f>IF($H97="","",M97*20%)</f>
      </c>
      <c r="O97" s="3">
        <v>1</v>
      </c>
      <c r="P97" s="3">
        <f>IF($H97="","",N97)</f>
      </c>
      <c r="Q97" s="3">
        <f>IF($H97="","",I97-J97-K97-M97-N97-O97)</f>
      </c>
      <c r="R97" s="3">
        <f>IF($H97="","",(Q97-Z97)/G97*100)</f>
      </c>
      <c r="S97" s="3">
        <f>IF($H97="","",J97-P97)</f>
      </c>
      <c r="AA97" s="3">
        <f>IF($H97="","",Q97-Z97)</f>
      </c>
    </row>
    <row r="98" spans="1:27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/>
      <c r="L98" s="3">
        <f>IF($H98="","",K98*20%)</f>
      </c>
      <c r="M98" s="3"/>
      <c r="N98" s="3">
        <f>IF($H98="","",M98*20%)</f>
      </c>
      <c r="O98" s="3">
        <v>1</v>
      </c>
      <c r="P98" s="3">
        <f>IF($H98="","",N98)</f>
      </c>
      <c r="Q98" s="3">
        <f>IF($H98="","",I98-J98-K98-M98-N98-O98)</f>
      </c>
      <c r="R98" s="3">
        <f>IF($H98="","",(Q98-Z98)/G98*100)</f>
      </c>
      <c r="S98" s="3">
        <f>IF($H98="","",J98-P98)</f>
      </c>
      <c r="AA98" s="3">
        <f>IF($H98="","",Q98-Z98)</f>
      </c>
    </row>
    <row r="99" spans="1:27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/>
      <c r="L99" s="3">
        <f>IF($H99="","",K99*20%)</f>
      </c>
      <c r="M99" s="3"/>
      <c r="N99" s="3">
        <f>IF($H99="","",M99*20%)</f>
      </c>
      <c r="O99" s="3">
        <v>1</v>
      </c>
      <c r="P99" s="3">
        <f>IF($H99="","",N99)</f>
      </c>
      <c r="Q99" s="3">
        <f>IF($H99="","",I99-J99-K99-M99-N99-O99)</f>
      </c>
      <c r="R99" s="3">
        <f>IF($H99="","",(Q99-Z99)/G99*100)</f>
      </c>
      <c r="S99" s="3">
        <f>IF($H99="","",J99-P99)</f>
      </c>
      <c r="AA99" s="3">
        <f>IF($H99="","",Q99-Z99)</f>
      </c>
    </row>
    <row r="100" spans="1:27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/>
      <c r="L100" s="3">
        <f>IF($H100="","",K100*20%)</f>
      </c>
      <c r="M100" s="3"/>
      <c r="N100" s="3">
        <f>IF($H100="","",M100*20%)</f>
      </c>
      <c r="O100" s="3">
        <v>1</v>
      </c>
      <c r="P100" s="3">
        <f>IF($H100="","",N100)</f>
      </c>
      <c r="Q100" s="3">
        <f>IF($H100="","",I100-J100-K100-M100-N100-O100)</f>
      </c>
      <c r="R100" s="3">
        <f>IF($H100="","",(Q100-Z100)/G100*100)</f>
      </c>
      <c r="S100" s="3">
        <f>IF($H100="","",J100-P100)</f>
      </c>
      <c r="AA100" s="3">
        <f>IF($H100="","",Q100-Z100)</f>
      </c>
    </row>
    <row r="101" spans="1:27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/>
      <c r="L101" s="3">
        <f>IF($H101="","",K101*20%)</f>
      </c>
      <c r="M101" s="3"/>
      <c r="N101" s="3">
        <f>IF($H101="","",M101*20%)</f>
      </c>
      <c r="O101" s="3">
        <v>1</v>
      </c>
      <c r="P101" s="3">
        <f>IF($H101="","",N101)</f>
      </c>
      <c r="Q101" s="3">
        <f>IF($H101="","",I101-J101-K101-M101-N101-O101)</f>
      </c>
      <c r="R101" s="3">
        <f>IF($H101="","",(Q101-Z101)/G101*100)</f>
      </c>
      <c r="S101" s="3">
        <f>IF($H101="","",J101-P101)</f>
      </c>
      <c r="AA101" s="3">
        <f>IF($H101="","",Q101-Z101)</f>
      </c>
    </row>
    <row r="102" spans="1:27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/>
      <c r="L102" s="3">
        <f>IF($H102="","",K102*20%)</f>
      </c>
      <c r="M102" s="3"/>
      <c r="N102" s="3">
        <f>IF($H102="","",M102*20%)</f>
      </c>
      <c r="O102" s="3">
        <v>1</v>
      </c>
      <c r="P102" s="3">
        <f>IF($H102="","",N102)</f>
      </c>
      <c r="Q102" s="3">
        <f>IF($H102="","",I102-J102-K102-M102-N102-O102)</f>
      </c>
      <c r="R102" s="3">
        <f>IF($H102="","",(Q102-Z102)/G102*100)</f>
      </c>
      <c r="S102" s="3">
        <f>IF($H102="","",J102-P102)</f>
      </c>
      <c r="AA102" s="3">
        <f>IF($H102="","",Q102-Z102)</f>
      </c>
    </row>
    <row r="103" spans="1:27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/>
      <c r="L103" s="3">
        <f>IF($H103="","",K103*20%)</f>
      </c>
      <c r="M103" s="3"/>
      <c r="N103" s="3">
        <f>IF($H103="","",M103*20%)</f>
      </c>
      <c r="O103" s="3">
        <v>1</v>
      </c>
      <c r="P103" s="3">
        <f>IF($H103="","",N103)</f>
      </c>
      <c r="Q103" s="3">
        <f>IF($H103="","",I103-J103-K103-M103-N103-O103)</f>
      </c>
      <c r="R103" s="3">
        <f>IF($H103="","",(Q103-Z103)/G103*100)</f>
      </c>
      <c r="S103" s="3">
        <f>IF($H103="","",J103-P103)</f>
      </c>
      <c r="AA103" s="3">
        <f>IF($H103="","",Q103-Z103)</f>
      </c>
    </row>
    <row r="104" spans="1:27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/>
      <c r="L104" s="3">
        <f>IF($H104="","",K104*20%)</f>
      </c>
      <c r="M104" s="3"/>
      <c r="N104" s="3">
        <f>IF($H104="","",M104*20%)</f>
      </c>
      <c r="O104" s="3">
        <v>1</v>
      </c>
      <c r="P104" s="3">
        <f>IF($H104="","",N104)</f>
      </c>
      <c r="Q104" s="3">
        <f>IF($H104="","",I104-J104-K104-M104-N104-O104)</f>
      </c>
      <c r="R104" s="3">
        <f>IF($H104="","",(Q104-Z104)/G104*100)</f>
      </c>
      <c r="S104" s="3">
        <f>IF($H104="","",J104-P104)</f>
      </c>
      <c r="AA104" s="3">
        <f>IF($H104="","",Q104-Z104)</f>
      </c>
    </row>
    <row r="105" spans="1:27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/>
      <c r="L105" s="3">
        <f>IF($H105="","",K105*20%)</f>
      </c>
      <c r="M105" s="3"/>
      <c r="N105" s="3">
        <f>IF($H105="","",M105*20%)</f>
      </c>
      <c r="O105" s="3">
        <v>1</v>
      </c>
      <c r="P105" s="3">
        <f>IF($H105="","",N105)</f>
      </c>
      <c r="Q105" s="3">
        <f>IF($H105="","",I105-J105-K105-M105-N105-O105)</f>
      </c>
      <c r="R105" s="3">
        <f>IF($H105="","",(Q105-Z105)/G105*100)</f>
      </c>
      <c r="S105" s="3">
        <f>IF($H105="","",J105-P105)</f>
      </c>
      <c r="AA105" s="3">
        <f>IF($H105="","",Q105-Z105)</f>
      </c>
    </row>
    <row r="106" spans="1:27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/>
      <c r="L106" s="3">
        <f>IF($H106="","",K106*20%)</f>
      </c>
      <c r="M106" s="3"/>
      <c r="N106" s="3">
        <f>IF($H106="","",M106*20%)</f>
      </c>
      <c r="O106" s="3">
        <v>1</v>
      </c>
      <c r="P106" s="3">
        <f>IF($H106="","",N106)</f>
      </c>
      <c r="Q106" s="3">
        <f>IF($H106="","",I106-J106-K106-M106-N106-O106)</f>
      </c>
      <c r="R106" s="3">
        <f>IF($H106="","",(Q106-Z106)/G106*100)</f>
      </c>
      <c r="S106" s="3">
        <f>IF($H106="","",J106-P106)</f>
      </c>
      <c r="AA106" s="3">
        <f>IF($H106="","",Q106-Z106)</f>
      </c>
    </row>
    <row r="107" spans="1:27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/>
      <c r="L107" s="3">
        <f>IF($H107="","",K107*20%)</f>
      </c>
      <c r="M107" s="3"/>
      <c r="N107" s="3">
        <f>IF($H107="","",M107*20%)</f>
      </c>
      <c r="O107" s="3">
        <v>1</v>
      </c>
      <c r="P107" s="3">
        <f>IF($H107="","",N107)</f>
      </c>
      <c r="Q107" s="3">
        <f>IF($H107="","",I107-J107-K107-M107-N107-O107)</f>
      </c>
      <c r="R107" s="3">
        <f>IF($H107="","",(Q107-Z107)/G107*100)</f>
      </c>
      <c r="S107" s="3">
        <f>IF($H107="","",J107-P107)</f>
      </c>
      <c r="AA107" s="3">
        <f>IF($H107="","",Q107-Z107)</f>
      </c>
    </row>
    <row r="108" spans="1:27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/>
      <c r="L108" s="3">
        <f>IF($H108="","",K108*20%)</f>
      </c>
      <c r="M108" s="3"/>
      <c r="N108" s="3">
        <f>IF($H108="","",M108*20%)</f>
      </c>
      <c r="O108" s="3">
        <v>1</v>
      </c>
      <c r="P108" s="3">
        <f>IF($H108="","",N108)</f>
      </c>
      <c r="Q108" s="3">
        <f>IF($H108="","",I108-J108-K108-M108-N108-O108)</f>
      </c>
      <c r="R108" s="3">
        <f>IF($H108="","",(Q108-Z108)/G108*100)</f>
      </c>
      <c r="S108" s="3">
        <f>IF($H108="","",J108-P108)</f>
      </c>
      <c r="AA108" s="3">
        <f>IF($H108="","",Q108-Z108)</f>
      </c>
    </row>
    <row r="109" spans="1:27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/>
      <c r="L109" s="3">
        <f>IF($H109="","",K109*20%)</f>
      </c>
      <c r="M109" s="3"/>
      <c r="N109" s="3">
        <f>IF($H109="","",M109*20%)</f>
      </c>
      <c r="O109" s="3">
        <v>1</v>
      </c>
      <c r="P109" s="3">
        <f>IF($H109="","",N109)</f>
      </c>
      <c r="Q109" s="3">
        <f>IF($H109="","",I109-J109-K109-M109-N109-O109)</f>
      </c>
      <c r="R109" s="3">
        <f>IF($H109="","",(Q109-Z109)/G109*100)</f>
      </c>
      <c r="S109" s="3">
        <f>IF($H109="","",J109-P109)</f>
      </c>
      <c r="AA109" s="3">
        <f>IF($H109="","",Q109-Z109)</f>
      </c>
    </row>
    <row r="110" spans="1:27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/>
      <c r="L110" s="3">
        <f>IF($H110="","",K110*20%)</f>
      </c>
      <c r="M110" s="3"/>
      <c r="N110" s="3">
        <f>IF($H110="","",M110*20%)</f>
      </c>
      <c r="O110" s="3">
        <v>1</v>
      </c>
      <c r="P110" s="3">
        <f>IF($H110="","",N110)</f>
      </c>
      <c r="Q110" s="3">
        <f>IF($H110="","",I110-J110-K110-M110-N110-O110)</f>
      </c>
      <c r="R110" s="3">
        <f>IF($H110="","",(Q110-Z110)/G110*100)</f>
      </c>
      <c r="S110" s="3">
        <f>IF($H110="","",J110-P110)</f>
      </c>
      <c r="AA110" s="3">
        <f>IF($H110="","",Q110-Z110)</f>
      </c>
    </row>
    <row r="111" spans="1:27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/>
      <c r="L111" s="3">
        <f>IF($H111="","",K111*20%)</f>
      </c>
      <c r="M111" s="3"/>
      <c r="N111" s="3">
        <f>IF($H111="","",M111*20%)</f>
      </c>
      <c r="O111" s="3">
        <v>1</v>
      </c>
      <c r="P111" s="3">
        <f>IF($H111="","",N111)</f>
      </c>
      <c r="Q111" s="3">
        <f>IF($H111="","",I111-J111-K111-M111-N111-O111)</f>
      </c>
      <c r="R111" s="3">
        <f>IF($H111="","",(Q111-Z111)/G111*100)</f>
      </c>
      <c r="S111" s="3">
        <f>IF($H111="","",J111-P111)</f>
      </c>
      <c r="AA111" s="3">
        <f>IF($H111="","",Q111-Z111)</f>
      </c>
    </row>
    <row r="112" spans="1:27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/>
      <c r="L112" s="3">
        <f>IF($H112="","",K112*20%)</f>
      </c>
      <c r="M112" s="3"/>
      <c r="N112" s="3">
        <f>IF($H112="","",M112*20%)</f>
      </c>
      <c r="O112" s="3">
        <v>1</v>
      </c>
      <c r="P112" s="3">
        <f>IF($H112="","",N112)</f>
      </c>
      <c r="Q112" s="3">
        <f>IF($H112="","",I112-J112-K112-M112-N112-O112)</f>
      </c>
      <c r="R112" s="3">
        <f>IF($H112="","",(Q112-Z112)/G112*100)</f>
      </c>
      <c r="S112" s="3">
        <f>IF($H112="","",J112-P112)</f>
      </c>
      <c r="AA112" s="3">
        <f>IF($H112="","",Q112-Z112)</f>
      </c>
    </row>
    <row r="113" spans="1:27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/>
      <c r="L113" s="3">
        <f>IF($H113="","",K113*20%)</f>
      </c>
      <c r="M113" s="3"/>
      <c r="N113" s="3">
        <f>IF($H113="","",M113*20%)</f>
      </c>
      <c r="O113" s="3">
        <v>1</v>
      </c>
      <c r="P113" s="3">
        <f>IF($H113="","",N113)</f>
      </c>
      <c r="Q113" s="3">
        <f>IF($H113="","",I113-J113-K113-M113-N113-O113)</f>
      </c>
      <c r="R113" s="3">
        <f>IF($H113="","",(Q113-Z113)/G113*100)</f>
      </c>
      <c r="S113" s="3">
        <f>IF($H113="","",J113-P113)</f>
      </c>
      <c r="AA113" s="3">
        <f>IF($H113="","",Q113-Z113)</f>
      </c>
    </row>
    <row r="114" spans="1:27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/>
      <c r="L114" s="3">
        <f>IF($H114="","",K114*20%)</f>
      </c>
      <c r="M114" s="3"/>
      <c r="N114" s="3">
        <f>IF($H114="","",M114*20%)</f>
      </c>
      <c r="O114" s="3">
        <v>1</v>
      </c>
      <c r="P114" s="3">
        <f>IF($H114="","",N114)</f>
      </c>
      <c r="Q114" s="3">
        <f>IF($H114="","",I114-J114-K114-M114-N114-O114)</f>
      </c>
      <c r="R114" s="3">
        <f>IF($H114="","",(Q114-Z114)/G114*100)</f>
      </c>
      <c r="S114" s="3">
        <f>IF($H114="","",J114-P114)</f>
      </c>
      <c r="AA114" s="3">
        <f>IF($H114="","",Q114-Z114)</f>
      </c>
    </row>
    <row r="115" spans="1:27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/>
      <c r="L115" s="3">
        <f>IF($H115="","",K115*20%)</f>
      </c>
      <c r="M115" s="3"/>
      <c r="N115" s="3">
        <f>IF($H115="","",M115*20%)</f>
      </c>
      <c r="O115" s="3">
        <v>1</v>
      </c>
      <c r="P115" s="3">
        <f>IF($H115="","",N115)</f>
      </c>
      <c r="Q115" s="3">
        <f>IF($H115="","",I115-J115-K115-M115-N115-O115)</f>
      </c>
      <c r="R115" s="3">
        <f>IF($H115="","",(Q115-Z115)/G115*100)</f>
      </c>
      <c r="S115" s="3">
        <f>IF($H115="","",J115-P115)</f>
      </c>
      <c r="AA115" s="3">
        <f>IF($H115="","",Q115-Z115)</f>
      </c>
    </row>
    <row r="116" spans="1:27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/>
      <c r="L116" s="3">
        <f>IF($H116="","",K116*20%)</f>
      </c>
      <c r="M116" s="3"/>
      <c r="N116" s="3">
        <f>IF($H116="","",M116*20%)</f>
      </c>
      <c r="O116" s="3">
        <v>1</v>
      </c>
      <c r="P116" s="3">
        <f>IF($H116="","",N116)</f>
      </c>
      <c r="Q116" s="3">
        <f>IF($H116="","",I116-J116-K116-M116-N116-O116)</f>
      </c>
      <c r="R116" s="3">
        <f>IF($H116="","",(Q116-Z116)/G116*100)</f>
      </c>
      <c r="S116" s="3">
        <f>IF($H116="","",J116-P116)</f>
      </c>
      <c r="AA116" s="3">
        <f>IF($H116="","",Q116-Z116)</f>
      </c>
    </row>
    <row r="117" spans="1:27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/>
      <c r="L117" s="3">
        <f>IF($H117="","",K117*20%)</f>
      </c>
      <c r="M117" s="3"/>
      <c r="N117" s="3">
        <f>IF($H117="","",M117*20%)</f>
      </c>
      <c r="O117" s="3">
        <v>1</v>
      </c>
      <c r="P117" s="3">
        <f>IF($H117="","",N117)</f>
      </c>
      <c r="Q117" s="3">
        <f>IF($H117="","",I117-J117-K117-M117-N117-O117)</f>
      </c>
      <c r="R117" s="3">
        <f>IF($H117="","",(Q117-Z117)/G117*100)</f>
      </c>
      <c r="S117" s="3">
        <f>IF($H117="","",J117-P117)</f>
      </c>
      <c r="AA117" s="3">
        <f>IF($H117="","",Q117-Z117)</f>
      </c>
    </row>
    <row r="118" spans="1:27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/>
      <c r="L118" s="3">
        <f>IF($H118="","",K118*20%)</f>
      </c>
      <c r="M118" s="3"/>
      <c r="N118" s="3">
        <f>IF($H118="","",M118*20%)</f>
      </c>
      <c r="O118" s="3">
        <v>1</v>
      </c>
      <c r="P118" s="3">
        <f>IF($H118="","",N118)</f>
      </c>
      <c r="Q118" s="3">
        <f>IF($H118="","",I118-J118-K118-M118-N118-O118)</f>
      </c>
      <c r="R118" s="3">
        <f>IF($H118="","",(Q118-Z118)/G118*100)</f>
      </c>
      <c r="S118" s="3">
        <f>IF($H118="","",J118-P118)</f>
      </c>
      <c r="AA118" s="3">
        <f>IF($H118="","",Q118-Z118)</f>
      </c>
    </row>
    <row r="119" spans="1:27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/>
      <c r="L119" s="3">
        <f>IF($H119="","",K119*20%)</f>
      </c>
      <c r="M119" s="3"/>
      <c r="N119" s="3">
        <f>IF($H119="","",M119*20%)</f>
      </c>
      <c r="O119" s="3">
        <v>1</v>
      </c>
      <c r="P119" s="3">
        <f>IF($H119="","",N119)</f>
      </c>
      <c r="Q119" s="3">
        <f>IF($H119="","",I119-J119-K119-M119-N119-O119)</f>
      </c>
      <c r="R119" s="3">
        <f>IF($H119="","",(Q119-Z119)/G119*100)</f>
      </c>
      <c r="S119" s="3">
        <f>IF($H119="","",J119-P119)</f>
      </c>
      <c r="AA119" s="3">
        <f>IF($H119="","",Q119-Z119)</f>
      </c>
    </row>
    <row r="120" spans="1:27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/>
      <c r="L120" s="3">
        <f>IF($H120="","",K120*20%)</f>
      </c>
      <c r="M120" s="3"/>
      <c r="N120" s="3">
        <f>IF($H120="","",M120*20%)</f>
      </c>
      <c r="O120" s="3">
        <v>1</v>
      </c>
      <c r="P120" s="3">
        <f>IF($H120="","",N120)</f>
      </c>
      <c r="Q120" s="3">
        <f>IF($H120="","",I120-J120-K120-M120-N120-O120)</f>
      </c>
      <c r="R120" s="3">
        <f>IF($H120="","",(Q120-Z120)/G120*100)</f>
      </c>
      <c r="S120" s="3">
        <f>IF($H120="","",J120-P120)</f>
      </c>
      <c r="AA120" s="3">
        <f>IF($H120="","",Q120-Z120)</f>
      </c>
    </row>
    <row r="121" spans="1:27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/>
      <c r="L121" s="3">
        <f>IF($H121="","",K121*20%)</f>
      </c>
      <c r="M121" s="3"/>
      <c r="N121" s="3">
        <f>IF($H121="","",M121*20%)</f>
      </c>
      <c r="O121" s="3">
        <v>1</v>
      </c>
      <c r="P121" s="3">
        <f>IF($H121="","",N121)</f>
      </c>
      <c r="Q121" s="3">
        <f>IF($H121="","",I121-J121-K121-M121-N121-O121)</f>
      </c>
      <c r="R121" s="3">
        <f>IF($H121="","",(Q121-Z121)/G121*100)</f>
      </c>
      <c r="S121" s="3">
        <f>IF($H121="","",J121-P121)</f>
      </c>
      <c r="AA121" s="3">
        <f>IF($H121="","",Q121-Z121)</f>
      </c>
    </row>
    <row r="122" spans="1:27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/>
      <c r="L122" s="3">
        <f>IF($H122="","",K122*20%)</f>
      </c>
      <c r="M122" s="3"/>
      <c r="N122" s="3">
        <f>IF($H122="","",M122*20%)</f>
      </c>
      <c r="O122" s="3">
        <v>1</v>
      </c>
      <c r="P122" s="3">
        <f>IF($H122="","",N122)</f>
      </c>
      <c r="Q122" s="3">
        <f>IF($H122="","",I122-J122-K122-M122-N122-O122)</f>
      </c>
      <c r="R122" s="3">
        <f>IF($H122="","",(Q122-Z122)/G122*100)</f>
      </c>
      <c r="S122" s="3">
        <f>IF($H122="","",J122-P122)</f>
      </c>
      <c r="AA122" s="3">
        <f>IF($H122="","",Q122-Z122)</f>
      </c>
    </row>
    <row r="123" spans="1:27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/>
      <c r="L123" s="3">
        <f>IF($H123="","",K123*20%)</f>
      </c>
      <c r="M123" s="3"/>
      <c r="N123" s="3">
        <f>IF($H123="","",M123*20%)</f>
      </c>
      <c r="O123" s="3">
        <v>1</v>
      </c>
      <c r="P123" s="3">
        <f>IF($H123="","",N123)</f>
      </c>
      <c r="Q123" s="3">
        <f>IF($H123="","",I123-J123-K123-M123-N123-O123)</f>
      </c>
      <c r="R123" s="3">
        <f>IF($H123="","",(Q123-Z123)/G123*100)</f>
      </c>
      <c r="S123" s="3">
        <f>IF($H123="","",J123-P123)</f>
      </c>
      <c r="AA123" s="3">
        <f>IF($H123="","",Q123-Z123)</f>
      </c>
    </row>
    <row r="124" spans="1:27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/>
      <c r="L124" s="3">
        <f>IF($H124="","",K124*20%)</f>
      </c>
      <c r="M124" s="3"/>
      <c r="N124" s="3">
        <f>IF($H124="","",M124*20%)</f>
      </c>
      <c r="O124" s="3">
        <v>1</v>
      </c>
      <c r="P124" s="3">
        <f>IF($H124="","",N124)</f>
      </c>
      <c r="Q124" s="3">
        <f>IF($H124="","",I124-J124-K124-M124-N124-O124)</f>
      </c>
      <c r="R124" s="3">
        <f>IF($H124="","",(Q124-Z124)/G124*100)</f>
      </c>
      <c r="S124" s="3">
        <f>IF($H124="","",J124-P124)</f>
      </c>
      <c r="AA124" s="3">
        <f>IF($H124="","",Q124-Z124)</f>
      </c>
    </row>
    <row r="125" spans="1:27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/>
      <c r="L125" s="3">
        <f>IF($H125="","",K125*20%)</f>
      </c>
      <c r="M125" s="3"/>
      <c r="N125" s="3">
        <f>IF($H125="","",M125*20%)</f>
      </c>
      <c r="O125" s="3">
        <v>1</v>
      </c>
      <c r="P125" s="3">
        <f>IF($H125="","",N125)</f>
      </c>
      <c r="Q125" s="3">
        <f>IF($H125="","",I125-J125-K125-M125-N125-O125)</f>
      </c>
      <c r="R125" s="3">
        <f>IF($H125="","",(Q125-Z125)/G125*100)</f>
      </c>
      <c r="S125" s="3">
        <f>IF($H125="","",J125-P125)</f>
      </c>
      <c r="AA125" s="3">
        <f>IF($H125="","",Q125-Z125)</f>
      </c>
    </row>
    <row r="126" spans="1:27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/>
      <c r="L126" s="3">
        <f>IF($H126="","",K126*20%)</f>
      </c>
      <c r="M126" s="3"/>
      <c r="N126" s="3">
        <f>IF($H126="","",M126*20%)</f>
      </c>
      <c r="O126" s="3">
        <v>1</v>
      </c>
      <c r="P126" s="3">
        <f>IF($H126="","",N126)</f>
      </c>
      <c r="Q126" s="3">
        <f>IF($H126="","",I126-J126-K126-M126-N126-O126)</f>
      </c>
      <c r="R126" s="3">
        <f>IF($H126="","",(Q126-Z126)/G126*100)</f>
      </c>
      <c r="S126" s="3">
        <f>IF($H126="","",J126-P126)</f>
      </c>
      <c r="AA126" s="3">
        <f>IF($H126="","",Q126-Z126)</f>
      </c>
    </row>
    <row r="127" spans="1:27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/>
      <c r="L127" s="3">
        <f>IF($H127="","",K127*20%)</f>
      </c>
      <c r="M127" s="3"/>
      <c r="N127" s="3">
        <f>IF($H127="","",M127*20%)</f>
      </c>
      <c r="O127" s="3">
        <v>1</v>
      </c>
      <c r="P127" s="3">
        <f>IF($H127="","",N127)</f>
      </c>
      <c r="Q127" s="3">
        <f>IF($H127="","",I127-J127-K127-M127-N127-O127)</f>
      </c>
      <c r="R127" s="3">
        <f>IF($H127="","",(Q127-Z127)/G127*100)</f>
      </c>
      <c r="S127" s="3">
        <f>IF($H127="","",J127-P127)</f>
      </c>
      <c r="AA127" s="3">
        <f>IF($H127="","",Q127-Z127)</f>
      </c>
    </row>
    <row r="128" spans="1:27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/>
      <c r="L128" s="3">
        <f>IF($H128="","",K128*20%)</f>
      </c>
      <c r="M128" s="3"/>
      <c r="N128" s="3">
        <f>IF($H128="","",M128*20%)</f>
      </c>
      <c r="O128" s="3">
        <v>1</v>
      </c>
      <c r="P128" s="3">
        <f>IF($H128="","",N128)</f>
      </c>
      <c r="Q128" s="3">
        <f>IF($H128="","",I128-J128-K128-M128-N128-O128)</f>
      </c>
      <c r="R128" s="3">
        <f>IF($H128="","",(Q128-Z128)/G128*100)</f>
      </c>
      <c r="S128" s="3">
        <f>IF($H128="","",J128-P128)</f>
      </c>
      <c r="AA128" s="3">
        <f>IF($H128="","",Q128-Z128)</f>
      </c>
    </row>
    <row r="129" spans="1:27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/>
      <c r="L129" s="3">
        <f>IF($H129="","",K129*20%)</f>
      </c>
      <c r="M129" s="3"/>
      <c r="N129" s="3">
        <f>IF($H129="","",M129*20%)</f>
      </c>
      <c r="O129" s="3">
        <v>1</v>
      </c>
      <c r="P129" s="3">
        <f>IF($H129="","",N129)</f>
      </c>
      <c r="Q129" s="3">
        <f>IF($H129="","",I129-J129-K129-M129-N129-O129)</f>
      </c>
      <c r="R129" s="3">
        <f>IF($H129="","",(Q129-Z129)/G129*100)</f>
      </c>
      <c r="S129" s="3">
        <f>IF($H129="","",J129-P129)</f>
      </c>
      <c r="AA129" s="3">
        <f>IF($H129="","",Q129-Z129)</f>
      </c>
    </row>
    <row r="130" spans="1:27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/>
      <c r="L130" s="3">
        <f>IF($H130="","",K130*20%)</f>
      </c>
      <c r="M130" s="3"/>
      <c r="N130" s="3">
        <f>IF($H130="","",M130*20%)</f>
      </c>
      <c r="O130" s="3">
        <v>1</v>
      </c>
      <c r="P130" s="3">
        <f>IF($H130="","",N130)</f>
      </c>
      <c r="Q130" s="3">
        <f>IF($H130="","",I130-J130-K130-M130-N130-O130)</f>
      </c>
      <c r="R130" s="3">
        <f>IF($H130="","",(Q130-Z130)/G130*100)</f>
      </c>
      <c r="S130" s="3">
        <f>IF($H130="","",J130-P130)</f>
      </c>
      <c r="AA130" s="3">
        <f>IF($H130="","",Q130-Z130)</f>
      </c>
    </row>
    <row r="131" spans="1:27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/>
      <c r="L131" s="3">
        <f>IF($H131="","",K131*20%)</f>
      </c>
      <c r="M131" s="3"/>
      <c r="N131" s="3">
        <f>IF($H131="","",M131*20%)</f>
      </c>
      <c r="O131" s="3">
        <v>1</v>
      </c>
      <c r="P131" s="3">
        <f>IF($H131="","",N131)</f>
      </c>
      <c r="Q131" s="3">
        <f>IF($H131="","",I131-J131-K131-M131-N131-O131)</f>
      </c>
      <c r="R131" s="3">
        <f>IF($H131="","",(Q131-Z131)/G131*100)</f>
      </c>
      <c r="S131" s="3">
        <f>IF($H131="","",J131-P131)</f>
      </c>
      <c r="AA131" s="3">
        <f>IF($H131="","",Q131-Z131)</f>
      </c>
    </row>
    <row r="132" spans="1:27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/>
      <c r="L132" s="3">
        <f>IF($H132="","",K132*20%)</f>
      </c>
      <c r="M132" s="3"/>
      <c r="N132" s="3">
        <f>IF($H132="","",M132*20%)</f>
      </c>
      <c r="O132" s="3">
        <v>1</v>
      </c>
      <c r="P132" s="3">
        <f>IF($H132="","",N132)</f>
      </c>
      <c r="Q132" s="3">
        <f>IF($H132="","",I132-J132-K132-M132-N132-O132)</f>
      </c>
      <c r="R132" s="3">
        <f>IF($H132="","",(Q132-Z132)/G132*100)</f>
      </c>
      <c r="S132" s="3">
        <f>IF($H132="","",J132-P132)</f>
      </c>
      <c r="AA132" s="3">
        <f>IF($H132="","",Q132-Z132)</f>
      </c>
    </row>
    <row r="133" spans="1:27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/>
      <c r="L133" s="3">
        <f>IF($H133="","",K133*20%)</f>
      </c>
      <c r="M133" s="3"/>
      <c r="N133" s="3">
        <f>IF($H133="","",M133*20%)</f>
      </c>
      <c r="O133" s="3">
        <v>1</v>
      </c>
      <c r="P133" s="3">
        <f>IF($H133="","",N133)</f>
      </c>
      <c r="Q133" s="3">
        <f>IF($H133="","",I133-J133-K133-M133-N133-O133)</f>
      </c>
      <c r="R133" s="3">
        <f>IF($H133="","",(Q133-Z133)/G133*100)</f>
      </c>
      <c r="S133" s="3">
        <f>IF($H133="","",J133-P133)</f>
      </c>
      <c r="AA133" s="3">
        <f>IF($H133="","",Q133-Z133)</f>
      </c>
    </row>
    <row r="134" spans="1:27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/>
      <c r="L134" s="3">
        <f>IF($H134="","",K134*20%)</f>
      </c>
      <c r="M134" s="3"/>
      <c r="N134" s="3">
        <f>IF($H134="","",M134*20%)</f>
      </c>
      <c r="O134" s="3">
        <v>1</v>
      </c>
      <c r="P134" s="3">
        <f>IF($H134="","",N134)</f>
      </c>
      <c r="Q134" s="3">
        <f>IF($H134="","",I134-J134-K134-M134-N134-O134)</f>
      </c>
      <c r="R134" s="3">
        <f>IF($H134="","",(Q134-Z134)/G134*100)</f>
      </c>
      <c r="S134" s="3">
        <f>IF($H134="","",J134-P134)</f>
      </c>
      <c r="AA134" s="3">
        <f>IF($H134="","",Q134-Z134)</f>
      </c>
    </row>
    <row r="135" spans="1:27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/>
      <c r="L135" s="3">
        <f>IF($H135="","",K135*20%)</f>
      </c>
      <c r="M135" s="3"/>
      <c r="N135" s="3">
        <f>IF($H135="","",M135*20%)</f>
      </c>
      <c r="O135" s="3">
        <v>1</v>
      </c>
      <c r="P135" s="3">
        <f>IF($H135="","",N135)</f>
      </c>
      <c r="Q135" s="3">
        <f>IF($H135="","",I135-J135-K135-M135-N135-O135)</f>
      </c>
      <c r="R135" s="3">
        <f>IF($H135="","",(Q135-Z135)/G135*100)</f>
      </c>
      <c r="S135" s="3">
        <f>IF($H135="","",J135-P135)</f>
      </c>
      <c r="AA135" s="3">
        <f>IF($H135="","",Q135-Z135)</f>
      </c>
    </row>
    <row r="136" spans="1:27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/>
      <c r="L136" s="3">
        <f>IF($H136="","",K136*20%)</f>
      </c>
      <c r="M136" s="3"/>
      <c r="N136" s="3">
        <f>IF($H136="","",M136*20%)</f>
      </c>
      <c r="O136" s="3">
        <v>1</v>
      </c>
      <c r="P136" s="3">
        <f>IF($H136="","",N136)</f>
      </c>
      <c r="Q136" s="3">
        <f>IF($H136="","",I136-J136-K136-M136-N136-O136)</f>
      </c>
      <c r="R136" s="3">
        <f>IF($H136="","",(Q136-Z136)/G136*100)</f>
      </c>
      <c r="S136" s="3">
        <f>IF($H136="","",J136-P136)</f>
      </c>
      <c r="AA136" s="3">
        <f>IF($H136="","",Q136-Z136)</f>
      </c>
    </row>
    <row r="137" spans="1:27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/>
      <c r="L137" s="3">
        <f>IF($H137="","",K137*20%)</f>
      </c>
      <c r="M137" s="3"/>
      <c r="N137" s="3">
        <f>IF($H137="","",M137*20%)</f>
      </c>
      <c r="O137" s="3">
        <v>1</v>
      </c>
      <c r="P137" s="3">
        <f>IF($H137="","",N137)</f>
      </c>
      <c r="Q137" s="3">
        <f>IF($H137="","",I137-J137-K137-M137-N137-O137)</f>
      </c>
      <c r="R137" s="3">
        <f>IF($H137="","",(Q137-Z137)/G137*100)</f>
      </c>
      <c r="S137" s="3">
        <f>IF($H137="","",J137-P137)</f>
      </c>
      <c r="AA137" s="3">
        <f>IF($H137="","",Q137-Z137)</f>
      </c>
    </row>
    <row r="138" spans="1:27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/>
      <c r="L138" s="3">
        <f>IF($H138="","",K138*20%)</f>
      </c>
      <c r="M138" s="3"/>
      <c r="N138" s="3">
        <f>IF($H138="","",M138*20%)</f>
      </c>
      <c r="O138" s="3">
        <v>1</v>
      </c>
      <c r="P138" s="3">
        <f>IF($H138="","",N138)</f>
      </c>
      <c r="Q138" s="3">
        <f>IF($H138="","",I138-J138-K138-M138-N138-O138)</f>
      </c>
      <c r="R138" s="3">
        <f>IF($H138="","",(Q138-Z138)/G138*100)</f>
      </c>
      <c r="S138" s="3">
        <f>IF($H138="","",J138-P138)</f>
      </c>
      <c r="AA138" s="3">
        <f>IF($H138="","",Q138-Z138)</f>
      </c>
    </row>
    <row r="139" spans="1:27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/>
      <c r="L139" s="3">
        <f>IF($H139="","",K139*20%)</f>
      </c>
      <c r="M139" s="3"/>
      <c r="N139" s="3">
        <f>IF($H139="","",M139*20%)</f>
      </c>
      <c r="O139" s="3">
        <v>1</v>
      </c>
      <c r="P139" s="3">
        <f>IF($H139="","",N139)</f>
      </c>
      <c r="Q139" s="3">
        <f>IF($H139="","",I139-J139-K139-M139-N139-O139)</f>
      </c>
      <c r="R139" s="3">
        <f>IF($H139="","",(Q139-Z139)/G139*100)</f>
      </c>
      <c r="S139" s="3">
        <f>IF($H139="","",J139-P139)</f>
      </c>
      <c r="AA139" s="3">
        <f>IF($H139="","",Q139-Z139)</f>
      </c>
    </row>
    <row r="140" spans="1:27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/>
      <c r="L140" s="3">
        <f>IF($H140="","",K140*20%)</f>
      </c>
      <c r="M140" s="3"/>
      <c r="N140" s="3">
        <f>IF($H140="","",M140*20%)</f>
      </c>
      <c r="O140" s="3">
        <v>1</v>
      </c>
      <c r="P140" s="3">
        <f>IF($H140="","",N140)</f>
      </c>
      <c r="Q140" s="3">
        <f>IF($H140="","",I140-J140-K140-M140-N140-O140)</f>
      </c>
      <c r="R140" s="3">
        <f>IF($H140="","",(Q140-Z140)/G140*100)</f>
      </c>
      <c r="S140" s="3">
        <f>IF($H140="","",J140-P140)</f>
      </c>
      <c r="AA140" s="3">
        <f>IF($H140="","",Q140-Z140)</f>
      </c>
    </row>
    <row r="141" spans="1:27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/>
      <c r="L141" s="3">
        <f>IF($H141="","",K141*20%)</f>
      </c>
      <c r="M141" s="3"/>
      <c r="N141" s="3">
        <f>IF($H141="","",M141*20%)</f>
      </c>
      <c r="O141" s="3">
        <v>1</v>
      </c>
      <c r="P141" s="3">
        <f>IF($H141="","",N141)</f>
      </c>
      <c r="Q141" s="3">
        <f>IF($H141="","",I141-J141-K141-M141-N141-O141)</f>
      </c>
      <c r="R141" s="3">
        <f>IF($H141="","",(Q141-Z141)/G141*100)</f>
      </c>
      <c r="S141" s="3">
        <f>IF($H141="","",J141-P141)</f>
      </c>
      <c r="AA141" s="3">
        <f>IF($H141="","",Q141-Z141)</f>
      </c>
    </row>
    <row r="142" spans="1:27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/>
      <c r="L142" s="3">
        <f>IF($H142="","",K142*20%)</f>
      </c>
      <c r="M142" s="3"/>
      <c r="N142" s="3">
        <f>IF($H142="","",M142*20%)</f>
      </c>
      <c r="O142" s="3">
        <v>1</v>
      </c>
      <c r="P142" s="3">
        <f>IF($H142="","",N142)</f>
      </c>
      <c r="Q142" s="3">
        <f>IF($H142="","",I142-J142-K142-M142-N142-O142)</f>
      </c>
      <c r="R142" s="3">
        <f>IF($H142="","",(Q142-Z142)/G142*100)</f>
      </c>
      <c r="S142" s="3">
        <f>IF($H142="","",J142-P142)</f>
      </c>
      <c r="AA142" s="3">
        <f>IF($H142="","",Q142-Z142)</f>
      </c>
    </row>
    <row r="143" spans="1:27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/>
      <c r="L143" s="3">
        <f>IF($H143="","",K143*20%)</f>
      </c>
      <c r="M143" s="3"/>
      <c r="N143" s="3">
        <f>IF($H143="","",M143*20%)</f>
      </c>
      <c r="O143" s="3">
        <v>1</v>
      </c>
      <c r="P143" s="3">
        <f>IF($H143="","",N143)</f>
      </c>
      <c r="Q143" s="3">
        <f>IF($H143="","",I143-J143-K143-M143-N143-O143)</f>
      </c>
      <c r="R143" s="3">
        <f>IF($H143="","",(Q143-Z143)/G143*100)</f>
      </c>
      <c r="S143" s="3">
        <f>IF($H143="","",J143-P143)</f>
      </c>
      <c r="AA143" s="3">
        <f>IF($H143="","",Q143-Z143)</f>
      </c>
    </row>
    <row r="144" spans="1:27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/>
      <c r="L144" s="3">
        <f>IF($H144="","",K144*20%)</f>
      </c>
      <c r="M144" s="3"/>
      <c r="N144" s="3">
        <f>IF($H144="","",M144*20%)</f>
      </c>
      <c r="O144" s="3">
        <v>1</v>
      </c>
      <c r="P144" s="3">
        <f>IF($H144="","",N144)</f>
      </c>
      <c r="Q144" s="3">
        <f>IF($H144="","",I144-J144-K144-M144-N144-O144)</f>
      </c>
      <c r="R144" s="3">
        <f>IF($H144="","",(Q144-Z144)/G144*100)</f>
      </c>
      <c r="S144" s="3">
        <f>IF($H144="","",J144-P144)</f>
      </c>
      <c r="AA144" s="3">
        <f>IF($H144="","",Q144-Z144)</f>
      </c>
    </row>
    <row r="145" spans="1:27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/>
      <c r="L145" s="3">
        <f>IF($H145="","",K145*20%)</f>
      </c>
      <c r="M145" s="3"/>
      <c r="N145" s="3">
        <f>IF($H145="","",M145*20%)</f>
      </c>
      <c r="O145" s="3">
        <v>1</v>
      </c>
      <c r="P145" s="3">
        <f>IF($H145="","",N145)</f>
      </c>
      <c r="Q145" s="3">
        <f>IF($H145="","",I145-J145-K145-M145-N145-O145)</f>
      </c>
      <c r="R145" s="3">
        <f>IF($H145="","",(Q145-Z145)/G145*100)</f>
      </c>
      <c r="S145" s="3">
        <f>IF($H145="","",J145-P145)</f>
      </c>
      <c r="AA145" s="3">
        <f>IF($H145="","",Q145-Z145)</f>
      </c>
    </row>
    <row r="146" spans="1:27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/>
      <c r="L146" s="3">
        <f>IF($H146="","",K146*20%)</f>
      </c>
      <c r="M146" s="3"/>
      <c r="N146" s="3">
        <f>IF($H146="","",M146*20%)</f>
      </c>
      <c r="O146" s="3">
        <v>1</v>
      </c>
      <c r="P146" s="3">
        <f>IF($H146="","",N146)</f>
      </c>
      <c r="Q146" s="3">
        <f>IF($H146="","",I146-J146-K146-M146-N146-O146)</f>
      </c>
      <c r="R146" s="3">
        <f>IF($H146="","",(Q146-Z146)/G146*100)</f>
      </c>
      <c r="S146" s="3">
        <f>IF($H146="","",J146-P146)</f>
      </c>
      <c r="AA146" s="3">
        <f>IF($H146="","",Q146-Z146)</f>
      </c>
    </row>
    <row r="147" spans="1:27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/>
      <c r="L147" s="3">
        <f>IF($H147="","",K147*20%)</f>
      </c>
      <c r="M147" s="3"/>
      <c r="N147" s="3">
        <f>IF($H147="","",M147*20%)</f>
      </c>
      <c r="O147" s="3">
        <v>1</v>
      </c>
      <c r="P147" s="3">
        <f>IF($H147="","",N147)</f>
      </c>
      <c r="Q147" s="3">
        <f>IF($H147="","",I147-J147-K147-M147-N147-O147)</f>
      </c>
      <c r="R147" s="3">
        <f>IF($H147="","",(Q147-Z147)/G147*100)</f>
      </c>
      <c r="S147" s="3">
        <f>IF($H147="","",J147-P147)</f>
      </c>
      <c r="AA147" s="3">
        <f>IF($H147="","",Q147-Z147)</f>
      </c>
    </row>
    <row r="148" spans="1:27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/>
      <c r="L148" s="3">
        <f>IF($H148="","",K148*20%)</f>
      </c>
      <c r="M148" s="3"/>
      <c r="N148" s="3">
        <f>IF($H148="","",M148*20%)</f>
      </c>
      <c r="O148" s="3">
        <v>1</v>
      </c>
      <c r="P148" s="3">
        <f>IF($H148="","",N148)</f>
      </c>
      <c r="Q148" s="3">
        <f>IF($H148="","",I148-J148-K148-M148-N148-O148)</f>
      </c>
      <c r="R148" s="3">
        <f>IF($H148="","",(Q148-Z148)/G148*100)</f>
      </c>
      <c r="S148" s="3">
        <f>IF($H148="","",J148-P148)</f>
      </c>
      <c r="AA148" s="3">
        <f>IF($H148="","",Q148-Z148)</f>
      </c>
    </row>
    <row r="149" spans="1:27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/>
      <c r="L149" s="3">
        <f>IF($H149="","",K149*20%)</f>
      </c>
      <c r="M149" s="3"/>
      <c r="N149" s="3">
        <f>IF($H149="","",M149*20%)</f>
      </c>
      <c r="O149" s="3">
        <v>1</v>
      </c>
      <c r="P149" s="3">
        <f>IF($H149="","",N149)</f>
      </c>
      <c r="Q149" s="3">
        <f>IF($H149="","",I149-J149-K149-M149-N149-O149)</f>
      </c>
      <c r="R149" s="3">
        <f>IF($H149="","",(Q149-Z149)/G149*100)</f>
      </c>
      <c r="S149" s="3">
        <f>IF($H149="","",J149-P149)</f>
      </c>
      <c r="AA149" s="3">
        <f>IF($H149="","",Q149-Z149)</f>
      </c>
    </row>
    <row r="150" spans="1:27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/>
      <c r="L150" s="3">
        <f>IF($H150="","",K150*20%)</f>
      </c>
      <c r="M150" s="3"/>
      <c r="N150" s="3">
        <f>IF($H150="","",M150*20%)</f>
      </c>
      <c r="O150" s="3">
        <v>1</v>
      </c>
      <c r="P150" s="3">
        <f>IF($H150="","",N150)</f>
      </c>
      <c r="Q150" s="3">
        <f>IF($H150="","",I150-J150-K150-M150-N150-O150)</f>
      </c>
      <c r="R150" s="3">
        <f>IF($H150="","",(Q150-Z150)/G150*100)</f>
      </c>
      <c r="S150" s="3">
        <f>IF($H150="","",J150-P150)</f>
      </c>
      <c r="AA150" s="3">
        <f>IF($H150="","",Q150-Z150)</f>
      </c>
    </row>
    <row r="151" spans="1:27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/>
      <c r="L151" s="3">
        <f>IF($H151="","",K151*20%)</f>
      </c>
      <c r="M151" s="3"/>
      <c r="N151" s="3">
        <f>IF($H151="","",M151*20%)</f>
      </c>
      <c r="O151" s="3">
        <v>1</v>
      </c>
      <c r="P151" s="3">
        <f>IF($H151="","",N151)</f>
      </c>
      <c r="Q151" s="3">
        <f>IF($H151="","",I151-J151-K151-M151-N151-O151)</f>
      </c>
      <c r="R151" s="3">
        <f>IF($H151="","",(Q151-Z151)/G151*100)</f>
      </c>
      <c r="S151" s="3">
        <f>IF($H151="","",J151-P151)</f>
      </c>
      <c r="AA151" s="3">
        <f>IF($H151="","",Q151-Z151)</f>
      </c>
    </row>
    <row r="152" spans="1:27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/>
      <c r="L152" s="3">
        <f>IF($H152="","",K152*20%)</f>
      </c>
      <c r="M152" s="3"/>
      <c r="N152" s="3">
        <f>IF($H152="","",M152*20%)</f>
      </c>
      <c r="O152" s="3">
        <v>1</v>
      </c>
      <c r="P152" s="3">
        <f>IF($H152="","",N152)</f>
      </c>
      <c r="Q152" s="3">
        <f>IF($H152="","",I152-J152-K152-M152-N152-O152)</f>
      </c>
      <c r="R152" s="3">
        <f>IF($H152="","",(Q152-Z152)/G152*100)</f>
      </c>
      <c r="S152" s="3">
        <f>IF($H152="","",J152-P152)</f>
      </c>
      <c r="AA152" s="3">
        <f>IF($H152="","",Q152-Z152)</f>
      </c>
    </row>
    <row r="153" spans="1:27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/>
      <c r="L153" s="3">
        <f>IF($H153="","",K153*20%)</f>
      </c>
      <c r="M153" s="3"/>
      <c r="N153" s="3">
        <f>IF($H153="","",M153*20%)</f>
      </c>
      <c r="O153" s="3">
        <v>1</v>
      </c>
      <c r="P153" s="3">
        <f>IF($H153="","",N153)</f>
      </c>
      <c r="Q153" s="3">
        <f>IF($H153="","",I153-J153-K153-M153-N153-O153)</f>
      </c>
      <c r="R153" s="3">
        <f>IF($H153="","",(Q153-Z153)/G153*100)</f>
      </c>
      <c r="S153" s="3">
        <f>IF($H153="","",J153-P153)</f>
      </c>
      <c r="AA153" s="3">
        <f>IF($H153="","",Q153-Z153)</f>
      </c>
    </row>
    <row r="154" spans="1:27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/>
      <c r="L154" s="3">
        <f>IF($H154="","",K154*20%)</f>
      </c>
      <c r="M154" s="3"/>
      <c r="N154" s="3">
        <f>IF($H154="","",M154*20%)</f>
      </c>
      <c r="O154" s="3">
        <v>1</v>
      </c>
      <c r="P154" s="3">
        <f>IF($H154="","",N154)</f>
      </c>
      <c r="Q154" s="3">
        <f>IF($H154="","",I154-J154-K154-M154-N154-O154)</f>
      </c>
      <c r="R154" s="3">
        <f>IF($H154="","",(Q154-Z154)/G154*100)</f>
      </c>
      <c r="S154" s="3">
        <f>IF($H154="","",J154-P154)</f>
      </c>
      <c r="AA154" s="3">
        <f>IF($H154="","",Q154-Z154)</f>
      </c>
    </row>
    <row r="155" spans="1:27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/>
      <c r="L155" s="3">
        <f>IF($H155="","",K155*20%)</f>
      </c>
      <c r="M155" s="3"/>
      <c r="N155" s="3">
        <f>IF($H155="","",M155*20%)</f>
      </c>
      <c r="O155" s="3">
        <v>1</v>
      </c>
      <c r="P155" s="3">
        <f>IF($H155="","",N155)</f>
      </c>
      <c r="Q155" s="3">
        <f>IF($H155="","",I155-J155-K155-M155-N155-O155)</f>
      </c>
      <c r="R155" s="3">
        <f>IF($H155="","",(Q155-Z155)/G155*100)</f>
      </c>
      <c r="S155" s="3">
        <f>IF($H155="","",J155-P155)</f>
      </c>
      <c r="AA155" s="3">
        <f>IF($H155="","",Q155-Z155)</f>
      </c>
    </row>
    <row r="156" spans="1:27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/>
      <c r="L156" s="3">
        <f>IF($H156="","",K156*20%)</f>
      </c>
      <c r="M156" s="3"/>
      <c r="N156" s="3">
        <f>IF($H156="","",M156*20%)</f>
      </c>
      <c r="O156" s="3">
        <v>1</v>
      </c>
      <c r="P156" s="3">
        <f>IF($H156="","",N156)</f>
      </c>
      <c r="Q156" s="3">
        <f>IF($H156="","",I156-J156-K156-M156-N156-O156)</f>
      </c>
      <c r="R156" s="3">
        <f>IF($H156="","",(Q156-Z156)/G156*100)</f>
      </c>
      <c r="S156" s="3">
        <f>IF($H156="","",J156-P156)</f>
      </c>
      <c r="AA156" s="3">
        <f>IF($H156="","",Q156-Z156)</f>
      </c>
    </row>
    <row r="157" spans="1:27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/>
      <c r="L157" s="3">
        <f>IF($H157="","",K157*20%)</f>
      </c>
      <c r="M157" s="3"/>
      <c r="N157" s="3">
        <f>IF($H157="","",M157*20%)</f>
      </c>
      <c r="O157" s="3">
        <v>1</v>
      </c>
      <c r="P157" s="3">
        <f>IF($H157="","",N157)</f>
      </c>
      <c r="Q157" s="3">
        <f>IF($H157="","",I157-J157-K157-M157-N157-O157)</f>
      </c>
      <c r="R157" s="3">
        <f>IF($H157="","",(Q157-Z157)/G157*100)</f>
      </c>
      <c r="S157" s="3">
        <f>IF($H157="","",J157-P157)</f>
      </c>
      <c r="AA157" s="3">
        <f>IF($H157="","",Q157-Z157)</f>
      </c>
    </row>
    <row r="158" spans="1:27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/>
      <c r="L158" s="3">
        <f>IF($H158="","",K158*20%)</f>
      </c>
      <c r="M158" s="3"/>
      <c r="N158" s="3">
        <f>IF($H158="","",M158*20%)</f>
      </c>
      <c r="O158" s="3">
        <v>1</v>
      </c>
      <c r="P158" s="3">
        <f>IF($H158="","",N158)</f>
      </c>
      <c r="Q158" s="3">
        <f>IF($H158="","",I158-J158-K158-M158-N158-O158)</f>
      </c>
      <c r="R158" s="3">
        <f>IF($H158="","",(Q158-Z158)/G158*100)</f>
      </c>
      <c r="S158" s="3">
        <f>IF($H158="","",J158-P158)</f>
      </c>
      <c r="AA158" s="3">
        <f>IF($H158="","",Q158-Z158)</f>
      </c>
    </row>
    <row r="159" spans="1:27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/>
      <c r="L159" s="3">
        <f>IF($H159="","",K159*20%)</f>
      </c>
      <c r="M159" s="3"/>
      <c r="N159" s="3">
        <f>IF($H159="","",M159*20%)</f>
      </c>
      <c r="O159" s="3">
        <v>1</v>
      </c>
      <c r="P159" s="3">
        <f>IF($H159="","",N159)</f>
      </c>
      <c r="Q159" s="3">
        <f>IF($H159="","",I159-J159-K159-M159-N159-O159)</f>
      </c>
      <c r="R159" s="3">
        <f>IF($H159="","",(Q159-Z159)/G159*100)</f>
      </c>
      <c r="S159" s="3">
        <f>IF($H159="","",J159-P159)</f>
      </c>
      <c r="AA159" s="3">
        <f>IF($H159="","",Q159-Z159)</f>
      </c>
    </row>
    <row r="160" spans="1:27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/>
      <c r="L160" s="3">
        <f>IF($H160="","",K160*20%)</f>
      </c>
      <c r="M160" s="3"/>
      <c r="N160" s="3">
        <f>IF($H160="","",M160*20%)</f>
      </c>
      <c r="O160" s="3">
        <v>1</v>
      </c>
      <c r="P160" s="3">
        <f>IF($H160="","",N160)</f>
      </c>
      <c r="Q160" s="3">
        <f>IF($H160="","",I160-J160-K160-M160-N160-O160)</f>
      </c>
      <c r="R160" s="3">
        <f>IF($H160="","",(Q160-Z160)/G160*100)</f>
      </c>
      <c r="S160" s="3">
        <f>IF($H160="","",J160-P160)</f>
      </c>
      <c r="AA160" s="3">
        <f>IF($H160="","",Q160-Z160)</f>
      </c>
    </row>
    <row r="161" spans="1:27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/>
      <c r="L161" s="3">
        <f>IF($H161="","",K161*20%)</f>
      </c>
      <c r="M161" s="3"/>
      <c r="N161" s="3">
        <f>IF($H161="","",M161*20%)</f>
      </c>
      <c r="O161" s="3">
        <v>1</v>
      </c>
      <c r="P161" s="3">
        <f>IF($H161="","",N161)</f>
      </c>
      <c r="Q161" s="3">
        <f>IF($H161="","",I161-J161-K161-M161-N161-O161)</f>
      </c>
      <c r="R161" s="3">
        <f>IF($H161="","",(Q161-Z161)/G161*100)</f>
      </c>
      <c r="S161" s="3">
        <f>IF($H161="","",J161-P161)</f>
      </c>
      <c r="AA161" s="3">
        <f>IF($H161="","",Q161-Z161)</f>
      </c>
    </row>
    <row r="162" spans="1:27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/>
      <c r="L162" s="3">
        <f>IF($H162="","",K162*20%)</f>
      </c>
      <c r="M162" s="3"/>
      <c r="N162" s="3">
        <f>IF($H162="","",M162*20%)</f>
      </c>
      <c r="O162" s="3">
        <v>1</v>
      </c>
      <c r="P162" s="3">
        <f>IF($H162="","",N162)</f>
      </c>
      <c r="Q162" s="3">
        <f>IF($H162="","",I162-J162-K162-M162-N162-O162)</f>
      </c>
      <c r="R162" s="3">
        <f>IF($H162="","",(Q162-Z162)/G162*100)</f>
      </c>
      <c r="S162" s="3">
        <f>IF($H162="","",J162-P162)</f>
      </c>
      <c r="AA162" s="3">
        <f>IF($H162="","",Q162-Z162)</f>
      </c>
    </row>
    <row r="163" spans="1:27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/>
      <c r="L163" s="3">
        <f>IF($H163="","",K163*20%)</f>
      </c>
      <c r="M163" s="3"/>
      <c r="N163" s="3">
        <f>IF($H163="","",M163*20%)</f>
      </c>
      <c r="O163" s="3">
        <v>1</v>
      </c>
      <c r="P163" s="3">
        <f>IF($H163="","",N163)</f>
      </c>
      <c r="Q163" s="3">
        <f>IF($H163="","",I163-J163-K163-M163-N163-O163)</f>
      </c>
      <c r="R163" s="3">
        <f>IF($H163="","",(Q163-Z163)/G163*100)</f>
      </c>
      <c r="S163" s="3">
        <f>IF($H163="","",J163-P163)</f>
      </c>
      <c r="AA163" s="3">
        <f>IF($H163="","",Q163-Z163)</f>
      </c>
    </row>
    <row r="164" spans="1:27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/>
      <c r="L164" s="3">
        <f>IF($H164="","",K164*20%)</f>
      </c>
      <c r="M164" s="3"/>
      <c r="N164" s="3">
        <f>IF($H164="","",M164*20%)</f>
      </c>
      <c r="O164" s="3">
        <v>1</v>
      </c>
      <c r="P164" s="3">
        <f>IF($H164="","",N164)</f>
      </c>
      <c r="Q164" s="3">
        <f>IF($H164="","",I164-J164-K164-M164-N164-O164)</f>
      </c>
      <c r="R164" s="3">
        <f>IF($H164="","",(Q164-Z164)/G164*100)</f>
      </c>
      <c r="S164" s="3">
        <f>IF($H164="","",J164-P164)</f>
      </c>
      <c r="AA164" s="3">
        <f>IF($H164="","",Q164-Z164)</f>
      </c>
    </row>
    <row r="165" spans="1:27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/>
      <c r="L165" s="3">
        <f>IF($H165="","",K165*20%)</f>
      </c>
      <c r="M165" s="3"/>
      <c r="N165" s="3">
        <f>IF($H165="","",M165*20%)</f>
      </c>
      <c r="O165" s="3">
        <v>1</v>
      </c>
      <c r="P165" s="3">
        <f>IF($H165="","",N165)</f>
      </c>
      <c r="Q165" s="3">
        <f>IF($H165="","",I165-J165-K165-M165-N165-O165)</f>
      </c>
      <c r="R165" s="3">
        <f>IF($H165="","",(Q165-Z165)/G165*100)</f>
      </c>
      <c r="S165" s="3">
        <f>IF($H165="","",J165-P165)</f>
      </c>
      <c r="AA165" s="3">
        <f>IF($H165="","",Q165-Z165)</f>
      </c>
    </row>
    <row r="166" spans="1:27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/>
      <c r="L166" s="3">
        <f>IF($H166="","",K166*20%)</f>
      </c>
      <c r="M166" s="3"/>
      <c r="N166" s="3">
        <f>IF($H166="","",M166*20%)</f>
      </c>
      <c r="O166" s="3">
        <v>1</v>
      </c>
      <c r="P166" s="3">
        <f>IF($H166="","",N166)</f>
      </c>
      <c r="Q166" s="3">
        <f>IF($H166="","",I166-J166-K166-M166-N166-O166)</f>
      </c>
      <c r="R166" s="3">
        <f>IF($H166="","",(Q166-Z166)/G166*100)</f>
      </c>
      <c r="S166" s="3">
        <f>IF($H166="","",J166-P166)</f>
      </c>
      <c r="AA166" s="3">
        <f>IF($H166="","",Q166-Z166)</f>
      </c>
    </row>
    <row r="167" spans="1:27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/>
      <c r="L167" s="3">
        <f>IF($H167="","",K167*20%)</f>
      </c>
      <c r="M167" s="3"/>
      <c r="N167" s="3">
        <f>IF($H167="","",M167*20%)</f>
      </c>
      <c r="O167" s="3">
        <v>1</v>
      </c>
      <c r="P167" s="3">
        <f>IF($H167="","",N167)</f>
      </c>
      <c r="Q167" s="3">
        <f>IF($H167="","",I167-J167-K167-M167-N167-O167)</f>
      </c>
      <c r="R167" s="3">
        <f>IF($H167="","",(Q167-Z167)/G167*100)</f>
      </c>
      <c r="S167" s="3">
        <f>IF($H167="","",J167-P167)</f>
      </c>
      <c r="AA167" s="3">
        <f>IF($H167="","",Q167-Z167)</f>
      </c>
    </row>
    <row r="168" spans="1:27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/>
      <c r="L168" s="3">
        <f>IF($H168="","",K168*20%)</f>
      </c>
      <c r="M168" s="3"/>
      <c r="N168" s="3">
        <f>IF($H168="","",M168*20%)</f>
      </c>
      <c r="O168" s="3">
        <v>1</v>
      </c>
      <c r="P168" s="3">
        <f>IF($H168="","",N168)</f>
      </c>
      <c r="Q168" s="3">
        <f>IF($H168="","",I168-J168-K168-M168-N168-O168)</f>
      </c>
      <c r="R168" s="3">
        <f>IF($H168="","",(Q168-Z168)/G168*100)</f>
      </c>
      <c r="S168" s="3">
        <f>IF($H168="","",J168-P168)</f>
      </c>
      <c r="AA168" s="3">
        <f>IF($H168="","",Q168-Z168)</f>
      </c>
    </row>
    <row r="169" spans="1:27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/>
      <c r="L169" s="3">
        <f>IF($H169="","",K169*20%)</f>
      </c>
      <c r="M169" s="3"/>
      <c r="N169" s="3">
        <f>IF($H169="","",M169*20%)</f>
      </c>
      <c r="O169" s="3">
        <v>1</v>
      </c>
      <c r="P169" s="3">
        <f>IF($H169="","",N169)</f>
      </c>
      <c r="Q169" s="3">
        <f>IF($H169="","",I169-J169-K169-M169-N169-O169)</f>
      </c>
      <c r="R169" s="3">
        <f>IF($H169="","",(Q169-Z169)/G169*100)</f>
      </c>
      <c r="S169" s="3">
        <f>IF($H169="","",J169-P169)</f>
      </c>
      <c r="AA169" s="3">
        <f>IF($H169="","",Q169-Z169)</f>
      </c>
    </row>
    <row r="170" spans="1:27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/>
      <c r="L170" s="3">
        <f>IF($H170="","",K170*20%)</f>
      </c>
      <c r="M170" s="3"/>
      <c r="N170" s="3">
        <f>IF($H170="","",M170*20%)</f>
      </c>
      <c r="O170" s="3">
        <v>1</v>
      </c>
      <c r="P170" s="3">
        <f>IF($H170="","",N170)</f>
      </c>
      <c r="Q170" s="3">
        <f>IF($H170="","",I170-J170-K170-M170-N170-O170)</f>
      </c>
      <c r="R170" s="3">
        <f>IF($H170="","",(Q170-Z170)/G170*100)</f>
      </c>
      <c r="S170" s="3">
        <f>IF($H170="","",J170-P170)</f>
      </c>
      <c r="AA170" s="3">
        <f>IF($H170="","",Q170-Z170)</f>
      </c>
    </row>
    <row r="171" spans="1:27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/>
      <c r="L171" s="3">
        <f>IF($H171="","",K171*20%)</f>
      </c>
      <c r="M171" s="3"/>
      <c r="N171" s="3">
        <f>IF($H171="","",M171*20%)</f>
      </c>
      <c r="O171" s="3">
        <v>1</v>
      </c>
      <c r="P171" s="3">
        <f>IF($H171="","",N171)</f>
      </c>
      <c r="Q171" s="3">
        <f>IF($H171="","",I171-J171-K171-M171-N171-O171)</f>
      </c>
      <c r="R171" s="3">
        <f>IF($H171="","",(Q171-Z171)/G171*100)</f>
      </c>
      <c r="S171" s="3">
        <f>IF($H171="","",J171-P171)</f>
      </c>
      <c r="AA171" s="3">
        <f>IF($H171="","",Q171-Z171)</f>
      </c>
    </row>
    <row r="172" spans="1:27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/>
      <c r="L172" s="3">
        <f>IF($H172="","",K172*20%)</f>
      </c>
      <c r="M172" s="3"/>
      <c r="N172" s="3">
        <f>IF($H172="","",M172*20%)</f>
      </c>
      <c r="O172" s="3">
        <v>1</v>
      </c>
      <c r="P172" s="3">
        <f>IF($H172="","",N172)</f>
      </c>
      <c r="Q172" s="3">
        <f>IF($H172="","",I172-J172-K172-M172-N172-O172)</f>
      </c>
      <c r="R172" s="3">
        <f>IF($H172="","",(Q172-Z172)/G172*100)</f>
      </c>
      <c r="S172" s="3">
        <f>IF($H172="","",J172-P172)</f>
      </c>
      <c r="AA172" s="3">
        <f>IF($H172="","",Q172-Z172)</f>
      </c>
    </row>
    <row r="173" spans="1:27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/>
      <c r="L173" s="3">
        <f>IF($H173="","",K173*20%)</f>
      </c>
      <c r="M173" s="3"/>
      <c r="N173" s="3">
        <f>IF($H173="","",M173*20%)</f>
      </c>
      <c r="O173" s="3">
        <v>1</v>
      </c>
      <c r="P173" s="3">
        <f>IF($H173="","",N173)</f>
      </c>
      <c r="Q173" s="3">
        <f>IF($H173="","",I173-J173-K173-M173-N173-O173)</f>
      </c>
      <c r="R173" s="3">
        <f>IF($H173="","",(Q173-Z173)/G173*100)</f>
      </c>
      <c r="S173" s="3">
        <f>IF($H173="","",J173-P173)</f>
      </c>
      <c r="AA173" s="3">
        <f>IF($H173="","",Q173-Z173)</f>
      </c>
    </row>
    <row r="174" spans="1:27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/>
      <c r="L174" s="3">
        <f>IF($H174="","",K174*20%)</f>
      </c>
      <c r="M174" s="3"/>
      <c r="N174" s="3">
        <f>IF($H174="","",M174*20%)</f>
      </c>
      <c r="O174" s="3">
        <v>1</v>
      </c>
      <c r="P174" s="3">
        <f>IF($H174="","",N174)</f>
      </c>
      <c r="Q174" s="3">
        <f>IF($H174="","",I174-J174-K174-M174-N174-O174)</f>
      </c>
      <c r="R174" s="3">
        <f>IF($H174="","",(Q174-Z174)/G174*100)</f>
      </c>
      <c r="S174" s="3">
        <f>IF($H174="","",J174-P174)</f>
      </c>
      <c r="AA174" s="3">
        <f>IF($H174="","",Q174-Z174)</f>
      </c>
    </row>
    <row r="175" spans="1:27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/>
      <c r="L175" s="3">
        <f>IF($H175="","",K175*20%)</f>
      </c>
      <c r="M175" s="3"/>
      <c r="N175" s="3">
        <f>IF($H175="","",M175*20%)</f>
      </c>
      <c r="O175" s="3">
        <v>1</v>
      </c>
      <c r="P175" s="3">
        <f>IF($H175="","",N175)</f>
      </c>
      <c r="Q175" s="3">
        <f>IF($H175="","",I175-J175-K175-M175-N175-O175)</f>
      </c>
      <c r="R175" s="3">
        <f>IF($H175="","",(Q175-Z175)/G175*100)</f>
      </c>
      <c r="S175" s="3">
        <f>IF($H175="","",J175-P175)</f>
      </c>
      <c r="AA175" s="3">
        <f>IF($H175="","",Q175-Z175)</f>
      </c>
    </row>
    <row r="176" spans="1:27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/>
      <c r="L176" s="3">
        <f>IF($H176="","",K176*20%)</f>
      </c>
      <c r="M176" s="3"/>
      <c r="N176" s="3">
        <f>IF($H176="","",M176*20%)</f>
      </c>
      <c r="O176" s="3">
        <v>1</v>
      </c>
      <c r="P176" s="3">
        <f>IF($H176="","",N176)</f>
      </c>
      <c r="Q176" s="3">
        <f>IF($H176="","",I176-J176-K176-M176-N176-O176)</f>
      </c>
      <c r="R176" s="3">
        <f>IF($H176="","",(Q176-Z176)/G176*100)</f>
      </c>
      <c r="S176" s="3">
        <f>IF($H176="","",J176-P176)</f>
      </c>
      <c r="AA176" s="3">
        <f>IF($H176="","",Q176-Z176)</f>
      </c>
    </row>
    <row r="177" spans="1:27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/>
      <c r="L177" s="3">
        <f>IF($H177="","",K177*20%)</f>
      </c>
      <c r="M177" s="3"/>
      <c r="N177" s="3">
        <f>IF($H177="","",M177*20%)</f>
      </c>
      <c r="O177" s="3">
        <v>1</v>
      </c>
      <c r="P177" s="3">
        <f>IF($H177="","",N177)</f>
      </c>
      <c r="Q177" s="3">
        <f>IF($H177="","",I177-J177-K177-M177-N177-O177)</f>
      </c>
      <c r="R177" s="3">
        <f>IF($H177="","",(Q177-Z177)/G177*100)</f>
      </c>
      <c r="S177" s="3">
        <f>IF($H177="","",J177-P177)</f>
      </c>
      <c r="AA177" s="3">
        <f>IF($H177="","",Q177-Z177)</f>
      </c>
    </row>
    <row r="178" spans="1:27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/>
      <c r="L178" s="3">
        <f>IF($H178="","",K178*20%)</f>
      </c>
      <c r="M178" s="3"/>
      <c r="N178" s="3">
        <f>IF($H178="","",M178*20%)</f>
      </c>
      <c r="O178" s="3">
        <v>1</v>
      </c>
      <c r="P178" s="3">
        <f>IF($H178="","",N178)</f>
      </c>
      <c r="Q178" s="3">
        <f>IF($H178="","",I178-J178-K178-M178-N178-O178)</f>
      </c>
      <c r="R178" s="3">
        <f>IF($H178="","",(Q178-Z178)/G178*100)</f>
      </c>
      <c r="S178" s="3">
        <f>IF($H178="","",J178-P178)</f>
      </c>
      <c r="AA178" s="3">
        <f>IF($H178="","",Q178-Z178)</f>
      </c>
    </row>
    <row r="179" spans="1:27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/>
      <c r="L179" s="3">
        <f>IF($H179="","",K179*20%)</f>
      </c>
      <c r="M179" s="3"/>
      <c r="N179" s="3">
        <f>IF($H179="","",M179*20%)</f>
      </c>
      <c r="O179" s="3">
        <v>1</v>
      </c>
      <c r="P179" s="3">
        <f>IF($H179="","",N179)</f>
      </c>
      <c r="Q179" s="3">
        <f>IF($H179="","",I179-J179-K179-M179-N179-O179)</f>
      </c>
      <c r="R179" s="3">
        <f>IF($H179="","",(Q179-Z179)/G179*100)</f>
      </c>
      <c r="S179" s="3">
        <f>IF($H179="","",J179-P179)</f>
      </c>
      <c r="AA179" s="3">
        <f>IF($H179="","",Q179-Z179)</f>
      </c>
    </row>
    <row r="180" spans="1:27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/>
      <c r="L180" s="3">
        <f>IF($H180="","",K180*20%)</f>
      </c>
      <c r="M180" s="3"/>
      <c r="N180" s="3">
        <f>IF($H180="","",M180*20%)</f>
      </c>
      <c r="O180" s="3">
        <v>1</v>
      </c>
      <c r="P180" s="3">
        <f>IF($H180="","",N180)</f>
      </c>
      <c r="Q180" s="3">
        <f>IF($H180="","",I180-J180-K180-M180-N180-O180)</f>
      </c>
      <c r="R180" s="3">
        <f>IF($H180="","",(Q180-Z180)/G180*100)</f>
      </c>
      <c r="S180" s="3">
        <f>IF($H180="","",J180-P180)</f>
      </c>
      <c r="AA180" s="3">
        <f>IF($H180="","",Q180-Z180)</f>
      </c>
    </row>
    <row r="181" spans="1:27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/>
      <c r="L181" s="3">
        <f>IF($H181="","",K181*20%)</f>
      </c>
      <c r="M181" s="3"/>
      <c r="N181" s="3">
        <f>IF($H181="","",M181*20%)</f>
      </c>
      <c r="O181" s="3">
        <v>1</v>
      </c>
      <c r="P181" s="3">
        <f>IF($H181="","",N181)</f>
      </c>
      <c r="Q181" s="3">
        <f>IF($H181="","",I181-J181-K181-M181-N181-O181)</f>
      </c>
      <c r="R181" s="3">
        <f>IF($H181="","",(Q181-Z181)/G181*100)</f>
      </c>
      <c r="S181" s="3">
        <f>IF($H181="","",J181-P181)</f>
      </c>
      <c r="AA181" s="3">
        <f>IF($H181="","",Q181-Z181)</f>
      </c>
    </row>
    <row r="182" spans="1:27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/>
      <c r="L182" s="3">
        <f>IF($H182="","",K182*20%)</f>
      </c>
      <c r="M182" s="3"/>
      <c r="N182" s="3">
        <f>IF($H182="","",M182*20%)</f>
      </c>
      <c r="O182" s="3">
        <v>1</v>
      </c>
      <c r="P182" s="3">
        <f>IF($H182="","",N182)</f>
      </c>
      <c r="Q182" s="3">
        <f>IF($H182="","",I182-J182-K182-M182-N182-O182)</f>
      </c>
      <c r="R182" s="3">
        <f>IF($H182="","",(Q182-Z182)/G182*100)</f>
      </c>
      <c r="S182" s="3">
        <f>IF($H182="","",J182-P182)</f>
      </c>
      <c r="AA182" s="3">
        <f>IF($H182="","",Q182-Z182)</f>
      </c>
    </row>
    <row r="183" spans="1:27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/>
      <c r="L183" s="3">
        <f>IF($H183="","",K183*20%)</f>
      </c>
      <c r="M183" s="3"/>
      <c r="N183" s="3">
        <f>IF($H183="","",M183*20%)</f>
      </c>
      <c r="O183" s="3">
        <v>1</v>
      </c>
      <c r="P183" s="3">
        <f>IF($H183="","",N183)</f>
      </c>
      <c r="Q183" s="3">
        <f>IF($H183="","",I183-J183-K183-M183-N183-O183)</f>
      </c>
      <c r="R183" s="3">
        <f>IF($H183="","",(Q183-Z183)/G183*100)</f>
      </c>
      <c r="S183" s="3">
        <f>IF($H183="","",J183-P183)</f>
      </c>
      <c r="AA183" s="3">
        <f>IF($H183="","",Q183-Z183)</f>
      </c>
    </row>
    <row r="184" spans="1:27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/>
      <c r="L184" s="3">
        <f>IF($H184="","",K184*20%)</f>
      </c>
      <c r="M184" s="3"/>
      <c r="N184" s="3">
        <f>IF($H184="","",M184*20%)</f>
      </c>
      <c r="O184" s="3">
        <v>1</v>
      </c>
      <c r="P184" s="3">
        <f>IF($H184="","",N184)</f>
      </c>
      <c r="Q184" s="3">
        <f>IF($H184="","",I184-J184-K184-M184-N184-O184)</f>
      </c>
      <c r="R184" s="3">
        <f>IF($H184="","",(Q184-Z184)/G184*100)</f>
      </c>
      <c r="S184" s="3">
        <f>IF($H184="","",J184-P184)</f>
      </c>
      <c r="AA184" s="3">
        <f>IF($H184="","",Q184-Z184)</f>
      </c>
    </row>
    <row r="185" spans="1:27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/>
      <c r="L185" s="3">
        <f>IF($H185="","",K185*20%)</f>
      </c>
      <c r="M185" s="3"/>
      <c r="N185" s="3">
        <f>IF($H185="","",M185*20%)</f>
      </c>
      <c r="O185" s="3">
        <v>1</v>
      </c>
      <c r="P185" s="3">
        <f>IF($H185="","",N185)</f>
      </c>
      <c r="Q185" s="3">
        <f>IF($H185="","",I185-J185-K185-M185-N185-O185)</f>
      </c>
      <c r="R185" s="3">
        <f>IF($H185="","",(Q185-Z185)/G185*100)</f>
      </c>
      <c r="S185" s="3">
        <f>IF($H185="","",J185-P185)</f>
      </c>
      <c r="AA185" s="3">
        <f>IF($H185="","",Q185-Z185)</f>
      </c>
    </row>
    <row r="186" spans="1:27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/>
      <c r="L186" s="3">
        <f>IF($H186="","",K186*20%)</f>
      </c>
      <c r="M186" s="3"/>
      <c r="N186" s="3">
        <f>IF($H186="","",M186*20%)</f>
      </c>
      <c r="O186" s="3">
        <v>1</v>
      </c>
      <c r="P186" s="3">
        <f>IF($H186="","",N186)</f>
      </c>
      <c r="Q186" s="3">
        <f>IF($H186="","",I186-J186-K186-M186-N186-O186)</f>
      </c>
      <c r="R186" s="3">
        <f>IF($H186="","",(Q186-Z186)/G186*100)</f>
      </c>
      <c r="S186" s="3">
        <f>IF($H186="","",J186-P186)</f>
      </c>
      <c r="AA186" s="3">
        <f>IF($H186="","",Q186-Z186)</f>
      </c>
    </row>
    <row r="187" spans="1:27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/>
      <c r="L187" s="3">
        <f>IF($H187="","",K187*20%)</f>
      </c>
      <c r="M187" s="3"/>
      <c r="N187" s="3">
        <f>IF($H187="","",M187*20%)</f>
      </c>
      <c r="O187" s="3">
        <v>1</v>
      </c>
      <c r="P187" s="3">
        <f>IF($H187="","",N187)</f>
      </c>
      <c r="Q187" s="3">
        <f>IF($H187="","",I187-J187-K187-M187-N187-O187)</f>
      </c>
      <c r="R187" s="3">
        <f>IF($H187="","",(Q187-Z187)/G187*100)</f>
      </c>
      <c r="S187" s="3">
        <f>IF($H187="","",J187-P187)</f>
      </c>
      <c r="AA187" s="3">
        <f>IF($H187="","",Q187-Z187)</f>
      </c>
    </row>
    <row r="188" spans="1:27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/>
      <c r="L188" s="3">
        <f>IF($H188="","",K188*20%)</f>
      </c>
      <c r="M188" s="3"/>
      <c r="N188" s="3">
        <f>IF($H188="","",M188*20%)</f>
      </c>
      <c r="O188" s="3">
        <v>1</v>
      </c>
      <c r="P188" s="3">
        <f>IF($H188="","",N188)</f>
      </c>
      <c r="Q188" s="3">
        <f>IF($H188="","",I188-J188-K188-M188-N188-O188)</f>
      </c>
      <c r="R188" s="3">
        <f>IF($H188="","",(Q188-Z188)/G188*100)</f>
      </c>
      <c r="S188" s="3">
        <f>IF($H188="","",J188-P188)</f>
      </c>
      <c r="AA188" s="3">
        <f>IF($H188="","",Q188-Z188)</f>
      </c>
    </row>
    <row r="189" spans="1:27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/>
      <c r="L189" s="3">
        <f>IF($H189="","",K189*20%)</f>
      </c>
      <c r="M189" s="3"/>
      <c r="N189" s="3">
        <f>IF($H189="","",M189*20%)</f>
      </c>
      <c r="O189" s="3">
        <v>1</v>
      </c>
      <c r="P189" s="3">
        <f>IF($H189="","",N189)</f>
      </c>
      <c r="Q189" s="3">
        <f>IF($H189="","",I189-J189-K189-M189-N189-O189)</f>
      </c>
      <c r="R189" s="3">
        <f>IF($H189="","",(Q189-Z189)/G189*100)</f>
      </c>
      <c r="S189" s="3">
        <f>IF($H189="","",J189-P189)</f>
      </c>
      <c r="AA189" s="3">
        <f>IF($H189="","",Q189-Z189)</f>
      </c>
    </row>
    <row r="190" spans="1:27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/>
      <c r="L190" s="3">
        <f>IF($H190="","",K190*20%)</f>
      </c>
      <c r="M190" s="3"/>
      <c r="N190" s="3">
        <f>IF($H190="","",M190*20%)</f>
      </c>
      <c r="O190" s="3">
        <v>1</v>
      </c>
      <c r="P190" s="3">
        <f>IF($H190="","",N190)</f>
      </c>
      <c r="Q190" s="3">
        <f>IF($H190="","",I190-J190-K190-M190-N190-O190)</f>
      </c>
      <c r="R190" s="3">
        <f>IF($H190="","",(Q190-Z190)/G190*100)</f>
      </c>
      <c r="S190" s="3">
        <f>IF($H190="","",J190-P190)</f>
      </c>
      <c r="AA190" s="3">
        <f>IF($H190="","",Q190-Z190)</f>
      </c>
    </row>
    <row r="191" spans="1:27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/>
      <c r="L191" s="3">
        <f>IF($H191="","",K191*20%)</f>
      </c>
      <c r="M191" s="3"/>
      <c r="N191" s="3">
        <f>IF($H191="","",M191*20%)</f>
      </c>
      <c r="O191" s="3">
        <v>1</v>
      </c>
      <c r="P191" s="3">
        <f>IF($H191="","",N191)</f>
      </c>
      <c r="Q191" s="3">
        <f>IF($H191="","",I191-J191-K191-M191-N191-O191)</f>
      </c>
      <c r="R191" s="3">
        <f>IF($H191="","",(Q191-Z191)/G191*100)</f>
      </c>
      <c r="S191" s="3">
        <f>IF($H191="","",J191-P191)</f>
      </c>
      <c r="AA191" s="3">
        <f>IF($H191="","",Q191-Z191)</f>
      </c>
    </row>
    <row r="192" spans="1:27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/>
      <c r="L192" s="3">
        <f>IF($H192="","",K192*20%)</f>
      </c>
      <c r="M192" s="3"/>
      <c r="N192" s="3">
        <f>IF($H192="","",M192*20%)</f>
      </c>
      <c r="O192" s="3">
        <v>1</v>
      </c>
      <c r="P192" s="3">
        <f>IF($H192="","",N192)</f>
      </c>
      <c r="Q192" s="3">
        <f>IF($H192="","",I192-J192-K192-M192-N192-O192)</f>
      </c>
      <c r="R192" s="3">
        <f>IF($H192="","",(Q192-Z192)/G192*100)</f>
      </c>
      <c r="S192" s="3">
        <f>IF($H192="","",J192-P192)</f>
      </c>
      <c r="AA192" s="3">
        <f>IF($H192="","",Q192-Z192)</f>
      </c>
    </row>
    <row r="193" spans="1:27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/>
      <c r="L193" s="3">
        <f>IF($H193="","",K193*20%)</f>
      </c>
      <c r="M193" s="3"/>
      <c r="N193" s="3">
        <f>IF($H193="","",M193*20%)</f>
      </c>
      <c r="O193" s="3">
        <v>1</v>
      </c>
      <c r="P193" s="3">
        <f>IF($H193="","",N193)</f>
      </c>
      <c r="Q193" s="3">
        <f>IF($H193="","",I193-J193-K193-M193-N193-O193)</f>
      </c>
      <c r="R193" s="3">
        <f>IF($H193="","",(Q193-Z193)/G193*100)</f>
      </c>
      <c r="S193" s="3">
        <f>IF($H193="","",J193-P193)</f>
      </c>
      <c r="AA193" s="3">
        <f>IF($H193="","",Q193-Z193)</f>
      </c>
    </row>
    <row r="194" spans="1:27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/>
      <c r="L194" s="3">
        <f>IF($H194="","",K194*20%)</f>
      </c>
      <c r="M194" s="3"/>
      <c r="N194" s="3">
        <f>IF($H194="","",M194*20%)</f>
      </c>
      <c r="O194" s="3">
        <v>1</v>
      </c>
      <c r="P194" s="3">
        <f>IF($H194="","",N194)</f>
      </c>
      <c r="Q194" s="3">
        <f>IF($H194="","",I194-J194-K194-M194-N194-O194)</f>
      </c>
      <c r="R194" s="3">
        <f>IF($H194="","",(Q194-Z194)/G194*100)</f>
      </c>
      <c r="S194" s="3">
        <f>IF($H194="","",J194-P194)</f>
      </c>
      <c r="AA194" s="3">
        <f>IF($H194="","",Q194-Z194)</f>
      </c>
    </row>
    <row r="195" spans="1:27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/>
      <c r="L195" s="3">
        <f>IF($H195="","",K195*20%)</f>
      </c>
      <c r="M195" s="3"/>
      <c r="N195" s="3">
        <f>IF($H195="","",M195*20%)</f>
      </c>
      <c r="O195" s="3">
        <v>1</v>
      </c>
      <c r="P195" s="3">
        <f>IF($H195="","",N195)</f>
      </c>
      <c r="Q195" s="3">
        <f>IF($H195="","",I195-J195-K195-M195-N195-O195)</f>
      </c>
      <c r="R195" s="3">
        <f>IF($H195="","",(Q195-Z195)/G195*100)</f>
      </c>
      <c r="S195" s="3">
        <f>IF($H195="","",J195-P195)</f>
      </c>
      <c r="AA195" s="3">
        <f>IF($H195="","",Q195-Z195)</f>
      </c>
    </row>
    <row r="196" spans="1:27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/>
      <c r="L196" s="3">
        <f>IF($H196="","",K196*20%)</f>
      </c>
      <c r="M196" s="3"/>
      <c r="N196" s="3">
        <f>IF($H196="","",M196*20%)</f>
      </c>
      <c r="O196" s="3">
        <v>1</v>
      </c>
      <c r="P196" s="3">
        <f>IF($H196="","",N196)</f>
      </c>
      <c r="Q196" s="3">
        <f>IF($H196="","",I196-J196-K196-M196-N196-O196)</f>
      </c>
      <c r="R196" s="3">
        <f>IF($H196="","",(Q196-Z196)/G196*100)</f>
      </c>
      <c r="S196" s="3">
        <f>IF($H196="","",J196-P196)</f>
      </c>
      <c r="AA196" s="3">
        <f>IF($H196="","",Q196-Z196)</f>
      </c>
    </row>
    <row r="197" spans="1:27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/>
      <c r="L197" s="3">
        <f>IF($H197="","",K197*20%)</f>
      </c>
      <c r="M197" s="3"/>
      <c r="N197" s="3">
        <f>IF($H197="","",M197*20%)</f>
      </c>
      <c r="O197" s="3">
        <v>1</v>
      </c>
      <c r="P197" s="3">
        <f>IF($H197="","",N197)</f>
      </c>
      <c r="Q197" s="3">
        <f>IF($H197="","",I197-J197-K197-M197-N197-O197)</f>
      </c>
      <c r="R197" s="3">
        <f>IF($H197="","",(Q197-Z197)/G197*100)</f>
      </c>
      <c r="S197" s="3">
        <f>IF($H197="","",J197-P197)</f>
      </c>
      <c r="AA197" s="3">
        <f>IF($H197="","",Q197-Z197)</f>
      </c>
    </row>
    <row r="198" spans="1:27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/>
      <c r="L198" s="3">
        <f>IF($H198="","",K198*20%)</f>
      </c>
      <c r="M198" s="3"/>
      <c r="N198" s="3">
        <f>IF($H198="","",M198*20%)</f>
      </c>
      <c r="O198" s="3">
        <v>1</v>
      </c>
      <c r="P198" s="3">
        <f>IF($H198="","",N198)</f>
      </c>
      <c r="Q198" s="3">
        <f>IF($H198="","",I198-J198-K198-M198-N198-O198)</f>
      </c>
      <c r="R198" s="3">
        <f>IF($H198="","",(Q198-Z198)/G198*100)</f>
      </c>
      <c r="S198" s="3">
        <f>IF($H198="","",J198-P198)</f>
      </c>
      <c r="AA198" s="3">
        <f>IF($H198="","",Q198-Z198)</f>
      </c>
    </row>
    <row r="199" spans="1:27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/>
      <c r="L199" s="3">
        <f>IF($H199="","",K199*20%)</f>
      </c>
      <c r="M199" s="3"/>
      <c r="N199" s="3">
        <f>IF($H199="","",M199*20%)</f>
      </c>
      <c r="O199" s="3">
        <v>1</v>
      </c>
      <c r="P199" s="3">
        <f>IF($H199="","",N199)</f>
      </c>
      <c r="Q199" s="3">
        <f>IF($H199="","",I199-J199-K199-M199-N199-O199)</f>
      </c>
      <c r="R199" s="3">
        <f>IF($H199="","",(Q199-Z199)/G199*100)</f>
      </c>
      <c r="S199" s="3">
        <f>IF($H199="","",J199-P199)</f>
      </c>
      <c r="AA199" s="3">
        <f>IF($H199="","",Q199-Z199)</f>
      </c>
    </row>
    <row r="200" spans="1:27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/>
      <c r="L200" s="3">
        <f>IF($H200="","",K200*20%)</f>
      </c>
      <c r="M200" s="3"/>
      <c r="N200" s="3">
        <f>IF($H200="","",M200*20%)</f>
      </c>
      <c r="O200" s="3">
        <v>1</v>
      </c>
      <c r="P200" s="3">
        <f>IF($H200="","",N200)</f>
      </c>
      <c r="Q200" s="3">
        <f>IF($H200="","",I200-J200-K200-M200-N200-O200)</f>
      </c>
      <c r="R200" s="3">
        <f>IF($H200="","",(Q200-Z200)/G200*100)</f>
      </c>
      <c r="S200" s="3">
        <f>IF($H200="","",J200-P200)</f>
      </c>
      <c r="AA200" s="3">
        <f>IF($H200="","",Q200-Z200)</f>
      </c>
    </row>
    <row r="201" spans="1:27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/>
      <c r="L201" s="3">
        <f>IF($H201="","",K201*20%)</f>
      </c>
      <c r="M201" s="3"/>
      <c r="N201" s="3">
        <f>IF($H201="","",M201*20%)</f>
      </c>
      <c r="O201" s="3">
        <v>1</v>
      </c>
      <c r="P201" s="3">
        <f>IF($H201="","",N201)</f>
      </c>
      <c r="Q201" s="3">
        <f>IF($H201="","",I201-J201-K201-M201-N201-O201)</f>
      </c>
      <c r="R201" s="3">
        <f>IF($H201="","",(Q201-Z201)/G201*100)</f>
      </c>
      <c r="S201" s="3">
        <f>IF($H201="","",J201-P201)</f>
      </c>
      <c r="AA201" s="3">
        <f>IF($H201="","",Q201-Z201)</f>
      </c>
    </row>
    <row r="202" spans="1:27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/>
      <c r="L202" s="3">
        <f>IF($H202="","",K202*20%)</f>
      </c>
      <c r="M202" s="3"/>
      <c r="N202" s="3">
        <f>IF($H202="","",M202*20%)</f>
      </c>
      <c r="O202" s="3">
        <v>1</v>
      </c>
      <c r="P202" s="3">
        <f>IF($H202="","",N202)</f>
      </c>
      <c r="Q202" s="3">
        <f>IF($H202="","",I202-J202-K202-M202-N202-O202)</f>
      </c>
      <c r="R202" s="3">
        <f>IF($H202="","",(Q202-Z202)/G202*100)</f>
      </c>
      <c r="S202" s="3">
        <f>IF($H202="","",J202-P202)</f>
      </c>
      <c r="AA202" s="3">
        <f>IF($H202="","",Q202-Z202)</f>
      </c>
    </row>
    <row r="203" spans="1:29" s="4" customFormat="1" x14ac:dyDescent="0.25">
      <c r="A203" s="5" t="s">
        <v>37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IFERROR((Q203-Z203)/G203*100,0)</f>
      </c>
      <c r="S203" s="6">
        <f>SUM(S2:S202)</f>
      </c>
      <c r="T203" s="4"/>
      <c r="U203" s="4"/>
      <c r="V203" s="4"/>
      <c r="W203" s="4"/>
      <c r="X203" s="4"/>
      <c r="Y203" s="4"/>
      <c r="Z203" s="6">
        <f>SUM(Z2:Z202)</f>
      </c>
      <c r="AA203" s="6">
        <f>SUM(AA2:AA202)</f>
      </c>
      <c r="AB203" s="4"/>
      <c r="AC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2026-08-03T20:37:58Z</dcterms:created>
  <dcterms:modified xsi:type="dcterms:W3CDTF">2026-08-03T20:37:58Z</dcterms:modified>
</cp:coreProperties>
</file>