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6" name="TEMU" state="visible" r:id="rId4"/>
    <sheet sheetId="1" name="README" state="visible" r:id="rId5"/>
  </sheets>
  <calcPr calcId="171027"/>
</workbook>
</file>

<file path=xl/sharedStrings.xml><?xml version="1.0" encoding="utf-8"?>
<sst xmlns="http://schemas.openxmlformats.org/spreadsheetml/2006/main" count="56" uniqueCount="53">
  <si>
    <t>Date</t>
  </si>
  <si>
    <t>Order Number</t>
  </si>
  <si>
    <t>SKU</t>
  </si>
  <si>
    <t>IMEI</t>
  </si>
  <si>
    <t>Supplier</t>
  </si>
  <si>
    <t>Quantity</t>
  </si>
  <si>
    <t>BP</t>
  </si>
  <si>
    <t>SP</t>
  </si>
  <si>
    <t>SP-BP</t>
  </si>
  <si>
    <t>Marginal Tax</t>
  </si>
  <si>
    <t>Commission</t>
  </si>
  <si>
    <t>Commission VAT</t>
  </si>
  <si>
    <t>Postage</t>
  </si>
  <si>
    <t>P. VAT</t>
  </si>
  <si>
    <t>Accessories</t>
  </si>
  <si>
    <t>Total VAT</t>
  </si>
  <si>
    <t>GP</t>
  </si>
  <si>
    <t>GP %</t>
  </si>
  <si>
    <t>Total VAT NTP</t>
  </si>
  <si>
    <t>Comments</t>
  </si>
  <si>
    <t>Model</t>
  </si>
  <si>
    <t>Return Date</t>
  </si>
  <si>
    <t>Outcome</t>
  </si>
  <si>
    <t>Return Reason</t>
  </si>
  <si>
    <t>Shipping Legs</t>
  </si>
  <si>
    <t>Postage Loss</t>
  </si>
  <si>
    <t>Net GP £</t>
  </si>
  <si>
    <t>Storage</t>
  </si>
  <si>
    <t>Colour</t>
  </si>
  <si>
    <t>PO-210-07053322437751959</t>
  </si>
  <si>
    <t>SG-A17-128GB-OB</t>
  </si>
  <si>
    <t>350901801557294</t>
  </si>
  <si>
    <t>MHL</t>
  </si>
  <si>
    <t/>
  </si>
  <si>
    <t>Samsung Galaxy A17 128GB</t>
  </si>
  <si>
    <t>TOTAL</t>
  </si>
  <si>
    <t>SALES TEMPLATE — same columns as the Sales Report</t>
  </si>
  <si>
    <t>What this is</t>
  </si>
  <si>
    <t>One sheet per marketplace (TEMU), with exactly the columns the Sales Report exports. This file is generated FROM that report, so the two cannot drift apart.</t>
  </si>
  <si>
    <t>The formulas are live</t>
  </si>
  <si>
    <t>Type a BP and an SP into a row and every derived column fills in immediately — SP-BP, Marginal Tax, Commission, the VAT lines, GP, GP % and Total VAT NTP. Rows you have not touched stay blank; they wake up as soon as the row has an SP.</t>
  </si>
  <si>
    <t>What YOU fill in</t>
  </si>
  <si>
    <t>Date, Order Number, SKU, IMEI, Supplier, Quantity, BP, SP and Postage. On eBay also Marketing and P. VAT, and on Temu the Commission the marketplace actually charged — those cells carry no formula in the operator master either, because no formula can reproduce a figure the marketplace invoices per order.</t>
  </si>
  <si>
    <t>What you leave alone</t>
  </si>
  <si>
    <t>Every other money column is a formula. Overwriting one replaces live maths with a frozen number that will not follow a price correction.</t>
  </si>
  <si>
    <t>Row 2</t>
  </si>
  <si>
    <t>A worked example, filled in so you can see the formulas computing. Delete it or type over it.</t>
  </si>
  <si>
    <t>Running out of rows</t>
  </si>
  <si>
    <t>200 rows come primed. For more, select the last row and drag its fill handle down — the formulas carry themselves.</t>
  </si>
  <si>
    <t>The TOTAL row</t>
  </si>
  <si>
    <t>At the foot of each sheet, summing the rows above it. If you drag past it, move it down.</t>
  </si>
  <si>
    <t>Getting this back in</t>
  </si>
  <si>
    <t>Sales are recorded in the app under Sell → Mark Sold (or Mark Multiple Sold for one order covering several handsets). This file is a working sheet and a record, not an upload route.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</si>
</sst>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yy"/>
  </numFmts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2" borderId="0" xfId="0" applyFont="1" applyFill="1"/>
    <xf numFmtId="2" fontId="1" fillId="0" borderId="0" xfId="0" applyNumberFormat="1" applyFont="1"/>
    <xf numFmtId="0" fontId="2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100" customWidth="1"/>
  </cols>
  <sheetData>
    <row r="1" ht="22" customHeight="1" spans="1:2" x14ac:dyDescent="0.25">
      <c r="A1" s="7" t="s">
        <v>36</v>
      </c>
      <c r="B1" t="s">
        <v>33</v>
      </c>
    </row>
    <row r="3" spans="1:2" x14ac:dyDescent="0.25">
      <c r="A3" s="4" t="s">
        <v>37</v>
      </c>
      <c r="B3" s="8" t="s">
        <v>38</v>
      </c>
    </row>
    <row r="4" spans="1:2" x14ac:dyDescent="0.25">
      <c r="A4" s="4" t="s">
        <v>39</v>
      </c>
      <c r="B4" s="8" t="s">
        <v>40</v>
      </c>
    </row>
    <row r="5" spans="1:2" x14ac:dyDescent="0.25">
      <c r="A5" s="4" t="s">
        <v>41</v>
      </c>
      <c r="B5" s="8" t="s">
        <v>42</v>
      </c>
    </row>
    <row r="6" spans="1:2" x14ac:dyDescent="0.25">
      <c r="A6" s="4" t="s">
        <v>43</v>
      </c>
      <c r="B6" s="8" t="s">
        <v>44</v>
      </c>
    </row>
    <row r="7" spans="1:2" x14ac:dyDescent="0.25">
      <c r="A7" s="4" t="s">
        <v>45</v>
      </c>
      <c r="B7" s="8" t="s">
        <v>46</v>
      </c>
    </row>
    <row r="8" spans="1:2" x14ac:dyDescent="0.25">
      <c r="A8" s="4" t="s">
        <v>47</v>
      </c>
      <c r="B8" s="8" t="s">
        <v>48</v>
      </c>
    </row>
    <row r="9" spans="1:2" x14ac:dyDescent="0.25">
      <c r="A9" s="4" t="s">
        <v>49</v>
      </c>
      <c r="B9" s="8" t="s">
        <v>50</v>
      </c>
    </row>
    <row r="10" spans="1:2" x14ac:dyDescent="0.25">
      <c r="A10" s="4" t="s">
        <v>51</v>
      </c>
      <c r="B10" s="8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3"/>
  <sheetFormatPr defaultRowHeight="15" outlineLevelRow="0" outlineLevelCol="0" x14ac:dyDescent="5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>
        <v>46235.5</v>
      </c>
      <c r="B2" t="s">
        <v>29</v>
      </c>
      <c r="C2" t="s">
        <v>30</v>
      </c>
      <c r="D2" s="2" t="s">
        <v>31</v>
      </c>
      <c r="E2" t="s">
        <v>32</v>
      </c>
      <c r="F2">
        <v>1</v>
      </c>
      <c r="G2" s="3">
        <v>55</v>
      </c>
      <c r="H2" s="3">
        <v>83.99</v>
      </c>
      <c r="I2" s="3">
        <f>IF($H2="","",H2-G2)</f>
      </c>
      <c r="J2" s="3">
        <f>IF($H2="","",I2*16.67%)</f>
      </c>
      <c r="K2" s="3">
        <v>3.87</v>
      </c>
      <c r="L2" s="3">
        <f>IF($H2="","",K2*20%)</f>
      </c>
      <c r="M2" s="3">
        <v>6.3</v>
      </c>
      <c r="N2" s="3">
        <f>IF($H2="","",M2*20%)</f>
      </c>
      <c r="O2" s="3">
        <v>1</v>
      </c>
      <c r="P2" s="3">
        <f>IF($H2="","",N2)</f>
      </c>
      <c r="Q2" s="3">
        <f>IF($H2="","",I2-J2-K2-M2-N2-O2)</f>
      </c>
      <c r="R2" s="3">
        <f>IF($H2="","",(Q2-Z2)/G2*100)</f>
      </c>
      <c r="S2" s="3">
        <f>IF($H2="","",J2-P2)</f>
      </c>
      <c r="T2" t="s">
        <v>33</v>
      </c>
      <c r="U2" t="s">
        <v>34</v>
      </c>
      <c r="AA2" s="3">
        <f>IF($H2="","",Q2-Z2)</f>
      </c>
      <c r="AB2" t="s">
        <v>33</v>
      </c>
      <c r="AC2" t="s">
        <v>33</v>
      </c>
    </row>
    <row r="3" spans="1:29" x14ac:dyDescent="0.25">
      <c r="A3" s="1"/>
      <c r="D3" s="2"/>
      <c r="G3" s="3"/>
      <c r="H3" s="3"/>
      <c r="I3" s="3">
        <f>IF($H3="","",H3-G3)</f>
      </c>
      <c r="J3" s="3">
        <f>IF($H3="","",I3*16.67%)</f>
      </c>
      <c r="K3" s="3"/>
      <c r="L3" s="3">
        <f>IF($H3="","",K3*20%)</f>
      </c>
      <c r="M3" s="3"/>
      <c r="N3" s="3">
        <f>IF($H3="","",M3*20%)</f>
      </c>
      <c r="O3" s="3">
        <v>1</v>
      </c>
      <c r="P3" s="3">
        <f>IF($H3="","",N3)</f>
      </c>
      <c r="Q3" s="3">
        <f>IF($H3="","",I3-J3-K3-M3-N3-O3)</f>
      </c>
      <c r="R3" s="3">
        <f>IF($H3="","",(Q3-Z3)/G3*100)</f>
      </c>
      <c r="S3" s="3">
        <f>IF($H3="","",J3-P3)</f>
      </c>
      <c r="AA3" s="3">
        <f>IF($H3="","",Q3-Z3)</f>
      </c>
    </row>
    <row r="4" spans="1:29" x14ac:dyDescent="0.25">
      <c r="A4" s="1"/>
      <c r="D4" s="2"/>
      <c r="G4" s="3"/>
      <c r="H4" s="3"/>
      <c r="I4" s="3">
        <f>IF($H4="","",H4-G4)</f>
      </c>
      <c r="J4" s="3">
        <f>IF($H4="","",I4*16.67%)</f>
      </c>
      <c r="K4" s="3"/>
      <c r="L4" s="3">
        <f>IF($H4="","",K4*20%)</f>
      </c>
      <c r="M4" s="3"/>
      <c r="N4" s="3">
        <f>IF($H4="","",M4*20%)</f>
      </c>
      <c r="O4" s="3">
        <v>1</v>
      </c>
      <c r="P4" s="3">
        <f>IF($H4="","",N4)</f>
      </c>
      <c r="Q4" s="3">
        <f>IF($H4="","",I4-J4-K4-M4-N4-O4)</f>
      </c>
      <c r="R4" s="3">
        <f>IF($H4="","",(Q4-Z4)/G4*100)</f>
      </c>
      <c r="S4" s="3">
        <f>IF($H4="","",J4-P4)</f>
      </c>
      <c r="AA4" s="3">
        <f>IF($H4="","",Q4-Z4)</f>
      </c>
    </row>
    <row r="5" spans="1:29" x14ac:dyDescent="0.25">
      <c r="A5" s="1"/>
      <c r="D5" s="2"/>
      <c r="G5" s="3"/>
      <c r="H5" s="3"/>
      <c r="I5" s="3">
        <f>IF($H5="","",H5-G5)</f>
      </c>
      <c r="J5" s="3">
        <f>IF($H5="","",I5*16.67%)</f>
      </c>
      <c r="K5" s="3"/>
      <c r="L5" s="3">
        <f>IF($H5="","",K5*20%)</f>
      </c>
      <c r="M5" s="3"/>
      <c r="N5" s="3">
        <f>IF($H5="","",M5*20%)</f>
      </c>
      <c r="O5" s="3">
        <v>1</v>
      </c>
      <c r="P5" s="3">
        <f>IF($H5="","",N5)</f>
      </c>
      <c r="Q5" s="3">
        <f>IF($H5="","",I5-J5-K5-M5-N5-O5)</f>
      </c>
      <c r="R5" s="3">
        <f>IF($H5="","",(Q5-Z5)/G5*100)</f>
      </c>
      <c r="S5" s="3">
        <f>IF($H5="","",J5-P5)</f>
      </c>
      <c r="AA5" s="3">
        <f>IF($H5="","",Q5-Z5)</f>
      </c>
    </row>
    <row r="6" spans="1:29" x14ac:dyDescent="0.25">
      <c r="A6" s="1"/>
      <c r="D6" s="2"/>
      <c r="G6" s="3"/>
      <c r="H6" s="3"/>
      <c r="I6" s="3">
        <f>IF($H6="","",H6-G6)</f>
      </c>
      <c r="J6" s="3">
        <f>IF($H6="","",I6*16.67%)</f>
      </c>
      <c r="K6" s="3"/>
      <c r="L6" s="3">
        <f>IF($H6="","",K6*20%)</f>
      </c>
      <c r="M6" s="3"/>
      <c r="N6" s="3">
        <f>IF($H6="","",M6*20%)</f>
      </c>
      <c r="O6" s="3">
        <v>1</v>
      </c>
      <c r="P6" s="3">
        <f>IF($H6="","",N6)</f>
      </c>
      <c r="Q6" s="3">
        <f>IF($H6="","",I6-J6-K6-M6-N6-O6)</f>
      </c>
      <c r="R6" s="3">
        <f>IF($H6="","",(Q6-Z6)/G6*100)</f>
      </c>
      <c r="S6" s="3">
        <f>IF($H6="","",J6-P6)</f>
      </c>
      <c r="AA6" s="3">
        <f>IF($H6="","",Q6-Z6)</f>
      </c>
    </row>
    <row r="7" spans="1:29" x14ac:dyDescent="0.25">
      <c r="A7" s="1"/>
      <c r="D7" s="2"/>
      <c r="G7" s="3"/>
      <c r="H7" s="3"/>
      <c r="I7" s="3">
        <f>IF($H7="","",H7-G7)</f>
      </c>
      <c r="J7" s="3">
        <f>IF($H7="","",I7*16.67%)</f>
      </c>
      <c r="K7" s="3"/>
      <c r="L7" s="3">
        <f>IF($H7="","",K7*20%)</f>
      </c>
      <c r="M7" s="3"/>
      <c r="N7" s="3">
        <f>IF($H7="","",M7*20%)</f>
      </c>
      <c r="O7" s="3">
        <v>1</v>
      </c>
      <c r="P7" s="3">
        <f>IF($H7="","",N7)</f>
      </c>
      <c r="Q7" s="3">
        <f>IF($H7="","",I7-J7-K7-M7-N7-O7)</f>
      </c>
      <c r="R7" s="3">
        <f>IF($H7="","",(Q7-Z7)/G7*100)</f>
      </c>
      <c r="S7" s="3">
        <f>IF($H7="","",J7-P7)</f>
      </c>
      <c r="AA7" s="3">
        <f>IF($H7="","",Q7-Z7)</f>
      </c>
    </row>
    <row r="8" spans="1:29" x14ac:dyDescent="0.25">
      <c r="A8" s="1"/>
      <c r="D8" s="2"/>
      <c r="G8" s="3"/>
      <c r="H8" s="3"/>
      <c r="I8" s="3">
        <f>IF($H8="","",H8-G8)</f>
      </c>
      <c r="J8" s="3">
        <f>IF($H8="","",I8*16.67%)</f>
      </c>
      <c r="K8" s="3"/>
      <c r="L8" s="3">
        <f>IF($H8="","",K8*20%)</f>
      </c>
      <c r="M8" s="3"/>
      <c r="N8" s="3">
        <f>IF($H8="","",M8*20%)</f>
      </c>
      <c r="O8" s="3">
        <v>1</v>
      </c>
      <c r="P8" s="3">
        <f>IF($H8="","",N8)</f>
      </c>
      <c r="Q8" s="3">
        <f>IF($H8="","",I8-J8-K8-M8-N8-O8)</f>
      </c>
      <c r="R8" s="3">
        <f>IF($H8="","",(Q8-Z8)/G8*100)</f>
      </c>
      <c r="S8" s="3">
        <f>IF($H8="","",J8-P8)</f>
      </c>
      <c r="AA8" s="3">
        <f>IF($H8="","",Q8-Z8)</f>
      </c>
    </row>
    <row r="9" spans="1:29" x14ac:dyDescent="0.25">
      <c r="A9" s="1"/>
      <c r="D9" s="2"/>
      <c r="G9" s="3"/>
      <c r="H9" s="3"/>
      <c r="I9" s="3">
        <f>IF($H9="","",H9-G9)</f>
      </c>
      <c r="J9" s="3">
        <f>IF($H9="","",I9*16.67%)</f>
      </c>
      <c r="K9" s="3"/>
      <c r="L9" s="3">
        <f>IF($H9="","",K9*20%)</f>
      </c>
      <c r="M9" s="3"/>
      <c r="N9" s="3">
        <f>IF($H9="","",M9*20%)</f>
      </c>
      <c r="O9" s="3">
        <v>1</v>
      </c>
      <c r="P9" s="3">
        <f>IF($H9="","",N9)</f>
      </c>
      <c r="Q9" s="3">
        <f>IF($H9="","",I9-J9-K9-M9-N9-O9)</f>
      </c>
      <c r="R9" s="3">
        <f>IF($H9="","",(Q9-Z9)/G9*100)</f>
      </c>
      <c r="S9" s="3">
        <f>IF($H9="","",J9-P9)</f>
      </c>
      <c r="AA9" s="3">
        <f>IF($H9="","",Q9-Z9)</f>
      </c>
    </row>
    <row r="10" spans="1:29" x14ac:dyDescent="0.25">
      <c r="A10" s="1"/>
      <c r="D10" s="2"/>
      <c r="G10" s="3"/>
      <c r="H10" s="3"/>
      <c r="I10" s="3">
        <f>IF($H10="","",H10-G10)</f>
      </c>
      <c r="J10" s="3">
        <f>IF($H10="","",I10*16.67%)</f>
      </c>
      <c r="K10" s="3"/>
      <c r="L10" s="3">
        <f>IF($H10="","",K10*20%)</f>
      </c>
      <c r="M10" s="3"/>
      <c r="N10" s="3">
        <f>IF($H10="","",M10*20%)</f>
      </c>
      <c r="O10" s="3">
        <v>1</v>
      </c>
      <c r="P10" s="3">
        <f>IF($H10="","",N10)</f>
      </c>
      <c r="Q10" s="3">
        <f>IF($H10="","",I10-J10-K10-M10-N10-O10)</f>
      </c>
      <c r="R10" s="3">
        <f>IF($H10="","",(Q10-Z10)/G10*100)</f>
      </c>
      <c r="S10" s="3">
        <f>IF($H10="","",J10-P10)</f>
      </c>
      <c r="AA10" s="3">
        <f>IF($H10="","",Q10-Z10)</f>
      </c>
    </row>
    <row r="11" spans="1:29" x14ac:dyDescent="0.25">
      <c r="A11" s="1"/>
      <c r="D11" s="2"/>
      <c r="G11" s="3"/>
      <c r="H11" s="3"/>
      <c r="I11" s="3">
        <f>IF($H11="","",H11-G11)</f>
      </c>
      <c r="J11" s="3">
        <f>IF($H11="","",I11*16.67%)</f>
      </c>
      <c r="K11" s="3"/>
      <c r="L11" s="3">
        <f>IF($H11="","",K11*20%)</f>
      </c>
      <c r="M11" s="3"/>
      <c r="N11" s="3">
        <f>IF($H11="","",M11*20%)</f>
      </c>
      <c r="O11" s="3">
        <v>1</v>
      </c>
      <c r="P11" s="3">
        <f>IF($H11="","",N11)</f>
      </c>
      <c r="Q11" s="3">
        <f>IF($H11="","",I11-J11-K11-M11-N11-O11)</f>
      </c>
      <c r="R11" s="3">
        <f>IF($H11="","",(Q11-Z11)/G11*100)</f>
      </c>
      <c r="S11" s="3">
        <f>IF($H11="","",J11-P11)</f>
      </c>
      <c r="AA11" s="3">
        <f>IF($H11="","",Q11-Z11)</f>
      </c>
    </row>
    <row r="12" spans="1:29" x14ac:dyDescent="0.25">
      <c r="A12" s="1"/>
      <c r="D12" s="2"/>
      <c r="G12" s="3"/>
      <c r="H12" s="3"/>
      <c r="I12" s="3">
        <f>IF($H12="","",H12-G12)</f>
      </c>
      <c r="J12" s="3">
        <f>IF($H12="","",I12*16.67%)</f>
      </c>
      <c r="K12" s="3"/>
      <c r="L12" s="3">
        <f>IF($H12="","",K12*20%)</f>
      </c>
      <c r="M12" s="3"/>
      <c r="N12" s="3">
        <f>IF($H12="","",M12*20%)</f>
      </c>
      <c r="O12" s="3">
        <v>1</v>
      </c>
      <c r="P12" s="3">
        <f>IF($H12="","",N12)</f>
      </c>
      <c r="Q12" s="3">
        <f>IF($H12="","",I12-J12-K12-M12-N12-O12)</f>
      </c>
      <c r="R12" s="3">
        <f>IF($H12="","",(Q12-Z12)/G12*100)</f>
      </c>
      <c r="S12" s="3">
        <f>IF($H12="","",J12-P12)</f>
      </c>
      <c r="AA12" s="3">
        <f>IF($H12="","",Q12-Z12)</f>
      </c>
    </row>
    <row r="13" spans="1:29" x14ac:dyDescent="0.25">
      <c r="A13" s="1"/>
      <c r="D13" s="2"/>
      <c r="G13" s="3"/>
      <c r="H13" s="3"/>
      <c r="I13" s="3">
        <f>IF($H13="","",H13-G13)</f>
      </c>
      <c r="J13" s="3">
        <f>IF($H13="","",I13*16.67%)</f>
      </c>
      <c r="K13" s="3"/>
      <c r="L13" s="3">
        <f>IF($H13="","",K13*20%)</f>
      </c>
      <c r="M13" s="3"/>
      <c r="N13" s="3">
        <f>IF($H13="","",M13*20%)</f>
      </c>
      <c r="O13" s="3">
        <v>1</v>
      </c>
      <c r="P13" s="3">
        <f>IF($H13="","",N13)</f>
      </c>
      <c r="Q13" s="3">
        <f>IF($H13="","",I13-J13-K13-M13-N13-O13)</f>
      </c>
      <c r="R13" s="3">
        <f>IF($H13="","",(Q13-Z13)/G13*100)</f>
      </c>
      <c r="S13" s="3">
        <f>IF($H13="","",J13-P13)</f>
      </c>
      <c r="AA13" s="3">
        <f>IF($H13="","",Q13-Z13)</f>
      </c>
    </row>
    <row r="14" spans="1:29" x14ac:dyDescent="0.25">
      <c r="A14" s="1"/>
      <c r="D14" s="2"/>
      <c r="G14" s="3"/>
      <c r="H14" s="3"/>
      <c r="I14" s="3">
        <f>IF($H14="","",H14-G14)</f>
      </c>
      <c r="J14" s="3">
        <f>IF($H14="","",I14*16.67%)</f>
      </c>
      <c r="K14" s="3"/>
      <c r="L14" s="3">
        <f>IF($H14="","",K14*20%)</f>
      </c>
      <c r="M14" s="3"/>
      <c r="N14" s="3">
        <f>IF($H14="","",M14*20%)</f>
      </c>
      <c r="O14" s="3">
        <v>1</v>
      </c>
      <c r="P14" s="3">
        <f>IF($H14="","",N14)</f>
      </c>
      <c r="Q14" s="3">
        <f>IF($H14="","",I14-J14-K14-M14-N14-O14)</f>
      </c>
      <c r="R14" s="3">
        <f>IF($H14="","",(Q14-Z14)/G14*100)</f>
      </c>
      <c r="S14" s="3">
        <f>IF($H14="","",J14-P14)</f>
      </c>
      <c r="AA14" s="3">
        <f>IF($H14="","",Q14-Z14)</f>
      </c>
    </row>
    <row r="15" spans="1:29" x14ac:dyDescent="0.25">
      <c r="A15" s="1"/>
      <c r="D15" s="2"/>
      <c r="G15" s="3"/>
      <c r="H15" s="3"/>
      <c r="I15" s="3">
        <f>IF($H15="","",H15-G15)</f>
      </c>
      <c r="J15" s="3">
        <f>IF($H15="","",I15*16.67%)</f>
      </c>
      <c r="K15" s="3"/>
      <c r="L15" s="3">
        <f>IF($H15="","",K15*20%)</f>
      </c>
      <c r="M15" s="3"/>
      <c r="N15" s="3">
        <f>IF($H15="","",M15*20%)</f>
      </c>
      <c r="O15" s="3">
        <v>1</v>
      </c>
      <c r="P15" s="3">
        <f>IF($H15="","",N15)</f>
      </c>
      <c r="Q15" s="3">
        <f>IF($H15="","",I15-J15-K15-M15-N15-O15)</f>
      </c>
      <c r="R15" s="3">
        <f>IF($H15="","",(Q15-Z15)/G15*100)</f>
      </c>
      <c r="S15" s="3">
        <f>IF($H15="","",J15-P15)</f>
      </c>
      <c r="AA15" s="3">
        <f>IF($H15="","",Q15-Z15)</f>
      </c>
    </row>
    <row r="16" spans="1:29" x14ac:dyDescent="0.25">
      <c r="A16" s="1"/>
      <c r="D16" s="2"/>
      <c r="G16" s="3"/>
      <c r="H16" s="3"/>
      <c r="I16" s="3">
        <f>IF($H16="","",H16-G16)</f>
      </c>
      <c r="J16" s="3">
        <f>IF($H16="","",I16*16.67%)</f>
      </c>
      <c r="K16" s="3"/>
      <c r="L16" s="3">
        <f>IF($H16="","",K16*20%)</f>
      </c>
      <c r="M16" s="3"/>
      <c r="N16" s="3">
        <f>IF($H16="","",M16*20%)</f>
      </c>
      <c r="O16" s="3">
        <v>1</v>
      </c>
      <c r="P16" s="3">
        <f>IF($H16="","",N16)</f>
      </c>
      <c r="Q16" s="3">
        <f>IF($H16="","",I16-J16-K16-M16-N16-O16)</f>
      </c>
      <c r="R16" s="3">
        <f>IF($H16="","",(Q16-Z16)/G16*100)</f>
      </c>
      <c r="S16" s="3">
        <f>IF($H16="","",J16-P16)</f>
      </c>
      <c r="AA16" s="3">
        <f>IF($H16="","",Q16-Z16)</f>
      </c>
    </row>
    <row r="17" spans="1:29" x14ac:dyDescent="0.25">
      <c r="A17" s="1"/>
      <c r="D17" s="2"/>
      <c r="G17" s="3"/>
      <c r="H17" s="3"/>
      <c r="I17" s="3">
        <f>IF($H17="","",H17-G17)</f>
      </c>
      <c r="J17" s="3">
        <f>IF($H17="","",I17*16.67%)</f>
      </c>
      <c r="K17" s="3"/>
      <c r="L17" s="3">
        <f>IF($H17="","",K17*20%)</f>
      </c>
      <c r="M17" s="3"/>
      <c r="N17" s="3">
        <f>IF($H17="","",M17*20%)</f>
      </c>
      <c r="O17" s="3">
        <v>1</v>
      </c>
      <c r="P17" s="3">
        <f>IF($H17="","",N17)</f>
      </c>
      <c r="Q17" s="3">
        <f>IF($H17="","",I17-J17-K17-M17-N17-O17)</f>
      </c>
      <c r="R17" s="3">
        <f>IF($H17="","",(Q17-Z17)/G17*100)</f>
      </c>
      <c r="S17" s="3">
        <f>IF($H17="","",J17-P17)</f>
      </c>
      <c r="AA17" s="3">
        <f>IF($H17="","",Q17-Z17)</f>
      </c>
    </row>
    <row r="18" spans="1:29" x14ac:dyDescent="0.25">
      <c r="A18" s="1"/>
      <c r="D18" s="2"/>
      <c r="G18" s="3"/>
      <c r="H18" s="3"/>
      <c r="I18" s="3">
        <f>IF($H18="","",H18-G18)</f>
      </c>
      <c r="J18" s="3">
        <f>IF($H18="","",I18*16.67%)</f>
      </c>
      <c r="K18" s="3"/>
      <c r="L18" s="3">
        <f>IF($H18="","",K18*20%)</f>
      </c>
      <c r="M18" s="3"/>
      <c r="N18" s="3">
        <f>IF($H18="","",M18*20%)</f>
      </c>
      <c r="O18" s="3">
        <v>1</v>
      </c>
      <c r="P18" s="3">
        <f>IF($H18="","",N18)</f>
      </c>
      <c r="Q18" s="3">
        <f>IF($H18="","",I18-J18-K18-M18-N18-O18)</f>
      </c>
      <c r="R18" s="3">
        <f>IF($H18="","",(Q18-Z18)/G18*100)</f>
      </c>
      <c r="S18" s="3">
        <f>IF($H18="","",J18-P18)</f>
      </c>
      <c r="AA18" s="3">
        <f>IF($H18="","",Q18-Z18)</f>
      </c>
    </row>
    <row r="19" spans="1:29" x14ac:dyDescent="0.25">
      <c r="A19" s="1"/>
      <c r="D19" s="2"/>
      <c r="G19" s="3"/>
      <c r="H19" s="3"/>
      <c r="I19" s="3">
        <f>IF($H19="","",H19-G19)</f>
      </c>
      <c r="J19" s="3">
        <f>IF($H19="","",I19*16.67%)</f>
      </c>
      <c r="K19" s="3"/>
      <c r="L19" s="3">
        <f>IF($H19="","",K19*20%)</f>
      </c>
      <c r="M19" s="3"/>
      <c r="N19" s="3">
        <f>IF($H19="","",M19*20%)</f>
      </c>
      <c r="O19" s="3">
        <v>1</v>
      </c>
      <c r="P19" s="3">
        <f>IF($H19="","",N19)</f>
      </c>
      <c r="Q19" s="3">
        <f>IF($H19="","",I19-J19-K19-M19-N19-O19)</f>
      </c>
      <c r="R19" s="3">
        <f>IF($H19="","",(Q19-Z19)/G19*100)</f>
      </c>
      <c r="S19" s="3">
        <f>IF($H19="","",J19-P19)</f>
      </c>
      <c r="AA19" s="3">
        <f>IF($H19="","",Q19-Z19)</f>
      </c>
    </row>
    <row r="20" spans="1:29" x14ac:dyDescent="0.25">
      <c r="A20" s="1"/>
      <c r="D20" s="2"/>
      <c r="G20" s="3"/>
      <c r="H20" s="3"/>
      <c r="I20" s="3">
        <f>IF($H20="","",H20-G20)</f>
      </c>
      <c r="J20" s="3">
        <f>IF($H20="","",I20*16.67%)</f>
      </c>
      <c r="K20" s="3"/>
      <c r="L20" s="3">
        <f>IF($H20="","",K20*20%)</f>
      </c>
      <c r="M20" s="3"/>
      <c r="N20" s="3">
        <f>IF($H20="","",M20*20%)</f>
      </c>
      <c r="O20" s="3">
        <v>1</v>
      </c>
      <c r="P20" s="3">
        <f>IF($H20="","",N20)</f>
      </c>
      <c r="Q20" s="3">
        <f>IF($H20="","",I20-J20-K20-M20-N20-O20)</f>
      </c>
      <c r="R20" s="3">
        <f>IF($H20="","",(Q20-Z20)/G20*100)</f>
      </c>
      <c r="S20" s="3">
        <f>IF($H20="","",J20-P20)</f>
      </c>
      <c r="AA20" s="3">
        <f>IF($H20="","",Q20-Z20)</f>
      </c>
    </row>
    <row r="21" spans="1:29" x14ac:dyDescent="0.25">
      <c r="A21" s="1"/>
      <c r="D21" s="2"/>
      <c r="G21" s="3"/>
      <c r="H21" s="3"/>
      <c r="I21" s="3">
        <f>IF($H21="","",H21-G21)</f>
      </c>
      <c r="J21" s="3">
        <f>IF($H21="","",I21*16.67%)</f>
      </c>
      <c r="K21" s="3"/>
      <c r="L21" s="3">
        <f>IF($H21="","",K21*20%)</f>
      </c>
      <c r="M21" s="3"/>
      <c r="N21" s="3">
        <f>IF($H21="","",M21*20%)</f>
      </c>
      <c r="O21" s="3">
        <v>1</v>
      </c>
      <c r="P21" s="3">
        <f>IF($H21="","",N21)</f>
      </c>
      <c r="Q21" s="3">
        <f>IF($H21="","",I21-J21-K21-M21-N21-O21)</f>
      </c>
      <c r="R21" s="3">
        <f>IF($H21="","",(Q21-Z21)/G21*100)</f>
      </c>
      <c r="S21" s="3">
        <f>IF($H21="","",J21-P21)</f>
      </c>
      <c r="AA21" s="3">
        <f>IF($H21="","",Q21-Z21)</f>
      </c>
    </row>
    <row r="22" spans="1:29" x14ac:dyDescent="0.25">
      <c r="A22" s="1"/>
      <c r="D22" s="2"/>
      <c r="G22" s="3"/>
      <c r="H22" s="3"/>
      <c r="I22" s="3">
        <f>IF($H22="","",H22-G22)</f>
      </c>
      <c r="J22" s="3">
        <f>IF($H22="","",I22*16.67%)</f>
      </c>
      <c r="K22" s="3"/>
      <c r="L22" s="3">
        <f>IF($H22="","",K22*20%)</f>
      </c>
      <c r="M22" s="3"/>
      <c r="N22" s="3">
        <f>IF($H22="","",M22*20%)</f>
      </c>
      <c r="O22" s="3">
        <v>1</v>
      </c>
      <c r="P22" s="3">
        <f>IF($H22="","",N22)</f>
      </c>
      <c r="Q22" s="3">
        <f>IF($H22="","",I22-J22-K22-M22-N22-O22)</f>
      </c>
      <c r="R22" s="3">
        <f>IF($H22="","",(Q22-Z22)/G22*100)</f>
      </c>
      <c r="S22" s="3">
        <f>IF($H22="","",J22-P22)</f>
      </c>
      <c r="AA22" s="3">
        <f>IF($H22="","",Q22-Z22)</f>
      </c>
    </row>
    <row r="23" spans="1:29" x14ac:dyDescent="0.25">
      <c r="A23" s="1"/>
      <c r="D23" s="2"/>
      <c r="G23" s="3"/>
      <c r="H23" s="3"/>
      <c r="I23" s="3">
        <f>IF($H23="","",H23-G23)</f>
      </c>
      <c r="J23" s="3">
        <f>IF($H23="","",I23*16.67%)</f>
      </c>
      <c r="K23" s="3"/>
      <c r="L23" s="3">
        <f>IF($H23="","",K23*20%)</f>
      </c>
      <c r="M23" s="3"/>
      <c r="N23" s="3">
        <f>IF($H23="","",M23*20%)</f>
      </c>
      <c r="O23" s="3">
        <v>1</v>
      </c>
      <c r="P23" s="3">
        <f>IF($H23="","",N23)</f>
      </c>
      <c r="Q23" s="3">
        <f>IF($H23="","",I23-J23-K23-M23-N23-O23)</f>
      </c>
      <c r="R23" s="3">
        <f>IF($H23="","",(Q23-Z23)/G23*100)</f>
      </c>
      <c r="S23" s="3">
        <f>IF($H23="","",J23-P23)</f>
      </c>
      <c r="AA23" s="3">
        <f>IF($H23="","",Q23-Z23)</f>
      </c>
    </row>
    <row r="24" spans="1:29" x14ac:dyDescent="0.25">
      <c r="A24" s="1"/>
      <c r="D24" s="2"/>
      <c r="G24" s="3"/>
      <c r="H24" s="3"/>
      <c r="I24" s="3">
        <f>IF($H24="","",H24-G24)</f>
      </c>
      <c r="J24" s="3">
        <f>IF($H24="","",I24*16.67%)</f>
      </c>
      <c r="K24" s="3"/>
      <c r="L24" s="3">
        <f>IF($H24="","",K24*20%)</f>
      </c>
      <c r="M24" s="3"/>
      <c r="N24" s="3">
        <f>IF($H24="","",M24*20%)</f>
      </c>
      <c r="O24" s="3">
        <v>1</v>
      </c>
      <c r="P24" s="3">
        <f>IF($H24="","",N24)</f>
      </c>
      <c r="Q24" s="3">
        <f>IF($H24="","",I24-J24-K24-M24-N24-O24)</f>
      </c>
      <c r="R24" s="3">
        <f>IF($H24="","",(Q24-Z24)/G24*100)</f>
      </c>
      <c r="S24" s="3">
        <f>IF($H24="","",J24-P24)</f>
      </c>
      <c r="AA24" s="3">
        <f>IF($H24="","",Q24-Z24)</f>
      </c>
    </row>
    <row r="25" spans="1:29" x14ac:dyDescent="0.25">
      <c r="A25" s="1"/>
      <c r="D25" s="2"/>
      <c r="G25" s="3"/>
      <c r="H25" s="3"/>
      <c r="I25" s="3">
        <f>IF($H25="","",H25-G25)</f>
      </c>
      <c r="J25" s="3">
        <f>IF($H25="","",I25*16.67%)</f>
      </c>
      <c r="K25" s="3"/>
      <c r="L25" s="3">
        <f>IF($H25="","",K25*20%)</f>
      </c>
      <c r="M25" s="3"/>
      <c r="N25" s="3">
        <f>IF($H25="","",M25*20%)</f>
      </c>
      <c r="O25" s="3">
        <v>1</v>
      </c>
      <c r="P25" s="3">
        <f>IF($H25="","",N25)</f>
      </c>
      <c r="Q25" s="3">
        <f>IF($H25="","",I25-J25-K25-M25-N25-O25)</f>
      </c>
      <c r="R25" s="3">
        <f>IF($H25="","",(Q25-Z25)/G25*100)</f>
      </c>
      <c r="S25" s="3">
        <f>IF($H25="","",J25-P25)</f>
      </c>
      <c r="AA25" s="3">
        <f>IF($H25="","",Q25-Z25)</f>
      </c>
    </row>
    <row r="26" spans="1:29" x14ac:dyDescent="0.25">
      <c r="A26" s="1"/>
      <c r="D26" s="2"/>
      <c r="G26" s="3"/>
      <c r="H26" s="3"/>
      <c r="I26" s="3">
        <f>IF($H26="","",H26-G26)</f>
      </c>
      <c r="J26" s="3">
        <f>IF($H26="","",I26*16.67%)</f>
      </c>
      <c r="K26" s="3"/>
      <c r="L26" s="3">
        <f>IF($H26="","",K26*20%)</f>
      </c>
      <c r="M26" s="3"/>
      <c r="N26" s="3">
        <f>IF($H26="","",M26*20%)</f>
      </c>
      <c r="O26" s="3">
        <v>1</v>
      </c>
      <c r="P26" s="3">
        <f>IF($H26="","",N26)</f>
      </c>
      <c r="Q26" s="3">
        <f>IF($H26="","",I26-J26-K26-M26-N26-O26)</f>
      </c>
      <c r="R26" s="3">
        <f>IF($H26="","",(Q26-Z26)/G26*100)</f>
      </c>
      <c r="S26" s="3">
        <f>IF($H26="","",J26-P26)</f>
      </c>
      <c r="AA26" s="3">
        <f>IF($H26="","",Q26-Z26)</f>
      </c>
    </row>
    <row r="27" spans="1:29" x14ac:dyDescent="0.25">
      <c r="A27" s="1"/>
      <c r="D27" s="2"/>
      <c r="G27" s="3"/>
      <c r="H27" s="3"/>
      <c r="I27" s="3">
        <f>IF($H27="","",H27-G27)</f>
      </c>
      <c r="J27" s="3">
        <f>IF($H27="","",I27*16.67%)</f>
      </c>
      <c r="K27" s="3"/>
      <c r="L27" s="3">
        <f>IF($H27="","",K27*20%)</f>
      </c>
      <c r="M27" s="3"/>
      <c r="N27" s="3">
        <f>IF($H27="","",M27*20%)</f>
      </c>
      <c r="O27" s="3">
        <v>1</v>
      </c>
      <c r="P27" s="3">
        <f>IF($H27="","",N27)</f>
      </c>
      <c r="Q27" s="3">
        <f>IF($H27="","",I27-J27-K27-M27-N27-O27)</f>
      </c>
      <c r="R27" s="3">
        <f>IF($H27="","",(Q27-Z27)/G27*100)</f>
      </c>
      <c r="S27" s="3">
        <f>IF($H27="","",J27-P27)</f>
      </c>
      <c r="AA27" s="3">
        <f>IF($H27="","",Q27-Z27)</f>
      </c>
    </row>
    <row r="28" spans="1:29" x14ac:dyDescent="0.25">
      <c r="A28" s="1"/>
      <c r="D28" s="2"/>
      <c r="G28" s="3"/>
      <c r="H28" s="3"/>
      <c r="I28" s="3">
        <f>IF($H28="","",H28-G28)</f>
      </c>
      <c r="J28" s="3">
        <f>IF($H28="","",I28*16.67%)</f>
      </c>
      <c r="K28" s="3"/>
      <c r="L28" s="3">
        <f>IF($H28="","",K28*20%)</f>
      </c>
      <c r="M28" s="3"/>
      <c r="N28" s="3">
        <f>IF($H28="","",M28*20%)</f>
      </c>
      <c r="O28" s="3">
        <v>1</v>
      </c>
      <c r="P28" s="3">
        <f>IF($H28="","",N28)</f>
      </c>
      <c r="Q28" s="3">
        <f>IF($H28="","",I28-J28-K28-M28-N28-O28)</f>
      </c>
      <c r="R28" s="3">
        <f>IF($H28="","",(Q28-Z28)/G28*100)</f>
      </c>
      <c r="S28" s="3">
        <f>IF($H28="","",J28-P28)</f>
      </c>
      <c r="AA28" s="3">
        <f>IF($H28="","",Q28-Z28)</f>
      </c>
    </row>
    <row r="29" spans="1:29" x14ac:dyDescent="0.25">
      <c r="A29" s="1"/>
      <c r="D29" s="2"/>
      <c r="G29" s="3"/>
      <c r="H29" s="3"/>
      <c r="I29" s="3">
        <f>IF($H29="","",H29-G29)</f>
      </c>
      <c r="J29" s="3">
        <f>IF($H29="","",I29*16.67%)</f>
      </c>
      <c r="K29" s="3"/>
      <c r="L29" s="3">
        <f>IF($H29="","",K29*20%)</f>
      </c>
      <c r="M29" s="3"/>
      <c r="N29" s="3">
        <f>IF($H29="","",M29*20%)</f>
      </c>
      <c r="O29" s="3">
        <v>1</v>
      </c>
      <c r="P29" s="3">
        <f>IF($H29="","",N29)</f>
      </c>
      <c r="Q29" s="3">
        <f>IF($H29="","",I29-J29-K29-M29-N29-O29)</f>
      </c>
      <c r="R29" s="3">
        <f>IF($H29="","",(Q29-Z29)/G29*100)</f>
      </c>
      <c r="S29" s="3">
        <f>IF($H29="","",J29-P29)</f>
      </c>
      <c r="AA29" s="3">
        <f>IF($H29="","",Q29-Z29)</f>
      </c>
    </row>
    <row r="30" spans="1:29" x14ac:dyDescent="0.25">
      <c r="A30" s="1"/>
      <c r="D30" s="2"/>
      <c r="G30" s="3"/>
      <c r="H30" s="3"/>
      <c r="I30" s="3">
        <f>IF($H30="","",H30-G30)</f>
      </c>
      <c r="J30" s="3">
        <f>IF($H30="","",I30*16.67%)</f>
      </c>
      <c r="K30" s="3"/>
      <c r="L30" s="3">
        <f>IF($H30="","",K30*20%)</f>
      </c>
      <c r="M30" s="3"/>
      <c r="N30" s="3">
        <f>IF($H30="","",M30*20%)</f>
      </c>
      <c r="O30" s="3">
        <v>1</v>
      </c>
      <c r="P30" s="3">
        <f>IF($H30="","",N30)</f>
      </c>
      <c r="Q30" s="3">
        <f>IF($H30="","",I30-J30-K30-M30-N30-O30)</f>
      </c>
      <c r="R30" s="3">
        <f>IF($H30="","",(Q30-Z30)/G30*100)</f>
      </c>
      <c r="S30" s="3">
        <f>IF($H30="","",J30-P30)</f>
      </c>
      <c r="AA30" s="3">
        <f>IF($H30="","",Q30-Z30)</f>
      </c>
    </row>
    <row r="31" spans="1:29" x14ac:dyDescent="0.25">
      <c r="A31" s="1"/>
      <c r="D31" s="2"/>
      <c r="G31" s="3"/>
      <c r="H31" s="3"/>
      <c r="I31" s="3">
        <f>IF($H31="","",H31-G31)</f>
      </c>
      <c r="J31" s="3">
        <f>IF($H31="","",I31*16.67%)</f>
      </c>
      <c r="K31" s="3"/>
      <c r="L31" s="3">
        <f>IF($H31="","",K31*20%)</f>
      </c>
      <c r="M31" s="3"/>
      <c r="N31" s="3">
        <f>IF($H31="","",M31*20%)</f>
      </c>
      <c r="O31" s="3">
        <v>1</v>
      </c>
      <c r="P31" s="3">
        <f>IF($H31="","",N31)</f>
      </c>
      <c r="Q31" s="3">
        <f>IF($H31="","",I31-J31-K31-M31-N31-O31)</f>
      </c>
      <c r="R31" s="3">
        <f>IF($H31="","",(Q31-Z31)/G31*100)</f>
      </c>
      <c r="S31" s="3">
        <f>IF($H31="","",J31-P31)</f>
      </c>
      <c r="AA31" s="3">
        <f>IF($H31="","",Q31-Z31)</f>
      </c>
    </row>
    <row r="32" spans="1:29" x14ac:dyDescent="0.25">
      <c r="A32" s="1"/>
      <c r="D32" s="2"/>
      <c r="G32" s="3"/>
      <c r="H32" s="3"/>
      <c r="I32" s="3">
        <f>IF($H32="","",H32-G32)</f>
      </c>
      <c r="J32" s="3">
        <f>IF($H32="","",I32*16.67%)</f>
      </c>
      <c r="K32" s="3"/>
      <c r="L32" s="3">
        <f>IF($H32="","",K32*20%)</f>
      </c>
      <c r="M32" s="3"/>
      <c r="N32" s="3">
        <f>IF($H32="","",M32*20%)</f>
      </c>
      <c r="O32" s="3">
        <v>1</v>
      </c>
      <c r="P32" s="3">
        <f>IF($H32="","",N32)</f>
      </c>
      <c r="Q32" s="3">
        <f>IF($H32="","",I32-J32-K32-M32-N32-O32)</f>
      </c>
      <c r="R32" s="3">
        <f>IF($H32="","",(Q32-Z32)/G32*100)</f>
      </c>
      <c r="S32" s="3">
        <f>IF($H32="","",J32-P32)</f>
      </c>
      <c r="AA32" s="3">
        <f>IF($H32="","",Q32-Z32)</f>
      </c>
    </row>
    <row r="33" spans="1:29" x14ac:dyDescent="0.25">
      <c r="A33" s="1"/>
      <c r="D33" s="2"/>
      <c r="G33" s="3"/>
      <c r="H33" s="3"/>
      <c r="I33" s="3">
        <f>IF($H33="","",H33-G33)</f>
      </c>
      <c r="J33" s="3">
        <f>IF($H33="","",I33*16.67%)</f>
      </c>
      <c r="K33" s="3"/>
      <c r="L33" s="3">
        <f>IF($H33="","",K33*20%)</f>
      </c>
      <c r="M33" s="3"/>
      <c r="N33" s="3">
        <f>IF($H33="","",M33*20%)</f>
      </c>
      <c r="O33" s="3">
        <v>1</v>
      </c>
      <c r="P33" s="3">
        <f>IF($H33="","",N33)</f>
      </c>
      <c r="Q33" s="3">
        <f>IF($H33="","",I33-J33-K33-M33-N33-O33)</f>
      </c>
      <c r="R33" s="3">
        <f>IF($H33="","",(Q33-Z33)/G33*100)</f>
      </c>
      <c r="S33" s="3">
        <f>IF($H33="","",J33-P33)</f>
      </c>
      <c r="AA33" s="3">
        <f>IF($H33="","",Q33-Z33)</f>
      </c>
    </row>
    <row r="34" spans="1:29" x14ac:dyDescent="0.25">
      <c r="A34" s="1"/>
      <c r="D34" s="2"/>
      <c r="G34" s="3"/>
      <c r="H34" s="3"/>
      <c r="I34" s="3">
        <f>IF($H34="","",H34-G34)</f>
      </c>
      <c r="J34" s="3">
        <f>IF($H34="","",I34*16.67%)</f>
      </c>
      <c r="K34" s="3"/>
      <c r="L34" s="3">
        <f>IF($H34="","",K34*20%)</f>
      </c>
      <c r="M34" s="3"/>
      <c r="N34" s="3">
        <f>IF($H34="","",M34*20%)</f>
      </c>
      <c r="O34" s="3">
        <v>1</v>
      </c>
      <c r="P34" s="3">
        <f>IF($H34="","",N34)</f>
      </c>
      <c r="Q34" s="3">
        <f>IF($H34="","",I34-J34-K34-M34-N34-O34)</f>
      </c>
      <c r="R34" s="3">
        <f>IF($H34="","",(Q34-Z34)/G34*100)</f>
      </c>
      <c r="S34" s="3">
        <f>IF($H34="","",J34-P34)</f>
      </c>
      <c r="AA34" s="3">
        <f>IF($H34="","",Q34-Z34)</f>
      </c>
    </row>
    <row r="35" spans="1:29" x14ac:dyDescent="0.25">
      <c r="A35" s="1"/>
      <c r="D35" s="2"/>
      <c r="G35" s="3"/>
      <c r="H35" s="3"/>
      <c r="I35" s="3">
        <f>IF($H35="","",H35-G35)</f>
      </c>
      <c r="J35" s="3">
        <f>IF($H35="","",I35*16.67%)</f>
      </c>
      <c r="K35" s="3"/>
      <c r="L35" s="3">
        <f>IF($H35="","",K35*20%)</f>
      </c>
      <c r="M35" s="3"/>
      <c r="N35" s="3">
        <f>IF($H35="","",M35*20%)</f>
      </c>
      <c r="O35" s="3">
        <v>1</v>
      </c>
      <c r="P35" s="3">
        <f>IF($H35="","",N35)</f>
      </c>
      <c r="Q35" s="3">
        <f>IF($H35="","",I35-J35-K35-M35-N35-O35)</f>
      </c>
      <c r="R35" s="3">
        <f>IF($H35="","",(Q35-Z35)/G35*100)</f>
      </c>
      <c r="S35" s="3">
        <f>IF($H35="","",J35-P35)</f>
      </c>
      <c r="AA35" s="3">
        <f>IF($H35="","",Q35-Z35)</f>
      </c>
    </row>
    <row r="36" spans="1:29" x14ac:dyDescent="0.25">
      <c r="A36" s="1"/>
      <c r="D36" s="2"/>
      <c r="G36" s="3"/>
      <c r="H36" s="3"/>
      <c r="I36" s="3">
        <f>IF($H36="","",H36-G36)</f>
      </c>
      <c r="J36" s="3">
        <f>IF($H36="","",I36*16.67%)</f>
      </c>
      <c r="K36" s="3"/>
      <c r="L36" s="3">
        <f>IF($H36="","",K36*20%)</f>
      </c>
      <c r="M36" s="3"/>
      <c r="N36" s="3">
        <f>IF($H36="","",M36*20%)</f>
      </c>
      <c r="O36" s="3">
        <v>1</v>
      </c>
      <c r="P36" s="3">
        <f>IF($H36="","",N36)</f>
      </c>
      <c r="Q36" s="3">
        <f>IF($H36="","",I36-J36-K36-M36-N36-O36)</f>
      </c>
      <c r="R36" s="3">
        <f>IF($H36="","",(Q36-Z36)/G36*100)</f>
      </c>
      <c r="S36" s="3">
        <f>IF($H36="","",J36-P36)</f>
      </c>
      <c r="AA36" s="3">
        <f>IF($H36="","",Q36-Z36)</f>
      </c>
    </row>
    <row r="37" spans="1:29" x14ac:dyDescent="0.25">
      <c r="A37" s="1"/>
      <c r="D37" s="2"/>
      <c r="G37" s="3"/>
      <c r="H37" s="3"/>
      <c r="I37" s="3">
        <f>IF($H37="","",H37-G37)</f>
      </c>
      <c r="J37" s="3">
        <f>IF($H37="","",I37*16.67%)</f>
      </c>
      <c r="K37" s="3"/>
      <c r="L37" s="3">
        <f>IF($H37="","",K37*20%)</f>
      </c>
      <c r="M37" s="3"/>
      <c r="N37" s="3">
        <f>IF($H37="","",M37*20%)</f>
      </c>
      <c r="O37" s="3">
        <v>1</v>
      </c>
      <c r="P37" s="3">
        <f>IF($H37="","",N37)</f>
      </c>
      <c r="Q37" s="3">
        <f>IF($H37="","",I37-J37-K37-M37-N37-O37)</f>
      </c>
      <c r="R37" s="3">
        <f>IF($H37="","",(Q37-Z37)/G37*100)</f>
      </c>
      <c r="S37" s="3">
        <f>IF($H37="","",J37-P37)</f>
      </c>
      <c r="AA37" s="3">
        <f>IF($H37="","",Q37-Z37)</f>
      </c>
    </row>
    <row r="38" spans="1:29" x14ac:dyDescent="0.25">
      <c r="A38" s="1"/>
      <c r="D38" s="2"/>
      <c r="G38" s="3"/>
      <c r="H38" s="3"/>
      <c r="I38" s="3">
        <f>IF($H38="","",H38-G38)</f>
      </c>
      <c r="J38" s="3">
        <f>IF($H38="","",I38*16.67%)</f>
      </c>
      <c r="K38" s="3"/>
      <c r="L38" s="3">
        <f>IF($H38="","",K38*20%)</f>
      </c>
      <c r="M38" s="3"/>
      <c r="N38" s="3">
        <f>IF($H38="","",M38*20%)</f>
      </c>
      <c r="O38" s="3">
        <v>1</v>
      </c>
      <c r="P38" s="3">
        <f>IF($H38="","",N38)</f>
      </c>
      <c r="Q38" s="3">
        <f>IF($H38="","",I38-J38-K38-M38-N38-O38)</f>
      </c>
      <c r="R38" s="3">
        <f>IF($H38="","",(Q38-Z38)/G38*100)</f>
      </c>
      <c r="S38" s="3">
        <f>IF($H38="","",J38-P38)</f>
      </c>
      <c r="AA38" s="3">
        <f>IF($H38="","",Q38-Z38)</f>
      </c>
    </row>
    <row r="39" spans="1:29" x14ac:dyDescent="0.25">
      <c r="A39" s="1"/>
      <c r="D39" s="2"/>
      <c r="G39" s="3"/>
      <c r="H39" s="3"/>
      <c r="I39" s="3">
        <f>IF($H39="","",H39-G39)</f>
      </c>
      <c r="J39" s="3">
        <f>IF($H39="","",I39*16.67%)</f>
      </c>
      <c r="K39" s="3"/>
      <c r="L39" s="3">
        <f>IF($H39="","",K39*20%)</f>
      </c>
      <c r="M39" s="3"/>
      <c r="N39" s="3">
        <f>IF($H39="","",M39*20%)</f>
      </c>
      <c r="O39" s="3">
        <v>1</v>
      </c>
      <c r="P39" s="3">
        <f>IF($H39="","",N39)</f>
      </c>
      <c r="Q39" s="3">
        <f>IF($H39="","",I39-J39-K39-M39-N39-O39)</f>
      </c>
      <c r="R39" s="3">
        <f>IF($H39="","",(Q39-Z39)/G39*100)</f>
      </c>
      <c r="S39" s="3">
        <f>IF($H39="","",J39-P39)</f>
      </c>
      <c r="AA39" s="3">
        <f>IF($H39="","",Q39-Z39)</f>
      </c>
    </row>
    <row r="40" spans="1:29" x14ac:dyDescent="0.25">
      <c r="A40" s="1"/>
      <c r="D40" s="2"/>
      <c r="G40" s="3"/>
      <c r="H40" s="3"/>
      <c r="I40" s="3">
        <f>IF($H40="","",H40-G40)</f>
      </c>
      <c r="J40" s="3">
        <f>IF($H40="","",I40*16.67%)</f>
      </c>
      <c r="K40" s="3"/>
      <c r="L40" s="3">
        <f>IF($H40="","",K40*20%)</f>
      </c>
      <c r="M40" s="3"/>
      <c r="N40" s="3">
        <f>IF($H40="","",M40*20%)</f>
      </c>
      <c r="O40" s="3">
        <v>1</v>
      </c>
      <c r="P40" s="3">
        <f>IF($H40="","",N40)</f>
      </c>
      <c r="Q40" s="3">
        <f>IF($H40="","",I40-J40-K40-M40-N40-O40)</f>
      </c>
      <c r="R40" s="3">
        <f>IF($H40="","",(Q40-Z40)/G40*100)</f>
      </c>
      <c r="S40" s="3">
        <f>IF($H40="","",J40-P40)</f>
      </c>
      <c r="AA40" s="3">
        <f>IF($H40="","",Q40-Z40)</f>
      </c>
    </row>
    <row r="41" spans="1:29" x14ac:dyDescent="0.25">
      <c r="A41" s="1"/>
      <c r="D41" s="2"/>
      <c r="G41" s="3"/>
      <c r="H41" s="3"/>
      <c r="I41" s="3">
        <f>IF($H41="","",H41-G41)</f>
      </c>
      <c r="J41" s="3">
        <f>IF($H41="","",I41*16.67%)</f>
      </c>
      <c r="K41" s="3"/>
      <c r="L41" s="3">
        <f>IF($H41="","",K41*20%)</f>
      </c>
      <c r="M41" s="3"/>
      <c r="N41" s="3">
        <f>IF($H41="","",M41*20%)</f>
      </c>
      <c r="O41" s="3">
        <v>1</v>
      </c>
      <c r="P41" s="3">
        <f>IF($H41="","",N41)</f>
      </c>
      <c r="Q41" s="3">
        <f>IF($H41="","",I41-J41-K41-M41-N41-O41)</f>
      </c>
      <c r="R41" s="3">
        <f>IF($H41="","",(Q41-Z41)/G41*100)</f>
      </c>
      <c r="S41" s="3">
        <f>IF($H41="","",J41-P41)</f>
      </c>
      <c r="AA41" s="3">
        <f>IF($H41="","",Q41-Z41)</f>
      </c>
    </row>
    <row r="42" spans="1:29" x14ac:dyDescent="0.25">
      <c r="A42" s="1"/>
      <c r="D42" s="2"/>
      <c r="G42" s="3"/>
      <c r="H42" s="3"/>
      <c r="I42" s="3">
        <f>IF($H42="","",H42-G42)</f>
      </c>
      <c r="J42" s="3">
        <f>IF($H42="","",I42*16.67%)</f>
      </c>
      <c r="K42" s="3"/>
      <c r="L42" s="3">
        <f>IF($H42="","",K42*20%)</f>
      </c>
      <c r="M42" s="3"/>
      <c r="N42" s="3">
        <f>IF($H42="","",M42*20%)</f>
      </c>
      <c r="O42" s="3">
        <v>1</v>
      </c>
      <c r="P42" s="3">
        <f>IF($H42="","",N42)</f>
      </c>
      <c r="Q42" s="3">
        <f>IF($H42="","",I42-J42-K42-M42-N42-O42)</f>
      </c>
      <c r="R42" s="3">
        <f>IF($H42="","",(Q42-Z42)/G42*100)</f>
      </c>
      <c r="S42" s="3">
        <f>IF($H42="","",J42-P42)</f>
      </c>
      <c r="AA42" s="3">
        <f>IF($H42="","",Q42-Z42)</f>
      </c>
    </row>
    <row r="43" spans="1:29" x14ac:dyDescent="0.25">
      <c r="A43" s="1"/>
      <c r="D43" s="2"/>
      <c r="G43" s="3"/>
      <c r="H43" s="3"/>
      <c r="I43" s="3">
        <f>IF($H43="","",H43-G43)</f>
      </c>
      <c r="J43" s="3">
        <f>IF($H43="","",I43*16.67%)</f>
      </c>
      <c r="K43" s="3"/>
      <c r="L43" s="3">
        <f>IF($H43="","",K43*20%)</f>
      </c>
      <c r="M43" s="3"/>
      <c r="N43" s="3">
        <f>IF($H43="","",M43*20%)</f>
      </c>
      <c r="O43" s="3">
        <v>1</v>
      </c>
      <c r="P43" s="3">
        <f>IF($H43="","",N43)</f>
      </c>
      <c r="Q43" s="3">
        <f>IF($H43="","",I43-J43-K43-M43-N43-O43)</f>
      </c>
      <c r="R43" s="3">
        <f>IF($H43="","",(Q43-Z43)/G43*100)</f>
      </c>
      <c r="S43" s="3">
        <f>IF($H43="","",J43-P43)</f>
      </c>
      <c r="AA43" s="3">
        <f>IF($H43="","",Q43-Z43)</f>
      </c>
    </row>
    <row r="44" spans="1:29" x14ac:dyDescent="0.25">
      <c r="A44" s="1"/>
      <c r="D44" s="2"/>
      <c r="G44" s="3"/>
      <c r="H44" s="3"/>
      <c r="I44" s="3">
        <f>IF($H44="","",H44-G44)</f>
      </c>
      <c r="J44" s="3">
        <f>IF($H44="","",I44*16.67%)</f>
      </c>
      <c r="K44" s="3"/>
      <c r="L44" s="3">
        <f>IF($H44="","",K44*20%)</f>
      </c>
      <c r="M44" s="3"/>
      <c r="N44" s="3">
        <f>IF($H44="","",M44*20%)</f>
      </c>
      <c r="O44" s="3">
        <v>1</v>
      </c>
      <c r="P44" s="3">
        <f>IF($H44="","",N44)</f>
      </c>
      <c r="Q44" s="3">
        <f>IF($H44="","",I44-J44-K44-M44-N44-O44)</f>
      </c>
      <c r="R44" s="3">
        <f>IF($H44="","",(Q44-Z44)/G44*100)</f>
      </c>
      <c r="S44" s="3">
        <f>IF($H44="","",J44-P44)</f>
      </c>
      <c r="AA44" s="3">
        <f>IF($H44="","",Q44-Z44)</f>
      </c>
    </row>
    <row r="45" spans="1:29" x14ac:dyDescent="0.25">
      <c r="A45" s="1"/>
      <c r="D45" s="2"/>
      <c r="G45" s="3"/>
      <c r="H45" s="3"/>
      <c r="I45" s="3">
        <f>IF($H45="","",H45-G45)</f>
      </c>
      <c r="J45" s="3">
        <f>IF($H45="","",I45*16.67%)</f>
      </c>
      <c r="K45" s="3"/>
      <c r="L45" s="3">
        <f>IF($H45="","",K45*20%)</f>
      </c>
      <c r="M45" s="3"/>
      <c r="N45" s="3">
        <f>IF($H45="","",M45*20%)</f>
      </c>
      <c r="O45" s="3">
        <v>1</v>
      </c>
      <c r="P45" s="3">
        <f>IF($H45="","",N45)</f>
      </c>
      <c r="Q45" s="3">
        <f>IF($H45="","",I45-J45-K45-M45-N45-O45)</f>
      </c>
      <c r="R45" s="3">
        <f>IF($H45="","",(Q45-Z45)/G45*100)</f>
      </c>
      <c r="S45" s="3">
        <f>IF($H45="","",J45-P45)</f>
      </c>
      <c r="AA45" s="3">
        <f>IF($H45="","",Q45-Z45)</f>
      </c>
    </row>
    <row r="46" spans="1:29" x14ac:dyDescent="0.25">
      <c r="A46" s="1"/>
      <c r="D46" s="2"/>
      <c r="G46" s="3"/>
      <c r="H46" s="3"/>
      <c r="I46" s="3">
        <f>IF($H46="","",H46-G46)</f>
      </c>
      <c r="J46" s="3">
        <f>IF($H46="","",I46*16.67%)</f>
      </c>
      <c r="K46" s="3"/>
      <c r="L46" s="3">
        <f>IF($H46="","",K46*20%)</f>
      </c>
      <c r="M46" s="3"/>
      <c r="N46" s="3">
        <f>IF($H46="","",M46*20%)</f>
      </c>
      <c r="O46" s="3">
        <v>1</v>
      </c>
      <c r="P46" s="3">
        <f>IF($H46="","",N46)</f>
      </c>
      <c r="Q46" s="3">
        <f>IF($H46="","",I46-J46-K46-M46-N46-O46)</f>
      </c>
      <c r="R46" s="3">
        <f>IF($H46="","",(Q46-Z46)/G46*100)</f>
      </c>
      <c r="S46" s="3">
        <f>IF($H46="","",J46-P46)</f>
      </c>
      <c r="AA46" s="3">
        <f>IF($H46="","",Q46-Z46)</f>
      </c>
    </row>
    <row r="47" spans="1:29" x14ac:dyDescent="0.25">
      <c r="A47" s="1"/>
      <c r="D47" s="2"/>
      <c r="G47" s="3"/>
      <c r="H47" s="3"/>
      <c r="I47" s="3">
        <f>IF($H47="","",H47-G47)</f>
      </c>
      <c r="J47" s="3">
        <f>IF($H47="","",I47*16.67%)</f>
      </c>
      <c r="K47" s="3"/>
      <c r="L47" s="3">
        <f>IF($H47="","",K47*20%)</f>
      </c>
      <c r="M47" s="3"/>
      <c r="N47" s="3">
        <f>IF($H47="","",M47*20%)</f>
      </c>
      <c r="O47" s="3">
        <v>1</v>
      </c>
      <c r="P47" s="3">
        <f>IF($H47="","",N47)</f>
      </c>
      <c r="Q47" s="3">
        <f>IF($H47="","",I47-J47-K47-M47-N47-O47)</f>
      </c>
      <c r="R47" s="3">
        <f>IF($H47="","",(Q47-Z47)/G47*100)</f>
      </c>
      <c r="S47" s="3">
        <f>IF($H47="","",J47-P47)</f>
      </c>
      <c r="AA47" s="3">
        <f>IF($H47="","",Q47-Z47)</f>
      </c>
    </row>
    <row r="48" spans="1:29" x14ac:dyDescent="0.25">
      <c r="A48" s="1"/>
      <c r="D48" s="2"/>
      <c r="G48" s="3"/>
      <c r="H48" s="3"/>
      <c r="I48" s="3">
        <f>IF($H48="","",H48-G48)</f>
      </c>
      <c r="J48" s="3">
        <f>IF($H48="","",I48*16.67%)</f>
      </c>
      <c r="K48" s="3"/>
      <c r="L48" s="3">
        <f>IF($H48="","",K48*20%)</f>
      </c>
      <c r="M48" s="3"/>
      <c r="N48" s="3">
        <f>IF($H48="","",M48*20%)</f>
      </c>
      <c r="O48" s="3">
        <v>1</v>
      </c>
      <c r="P48" s="3">
        <f>IF($H48="","",N48)</f>
      </c>
      <c r="Q48" s="3">
        <f>IF($H48="","",I48-J48-K48-M48-N48-O48)</f>
      </c>
      <c r="R48" s="3">
        <f>IF($H48="","",(Q48-Z48)/G48*100)</f>
      </c>
      <c r="S48" s="3">
        <f>IF($H48="","",J48-P48)</f>
      </c>
      <c r="AA48" s="3">
        <f>IF($H48="","",Q48-Z48)</f>
      </c>
    </row>
    <row r="49" spans="1:29" x14ac:dyDescent="0.25">
      <c r="A49" s="1"/>
      <c r="D49" s="2"/>
      <c r="G49" s="3"/>
      <c r="H49" s="3"/>
      <c r="I49" s="3">
        <f>IF($H49="","",H49-G49)</f>
      </c>
      <c r="J49" s="3">
        <f>IF($H49="","",I49*16.67%)</f>
      </c>
      <c r="K49" s="3"/>
      <c r="L49" s="3">
        <f>IF($H49="","",K49*20%)</f>
      </c>
      <c r="M49" s="3"/>
      <c r="N49" s="3">
        <f>IF($H49="","",M49*20%)</f>
      </c>
      <c r="O49" s="3">
        <v>1</v>
      </c>
      <c r="P49" s="3">
        <f>IF($H49="","",N49)</f>
      </c>
      <c r="Q49" s="3">
        <f>IF($H49="","",I49-J49-K49-M49-N49-O49)</f>
      </c>
      <c r="R49" s="3">
        <f>IF($H49="","",(Q49-Z49)/G49*100)</f>
      </c>
      <c r="S49" s="3">
        <f>IF($H49="","",J49-P49)</f>
      </c>
      <c r="AA49" s="3">
        <f>IF($H49="","",Q49-Z49)</f>
      </c>
    </row>
    <row r="50" spans="1:29" x14ac:dyDescent="0.25">
      <c r="A50" s="1"/>
      <c r="D50" s="2"/>
      <c r="G50" s="3"/>
      <c r="H50" s="3"/>
      <c r="I50" s="3">
        <f>IF($H50="","",H50-G50)</f>
      </c>
      <c r="J50" s="3">
        <f>IF($H50="","",I50*16.67%)</f>
      </c>
      <c r="K50" s="3"/>
      <c r="L50" s="3">
        <f>IF($H50="","",K50*20%)</f>
      </c>
      <c r="M50" s="3"/>
      <c r="N50" s="3">
        <f>IF($H50="","",M50*20%)</f>
      </c>
      <c r="O50" s="3">
        <v>1</v>
      </c>
      <c r="P50" s="3">
        <f>IF($H50="","",N50)</f>
      </c>
      <c r="Q50" s="3">
        <f>IF($H50="","",I50-J50-K50-M50-N50-O50)</f>
      </c>
      <c r="R50" s="3">
        <f>IF($H50="","",(Q50-Z50)/G50*100)</f>
      </c>
      <c r="S50" s="3">
        <f>IF($H50="","",J50-P50)</f>
      </c>
      <c r="AA50" s="3">
        <f>IF($H50="","",Q50-Z50)</f>
      </c>
    </row>
    <row r="51" spans="1:29" x14ac:dyDescent="0.25">
      <c r="A51" s="1"/>
      <c r="D51" s="2"/>
      <c r="G51" s="3"/>
      <c r="H51" s="3"/>
      <c r="I51" s="3">
        <f>IF($H51="","",H51-G51)</f>
      </c>
      <c r="J51" s="3">
        <f>IF($H51="","",I51*16.67%)</f>
      </c>
      <c r="K51" s="3"/>
      <c r="L51" s="3">
        <f>IF($H51="","",K51*20%)</f>
      </c>
      <c r="M51" s="3"/>
      <c r="N51" s="3">
        <f>IF($H51="","",M51*20%)</f>
      </c>
      <c r="O51" s="3">
        <v>1</v>
      </c>
      <c r="P51" s="3">
        <f>IF($H51="","",N51)</f>
      </c>
      <c r="Q51" s="3">
        <f>IF($H51="","",I51-J51-K51-M51-N51-O51)</f>
      </c>
      <c r="R51" s="3">
        <f>IF($H51="","",(Q51-Z51)/G51*100)</f>
      </c>
      <c r="S51" s="3">
        <f>IF($H51="","",J51-P51)</f>
      </c>
      <c r="AA51" s="3">
        <f>IF($H51="","",Q51-Z51)</f>
      </c>
    </row>
    <row r="52" spans="1:29" x14ac:dyDescent="0.25">
      <c r="A52" s="1"/>
      <c r="D52" s="2"/>
      <c r="G52" s="3"/>
      <c r="H52" s="3"/>
      <c r="I52" s="3">
        <f>IF($H52="","",H52-G52)</f>
      </c>
      <c r="J52" s="3">
        <f>IF($H52="","",I52*16.67%)</f>
      </c>
      <c r="K52" s="3"/>
      <c r="L52" s="3">
        <f>IF($H52="","",K52*20%)</f>
      </c>
      <c r="M52" s="3"/>
      <c r="N52" s="3">
        <f>IF($H52="","",M52*20%)</f>
      </c>
      <c r="O52" s="3">
        <v>1</v>
      </c>
      <c r="P52" s="3">
        <f>IF($H52="","",N52)</f>
      </c>
      <c r="Q52" s="3">
        <f>IF($H52="","",I52-J52-K52-M52-N52-O52)</f>
      </c>
      <c r="R52" s="3">
        <f>IF($H52="","",(Q52-Z52)/G52*100)</f>
      </c>
      <c r="S52" s="3">
        <f>IF($H52="","",J52-P52)</f>
      </c>
      <c r="AA52" s="3">
        <f>IF($H52="","",Q52-Z52)</f>
      </c>
    </row>
    <row r="53" spans="1:29" x14ac:dyDescent="0.25">
      <c r="A53" s="1"/>
      <c r="D53" s="2"/>
      <c r="G53" s="3"/>
      <c r="H53" s="3"/>
      <c r="I53" s="3">
        <f>IF($H53="","",H53-G53)</f>
      </c>
      <c r="J53" s="3">
        <f>IF($H53="","",I53*16.67%)</f>
      </c>
      <c r="K53" s="3"/>
      <c r="L53" s="3">
        <f>IF($H53="","",K53*20%)</f>
      </c>
      <c r="M53" s="3"/>
      <c r="N53" s="3">
        <f>IF($H53="","",M53*20%)</f>
      </c>
      <c r="O53" s="3">
        <v>1</v>
      </c>
      <c r="P53" s="3">
        <f>IF($H53="","",N53)</f>
      </c>
      <c r="Q53" s="3">
        <f>IF($H53="","",I53-J53-K53-M53-N53-O53)</f>
      </c>
      <c r="R53" s="3">
        <f>IF($H53="","",(Q53-Z53)/G53*100)</f>
      </c>
      <c r="S53" s="3">
        <f>IF($H53="","",J53-P53)</f>
      </c>
      <c r="AA53" s="3">
        <f>IF($H53="","",Q53-Z53)</f>
      </c>
    </row>
    <row r="54" spans="1:29" x14ac:dyDescent="0.25">
      <c r="A54" s="1"/>
      <c r="D54" s="2"/>
      <c r="G54" s="3"/>
      <c r="H54" s="3"/>
      <c r="I54" s="3">
        <f>IF($H54="","",H54-G54)</f>
      </c>
      <c r="J54" s="3">
        <f>IF($H54="","",I54*16.67%)</f>
      </c>
      <c r="K54" s="3"/>
      <c r="L54" s="3">
        <f>IF($H54="","",K54*20%)</f>
      </c>
      <c r="M54" s="3"/>
      <c r="N54" s="3">
        <f>IF($H54="","",M54*20%)</f>
      </c>
      <c r="O54" s="3">
        <v>1</v>
      </c>
      <c r="P54" s="3">
        <f>IF($H54="","",N54)</f>
      </c>
      <c r="Q54" s="3">
        <f>IF($H54="","",I54-J54-K54-M54-N54-O54)</f>
      </c>
      <c r="R54" s="3">
        <f>IF($H54="","",(Q54-Z54)/G54*100)</f>
      </c>
      <c r="S54" s="3">
        <f>IF($H54="","",J54-P54)</f>
      </c>
      <c r="AA54" s="3">
        <f>IF($H54="","",Q54-Z54)</f>
      </c>
    </row>
    <row r="55" spans="1:29" x14ac:dyDescent="0.25">
      <c r="A55" s="1"/>
      <c r="D55" s="2"/>
      <c r="G55" s="3"/>
      <c r="H55" s="3"/>
      <c r="I55" s="3">
        <f>IF($H55="","",H55-G55)</f>
      </c>
      <c r="J55" s="3">
        <f>IF($H55="","",I55*16.67%)</f>
      </c>
      <c r="K55" s="3"/>
      <c r="L55" s="3">
        <f>IF($H55="","",K55*20%)</f>
      </c>
      <c r="M55" s="3"/>
      <c r="N55" s="3">
        <f>IF($H55="","",M55*20%)</f>
      </c>
      <c r="O55" s="3">
        <v>1</v>
      </c>
      <c r="P55" s="3">
        <f>IF($H55="","",N55)</f>
      </c>
      <c r="Q55" s="3">
        <f>IF($H55="","",I55-J55-K55-M55-N55-O55)</f>
      </c>
      <c r="R55" s="3">
        <f>IF($H55="","",(Q55-Z55)/G55*100)</f>
      </c>
      <c r="S55" s="3">
        <f>IF($H55="","",J55-P55)</f>
      </c>
      <c r="AA55" s="3">
        <f>IF($H55="","",Q55-Z55)</f>
      </c>
    </row>
    <row r="56" spans="1:29" x14ac:dyDescent="0.25">
      <c r="A56" s="1"/>
      <c r="D56" s="2"/>
      <c r="G56" s="3"/>
      <c r="H56" s="3"/>
      <c r="I56" s="3">
        <f>IF($H56="","",H56-G56)</f>
      </c>
      <c r="J56" s="3">
        <f>IF($H56="","",I56*16.67%)</f>
      </c>
      <c r="K56" s="3"/>
      <c r="L56" s="3">
        <f>IF($H56="","",K56*20%)</f>
      </c>
      <c r="M56" s="3"/>
      <c r="N56" s="3">
        <f>IF($H56="","",M56*20%)</f>
      </c>
      <c r="O56" s="3">
        <v>1</v>
      </c>
      <c r="P56" s="3">
        <f>IF($H56="","",N56)</f>
      </c>
      <c r="Q56" s="3">
        <f>IF($H56="","",I56-J56-K56-M56-N56-O56)</f>
      </c>
      <c r="R56" s="3">
        <f>IF($H56="","",(Q56-Z56)/G56*100)</f>
      </c>
      <c r="S56" s="3">
        <f>IF($H56="","",J56-P56)</f>
      </c>
      <c r="AA56" s="3">
        <f>IF($H56="","",Q56-Z56)</f>
      </c>
    </row>
    <row r="57" spans="1:29" x14ac:dyDescent="0.25">
      <c r="A57" s="1"/>
      <c r="D57" s="2"/>
      <c r="G57" s="3"/>
      <c r="H57" s="3"/>
      <c r="I57" s="3">
        <f>IF($H57="","",H57-G57)</f>
      </c>
      <c r="J57" s="3">
        <f>IF($H57="","",I57*16.67%)</f>
      </c>
      <c r="K57" s="3"/>
      <c r="L57" s="3">
        <f>IF($H57="","",K57*20%)</f>
      </c>
      <c r="M57" s="3"/>
      <c r="N57" s="3">
        <f>IF($H57="","",M57*20%)</f>
      </c>
      <c r="O57" s="3">
        <v>1</v>
      </c>
      <c r="P57" s="3">
        <f>IF($H57="","",N57)</f>
      </c>
      <c r="Q57" s="3">
        <f>IF($H57="","",I57-J57-K57-M57-N57-O57)</f>
      </c>
      <c r="R57" s="3">
        <f>IF($H57="","",(Q57-Z57)/G57*100)</f>
      </c>
      <c r="S57" s="3">
        <f>IF($H57="","",J57-P57)</f>
      </c>
      <c r="AA57" s="3">
        <f>IF($H57="","",Q57-Z57)</f>
      </c>
    </row>
    <row r="58" spans="1:29" x14ac:dyDescent="0.25">
      <c r="A58" s="1"/>
      <c r="D58" s="2"/>
      <c r="G58" s="3"/>
      <c r="H58" s="3"/>
      <c r="I58" s="3">
        <f>IF($H58="","",H58-G58)</f>
      </c>
      <c r="J58" s="3">
        <f>IF($H58="","",I58*16.67%)</f>
      </c>
      <c r="K58" s="3"/>
      <c r="L58" s="3">
        <f>IF($H58="","",K58*20%)</f>
      </c>
      <c r="M58" s="3"/>
      <c r="N58" s="3">
        <f>IF($H58="","",M58*20%)</f>
      </c>
      <c r="O58" s="3">
        <v>1</v>
      </c>
      <c r="P58" s="3">
        <f>IF($H58="","",N58)</f>
      </c>
      <c r="Q58" s="3">
        <f>IF($H58="","",I58-J58-K58-M58-N58-O58)</f>
      </c>
      <c r="R58" s="3">
        <f>IF($H58="","",(Q58-Z58)/G58*100)</f>
      </c>
      <c r="S58" s="3">
        <f>IF($H58="","",J58-P58)</f>
      </c>
      <c r="AA58" s="3">
        <f>IF($H58="","",Q58-Z58)</f>
      </c>
    </row>
    <row r="59" spans="1:29" x14ac:dyDescent="0.25">
      <c r="A59" s="1"/>
      <c r="D59" s="2"/>
      <c r="G59" s="3"/>
      <c r="H59" s="3"/>
      <c r="I59" s="3">
        <f>IF($H59="","",H59-G59)</f>
      </c>
      <c r="J59" s="3">
        <f>IF($H59="","",I59*16.67%)</f>
      </c>
      <c r="K59" s="3"/>
      <c r="L59" s="3">
        <f>IF($H59="","",K59*20%)</f>
      </c>
      <c r="M59" s="3"/>
      <c r="N59" s="3">
        <f>IF($H59="","",M59*20%)</f>
      </c>
      <c r="O59" s="3">
        <v>1</v>
      </c>
      <c r="P59" s="3">
        <f>IF($H59="","",N59)</f>
      </c>
      <c r="Q59" s="3">
        <f>IF($H59="","",I59-J59-K59-M59-N59-O59)</f>
      </c>
      <c r="R59" s="3">
        <f>IF($H59="","",(Q59-Z59)/G59*100)</f>
      </c>
      <c r="S59" s="3">
        <f>IF($H59="","",J59-P59)</f>
      </c>
      <c r="AA59" s="3">
        <f>IF($H59="","",Q59-Z59)</f>
      </c>
    </row>
    <row r="60" spans="1:29" x14ac:dyDescent="0.25">
      <c r="A60" s="1"/>
      <c r="D60" s="2"/>
      <c r="G60" s="3"/>
      <c r="H60" s="3"/>
      <c r="I60" s="3">
        <f>IF($H60="","",H60-G60)</f>
      </c>
      <c r="J60" s="3">
        <f>IF($H60="","",I60*16.67%)</f>
      </c>
      <c r="K60" s="3"/>
      <c r="L60" s="3">
        <f>IF($H60="","",K60*20%)</f>
      </c>
      <c r="M60" s="3"/>
      <c r="N60" s="3">
        <f>IF($H60="","",M60*20%)</f>
      </c>
      <c r="O60" s="3">
        <v>1</v>
      </c>
      <c r="P60" s="3">
        <f>IF($H60="","",N60)</f>
      </c>
      <c r="Q60" s="3">
        <f>IF($H60="","",I60-J60-K60-M60-N60-O60)</f>
      </c>
      <c r="R60" s="3">
        <f>IF($H60="","",(Q60-Z60)/G60*100)</f>
      </c>
      <c r="S60" s="3">
        <f>IF($H60="","",J60-P60)</f>
      </c>
      <c r="AA60" s="3">
        <f>IF($H60="","",Q60-Z60)</f>
      </c>
    </row>
    <row r="61" spans="1:29" x14ac:dyDescent="0.25">
      <c r="A61" s="1"/>
      <c r="D61" s="2"/>
      <c r="G61" s="3"/>
      <c r="H61" s="3"/>
      <c r="I61" s="3">
        <f>IF($H61="","",H61-G61)</f>
      </c>
      <c r="J61" s="3">
        <f>IF($H61="","",I61*16.67%)</f>
      </c>
      <c r="K61" s="3"/>
      <c r="L61" s="3">
        <f>IF($H61="","",K61*20%)</f>
      </c>
      <c r="M61" s="3"/>
      <c r="N61" s="3">
        <f>IF($H61="","",M61*20%)</f>
      </c>
      <c r="O61" s="3">
        <v>1</v>
      </c>
      <c r="P61" s="3">
        <f>IF($H61="","",N61)</f>
      </c>
      <c r="Q61" s="3">
        <f>IF($H61="","",I61-J61-K61-M61-N61-O61)</f>
      </c>
      <c r="R61" s="3">
        <f>IF($H61="","",(Q61-Z61)/G61*100)</f>
      </c>
      <c r="S61" s="3">
        <f>IF($H61="","",J61-P61)</f>
      </c>
      <c r="AA61" s="3">
        <f>IF($H61="","",Q61-Z61)</f>
      </c>
    </row>
    <row r="62" spans="1:29" x14ac:dyDescent="0.25">
      <c r="A62" s="1"/>
      <c r="D62" s="2"/>
      <c r="G62" s="3"/>
      <c r="H62" s="3"/>
      <c r="I62" s="3">
        <f>IF($H62="","",H62-G62)</f>
      </c>
      <c r="J62" s="3">
        <f>IF($H62="","",I62*16.67%)</f>
      </c>
      <c r="K62" s="3"/>
      <c r="L62" s="3">
        <f>IF($H62="","",K62*20%)</f>
      </c>
      <c r="M62" s="3"/>
      <c r="N62" s="3">
        <f>IF($H62="","",M62*20%)</f>
      </c>
      <c r="O62" s="3">
        <v>1</v>
      </c>
      <c r="P62" s="3">
        <f>IF($H62="","",N62)</f>
      </c>
      <c r="Q62" s="3">
        <f>IF($H62="","",I62-J62-K62-M62-N62-O62)</f>
      </c>
      <c r="R62" s="3">
        <f>IF($H62="","",(Q62-Z62)/G62*100)</f>
      </c>
      <c r="S62" s="3">
        <f>IF($H62="","",J62-P62)</f>
      </c>
      <c r="AA62" s="3">
        <f>IF($H62="","",Q62-Z62)</f>
      </c>
    </row>
    <row r="63" spans="1:29" x14ac:dyDescent="0.25">
      <c r="A63" s="1"/>
      <c r="D63" s="2"/>
      <c r="G63" s="3"/>
      <c r="H63" s="3"/>
      <c r="I63" s="3">
        <f>IF($H63="","",H63-G63)</f>
      </c>
      <c r="J63" s="3">
        <f>IF($H63="","",I63*16.67%)</f>
      </c>
      <c r="K63" s="3"/>
      <c r="L63" s="3">
        <f>IF($H63="","",K63*20%)</f>
      </c>
      <c r="M63" s="3"/>
      <c r="N63" s="3">
        <f>IF($H63="","",M63*20%)</f>
      </c>
      <c r="O63" s="3">
        <v>1</v>
      </c>
      <c r="P63" s="3">
        <f>IF($H63="","",N63)</f>
      </c>
      <c r="Q63" s="3">
        <f>IF($H63="","",I63-J63-K63-M63-N63-O63)</f>
      </c>
      <c r="R63" s="3">
        <f>IF($H63="","",(Q63-Z63)/G63*100)</f>
      </c>
      <c r="S63" s="3">
        <f>IF($H63="","",J63-P63)</f>
      </c>
      <c r="AA63" s="3">
        <f>IF($H63="","",Q63-Z63)</f>
      </c>
    </row>
    <row r="64" spans="1:29" x14ac:dyDescent="0.25">
      <c r="A64" s="1"/>
      <c r="D64" s="2"/>
      <c r="G64" s="3"/>
      <c r="H64" s="3"/>
      <c r="I64" s="3">
        <f>IF($H64="","",H64-G64)</f>
      </c>
      <c r="J64" s="3">
        <f>IF($H64="","",I64*16.67%)</f>
      </c>
      <c r="K64" s="3"/>
      <c r="L64" s="3">
        <f>IF($H64="","",K64*20%)</f>
      </c>
      <c r="M64" s="3"/>
      <c r="N64" s="3">
        <f>IF($H64="","",M64*20%)</f>
      </c>
      <c r="O64" s="3">
        <v>1</v>
      </c>
      <c r="P64" s="3">
        <f>IF($H64="","",N64)</f>
      </c>
      <c r="Q64" s="3">
        <f>IF($H64="","",I64-J64-K64-M64-N64-O64)</f>
      </c>
      <c r="R64" s="3">
        <f>IF($H64="","",(Q64-Z64)/G64*100)</f>
      </c>
      <c r="S64" s="3">
        <f>IF($H64="","",J64-P64)</f>
      </c>
      <c r="AA64" s="3">
        <f>IF($H64="","",Q64-Z64)</f>
      </c>
    </row>
    <row r="65" spans="1:29" x14ac:dyDescent="0.25">
      <c r="A65" s="1"/>
      <c r="D65" s="2"/>
      <c r="G65" s="3"/>
      <c r="H65" s="3"/>
      <c r="I65" s="3">
        <f>IF($H65="","",H65-G65)</f>
      </c>
      <c r="J65" s="3">
        <f>IF($H65="","",I65*16.67%)</f>
      </c>
      <c r="K65" s="3"/>
      <c r="L65" s="3">
        <f>IF($H65="","",K65*20%)</f>
      </c>
      <c r="M65" s="3"/>
      <c r="N65" s="3">
        <f>IF($H65="","",M65*20%)</f>
      </c>
      <c r="O65" s="3">
        <v>1</v>
      </c>
      <c r="P65" s="3">
        <f>IF($H65="","",N65)</f>
      </c>
      <c r="Q65" s="3">
        <f>IF($H65="","",I65-J65-K65-M65-N65-O65)</f>
      </c>
      <c r="R65" s="3">
        <f>IF($H65="","",(Q65-Z65)/G65*100)</f>
      </c>
      <c r="S65" s="3">
        <f>IF($H65="","",J65-P65)</f>
      </c>
      <c r="AA65" s="3">
        <f>IF($H65="","",Q65-Z65)</f>
      </c>
    </row>
    <row r="66" spans="1:29" x14ac:dyDescent="0.25">
      <c r="A66" s="1"/>
      <c r="D66" s="2"/>
      <c r="G66" s="3"/>
      <c r="H66" s="3"/>
      <c r="I66" s="3">
        <f>IF($H66="","",H66-G66)</f>
      </c>
      <c r="J66" s="3">
        <f>IF($H66="","",I66*16.67%)</f>
      </c>
      <c r="K66" s="3"/>
      <c r="L66" s="3">
        <f>IF($H66="","",K66*20%)</f>
      </c>
      <c r="M66" s="3"/>
      <c r="N66" s="3">
        <f>IF($H66="","",M66*20%)</f>
      </c>
      <c r="O66" s="3">
        <v>1</v>
      </c>
      <c r="P66" s="3">
        <f>IF($H66="","",N66)</f>
      </c>
      <c r="Q66" s="3">
        <f>IF($H66="","",I66-J66-K66-M66-N66-O66)</f>
      </c>
      <c r="R66" s="3">
        <f>IF($H66="","",(Q66-Z66)/G66*100)</f>
      </c>
      <c r="S66" s="3">
        <f>IF($H66="","",J66-P66)</f>
      </c>
      <c r="AA66" s="3">
        <f>IF($H66="","",Q66-Z66)</f>
      </c>
    </row>
    <row r="67" spans="1:29" x14ac:dyDescent="0.25">
      <c r="A67" s="1"/>
      <c r="D67" s="2"/>
      <c r="G67" s="3"/>
      <c r="H67" s="3"/>
      <c r="I67" s="3">
        <f>IF($H67="","",H67-G67)</f>
      </c>
      <c r="J67" s="3">
        <f>IF($H67="","",I67*16.67%)</f>
      </c>
      <c r="K67" s="3"/>
      <c r="L67" s="3">
        <f>IF($H67="","",K67*20%)</f>
      </c>
      <c r="M67" s="3"/>
      <c r="N67" s="3">
        <f>IF($H67="","",M67*20%)</f>
      </c>
      <c r="O67" s="3">
        <v>1</v>
      </c>
      <c r="P67" s="3">
        <f>IF($H67="","",N67)</f>
      </c>
      <c r="Q67" s="3">
        <f>IF($H67="","",I67-J67-K67-M67-N67-O67)</f>
      </c>
      <c r="R67" s="3">
        <f>IF($H67="","",(Q67-Z67)/G67*100)</f>
      </c>
      <c r="S67" s="3">
        <f>IF($H67="","",J67-P67)</f>
      </c>
      <c r="AA67" s="3">
        <f>IF($H67="","",Q67-Z67)</f>
      </c>
    </row>
    <row r="68" spans="1:29" x14ac:dyDescent="0.25">
      <c r="A68" s="1"/>
      <c r="D68" s="2"/>
      <c r="G68" s="3"/>
      <c r="H68" s="3"/>
      <c r="I68" s="3">
        <f>IF($H68="","",H68-G68)</f>
      </c>
      <c r="J68" s="3">
        <f>IF($H68="","",I68*16.67%)</f>
      </c>
      <c r="K68" s="3"/>
      <c r="L68" s="3">
        <f>IF($H68="","",K68*20%)</f>
      </c>
      <c r="M68" s="3"/>
      <c r="N68" s="3">
        <f>IF($H68="","",M68*20%)</f>
      </c>
      <c r="O68" s="3">
        <v>1</v>
      </c>
      <c r="P68" s="3">
        <f>IF($H68="","",N68)</f>
      </c>
      <c r="Q68" s="3">
        <f>IF($H68="","",I68-J68-K68-M68-N68-O68)</f>
      </c>
      <c r="R68" s="3">
        <f>IF($H68="","",(Q68-Z68)/G68*100)</f>
      </c>
      <c r="S68" s="3">
        <f>IF($H68="","",J68-P68)</f>
      </c>
      <c r="AA68" s="3">
        <f>IF($H68="","",Q68-Z68)</f>
      </c>
    </row>
    <row r="69" spans="1:29" x14ac:dyDescent="0.25">
      <c r="A69" s="1"/>
      <c r="D69" s="2"/>
      <c r="G69" s="3"/>
      <c r="H69" s="3"/>
      <c r="I69" s="3">
        <f>IF($H69="","",H69-G69)</f>
      </c>
      <c r="J69" s="3">
        <f>IF($H69="","",I69*16.67%)</f>
      </c>
      <c r="K69" s="3"/>
      <c r="L69" s="3">
        <f>IF($H69="","",K69*20%)</f>
      </c>
      <c r="M69" s="3"/>
      <c r="N69" s="3">
        <f>IF($H69="","",M69*20%)</f>
      </c>
      <c r="O69" s="3">
        <v>1</v>
      </c>
      <c r="P69" s="3">
        <f>IF($H69="","",N69)</f>
      </c>
      <c r="Q69" s="3">
        <f>IF($H69="","",I69-J69-K69-M69-N69-O69)</f>
      </c>
      <c r="R69" s="3">
        <f>IF($H69="","",(Q69-Z69)/G69*100)</f>
      </c>
      <c r="S69" s="3">
        <f>IF($H69="","",J69-P69)</f>
      </c>
      <c r="AA69" s="3">
        <f>IF($H69="","",Q69-Z69)</f>
      </c>
    </row>
    <row r="70" spans="1:29" x14ac:dyDescent="0.25">
      <c r="A70" s="1"/>
      <c r="D70" s="2"/>
      <c r="G70" s="3"/>
      <c r="H70" s="3"/>
      <c r="I70" s="3">
        <f>IF($H70="","",H70-G70)</f>
      </c>
      <c r="J70" s="3">
        <f>IF($H70="","",I70*16.67%)</f>
      </c>
      <c r="K70" s="3"/>
      <c r="L70" s="3">
        <f>IF($H70="","",K70*20%)</f>
      </c>
      <c r="M70" s="3"/>
      <c r="N70" s="3">
        <f>IF($H70="","",M70*20%)</f>
      </c>
      <c r="O70" s="3">
        <v>1</v>
      </c>
      <c r="P70" s="3">
        <f>IF($H70="","",N70)</f>
      </c>
      <c r="Q70" s="3">
        <f>IF($H70="","",I70-J70-K70-M70-N70-O70)</f>
      </c>
      <c r="R70" s="3">
        <f>IF($H70="","",(Q70-Z70)/G70*100)</f>
      </c>
      <c r="S70" s="3">
        <f>IF($H70="","",J70-P70)</f>
      </c>
      <c r="AA70" s="3">
        <f>IF($H70="","",Q70-Z70)</f>
      </c>
    </row>
    <row r="71" spans="1:29" x14ac:dyDescent="0.25">
      <c r="A71" s="1"/>
      <c r="D71" s="2"/>
      <c r="G71" s="3"/>
      <c r="H71" s="3"/>
      <c r="I71" s="3">
        <f>IF($H71="","",H71-G71)</f>
      </c>
      <c r="J71" s="3">
        <f>IF($H71="","",I71*16.67%)</f>
      </c>
      <c r="K71" s="3"/>
      <c r="L71" s="3">
        <f>IF($H71="","",K71*20%)</f>
      </c>
      <c r="M71" s="3"/>
      <c r="N71" s="3">
        <f>IF($H71="","",M71*20%)</f>
      </c>
      <c r="O71" s="3">
        <v>1</v>
      </c>
      <c r="P71" s="3">
        <f>IF($H71="","",N71)</f>
      </c>
      <c r="Q71" s="3">
        <f>IF($H71="","",I71-J71-K71-M71-N71-O71)</f>
      </c>
      <c r="R71" s="3">
        <f>IF($H71="","",(Q71-Z71)/G71*100)</f>
      </c>
      <c r="S71" s="3">
        <f>IF($H71="","",J71-P71)</f>
      </c>
      <c r="AA71" s="3">
        <f>IF($H71="","",Q71-Z71)</f>
      </c>
    </row>
    <row r="72" spans="1:29" x14ac:dyDescent="0.25">
      <c r="A72" s="1"/>
      <c r="D72" s="2"/>
      <c r="G72" s="3"/>
      <c r="H72" s="3"/>
      <c r="I72" s="3">
        <f>IF($H72="","",H72-G72)</f>
      </c>
      <c r="J72" s="3">
        <f>IF($H72="","",I72*16.67%)</f>
      </c>
      <c r="K72" s="3"/>
      <c r="L72" s="3">
        <f>IF($H72="","",K72*20%)</f>
      </c>
      <c r="M72" s="3"/>
      <c r="N72" s="3">
        <f>IF($H72="","",M72*20%)</f>
      </c>
      <c r="O72" s="3">
        <v>1</v>
      </c>
      <c r="P72" s="3">
        <f>IF($H72="","",N72)</f>
      </c>
      <c r="Q72" s="3">
        <f>IF($H72="","",I72-J72-K72-M72-N72-O72)</f>
      </c>
      <c r="R72" s="3">
        <f>IF($H72="","",(Q72-Z72)/G72*100)</f>
      </c>
      <c r="S72" s="3">
        <f>IF($H72="","",J72-P72)</f>
      </c>
      <c r="AA72" s="3">
        <f>IF($H72="","",Q72-Z72)</f>
      </c>
    </row>
    <row r="73" spans="1:29" x14ac:dyDescent="0.25">
      <c r="A73" s="1"/>
      <c r="D73" s="2"/>
      <c r="G73" s="3"/>
      <c r="H73" s="3"/>
      <c r="I73" s="3">
        <f>IF($H73="","",H73-G73)</f>
      </c>
      <c r="J73" s="3">
        <f>IF($H73="","",I73*16.67%)</f>
      </c>
      <c r="K73" s="3"/>
      <c r="L73" s="3">
        <f>IF($H73="","",K73*20%)</f>
      </c>
      <c r="M73" s="3"/>
      <c r="N73" s="3">
        <f>IF($H73="","",M73*20%)</f>
      </c>
      <c r="O73" s="3">
        <v>1</v>
      </c>
      <c r="P73" s="3">
        <f>IF($H73="","",N73)</f>
      </c>
      <c r="Q73" s="3">
        <f>IF($H73="","",I73-J73-K73-M73-N73-O73)</f>
      </c>
      <c r="R73" s="3">
        <f>IF($H73="","",(Q73-Z73)/G73*100)</f>
      </c>
      <c r="S73" s="3">
        <f>IF($H73="","",J73-P73)</f>
      </c>
      <c r="AA73" s="3">
        <f>IF($H73="","",Q73-Z73)</f>
      </c>
    </row>
    <row r="74" spans="1:29" x14ac:dyDescent="0.25">
      <c r="A74" s="1"/>
      <c r="D74" s="2"/>
      <c r="G74" s="3"/>
      <c r="H74" s="3"/>
      <c r="I74" s="3">
        <f>IF($H74="","",H74-G74)</f>
      </c>
      <c r="J74" s="3">
        <f>IF($H74="","",I74*16.67%)</f>
      </c>
      <c r="K74" s="3"/>
      <c r="L74" s="3">
        <f>IF($H74="","",K74*20%)</f>
      </c>
      <c r="M74" s="3"/>
      <c r="N74" s="3">
        <f>IF($H74="","",M74*20%)</f>
      </c>
      <c r="O74" s="3">
        <v>1</v>
      </c>
      <c r="P74" s="3">
        <f>IF($H74="","",N74)</f>
      </c>
      <c r="Q74" s="3">
        <f>IF($H74="","",I74-J74-K74-M74-N74-O74)</f>
      </c>
      <c r="R74" s="3">
        <f>IF($H74="","",(Q74-Z74)/G74*100)</f>
      </c>
      <c r="S74" s="3">
        <f>IF($H74="","",J74-P74)</f>
      </c>
      <c r="AA74" s="3">
        <f>IF($H74="","",Q74-Z74)</f>
      </c>
    </row>
    <row r="75" spans="1:29" x14ac:dyDescent="0.25">
      <c r="A75" s="1"/>
      <c r="D75" s="2"/>
      <c r="G75" s="3"/>
      <c r="H75" s="3"/>
      <c r="I75" s="3">
        <f>IF($H75="","",H75-G75)</f>
      </c>
      <c r="J75" s="3">
        <f>IF($H75="","",I75*16.67%)</f>
      </c>
      <c r="K75" s="3"/>
      <c r="L75" s="3">
        <f>IF($H75="","",K75*20%)</f>
      </c>
      <c r="M75" s="3"/>
      <c r="N75" s="3">
        <f>IF($H75="","",M75*20%)</f>
      </c>
      <c r="O75" s="3">
        <v>1</v>
      </c>
      <c r="P75" s="3">
        <f>IF($H75="","",N75)</f>
      </c>
      <c r="Q75" s="3">
        <f>IF($H75="","",I75-J75-K75-M75-N75-O75)</f>
      </c>
      <c r="R75" s="3">
        <f>IF($H75="","",(Q75-Z75)/G75*100)</f>
      </c>
      <c r="S75" s="3">
        <f>IF($H75="","",J75-P75)</f>
      </c>
      <c r="AA75" s="3">
        <f>IF($H75="","",Q75-Z75)</f>
      </c>
    </row>
    <row r="76" spans="1:29" x14ac:dyDescent="0.25">
      <c r="A76" s="1"/>
      <c r="D76" s="2"/>
      <c r="G76" s="3"/>
      <c r="H76" s="3"/>
      <c r="I76" s="3">
        <f>IF($H76="","",H76-G76)</f>
      </c>
      <c r="J76" s="3">
        <f>IF($H76="","",I76*16.67%)</f>
      </c>
      <c r="K76" s="3"/>
      <c r="L76" s="3">
        <f>IF($H76="","",K76*20%)</f>
      </c>
      <c r="M76" s="3"/>
      <c r="N76" s="3">
        <f>IF($H76="","",M76*20%)</f>
      </c>
      <c r="O76" s="3">
        <v>1</v>
      </c>
      <c r="P76" s="3">
        <f>IF($H76="","",N76)</f>
      </c>
      <c r="Q76" s="3">
        <f>IF($H76="","",I76-J76-K76-M76-N76-O76)</f>
      </c>
      <c r="R76" s="3">
        <f>IF($H76="","",(Q76-Z76)/G76*100)</f>
      </c>
      <c r="S76" s="3">
        <f>IF($H76="","",J76-P76)</f>
      </c>
      <c r="AA76" s="3">
        <f>IF($H76="","",Q76-Z76)</f>
      </c>
    </row>
    <row r="77" spans="1:29" x14ac:dyDescent="0.25">
      <c r="A77" s="1"/>
      <c r="D77" s="2"/>
      <c r="G77" s="3"/>
      <c r="H77" s="3"/>
      <c r="I77" s="3">
        <f>IF($H77="","",H77-G77)</f>
      </c>
      <c r="J77" s="3">
        <f>IF($H77="","",I77*16.67%)</f>
      </c>
      <c r="K77" s="3"/>
      <c r="L77" s="3">
        <f>IF($H77="","",K77*20%)</f>
      </c>
      <c r="M77" s="3"/>
      <c r="N77" s="3">
        <f>IF($H77="","",M77*20%)</f>
      </c>
      <c r="O77" s="3">
        <v>1</v>
      </c>
      <c r="P77" s="3">
        <f>IF($H77="","",N77)</f>
      </c>
      <c r="Q77" s="3">
        <f>IF($H77="","",I77-J77-K77-M77-N77-O77)</f>
      </c>
      <c r="R77" s="3">
        <f>IF($H77="","",(Q77-Z77)/G77*100)</f>
      </c>
      <c r="S77" s="3">
        <f>IF($H77="","",J77-P77)</f>
      </c>
      <c r="AA77" s="3">
        <f>IF($H77="","",Q77-Z77)</f>
      </c>
    </row>
    <row r="78" spans="1:29" x14ac:dyDescent="0.25">
      <c r="A78" s="1"/>
      <c r="D78" s="2"/>
      <c r="G78" s="3"/>
      <c r="H78" s="3"/>
      <c r="I78" s="3">
        <f>IF($H78="","",H78-G78)</f>
      </c>
      <c r="J78" s="3">
        <f>IF($H78="","",I78*16.67%)</f>
      </c>
      <c r="K78" s="3"/>
      <c r="L78" s="3">
        <f>IF($H78="","",K78*20%)</f>
      </c>
      <c r="M78" s="3"/>
      <c r="N78" s="3">
        <f>IF($H78="","",M78*20%)</f>
      </c>
      <c r="O78" s="3">
        <v>1</v>
      </c>
      <c r="P78" s="3">
        <f>IF($H78="","",N78)</f>
      </c>
      <c r="Q78" s="3">
        <f>IF($H78="","",I78-J78-K78-M78-N78-O78)</f>
      </c>
      <c r="R78" s="3">
        <f>IF($H78="","",(Q78-Z78)/G78*100)</f>
      </c>
      <c r="S78" s="3">
        <f>IF($H78="","",J78-P78)</f>
      </c>
      <c r="AA78" s="3">
        <f>IF($H78="","",Q78-Z78)</f>
      </c>
    </row>
    <row r="79" spans="1:29" x14ac:dyDescent="0.25">
      <c r="A79" s="1"/>
      <c r="D79" s="2"/>
      <c r="G79" s="3"/>
      <c r="H79" s="3"/>
      <c r="I79" s="3">
        <f>IF($H79="","",H79-G79)</f>
      </c>
      <c r="J79" s="3">
        <f>IF($H79="","",I79*16.67%)</f>
      </c>
      <c r="K79" s="3"/>
      <c r="L79" s="3">
        <f>IF($H79="","",K79*20%)</f>
      </c>
      <c r="M79" s="3"/>
      <c r="N79" s="3">
        <f>IF($H79="","",M79*20%)</f>
      </c>
      <c r="O79" s="3">
        <v>1</v>
      </c>
      <c r="P79" s="3">
        <f>IF($H79="","",N79)</f>
      </c>
      <c r="Q79" s="3">
        <f>IF($H79="","",I79-J79-K79-M79-N79-O79)</f>
      </c>
      <c r="R79" s="3">
        <f>IF($H79="","",(Q79-Z79)/G79*100)</f>
      </c>
      <c r="S79" s="3">
        <f>IF($H79="","",J79-P79)</f>
      </c>
      <c r="AA79" s="3">
        <f>IF($H79="","",Q79-Z79)</f>
      </c>
    </row>
    <row r="80" spans="1:29" x14ac:dyDescent="0.25">
      <c r="A80" s="1"/>
      <c r="D80" s="2"/>
      <c r="G80" s="3"/>
      <c r="H80" s="3"/>
      <c r="I80" s="3">
        <f>IF($H80="","",H80-G80)</f>
      </c>
      <c r="J80" s="3">
        <f>IF($H80="","",I80*16.67%)</f>
      </c>
      <c r="K80" s="3"/>
      <c r="L80" s="3">
        <f>IF($H80="","",K80*20%)</f>
      </c>
      <c r="M80" s="3"/>
      <c r="N80" s="3">
        <f>IF($H80="","",M80*20%)</f>
      </c>
      <c r="O80" s="3">
        <v>1</v>
      </c>
      <c r="P80" s="3">
        <f>IF($H80="","",N80)</f>
      </c>
      <c r="Q80" s="3">
        <f>IF($H80="","",I80-J80-K80-M80-N80-O80)</f>
      </c>
      <c r="R80" s="3">
        <f>IF($H80="","",(Q80-Z80)/G80*100)</f>
      </c>
      <c r="S80" s="3">
        <f>IF($H80="","",J80-P80)</f>
      </c>
      <c r="AA80" s="3">
        <f>IF($H80="","",Q80-Z80)</f>
      </c>
    </row>
    <row r="81" spans="1:29" x14ac:dyDescent="0.25">
      <c r="A81" s="1"/>
      <c r="D81" s="2"/>
      <c r="G81" s="3"/>
      <c r="H81" s="3"/>
      <c r="I81" s="3">
        <f>IF($H81="","",H81-G81)</f>
      </c>
      <c r="J81" s="3">
        <f>IF($H81="","",I81*16.67%)</f>
      </c>
      <c r="K81" s="3"/>
      <c r="L81" s="3">
        <f>IF($H81="","",K81*20%)</f>
      </c>
      <c r="M81" s="3"/>
      <c r="N81" s="3">
        <f>IF($H81="","",M81*20%)</f>
      </c>
      <c r="O81" s="3">
        <v>1</v>
      </c>
      <c r="P81" s="3">
        <f>IF($H81="","",N81)</f>
      </c>
      <c r="Q81" s="3">
        <f>IF($H81="","",I81-J81-K81-M81-N81-O81)</f>
      </c>
      <c r="R81" s="3">
        <f>IF($H81="","",(Q81-Z81)/G81*100)</f>
      </c>
      <c r="S81" s="3">
        <f>IF($H81="","",J81-P81)</f>
      </c>
      <c r="AA81" s="3">
        <f>IF($H81="","",Q81-Z81)</f>
      </c>
    </row>
    <row r="82" spans="1:29" x14ac:dyDescent="0.25">
      <c r="A82" s="1"/>
      <c r="D82" s="2"/>
      <c r="G82" s="3"/>
      <c r="H82" s="3"/>
      <c r="I82" s="3">
        <f>IF($H82="","",H82-G82)</f>
      </c>
      <c r="J82" s="3">
        <f>IF($H82="","",I82*16.67%)</f>
      </c>
      <c r="K82" s="3"/>
      <c r="L82" s="3">
        <f>IF($H82="","",K82*20%)</f>
      </c>
      <c r="M82" s="3"/>
      <c r="N82" s="3">
        <f>IF($H82="","",M82*20%)</f>
      </c>
      <c r="O82" s="3">
        <v>1</v>
      </c>
      <c r="P82" s="3">
        <f>IF($H82="","",N82)</f>
      </c>
      <c r="Q82" s="3">
        <f>IF($H82="","",I82-J82-K82-M82-N82-O82)</f>
      </c>
      <c r="R82" s="3">
        <f>IF($H82="","",(Q82-Z82)/G82*100)</f>
      </c>
      <c r="S82" s="3">
        <f>IF($H82="","",J82-P82)</f>
      </c>
      <c r="AA82" s="3">
        <f>IF($H82="","",Q82-Z82)</f>
      </c>
    </row>
    <row r="83" spans="1:29" x14ac:dyDescent="0.25">
      <c r="A83" s="1"/>
      <c r="D83" s="2"/>
      <c r="G83" s="3"/>
      <c r="H83" s="3"/>
      <c r="I83" s="3">
        <f>IF($H83="","",H83-G83)</f>
      </c>
      <c r="J83" s="3">
        <f>IF($H83="","",I83*16.67%)</f>
      </c>
      <c r="K83" s="3"/>
      <c r="L83" s="3">
        <f>IF($H83="","",K83*20%)</f>
      </c>
      <c r="M83" s="3"/>
      <c r="N83" s="3">
        <f>IF($H83="","",M83*20%)</f>
      </c>
      <c r="O83" s="3">
        <v>1</v>
      </c>
      <c r="P83" s="3">
        <f>IF($H83="","",N83)</f>
      </c>
      <c r="Q83" s="3">
        <f>IF($H83="","",I83-J83-K83-M83-N83-O83)</f>
      </c>
      <c r="R83" s="3">
        <f>IF($H83="","",(Q83-Z83)/G83*100)</f>
      </c>
      <c r="S83" s="3">
        <f>IF($H83="","",J83-P83)</f>
      </c>
      <c r="AA83" s="3">
        <f>IF($H83="","",Q83-Z83)</f>
      </c>
    </row>
    <row r="84" spans="1:29" x14ac:dyDescent="0.25">
      <c r="A84" s="1"/>
      <c r="D84" s="2"/>
      <c r="G84" s="3"/>
      <c r="H84" s="3"/>
      <c r="I84" s="3">
        <f>IF($H84="","",H84-G84)</f>
      </c>
      <c r="J84" s="3">
        <f>IF($H84="","",I84*16.67%)</f>
      </c>
      <c r="K84" s="3"/>
      <c r="L84" s="3">
        <f>IF($H84="","",K84*20%)</f>
      </c>
      <c r="M84" s="3"/>
      <c r="N84" s="3">
        <f>IF($H84="","",M84*20%)</f>
      </c>
      <c r="O84" s="3">
        <v>1</v>
      </c>
      <c r="P84" s="3">
        <f>IF($H84="","",N84)</f>
      </c>
      <c r="Q84" s="3">
        <f>IF($H84="","",I84-J84-K84-M84-N84-O84)</f>
      </c>
      <c r="R84" s="3">
        <f>IF($H84="","",(Q84-Z84)/G84*100)</f>
      </c>
      <c r="S84" s="3">
        <f>IF($H84="","",J84-P84)</f>
      </c>
      <c r="AA84" s="3">
        <f>IF($H84="","",Q84-Z84)</f>
      </c>
    </row>
    <row r="85" spans="1:29" x14ac:dyDescent="0.25">
      <c r="A85" s="1"/>
      <c r="D85" s="2"/>
      <c r="G85" s="3"/>
      <c r="H85" s="3"/>
      <c r="I85" s="3">
        <f>IF($H85="","",H85-G85)</f>
      </c>
      <c r="J85" s="3">
        <f>IF($H85="","",I85*16.67%)</f>
      </c>
      <c r="K85" s="3"/>
      <c r="L85" s="3">
        <f>IF($H85="","",K85*20%)</f>
      </c>
      <c r="M85" s="3"/>
      <c r="N85" s="3">
        <f>IF($H85="","",M85*20%)</f>
      </c>
      <c r="O85" s="3">
        <v>1</v>
      </c>
      <c r="P85" s="3">
        <f>IF($H85="","",N85)</f>
      </c>
      <c r="Q85" s="3">
        <f>IF($H85="","",I85-J85-K85-M85-N85-O85)</f>
      </c>
      <c r="R85" s="3">
        <f>IF($H85="","",(Q85-Z85)/G85*100)</f>
      </c>
      <c r="S85" s="3">
        <f>IF($H85="","",J85-P85)</f>
      </c>
      <c r="AA85" s="3">
        <f>IF($H85="","",Q85-Z85)</f>
      </c>
    </row>
    <row r="86" spans="1:29" x14ac:dyDescent="0.25">
      <c r="A86" s="1"/>
      <c r="D86" s="2"/>
      <c r="G86" s="3"/>
      <c r="H86" s="3"/>
      <c r="I86" s="3">
        <f>IF($H86="","",H86-G86)</f>
      </c>
      <c r="J86" s="3">
        <f>IF($H86="","",I86*16.67%)</f>
      </c>
      <c r="K86" s="3"/>
      <c r="L86" s="3">
        <f>IF($H86="","",K86*20%)</f>
      </c>
      <c r="M86" s="3"/>
      <c r="N86" s="3">
        <f>IF($H86="","",M86*20%)</f>
      </c>
      <c r="O86" s="3">
        <v>1</v>
      </c>
      <c r="P86" s="3">
        <f>IF($H86="","",N86)</f>
      </c>
      <c r="Q86" s="3">
        <f>IF($H86="","",I86-J86-K86-M86-N86-O86)</f>
      </c>
      <c r="R86" s="3">
        <f>IF($H86="","",(Q86-Z86)/G86*100)</f>
      </c>
      <c r="S86" s="3">
        <f>IF($H86="","",J86-P86)</f>
      </c>
      <c r="AA86" s="3">
        <f>IF($H86="","",Q86-Z86)</f>
      </c>
    </row>
    <row r="87" spans="1:29" x14ac:dyDescent="0.25">
      <c r="A87" s="1"/>
      <c r="D87" s="2"/>
      <c r="G87" s="3"/>
      <c r="H87" s="3"/>
      <c r="I87" s="3">
        <f>IF($H87="","",H87-G87)</f>
      </c>
      <c r="J87" s="3">
        <f>IF($H87="","",I87*16.67%)</f>
      </c>
      <c r="K87" s="3"/>
      <c r="L87" s="3">
        <f>IF($H87="","",K87*20%)</f>
      </c>
      <c r="M87" s="3"/>
      <c r="N87" s="3">
        <f>IF($H87="","",M87*20%)</f>
      </c>
      <c r="O87" s="3">
        <v>1</v>
      </c>
      <c r="P87" s="3">
        <f>IF($H87="","",N87)</f>
      </c>
      <c r="Q87" s="3">
        <f>IF($H87="","",I87-J87-K87-M87-N87-O87)</f>
      </c>
      <c r="R87" s="3">
        <f>IF($H87="","",(Q87-Z87)/G87*100)</f>
      </c>
      <c r="S87" s="3">
        <f>IF($H87="","",J87-P87)</f>
      </c>
      <c r="AA87" s="3">
        <f>IF($H87="","",Q87-Z87)</f>
      </c>
    </row>
    <row r="88" spans="1:29" x14ac:dyDescent="0.25">
      <c r="A88" s="1"/>
      <c r="D88" s="2"/>
      <c r="G88" s="3"/>
      <c r="H88" s="3"/>
      <c r="I88" s="3">
        <f>IF($H88="","",H88-G88)</f>
      </c>
      <c r="J88" s="3">
        <f>IF($H88="","",I88*16.67%)</f>
      </c>
      <c r="K88" s="3"/>
      <c r="L88" s="3">
        <f>IF($H88="","",K88*20%)</f>
      </c>
      <c r="M88" s="3"/>
      <c r="N88" s="3">
        <f>IF($H88="","",M88*20%)</f>
      </c>
      <c r="O88" s="3">
        <v>1</v>
      </c>
      <c r="P88" s="3">
        <f>IF($H88="","",N88)</f>
      </c>
      <c r="Q88" s="3">
        <f>IF($H88="","",I88-J88-K88-M88-N88-O88)</f>
      </c>
      <c r="R88" s="3">
        <f>IF($H88="","",(Q88-Z88)/G88*100)</f>
      </c>
      <c r="S88" s="3">
        <f>IF($H88="","",J88-P88)</f>
      </c>
      <c r="AA88" s="3">
        <f>IF($H88="","",Q88-Z88)</f>
      </c>
    </row>
    <row r="89" spans="1:29" x14ac:dyDescent="0.25">
      <c r="A89" s="1"/>
      <c r="D89" s="2"/>
      <c r="G89" s="3"/>
      <c r="H89" s="3"/>
      <c r="I89" s="3">
        <f>IF($H89="","",H89-G89)</f>
      </c>
      <c r="J89" s="3">
        <f>IF($H89="","",I89*16.67%)</f>
      </c>
      <c r="K89" s="3"/>
      <c r="L89" s="3">
        <f>IF($H89="","",K89*20%)</f>
      </c>
      <c r="M89" s="3"/>
      <c r="N89" s="3">
        <f>IF($H89="","",M89*20%)</f>
      </c>
      <c r="O89" s="3">
        <v>1</v>
      </c>
      <c r="P89" s="3">
        <f>IF($H89="","",N89)</f>
      </c>
      <c r="Q89" s="3">
        <f>IF($H89="","",I89-J89-K89-M89-N89-O89)</f>
      </c>
      <c r="R89" s="3">
        <f>IF($H89="","",(Q89-Z89)/G89*100)</f>
      </c>
      <c r="S89" s="3">
        <f>IF($H89="","",J89-P89)</f>
      </c>
      <c r="AA89" s="3">
        <f>IF($H89="","",Q89-Z89)</f>
      </c>
    </row>
    <row r="90" spans="1:29" x14ac:dyDescent="0.25">
      <c r="A90" s="1"/>
      <c r="D90" s="2"/>
      <c r="G90" s="3"/>
      <c r="H90" s="3"/>
      <c r="I90" s="3">
        <f>IF($H90="","",H90-G90)</f>
      </c>
      <c r="J90" s="3">
        <f>IF($H90="","",I90*16.67%)</f>
      </c>
      <c r="K90" s="3"/>
      <c r="L90" s="3">
        <f>IF($H90="","",K90*20%)</f>
      </c>
      <c r="M90" s="3"/>
      <c r="N90" s="3">
        <f>IF($H90="","",M90*20%)</f>
      </c>
      <c r="O90" s="3">
        <v>1</v>
      </c>
      <c r="P90" s="3">
        <f>IF($H90="","",N90)</f>
      </c>
      <c r="Q90" s="3">
        <f>IF($H90="","",I90-J90-K90-M90-N90-O90)</f>
      </c>
      <c r="R90" s="3">
        <f>IF($H90="","",(Q90-Z90)/G90*100)</f>
      </c>
      <c r="S90" s="3">
        <f>IF($H90="","",J90-P90)</f>
      </c>
      <c r="AA90" s="3">
        <f>IF($H90="","",Q90-Z90)</f>
      </c>
    </row>
    <row r="91" spans="1:29" x14ac:dyDescent="0.25">
      <c r="A91" s="1"/>
      <c r="D91" s="2"/>
      <c r="G91" s="3"/>
      <c r="H91" s="3"/>
      <c r="I91" s="3">
        <f>IF($H91="","",H91-G91)</f>
      </c>
      <c r="J91" s="3">
        <f>IF($H91="","",I91*16.67%)</f>
      </c>
      <c r="K91" s="3"/>
      <c r="L91" s="3">
        <f>IF($H91="","",K91*20%)</f>
      </c>
      <c r="M91" s="3"/>
      <c r="N91" s="3">
        <f>IF($H91="","",M91*20%)</f>
      </c>
      <c r="O91" s="3">
        <v>1</v>
      </c>
      <c r="P91" s="3">
        <f>IF($H91="","",N91)</f>
      </c>
      <c r="Q91" s="3">
        <f>IF($H91="","",I91-J91-K91-M91-N91-O91)</f>
      </c>
      <c r="R91" s="3">
        <f>IF($H91="","",(Q91-Z91)/G91*100)</f>
      </c>
      <c r="S91" s="3">
        <f>IF($H91="","",J91-P91)</f>
      </c>
      <c r="AA91" s="3">
        <f>IF($H91="","",Q91-Z91)</f>
      </c>
    </row>
    <row r="92" spans="1:29" x14ac:dyDescent="0.25">
      <c r="A92" s="1"/>
      <c r="D92" s="2"/>
      <c r="G92" s="3"/>
      <c r="H92" s="3"/>
      <c r="I92" s="3">
        <f>IF($H92="","",H92-G92)</f>
      </c>
      <c r="J92" s="3">
        <f>IF($H92="","",I92*16.67%)</f>
      </c>
      <c r="K92" s="3"/>
      <c r="L92" s="3">
        <f>IF($H92="","",K92*20%)</f>
      </c>
      <c r="M92" s="3"/>
      <c r="N92" s="3">
        <f>IF($H92="","",M92*20%)</f>
      </c>
      <c r="O92" s="3">
        <v>1</v>
      </c>
      <c r="P92" s="3">
        <f>IF($H92="","",N92)</f>
      </c>
      <c r="Q92" s="3">
        <f>IF($H92="","",I92-J92-K92-M92-N92-O92)</f>
      </c>
      <c r="R92" s="3">
        <f>IF($H92="","",(Q92-Z92)/G92*100)</f>
      </c>
      <c r="S92" s="3">
        <f>IF($H92="","",J92-P92)</f>
      </c>
      <c r="AA92" s="3">
        <f>IF($H92="","",Q92-Z92)</f>
      </c>
    </row>
    <row r="93" spans="1:29" x14ac:dyDescent="0.25">
      <c r="A93" s="1"/>
      <c r="D93" s="2"/>
      <c r="G93" s="3"/>
      <c r="H93" s="3"/>
      <c r="I93" s="3">
        <f>IF($H93="","",H93-G93)</f>
      </c>
      <c r="J93" s="3">
        <f>IF($H93="","",I93*16.67%)</f>
      </c>
      <c r="K93" s="3"/>
      <c r="L93" s="3">
        <f>IF($H93="","",K93*20%)</f>
      </c>
      <c r="M93" s="3"/>
      <c r="N93" s="3">
        <f>IF($H93="","",M93*20%)</f>
      </c>
      <c r="O93" s="3">
        <v>1</v>
      </c>
      <c r="P93" s="3">
        <f>IF($H93="","",N93)</f>
      </c>
      <c r="Q93" s="3">
        <f>IF($H93="","",I93-J93-K93-M93-N93-O93)</f>
      </c>
      <c r="R93" s="3">
        <f>IF($H93="","",(Q93-Z93)/G93*100)</f>
      </c>
      <c r="S93" s="3">
        <f>IF($H93="","",J93-P93)</f>
      </c>
      <c r="AA93" s="3">
        <f>IF($H93="","",Q93-Z93)</f>
      </c>
    </row>
    <row r="94" spans="1:29" x14ac:dyDescent="0.25">
      <c r="A94" s="1"/>
      <c r="D94" s="2"/>
      <c r="G94" s="3"/>
      <c r="H94" s="3"/>
      <c r="I94" s="3">
        <f>IF($H94="","",H94-G94)</f>
      </c>
      <c r="J94" s="3">
        <f>IF($H94="","",I94*16.67%)</f>
      </c>
      <c r="K94" s="3"/>
      <c r="L94" s="3">
        <f>IF($H94="","",K94*20%)</f>
      </c>
      <c r="M94" s="3"/>
      <c r="N94" s="3">
        <f>IF($H94="","",M94*20%)</f>
      </c>
      <c r="O94" s="3">
        <v>1</v>
      </c>
      <c r="P94" s="3">
        <f>IF($H94="","",N94)</f>
      </c>
      <c r="Q94" s="3">
        <f>IF($H94="","",I94-J94-K94-M94-N94-O94)</f>
      </c>
      <c r="R94" s="3">
        <f>IF($H94="","",(Q94-Z94)/G94*100)</f>
      </c>
      <c r="S94" s="3">
        <f>IF($H94="","",J94-P94)</f>
      </c>
      <c r="AA94" s="3">
        <f>IF($H94="","",Q94-Z94)</f>
      </c>
    </row>
    <row r="95" spans="1:29" x14ac:dyDescent="0.25">
      <c r="A95" s="1"/>
      <c r="D95" s="2"/>
      <c r="G95" s="3"/>
      <c r="H95" s="3"/>
      <c r="I95" s="3">
        <f>IF($H95="","",H95-G95)</f>
      </c>
      <c r="J95" s="3">
        <f>IF($H95="","",I95*16.67%)</f>
      </c>
      <c r="K95" s="3"/>
      <c r="L95" s="3">
        <f>IF($H95="","",K95*20%)</f>
      </c>
      <c r="M95" s="3"/>
      <c r="N95" s="3">
        <f>IF($H95="","",M95*20%)</f>
      </c>
      <c r="O95" s="3">
        <v>1</v>
      </c>
      <c r="P95" s="3">
        <f>IF($H95="","",N95)</f>
      </c>
      <c r="Q95" s="3">
        <f>IF($H95="","",I95-J95-K95-M95-N95-O95)</f>
      </c>
      <c r="R95" s="3">
        <f>IF($H95="","",(Q95-Z95)/G95*100)</f>
      </c>
      <c r="S95" s="3">
        <f>IF($H95="","",J95-P95)</f>
      </c>
      <c r="AA95" s="3">
        <f>IF($H95="","",Q95-Z95)</f>
      </c>
    </row>
    <row r="96" spans="1:29" x14ac:dyDescent="0.25">
      <c r="A96" s="1"/>
      <c r="D96" s="2"/>
      <c r="G96" s="3"/>
      <c r="H96" s="3"/>
      <c r="I96" s="3">
        <f>IF($H96="","",H96-G96)</f>
      </c>
      <c r="J96" s="3">
        <f>IF($H96="","",I96*16.67%)</f>
      </c>
      <c r="K96" s="3"/>
      <c r="L96" s="3">
        <f>IF($H96="","",K96*20%)</f>
      </c>
      <c r="M96" s="3"/>
      <c r="N96" s="3">
        <f>IF($H96="","",M96*20%)</f>
      </c>
      <c r="O96" s="3">
        <v>1</v>
      </c>
      <c r="P96" s="3">
        <f>IF($H96="","",N96)</f>
      </c>
      <c r="Q96" s="3">
        <f>IF($H96="","",I96-J96-K96-M96-N96-O96)</f>
      </c>
      <c r="R96" s="3">
        <f>IF($H96="","",(Q96-Z96)/G96*100)</f>
      </c>
      <c r="S96" s="3">
        <f>IF($H96="","",J96-P96)</f>
      </c>
      <c r="AA96" s="3">
        <f>IF($H96="","",Q96-Z96)</f>
      </c>
    </row>
    <row r="97" spans="1:29" x14ac:dyDescent="0.25">
      <c r="A97" s="1"/>
      <c r="D97" s="2"/>
      <c r="G97" s="3"/>
      <c r="H97" s="3"/>
      <c r="I97" s="3">
        <f>IF($H97="","",H97-G97)</f>
      </c>
      <c r="J97" s="3">
        <f>IF($H97="","",I97*16.67%)</f>
      </c>
      <c r="K97" s="3"/>
      <c r="L97" s="3">
        <f>IF($H97="","",K97*20%)</f>
      </c>
      <c r="M97" s="3"/>
      <c r="N97" s="3">
        <f>IF($H97="","",M97*20%)</f>
      </c>
      <c r="O97" s="3">
        <v>1</v>
      </c>
      <c r="P97" s="3">
        <f>IF($H97="","",N97)</f>
      </c>
      <c r="Q97" s="3">
        <f>IF($H97="","",I97-J97-K97-M97-N97-O97)</f>
      </c>
      <c r="R97" s="3">
        <f>IF($H97="","",(Q97-Z97)/G97*100)</f>
      </c>
      <c r="S97" s="3">
        <f>IF($H97="","",J97-P97)</f>
      </c>
      <c r="AA97" s="3">
        <f>IF($H97="","",Q97-Z97)</f>
      </c>
    </row>
    <row r="98" spans="1:29" x14ac:dyDescent="0.25">
      <c r="A98" s="1"/>
      <c r="D98" s="2"/>
      <c r="G98" s="3"/>
      <c r="H98" s="3"/>
      <c r="I98" s="3">
        <f>IF($H98="","",H98-G98)</f>
      </c>
      <c r="J98" s="3">
        <f>IF($H98="","",I98*16.67%)</f>
      </c>
      <c r="K98" s="3"/>
      <c r="L98" s="3">
        <f>IF($H98="","",K98*20%)</f>
      </c>
      <c r="M98" s="3"/>
      <c r="N98" s="3">
        <f>IF($H98="","",M98*20%)</f>
      </c>
      <c r="O98" s="3">
        <v>1</v>
      </c>
      <c r="P98" s="3">
        <f>IF($H98="","",N98)</f>
      </c>
      <c r="Q98" s="3">
        <f>IF($H98="","",I98-J98-K98-M98-N98-O98)</f>
      </c>
      <c r="R98" s="3">
        <f>IF($H98="","",(Q98-Z98)/G98*100)</f>
      </c>
      <c r="S98" s="3">
        <f>IF($H98="","",J98-P98)</f>
      </c>
      <c r="AA98" s="3">
        <f>IF($H98="","",Q98-Z98)</f>
      </c>
    </row>
    <row r="99" spans="1:29" x14ac:dyDescent="0.25">
      <c r="A99" s="1"/>
      <c r="D99" s="2"/>
      <c r="G99" s="3"/>
      <c r="H99" s="3"/>
      <c r="I99" s="3">
        <f>IF($H99="","",H99-G99)</f>
      </c>
      <c r="J99" s="3">
        <f>IF($H99="","",I99*16.67%)</f>
      </c>
      <c r="K99" s="3"/>
      <c r="L99" s="3">
        <f>IF($H99="","",K99*20%)</f>
      </c>
      <c r="M99" s="3"/>
      <c r="N99" s="3">
        <f>IF($H99="","",M99*20%)</f>
      </c>
      <c r="O99" s="3">
        <v>1</v>
      </c>
      <c r="P99" s="3">
        <f>IF($H99="","",N99)</f>
      </c>
      <c r="Q99" s="3">
        <f>IF($H99="","",I99-J99-K99-M99-N99-O99)</f>
      </c>
      <c r="R99" s="3">
        <f>IF($H99="","",(Q99-Z99)/G99*100)</f>
      </c>
      <c r="S99" s="3">
        <f>IF($H99="","",J99-P99)</f>
      </c>
      <c r="AA99" s="3">
        <f>IF($H99="","",Q99-Z99)</f>
      </c>
    </row>
    <row r="100" spans="1:29" x14ac:dyDescent="0.25">
      <c r="A100" s="1"/>
      <c r="D100" s="2"/>
      <c r="G100" s="3"/>
      <c r="H100" s="3"/>
      <c r="I100" s="3">
        <f>IF($H100="","",H100-G100)</f>
      </c>
      <c r="J100" s="3">
        <f>IF($H100="","",I100*16.67%)</f>
      </c>
      <c r="K100" s="3"/>
      <c r="L100" s="3">
        <f>IF($H100="","",K100*20%)</f>
      </c>
      <c r="M100" s="3"/>
      <c r="N100" s="3">
        <f>IF($H100="","",M100*20%)</f>
      </c>
      <c r="O100" s="3">
        <v>1</v>
      </c>
      <c r="P100" s="3">
        <f>IF($H100="","",N100)</f>
      </c>
      <c r="Q100" s="3">
        <f>IF($H100="","",I100-J100-K100-M100-N100-O100)</f>
      </c>
      <c r="R100" s="3">
        <f>IF($H100="","",(Q100-Z100)/G100*100)</f>
      </c>
      <c r="S100" s="3">
        <f>IF($H100="","",J100-P100)</f>
      </c>
      <c r="AA100" s="3">
        <f>IF($H100="","",Q100-Z100)</f>
      </c>
    </row>
    <row r="101" spans="1:29" x14ac:dyDescent="0.25">
      <c r="A101" s="1"/>
      <c r="D101" s="2"/>
      <c r="G101" s="3"/>
      <c r="H101" s="3"/>
      <c r="I101" s="3">
        <f>IF($H101="","",H101-G101)</f>
      </c>
      <c r="J101" s="3">
        <f>IF($H101="","",I101*16.67%)</f>
      </c>
      <c r="K101" s="3"/>
      <c r="L101" s="3">
        <f>IF($H101="","",K101*20%)</f>
      </c>
      <c r="M101" s="3"/>
      <c r="N101" s="3">
        <f>IF($H101="","",M101*20%)</f>
      </c>
      <c r="O101" s="3">
        <v>1</v>
      </c>
      <c r="P101" s="3">
        <f>IF($H101="","",N101)</f>
      </c>
      <c r="Q101" s="3">
        <f>IF($H101="","",I101-J101-K101-M101-N101-O101)</f>
      </c>
      <c r="R101" s="3">
        <f>IF($H101="","",(Q101-Z101)/G101*100)</f>
      </c>
      <c r="S101" s="3">
        <f>IF($H101="","",J101-P101)</f>
      </c>
      <c r="AA101" s="3">
        <f>IF($H101="","",Q101-Z101)</f>
      </c>
    </row>
    <row r="102" spans="1:29" x14ac:dyDescent="0.25">
      <c r="A102" s="1"/>
      <c r="D102" s="2"/>
      <c r="G102" s="3"/>
      <c r="H102" s="3"/>
      <c r="I102" s="3">
        <f>IF($H102="","",H102-G102)</f>
      </c>
      <c r="J102" s="3">
        <f>IF($H102="","",I102*16.67%)</f>
      </c>
      <c r="K102" s="3"/>
      <c r="L102" s="3">
        <f>IF($H102="","",K102*20%)</f>
      </c>
      <c r="M102" s="3"/>
      <c r="N102" s="3">
        <f>IF($H102="","",M102*20%)</f>
      </c>
      <c r="O102" s="3">
        <v>1</v>
      </c>
      <c r="P102" s="3">
        <f>IF($H102="","",N102)</f>
      </c>
      <c r="Q102" s="3">
        <f>IF($H102="","",I102-J102-K102-M102-N102-O102)</f>
      </c>
      <c r="R102" s="3">
        <f>IF($H102="","",(Q102-Z102)/G102*100)</f>
      </c>
      <c r="S102" s="3">
        <f>IF($H102="","",J102-P102)</f>
      </c>
      <c r="AA102" s="3">
        <f>IF($H102="","",Q102-Z102)</f>
      </c>
    </row>
    <row r="103" spans="1:29" x14ac:dyDescent="0.25">
      <c r="A103" s="1"/>
      <c r="D103" s="2"/>
      <c r="G103" s="3"/>
      <c r="H103" s="3"/>
      <c r="I103" s="3">
        <f>IF($H103="","",H103-G103)</f>
      </c>
      <c r="J103" s="3">
        <f>IF($H103="","",I103*16.67%)</f>
      </c>
      <c r="K103" s="3"/>
      <c r="L103" s="3">
        <f>IF($H103="","",K103*20%)</f>
      </c>
      <c r="M103" s="3"/>
      <c r="N103" s="3">
        <f>IF($H103="","",M103*20%)</f>
      </c>
      <c r="O103" s="3">
        <v>1</v>
      </c>
      <c r="P103" s="3">
        <f>IF($H103="","",N103)</f>
      </c>
      <c r="Q103" s="3">
        <f>IF($H103="","",I103-J103-K103-M103-N103-O103)</f>
      </c>
      <c r="R103" s="3">
        <f>IF($H103="","",(Q103-Z103)/G103*100)</f>
      </c>
      <c r="S103" s="3">
        <f>IF($H103="","",J103-P103)</f>
      </c>
      <c r="AA103" s="3">
        <f>IF($H103="","",Q103-Z103)</f>
      </c>
    </row>
    <row r="104" spans="1:29" x14ac:dyDescent="0.25">
      <c r="A104" s="1"/>
      <c r="D104" s="2"/>
      <c r="G104" s="3"/>
      <c r="H104" s="3"/>
      <c r="I104" s="3">
        <f>IF($H104="","",H104-G104)</f>
      </c>
      <c r="J104" s="3">
        <f>IF($H104="","",I104*16.67%)</f>
      </c>
      <c r="K104" s="3"/>
      <c r="L104" s="3">
        <f>IF($H104="","",K104*20%)</f>
      </c>
      <c r="M104" s="3"/>
      <c r="N104" s="3">
        <f>IF($H104="","",M104*20%)</f>
      </c>
      <c r="O104" s="3">
        <v>1</v>
      </c>
      <c r="P104" s="3">
        <f>IF($H104="","",N104)</f>
      </c>
      <c r="Q104" s="3">
        <f>IF($H104="","",I104-J104-K104-M104-N104-O104)</f>
      </c>
      <c r="R104" s="3">
        <f>IF($H104="","",(Q104-Z104)/G104*100)</f>
      </c>
      <c r="S104" s="3">
        <f>IF($H104="","",J104-P104)</f>
      </c>
      <c r="AA104" s="3">
        <f>IF($H104="","",Q104-Z104)</f>
      </c>
    </row>
    <row r="105" spans="1:29" x14ac:dyDescent="0.25">
      <c r="A105" s="1"/>
      <c r="D105" s="2"/>
      <c r="G105" s="3"/>
      <c r="H105" s="3"/>
      <c r="I105" s="3">
        <f>IF($H105="","",H105-G105)</f>
      </c>
      <c r="J105" s="3">
        <f>IF($H105="","",I105*16.67%)</f>
      </c>
      <c r="K105" s="3"/>
      <c r="L105" s="3">
        <f>IF($H105="","",K105*20%)</f>
      </c>
      <c r="M105" s="3"/>
      <c r="N105" s="3">
        <f>IF($H105="","",M105*20%)</f>
      </c>
      <c r="O105" s="3">
        <v>1</v>
      </c>
      <c r="P105" s="3">
        <f>IF($H105="","",N105)</f>
      </c>
      <c r="Q105" s="3">
        <f>IF($H105="","",I105-J105-K105-M105-N105-O105)</f>
      </c>
      <c r="R105" s="3">
        <f>IF($H105="","",(Q105-Z105)/G105*100)</f>
      </c>
      <c r="S105" s="3">
        <f>IF($H105="","",J105-P105)</f>
      </c>
      <c r="AA105" s="3">
        <f>IF($H105="","",Q105-Z105)</f>
      </c>
    </row>
    <row r="106" spans="1:29" x14ac:dyDescent="0.25">
      <c r="A106" s="1"/>
      <c r="D106" s="2"/>
      <c r="G106" s="3"/>
      <c r="H106" s="3"/>
      <c r="I106" s="3">
        <f>IF($H106="","",H106-G106)</f>
      </c>
      <c r="J106" s="3">
        <f>IF($H106="","",I106*16.67%)</f>
      </c>
      <c r="K106" s="3"/>
      <c r="L106" s="3">
        <f>IF($H106="","",K106*20%)</f>
      </c>
      <c r="M106" s="3"/>
      <c r="N106" s="3">
        <f>IF($H106="","",M106*20%)</f>
      </c>
      <c r="O106" s="3">
        <v>1</v>
      </c>
      <c r="P106" s="3">
        <f>IF($H106="","",N106)</f>
      </c>
      <c r="Q106" s="3">
        <f>IF($H106="","",I106-J106-K106-M106-N106-O106)</f>
      </c>
      <c r="R106" s="3">
        <f>IF($H106="","",(Q106-Z106)/G106*100)</f>
      </c>
      <c r="S106" s="3">
        <f>IF($H106="","",J106-P106)</f>
      </c>
      <c r="AA106" s="3">
        <f>IF($H106="","",Q106-Z106)</f>
      </c>
    </row>
    <row r="107" spans="1:29" x14ac:dyDescent="0.25">
      <c r="A107" s="1"/>
      <c r="D107" s="2"/>
      <c r="G107" s="3"/>
      <c r="H107" s="3"/>
      <c r="I107" s="3">
        <f>IF($H107="","",H107-G107)</f>
      </c>
      <c r="J107" s="3">
        <f>IF($H107="","",I107*16.67%)</f>
      </c>
      <c r="K107" s="3"/>
      <c r="L107" s="3">
        <f>IF($H107="","",K107*20%)</f>
      </c>
      <c r="M107" s="3"/>
      <c r="N107" s="3">
        <f>IF($H107="","",M107*20%)</f>
      </c>
      <c r="O107" s="3">
        <v>1</v>
      </c>
      <c r="P107" s="3">
        <f>IF($H107="","",N107)</f>
      </c>
      <c r="Q107" s="3">
        <f>IF($H107="","",I107-J107-K107-M107-N107-O107)</f>
      </c>
      <c r="R107" s="3">
        <f>IF($H107="","",(Q107-Z107)/G107*100)</f>
      </c>
      <c r="S107" s="3">
        <f>IF($H107="","",J107-P107)</f>
      </c>
      <c r="AA107" s="3">
        <f>IF($H107="","",Q107-Z107)</f>
      </c>
    </row>
    <row r="108" spans="1:29" x14ac:dyDescent="0.25">
      <c r="A108" s="1"/>
      <c r="D108" s="2"/>
      <c r="G108" s="3"/>
      <c r="H108" s="3"/>
      <c r="I108" s="3">
        <f>IF($H108="","",H108-G108)</f>
      </c>
      <c r="J108" s="3">
        <f>IF($H108="","",I108*16.67%)</f>
      </c>
      <c r="K108" s="3"/>
      <c r="L108" s="3">
        <f>IF($H108="","",K108*20%)</f>
      </c>
      <c r="M108" s="3"/>
      <c r="N108" s="3">
        <f>IF($H108="","",M108*20%)</f>
      </c>
      <c r="O108" s="3">
        <v>1</v>
      </c>
      <c r="P108" s="3">
        <f>IF($H108="","",N108)</f>
      </c>
      <c r="Q108" s="3">
        <f>IF($H108="","",I108-J108-K108-M108-N108-O108)</f>
      </c>
      <c r="R108" s="3">
        <f>IF($H108="","",(Q108-Z108)/G108*100)</f>
      </c>
      <c r="S108" s="3">
        <f>IF($H108="","",J108-P108)</f>
      </c>
      <c r="AA108" s="3">
        <f>IF($H108="","",Q108-Z108)</f>
      </c>
    </row>
    <row r="109" spans="1:29" x14ac:dyDescent="0.25">
      <c r="A109" s="1"/>
      <c r="D109" s="2"/>
      <c r="G109" s="3"/>
      <c r="H109" s="3"/>
      <c r="I109" s="3">
        <f>IF($H109="","",H109-G109)</f>
      </c>
      <c r="J109" s="3">
        <f>IF($H109="","",I109*16.67%)</f>
      </c>
      <c r="K109" s="3"/>
      <c r="L109" s="3">
        <f>IF($H109="","",K109*20%)</f>
      </c>
      <c r="M109" s="3"/>
      <c r="N109" s="3">
        <f>IF($H109="","",M109*20%)</f>
      </c>
      <c r="O109" s="3">
        <v>1</v>
      </c>
      <c r="P109" s="3">
        <f>IF($H109="","",N109)</f>
      </c>
      <c r="Q109" s="3">
        <f>IF($H109="","",I109-J109-K109-M109-N109-O109)</f>
      </c>
      <c r="R109" s="3">
        <f>IF($H109="","",(Q109-Z109)/G109*100)</f>
      </c>
      <c r="S109" s="3">
        <f>IF($H109="","",J109-P109)</f>
      </c>
      <c r="AA109" s="3">
        <f>IF($H109="","",Q109-Z109)</f>
      </c>
    </row>
    <row r="110" spans="1:29" x14ac:dyDescent="0.25">
      <c r="A110" s="1"/>
      <c r="D110" s="2"/>
      <c r="G110" s="3"/>
      <c r="H110" s="3"/>
      <c r="I110" s="3">
        <f>IF($H110="","",H110-G110)</f>
      </c>
      <c r="J110" s="3">
        <f>IF($H110="","",I110*16.67%)</f>
      </c>
      <c r="K110" s="3"/>
      <c r="L110" s="3">
        <f>IF($H110="","",K110*20%)</f>
      </c>
      <c r="M110" s="3"/>
      <c r="N110" s="3">
        <f>IF($H110="","",M110*20%)</f>
      </c>
      <c r="O110" s="3">
        <v>1</v>
      </c>
      <c r="P110" s="3">
        <f>IF($H110="","",N110)</f>
      </c>
      <c r="Q110" s="3">
        <f>IF($H110="","",I110-J110-K110-M110-N110-O110)</f>
      </c>
      <c r="R110" s="3">
        <f>IF($H110="","",(Q110-Z110)/G110*100)</f>
      </c>
      <c r="S110" s="3">
        <f>IF($H110="","",J110-P110)</f>
      </c>
      <c r="AA110" s="3">
        <f>IF($H110="","",Q110-Z110)</f>
      </c>
    </row>
    <row r="111" spans="1:29" x14ac:dyDescent="0.25">
      <c r="A111" s="1"/>
      <c r="D111" s="2"/>
      <c r="G111" s="3"/>
      <c r="H111" s="3"/>
      <c r="I111" s="3">
        <f>IF($H111="","",H111-G111)</f>
      </c>
      <c r="J111" s="3">
        <f>IF($H111="","",I111*16.67%)</f>
      </c>
      <c r="K111" s="3"/>
      <c r="L111" s="3">
        <f>IF($H111="","",K111*20%)</f>
      </c>
      <c r="M111" s="3"/>
      <c r="N111" s="3">
        <f>IF($H111="","",M111*20%)</f>
      </c>
      <c r="O111" s="3">
        <v>1</v>
      </c>
      <c r="P111" s="3">
        <f>IF($H111="","",N111)</f>
      </c>
      <c r="Q111" s="3">
        <f>IF($H111="","",I111-J111-K111-M111-N111-O111)</f>
      </c>
      <c r="R111" s="3">
        <f>IF($H111="","",(Q111-Z111)/G111*100)</f>
      </c>
      <c r="S111" s="3">
        <f>IF($H111="","",J111-P111)</f>
      </c>
      <c r="AA111" s="3">
        <f>IF($H111="","",Q111-Z111)</f>
      </c>
    </row>
    <row r="112" spans="1:29" x14ac:dyDescent="0.25">
      <c r="A112" s="1"/>
      <c r="D112" s="2"/>
      <c r="G112" s="3"/>
      <c r="H112" s="3"/>
      <c r="I112" s="3">
        <f>IF($H112="","",H112-G112)</f>
      </c>
      <c r="J112" s="3">
        <f>IF($H112="","",I112*16.67%)</f>
      </c>
      <c r="K112" s="3"/>
      <c r="L112" s="3">
        <f>IF($H112="","",K112*20%)</f>
      </c>
      <c r="M112" s="3"/>
      <c r="N112" s="3">
        <f>IF($H112="","",M112*20%)</f>
      </c>
      <c r="O112" s="3">
        <v>1</v>
      </c>
      <c r="P112" s="3">
        <f>IF($H112="","",N112)</f>
      </c>
      <c r="Q112" s="3">
        <f>IF($H112="","",I112-J112-K112-M112-N112-O112)</f>
      </c>
      <c r="R112" s="3">
        <f>IF($H112="","",(Q112-Z112)/G112*100)</f>
      </c>
      <c r="S112" s="3">
        <f>IF($H112="","",J112-P112)</f>
      </c>
      <c r="AA112" s="3">
        <f>IF($H112="","",Q112-Z112)</f>
      </c>
    </row>
    <row r="113" spans="1:29" x14ac:dyDescent="0.25">
      <c r="A113" s="1"/>
      <c r="D113" s="2"/>
      <c r="G113" s="3"/>
      <c r="H113" s="3"/>
      <c r="I113" s="3">
        <f>IF($H113="","",H113-G113)</f>
      </c>
      <c r="J113" s="3">
        <f>IF($H113="","",I113*16.67%)</f>
      </c>
      <c r="K113" s="3"/>
      <c r="L113" s="3">
        <f>IF($H113="","",K113*20%)</f>
      </c>
      <c r="M113" s="3"/>
      <c r="N113" s="3">
        <f>IF($H113="","",M113*20%)</f>
      </c>
      <c r="O113" s="3">
        <v>1</v>
      </c>
      <c r="P113" s="3">
        <f>IF($H113="","",N113)</f>
      </c>
      <c r="Q113" s="3">
        <f>IF($H113="","",I113-J113-K113-M113-N113-O113)</f>
      </c>
      <c r="R113" s="3">
        <f>IF($H113="","",(Q113-Z113)/G113*100)</f>
      </c>
      <c r="S113" s="3">
        <f>IF($H113="","",J113-P113)</f>
      </c>
      <c r="AA113" s="3">
        <f>IF($H113="","",Q113-Z113)</f>
      </c>
    </row>
    <row r="114" spans="1:29" x14ac:dyDescent="0.25">
      <c r="A114" s="1"/>
      <c r="D114" s="2"/>
      <c r="G114" s="3"/>
      <c r="H114" s="3"/>
      <c r="I114" s="3">
        <f>IF($H114="","",H114-G114)</f>
      </c>
      <c r="J114" s="3">
        <f>IF($H114="","",I114*16.67%)</f>
      </c>
      <c r="K114" s="3"/>
      <c r="L114" s="3">
        <f>IF($H114="","",K114*20%)</f>
      </c>
      <c r="M114" s="3"/>
      <c r="N114" s="3">
        <f>IF($H114="","",M114*20%)</f>
      </c>
      <c r="O114" s="3">
        <v>1</v>
      </c>
      <c r="P114" s="3">
        <f>IF($H114="","",N114)</f>
      </c>
      <c r="Q114" s="3">
        <f>IF($H114="","",I114-J114-K114-M114-N114-O114)</f>
      </c>
      <c r="R114" s="3">
        <f>IF($H114="","",(Q114-Z114)/G114*100)</f>
      </c>
      <c r="S114" s="3">
        <f>IF($H114="","",J114-P114)</f>
      </c>
      <c r="AA114" s="3">
        <f>IF($H114="","",Q114-Z114)</f>
      </c>
    </row>
    <row r="115" spans="1:29" x14ac:dyDescent="0.25">
      <c r="A115" s="1"/>
      <c r="D115" s="2"/>
      <c r="G115" s="3"/>
      <c r="H115" s="3"/>
      <c r="I115" s="3">
        <f>IF($H115="","",H115-G115)</f>
      </c>
      <c r="J115" s="3">
        <f>IF($H115="","",I115*16.67%)</f>
      </c>
      <c r="K115" s="3"/>
      <c r="L115" s="3">
        <f>IF($H115="","",K115*20%)</f>
      </c>
      <c r="M115" s="3"/>
      <c r="N115" s="3">
        <f>IF($H115="","",M115*20%)</f>
      </c>
      <c r="O115" s="3">
        <v>1</v>
      </c>
      <c r="P115" s="3">
        <f>IF($H115="","",N115)</f>
      </c>
      <c r="Q115" s="3">
        <f>IF($H115="","",I115-J115-K115-M115-N115-O115)</f>
      </c>
      <c r="R115" s="3">
        <f>IF($H115="","",(Q115-Z115)/G115*100)</f>
      </c>
      <c r="S115" s="3">
        <f>IF($H115="","",J115-P115)</f>
      </c>
      <c r="AA115" s="3">
        <f>IF($H115="","",Q115-Z115)</f>
      </c>
    </row>
    <row r="116" spans="1:29" x14ac:dyDescent="0.25">
      <c r="A116" s="1"/>
      <c r="D116" s="2"/>
      <c r="G116" s="3"/>
      <c r="H116" s="3"/>
      <c r="I116" s="3">
        <f>IF($H116="","",H116-G116)</f>
      </c>
      <c r="J116" s="3">
        <f>IF($H116="","",I116*16.67%)</f>
      </c>
      <c r="K116" s="3"/>
      <c r="L116" s="3">
        <f>IF($H116="","",K116*20%)</f>
      </c>
      <c r="M116" s="3"/>
      <c r="N116" s="3">
        <f>IF($H116="","",M116*20%)</f>
      </c>
      <c r="O116" s="3">
        <v>1</v>
      </c>
      <c r="P116" s="3">
        <f>IF($H116="","",N116)</f>
      </c>
      <c r="Q116" s="3">
        <f>IF($H116="","",I116-J116-K116-M116-N116-O116)</f>
      </c>
      <c r="R116" s="3">
        <f>IF($H116="","",(Q116-Z116)/G116*100)</f>
      </c>
      <c r="S116" s="3">
        <f>IF($H116="","",J116-P116)</f>
      </c>
      <c r="AA116" s="3">
        <f>IF($H116="","",Q116-Z116)</f>
      </c>
    </row>
    <row r="117" spans="1:29" x14ac:dyDescent="0.25">
      <c r="A117" s="1"/>
      <c r="D117" s="2"/>
      <c r="G117" s="3"/>
      <c r="H117" s="3"/>
      <c r="I117" s="3">
        <f>IF($H117="","",H117-G117)</f>
      </c>
      <c r="J117" s="3">
        <f>IF($H117="","",I117*16.67%)</f>
      </c>
      <c r="K117" s="3"/>
      <c r="L117" s="3">
        <f>IF($H117="","",K117*20%)</f>
      </c>
      <c r="M117" s="3"/>
      <c r="N117" s="3">
        <f>IF($H117="","",M117*20%)</f>
      </c>
      <c r="O117" s="3">
        <v>1</v>
      </c>
      <c r="P117" s="3">
        <f>IF($H117="","",N117)</f>
      </c>
      <c r="Q117" s="3">
        <f>IF($H117="","",I117-J117-K117-M117-N117-O117)</f>
      </c>
      <c r="R117" s="3">
        <f>IF($H117="","",(Q117-Z117)/G117*100)</f>
      </c>
      <c r="S117" s="3">
        <f>IF($H117="","",J117-P117)</f>
      </c>
      <c r="AA117" s="3">
        <f>IF($H117="","",Q117-Z117)</f>
      </c>
    </row>
    <row r="118" spans="1:29" x14ac:dyDescent="0.25">
      <c r="A118" s="1"/>
      <c r="D118" s="2"/>
      <c r="G118" s="3"/>
      <c r="H118" s="3"/>
      <c r="I118" s="3">
        <f>IF($H118="","",H118-G118)</f>
      </c>
      <c r="J118" s="3">
        <f>IF($H118="","",I118*16.67%)</f>
      </c>
      <c r="K118" s="3"/>
      <c r="L118" s="3">
        <f>IF($H118="","",K118*20%)</f>
      </c>
      <c r="M118" s="3"/>
      <c r="N118" s="3">
        <f>IF($H118="","",M118*20%)</f>
      </c>
      <c r="O118" s="3">
        <v>1</v>
      </c>
      <c r="P118" s="3">
        <f>IF($H118="","",N118)</f>
      </c>
      <c r="Q118" s="3">
        <f>IF($H118="","",I118-J118-K118-M118-N118-O118)</f>
      </c>
      <c r="R118" s="3">
        <f>IF($H118="","",(Q118-Z118)/G118*100)</f>
      </c>
      <c r="S118" s="3">
        <f>IF($H118="","",J118-P118)</f>
      </c>
      <c r="AA118" s="3">
        <f>IF($H118="","",Q118-Z118)</f>
      </c>
    </row>
    <row r="119" spans="1:29" x14ac:dyDescent="0.25">
      <c r="A119" s="1"/>
      <c r="D119" s="2"/>
      <c r="G119" s="3"/>
      <c r="H119" s="3"/>
      <c r="I119" s="3">
        <f>IF($H119="","",H119-G119)</f>
      </c>
      <c r="J119" s="3">
        <f>IF($H119="","",I119*16.67%)</f>
      </c>
      <c r="K119" s="3"/>
      <c r="L119" s="3">
        <f>IF($H119="","",K119*20%)</f>
      </c>
      <c r="M119" s="3"/>
      <c r="N119" s="3">
        <f>IF($H119="","",M119*20%)</f>
      </c>
      <c r="O119" s="3">
        <v>1</v>
      </c>
      <c r="P119" s="3">
        <f>IF($H119="","",N119)</f>
      </c>
      <c r="Q119" s="3">
        <f>IF($H119="","",I119-J119-K119-M119-N119-O119)</f>
      </c>
      <c r="R119" s="3">
        <f>IF($H119="","",(Q119-Z119)/G119*100)</f>
      </c>
      <c r="S119" s="3">
        <f>IF($H119="","",J119-P119)</f>
      </c>
      <c r="AA119" s="3">
        <f>IF($H119="","",Q119-Z119)</f>
      </c>
    </row>
    <row r="120" spans="1:29" x14ac:dyDescent="0.25">
      <c r="A120" s="1"/>
      <c r="D120" s="2"/>
      <c r="G120" s="3"/>
      <c r="H120" s="3"/>
      <c r="I120" s="3">
        <f>IF($H120="","",H120-G120)</f>
      </c>
      <c r="J120" s="3">
        <f>IF($H120="","",I120*16.67%)</f>
      </c>
      <c r="K120" s="3"/>
      <c r="L120" s="3">
        <f>IF($H120="","",K120*20%)</f>
      </c>
      <c r="M120" s="3"/>
      <c r="N120" s="3">
        <f>IF($H120="","",M120*20%)</f>
      </c>
      <c r="O120" s="3">
        <v>1</v>
      </c>
      <c r="P120" s="3">
        <f>IF($H120="","",N120)</f>
      </c>
      <c r="Q120" s="3">
        <f>IF($H120="","",I120-J120-K120-M120-N120-O120)</f>
      </c>
      <c r="R120" s="3">
        <f>IF($H120="","",(Q120-Z120)/G120*100)</f>
      </c>
      <c r="S120" s="3">
        <f>IF($H120="","",J120-P120)</f>
      </c>
      <c r="AA120" s="3">
        <f>IF($H120="","",Q120-Z120)</f>
      </c>
    </row>
    <row r="121" spans="1:29" x14ac:dyDescent="0.25">
      <c r="A121" s="1"/>
      <c r="D121" s="2"/>
      <c r="G121" s="3"/>
      <c r="H121" s="3"/>
      <c r="I121" s="3">
        <f>IF($H121="","",H121-G121)</f>
      </c>
      <c r="J121" s="3">
        <f>IF($H121="","",I121*16.67%)</f>
      </c>
      <c r="K121" s="3"/>
      <c r="L121" s="3">
        <f>IF($H121="","",K121*20%)</f>
      </c>
      <c r="M121" s="3"/>
      <c r="N121" s="3">
        <f>IF($H121="","",M121*20%)</f>
      </c>
      <c r="O121" s="3">
        <v>1</v>
      </c>
      <c r="P121" s="3">
        <f>IF($H121="","",N121)</f>
      </c>
      <c r="Q121" s="3">
        <f>IF($H121="","",I121-J121-K121-M121-N121-O121)</f>
      </c>
      <c r="R121" s="3">
        <f>IF($H121="","",(Q121-Z121)/G121*100)</f>
      </c>
      <c r="S121" s="3">
        <f>IF($H121="","",J121-P121)</f>
      </c>
      <c r="AA121" s="3">
        <f>IF($H121="","",Q121-Z121)</f>
      </c>
    </row>
    <row r="122" spans="1:29" x14ac:dyDescent="0.25">
      <c r="A122" s="1"/>
      <c r="D122" s="2"/>
      <c r="G122" s="3"/>
      <c r="H122" s="3"/>
      <c r="I122" s="3">
        <f>IF($H122="","",H122-G122)</f>
      </c>
      <c r="J122" s="3">
        <f>IF($H122="","",I122*16.67%)</f>
      </c>
      <c r="K122" s="3"/>
      <c r="L122" s="3">
        <f>IF($H122="","",K122*20%)</f>
      </c>
      <c r="M122" s="3"/>
      <c r="N122" s="3">
        <f>IF($H122="","",M122*20%)</f>
      </c>
      <c r="O122" s="3">
        <v>1</v>
      </c>
      <c r="P122" s="3">
        <f>IF($H122="","",N122)</f>
      </c>
      <c r="Q122" s="3">
        <f>IF($H122="","",I122-J122-K122-M122-N122-O122)</f>
      </c>
      <c r="R122" s="3">
        <f>IF($H122="","",(Q122-Z122)/G122*100)</f>
      </c>
      <c r="S122" s="3">
        <f>IF($H122="","",J122-P122)</f>
      </c>
      <c r="AA122" s="3">
        <f>IF($H122="","",Q122-Z122)</f>
      </c>
    </row>
    <row r="123" spans="1:29" x14ac:dyDescent="0.25">
      <c r="A123" s="1"/>
      <c r="D123" s="2"/>
      <c r="G123" s="3"/>
      <c r="H123" s="3"/>
      <c r="I123" s="3">
        <f>IF($H123="","",H123-G123)</f>
      </c>
      <c r="J123" s="3">
        <f>IF($H123="","",I123*16.67%)</f>
      </c>
      <c r="K123" s="3"/>
      <c r="L123" s="3">
        <f>IF($H123="","",K123*20%)</f>
      </c>
      <c r="M123" s="3"/>
      <c r="N123" s="3">
        <f>IF($H123="","",M123*20%)</f>
      </c>
      <c r="O123" s="3">
        <v>1</v>
      </c>
      <c r="P123" s="3">
        <f>IF($H123="","",N123)</f>
      </c>
      <c r="Q123" s="3">
        <f>IF($H123="","",I123-J123-K123-M123-N123-O123)</f>
      </c>
      <c r="R123" s="3">
        <f>IF($H123="","",(Q123-Z123)/G123*100)</f>
      </c>
      <c r="S123" s="3">
        <f>IF($H123="","",J123-P123)</f>
      </c>
      <c r="AA123" s="3">
        <f>IF($H123="","",Q123-Z123)</f>
      </c>
    </row>
    <row r="124" spans="1:29" x14ac:dyDescent="0.25">
      <c r="A124" s="1"/>
      <c r="D124" s="2"/>
      <c r="G124" s="3"/>
      <c r="H124" s="3"/>
      <c r="I124" s="3">
        <f>IF($H124="","",H124-G124)</f>
      </c>
      <c r="J124" s="3">
        <f>IF($H124="","",I124*16.67%)</f>
      </c>
      <c r="K124" s="3"/>
      <c r="L124" s="3">
        <f>IF($H124="","",K124*20%)</f>
      </c>
      <c r="M124" s="3"/>
      <c r="N124" s="3">
        <f>IF($H124="","",M124*20%)</f>
      </c>
      <c r="O124" s="3">
        <v>1</v>
      </c>
      <c r="P124" s="3">
        <f>IF($H124="","",N124)</f>
      </c>
      <c r="Q124" s="3">
        <f>IF($H124="","",I124-J124-K124-M124-N124-O124)</f>
      </c>
      <c r="R124" s="3">
        <f>IF($H124="","",(Q124-Z124)/G124*100)</f>
      </c>
      <c r="S124" s="3">
        <f>IF($H124="","",J124-P124)</f>
      </c>
      <c r="AA124" s="3">
        <f>IF($H124="","",Q124-Z124)</f>
      </c>
    </row>
    <row r="125" spans="1:29" x14ac:dyDescent="0.25">
      <c r="A125" s="1"/>
      <c r="D125" s="2"/>
      <c r="G125" s="3"/>
      <c r="H125" s="3"/>
      <c r="I125" s="3">
        <f>IF($H125="","",H125-G125)</f>
      </c>
      <c r="J125" s="3">
        <f>IF($H125="","",I125*16.67%)</f>
      </c>
      <c r="K125" s="3"/>
      <c r="L125" s="3">
        <f>IF($H125="","",K125*20%)</f>
      </c>
      <c r="M125" s="3"/>
      <c r="N125" s="3">
        <f>IF($H125="","",M125*20%)</f>
      </c>
      <c r="O125" s="3">
        <v>1</v>
      </c>
      <c r="P125" s="3">
        <f>IF($H125="","",N125)</f>
      </c>
      <c r="Q125" s="3">
        <f>IF($H125="","",I125-J125-K125-M125-N125-O125)</f>
      </c>
      <c r="R125" s="3">
        <f>IF($H125="","",(Q125-Z125)/G125*100)</f>
      </c>
      <c r="S125" s="3">
        <f>IF($H125="","",J125-P125)</f>
      </c>
      <c r="AA125" s="3">
        <f>IF($H125="","",Q125-Z125)</f>
      </c>
    </row>
    <row r="126" spans="1:29" x14ac:dyDescent="0.25">
      <c r="A126" s="1"/>
      <c r="D126" s="2"/>
      <c r="G126" s="3"/>
      <c r="H126" s="3"/>
      <c r="I126" s="3">
        <f>IF($H126="","",H126-G126)</f>
      </c>
      <c r="J126" s="3">
        <f>IF($H126="","",I126*16.67%)</f>
      </c>
      <c r="K126" s="3"/>
      <c r="L126" s="3">
        <f>IF($H126="","",K126*20%)</f>
      </c>
      <c r="M126" s="3"/>
      <c r="N126" s="3">
        <f>IF($H126="","",M126*20%)</f>
      </c>
      <c r="O126" s="3">
        <v>1</v>
      </c>
      <c r="P126" s="3">
        <f>IF($H126="","",N126)</f>
      </c>
      <c r="Q126" s="3">
        <f>IF($H126="","",I126-J126-K126-M126-N126-O126)</f>
      </c>
      <c r="R126" s="3">
        <f>IF($H126="","",(Q126-Z126)/G126*100)</f>
      </c>
      <c r="S126" s="3">
        <f>IF($H126="","",J126-P126)</f>
      </c>
      <c r="AA126" s="3">
        <f>IF($H126="","",Q126-Z126)</f>
      </c>
    </row>
    <row r="127" spans="1:29" x14ac:dyDescent="0.25">
      <c r="A127" s="1"/>
      <c r="D127" s="2"/>
      <c r="G127" s="3"/>
      <c r="H127" s="3"/>
      <c r="I127" s="3">
        <f>IF($H127="","",H127-G127)</f>
      </c>
      <c r="J127" s="3">
        <f>IF($H127="","",I127*16.67%)</f>
      </c>
      <c r="K127" s="3"/>
      <c r="L127" s="3">
        <f>IF($H127="","",K127*20%)</f>
      </c>
      <c r="M127" s="3"/>
      <c r="N127" s="3">
        <f>IF($H127="","",M127*20%)</f>
      </c>
      <c r="O127" s="3">
        <v>1</v>
      </c>
      <c r="P127" s="3">
        <f>IF($H127="","",N127)</f>
      </c>
      <c r="Q127" s="3">
        <f>IF($H127="","",I127-J127-K127-M127-N127-O127)</f>
      </c>
      <c r="R127" s="3">
        <f>IF($H127="","",(Q127-Z127)/G127*100)</f>
      </c>
      <c r="S127" s="3">
        <f>IF($H127="","",J127-P127)</f>
      </c>
      <c r="AA127" s="3">
        <f>IF($H127="","",Q127-Z127)</f>
      </c>
    </row>
    <row r="128" spans="1:29" x14ac:dyDescent="0.25">
      <c r="A128" s="1"/>
      <c r="D128" s="2"/>
      <c r="G128" s="3"/>
      <c r="H128" s="3"/>
      <c r="I128" s="3">
        <f>IF($H128="","",H128-G128)</f>
      </c>
      <c r="J128" s="3">
        <f>IF($H128="","",I128*16.67%)</f>
      </c>
      <c r="K128" s="3"/>
      <c r="L128" s="3">
        <f>IF($H128="","",K128*20%)</f>
      </c>
      <c r="M128" s="3"/>
      <c r="N128" s="3">
        <f>IF($H128="","",M128*20%)</f>
      </c>
      <c r="O128" s="3">
        <v>1</v>
      </c>
      <c r="P128" s="3">
        <f>IF($H128="","",N128)</f>
      </c>
      <c r="Q128" s="3">
        <f>IF($H128="","",I128-J128-K128-M128-N128-O128)</f>
      </c>
      <c r="R128" s="3">
        <f>IF($H128="","",(Q128-Z128)/G128*100)</f>
      </c>
      <c r="S128" s="3">
        <f>IF($H128="","",J128-P128)</f>
      </c>
      <c r="AA128" s="3">
        <f>IF($H128="","",Q128-Z128)</f>
      </c>
    </row>
    <row r="129" spans="1:29" x14ac:dyDescent="0.25">
      <c r="A129" s="1"/>
      <c r="D129" s="2"/>
      <c r="G129" s="3"/>
      <c r="H129" s="3"/>
      <c r="I129" s="3">
        <f>IF($H129="","",H129-G129)</f>
      </c>
      <c r="J129" s="3">
        <f>IF($H129="","",I129*16.67%)</f>
      </c>
      <c r="K129" s="3"/>
      <c r="L129" s="3">
        <f>IF($H129="","",K129*20%)</f>
      </c>
      <c r="M129" s="3"/>
      <c r="N129" s="3">
        <f>IF($H129="","",M129*20%)</f>
      </c>
      <c r="O129" s="3">
        <v>1</v>
      </c>
      <c r="P129" s="3">
        <f>IF($H129="","",N129)</f>
      </c>
      <c r="Q129" s="3">
        <f>IF($H129="","",I129-J129-K129-M129-N129-O129)</f>
      </c>
      <c r="R129" s="3">
        <f>IF($H129="","",(Q129-Z129)/G129*100)</f>
      </c>
      <c r="S129" s="3">
        <f>IF($H129="","",J129-P129)</f>
      </c>
      <c r="AA129" s="3">
        <f>IF($H129="","",Q129-Z129)</f>
      </c>
    </row>
    <row r="130" spans="1:29" x14ac:dyDescent="0.25">
      <c r="A130" s="1"/>
      <c r="D130" s="2"/>
      <c r="G130" s="3"/>
      <c r="H130" s="3"/>
      <c r="I130" s="3">
        <f>IF($H130="","",H130-G130)</f>
      </c>
      <c r="J130" s="3">
        <f>IF($H130="","",I130*16.67%)</f>
      </c>
      <c r="K130" s="3"/>
      <c r="L130" s="3">
        <f>IF($H130="","",K130*20%)</f>
      </c>
      <c r="M130" s="3"/>
      <c r="N130" s="3">
        <f>IF($H130="","",M130*20%)</f>
      </c>
      <c r="O130" s="3">
        <v>1</v>
      </c>
      <c r="P130" s="3">
        <f>IF($H130="","",N130)</f>
      </c>
      <c r="Q130" s="3">
        <f>IF($H130="","",I130-J130-K130-M130-N130-O130)</f>
      </c>
      <c r="R130" s="3">
        <f>IF($H130="","",(Q130-Z130)/G130*100)</f>
      </c>
      <c r="S130" s="3">
        <f>IF($H130="","",J130-P130)</f>
      </c>
      <c r="AA130" s="3">
        <f>IF($H130="","",Q130-Z130)</f>
      </c>
    </row>
    <row r="131" spans="1:29" x14ac:dyDescent="0.25">
      <c r="A131" s="1"/>
      <c r="D131" s="2"/>
      <c r="G131" s="3"/>
      <c r="H131" s="3"/>
      <c r="I131" s="3">
        <f>IF($H131="","",H131-G131)</f>
      </c>
      <c r="J131" s="3">
        <f>IF($H131="","",I131*16.67%)</f>
      </c>
      <c r="K131" s="3"/>
      <c r="L131" s="3">
        <f>IF($H131="","",K131*20%)</f>
      </c>
      <c r="M131" s="3"/>
      <c r="N131" s="3">
        <f>IF($H131="","",M131*20%)</f>
      </c>
      <c r="O131" s="3">
        <v>1</v>
      </c>
      <c r="P131" s="3">
        <f>IF($H131="","",N131)</f>
      </c>
      <c r="Q131" s="3">
        <f>IF($H131="","",I131-J131-K131-M131-N131-O131)</f>
      </c>
      <c r="R131" s="3">
        <f>IF($H131="","",(Q131-Z131)/G131*100)</f>
      </c>
      <c r="S131" s="3">
        <f>IF($H131="","",J131-P131)</f>
      </c>
      <c r="AA131" s="3">
        <f>IF($H131="","",Q131-Z131)</f>
      </c>
    </row>
    <row r="132" spans="1:29" x14ac:dyDescent="0.25">
      <c r="A132" s="1"/>
      <c r="D132" s="2"/>
      <c r="G132" s="3"/>
      <c r="H132" s="3"/>
      <c r="I132" s="3">
        <f>IF($H132="","",H132-G132)</f>
      </c>
      <c r="J132" s="3">
        <f>IF($H132="","",I132*16.67%)</f>
      </c>
      <c r="K132" s="3"/>
      <c r="L132" s="3">
        <f>IF($H132="","",K132*20%)</f>
      </c>
      <c r="M132" s="3"/>
      <c r="N132" s="3">
        <f>IF($H132="","",M132*20%)</f>
      </c>
      <c r="O132" s="3">
        <v>1</v>
      </c>
      <c r="P132" s="3">
        <f>IF($H132="","",N132)</f>
      </c>
      <c r="Q132" s="3">
        <f>IF($H132="","",I132-J132-K132-M132-N132-O132)</f>
      </c>
      <c r="R132" s="3">
        <f>IF($H132="","",(Q132-Z132)/G132*100)</f>
      </c>
      <c r="S132" s="3">
        <f>IF($H132="","",J132-P132)</f>
      </c>
      <c r="AA132" s="3">
        <f>IF($H132="","",Q132-Z132)</f>
      </c>
    </row>
    <row r="133" spans="1:29" x14ac:dyDescent="0.25">
      <c r="A133" s="1"/>
      <c r="D133" s="2"/>
      <c r="G133" s="3"/>
      <c r="H133" s="3"/>
      <c r="I133" s="3">
        <f>IF($H133="","",H133-G133)</f>
      </c>
      <c r="J133" s="3">
        <f>IF($H133="","",I133*16.67%)</f>
      </c>
      <c r="K133" s="3"/>
      <c r="L133" s="3">
        <f>IF($H133="","",K133*20%)</f>
      </c>
      <c r="M133" s="3"/>
      <c r="N133" s="3">
        <f>IF($H133="","",M133*20%)</f>
      </c>
      <c r="O133" s="3">
        <v>1</v>
      </c>
      <c r="P133" s="3">
        <f>IF($H133="","",N133)</f>
      </c>
      <c r="Q133" s="3">
        <f>IF($H133="","",I133-J133-K133-M133-N133-O133)</f>
      </c>
      <c r="R133" s="3">
        <f>IF($H133="","",(Q133-Z133)/G133*100)</f>
      </c>
      <c r="S133" s="3">
        <f>IF($H133="","",J133-P133)</f>
      </c>
      <c r="AA133" s="3">
        <f>IF($H133="","",Q133-Z133)</f>
      </c>
    </row>
    <row r="134" spans="1:29" x14ac:dyDescent="0.25">
      <c r="A134" s="1"/>
      <c r="D134" s="2"/>
      <c r="G134" s="3"/>
      <c r="H134" s="3"/>
      <c r="I134" s="3">
        <f>IF($H134="","",H134-G134)</f>
      </c>
      <c r="J134" s="3">
        <f>IF($H134="","",I134*16.67%)</f>
      </c>
      <c r="K134" s="3"/>
      <c r="L134" s="3">
        <f>IF($H134="","",K134*20%)</f>
      </c>
      <c r="M134" s="3"/>
      <c r="N134" s="3">
        <f>IF($H134="","",M134*20%)</f>
      </c>
      <c r="O134" s="3">
        <v>1</v>
      </c>
      <c r="P134" s="3">
        <f>IF($H134="","",N134)</f>
      </c>
      <c r="Q134" s="3">
        <f>IF($H134="","",I134-J134-K134-M134-N134-O134)</f>
      </c>
      <c r="R134" s="3">
        <f>IF($H134="","",(Q134-Z134)/G134*100)</f>
      </c>
      <c r="S134" s="3">
        <f>IF($H134="","",J134-P134)</f>
      </c>
      <c r="AA134" s="3">
        <f>IF($H134="","",Q134-Z134)</f>
      </c>
    </row>
    <row r="135" spans="1:29" x14ac:dyDescent="0.25">
      <c r="A135" s="1"/>
      <c r="D135" s="2"/>
      <c r="G135" s="3"/>
      <c r="H135" s="3"/>
      <c r="I135" s="3">
        <f>IF($H135="","",H135-G135)</f>
      </c>
      <c r="J135" s="3">
        <f>IF($H135="","",I135*16.67%)</f>
      </c>
      <c r="K135" s="3"/>
      <c r="L135" s="3">
        <f>IF($H135="","",K135*20%)</f>
      </c>
      <c r="M135" s="3"/>
      <c r="N135" s="3">
        <f>IF($H135="","",M135*20%)</f>
      </c>
      <c r="O135" s="3">
        <v>1</v>
      </c>
      <c r="P135" s="3">
        <f>IF($H135="","",N135)</f>
      </c>
      <c r="Q135" s="3">
        <f>IF($H135="","",I135-J135-K135-M135-N135-O135)</f>
      </c>
      <c r="R135" s="3">
        <f>IF($H135="","",(Q135-Z135)/G135*100)</f>
      </c>
      <c r="S135" s="3">
        <f>IF($H135="","",J135-P135)</f>
      </c>
      <c r="AA135" s="3">
        <f>IF($H135="","",Q135-Z135)</f>
      </c>
    </row>
    <row r="136" spans="1:29" x14ac:dyDescent="0.25">
      <c r="A136" s="1"/>
      <c r="D136" s="2"/>
      <c r="G136" s="3"/>
      <c r="H136" s="3"/>
      <c r="I136" s="3">
        <f>IF($H136="","",H136-G136)</f>
      </c>
      <c r="J136" s="3">
        <f>IF($H136="","",I136*16.67%)</f>
      </c>
      <c r="K136" s="3"/>
      <c r="L136" s="3">
        <f>IF($H136="","",K136*20%)</f>
      </c>
      <c r="M136" s="3"/>
      <c r="N136" s="3">
        <f>IF($H136="","",M136*20%)</f>
      </c>
      <c r="O136" s="3">
        <v>1</v>
      </c>
      <c r="P136" s="3">
        <f>IF($H136="","",N136)</f>
      </c>
      <c r="Q136" s="3">
        <f>IF($H136="","",I136-J136-K136-M136-N136-O136)</f>
      </c>
      <c r="R136" s="3">
        <f>IF($H136="","",(Q136-Z136)/G136*100)</f>
      </c>
      <c r="S136" s="3">
        <f>IF($H136="","",J136-P136)</f>
      </c>
      <c r="AA136" s="3">
        <f>IF($H136="","",Q136-Z136)</f>
      </c>
    </row>
    <row r="137" spans="1:29" x14ac:dyDescent="0.25">
      <c r="A137" s="1"/>
      <c r="D137" s="2"/>
      <c r="G137" s="3"/>
      <c r="H137" s="3"/>
      <c r="I137" s="3">
        <f>IF($H137="","",H137-G137)</f>
      </c>
      <c r="J137" s="3">
        <f>IF($H137="","",I137*16.67%)</f>
      </c>
      <c r="K137" s="3"/>
      <c r="L137" s="3">
        <f>IF($H137="","",K137*20%)</f>
      </c>
      <c r="M137" s="3"/>
      <c r="N137" s="3">
        <f>IF($H137="","",M137*20%)</f>
      </c>
      <c r="O137" s="3">
        <v>1</v>
      </c>
      <c r="P137" s="3">
        <f>IF($H137="","",N137)</f>
      </c>
      <c r="Q137" s="3">
        <f>IF($H137="","",I137-J137-K137-M137-N137-O137)</f>
      </c>
      <c r="R137" s="3">
        <f>IF($H137="","",(Q137-Z137)/G137*100)</f>
      </c>
      <c r="S137" s="3">
        <f>IF($H137="","",J137-P137)</f>
      </c>
      <c r="AA137" s="3">
        <f>IF($H137="","",Q137-Z137)</f>
      </c>
    </row>
    <row r="138" spans="1:29" x14ac:dyDescent="0.25">
      <c r="A138" s="1"/>
      <c r="D138" s="2"/>
      <c r="G138" s="3"/>
      <c r="H138" s="3"/>
      <c r="I138" s="3">
        <f>IF($H138="","",H138-G138)</f>
      </c>
      <c r="J138" s="3">
        <f>IF($H138="","",I138*16.67%)</f>
      </c>
      <c r="K138" s="3"/>
      <c r="L138" s="3">
        <f>IF($H138="","",K138*20%)</f>
      </c>
      <c r="M138" s="3"/>
      <c r="N138" s="3">
        <f>IF($H138="","",M138*20%)</f>
      </c>
      <c r="O138" s="3">
        <v>1</v>
      </c>
      <c r="P138" s="3">
        <f>IF($H138="","",N138)</f>
      </c>
      <c r="Q138" s="3">
        <f>IF($H138="","",I138-J138-K138-M138-N138-O138)</f>
      </c>
      <c r="R138" s="3">
        <f>IF($H138="","",(Q138-Z138)/G138*100)</f>
      </c>
      <c r="S138" s="3">
        <f>IF($H138="","",J138-P138)</f>
      </c>
      <c r="AA138" s="3">
        <f>IF($H138="","",Q138-Z138)</f>
      </c>
    </row>
    <row r="139" spans="1:29" x14ac:dyDescent="0.25">
      <c r="A139" s="1"/>
      <c r="D139" s="2"/>
      <c r="G139" s="3"/>
      <c r="H139" s="3"/>
      <c r="I139" s="3">
        <f>IF($H139="","",H139-G139)</f>
      </c>
      <c r="J139" s="3">
        <f>IF($H139="","",I139*16.67%)</f>
      </c>
      <c r="K139" s="3"/>
      <c r="L139" s="3">
        <f>IF($H139="","",K139*20%)</f>
      </c>
      <c r="M139" s="3"/>
      <c r="N139" s="3">
        <f>IF($H139="","",M139*20%)</f>
      </c>
      <c r="O139" s="3">
        <v>1</v>
      </c>
      <c r="P139" s="3">
        <f>IF($H139="","",N139)</f>
      </c>
      <c r="Q139" s="3">
        <f>IF($H139="","",I139-J139-K139-M139-N139-O139)</f>
      </c>
      <c r="R139" s="3">
        <f>IF($H139="","",(Q139-Z139)/G139*100)</f>
      </c>
      <c r="S139" s="3">
        <f>IF($H139="","",J139-P139)</f>
      </c>
      <c r="AA139" s="3">
        <f>IF($H139="","",Q139-Z139)</f>
      </c>
    </row>
    <row r="140" spans="1:29" x14ac:dyDescent="0.25">
      <c r="A140" s="1"/>
      <c r="D140" s="2"/>
      <c r="G140" s="3"/>
      <c r="H140" s="3"/>
      <c r="I140" s="3">
        <f>IF($H140="","",H140-G140)</f>
      </c>
      <c r="J140" s="3">
        <f>IF($H140="","",I140*16.67%)</f>
      </c>
      <c r="K140" s="3"/>
      <c r="L140" s="3">
        <f>IF($H140="","",K140*20%)</f>
      </c>
      <c r="M140" s="3"/>
      <c r="N140" s="3">
        <f>IF($H140="","",M140*20%)</f>
      </c>
      <c r="O140" s="3">
        <v>1</v>
      </c>
      <c r="P140" s="3">
        <f>IF($H140="","",N140)</f>
      </c>
      <c r="Q140" s="3">
        <f>IF($H140="","",I140-J140-K140-M140-N140-O140)</f>
      </c>
      <c r="R140" s="3">
        <f>IF($H140="","",(Q140-Z140)/G140*100)</f>
      </c>
      <c r="S140" s="3">
        <f>IF($H140="","",J140-P140)</f>
      </c>
      <c r="AA140" s="3">
        <f>IF($H140="","",Q140-Z140)</f>
      </c>
    </row>
    <row r="141" spans="1:29" x14ac:dyDescent="0.25">
      <c r="A141" s="1"/>
      <c r="D141" s="2"/>
      <c r="G141" s="3"/>
      <c r="H141" s="3"/>
      <c r="I141" s="3">
        <f>IF($H141="","",H141-G141)</f>
      </c>
      <c r="J141" s="3">
        <f>IF($H141="","",I141*16.67%)</f>
      </c>
      <c r="K141" s="3"/>
      <c r="L141" s="3">
        <f>IF($H141="","",K141*20%)</f>
      </c>
      <c r="M141" s="3"/>
      <c r="N141" s="3">
        <f>IF($H141="","",M141*20%)</f>
      </c>
      <c r="O141" s="3">
        <v>1</v>
      </c>
      <c r="P141" s="3">
        <f>IF($H141="","",N141)</f>
      </c>
      <c r="Q141" s="3">
        <f>IF($H141="","",I141-J141-K141-M141-N141-O141)</f>
      </c>
      <c r="R141" s="3">
        <f>IF($H141="","",(Q141-Z141)/G141*100)</f>
      </c>
      <c r="S141" s="3">
        <f>IF($H141="","",J141-P141)</f>
      </c>
      <c r="AA141" s="3">
        <f>IF($H141="","",Q141-Z141)</f>
      </c>
    </row>
    <row r="142" spans="1:29" x14ac:dyDescent="0.25">
      <c r="A142" s="1"/>
      <c r="D142" s="2"/>
      <c r="G142" s="3"/>
      <c r="H142" s="3"/>
      <c r="I142" s="3">
        <f>IF($H142="","",H142-G142)</f>
      </c>
      <c r="J142" s="3">
        <f>IF($H142="","",I142*16.67%)</f>
      </c>
      <c r="K142" s="3"/>
      <c r="L142" s="3">
        <f>IF($H142="","",K142*20%)</f>
      </c>
      <c r="M142" s="3"/>
      <c r="N142" s="3">
        <f>IF($H142="","",M142*20%)</f>
      </c>
      <c r="O142" s="3">
        <v>1</v>
      </c>
      <c r="P142" s="3">
        <f>IF($H142="","",N142)</f>
      </c>
      <c r="Q142" s="3">
        <f>IF($H142="","",I142-J142-K142-M142-N142-O142)</f>
      </c>
      <c r="R142" s="3">
        <f>IF($H142="","",(Q142-Z142)/G142*100)</f>
      </c>
      <c r="S142" s="3">
        <f>IF($H142="","",J142-P142)</f>
      </c>
      <c r="AA142" s="3">
        <f>IF($H142="","",Q142-Z142)</f>
      </c>
    </row>
    <row r="143" spans="1:29" x14ac:dyDescent="0.25">
      <c r="A143" s="1"/>
      <c r="D143" s="2"/>
      <c r="G143" s="3"/>
      <c r="H143" s="3"/>
      <c r="I143" s="3">
        <f>IF($H143="","",H143-G143)</f>
      </c>
      <c r="J143" s="3">
        <f>IF($H143="","",I143*16.67%)</f>
      </c>
      <c r="K143" s="3"/>
      <c r="L143" s="3">
        <f>IF($H143="","",K143*20%)</f>
      </c>
      <c r="M143" s="3"/>
      <c r="N143" s="3">
        <f>IF($H143="","",M143*20%)</f>
      </c>
      <c r="O143" s="3">
        <v>1</v>
      </c>
      <c r="P143" s="3">
        <f>IF($H143="","",N143)</f>
      </c>
      <c r="Q143" s="3">
        <f>IF($H143="","",I143-J143-K143-M143-N143-O143)</f>
      </c>
      <c r="R143" s="3">
        <f>IF($H143="","",(Q143-Z143)/G143*100)</f>
      </c>
      <c r="S143" s="3">
        <f>IF($H143="","",J143-P143)</f>
      </c>
      <c r="AA143" s="3">
        <f>IF($H143="","",Q143-Z143)</f>
      </c>
    </row>
    <row r="144" spans="1:29" x14ac:dyDescent="0.25">
      <c r="A144" s="1"/>
      <c r="D144" s="2"/>
      <c r="G144" s="3"/>
      <c r="H144" s="3"/>
      <c r="I144" s="3">
        <f>IF($H144="","",H144-G144)</f>
      </c>
      <c r="J144" s="3">
        <f>IF($H144="","",I144*16.67%)</f>
      </c>
      <c r="K144" s="3"/>
      <c r="L144" s="3">
        <f>IF($H144="","",K144*20%)</f>
      </c>
      <c r="M144" s="3"/>
      <c r="N144" s="3">
        <f>IF($H144="","",M144*20%)</f>
      </c>
      <c r="O144" s="3">
        <v>1</v>
      </c>
      <c r="P144" s="3">
        <f>IF($H144="","",N144)</f>
      </c>
      <c r="Q144" s="3">
        <f>IF($H144="","",I144-J144-K144-M144-N144-O144)</f>
      </c>
      <c r="R144" s="3">
        <f>IF($H144="","",(Q144-Z144)/G144*100)</f>
      </c>
      <c r="S144" s="3">
        <f>IF($H144="","",J144-P144)</f>
      </c>
      <c r="AA144" s="3">
        <f>IF($H144="","",Q144-Z144)</f>
      </c>
    </row>
    <row r="145" spans="1:29" x14ac:dyDescent="0.25">
      <c r="A145" s="1"/>
      <c r="D145" s="2"/>
      <c r="G145" s="3"/>
      <c r="H145" s="3"/>
      <c r="I145" s="3">
        <f>IF($H145="","",H145-G145)</f>
      </c>
      <c r="J145" s="3">
        <f>IF($H145="","",I145*16.67%)</f>
      </c>
      <c r="K145" s="3"/>
      <c r="L145" s="3">
        <f>IF($H145="","",K145*20%)</f>
      </c>
      <c r="M145" s="3"/>
      <c r="N145" s="3">
        <f>IF($H145="","",M145*20%)</f>
      </c>
      <c r="O145" s="3">
        <v>1</v>
      </c>
      <c r="P145" s="3">
        <f>IF($H145="","",N145)</f>
      </c>
      <c r="Q145" s="3">
        <f>IF($H145="","",I145-J145-K145-M145-N145-O145)</f>
      </c>
      <c r="R145" s="3">
        <f>IF($H145="","",(Q145-Z145)/G145*100)</f>
      </c>
      <c r="S145" s="3">
        <f>IF($H145="","",J145-P145)</f>
      </c>
      <c r="AA145" s="3">
        <f>IF($H145="","",Q145-Z145)</f>
      </c>
    </row>
    <row r="146" spans="1:29" x14ac:dyDescent="0.25">
      <c r="A146" s="1"/>
      <c r="D146" s="2"/>
      <c r="G146" s="3"/>
      <c r="H146" s="3"/>
      <c r="I146" s="3">
        <f>IF($H146="","",H146-G146)</f>
      </c>
      <c r="J146" s="3">
        <f>IF($H146="","",I146*16.67%)</f>
      </c>
      <c r="K146" s="3"/>
      <c r="L146" s="3">
        <f>IF($H146="","",K146*20%)</f>
      </c>
      <c r="M146" s="3"/>
      <c r="N146" s="3">
        <f>IF($H146="","",M146*20%)</f>
      </c>
      <c r="O146" s="3">
        <v>1</v>
      </c>
      <c r="P146" s="3">
        <f>IF($H146="","",N146)</f>
      </c>
      <c r="Q146" s="3">
        <f>IF($H146="","",I146-J146-K146-M146-N146-O146)</f>
      </c>
      <c r="R146" s="3">
        <f>IF($H146="","",(Q146-Z146)/G146*100)</f>
      </c>
      <c r="S146" s="3">
        <f>IF($H146="","",J146-P146)</f>
      </c>
      <c r="AA146" s="3">
        <f>IF($H146="","",Q146-Z146)</f>
      </c>
    </row>
    <row r="147" spans="1:29" x14ac:dyDescent="0.25">
      <c r="A147" s="1"/>
      <c r="D147" s="2"/>
      <c r="G147" s="3"/>
      <c r="H147" s="3"/>
      <c r="I147" s="3">
        <f>IF($H147="","",H147-G147)</f>
      </c>
      <c r="J147" s="3">
        <f>IF($H147="","",I147*16.67%)</f>
      </c>
      <c r="K147" s="3"/>
      <c r="L147" s="3">
        <f>IF($H147="","",K147*20%)</f>
      </c>
      <c r="M147" s="3"/>
      <c r="N147" s="3">
        <f>IF($H147="","",M147*20%)</f>
      </c>
      <c r="O147" s="3">
        <v>1</v>
      </c>
      <c r="P147" s="3">
        <f>IF($H147="","",N147)</f>
      </c>
      <c r="Q147" s="3">
        <f>IF($H147="","",I147-J147-K147-M147-N147-O147)</f>
      </c>
      <c r="R147" s="3">
        <f>IF($H147="","",(Q147-Z147)/G147*100)</f>
      </c>
      <c r="S147" s="3">
        <f>IF($H147="","",J147-P147)</f>
      </c>
      <c r="AA147" s="3">
        <f>IF($H147="","",Q147-Z147)</f>
      </c>
    </row>
    <row r="148" spans="1:29" x14ac:dyDescent="0.25">
      <c r="A148" s="1"/>
      <c r="D148" s="2"/>
      <c r="G148" s="3"/>
      <c r="H148" s="3"/>
      <c r="I148" s="3">
        <f>IF($H148="","",H148-G148)</f>
      </c>
      <c r="J148" s="3">
        <f>IF($H148="","",I148*16.67%)</f>
      </c>
      <c r="K148" s="3"/>
      <c r="L148" s="3">
        <f>IF($H148="","",K148*20%)</f>
      </c>
      <c r="M148" s="3"/>
      <c r="N148" s="3">
        <f>IF($H148="","",M148*20%)</f>
      </c>
      <c r="O148" s="3">
        <v>1</v>
      </c>
      <c r="P148" s="3">
        <f>IF($H148="","",N148)</f>
      </c>
      <c r="Q148" s="3">
        <f>IF($H148="","",I148-J148-K148-M148-N148-O148)</f>
      </c>
      <c r="R148" s="3">
        <f>IF($H148="","",(Q148-Z148)/G148*100)</f>
      </c>
      <c r="S148" s="3">
        <f>IF($H148="","",J148-P148)</f>
      </c>
      <c r="AA148" s="3">
        <f>IF($H148="","",Q148-Z148)</f>
      </c>
    </row>
    <row r="149" spans="1:29" x14ac:dyDescent="0.25">
      <c r="A149" s="1"/>
      <c r="D149" s="2"/>
      <c r="G149" s="3"/>
      <c r="H149" s="3"/>
      <c r="I149" s="3">
        <f>IF($H149="","",H149-G149)</f>
      </c>
      <c r="J149" s="3">
        <f>IF($H149="","",I149*16.67%)</f>
      </c>
      <c r="K149" s="3"/>
      <c r="L149" s="3">
        <f>IF($H149="","",K149*20%)</f>
      </c>
      <c r="M149" s="3"/>
      <c r="N149" s="3">
        <f>IF($H149="","",M149*20%)</f>
      </c>
      <c r="O149" s="3">
        <v>1</v>
      </c>
      <c r="P149" s="3">
        <f>IF($H149="","",N149)</f>
      </c>
      <c r="Q149" s="3">
        <f>IF($H149="","",I149-J149-K149-M149-N149-O149)</f>
      </c>
      <c r="R149" s="3">
        <f>IF($H149="","",(Q149-Z149)/G149*100)</f>
      </c>
      <c r="S149" s="3">
        <f>IF($H149="","",J149-P149)</f>
      </c>
      <c r="AA149" s="3">
        <f>IF($H149="","",Q149-Z149)</f>
      </c>
    </row>
    <row r="150" spans="1:29" x14ac:dyDescent="0.25">
      <c r="A150" s="1"/>
      <c r="D150" s="2"/>
      <c r="G150" s="3"/>
      <c r="H150" s="3"/>
      <c r="I150" s="3">
        <f>IF($H150="","",H150-G150)</f>
      </c>
      <c r="J150" s="3">
        <f>IF($H150="","",I150*16.67%)</f>
      </c>
      <c r="K150" s="3"/>
      <c r="L150" s="3">
        <f>IF($H150="","",K150*20%)</f>
      </c>
      <c r="M150" s="3"/>
      <c r="N150" s="3">
        <f>IF($H150="","",M150*20%)</f>
      </c>
      <c r="O150" s="3">
        <v>1</v>
      </c>
      <c r="P150" s="3">
        <f>IF($H150="","",N150)</f>
      </c>
      <c r="Q150" s="3">
        <f>IF($H150="","",I150-J150-K150-M150-N150-O150)</f>
      </c>
      <c r="R150" s="3">
        <f>IF($H150="","",(Q150-Z150)/G150*100)</f>
      </c>
      <c r="S150" s="3">
        <f>IF($H150="","",J150-P150)</f>
      </c>
      <c r="AA150" s="3">
        <f>IF($H150="","",Q150-Z150)</f>
      </c>
    </row>
    <row r="151" spans="1:29" x14ac:dyDescent="0.25">
      <c r="A151" s="1"/>
      <c r="D151" s="2"/>
      <c r="G151" s="3"/>
      <c r="H151" s="3"/>
      <c r="I151" s="3">
        <f>IF($H151="","",H151-G151)</f>
      </c>
      <c r="J151" s="3">
        <f>IF($H151="","",I151*16.67%)</f>
      </c>
      <c r="K151" s="3"/>
      <c r="L151" s="3">
        <f>IF($H151="","",K151*20%)</f>
      </c>
      <c r="M151" s="3"/>
      <c r="N151" s="3">
        <f>IF($H151="","",M151*20%)</f>
      </c>
      <c r="O151" s="3">
        <v>1</v>
      </c>
      <c r="P151" s="3">
        <f>IF($H151="","",N151)</f>
      </c>
      <c r="Q151" s="3">
        <f>IF($H151="","",I151-J151-K151-M151-N151-O151)</f>
      </c>
      <c r="R151" s="3">
        <f>IF($H151="","",(Q151-Z151)/G151*100)</f>
      </c>
      <c r="S151" s="3">
        <f>IF($H151="","",J151-P151)</f>
      </c>
      <c r="AA151" s="3">
        <f>IF($H151="","",Q151-Z151)</f>
      </c>
    </row>
    <row r="152" spans="1:29" x14ac:dyDescent="0.25">
      <c r="A152" s="1"/>
      <c r="D152" s="2"/>
      <c r="G152" s="3"/>
      <c r="H152" s="3"/>
      <c r="I152" s="3">
        <f>IF($H152="","",H152-G152)</f>
      </c>
      <c r="J152" s="3">
        <f>IF($H152="","",I152*16.67%)</f>
      </c>
      <c r="K152" s="3"/>
      <c r="L152" s="3">
        <f>IF($H152="","",K152*20%)</f>
      </c>
      <c r="M152" s="3"/>
      <c r="N152" s="3">
        <f>IF($H152="","",M152*20%)</f>
      </c>
      <c r="O152" s="3">
        <v>1</v>
      </c>
      <c r="P152" s="3">
        <f>IF($H152="","",N152)</f>
      </c>
      <c r="Q152" s="3">
        <f>IF($H152="","",I152-J152-K152-M152-N152-O152)</f>
      </c>
      <c r="R152" s="3">
        <f>IF($H152="","",(Q152-Z152)/G152*100)</f>
      </c>
      <c r="S152" s="3">
        <f>IF($H152="","",J152-P152)</f>
      </c>
      <c r="AA152" s="3">
        <f>IF($H152="","",Q152-Z152)</f>
      </c>
    </row>
    <row r="153" spans="1:29" x14ac:dyDescent="0.25">
      <c r="A153" s="1"/>
      <c r="D153" s="2"/>
      <c r="G153" s="3"/>
      <c r="H153" s="3"/>
      <c r="I153" s="3">
        <f>IF($H153="","",H153-G153)</f>
      </c>
      <c r="J153" s="3">
        <f>IF($H153="","",I153*16.67%)</f>
      </c>
      <c r="K153" s="3"/>
      <c r="L153" s="3">
        <f>IF($H153="","",K153*20%)</f>
      </c>
      <c r="M153" s="3"/>
      <c r="N153" s="3">
        <f>IF($H153="","",M153*20%)</f>
      </c>
      <c r="O153" s="3">
        <v>1</v>
      </c>
      <c r="P153" s="3">
        <f>IF($H153="","",N153)</f>
      </c>
      <c r="Q153" s="3">
        <f>IF($H153="","",I153-J153-K153-M153-N153-O153)</f>
      </c>
      <c r="R153" s="3">
        <f>IF($H153="","",(Q153-Z153)/G153*100)</f>
      </c>
      <c r="S153" s="3">
        <f>IF($H153="","",J153-P153)</f>
      </c>
      <c r="AA153" s="3">
        <f>IF($H153="","",Q153-Z153)</f>
      </c>
    </row>
    <row r="154" spans="1:29" x14ac:dyDescent="0.25">
      <c r="A154" s="1"/>
      <c r="D154" s="2"/>
      <c r="G154" s="3"/>
      <c r="H154" s="3"/>
      <c r="I154" s="3">
        <f>IF($H154="","",H154-G154)</f>
      </c>
      <c r="J154" s="3">
        <f>IF($H154="","",I154*16.67%)</f>
      </c>
      <c r="K154" s="3"/>
      <c r="L154" s="3">
        <f>IF($H154="","",K154*20%)</f>
      </c>
      <c r="M154" s="3"/>
      <c r="N154" s="3">
        <f>IF($H154="","",M154*20%)</f>
      </c>
      <c r="O154" s="3">
        <v>1</v>
      </c>
      <c r="P154" s="3">
        <f>IF($H154="","",N154)</f>
      </c>
      <c r="Q154" s="3">
        <f>IF($H154="","",I154-J154-K154-M154-N154-O154)</f>
      </c>
      <c r="R154" s="3">
        <f>IF($H154="","",(Q154-Z154)/G154*100)</f>
      </c>
      <c r="S154" s="3">
        <f>IF($H154="","",J154-P154)</f>
      </c>
      <c r="AA154" s="3">
        <f>IF($H154="","",Q154-Z154)</f>
      </c>
    </row>
    <row r="155" spans="1:29" x14ac:dyDescent="0.25">
      <c r="A155" s="1"/>
      <c r="D155" s="2"/>
      <c r="G155" s="3"/>
      <c r="H155" s="3"/>
      <c r="I155" s="3">
        <f>IF($H155="","",H155-G155)</f>
      </c>
      <c r="J155" s="3">
        <f>IF($H155="","",I155*16.67%)</f>
      </c>
      <c r="K155" s="3"/>
      <c r="L155" s="3">
        <f>IF($H155="","",K155*20%)</f>
      </c>
      <c r="M155" s="3"/>
      <c r="N155" s="3">
        <f>IF($H155="","",M155*20%)</f>
      </c>
      <c r="O155" s="3">
        <v>1</v>
      </c>
      <c r="P155" s="3">
        <f>IF($H155="","",N155)</f>
      </c>
      <c r="Q155" s="3">
        <f>IF($H155="","",I155-J155-K155-M155-N155-O155)</f>
      </c>
      <c r="R155" s="3">
        <f>IF($H155="","",(Q155-Z155)/G155*100)</f>
      </c>
      <c r="S155" s="3">
        <f>IF($H155="","",J155-P155)</f>
      </c>
      <c r="AA155" s="3">
        <f>IF($H155="","",Q155-Z155)</f>
      </c>
    </row>
    <row r="156" spans="1:29" x14ac:dyDescent="0.25">
      <c r="A156" s="1"/>
      <c r="D156" s="2"/>
      <c r="G156" s="3"/>
      <c r="H156" s="3"/>
      <c r="I156" s="3">
        <f>IF($H156="","",H156-G156)</f>
      </c>
      <c r="J156" s="3">
        <f>IF($H156="","",I156*16.67%)</f>
      </c>
      <c r="K156" s="3"/>
      <c r="L156" s="3">
        <f>IF($H156="","",K156*20%)</f>
      </c>
      <c r="M156" s="3"/>
      <c r="N156" s="3">
        <f>IF($H156="","",M156*20%)</f>
      </c>
      <c r="O156" s="3">
        <v>1</v>
      </c>
      <c r="P156" s="3">
        <f>IF($H156="","",N156)</f>
      </c>
      <c r="Q156" s="3">
        <f>IF($H156="","",I156-J156-K156-M156-N156-O156)</f>
      </c>
      <c r="R156" s="3">
        <f>IF($H156="","",(Q156-Z156)/G156*100)</f>
      </c>
      <c r="S156" s="3">
        <f>IF($H156="","",J156-P156)</f>
      </c>
      <c r="AA156" s="3">
        <f>IF($H156="","",Q156-Z156)</f>
      </c>
    </row>
    <row r="157" spans="1:29" x14ac:dyDescent="0.25">
      <c r="A157" s="1"/>
      <c r="D157" s="2"/>
      <c r="G157" s="3"/>
      <c r="H157" s="3"/>
      <c r="I157" s="3">
        <f>IF($H157="","",H157-G157)</f>
      </c>
      <c r="J157" s="3">
        <f>IF($H157="","",I157*16.67%)</f>
      </c>
      <c r="K157" s="3"/>
      <c r="L157" s="3">
        <f>IF($H157="","",K157*20%)</f>
      </c>
      <c r="M157" s="3"/>
      <c r="N157" s="3">
        <f>IF($H157="","",M157*20%)</f>
      </c>
      <c r="O157" s="3">
        <v>1</v>
      </c>
      <c r="P157" s="3">
        <f>IF($H157="","",N157)</f>
      </c>
      <c r="Q157" s="3">
        <f>IF($H157="","",I157-J157-K157-M157-N157-O157)</f>
      </c>
      <c r="R157" s="3">
        <f>IF($H157="","",(Q157-Z157)/G157*100)</f>
      </c>
      <c r="S157" s="3">
        <f>IF($H157="","",J157-P157)</f>
      </c>
      <c r="AA157" s="3">
        <f>IF($H157="","",Q157-Z157)</f>
      </c>
    </row>
    <row r="158" spans="1:29" x14ac:dyDescent="0.25">
      <c r="A158" s="1"/>
      <c r="D158" s="2"/>
      <c r="G158" s="3"/>
      <c r="H158" s="3"/>
      <c r="I158" s="3">
        <f>IF($H158="","",H158-G158)</f>
      </c>
      <c r="J158" s="3">
        <f>IF($H158="","",I158*16.67%)</f>
      </c>
      <c r="K158" s="3"/>
      <c r="L158" s="3">
        <f>IF($H158="","",K158*20%)</f>
      </c>
      <c r="M158" s="3"/>
      <c r="N158" s="3">
        <f>IF($H158="","",M158*20%)</f>
      </c>
      <c r="O158" s="3">
        <v>1</v>
      </c>
      <c r="P158" s="3">
        <f>IF($H158="","",N158)</f>
      </c>
      <c r="Q158" s="3">
        <f>IF($H158="","",I158-J158-K158-M158-N158-O158)</f>
      </c>
      <c r="R158" s="3">
        <f>IF($H158="","",(Q158-Z158)/G158*100)</f>
      </c>
      <c r="S158" s="3">
        <f>IF($H158="","",J158-P158)</f>
      </c>
      <c r="AA158" s="3">
        <f>IF($H158="","",Q158-Z158)</f>
      </c>
    </row>
    <row r="159" spans="1:29" x14ac:dyDescent="0.25">
      <c r="A159" s="1"/>
      <c r="D159" s="2"/>
      <c r="G159" s="3"/>
      <c r="H159" s="3"/>
      <c r="I159" s="3">
        <f>IF($H159="","",H159-G159)</f>
      </c>
      <c r="J159" s="3">
        <f>IF($H159="","",I159*16.67%)</f>
      </c>
      <c r="K159" s="3"/>
      <c r="L159" s="3">
        <f>IF($H159="","",K159*20%)</f>
      </c>
      <c r="M159" s="3"/>
      <c r="N159" s="3">
        <f>IF($H159="","",M159*20%)</f>
      </c>
      <c r="O159" s="3">
        <v>1</v>
      </c>
      <c r="P159" s="3">
        <f>IF($H159="","",N159)</f>
      </c>
      <c r="Q159" s="3">
        <f>IF($H159="","",I159-J159-K159-M159-N159-O159)</f>
      </c>
      <c r="R159" s="3">
        <f>IF($H159="","",(Q159-Z159)/G159*100)</f>
      </c>
      <c r="S159" s="3">
        <f>IF($H159="","",J159-P159)</f>
      </c>
      <c r="AA159" s="3">
        <f>IF($H159="","",Q159-Z159)</f>
      </c>
    </row>
    <row r="160" spans="1:29" x14ac:dyDescent="0.25">
      <c r="A160" s="1"/>
      <c r="D160" s="2"/>
      <c r="G160" s="3"/>
      <c r="H160" s="3"/>
      <c r="I160" s="3">
        <f>IF($H160="","",H160-G160)</f>
      </c>
      <c r="J160" s="3">
        <f>IF($H160="","",I160*16.67%)</f>
      </c>
      <c r="K160" s="3"/>
      <c r="L160" s="3">
        <f>IF($H160="","",K160*20%)</f>
      </c>
      <c r="M160" s="3"/>
      <c r="N160" s="3">
        <f>IF($H160="","",M160*20%)</f>
      </c>
      <c r="O160" s="3">
        <v>1</v>
      </c>
      <c r="P160" s="3">
        <f>IF($H160="","",N160)</f>
      </c>
      <c r="Q160" s="3">
        <f>IF($H160="","",I160-J160-K160-M160-N160-O160)</f>
      </c>
      <c r="R160" s="3">
        <f>IF($H160="","",(Q160-Z160)/G160*100)</f>
      </c>
      <c r="S160" s="3">
        <f>IF($H160="","",J160-P160)</f>
      </c>
      <c r="AA160" s="3">
        <f>IF($H160="","",Q160-Z160)</f>
      </c>
    </row>
    <row r="161" spans="1:29" x14ac:dyDescent="0.25">
      <c r="A161" s="1"/>
      <c r="D161" s="2"/>
      <c r="G161" s="3"/>
      <c r="H161" s="3"/>
      <c r="I161" s="3">
        <f>IF($H161="","",H161-G161)</f>
      </c>
      <c r="J161" s="3">
        <f>IF($H161="","",I161*16.67%)</f>
      </c>
      <c r="K161" s="3"/>
      <c r="L161" s="3">
        <f>IF($H161="","",K161*20%)</f>
      </c>
      <c r="M161" s="3"/>
      <c r="N161" s="3">
        <f>IF($H161="","",M161*20%)</f>
      </c>
      <c r="O161" s="3">
        <v>1</v>
      </c>
      <c r="P161" s="3">
        <f>IF($H161="","",N161)</f>
      </c>
      <c r="Q161" s="3">
        <f>IF($H161="","",I161-J161-K161-M161-N161-O161)</f>
      </c>
      <c r="R161" s="3">
        <f>IF($H161="","",(Q161-Z161)/G161*100)</f>
      </c>
      <c r="S161" s="3">
        <f>IF($H161="","",J161-P161)</f>
      </c>
      <c r="AA161" s="3">
        <f>IF($H161="","",Q161-Z161)</f>
      </c>
    </row>
    <row r="162" spans="1:29" x14ac:dyDescent="0.25">
      <c r="A162" s="1"/>
      <c r="D162" s="2"/>
      <c r="G162" s="3"/>
      <c r="H162" s="3"/>
      <c r="I162" s="3">
        <f>IF($H162="","",H162-G162)</f>
      </c>
      <c r="J162" s="3">
        <f>IF($H162="","",I162*16.67%)</f>
      </c>
      <c r="K162" s="3"/>
      <c r="L162" s="3">
        <f>IF($H162="","",K162*20%)</f>
      </c>
      <c r="M162" s="3"/>
      <c r="N162" s="3">
        <f>IF($H162="","",M162*20%)</f>
      </c>
      <c r="O162" s="3">
        <v>1</v>
      </c>
      <c r="P162" s="3">
        <f>IF($H162="","",N162)</f>
      </c>
      <c r="Q162" s="3">
        <f>IF($H162="","",I162-J162-K162-M162-N162-O162)</f>
      </c>
      <c r="R162" s="3">
        <f>IF($H162="","",(Q162-Z162)/G162*100)</f>
      </c>
      <c r="S162" s="3">
        <f>IF($H162="","",J162-P162)</f>
      </c>
      <c r="AA162" s="3">
        <f>IF($H162="","",Q162-Z162)</f>
      </c>
    </row>
    <row r="163" spans="1:29" x14ac:dyDescent="0.25">
      <c r="A163" s="1"/>
      <c r="D163" s="2"/>
      <c r="G163" s="3"/>
      <c r="H163" s="3"/>
      <c r="I163" s="3">
        <f>IF($H163="","",H163-G163)</f>
      </c>
      <c r="J163" s="3">
        <f>IF($H163="","",I163*16.67%)</f>
      </c>
      <c r="K163" s="3"/>
      <c r="L163" s="3">
        <f>IF($H163="","",K163*20%)</f>
      </c>
      <c r="M163" s="3"/>
      <c r="N163" s="3">
        <f>IF($H163="","",M163*20%)</f>
      </c>
      <c r="O163" s="3">
        <v>1</v>
      </c>
      <c r="P163" s="3">
        <f>IF($H163="","",N163)</f>
      </c>
      <c r="Q163" s="3">
        <f>IF($H163="","",I163-J163-K163-M163-N163-O163)</f>
      </c>
      <c r="R163" s="3">
        <f>IF($H163="","",(Q163-Z163)/G163*100)</f>
      </c>
      <c r="S163" s="3">
        <f>IF($H163="","",J163-P163)</f>
      </c>
      <c r="AA163" s="3">
        <f>IF($H163="","",Q163-Z163)</f>
      </c>
    </row>
    <row r="164" spans="1:29" x14ac:dyDescent="0.25">
      <c r="A164" s="1"/>
      <c r="D164" s="2"/>
      <c r="G164" s="3"/>
      <c r="H164" s="3"/>
      <c r="I164" s="3">
        <f>IF($H164="","",H164-G164)</f>
      </c>
      <c r="J164" s="3">
        <f>IF($H164="","",I164*16.67%)</f>
      </c>
      <c r="K164" s="3"/>
      <c r="L164" s="3">
        <f>IF($H164="","",K164*20%)</f>
      </c>
      <c r="M164" s="3"/>
      <c r="N164" s="3">
        <f>IF($H164="","",M164*20%)</f>
      </c>
      <c r="O164" s="3">
        <v>1</v>
      </c>
      <c r="P164" s="3">
        <f>IF($H164="","",N164)</f>
      </c>
      <c r="Q164" s="3">
        <f>IF($H164="","",I164-J164-K164-M164-N164-O164)</f>
      </c>
      <c r="R164" s="3">
        <f>IF($H164="","",(Q164-Z164)/G164*100)</f>
      </c>
      <c r="S164" s="3">
        <f>IF($H164="","",J164-P164)</f>
      </c>
      <c r="AA164" s="3">
        <f>IF($H164="","",Q164-Z164)</f>
      </c>
    </row>
    <row r="165" spans="1:29" x14ac:dyDescent="0.25">
      <c r="A165" s="1"/>
      <c r="D165" s="2"/>
      <c r="G165" s="3"/>
      <c r="H165" s="3"/>
      <c r="I165" s="3">
        <f>IF($H165="","",H165-G165)</f>
      </c>
      <c r="J165" s="3">
        <f>IF($H165="","",I165*16.67%)</f>
      </c>
      <c r="K165" s="3"/>
      <c r="L165" s="3">
        <f>IF($H165="","",K165*20%)</f>
      </c>
      <c r="M165" s="3"/>
      <c r="N165" s="3">
        <f>IF($H165="","",M165*20%)</f>
      </c>
      <c r="O165" s="3">
        <v>1</v>
      </c>
      <c r="P165" s="3">
        <f>IF($H165="","",N165)</f>
      </c>
      <c r="Q165" s="3">
        <f>IF($H165="","",I165-J165-K165-M165-N165-O165)</f>
      </c>
      <c r="R165" s="3">
        <f>IF($H165="","",(Q165-Z165)/G165*100)</f>
      </c>
      <c r="S165" s="3">
        <f>IF($H165="","",J165-P165)</f>
      </c>
      <c r="AA165" s="3">
        <f>IF($H165="","",Q165-Z165)</f>
      </c>
    </row>
    <row r="166" spans="1:29" x14ac:dyDescent="0.25">
      <c r="A166" s="1"/>
      <c r="D166" s="2"/>
      <c r="G166" s="3"/>
      <c r="H166" s="3"/>
      <c r="I166" s="3">
        <f>IF($H166="","",H166-G166)</f>
      </c>
      <c r="J166" s="3">
        <f>IF($H166="","",I166*16.67%)</f>
      </c>
      <c r="K166" s="3"/>
      <c r="L166" s="3">
        <f>IF($H166="","",K166*20%)</f>
      </c>
      <c r="M166" s="3"/>
      <c r="N166" s="3">
        <f>IF($H166="","",M166*20%)</f>
      </c>
      <c r="O166" s="3">
        <v>1</v>
      </c>
      <c r="P166" s="3">
        <f>IF($H166="","",N166)</f>
      </c>
      <c r="Q166" s="3">
        <f>IF($H166="","",I166-J166-K166-M166-N166-O166)</f>
      </c>
      <c r="R166" s="3">
        <f>IF($H166="","",(Q166-Z166)/G166*100)</f>
      </c>
      <c r="S166" s="3">
        <f>IF($H166="","",J166-P166)</f>
      </c>
      <c r="AA166" s="3">
        <f>IF($H166="","",Q166-Z166)</f>
      </c>
    </row>
    <row r="167" spans="1:29" x14ac:dyDescent="0.25">
      <c r="A167" s="1"/>
      <c r="D167" s="2"/>
      <c r="G167" s="3"/>
      <c r="H167" s="3"/>
      <c r="I167" s="3">
        <f>IF($H167="","",H167-G167)</f>
      </c>
      <c r="J167" s="3">
        <f>IF($H167="","",I167*16.67%)</f>
      </c>
      <c r="K167" s="3"/>
      <c r="L167" s="3">
        <f>IF($H167="","",K167*20%)</f>
      </c>
      <c r="M167" s="3"/>
      <c r="N167" s="3">
        <f>IF($H167="","",M167*20%)</f>
      </c>
      <c r="O167" s="3">
        <v>1</v>
      </c>
      <c r="P167" s="3">
        <f>IF($H167="","",N167)</f>
      </c>
      <c r="Q167" s="3">
        <f>IF($H167="","",I167-J167-K167-M167-N167-O167)</f>
      </c>
      <c r="R167" s="3">
        <f>IF($H167="","",(Q167-Z167)/G167*100)</f>
      </c>
      <c r="S167" s="3">
        <f>IF($H167="","",J167-P167)</f>
      </c>
      <c r="AA167" s="3">
        <f>IF($H167="","",Q167-Z167)</f>
      </c>
    </row>
    <row r="168" spans="1:29" x14ac:dyDescent="0.25">
      <c r="A168" s="1"/>
      <c r="D168" s="2"/>
      <c r="G168" s="3"/>
      <c r="H168" s="3"/>
      <c r="I168" s="3">
        <f>IF($H168="","",H168-G168)</f>
      </c>
      <c r="J168" s="3">
        <f>IF($H168="","",I168*16.67%)</f>
      </c>
      <c r="K168" s="3"/>
      <c r="L168" s="3">
        <f>IF($H168="","",K168*20%)</f>
      </c>
      <c r="M168" s="3"/>
      <c r="N168" s="3">
        <f>IF($H168="","",M168*20%)</f>
      </c>
      <c r="O168" s="3">
        <v>1</v>
      </c>
      <c r="P168" s="3">
        <f>IF($H168="","",N168)</f>
      </c>
      <c r="Q168" s="3">
        <f>IF($H168="","",I168-J168-K168-M168-N168-O168)</f>
      </c>
      <c r="R168" s="3">
        <f>IF($H168="","",(Q168-Z168)/G168*100)</f>
      </c>
      <c r="S168" s="3">
        <f>IF($H168="","",J168-P168)</f>
      </c>
      <c r="AA168" s="3">
        <f>IF($H168="","",Q168-Z168)</f>
      </c>
    </row>
    <row r="169" spans="1:29" x14ac:dyDescent="0.25">
      <c r="A169" s="1"/>
      <c r="D169" s="2"/>
      <c r="G169" s="3"/>
      <c r="H169" s="3"/>
      <c r="I169" s="3">
        <f>IF($H169="","",H169-G169)</f>
      </c>
      <c r="J169" s="3">
        <f>IF($H169="","",I169*16.67%)</f>
      </c>
      <c r="K169" s="3"/>
      <c r="L169" s="3">
        <f>IF($H169="","",K169*20%)</f>
      </c>
      <c r="M169" s="3"/>
      <c r="N169" s="3">
        <f>IF($H169="","",M169*20%)</f>
      </c>
      <c r="O169" s="3">
        <v>1</v>
      </c>
      <c r="P169" s="3">
        <f>IF($H169="","",N169)</f>
      </c>
      <c r="Q169" s="3">
        <f>IF($H169="","",I169-J169-K169-M169-N169-O169)</f>
      </c>
      <c r="R169" s="3">
        <f>IF($H169="","",(Q169-Z169)/G169*100)</f>
      </c>
      <c r="S169" s="3">
        <f>IF($H169="","",J169-P169)</f>
      </c>
      <c r="AA169" s="3">
        <f>IF($H169="","",Q169-Z169)</f>
      </c>
    </row>
    <row r="170" spans="1:29" x14ac:dyDescent="0.25">
      <c r="A170" s="1"/>
      <c r="D170" s="2"/>
      <c r="G170" s="3"/>
      <c r="H170" s="3"/>
      <c r="I170" s="3">
        <f>IF($H170="","",H170-G170)</f>
      </c>
      <c r="J170" s="3">
        <f>IF($H170="","",I170*16.67%)</f>
      </c>
      <c r="K170" s="3"/>
      <c r="L170" s="3">
        <f>IF($H170="","",K170*20%)</f>
      </c>
      <c r="M170" s="3"/>
      <c r="N170" s="3">
        <f>IF($H170="","",M170*20%)</f>
      </c>
      <c r="O170" s="3">
        <v>1</v>
      </c>
      <c r="P170" s="3">
        <f>IF($H170="","",N170)</f>
      </c>
      <c r="Q170" s="3">
        <f>IF($H170="","",I170-J170-K170-M170-N170-O170)</f>
      </c>
      <c r="R170" s="3">
        <f>IF($H170="","",(Q170-Z170)/G170*100)</f>
      </c>
      <c r="S170" s="3">
        <f>IF($H170="","",J170-P170)</f>
      </c>
      <c r="AA170" s="3">
        <f>IF($H170="","",Q170-Z170)</f>
      </c>
    </row>
    <row r="171" spans="1:29" x14ac:dyDescent="0.25">
      <c r="A171" s="1"/>
      <c r="D171" s="2"/>
      <c r="G171" s="3"/>
      <c r="H171" s="3"/>
      <c r="I171" s="3">
        <f>IF($H171="","",H171-G171)</f>
      </c>
      <c r="J171" s="3">
        <f>IF($H171="","",I171*16.67%)</f>
      </c>
      <c r="K171" s="3"/>
      <c r="L171" s="3">
        <f>IF($H171="","",K171*20%)</f>
      </c>
      <c r="M171" s="3"/>
      <c r="N171" s="3">
        <f>IF($H171="","",M171*20%)</f>
      </c>
      <c r="O171" s="3">
        <v>1</v>
      </c>
      <c r="P171" s="3">
        <f>IF($H171="","",N171)</f>
      </c>
      <c r="Q171" s="3">
        <f>IF($H171="","",I171-J171-K171-M171-N171-O171)</f>
      </c>
      <c r="R171" s="3">
        <f>IF($H171="","",(Q171-Z171)/G171*100)</f>
      </c>
      <c r="S171" s="3">
        <f>IF($H171="","",J171-P171)</f>
      </c>
      <c r="AA171" s="3">
        <f>IF($H171="","",Q171-Z171)</f>
      </c>
    </row>
    <row r="172" spans="1:29" x14ac:dyDescent="0.25">
      <c r="A172" s="1"/>
      <c r="D172" s="2"/>
      <c r="G172" s="3"/>
      <c r="H172" s="3"/>
      <c r="I172" s="3">
        <f>IF($H172="","",H172-G172)</f>
      </c>
      <c r="J172" s="3">
        <f>IF($H172="","",I172*16.67%)</f>
      </c>
      <c r="K172" s="3"/>
      <c r="L172" s="3">
        <f>IF($H172="","",K172*20%)</f>
      </c>
      <c r="M172" s="3"/>
      <c r="N172" s="3">
        <f>IF($H172="","",M172*20%)</f>
      </c>
      <c r="O172" s="3">
        <v>1</v>
      </c>
      <c r="P172" s="3">
        <f>IF($H172="","",N172)</f>
      </c>
      <c r="Q172" s="3">
        <f>IF($H172="","",I172-J172-K172-M172-N172-O172)</f>
      </c>
      <c r="R172" s="3">
        <f>IF($H172="","",(Q172-Z172)/G172*100)</f>
      </c>
      <c r="S172" s="3">
        <f>IF($H172="","",J172-P172)</f>
      </c>
      <c r="AA172" s="3">
        <f>IF($H172="","",Q172-Z172)</f>
      </c>
    </row>
    <row r="173" spans="1:29" x14ac:dyDescent="0.25">
      <c r="A173" s="1"/>
      <c r="D173" s="2"/>
      <c r="G173" s="3"/>
      <c r="H173" s="3"/>
      <c r="I173" s="3">
        <f>IF($H173="","",H173-G173)</f>
      </c>
      <c r="J173" s="3">
        <f>IF($H173="","",I173*16.67%)</f>
      </c>
      <c r="K173" s="3"/>
      <c r="L173" s="3">
        <f>IF($H173="","",K173*20%)</f>
      </c>
      <c r="M173" s="3"/>
      <c r="N173" s="3">
        <f>IF($H173="","",M173*20%)</f>
      </c>
      <c r="O173" s="3">
        <v>1</v>
      </c>
      <c r="P173" s="3">
        <f>IF($H173="","",N173)</f>
      </c>
      <c r="Q173" s="3">
        <f>IF($H173="","",I173-J173-K173-M173-N173-O173)</f>
      </c>
      <c r="R173" s="3">
        <f>IF($H173="","",(Q173-Z173)/G173*100)</f>
      </c>
      <c r="S173" s="3">
        <f>IF($H173="","",J173-P173)</f>
      </c>
      <c r="AA173" s="3">
        <f>IF($H173="","",Q173-Z173)</f>
      </c>
    </row>
    <row r="174" spans="1:29" x14ac:dyDescent="0.25">
      <c r="A174" s="1"/>
      <c r="D174" s="2"/>
      <c r="G174" s="3"/>
      <c r="H174" s="3"/>
      <c r="I174" s="3">
        <f>IF($H174="","",H174-G174)</f>
      </c>
      <c r="J174" s="3">
        <f>IF($H174="","",I174*16.67%)</f>
      </c>
      <c r="K174" s="3"/>
      <c r="L174" s="3">
        <f>IF($H174="","",K174*20%)</f>
      </c>
      <c r="M174" s="3"/>
      <c r="N174" s="3">
        <f>IF($H174="","",M174*20%)</f>
      </c>
      <c r="O174" s="3">
        <v>1</v>
      </c>
      <c r="P174" s="3">
        <f>IF($H174="","",N174)</f>
      </c>
      <c r="Q174" s="3">
        <f>IF($H174="","",I174-J174-K174-M174-N174-O174)</f>
      </c>
      <c r="R174" s="3">
        <f>IF($H174="","",(Q174-Z174)/G174*100)</f>
      </c>
      <c r="S174" s="3">
        <f>IF($H174="","",J174-P174)</f>
      </c>
      <c r="AA174" s="3">
        <f>IF($H174="","",Q174-Z174)</f>
      </c>
    </row>
    <row r="175" spans="1:29" x14ac:dyDescent="0.25">
      <c r="A175" s="1"/>
      <c r="D175" s="2"/>
      <c r="G175" s="3"/>
      <c r="H175" s="3"/>
      <c r="I175" s="3">
        <f>IF($H175="","",H175-G175)</f>
      </c>
      <c r="J175" s="3">
        <f>IF($H175="","",I175*16.67%)</f>
      </c>
      <c r="K175" s="3"/>
      <c r="L175" s="3">
        <f>IF($H175="","",K175*20%)</f>
      </c>
      <c r="M175" s="3"/>
      <c r="N175" s="3">
        <f>IF($H175="","",M175*20%)</f>
      </c>
      <c r="O175" s="3">
        <v>1</v>
      </c>
      <c r="P175" s="3">
        <f>IF($H175="","",N175)</f>
      </c>
      <c r="Q175" s="3">
        <f>IF($H175="","",I175-J175-K175-M175-N175-O175)</f>
      </c>
      <c r="R175" s="3">
        <f>IF($H175="","",(Q175-Z175)/G175*100)</f>
      </c>
      <c r="S175" s="3">
        <f>IF($H175="","",J175-P175)</f>
      </c>
      <c r="AA175" s="3">
        <f>IF($H175="","",Q175-Z175)</f>
      </c>
    </row>
    <row r="176" spans="1:29" x14ac:dyDescent="0.25">
      <c r="A176" s="1"/>
      <c r="D176" s="2"/>
      <c r="G176" s="3"/>
      <c r="H176" s="3"/>
      <c r="I176" s="3">
        <f>IF($H176="","",H176-G176)</f>
      </c>
      <c r="J176" s="3">
        <f>IF($H176="","",I176*16.67%)</f>
      </c>
      <c r="K176" s="3"/>
      <c r="L176" s="3">
        <f>IF($H176="","",K176*20%)</f>
      </c>
      <c r="M176" s="3"/>
      <c r="N176" s="3">
        <f>IF($H176="","",M176*20%)</f>
      </c>
      <c r="O176" s="3">
        <v>1</v>
      </c>
      <c r="P176" s="3">
        <f>IF($H176="","",N176)</f>
      </c>
      <c r="Q176" s="3">
        <f>IF($H176="","",I176-J176-K176-M176-N176-O176)</f>
      </c>
      <c r="R176" s="3">
        <f>IF($H176="","",(Q176-Z176)/G176*100)</f>
      </c>
      <c r="S176" s="3">
        <f>IF($H176="","",J176-P176)</f>
      </c>
      <c r="AA176" s="3">
        <f>IF($H176="","",Q176-Z176)</f>
      </c>
    </row>
    <row r="177" spans="1:29" x14ac:dyDescent="0.25">
      <c r="A177" s="1"/>
      <c r="D177" s="2"/>
      <c r="G177" s="3"/>
      <c r="H177" s="3"/>
      <c r="I177" s="3">
        <f>IF($H177="","",H177-G177)</f>
      </c>
      <c r="J177" s="3">
        <f>IF($H177="","",I177*16.67%)</f>
      </c>
      <c r="K177" s="3"/>
      <c r="L177" s="3">
        <f>IF($H177="","",K177*20%)</f>
      </c>
      <c r="M177" s="3"/>
      <c r="N177" s="3">
        <f>IF($H177="","",M177*20%)</f>
      </c>
      <c r="O177" s="3">
        <v>1</v>
      </c>
      <c r="P177" s="3">
        <f>IF($H177="","",N177)</f>
      </c>
      <c r="Q177" s="3">
        <f>IF($H177="","",I177-J177-K177-M177-N177-O177)</f>
      </c>
      <c r="R177" s="3">
        <f>IF($H177="","",(Q177-Z177)/G177*100)</f>
      </c>
      <c r="S177" s="3">
        <f>IF($H177="","",J177-P177)</f>
      </c>
      <c r="AA177" s="3">
        <f>IF($H177="","",Q177-Z177)</f>
      </c>
    </row>
    <row r="178" spans="1:29" x14ac:dyDescent="0.25">
      <c r="A178" s="1"/>
      <c r="D178" s="2"/>
      <c r="G178" s="3"/>
      <c r="H178" s="3"/>
      <c r="I178" s="3">
        <f>IF($H178="","",H178-G178)</f>
      </c>
      <c r="J178" s="3">
        <f>IF($H178="","",I178*16.67%)</f>
      </c>
      <c r="K178" s="3"/>
      <c r="L178" s="3">
        <f>IF($H178="","",K178*20%)</f>
      </c>
      <c r="M178" s="3"/>
      <c r="N178" s="3">
        <f>IF($H178="","",M178*20%)</f>
      </c>
      <c r="O178" s="3">
        <v>1</v>
      </c>
      <c r="P178" s="3">
        <f>IF($H178="","",N178)</f>
      </c>
      <c r="Q178" s="3">
        <f>IF($H178="","",I178-J178-K178-M178-N178-O178)</f>
      </c>
      <c r="R178" s="3">
        <f>IF($H178="","",(Q178-Z178)/G178*100)</f>
      </c>
      <c r="S178" s="3">
        <f>IF($H178="","",J178-P178)</f>
      </c>
      <c r="AA178" s="3">
        <f>IF($H178="","",Q178-Z178)</f>
      </c>
    </row>
    <row r="179" spans="1:29" x14ac:dyDescent="0.25">
      <c r="A179" s="1"/>
      <c r="D179" s="2"/>
      <c r="G179" s="3"/>
      <c r="H179" s="3"/>
      <c r="I179" s="3">
        <f>IF($H179="","",H179-G179)</f>
      </c>
      <c r="J179" s="3">
        <f>IF($H179="","",I179*16.67%)</f>
      </c>
      <c r="K179" s="3"/>
      <c r="L179" s="3">
        <f>IF($H179="","",K179*20%)</f>
      </c>
      <c r="M179" s="3"/>
      <c r="N179" s="3">
        <f>IF($H179="","",M179*20%)</f>
      </c>
      <c r="O179" s="3">
        <v>1</v>
      </c>
      <c r="P179" s="3">
        <f>IF($H179="","",N179)</f>
      </c>
      <c r="Q179" s="3">
        <f>IF($H179="","",I179-J179-K179-M179-N179-O179)</f>
      </c>
      <c r="R179" s="3">
        <f>IF($H179="","",(Q179-Z179)/G179*100)</f>
      </c>
      <c r="S179" s="3">
        <f>IF($H179="","",J179-P179)</f>
      </c>
      <c r="AA179" s="3">
        <f>IF($H179="","",Q179-Z179)</f>
      </c>
    </row>
    <row r="180" spans="1:29" x14ac:dyDescent="0.25">
      <c r="A180" s="1"/>
      <c r="D180" s="2"/>
      <c r="G180" s="3"/>
      <c r="H180" s="3"/>
      <c r="I180" s="3">
        <f>IF($H180="","",H180-G180)</f>
      </c>
      <c r="J180" s="3">
        <f>IF($H180="","",I180*16.67%)</f>
      </c>
      <c r="K180" s="3"/>
      <c r="L180" s="3">
        <f>IF($H180="","",K180*20%)</f>
      </c>
      <c r="M180" s="3"/>
      <c r="N180" s="3">
        <f>IF($H180="","",M180*20%)</f>
      </c>
      <c r="O180" s="3">
        <v>1</v>
      </c>
      <c r="P180" s="3">
        <f>IF($H180="","",N180)</f>
      </c>
      <c r="Q180" s="3">
        <f>IF($H180="","",I180-J180-K180-M180-N180-O180)</f>
      </c>
      <c r="R180" s="3">
        <f>IF($H180="","",(Q180-Z180)/G180*100)</f>
      </c>
      <c r="S180" s="3">
        <f>IF($H180="","",J180-P180)</f>
      </c>
      <c r="AA180" s="3">
        <f>IF($H180="","",Q180-Z180)</f>
      </c>
    </row>
    <row r="181" spans="1:29" x14ac:dyDescent="0.25">
      <c r="A181" s="1"/>
      <c r="D181" s="2"/>
      <c r="G181" s="3"/>
      <c r="H181" s="3"/>
      <c r="I181" s="3">
        <f>IF($H181="","",H181-G181)</f>
      </c>
      <c r="J181" s="3">
        <f>IF($H181="","",I181*16.67%)</f>
      </c>
      <c r="K181" s="3"/>
      <c r="L181" s="3">
        <f>IF($H181="","",K181*20%)</f>
      </c>
      <c r="M181" s="3"/>
      <c r="N181" s="3">
        <f>IF($H181="","",M181*20%)</f>
      </c>
      <c r="O181" s="3">
        <v>1</v>
      </c>
      <c r="P181" s="3">
        <f>IF($H181="","",N181)</f>
      </c>
      <c r="Q181" s="3">
        <f>IF($H181="","",I181-J181-K181-M181-N181-O181)</f>
      </c>
      <c r="R181" s="3">
        <f>IF($H181="","",(Q181-Z181)/G181*100)</f>
      </c>
      <c r="S181" s="3">
        <f>IF($H181="","",J181-P181)</f>
      </c>
      <c r="AA181" s="3">
        <f>IF($H181="","",Q181-Z181)</f>
      </c>
    </row>
    <row r="182" spans="1:29" x14ac:dyDescent="0.25">
      <c r="A182" s="1"/>
      <c r="D182" s="2"/>
      <c r="G182" s="3"/>
      <c r="H182" s="3"/>
      <c r="I182" s="3">
        <f>IF($H182="","",H182-G182)</f>
      </c>
      <c r="J182" s="3">
        <f>IF($H182="","",I182*16.67%)</f>
      </c>
      <c r="K182" s="3"/>
      <c r="L182" s="3">
        <f>IF($H182="","",K182*20%)</f>
      </c>
      <c r="M182" s="3"/>
      <c r="N182" s="3">
        <f>IF($H182="","",M182*20%)</f>
      </c>
      <c r="O182" s="3">
        <v>1</v>
      </c>
      <c r="P182" s="3">
        <f>IF($H182="","",N182)</f>
      </c>
      <c r="Q182" s="3">
        <f>IF($H182="","",I182-J182-K182-M182-N182-O182)</f>
      </c>
      <c r="R182" s="3">
        <f>IF($H182="","",(Q182-Z182)/G182*100)</f>
      </c>
      <c r="S182" s="3">
        <f>IF($H182="","",J182-P182)</f>
      </c>
      <c r="AA182" s="3">
        <f>IF($H182="","",Q182-Z182)</f>
      </c>
    </row>
    <row r="183" spans="1:29" x14ac:dyDescent="0.25">
      <c r="A183" s="1"/>
      <c r="D183" s="2"/>
      <c r="G183" s="3"/>
      <c r="H183" s="3"/>
      <c r="I183" s="3">
        <f>IF($H183="","",H183-G183)</f>
      </c>
      <c r="J183" s="3">
        <f>IF($H183="","",I183*16.67%)</f>
      </c>
      <c r="K183" s="3"/>
      <c r="L183" s="3">
        <f>IF($H183="","",K183*20%)</f>
      </c>
      <c r="M183" s="3"/>
      <c r="N183" s="3">
        <f>IF($H183="","",M183*20%)</f>
      </c>
      <c r="O183" s="3">
        <v>1</v>
      </c>
      <c r="P183" s="3">
        <f>IF($H183="","",N183)</f>
      </c>
      <c r="Q183" s="3">
        <f>IF($H183="","",I183-J183-K183-M183-N183-O183)</f>
      </c>
      <c r="R183" s="3">
        <f>IF($H183="","",(Q183-Z183)/G183*100)</f>
      </c>
      <c r="S183" s="3">
        <f>IF($H183="","",J183-P183)</f>
      </c>
      <c r="AA183" s="3">
        <f>IF($H183="","",Q183-Z183)</f>
      </c>
    </row>
    <row r="184" spans="1:29" x14ac:dyDescent="0.25">
      <c r="A184" s="1"/>
      <c r="D184" s="2"/>
      <c r="G184" s="3"/>
      <c r="H184" s="3"/>
      <c r="I184" s="3">
        <f>IF($H184="","",H184-G184)</f>
      </c>
      <c r="J184" s="3">
        <f>IF($H184="","",I184*16.67%)</f>
      </c>
      <c r="K184" s="3"/>
      <c r="L184" s="3">
        <f>IF($H184="","",K184*20%)</f>
      </c>
      <c r="M184" s="3"/>
      <c r="N184" s="3">
        <f>IF($H184="","",M184*20%)</f>
      </c>
      <c r="O184" s="3">
        <v>1</v>
      </c>
      <c r="P184" s="3">
        <f>IF($H184="","",N184)</f>
      </c>
      <c r="Q184" s="3">
        <f>IF($H184="","",I184-J184-K184-M184-N184-O184)</f>
      </c>
      <c r="R184" s="3">
        <f>IF($H184="","",(Q184-Z184)/G184*100)</f>
      </c>
      <c r="S184" s="3">
        <f>IF($H184="","",J184-P184)</f>
      </c>
      <c r="AA184" s="3">
        <f>IF($H184="","",Q184-Z184)</f>
      </c>
    </row>
    <row r="185" spans="1:29" x14ac:dyDescent="0.25">
      <c r="A185" s="1"/>
      <c r="D185" s="2"/>
      <c r="G185" s="3"/>
      <c r="H185" s="3"/>
      <c r="I185" s="3">
        <f>IF($H185="","",H185-G185)</f>
      </c>
      <c r="J185" s="3">
        <f>IF($H185="","",I185*16.67%)</f>
      </c>
      <c r="K185" s="3"/>
      <c r="L185" s="3">
        <f>IF($H185="","",K185*20%)</f>
      </c>
      <c r="M185" s="3"/>
      <c r="N185" s="3">
        <f>IF($H185="","",M185*20%)</f>
      </c>
      <c r="O185" s="3">
        <v>1</v>
      </c>
      <c r="P185" s="3">
        <f>IF($H185="","",N185)</f>
      </c>
      <c r="Q185" s="3">
        <f>IF($H185="","",I185-J185-K185-M185-N185-O185)</f>
      </c>
      <c r="R185" s="3">
        <f>IF($H185="","",(Q185-Z185)/G185*100)</f>
      </c>
      <c r="S185" s="3">
        <f>IF($H185="","",J185-P185)</f>
      </c>
      <c r="AA185" s="3">
        <f>IF($H185="","",Q185-Z185)</f>
      </c>
    </row>
    <row r="186" spans="1:29" x14ac:dyDescent="0.25">
      <c r="A186" s="1"/>
      <c r="D186" s="2"/>
      <c r="G186" s="3"/>
      <c r="H186" s="3"/>
      <c r="I186" s="3">
        <f>IF($H186="","",H186-G186)</f>
      </c>
      <c r="J186" s="3">
        <f>IF($H186="","",I186*16.67%)</f>
      </c>
      <c r="K186" s="3"/>
      <c r="L186" s="3">
        <f>IF($H186="","",K186*20%)</f>
      </c>
      <c r="M186" s="3"/>
      <c r="N186" s="3">
        <f>IF($H186="","",M186*20%)</f>
      </c>
      <c r="O186" s="3">
        <v>1</v>
      </c>
      <c r="P186" s="3">
        <f>IF($H186="","",N186)</f>
      </c>
      <c r="Q186" s="3">
        <f>IF($H186="","",I186-J186-K186-M186-N186-O186)</f>
      </c>
      <c r="R186" s="3">
        <f>IF($H186="","",(Q186-Z186)/G186*100)</f>
      </c>
      <c r="S186" s="3">
        <f>IF($H186="","",J186-P186)</f>
      </c>
      <c r="AA186" s="3">
        <f>IF($H186="","",Q186-Z186)</f>
      </c>
    </row>
    <row r="187" spans="1:29" x14ac:dyDescent="0.25">
      <c r="A187" s="1"/>
      <c r="D187" s="2"/>
      <c r="G187" s="3"/>
      <c r="H187" s="3"/>
      <c r="I187" s="3">
        <f>IF($H187="","",H187-G187)</f>
      </c>
      <c r="J187" s="3">
        <f>IF($H187="","",I187*16.67%)</f>
      </c>
      <c r="K187" s="3"/>
      <c r="L187" s="3">
        <f>IF($H187="","",K187*20%)</f>
      </c>
      <c r="M187" s="3"/>
      <c r="N187" s="3">
        <f>IF($H187="","",M187*20%)</f>
      </c>
      <c r="O187" s="3">
        <v>1</v>
      </c>
      <c r="P187" s="3">
        <f>IF($H187="","",N187)</f>
      </c>
      <c r="Q187" s="3">
        <f>IF($H187="","",I187-J187-K187-M187-N187-O187)</f>
      </c>
      <c r="R187" s="3">
        <f>IF($H187="","",(Q187-Z187)/G187*100)</f>
      </c>
      <c r="S187" s="3">
        <f>IF($H187="","",J187-P187)</f>
      </c>
      <c r="AA187" s="3">
        <f>IF($H187="","",Q187-Z187)</f>
      </c>
    </row>
    <row r="188" spans="1:29" x14ac:dyDescent="0.25">
      <c r="A188" s="1"/>
      <c r="D188" s="2"/>
      <c r="G188" s="3"/>
      <c r="H188" s="3"/>
      <c r="I188" s="3">
        <f>IF($H188="","",H188-G188)</f>
      </c>
      <c r="J188" s="3">
        <f>IF($H188="","",I188*16.67%)</f>
      </c>
      <c r="K188" s="3"/>
      <c r="L188" s="3">
        <f>IF($H188="","",K188*20%)</f>
      </c>
      <c r="M188" s="3"/>
      <c r="N188" s="3">
        <f>IF($H188="","",M188*20%)</f>
      </c>
      <c r="O188" s="3">
        <v>1</v>
      </c>
      <c r="P188" s="3">
        <f>IF($H188="","",N188)</f>
      </c>
      <c r="Q188" s="3">
        <f>IF($H188="","",I188-J188-K188-M188-N188-O188)</f>
      </c>
      <c r="R188" s="3">
        <f>IF($H188="","",(Q188-Z188)/G188*100)</f>
      </c>
      <c r="S188" s="3">
        <f>IF($H188="","",J188-P188)</f>
      </c>
      <c r="AA188" s="3">
        <f>IF($H188="","",Q188-Z188)</f>
      </c>
    </row>
    <row r="189" spans="1:29" x14ac:dyDescent="0.25">
      <c r="A189" s="1"/>
      <c r="D189" s="2"/>
      <c r="G189" s="3"/>
      <c r="H189" s="3"/>
      <c r="I189" s="3">
        <f>IF($H189="","",H189-G189)</f>
      </c>
      <c r="J189" s="3">
        <f>IF($H189="","",I189*16.67%)</f>
      </c>
      <c r="K189" s="3"/>
      <c r="L189" s="3">
        <f>IF($H189="","",K189*20%)</f>
      </c>
      <c r="M189" s="3"/>
      <c r="N189" s="3">
        <f>IF($H189="","",M189*20%)</f>
      </c>
      <c r="O189" s="3">
        <v>1</v>
      </c>
      <c r="P189" s="3">
        <f>IF($H189="","",N189)</f>
      </c>
      <c r="Q189" s="3">
        <f>IF($H189="","",I189-J189-K189-M189-N189-O189)</f>
      </c>
      <c r="R189" s="3">
        <f>IF($H189="","",(Q189-Z189)/G189*100)</f>
      </c>
      <c r="S189" s="3">
        <f>IF($H189="","",J189-P189)</f>
      </c>
      <c r="AA189" s="3">
        <f>IF($H189="","",Q189-Z189)</f>
      </c>
    </row>
    <row r="190" spans="1:29" x14ac:dyDescent="0.25">
      <c r="A190" s="1"/>
      <c r="D190" s="2"/>
      <c r="G190" s="3"/>
      <c r="H190" s="3"/>
      <c r="I190" s="3">
        <f>IF($H190="","",H190-G190)</f>
      </c>
      <c r="J190" s="3">
        <f>IF($H190="","",I190*16.67%)</f>
      </c>
      <c r="K190" s="3"/>
      <c r="L190" s="3">
        <f>IF($H190="","",K190*20%)</f>
      </c>
      <c r="M190" s="3"/>
      <c r="N190" s="3">
        <f>IF($H190="","",M190*20%)</f>
      </c>
      <c r="O190" s="3">
        <v>1</v>
      </c>
      <c r="P190" s="3">
        <f>IF($H190="","",N190)</f>
      </c>
      <c r="Q190" s="3">
        <f>IF($H190="","",I190-J190-K190-M190-N190-O190)</f>
      </c>
      <c r="R190" s="3">
        <f>IF($H190="","",(Q190-Z190)/G190*100)</f>
      </c>
      <c r="S190" s="3">
        <f>IF($H190="","",J190-P190)</f>
      </c>
      <c r="AA190" s="3">
        <f>IF($H190="","",Q190-Z190)</f>
      </c>
    </row>
    <row r="191" spans="1:29" x14ac:dyDescent="0.25">
      <c r="A191" s="1"/>
      <c r="D191" s="2"/>
      <c r="G191" s="3"/>
      <c r="H191" s="3"/>
      <c r="I191" s="3">
        <f>IF($H191="","",H191-G191)</f>
      </c>
      <c r="J191" s="3">
        <f>IF($H191="","",I191*16.67%)</f>
      </c>
      <c r="K191" s="3"/>
      <c r="L191" s="3">
        <f>IF($H191="","",K191*20%)</f>
      </c>
      <c r="M191" s="3"/>
      <c r="N191" s="3">
        <f>IF($H191="","",M191*20%)</f>
      </c>
      <c r="O191" s="3">
        <v>1</v>
      </c>
      <c r="P191" s="3">
        <f>IF($H191="","",N191)</f>
      </c>
      <c r="Q191" s="3">
        <f>IF($H191="","",I191-J191-K191-M191-N191-O191)</f>
      </c>
      <c r="R191" s="3">
        <f>IF($H191="","",(Q191-Z191)/G191*100)</f>
      </c>
      <c r="S191" s="3">
        <f>IF($H191="","",J191-P191)</f>
      </c>
      <c r="AA191" s="3">
        <f>IF($H191="","",Q191-Z191)</f>
      </c>
    </row>
    <row r="192" spans="1:29" x14ac:dyDescent="0.25">
      <c r="A192" s="1"/>
      <c r="D192" s="2"/>
      <c r="G192" s="3"/>
      <c r="H192" s="3"/>
      <c r="I192" s="3">
        <f>IF($H192="","",H192-G192)</f>
      </c>
      <c r="J192" s="3">
        <f>IF($H192="","",I192*16.67%)</f>
      </c>
      <c r="K192" s="3"/>
      <c r="L192" s="3">
        <f>IF($H192="","",K192*20%)</f>
      </c>
      <c r="M192" s="3"/>
      <c r="N192" s="3">
        <f>IF($H192="","",M192*20%)</f>
      </c>
      <c r="O192" s="3">
        <v>1</v>
      </c>
      <c r="P192" s="3">
        <f>IF($H192="","",N192)</f>
      </c>
      <c r="Q192" s="3">
        <f>IF($H192="","",I192-J192-K192-M192-N192-O192)</f>
      </c>
      <c r="R192" s="3">
        <f>IF($H192="","",(Q192-Z192)/G192*100)</f>
      </c>
      <c r="S192" s="3">
        <f>IF($H192="","",J192-P192)</f>
      </c>
      <c r="AA192" s="3">
        <f>IF($H192="","",Q192-Z192)</f>
      </c>
    </row>
    <row r="193" spans="1:29" x14ac:dyDescent="0.25">
      <c r="A193" s="1"/>
      <c r="D193" s="2"/>
      <c r="G193" s="3"/>
      <c r="H193" s="3"/>
      <c r="I193" s="3">
        <f>IF($H193="","",H193-G193)</f>
      </c>
      <c r="J193" s="3">
        <f>IF($H193="","",I193*16.67%)</f>
      </c>
      <c r="K193" s="3"/>
      <c r="L193" s="3">
        <f>IF($H193="","",K193*20%)</f>
      </c>
      <c r="M193" s="3"/>
      <c r="N193" s="3">
        <f>IF($H193="","",M193*20%)</f>
      </c>
      <c r="O193" s="3">
        <v>1</v>
      </c>
      <c r="P193" s="3">
        <f>IF($H193="","",N193)</f>
      </c>
      <c r="Q193" s="3">
        <f>IF($H193="","",I193-J193-K193-M193-N193-O193)</f>
      </c>
      <c r="R193" s="3">
        <f>IF($H193="","",(Q193-Z193)/G193*100)</f>
      </c>
      <c r="S193" s="3">
        <f>IF($H193="","",J193-P193)</f>
      </c>
      <c r="AA193" s="3">
        <f>IF($H193="","",Q193-Z193)</f>
      </c>
    </row>
    <row r="194" spans="1:29" x14ac:dyDescent="0.25">
      <c r="A194" s="1"/>
      <c r="D194" s="2"/>
      <c r="G194" s="3"/>
      <c r="H194" s="3"/>
      <c r="I194" s="3">
        <f>IF($H194="","",H194-G194)</f>
      </c>
      <c r="J194" s="3">
        <f>IF($H194="","",I194*16.67%)</f>
      </c>
      <c r="K194" s="3"/>
      <c r="L194" s="3">
        <f>IF($H194="","",K194*20%)</f>
      </c>
      <c r="M194" s="3"/>
      <c r="N194" s="3">
        <f>IF($H194="","",M194*20%)</f>
      </c>
      <c r="O194" s="3">
        <v>1</v>
      </c>
      <c r="P194" s="3">
        <f>IF($H194="","",N194)</f>
      </c>
      <c r="Q194" s="3">
        <f>IF($H194="","",I194-J194-K194-M194-N194-O194)</f>
      </c>
      <c r="R194" s="3">
        <f>IF($H194="","",(Q194-Z194)/G194*100)</f>
      </c>
      <c r="S194" s="3">
        <f>IF($H194="","",J194-P194)</f>
      </c>
      <c r="AA194" s="3">
        <f>IF($H194="","",Q194-Z194)</f>
      </c>
    </row>
    <row r="195" spans="1:29" x14ac:dyDescent="0.25">
      <c r="A195" s="1"/>
      <c r="D195" s="2"/>
      <c r="G195" s="3"/>
      <c r="H195" s="3"/>
      <c r="I195" s="3">
        <f>IF($H195="","",H195-G195)</f>
      </c>
      <c r="J195" s="3">
        <f>IF($H195="","",I195*16.67%)</f>
      </c>
      <c r="K195" s="3"/>
      <c r="L195" s="3">
        <f>IF($H195="","",K195*20%)</f>
      </c>
      <c r="M195" s="3"/>
      <c r="N195" s="3">
        <f>IF($H195="","",M195*20%)</f>
      </c>
      <c r="O195" s="3">
        <v>1</v>
      </c>
      <c r="P195" s="3">
        <f>IF($H195="","",N195)</f>
      </c>
      <c r="Q195" s="3">
        <f>IF($H195="","",I195-J195-K195-M195-N195-O195)</f>
      </c>
      <c r="R195" s="3">
        <f>IF($H195="","",(Q195-Z195)/G195*100)</f>
      </c>
      <c r="S195" s="3">
        <f>IF($H195="","",J195-P195)</f>
      </c>
      <c r="AA195" s="3">
        <f>IF($H195="","",Q195-Z195)</f>
      </c>
    </row>
    <row r="196" spans="1:29" x14ac:dyDescent="0.25">
      <c r="A196" s="1"/>
      <c r="D196" s="2"/>
      <c r="G196" s="3"/>
      <c r="H196" s="3"/>
      <c r="I196" s="3">
        <f>IF($H196="","",H196-G196)</f>
      </c>
      <c r="J196" s="3">
        <f>IF($H196="","",I196*16.67%)</f>
      </c>
      <c r="K196" s="3"/>
      <c r="L196" s="3">
        <f>IF($H196="","",K196*20%)</f>
      </c>
      <c r="M196" s="3"/>
      <c r="N196" s="3">
        <f>IF($H196="","",M196*20%)</f>
      </c>
      <c r="O196" s="3">
        <v>1</v>
      </c>
      <c r="P196" s="3">
        <f>IF($H196="","",N196)</f>
      </c>
      <c r="Q196" s="3">
        <f>IF($H196="","",I196-J196-K196-M196-N196-O196)</f>
      </c>
      <c r="R196" s="3">
        <f>IF($H196="","",(Q196-Z196)/G196*100)</f>
      </c>
      <c r="S196" s="3">
        <f>IF($H196="","",J196-P196)</f>
      </c>
      <c r="AA196" s="3">
        <f>IF($H196="","",Q196-Z196)</f>
      </c>
    </row>
    <row r="197" spans="1:29" x14ac:dyDescent="0.25">
      <c r="A197" s="1"/>
      <c r="D197" s="2"/>
      <c r="G197" s="3"/>
      <c r="H197" s="3"/>
      <c r="I197" s="3">
        <f>IF($H197="","",H197-G197)</f>
      </c>
      <c r="J197" s="3">
        <f>IF($H197="","",I197*16.67%)</f>
      </c>
      <c r="K197" s="3"/>
      <c r="L197" s="3">
        <f>IF($H197="","",K197*20%)</f>
      </c>
      <c r="M197" s="3"/>
      <c r="N197" s="3">
        <f>IF($H197="","",M197*20%)</f>
      </c>
      <c r="O197" s="3">
        <v>1</v>
      </c>
      <c r="P197" s="3">
        <f>IF($H197="","",N197)</f>
      </c>
      <c r="Q197" s="3">
        <f>IF($H197="","",I197-J197-K197-M197-N197-O197)</f>
      </c>
      <c r="R197" s="3">
        <f>IF($H197="","",(Q197-Z197)/G197*100)</f>
      </c>
      <c r="S197" s="3">
        <f>IF($H197="","",J197-P197)</f>
      </c>
      <c r="AA197" s="3">
        <f>IF($H197="","",Q197-Z197)</f>
      </c>
    </row>
    <row r="198" spans="1:29" x14ac:dyDescent="0.25">
      <c r="A198" s="1"/>
      <c r="D198" s="2"/>
      <c r="G198" s="3"/>
      <c r="H198" s="3"/>
      <c r="I198" s="3">
        <f>IF($H198="","",H198-G198)</f>
      </c>
      <c r="J198" s="3">
        <f>IF($H198="","",I198*16.67%)</f>
      </c>
      <c r="K198" s="3"/>
      <c r="L198" s="3">
        <f>IF($H198="","",K198*20%)</f>
      </c>
      <c r="M198" s="3"/>
      <c r="N198" s="3">
        <f>IF($H198="","",M198*20%)</f>
      </c>
      <c r="O198" s="3">
        <v>1</v>
      </c>
      <c r="P198" s="3">
        <f>IF($H198="","",N198)</f>
      </c>
      <c r="Q198" s="3">
        <f>IF($H198="","",I198-J198-K198-M198-N198-O198)</f>
      </c>
      <c r="R198" s="3">
        <f>IF($H198="","",(Q198-Z198)/G198*100)</f>
      </c>
      <c r="S198" s="3">
        <f>IF($H198="","",J198-P198)</f>
      </c>
      <c r="AA198" s="3">
        <f>IF($H198="","",Q198-Z198)</f>
      </c>
    </row>
    <row r="199" spans="1:29" x14ac:dyDescent="0.25">
      <c r="A199" s="1"/>
      <c r="D199" s="2"/>
      <c r="G199" s="3"/>
      <c r="H199" s="3"/>
      <c r="I199" s="3">
        <f>IF($H199="","",H199-G199)</f>
      </c>
      <c r="J199" s="3">
        <f>IF($H199="","",I199*16.67%)</f>
      </c>
      <c r="K199" s="3"/>
      <c r="L199" s="3">
        <f>IF($H199="","",K199*20%)</f>
      </c>
      <c r="M199" s="3"/>
      <c r="N199" s="3">
        <f>IF($H199="","",M199*20%)</f>
      </c>
      <c r="O199" s="3">
        <v>1</v>
      </c>
      <c r="P199" s="3">
        <f>IF($H199="","",N199)</f>
      </c>
      <c r="Q199" s="3">
        <f>IF($H199="","",I199-J199-K199-M199-N199-O199)</f>
      </c>
      <c r="R199" s="3">
        <f>IF($H199="","",(Q199-Z199)/G199*100)</f>
      </c>
      <c r="S199" s="3">
        <f>IF($H199="","",J199-P199)</f>
      </c>
      <c r="AA199" s="3">
        <f>IF($H199="","",Q199-Z199)</f>
      </c>
    </row>
    <row r="200" spans="1:29" x14ac:dyDescent="0.25">
      <c r="A200" s="1"/>
      <c r="D200" s="2"/>
      <c r="G200" s="3"/>
      <c r="H200" s="3"/>
      <c r="I200" s="3">
        <f>IF($H200="","",H200-G200)</f>
      </c>
      <c r="J200" s="3">
        <f>IF($H200="","",I200*16.67%)</f>
      </c>
      <c r="K200" s="3"/>
      <c r="L200" s="3">
        <f>IF($H200="","",K200*20%)</f>
      </c>
      <c r="M200" s="3"/>
      <c r="N200" s="3">
        <f>IF($H200="","",M200*20%)</f>
      </c>
      <c r="O200" s="3">
        <v>1</v>
      </c>
      <c r="P200" s="3">
        <f>IF($H200="","",N200)</f>
      </c>
      <c r="Q200" s="3">
        <f>IF($H200="","",I200-J200-K200-M200-N200-O200)</f>
      </c>
      <c r="R200" s="3">
        <f>IF($H200="","",(Q200-Z200)/G200*100)</f>
      </c>
      <c r="S200" s="3">
        <f>IF($H200="","",J200-P200)</f>
      </c>
      <c r="AA200" s="3">
        <f>IF($H200="","",Q200-Z200)</f>
      </c>
    </row>
    <row r="201" spans="1:29" x14ac:dyDescent="0.25">
      <c r="A201" s="1"/>
      <c r="D201" s="2"/>
      <c r="G201" s="3"/>
      <c r="H201" s="3"/>
      <c r="I201" s="3">
        <f>IF($H201="","",H201-G201)</f>
      </c>
      <c r="J201" s="3">
        <f>IF($H201="","",I201*16.67%)</f>
      </c>
      <c r="K201" s="3"/>
      <c r="L201" s="3">
        <f>IF($H201="","",K201*20%)</f>
      </c>
      <c r="M201" s="3"/>
      <c r="N201" s="3">
        <f>IF($H201="","",M201*20%)</f>
      </c>
      <c r="O201" s="3">
        <v>1</v>
      </c>
      <c r="P201" s="3">
        <f>IF($H201="","",N201)</f>
      </c>
      <c r="Q201" s="3">
        <f>IF($H201="","",I201-J201-K201-M201-N201-O201)</f>
      </c>
      <c r="R201" s="3">
        <f>IF($H201="","",(Q201-Z201)/G201*100)</f>
      </c>
      <c r="S201" s="3">
        <f>IF($H201="","",J201-P201)</f>
      </c>
      <c r="AA201" s="3">
        <f>IF($H201="","",Q201-Z201)</f>
      </c>
    </row>
    <row r="202" spans="1:29" x14ac:dyDescent="0.25">
      <c r="A202" s="1"/>
      <c r="D202" s="2"/>
      <c r="G202" s="3"/>
      <c r="H202" s="3"/>
      <c r="I202" s="3">
        <f>IF($H202="","",H202-G202)</f>
      </c>
      <c r="J202" s="3">
        <f>IF($H202="","",I202*16.67%)</f>
      </c>
      <c r="K202" s="3"/>
      <c r="L202" s="3">
        <f>IF($H202="","",K202*20%)</f>
      </c>
      <c r="M202" s="3"/>
      <c r="N202" s="3">
        <f>IF($H202="","",M202*20%)</f>
      </c>
      <c r="O202" s="3">
        <v>1</v>
      </c>
      <c r="P202" s="3">
        <f>IF($H202="","",N202)</f>
      </c>
      <c r="Q202" s="3">
        <f>IF($H202="","",I202-J202-K202-M202-N202-O202)</f>
      </c>
      <c r="R202" s="3">
        <f>IF($H202="","",(Q202-Z202)/G202*100)</f>
      </c>
      <c r="S202" s="3">
        <f>IF($H202="","",J202-P202)</f>
      </c>
      <c r="AA202" s="3">
        <f>IF($H202="","",Q202-Z202)</f>
      </c>
    </row>
    <row r="203" spans="1:29" s="4" customFormat="1" x14ac:dyDescent="0.25">
      <c r="A203" s="5" t="s">
        <v>35</v>
      </c>
      <c r="B203" s="4"/>
      <c r="C203" s="4"/>
      <c r="D203" s="4"/>
      <c r="E203" s="4"/>
      <c r="F203" s="6">
        <f>SUM(F2:F202)</f>
      </c>
      <c r="G203" s="6">
        <f>SUM(G2:G202)</f>
      </c>
      <c r="H203" s="6">
        <f>SUM(H2:H202)</f>
      </c>
      <c r="I203" s="6">
        <f>SUM(I2:I202)</f>
      </c>
      <c r="J203" s="6">
        <f>SUM(J2:J202)</f>
      </c>
      <c r="K203" s="6">
        <f>SUM(K2:K202)</f>
      </c>
      <c r="L203" s="6">
        <f>SUM(L2:L202)</f>
      </c>
      <c r="M203" s="6">
        <f>SUM(M2:M202)</f>
      </c>
      <c r="N203" s="6">
        <f>SUM(N2:N202)</f>
      </c>
      <c r="O203" s="6">
        <f>SUM(O2:O202)</f>
      </c>
      <c r="P203" s="6">
        <f>SUM(P2:P202)</f>
      </c>
      <c r="Q203" s="6">
        <f>SUM(Q2:Q202)</f>
      </c>
      <c r="R203" s="6">
        <f>IFERROR((Q203-Z203)/G203*100,0)</f>
      </c>
      <c r="S203" s="6">
        <f>SUM(S2:S202)</f>
      </c>
      <c r="T203" s="4"/>
      <c r="U203" s="4"/>
      <c r="V203" s="4"/>
      <c r="W203" s="4"/>
      <c r="X203" s="4"/>
      <c r="Y203" s="4"/>
      <c r="Z203" s="6">
        <f>SUM(Z2:Z202)</f>
      </c>
      <c r="AA203" s="6">
        <f>SUM(AA2:AA202)</f>
      </c>
      <c r="AB203" s="4"/>
      <c r="AC203" s="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TEMU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2026-08-02T17:34:18Z</dcterms:created>
  <dcterms:modified xsi:type="dcterms:W3CDTF">2026-08-02T17:34:18Z</dcterms:modified>
</cp:coreProperties>
</file>