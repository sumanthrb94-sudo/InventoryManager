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6" name="TEMU" state="visible" r:id="rId4"/>
    <sheet sheetId="1" name="README" state="visible" r:id="rId5"/>
  </sheets>
  <calcPr calcId="171027"/>
</workbook>
</file>

<file path=xl/sharedStrings.xml><?xml version="1.0" encoding="utf-8"?>
<sst xmlns="http://schemas.openxmlformats.org/spreadsheetml/2006/main" count="57" uniqueCount="54">
  <si>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</si>
  <si>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</si>
  <si>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</si>
  <si>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</si>
  <si>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</si>
  <si>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</si>
  <si>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</si>
  <si>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</si>
  <si>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Quantity</t>
  </si>
  <si>
    <t>BP</t>
  </si>
  <si>
    <t>SP</t>
  </si>
  <si>
    <t>SP-BP</t>
  </si>
  <si>
    <t>Marginal Tax</t>
  </si>
  <si>
    <t>Commission</t>
  </si>
  <si>
    <t>Commission VAT</t>
  </si>
  <si>
    <t>Commission+VAT</t>
  </si>
  <si>
    <t>Postage</t>
  </si>
  <si>
    <t>P. VAT</t>
  </si>
  <si>
    <t>Acc</t>
  </si>
  <si>
    <t>Total VAT</t>
  </si>
  <si>
    <t>GP</t>
  </si>
  <si>
    <t>GP %</t>
  </si>
  <si>
    <t>Total VAT NTP</t>
  </si>
  <si>
    <t>Postage Loss</t>
  </si>
  <si>
    <t>Net GP £</t>
  </si>
  <si>
    <t>Return Date</t>
  </si>
  <si>
    <t>Outcome</t>
  </si>
  <si>
    <t>Shipping Legs</t>
  </si>
  <si>
    <t>Return Reason</t>
  </si>
  <si>
    <t>Comments</t>
  </si>
  <si>
    <t>PO-210-07053322437751959</t>
  </si>
  <si>
    <t>SG-A17-128GB-OB</t>
  </si>
  <si>
    <t>350901801557294</t>
  </si>
  <si>
    <t>Samsung Galaxy A17 128GB</t>
  </si>
  <si>
    <t/>
  </si>
  <si>
    <t>MHL</t>
  </si>
  <si>
    <t>TOTAL</t>
  </si>
  <si>
    <t>SALES TEMPLATE — same columns as the Sales Report</t>
  </si>
  <si>
    <t>What this is</t>
  </si>
  <si>
    <t>One sheet per marketplace (TEMU), with exactly the columns the Sales Report exports. This file is generated FROM that report, so the two cannot drift apart.</t>
  </si>
  <si>
    <t>The formulas are live</t>
  </si>
  <si>
    <t>Type a BP and an SP into a row and every derived column fills in immediately — SP-BP, Marginal Tax, Commission, the VAT lines, GP, GP % and Total VAT NTP. Rows you have not touched stay blank; they wake up as soon as the row has an SP.</t>
  </si>
  <si>
    <t>What YOU fill in</t>
  </si>
  <si>
    <t>Date, Order Number, SKU, IMEI, Supplier, Quantity, BP, SP and Postage. On eBay also Marketing and P. VAT, and on Temu the Commission the marketplace actually charged — those cells carry no formula in the operator master either, because no formula can reproduce a figure the marketplace invoices per order.</t>
  </si>
  <si>
    <t>What you leave alone</t>
  </si>
  <si>
    <t>Every other money column is a formula. Overwriting one replaces live maths with a frozen number that will not follow a price correction.</t>
  </si>
  <si>
    <t>Row 2</t>
  </si>
  <si>
    <t>A worked example, filled in so you can see the formulas computing. Delete it or type over it.</t>
  </si>
  <si>
    <t>Running out of rows</t>
  </si>
  <si>
    <t>200 rows come primed. For more, select the last row and drag its fill handle down — the formulas carry themselves.</t>
  </si>
  <si>
    <t>The TOTAL row</t>
  </si>
  <si>
    <t>At the foot of each sheet, summing the rows above it. If you drag past it, move it down.</t>
  </si>
  <si>
    <t>Getting this back in</t>
  </si>
  <si>
    <t>Sales are recorded in the app under Sell → Mark Sold (or Mark Multiple Sold for one order covering several handsets). This file is a working sheet and a record, not an upload route.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</si>
</sst>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-mmm-yyyy"/>
  </numFmts>
  <fonts count="3" x14ac:knownFonts="1">
    <font>
      <color theme="1"/>
      <family val="2"/>
      <scheme val="minor"/>
      <sz val="11"/>
      <name val="Calibri"/>
    </font>
    <font>
      <b/>
    </font>
    <font>
      <b/>
      <sz val="12"/>
    </font>
  </fonts>
  <fills count="3">
    <fill>
      <patternFill patternType="none"/>
    </fill>
    <fill>
      <patternFill patternType="gray125"/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0" fontId="1" fillId="0" borderId="0" xfId="0" applyFont="1"/>
    <xf numFmtId="0" fontId="1" fillId="2" borderId="0" xfId="0" applyFont="1" applyFill="1"/>
    <xf numFmtId="2" fontId="1" fillId="0" borderId="0" xfId="0" applyNumberFormat="1" applyFont="1"/>
    <xf numFmtId="0" fontId="2" fillId="0" borderId="0" xfId="0" applyFont="1" applyAlignment="1">
      <alignment vertic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6.xml"/><Relationship Id="rId5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24" customWidth="1"/>
    <col min="2" max="2" width="100" customWidth="1"/>
  </cols>
  <sheetData>
    <row r="1" ht="22" customHeight="1" spans="1:2" x14ac:dyDescent="0.25">
      <c r="A1" s="7" t="s">
        <v>37</v>
      </c>
      <c r="B1" t="s">
        <v>34</v>
      </c>
    </row>
    <row r="3" spans="1:2" x14ac:dyDescent="0.25">
      <c r="A3" s="4" t="s">
        <v>38</v>
      </c>
      <c r="B3" s="8" t="s">
        <v>39</v>
      </c>
    </row>
    <row r="4" spans="1:2" x14ac:dyDescent="0.25">
      <c r="A4" s="4" t="s">
        <v>40</v>
      </c>
      <c r="B4" s="8" t="s">
        <v>41</v>
      </c>
    </row>
    <row r="5" spans="1:2" x14ac:dyDescent="0.25">
      <c r="A5" s="4" t="s">
        <v>42</v>
      </c>
      <c r="B5" s="8" t="s">
        <v>43</v>
      </c>
    </row>
    <row r="6" spans="1:2" x14ac:dyDescent="0.25">
      <c r="A6" s="4" t="s">
        <v>44</v>
      </c>
      <c r="B6" s="8" t="s">
        <v>45</v>
      </c>
    </row>
    <row r="7" spans="1:2" x14ac:dyDescent="0.25">
      <c r="A7" s="4" t="s">
        <v>46</v>
      </c>
      <c r="B7" s="8" t="s">
        <v>47</v>
      </c>
    </row>
    <row r="8" spans="1:2" x14ac:dyDescent="0.25">
      <c r="A8" s="4" t="s">
        <v>48</v>
      </c>
      <c r="B8" s="8" t="s">
        <v>49</v>
      </c>
    </row>
    <row r="9" spans="1:2" x14ac:dyDescent="0.25">
      <c r="A9" s="4" t="s">
        <v>50</v>
      </c>
      <c r="B9" s="8" t="s">
        <v>51</v>
      </c>
    </row>
    <row r="10" spans="1:2" x14ac:dyDescent="0.25">
      <c r="A10" s="4" t="s">
        <v>52</v>
      </c>
      <c r="B10" s="8" t="s">
        <v>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203"/>
  <sheetFormatPr defaultRowHeight="15" outlineLevelRow="0" outlineLevelCol="0" x14ac:dyDescent="55"/>
  <sheetData>
    <row r="1" spans="1:3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</row>
    <row r="2" spans="1:30" x14ac:dyDescent="0.25">
      <c r="A2" s="1">
        <v>46235.5</v>
      </c>
      <c r="B2" t="s">
        <v>30</v>
      </c>
      <c r="C2" t="s">
        <v>31</v>
      </c>
      <c r="D2" s="2" t="s">
        <v>32</v>
      </c>
      <c r="E2" t="s">
        <v>33</v>
      </c>
      <c r="F2" t="s">
        <v>34</v>
      </c>
      <c r="G2" t="s">
        <v>34</v>
      </c>
      <c r="H2" t="s">
        <v>35</v>
      </c>
      <c r="I2">
        <v>1</v>
      </c>
      <c r="J2" s="3">
        <v>55</v>
      </c>
      <c r="K2" s="3">
        <v>83.99</v>
      </c>
      <c r="L2" s="3">
        <f>K2-J2</f>
      </c>
      <c r="M2" s="3">
        <f>L2*16.67%</f>
      </c>
      <c r="N2" s="3">
        <f>K2*3.96%</f>
      </c>
      <c r="O2" s="3">
        <f>N2*20%</f>
      </c>
      <c r="P2" s="3">
        <f>N2+O2</f>
      </c>
      <c r="Q2" s="3">
        <v>6.3</v>
      </c>
      <c r="R2" s="3">
        <f>Q2*20%</f>
      </c>
      <c r="S2" s="3">
        <v>1</v>
      </c>
      <c r="T2" s="3">
        <f>R2</f>
      </c>
      <c r="U2" s="3">
        <f>L2-M2-N2-Q2-R2-S2</f>
      </c>
      <c r="V2" s="3">
        <f>(U2-X2)/J2*100</f>
      </c>
      <c r="W2" s="3">
        <f>M2-T2</f>
      </c>
      <c r="Y2" s="3">
        <f>U2-X2</f>
      </c>
      <c r="AD2" t="s">
        <v>34</v>
      </c>
    </row>
    <row r="3" spans="1:25" x14ac:dyDescent="0.25">
      <c r="A3" s="1"/>
      <c r="D3" s="2"/>
      <c r="J3" s="3"/>
      <c r="K3" s="3"/>
      <c r="L3" s="3">
        <f>IF($K3="","",K3-J3)</f>
      </c>
      <c r="M3" s="3">
        <f>IF($K3="","",L3*16.67%)</f>
      </c>
      <c r="N3" s="3">
        <f>IF($K3="","",K3*3.96%)</f>
      </c>
      <c r="O3" s="3">
        <f>IF($K3="","",N3*20%)</f>
      </c>
      <c r="P3" s="3">
        <f>IF($K3="","",N3+O3)</f>
      </c>
      <c r="Q3" s="3"/>
      <c r="R3" s="3">
        <f>IF($K3="","",Q3*20%)</f>
      </c>
      <c r="S3" s="3">
        <v>1</v>
      </c>
      <c r="T3" s="3">
        <f>IF($K3="","",R3)</f>
      </c>
      <c r="U3" s="3">
        <f>IF($K3="","",L3-M3-N3-Q3-R3-S3)</f>
      </c>
      <c r="V3" s="3">
        <f>IF($K3="","",(U3-X3)/J3*100)</f>
      </c>
      <c r="W3" s="3">
        <f>IF($K3="","",M3-T3)</f>
      </c>
      <c r="Y3" s="3">
        <f>IF($K3="","",U3-X3)</f>
      </c>
    </row>
    <row r="4" spans="1:25" x14ac:dyDescent="0.25">
      <c r="A4" s="1"/>
      <c r="D4" s="2"/>
      <c r="J4" s="3"/>
      <c r="K4" s="3"/>
      <c r="L4" s="3">
        <f>IF($K4="","",K4-J4)</f>
      </c>
      <c r="M4" s="3">
        <f>IF($K4="","",L4*16.67%)</f>
      </c>
      <c r="N4" s="3">
        <f>IF($K4="","",K4*3.96%)</f>
      </c>
      <c r="O4" s="3">
        <f>IF($K4="","",N4*20%)</f>
      </c>
      <c r="P4" s="3">
        <f>IF($K4="","",N4+O4)</f>
      </c>
      <c r="Q4" s="3"/>
      <c r="R4" s="3">
        <f>IF($K4="","",Q4*20%)</f>
      </c>
      <c r="S4" s="3">
        <v>1</v>
      </c>
      <c r="T4" s="3">
        <f>IF($K4="","",R4)</f>
      </c>
      <c r="U4" s="3">
        <f>IF($K4="","",L4-M4-N4-Q4-R4-S4)</f>
      </c>
      <c r="V4" s="3">
        <f>IF($K4="","",(U4-X4)/J4*100)</f>
      </c>
      <c r="W4" s="3">
        <f>IF($K4="","",M4-T4)</f>
      </c>
      <c r="Y4" s="3">
        <f>IF($K4="","",U4-X4)</f>
      </c>
    </row>
    <row r="5" spans="1:25" x14ac:dyDescent="0.25">
      <c r="A5" s="1"/>
      <c r="D5" s="2"/>
      <c r="J5" s="3"/>
      <c r="K5" s="3"/>
      <c r="L5" s="3">
        <f>IF($K5="","",K5-J5)</f>
      </c>
      <c r="M5" s="3">
        <f>IF($K5="","",L5*16.67%)</f>
      </c>
      <c r="N5" s="3">
        <f>IF($K5="","",K5*3.96%)</f>
      </c>
      <c r="O5" s="3">
        <f>IF($K5="","",N5*20%)</f>
      </c>
      <c r="P5" s="3">
        <f>IF($K5="","",N5+O5)</f>
      </c>
      <c r="Q5" s="3"/>
      <c r="R5" s="3">
        <f>IF($K5="","",Q5*20%)</f>
      </c>
      <c r="S5" s="3">
        <v>1</v>
      </c>
      <c r="T5" s="3">
        <f>IF($K5="","",R5)</f>
      </c>
      <c r="U5" s="3">
        <f>IF($K5="","",L5-M5-N5-Q5-R5-S5)</f>
      </c>
      <c r="V5" s="3">
        <f>IF($K5="","",(U5-X5)/J5*100)</f>
      </c>
      <c r="W5" s="3">
        <f>IF($K5="","",M5-T5)</f>
      </c>
      <c r="Y5" s="3">
        <f>IF($K5="","",U5-X5)</f>
      </c>
    </row>
    <row r="6" spans="1:25" x14ac:dyDescent="0.25">
      <c r="A6" s="1"/>
      <c r="D6" s="2"/>
      <c r="J6" s="3"/>
      <c r="K6" s="3"/>
      <c r="L6" s="3">
        <f>IF($K6="","",K6-J6)</f>
      </c>
      <c r="M6" s="3">
        <f>IF($K6="","",L6*16.67%)</f>
      </c>
      <c r="N6" s="3">
        <f>IF($K6="","",K6*3.96%)</f>
      </c>
      <c r="O6" s="3">
        <f>IF($K6="","",N6*20%)</f>
      </c>
      <c r="P6" s="3">
        <f>IF($K6="","",N6+O6)</f>
      </c>
      <c r="Q6" s="3"/>
      <c r="R6" s="3">
        <f>IF($K6="","",Q6*20%)</f>
      </c>
      <c r="S6" s="3">
        <v>1</v>
      </c>
      <c r="T6" s="3">
        <f>IF($K6="","",R6)</f>
      </c>
      <c r="U6" s="3">
        <f>IF($K6="","",L6-M6-N6-Q6-R6-S6)</f>
      </c>
      <c r="V6" s="3">
        <f>IF($K6="","",(U6-X6)/J6*100)</f>
      </c>
      <c r="W6" s="3">
        <f>IF($K6="","",M6-T6)</f>
      </c>
      <c r="Y6" s="3">
        <f>IF($K6="","",U6-X6)</f>
      </c>
    </row>
    <row r="7" spans="1:25" x14ac:dyDescent="0.25">
      <c r="A7" s="1"/>
      <c r="D7" s="2"/>
      <c r="J7" s="3"/>
      <c r="K7" s="3"/>
      <c r="L7" s="3">
        <f>IF($K7="","",K7-J7)</f>
      </c>
      <c r="M7" s="3">
        <f>IF($K7="","",L7*16.67%)</f>
      </c>
      <c r="N7" s="3">
        <f>IF($K7="","",K7*3.96%)</f>
      </c>
      <c r="O7" s="3">
        <f>IF($K7="","",N7*20%)</f>
      </c>
      <c r="P7" s="3">
        <f>IF($K7="","",N7+O7)</f>
      </c>
      <c r="Q7" s="3"/>
      <c r="R7" s="3">
        <f>IF($K7="","",Q7*20%)</f>
      </c>
      <c r="S7" s="3">
        <v>1</v>
      </c>
      <c r="T7" s="3">
        <f>IF($K7="","",R7)</f>
      </c>
      <c r="U7" s="3">
        <f>IF($K7="","",L7-M7-N7-Q7-R7-S7)</f>
      </c>
      <c r="V7" s="3">
        <f>IF($K7="","",(U7-X7)/J7*100)</f>
      </c>
      <c r="W7" s="3">
        <f>IF($K7="","",M7-T7)</f>
      </c>
      <c r="Y7" s="3">
        <f>IF($K7="","",U7-X7)</f>
      </c>
    </row>
    <row r="8" spans="1:25" x14ac:dyDescent="0.25">
      <c r="A8" s="1"/>
      <c r="D8" s="2"/>
      <c r="J8" s="3"/>
      <c r="K8" s="3"/>
      <c r="L8" s="3">
        <f>IF($K8="","",K8-J8)</f>
      </c>
      <c r="M8" s="3">
        <f>IF($K8="","",L8*16.67%)</f>
      </c>
      <c r="N8" s="3">
        <f>IF($K8="","",K8*3.96%)</f>
      </c>
      <c r="O8" s="3">
        <f>IF($K8="","",N8*20%)</f>
      </c>
      <c r="P8" s="3">
        <f>IF($K8="","",N8+O8)</f>
      </c>
      <c r="Q8" s="3"/>
      <c r="R8" s="3">
        <f>IF($K8="","",Q8*20%)</f>
      </c>
      <c r="S8" s="3">
        <v>1</v>
      </c>
      <c r="T8" s="3">
        <f>IF($K8="","",R8)</f>
      </c>
      <c r="U8" s="3">
        <f>IF($K8="","",L8-M8-N8-Q8-R8-S8)</f>
      </c>
      <c r="V8" s="3">
        <f>IF($K8="","",(U8-X8)/J8*100)</f>
      </c>
      <c r="W8" s="3">
        <f>IF($K8="","",M8-T8)</f>
      </c>
      <c r="Y8" s="3">
        <f>IF($K8="","",U8-X8)</f>
      </c>
    </row>
    <row r="9" spans="1:25" x14ac:dyDescent="0.25">
      <c r="A9" s="1"/>
      <c r="D9" s="2"/>
      <c r="J9" s="3"/>
      <c r="K9" s="3"/>
      <c r="L9" s="3">
        <f>IF($K9="","",K9-J9)</f>
      </c>
      <c r="M9" s="3">
        <f>IF($K9="","",L9*16.67%)</f>
      </c>
      <c r="N9" s="3">
        <f>IF($K9="","",K9*3.96%)</f>
      </c>
      <c r="O9" s="3">
        <f>IF($K9="","",N9*20%)</f>
      </c>
      <c r="P9" s="3">
        <f>IF($K9="","",N9+O9)</f>
      </c>
      <c r="Q9" s="3"/>
      <c r="R9" s="3">
        <f>IF($K9="","",Q9*20%)</f>
      </c>
      <c r="S9" s="3">
        <v>1</v>
      </c>
      <c r="T9" s="3">
        <f>IF($K9="","",R9)</f>
      </c>
      <c r="U9" s="3">
        <f>IF($K9="","",L9-M9-N9-Q9-R9-S9)</f>
      </c>
      <c r="V9" s="3">
        <f>IF($K9="","",(U9-X9)/J9*100)</f>
      </c>
      <c r="W9" s="3">
        <f>IF($K9="","",M9-T9)</f>
      </c>
      <c r="Y9" s="3">
        <f>IF($K9="","",U9-X9)</f>
      </c>
    </row>
    <row r="10" spans="1:25" x14ac:dyDescent="0.25">
      <c r="A10" s="1"/>
      <c r="D10" s="2"/>
      <c r="J10" s="3"/>
      <c r="K10" s="3"/>
      <c r="L10" s="3">
        <f>IF($K10="","",K10-J10)</f>
      </c>
      <c r="M10" s="3">
        <f>IF($K10="","",L10*16.67%)</f>
      </c>
      <c r="N10" s="3">
        <f>IF($K10="","",K10*3.96%)</f>
      </c>
      <c r="O10" s="3">
        <f>IF($K10="","",N10*20%)</f>
      </c>
      <c r="P10" s="3">
        <f>IF($K10="","",N10+O10)</f>
      </c>
      <c r="Q10" s="3"/>
      <c r="R10" s="3">
        <f>IF($K10="","",Q10*20%)</f>
      </c>
      <c r="S10" s="3">
        <v>1</v>
      </c>
      <c r="T10" s="3">
        <f>IF($K10="","",R10)</f>
      </c>
      <c r="U10" s="3">
        <f>IF($K10="","",L10-M10-N10-Q10-R10-S10)</f>
      </c>
      <c r="V10" s="3">
        <f>IF($K10="","",(U10-X10)/J10*100)</f>
      </c>
      <c r="W10" s="3">
        <f>IF($K10="","",M10-T10)</f>
      </c>
      <c r="Y10" s="3">
        <f>IF($K10="","",U10-X10)</f>
      </c>
    </row>
    <row r="11" spans="1:25" x14ac:dyDescent="0.25">
      <c r="A11" s="1"/>
      <c r="D11" s="2"/>
      <c r="J11" s="3"/>
      <c r="K11" s="3"/>
      <c r="L11" s="3">
        <f>IF($K11="","",K11-J11)</f>
      </c>
      <c r="M11" s="3">
        <f>IF($K11="","",L11*16.67%)</f>
      </c>
      <c r="N11" s="3">
        <f>IF($K11="","",K11*3.96%)</f>
      </c>
      <c r="O11" s="3">
        <f>IF($K11="","",N11*20%)</f>
      </c>
      <c r="P11" s="3">
        <f>IF($K11="","",N11+O11)</f>
      </c>
      <c r="Q11" s="3"/>
      <c r="R11" s="3">
        <f>IF($K11="","",Q11*20%)</f>
      </c>
      <c r="S11" s="3">
        <v>1</v>
      </c>
      <c r="T11" s="3">
        <f>IF($K11="","",R11)</f>
      </c>
      <c r="U11" s="3">
        <f>IF($K11="","",L11-M11-N11-Q11-R11-S11)</f>
      </c>
      <c r="V11" s="3">
        <f>IF($K11="","",(U11-X11)/J11*100)</f>
      </c>
      <c r="W11" s="3">
        <f>IF($K11="","",M11-T11)</f>
      </c>
      <c r="Y11" s="3">
        <f>IF($K11="","",U11-X11)</f>
      </c>
    </row>
    <row r="12" spans="1:25" x14ac:dyDescent="0.25">
      <c r="A12" s="1"/>
      <c r="D12" s="2"/>
      <c r="J12" s="3"/>
      <c r="K12" s="3"/>
      <c r="L12" s="3">
        <f>IF($K12="","",K12-J12)</f>
      </c>
      <c r="M12" s="3">
        <f>IF($K12="","",L12*16.67%)</f>
      </c>
      <c r="N12" s="3">
        <f>IF($K12="","",K12*3.96%)</f>
      </c>
      <c r="O12" s="3">
        <f>IF($K12="","",N12*20%)</f>
      </c>
      <c r="P12" s="3">
        <f>IF($K12="","",N12+O12)</f>
      </c>
      <c r="Q12" s="3"/>
      <c r="R12" s="3">
        <f>IF($K12="","",Q12*20%)</f>
      </c>
      <c r="S12" s="3">
        <v>1</v>
      </c>
      <c r="T12" s="3">
        <f>IF($K12="","",R12)</f>
      </c>
      <c r="U12" s="3">
        <f>IF($K12="","",L12-M12-N12-Q12-R12-S12)</f>
      </c>
      <c r="V12" s="3">
        <f>IF($K12="","",(U12-X12)/J12*100)</f>
      </c>
      <c r="W12" s="3">
        <f>IF($K12="","",M12-T12)</f>
      </c>
      <c r="Y12" s="3">
        <f>IF($K12="","",U12-X12)</f>
      </c>
    </row>
    <row r="13" spans="1:25" x14ac:dyDescent="0.25">
      <c r="A13" s="1"/>
      <c r="D13" s="2"/>
      <c r="J13" s="3"/>
      <c r="K13" s="3"/>
      <c r="L13" s="3">
        <f>IF($K13="","",K13-J13)</f>
      </c>
      <c r="M13" s="3">
        <f>IF($K13="","",L13*16.67%)</f>
      </c>
      <c r="N13" s="3">
        <f>IF($K13="","",K13*3.96%)</f>
      </c>
      <c r="O13" s="3">
        <f>IF($K13="","",N13*20%)</f>
      </c>
      <c r="P13" s="3">
        <f>IF($K13="","",N13+O13)</f>
      </c>
      <c r="Q13" s="3"/>
      <c r="R13" s="3">
        <f>IF($K13="","",Q13*20%)</f>
      </c>
      <c r="S13" s="3">
        <v>1</v>
      </c>
      <c r="T13" s="3">
        <f>IF($K13="","",R13)</f>
      </c>
      <c r="U13" s="3">
        <f>IF($K13="","",L13-M13-N13-Q13-R13-S13)</f>
      </c>
      <c r="V13" s="3">
        <f>IF($K13="","",(U13-X13)/J13*100)</f>
      </c>
      <c r="W13" s="3">
        <f>IF($K13="","",M13-T13)</f>
      </c>
      <c r="Y13" s="3">
        <f>IF($K13="","",U13-X13)</f>
      </c>
    </row>
    <row r="14" spans="1:25" x14ac:dyDescent="0.25">
      <c r="A14" s="1"/>
      <c r="D14" s="2"/>
      <c r="J14" s="3"/>
      <c r="K14" s="3"/>
      <c r="L14" s="3">
        <f>IF($K14="","",K14-J14)</f>
      </c>
      <c r="M14" s="3">
        <f>IF($K14="","",L14*16.67%)</f>
      </c>
      <c r="N14" s="3">
        <f>IF($K14="","",K14*3.96%)</f>
      </c>
      <c r="O14" s="3">
        <f>IF($K14="","",N14*20%)</f>
      </c>
      <c r="P14" s="3">
        <f>IF($K14="","",N14+O14)</f>
      </c>
      <c r="Q14" s="3"/>
      <c r="R14" s="3">
        <f>IF($K14="","",Q14*20%)</f>
      </c>
      <c r="S14" s="3">
        <v>1</v>
      </c>
      <c r="T14" s="3">
        <f>IF($K14="","",R14)</f>
      </c>
      <c r="U14" s="3">
        <f>IF($K14="","",L14-M14-N14-Q14-R14-S14)</f>
      </c>
      <c r="V14" s="3">
        <f>IF($K14="","",(U14-X14)/J14*100)</f>
      </c>
      <c r="W14" s="3">
        <f>IF($K14="","",M14-T14)</f>
      </c>
      <c r="Y14" s="3">
        <f>IF($K14="","",U14-X14)</f>
      </c>
    </row>
    <row r="15" spans="1:25" x14ac:dyDescent="0.25">
      <c r="A15" s="1"/>
      <c r="D15" s="2"/>
      <c r="J15" s="3"/>
      <c r="K15" s="3"/>
      <c r="L15" s="3">
        <f>IF($K15="","",K15-J15)</f>
      </c>
      <c r="M15" s="3">
        <f>IF($K15="","",L15*16.67%)</f>
      </c>
      <c r="N15" s="3">
        <f>IF($K15="","",K15*3.96%)</f>
      </c>
      <c r="O15" s="3">
        <f>IF($K15="","",N15*20%)</f>
      </c>
      <c r="P15" s="3">
        <f>IF($K15="","",N15+O15)</f>
      </c>
      <c r="Q15" s="3"/>
      <c r="R15" s="3">
        <f>IF($K15="","",Q15*20%)</f>
      </c>
      <c r="S15" s="3">
        <v>1</v>
      </c>
      <c r="T15" s="3">
        <f>IF($K15="","",R15)</f>
      </c>
      <c r="U15" s="3">
        <f>IF($K15="","",L15-M15-N15-Q15-R15-S15)</f>
      </c>
      <c r="V15" s="3">
        <f>IF($K15="","",(U15-X15)/J15*100)</f>
      </c>
      <c r="W15" s="3">
        <f>IF($K15="","",M15-T15)</f>
      </c>
      <c r="Y15" s="3">
        <f>IF($K15="","",U15-X15)</f>
      </c>
    </row>
    <row r="16" spans="1:25" x14ac:dyDescent="0.25">
      <c r="A16" s="1"/>
      <c r="D16" s="2"/>
      <c r="J16" s="3"/>
      <c r="K16" s="3"/>
      <c r="L16" s="3">
        <f>IF($K16="","",K16-J16)</f>
      </c>
      <c r="M16" s="3">
        <f>IF($K16="","",L16*16.67%)</f>
      </c>
      <c r="N16" s="3">
        <f>IF($K16="","",K16*3.96%)</f>
      </c>
      <c r="O16" s="3">
        <f>IF($K16="","",N16*20%)</f>
      </c>
      <c r="P16" s="3">
        <f>IF($K16="","",N16+O16)</f>
      </c>
      <c r="Q16" s="3"/>
      <c r="R16" s="3">
        <f>IF($K16="","",Q16*20%)</f>
      </c>
      <c r="S16" s="3">
        <v>1</v>
      </c>
      <c r="T16" s="3">
        <f>IF($K16="","",R16)</f>
      </c>
      <c r="U16" s="3">
        <f>IF($K16="","",L16-M16-N16-Q16-R16-S16)</f>
      </c>
      <c r="V16" s="3">
        <f>IF($K16="","",(U16-X16)/J16*100)</f>
      </c>
      <c r="W16" s="3">
        <f>IF($K16="","",M16-T16)</f>
      </c>
      <c r="Y16" s="3">
        <f>IF($K16="","",U16-X16)</f>
      </c>
    </row>
    <row r="17" spans="1:25" x14ac:dyDescent="0.25">
      <c r="A17" s="1"/>
      <c r="D17" s="2"/>
      <c r="J17" s="3"/>
      <c r="K17" s="3"/>
      <c r="L17" s="3">
        <f>IF($K17="","",K17-J17)</f>
      </c>
      <c r="M17" s="3">
        <f>IF($K17="","",L17*16.67%)</f>
      </c>
      <c r="N17" s="3">
        <f>IF($K17="","",K17*3.96%)</f>
      </c>
      <c r="O17" s="3">
        <f>IF($K17="","",N17*20%)</f>
      </c>
      <c r="P17" s="3">
        <f>IF($K17="","",N17+O17)</f>
      </c>
      <c r="Q17" s="3"/>
      <c r="R17" s="3">
        <f>IF($K17="","",Q17*20%)</f>
      </c>
      <c r="S17" s="3">
        <v>1</v>
      </c>
      <c r="T17" s="3">
        <f>IF($K17="","",R17)</f>
      </c>
      <c r="U17" s="3">
        <f>IF($K17="","",L17-M17-N17-Q17-R17-S17)</f>
      </c>
      <c r="V17" s="3">
        <f>IF($K17="","",(U17-X17)/J17*100)</f>
      </c>
      <c r="W17" s="3">
        <f>IF($K17="","",M17-T17)</f>
      </c>
      <c r="Y17" s="3">
        <f>IF($K17="","",U17-X17)</f>
      </c>
    </row>
    <row r="18" spans="1:25" x14ac:dyDescent="0.25">
      <c r="A18" s="1"/>
      <c r="D18" s="2"/>
      <c r="J18" s="3"/>
      <c r="K18" s="3"/>
      <c r="L18" s="3">
        <f>IF($K18="","",K18-J18)</f>
      </c>
      <c r="M18" s="3">
        <f>IF($K18="","",L18*16.67%)</f>
      </c>
      <c r="N18" s="3">
        <f>IF($K18="","",K18*3.96%)</f>
      </c>
      <c r="O18" s="3">
        <f>IF($K18="","",N18*20%)</f>
      </c>
      <c r="P18" s="3">
        <f>IF($K18="","",N18+O18)</f>
      </c>
      <c r="Q18" s="3"/>
      <c r="R18" s="3">
        <f>IF($K18="","",Q18*20%)</f>
      </c>
      <c r="S18" s="3">
        <v>1</v>
      </c>
      <c r="T18" s="3">
        <f>IF($K18="","",R18)</f>
      </c>
      <c r="U18" s="3">
        <f>IF($K18="","",L18-M18-N18-Q18-R18-S18)</f>
      </c>
      <c r="V18" s="3">
        <f>IF($K18="","",(U18-X18)/J18*100)</f>
      </c>
      <c r="W18" s="3">
        <f>IF($K18="","",M18-T18)</f>
      </c>
      <c r="Y18" s="3">
        <f>IF($K18="","",U18-X18)</f>
      </c>
    </row>
    <row r="19" spans="1:25" x14ac:dyDescent="0.25">
      <c r="A19" s="1"/>
      <c r="D19" s="2"/>
      <c r="J19" s="3"/>
      <c r="K19" s="3"/>
      <c r="L19" s="3">
        <f>IF($K19="","",K19-J19)</f>
      </c>
      <c r="M19" s="3">
        <f>IF($K19="","",L19*16.67%)</f>
      </c>
      <c r="N19" s="3">
        <f>IF($K19="","",K19*3.96%)</f>
      </c>
      <c r="O19" s="3">
        <f>IF($K19="","",N19*20%)</f>
      </c>
      <c r="P19" s="3">
        <f>IF($K19="","",N19+O19)</f>
      </c>
      <c r="Q19" s="3"/>
      <c r="R19" s="3">
        <f>IF($K19="","",Q19*20%)</f>
      </c>
      <c r="S19" s="3">
        <v>1</v>
      </c>
      <c r="T19" s="3">
        <f>IF($K19="","",R19)</f>
      </c>
      <c r="U19" s="3">
        <f>IF($K19="","",L19-M19-N19-Q19-R19-S19)</f>
      </c>
      <c r="V19" s="3">
        <f>IF($K19="","",(U19-X19)/J19*100)</f>
      </c>
      <c r="W19" s="3">
        <f>IF($K19="","",M19-T19)</f>
      </c>
      <c r="Y19" s="3">
        <f>IF($K19="","",U19-X19)</f>
      </c>
    </row>
    <row r="20" spans="1:25" x14ac:dyDescent="0.25">
      <c r="A20" s="1"/>
      <c r="D20" s="2"/>
      <c r="J20" s="3"/>
      <c r="K20" s="3"/>
      <c r="L20" s="3">
        <f>IF($K20="","",K20-J20)</f>
      </c>
      <c r="M20" s="3">
        <f>IF($K20="","",L20*16.67%)</f>
      </c>
      <c r="N20" s="3">
        <f>IF($K20="","",K20*3.96%)</f>
      </c>
      <c r="O20" s="3">
        <f>IF($K20="","",N20*20%)</f>
      </c>
      <c r="P20" s="3">
        <f>IF($K20="","",N20+O20)</f>
      </c>
      <c r="Q20" s="3"/>
      <c r="R20" s="3">
        <f>IF($K20="","",Q20*20%)</f>
      </c>
      <c r="S20" s="3">
        <v>1</v>
      </c>
      <c r="T20" s="3">
        <f>IF($K20="","",R20)</f>
      </c>
      <c r="U20" s="3">
        <f>IF($K20="","",L20-M20-N20-Q20-R20-S20)</f>
      </c>
      <c r="V20" s="3">
        <f>IF($K20="","",(U20-X20)/J20*100)</f>
      </c>
      <c r="W20" s="3">
        <f>IF($K20="","",M20-T20)</f>
      </c>
      <c r="Y20" s="3">
        <f>IF($K20="","",U20-X20)</f>
      </c>
    </row>
    <row r="21" spans="1:25" x14ac:dyDescent="0.25">
      <c r="A21" s="1"/>
      <c r="D21" s="2"/>
      <c r="J21" s="3"/>
      <c r="K21" s="3"/>
      <c r="L21" s="3">
        <f>IF($K21="","",K21-J21)</f>
      </c>
      <c r="M21" s="3">
        <f>IF($K21="","",L21*16.67%)</f>
      </c>
      <c r="N21" s="3">
        <f>IF($K21="","",K21*3.96%)</f>
      </c>
      <c r="O21" s="3">
        <f>IF($K21="","",N21*20%)</f>
      </c>
      <c r="P21" s="3">
        <f>IF($K21="","",N21+O21)</f>
      </c>
      <c r="Q21" s="3"/>
      <c r="R21" s="3">
        <f>IF($K21="","",Q21*20%)</f>
      </c>
      <c r="S21" s="3">
        <v>1</v>
      </c>
      <c r="T21" s="3">
        <f>IF($K21="","",R21)</f>
      </c>
      <c r="U21" s="3">
        <f>IF($K21="","",L21-M21-N21-Q21-R21-S21)</f>
      </c>
      <c r="V21" s="3">
        <f>IF($K21="","",(U21-X21)/J21*100)</f>
      </c>
      <c r="W21" s="3">
        <f>IF($K21="","",M21-T21)</f>
      </c>
      <c r="Y21" s="3">
        <f>IF($K21="","",U21-X21)</f>
      </c>
    </row>
    <row r="22" spans="1:25" x14ac:dyDescent="0.25">
      <c r="A22" s="1"/>
      <c r="D22" s="2"/>
      <c r="J22" s="3"/>
      <c r="K22" s="3"/>
      <c r="L22" s="3">
        <f>IF($K22="","",K22-J22)</f>
      </c>
      <c r="M22" s="3">
        <f>IF($K22="","",L22*16.67%)</f>
      </c>
      <c r="N22" s="3">
        <f>IF($K22="","",K22*3.96%)</f>
      </c>
      <c r="O22" s="3">
        <f>IF($K22="","",N22*20%)</f>
      </c>
      <c r="P22" s="3">
        <f>IF($K22="","",N22+O22)</f>
      </c>
      <c r="Q22" s="3"/>
      <c r="R22" s="3">
        <f>IF($K22="","",Q22*20%)</f>
      </c>
      <c r="S22" s="3">
        <v>1</v>
      </c>
      <c r="T22" s="3">
        <f>IF($K22="","",R22)</f>
      </c>
      <c r="U22" s="3">
        <f>IF($K22="","",L22-M22-N22-Q22-R22-S22)</f>
      </c>
      <c r="V22" s="3">
        <f>IF($K22="","",(U22-X22)/J22*100)</f>
      </c>
      <c r="W22" s="3">
        <f>IF($K22="","",M22-T22)</f>
      </c>
      <c r="Y22" s="3">
        <f>IF($K22="","",U22-X22)</f>
      </c>
    </row>
    <row r="23" spans="1:25" x14ac:dyDescent="0.25">
      <c r="A23" s="1"/>
      <c r="D23" s="2"/>
      <c r="J23" s="3"/>
      <c r="K23" s="3"/>
      <c r="L23" s="3">
        <f>IF($K23="","",K23-J23)</f>
      </c>
      <c r="M23" s="3">
        <f>IF($K23="","",L23*16.67%)</f>
      </c>
      <c r="N23" s="3">
        <f>IF($K23="","",K23*3.96%)</f>
      </c>
      <c r="O23" s="3">
        <f>IF($K23="","",N23*20%)</f>
      </c>
      <c r="P23" s="3">
        <f>IF($K23="","",N23+O23)</f>
      </c>
      <c r="Q23" s="3"/>
      <c r="R23" s="3">
        <f>IF($K23="","",Q23*20%)</f>
      </c>
      <c r="S23" s="3">
        <v>1</v>
      </c>
      <c r="T23" s="3">
        <f>IF($K23="","",R23)</f>
      </c>
      <c r="U23" s="3">
        <f>IF($K23="","",L23-M23-N23-Q23-R23-S23)</f>
      </c>
      <c r="V23" s="3">
        <f>IF($K23="","",(U23-X23)/J23*100)</f>
      </c>
      <c r="W23" s="3">
        <f>IF($K23="","",M23-T23)</f>
      </c>
      <c r="Y23" s="3">
        <f>IF($K23="","",U23-X23)</f>
      </c>
    </row>
    <row r="24" spans="1:25" x14ac:dyDescent="0.25">
      <c r="A24" s="1"/>
      <c r="D24" s="2"/>
      <c r="J24" s="3"/>
      <c r="K24" s="3"/>
      <c r="L24" s="3">
        <f>IF($K24="","",K24-J24)</f>
      </c>
      <c r="M24" s="3">
        <f>IF($K24="","",L24*16.67%)</f>
      </c>
      <c r="N24" s="3">
        <f>IF($K24="","",K24*3.96%)</f>
      </c>
      <c r="O24" s="3">
        <f>IF($K24="","",N24*20%)</f>
      </c>
      <c r="P24" s="3">
        <f>IF($K24="","",N24+O24)</f>
      </c>
      <c r="Q24" s="3"/>
      <c r="R24" s="3">
        <f>IF($K24="","",Q24*20%)</f>
      </c>
      <c r="S24" s="3">
        <v>1</v>
      </c>
      <c r="T24" s="3">
        <f>IF($K24="","",R24)</f>
      </c>
      <c r="U24" s="3">
        <f>IF($K24="","",L24-M24-N24-Q24-R24-S24)</f>
      </c>
      <c r="V24" s="3">
        <f>IF($K24="","",(U24-X24)/J24*100)</f>
      </c>
      <c r="W24" s="3">
        <f>IF($K24="","",M24-T24)</f>
      </c>
      <c r="Y24" s="3">
        <f>IF($K24="","",U24-X24)</f>
      </c>
    </row>
    <row r="25" spans="1:25" x14ac:dyDescent="0.25">
      <c r="A25" s="1"/>
      <c r="D25" s="2"/>
      <c r="J25" s="3"/>
      <c r="K25" s="3"/>
      <c r="L25" s="3">
        <f>IF($K25="","",K25-J25)</f>
      </c>
      <c r="M25" s="3">
        <f>IF($K25="","",L25*16.67%)</f>
      </c>
      <c r="N25" s="3">
        <f>IF($K25="","",K25*3.96%)</f>
      </c>
      <c r="O25" s="3">
        <f>IF($K25="","",N25*20%)</f>
      </c>
      <c r="P25" s="3">
        <f>IF($K25="","",N25+O25)</f>
      </c>
      <c r="Q25" s="3"/>
      <c r="R25" s="3">
        <f>IF($K25="","",Q25*20%)</f>
      </c>
      <c r="S25" s="3">
        <v>1</v>
      </c>
      <c r="T25" s="3">
        <f>IF($K25="","",R25)</f>
      </c>
      <c r="U25" s="3">
        <f>IF($K25="","",L25-M25-N25-Q25-R25-S25)</f>
      </c>
      <c r="V25" s="3">
        <f>IF($K25="","",(U25-X25)/J25*100)</f>
      </c>
      <c r="W25" s="3">
        <f>IF($K25="","",M25-T25)</f>
      </c>
      <c r="Y25" s="3">
        <f>IF($K25="","",U25-X25)</f>
      </c>
    </row>
    <row r="26" spans="1:25" x14ac:dyDescent="0.25">
      <c r="A26" s="1"/>
      <c r="D26" s="2"/>
      <c r="J26" s="3"/>
      <c r="K26" s="3"/>
      <c r="L26" s="3">
        <f>IF($K26="","",K26-J26)</f>
      </c>
      <c r="M26" s="3">
        <f>IF($K26="","",L26*16.67%)</f>
      </c>
      <c r="N26" s="3">
        <f>IF($K26="","",K26*3.96%)</f>
      </c>
      <c r="O26" s="3">
        <f>IF($K26="","",N26*20%)</f>
      </c>
      <c r="P26" s="3">
        <f>IF($K26="","",N26+O26)</f>
      </c>
      <c r="Q26" s="3"/>
      <c r="R26" s="3">
        <f>IF($K26="","",Q26*20%)</f>
      </c>
      <c r="S26" s="3">
        <v>1</v>
      </c>
      <c r="T26" s="3">
        <f>IF($K26="","",R26)</f>
      </c>
      <c r="U26" s="3">
        <f>IF($K26="","",L26-M26-N26-Q26-R26-S26)</f>
      </c>
      <c r="V26" s="3">
        <f>IF($K26="","",(U26-X26)/J26*100)</f>
      </c>
      <c r="W26" s="3">
        <f>IF($K26="","",M26-T26)</f>
      </c>
      <c r="Y26" s="3">
        <f>IF($K26="","",U26-X26)</f>
      </c>
    </row>
    <row r="27" spans="1:25" x14ac:dyDescent="0.25">
      <c r="A27" s="1"/>
      <c r="D27" s="2"/>
      <c r="J27" s="3"/>
      <c r="K27" s="3"/>
      <c r="L27" s="3">
        <f>IF($K27="","",K27-J27)</f>
      </c>
      <c r="M27" s="3">
        <f>IF($K27="","",L27*16.67%)</f>
      </c>
      <c r="N27" s="3">
        <f>IF($K27="","",K27*3.96%)</f>
      </c>
      <c r="O27" s="3">
        <f>IF($K27="","",N27*20%)</f>
      </c>
      <c r="P27" s="3">
        <f>IF($K27="","",N27+O27)</f>
      </c>
      <c r="Q27" s="3"/>
      <c r="R27" s="3">
        <f>IF($K27="","",Q27*20%)</f>
      </c>
      <c r="S27" s="3">
        <v>1</v>
      </c>
      <c r="T27" s="3">
        <f>IF($K27="","",R27)</f>
      </c>
      <c r="U27" s="3">
        <f>IF($K27="","",L27-M27-N27-Q27-R27-S27)</f>
      </c>
      <c r="V27" s="3">
        <f>IF($K27="","",(U27-X27)/J27*100)</f>
      </c>
      <c r="W27" s="3">
        <f>IF($K27="","",M27-T27)</f>
      </c>
      <c r="Y27" s="3">
        <f>IF($K27="","",U27-X27)</f>
      </c>
    </row>
    <row r="28" spans="1:25" x14ac:dyDescent="0.25">
      <c r="A28" s="1"/>
      <c r="D28" s="2"/>
      <c r="J28" s="3"/>
      <c r="K28" s="3"/>
      <c r="L28" s="3">
        <f>IF($K28="","",K28-J28)</f>
      </c>
      <c r="M28" s="3">
        <f>IF($K28="","",L28*16.67%)</f>
      </c>
      <c r="N28" s="3">
        <f>IF($K28="","",K28*3.96%)</f>
      </c>
      <c r="O28" s="3">
        <f>IF($K28="","",N28*20%)</f>
      </c>
      <c r="P28" s="3">
        <f>IF($K28="","",N28+O28)</f>
      </c>
      <c r="Q28" s="3"/>
      <c r="R28" s="3">
        <f>IF($K28="","",Q28*20%)</f>
      </c>
      <c r="S28" s="3">
        <v>1</v>
      </c>
      <c r="T28" s="3">
        <f>IF($K28="","",R28)</f>
      </c>
      <c r="U28" s="3">
        <f>IF($K28="","",L28-M28-N28-Q28-R28-S28)</f>
      </c>
      <c r="V28" s="3">
        <f>IF($K28="","",(U28-X28)/J28*100)</f>
      </c>
      <c r="W28" s="3">
        <f>IF($K28="","",M28-T28)</f>
      </c>
      <c r="Y28" s="3">
        <f>IF($K28="","",U28-X28)</f>
      </c>
    </row>
    <row r="29" spans="1:25" x14ac:dyDescent="0.25">
      <c r="A29" s="1"/>
      <c r="D29" s="2"/>
      <c r="J29" s="3"/>
      <c r="K29" s="3"/>
      <c r="L29" s="3">
        <f>IF($K29="","",K29-J29)</f>
      </c>
      <c r="M29" s="3">
        <f>IF($K29="","",L29*16.67%)</f>
      </c>
      <c r="N29" s="3">
        <f>IF($K29="","",K29*3.96%)</f>
      </c>
      <c r="O29" s="3">
        <f>IF($K29="","",N29*20%)</f>
      </c>
      <c r="P29" s="3">
        <f>IF($K29="","",N29+O29)</f>
      </c>
      <c r="Q29" s="3"/>
      <c r="R29" s="3">
        <f>IF($K29="","",Q29*20%)</f>
      </c>
      <c r="S29" s="3">
        <v>1</v>
      </c>
      <c r="T29" s="3">
        <f>IF($K29="","",R29)</f>
      </c>
      <c r="U29" s="3">
        <f>IF($K29="","",L29-M29-N29-Q29-R29-S29)</f>
      </c>
      <c r="V29" s="3">
        <f>IF($K29="","",(U29-X29)/J29*100)</f>
      </c>
      <c r="W29" s="3">
        <f>IF($K29="","",M29-T29)</f>
      </c>
      <c r="Y29" s="3">
        <f>IF($K29="","",U29-X29)</f>
      </c>
    </row>
    <row r="30" spans="1:25" x14ac:dyDescent="0.25">
      <c r="A30" s="1"/>
      <c r="D30" s="2"/>
      <c r="J30" s="3"/>
      <c r="K30" s="3"/>
      <c r="L30" s="3">
        <f>IF($K30="","",K30-J30)</f>
      </c>
      <c r="M30" s="3">
        <f>IF($K30="","",L30*16.67%)</f>
      </c>
      <c r="N30" s="3">
        <f>IF($K30="","",K30*3.96%)</f>
      </c>
      <c r="O30" s="3">
        <f>IF($K30="","",N30*20%)</f>
      </c>
      <c r="P30" s="3">
        <f>IF($K30="","",N30+O30)</f>
      </c>
      <c r="Q30" s="3"/>
      <c r="R30" s="3">
        <f>IF($K30="","",Q30*20%)</f>
      </c>
      <c r="S30" s="3">
        <v>1</v>
      </c>
      <c r="T30" s="3">
        <f>IF($K30="","",R30)</f>
      </c>
      <c r="U30" s="3">
        <f>IF($K30="","",L30-M30-N30-Q30-R30-S30)</f>
      </c>
      <c r="V30" s="3">
        <f>IF($K30="","",(U30-X30)/J30*100)</f>
      </c>
      <c r="W30" s="3">
        <f>IF($K30="","",M30-T30)</f>
      </c>
      <c r="Y30" s="3">
        <f>IF($K30="","",U30-X30)</f>
      </c>
    </row>
    <row r="31" spans="1:25" x14ac:dyDescent="0.25">
      <c r="A31" s="1"/>
      <c r="D31" s="2"/>
      <c r="J31" s="3"/>
      <c r="K31" s="3"/>
      <c r="L31" s="3">
        <f>IF($K31="","",K31-J31)</f>
      </c>
      <c r="M31" s="3">
        <f>IF($K31="","",L31*16.67%)</f>
      </c>
      <c r="N31" s="3">
        <f>IF($K31="","",K31*3.96%)</f>
      </c>
      <c r="O31" s="3">
        <f>IF($K31="","",N31*20%)</f>
      </c>
      <c r="P31" s="3">
        <f>IF($K31="","",N31+O31)</f>
      </c>
      <c r="Q31" s="3"/>
      <c r="R31" s="3">
        <f>IF($K31="","",Q31*20%)</f>
      </c>
      <c r="S31" s="3">
        <v>1</v>
      </c>
      <c r="T31" s="3">
        <f>IF($K31="","",R31)</f>
      </c>
      <c r="U31" s="3">
        <f>IF($K31="","",L31-M31-N31-Q31-R31-S31)</f>
      </c>
      <c r="V31" s="3">
        <f>IF($K31="","",(U31-X31)/J31*100)</f>
      </c>
      <c r="W31" s="3">
        <f>IF($K31="","",M31-T31)</f>
      </c>
      <c r="Y31" s="3">
        <f>IF($K31="","",U31-X31)</f>
      </c>
    </row>
    <row r="32" spans="1:25" x14ac:dyDescent="0.25">
      <c r="A32" s="1"/>
      <c r="D32" s="2"/>
      <c r="J32" s="3"/>
      <c r="K32" s="3"/>
      <c r="L32" s="3">
        <f>IF($K32="","",K32-J32)</f>
      </c>
      <c r="M32" s="3">
        <f>IF($K32="","",L32*16.67%)</f>
      </c>
      <c r="N32" s="3">
        <f>IF($K32="","",K32*3.96%)</f>
      </c>
      <c r="O32" s="3">
        <f>IF($K32="","",N32*20%)</f>
      </c>
      <c r="P32" s="3">
        <f>IF($K32="","",N32+O32)</f>
      </c>
      <c r="Q32" s="3"/>
      <c r="R32" s="3">
        <f>IF($K32="","",Q32*20%)</f>
      </c>
      <c r="S32" s="3">
        <v>1</v>
      </c>
      <c r="T32" s="3">
        <f>IF($K32="","",R32)</f>
      </c>
      <c r="U32" s="3">
        <f>IF($K32="","",L32-M32-N32-Q32-R32-S32)</f>
      </c>
      <c r="V32" s="3">
        <f>IF($K32="","",(U32-X32)/J32*100)</f>
      </c>
      <c r="W32" s="3">
        <f>IF($K32="","",M32-T32)</f>
      </c>
      <c r="Y32" s="3">
        <f>IF($K32="","",U32-X32)</f>
      </c>
    </row>
    <row r="33" spans="1:25" x14ac:dyDescent="0.25">
      <c r="A33" s="1"/>
      <c r="D33" s="2"/>
      <c r="J33" s="3"/>
      <c r="K33" s="3"/>
      <c r="L33" s="3">
        <f>IF($K33="","",K33-J33)</f>
      </c>
      <c r="M33" s="3">
        <f>IF($K33="","",L33*16.67%)</f>
      </c>
      <c r="N33" s="3">
        <f>IF($K33="","",K33*3.96%)</f>
      </c>
      <c r="O33" s="3">
        <f>IF($K33="","",N33*20%)</f>
      </c>
      <c r="P33" s="3">
        <f>IF($K33="","",N33+O33)</f>
      </c>
      <c r="Q33" s="3"/>
      <c r="R33" s="3">
        <f>IF($K33="","",Q33*20%)</f>
      </c>
      <c r="S33" s="3">
        <v>1</v>
      </c>
      <c r="T33" s="3">
        <f>IF($K33="","",R33)</f>
      </c>
      <c r="U33" s="3">
        <f>IF($K33="","",L33-M33-N33-Q33-R33-S33)</f>
      </c>
      <c r="V33" s="3">
        <f>IF($K33="","",(U33-X33)/J33*100)</f>
      </c>
      <c r="W33" s="3">
        <f>IF($K33="","",M33-T33)</f>
      </c>
      <c r="Y33" s="3">
        <f>IF($K33="","",U33-X33)</f>
      </c>
    </row>
    <row r="34" spans="1:25" x14ac:dyDescent="0.25">
      <c r="A34" s="1"/>
      <c r="D34" s="2"/>
      <c r="J34" s="3"/>
      <c r="K34" s="3"/>
      <c r="L34" s="3">
        <f>IF($K34="","",K34-J34)</f>
      </c>
      <c r="M34" s="3">
        <f>IF($K34="","",L34*16.67%)</f>
      </c>
      <c r="N34" s="3">
        <f>IF($K34="","",K34*3.96%)</f>
      </c>
      <c r="O34" s="3">
        <f>IF($K34="","",N34*20%)</f>
      </c>
      <c r="P34" s="3">
        <f>IF($K34="","",N34+O34)</f>
      </c>
      <c r="Q34" s="3"/>
      <c r="R34" s="3">
        <f>IF($K34="","",Q34*20%)</f>
      </c>
      <c r="S34" s="3">
        <v>1</v>
      </c>
      <c r="T34" s="3">
        <f>IF($K34="","",R34)</f>
      </c>
      <c r="U34" s="3">
        <f>IF($K34="","",L34-M34-N34-Q34-R34-S34)</f>
      </c>
      <c r="V34" s="3">
        <f>IF($K34="","",(U34-X34)/J34*100)</f>
      </c>
      <c r="W34" s="3">
        <f>IF($K34="","",M34-T34)</f>
      </c>
      <c r="Y34" s="3">
        <f>IF($K34="","",U34-X34)</f>
      </c>
    </row>
    <row r="35" spans="1:25" x14ac:dyDescent="0.25">
      <c r="A35" s="1"/>
      <c r="D35" s="2"/>
      <c r="J35" s="3"/>
      <c r="K35" s="3"/>
      <c r="L35" s="3">
        <f>IF($K35="","",K35-J35)</f>
      </c>
      <c r="M35" s="3">
        <f>IF($K35="","",L35*16.67%)</f>
      </c>
      <c r="N35" s="3">
        <f>IF($K35="","",K35*3.96%)</f>
      </c>
      <c r="O35" s="3">
        <f>IF($K35="","",N35*20%)</f>
      </c>
      <c r="P35" s="3">
        <f>IF($K35="","",N35+O35)</f>
      </c>
      <c r="Q35" s="3"/>
      <c r="R35" s="3">
        <f>IF($K35="","",Q35*20%)</f>
      </c>
      <c r="S35" s="3">
        <v>1</v>
      </c>
      <c r="T35" s="3">
        <f>IF($K35="","",R35)</f>
      </c>
      <c r="U35" s="3">
        <f>IF($K35="","",L35-M35-N35-Q35-R35-S35)</f>
      </c>
      <c r="V35" s="3">
        <f>IF($K35="","",(U35-X35)/J35*100)</f>
      </c>
      <c r="W35" s="3">
        <f>IF($K35="","",M35-T35)</f>
      </c>
      <c r="Y35" s="3">
        <f>IF($K35="","",U35-X35)</f>
      </c>
    </row>
    <row r="36" spans="1:25" x14ac:dyDescent="0.25">
      <c r="A36" s="1"/>
      <c r="D36" s="2"/>
      <c r="J36" s="3"/>
      <c r="K36" s="3"/>
      <c r="L36" s="3">
        <f>IF($K36="","",K36-J36)</f>
      </c>
      <c r="M36" s="3">
        <f>IF($K36="","",L36*16.67%)</f>
      </c>
      <c r="N36" s="3">
        <f>IF($K36="","",K36*3.96%)</f>
      </c>
      <c r="O36" s="3">
        <f>IF($K36="","",N36*20%)</f>
      </c>
      <c r="P36" s="3">
        <f>IF($K36="","",N36+O36)</f>
      </c>
      <c r="Q36" s="3"/>
      <c r="R36" s="3">
        <f>IF($K36="","",Q36*20%)</f>
      </c>
      <c r="S36" s="3">
        <v>1</v>
      </c>
      <c r="T36" s="3">
        <f>IF($K36="","",R36)</f>
      </c>
      <c r="U36" s="3">
        <f>IF($K36="","",L36-M36-N36-Q36-R36-S36)</f>
      </c>
      <c r="V36" s="3">
        <f>IF($K36="","",(U36-X36)/J36*100)</f>
      </c>
      <c r="W36" s="3">
        <f>IF($K36="","",M36-T36)</f>
      </c>
      <c r="Y36" s="3">
        <f>IF($K36="","",U36-X36)</f>
      </c>
    </row>
    <row r="37" spans="1:25" x14ac:dyDescent="0.25">
      <c r="A37" s="1"/>
      <c r="D37" s="2"/>
      <c r="J37" s="3"/>
      <c r="K37" s="3"/>
      <c r="L37" s="3">
        <f>IF($K37="","",K37-J37)</f>
      </c>
      <c r="M37" s="3">
        <f>IF($K37="","",L37*16.67%)</f>
      </c>
      <c r="N37" s="3">
        <f>IF($K37="","",K37*3.96%)</f>
      </c>
      <c r="O37" s="3">
        <f>IF($K37="","",N37*20%)</f>
      </c>
      <c r="P37" s="3">
        <f>IF($K37="","",N37+O37)</f>
      </c>
      <c r="Q37" s="3"/>
      <c r="R37" s="3">
        <f>IF($K37="","",Q37*20%)</f>
      </c>
      <c r="S37" s="3">
        <v>1</v>
      </c>
      <c r="T37" s="3">
        <f>IF($K37="","",R37)</f>
      </c>
      <c r="U37" s="3">
        <f>IF($K37="","",L37-M37-N37-Q37-R37-S37)</f>
      </c>
      <c r="V37" s="3">
        <f>IF($K37="","",(U37-X37)/J37*100)</f>
      </c>
      <c r="W37" s="3">
        <f>IF($K37="","",M37-T37)</f>
      </c>
      <c r="Y37" s="3">
        <f>IF($K37="","",U37-X37)</f>
      </c>
    </row>
    <row r="38" spans="1:25" x14ac:dyDescent="0.25">
      <c r="A38" s="1"/>
      <c r="D38" s="2"/>
      <c r="J38" s="3"/>
      <c r="K38" s="3"/>
      <c r="L38" s="3">
        <f>IF($K38="","",K38-J38)</f>
      </c>
      <c r="M38" s="3">
        <f>IF($K38="","",L38*16.67%)</f>
      </c>
      <c r="N38" s="3">
        <f>IF($K38="","",K38*3.96%)</f>
      </c>
      <c r="O38" s="3">
        <f>IF($K38="","",N38*20%)</f>
      </c>
      <c r="P38" s="3">
        <f>IF($K38="","",N38+O38)</f>
      </c>
      <c r="Q38" s="3"/>
      <c r="R38" s="3">
        <f>IF($K38="","",Q38*20%)</f>
      </c>
      <c r="S38" s="3">
        <v>1</v>
      </c>
      <c r="T38" s="3">
        <f>IF($K38="","",R38)</f>
      </c>
      <c r="U38" s="3">
        <f>IF($K38="","",L38-M38-N38-Q38-R38-S38)</f>
      </c>
      <c r="V38" s="3">
        <f>IF($K38="","",(U38-X38)/J38*100)</f>
      </c>
      <c r="W38" s="3">
        <f>IF($K38="","",M38-T38)</f>
      </c>
      <c r="Y38" s="3">
        <f>IF($K38="","",U38-X38)</f>
      </c>
    </row>
    <row r="39" spans="1:25" x14ac:dyDescent="0.25">
      <c r="A39" s="1"/>
      <c r="D39" s="2"/>
      <c r="J39" s="3"/>
      <c r="K39" s="3"/>
      <c r="L39" s="3">
        <f>IF($K39="","",K39-J39)</f>
      </c>
      <c r="M39" s="3">
        <f>IF($K39="","",L39*16.67%)</f>
      </c>
      <c r="N39" s="3">
        <f>IF($K39="","",K39*3.96%)</f>
      </c>
      <c r="O39" s="3">
        <f>IF($K39="","",N39*20%)</f>
      </c>
      <c r="P39" s="3">
        <f>IF($K39="","",N39+O39)</f>
      </c>
      <c r="Q39" s="3"/>
      <c r="R39" s="3">
        <f>IF($K39="","",Q39*20%)</f>
      </c>
      <c r="S39" s="3">
        <v>1</v>
      </c>
      <c r="T39" s="3">
        <f>IF($K39="","",R39)</f>
      </c>
      <c r="U39" s="3">
        <f>IF($K39="","",L39-M39-N39-Q39-R39-S39)</f>
      </c>
      <c r="V39" s="3">
        <f>IF($K39="","",(U39-X39)/J39*100)</f>
      </c>
      <c r="W39" s="3">
        <f>IF($K39="","",M39-T39)</f>
      </c>
      <c r="Y39" s="3">
        <f>IF($K39="","",U39-X39)</f>
      </c>
    </row>
    <row r="40" spans="1:25" x14ac:dyDescent="0.25">
      <c r="A40" s="1"/>
      <c r="D40" s="2"/>
      <c r="J40" s="3"/>
      <c r="K40" s="3"/>
      <c r="L40" s="3">
        <f>IF($K40="","",K40-J40)</f>
      </c>
      <c r="M40" s="3">
        <f>IF($K40="","",L40*16.67%)</f>
      </c>
      <c r="N40" s="3">
        <f>IF($K40="","",K40*3.96%)</f>
      </c>
      <c r="O40" s="3">
        <f>IF($K40="","",N40*20%)</f>
      </c>
      <c r="P40" s="3">
        <f>IF($K40="","",N40+O40)</f>
      </c>
      <c r="Q40" s="3"/>
      <c r="R40" s="3">
        <f>IF($K40="","",Q40*20%)</f>
      </c>
      <c r="S40" s="3">
        <v>1</v>
      </c>
      <c r="T40" s="3">
        <f>IF($K40="","",R40)</f>
      </c>
      <c r="U40" s="3">
        <f>IF($K40="","",L40-M40-N40-Q40-R40-S40)</f>
      </c>
      <c r="V40" s="3">
        <f>IF($K40="","",(U40-X40)/J40*100)</f>
      </c>
      <c r="W40" s="3">
        <f>IF($K40="","",M40-T40)</f>
      </c>
      <c r="Y40" s="3">
        <f>IF($K40="","",U40-X40)</f>
      </c>
    </row>
    <row r="41" spans="1:25" x14ac:dyDescent="0.25">
      <c r="A41" s="1"/>
      <c r="D41" s="2"/>
      <c r="J41" s="3"/>
      <c r="K41" s="3"/>
      <c r="L41" s="3">
        <f>IF($K41="","",K41-J41)</f>
      </c>
      <c r="M41" s="3">
        <f>IF($K41="","",L41*16.67%)</f>
      </c>
      <c r="N41" s="3">
        <f>IF($K41="","",K41*3.96%)</f>
      </c>
      <c r="O41" s="3">
        <f>IF($K41="","",N41*20%)</f>
      </c>
      <c r="P41" s="3">
        <f>IF($K41="","",N41+O41)</f>
      </c>
      <c r="Q41" s="3"/>
      <c r="R41" s="3">
        <f>IF($K41="","",Q41*20%)</f>
      </c>
      <c r="S41" s="3">
        <v>1</v>
      </c>
      <c r="T41" s="3">
        <f>IF($K41="","",R41)</f>
      </c>
      <c r="U41" s="3">
        <f>IF($K41="","",L41-M41-N41-Q41-R41-S41)</f>
      </c>
      <c r="V41" s="3">
        <f>IF($K41="","",(U41-X41)/J41*100)</f>
      </c>
      <c r="W41" s="3">
        <f>IF($K41="","",M41-T41)</f>
      </c>
      <c r="Y41" s="3">
        <f>IF($K41="","",U41-X41)</f>
      </c>
    </row>
    <row r="42" spans="1:25" x14ac:dyDescent="0.25">
      <c r="A42" s="1"/>
      <c r="D42" s="2"/>
      <c r="J42" s="3"/>
      <c r="K42" s="3"/>
      <c r="L42" s="3">
        <f>IF($K42="","",K42-J42)</f>
      </c>
      <c r="M42" s="3">
        <f>IF($K42="","",L42*16.67%)</f>
      </c>
      <c r="N42" s="3">
        <f>IF($K42="","",K42*3.96%)</f>
      </c>
      <c r="O42" s="3">
        <f>IF($K42="","",N42*20%)</f>
      </c>
      <c r="P42" s="3">
        <f>IF($K42="","",N42+O42)</f>
      </c>
      <c r="Q42" s="3"/>
      <c r="R42" s="3">
        <f>IF($K42="","",Q42*20%)</f>
      </c>
      <c r="S42" s="3">
        <v>1</v>
      </c>
      <c r="T42" s="3">
        <f>IF($K42="","",R42)</f>
      </c>
      <c r="U42" s="3">
        <f>IF($K42="","",L42-M42-N42-Q42-R42-S42)</f>
      </c>
      <c r="V42" s="3">
        <f>IF($K42="","",(U42-X42)/J42*100)</f>
      </c>
      <c r="W42" s="3">
        <f>IF($K42="","",M42-T42)</f>
      </c>
      <c r="Y42" s="3">
        <f>IF($K42="","",U42-X42)</f>
      </c>
    </row>
    <row r="43" spans="1:25" x14ac:dyDescent="0.25">
      <c r="A43" s="1"/>
      <c r="D43" s="2"/>
      <c r="J43" s="3"/>
      <c r="K43" s="3"/>
      <c r="L43" s="3">
        <f>IF($K43="","",K43-J43)</f>
      </c>
      <c r="M43" s="3">
        <f>IF($K43="","",L43*16.67%)</f>
      </c>
      <c r="N43" s="3">
        <f>IF($K43="","",K43*3.96%)</f>
      </c>
      <c r="O43" s="3">
        <f>IF($K43="","",N43*20%)</f>
      </c>
      <c r="P43" s="3">
        <f>IF($K43="","",N43+O43)</f>
      </c>
      <c r="Q43" s="3"/>
      <c r="R43" s="3">
        <f>IF($K43="","",Q43*20%)</f>
      </c>
      <c r="S43" s="3">
        <v>1</v>
      </c>
      <c r="T43" s="3">
        <f>IF($K43="","",R43)</f>
      </c>
      <c r="U43" s="3">
        <f>IF($K43="","",L43-M43-N43-Q43-R43-S43)</f>
      </c>
      <c r="V43" s="3">
        <f>IF($K43="","",(U43-X43)/J43*100)</f>
      </c>
      <c r="W43" s="3">
        <f>IF($K43="","",M43-T43)</f>
      </c>
      <c r="Y43" s="3">
        <f>IF($K43="","",U43-X43)</f>
      </c>
    </row>
    <row r="44" spans="1:25" x14ac:dyDescent="0.25">
      <c r="A44" s="1"/>
      <c r="D44" s="2"/>
      <c r="J44" s="3"/>
      <c r="K44" s="3"/>
      <c r="L44" s="3">
        <f>IF($K44="","",K44-J44)</f>
      </c>
      <c r="M44" s="3">
        <f>IF($K44="","",L44*16.67%)</f>
      </c>
      <c r="N44" s="3">
        <f>IF($K44="","",K44*3.96%)</f>
      </c>
      <c r="O44" s="3">
        <f>IF($K44="","",N44*20%)</f>
      </c>
      <c r="P44" s="3">
        <f>IF($K44="","",N44+O44)</f>
      </c>
      <c r="Q44" s="3"/>
      <c r="R44" s="3">
        <f>IF($K44="","",Q44*20%)</f>
      </c>
      <c r="S44" s="3">
        <v>1</v>
      </c>
      <c r="T44" s="3">
        <f>IF($K44="","",R44)</f>
      </c>
      <c r="U44" s="3">
        <f>IF($K44="","",L44-M44-N44-Q44-R44-S44)</f>
      </c>
      <c r="V44" s="3">
        <f>IF($K44="","",(U44-X44)/J44*100)</f>
      </c>
      <c r="W44" s="3">
        <f>IF($K44="","",M44-T44)</f>
      </c>
      <c r="Y44" s="3">
        <f>IF($K44="","",U44-X44)</f>
      </c>
    </row>
    <row r="45" spans="1:25" x14ac:dyDescent="0.25">
      <c r="A45" s="1"/>
      <c r="D45" s="2"/>
      <c r="J45" s="3"/>
      <c r="K45" s="3"/>
      <c r="L45" s="3">
        <f>IF($K45="","",K45-J45)</f>
      </c>
      <c r="M45" s="3">
        <f>IF($K45="","",L45*16.67%)</f>
      </c>
      <c r="N45" s="3">
        <f>IF($K45="","",K45*3.96%)</f>
      </c>
      <c r="O45" s="3">
        <f>IF($K45="","",N45*20%)</f>
      </c>
      <c r="P45" s="3">
        <f>IF($K45="","",N45+O45)</f>
      </c>
      <c r="Q45" s="3"/>
      <c r="R45" s="3">
        <f>IF($K45="","",Q45*20%)</f>
      </c>
      <c r="S45" s="3">
        <v>1</v>
      </c>
      <c r="T45" s="3">
        <f>IF($K45="","",R45)</f>
      </c>
      <c r="U45" s="3">
        <f>IF($K45="","",L45-M45-N45-Q45-R45-S45)</f>
      </c>
      <c r="V45" s="3">
        <f>IF($K45="","",(U45-X45)/J45*100)</f>
      </c>
      <c r="W45" s="3">
        <f>IF($K45="","",M45-T45)</f>
      </c>
      <c r="Y45" s="3">
        <f>IF($K45="","",U45-X45)</f>
      </c>
    </row>
    <row r="46" spans="1:25" x14ac:dyDescent="0.25">
      <c r="A46" s="1"/>
      <c r="D46" s="2"/>
      <c r="J46" s="3"/>
      <c r="K46" s="3"/>
      <c r="L46" s="3">
        <f>IF($K46="","",K46-J46)</f>
      </c>
      <c r="M46" s="3">
        <f>IF($K46="","",L46*16.67%)</f>
      </c>
      <c r="N46" s="3">
        <f>IF($K46="","",K46*3.96%)</f>
      </c>
      <c r="O46" s="3">
        <f>IF($K46="","",N46*20%)</f>
      </c>
      <c r="P46" s="3">
        <f>IF($K46="","",N46+O46)</f>
      </c>
      <c r="Q46" s="3"/>
      <c r="R46" s="3">
        <f>IF($K46="","",Q46*20%)</f>
      </c>
      <c r="S46" s="3">
        <v>1</v>
      </c>
      <c r="T46" s="3">
        <f>IF($K46="","",R46)</f>
      </c>
      <c r="U46" s="3">
        <f>IF($K46="","",L46-M46-N46-Q46-R46-S46)</f>
      </c>
      <c r="V46" s="3">
        <f>IF($K46="","",(U46-X46)/J46*100)</f>
      </c>
      <c r="W46" s="3">
        <f>IF($K46="","",M46-T46)</f>
      </c>
      <c r="Y46" s="3">
        <f>IF($K46="","",U46-X46)</f>
      </c>
    </row>
    <row r="47" spans="1:25" x14ac:dyDescent="0.25">
      <c r="A47" s="1"/>
      <c r="D47" s="2"/>
      <c r="J47" s="3"/>
      <c r="K47" s="3"/>
      <c r="L47" s="3">
        <f>IF($K47="","",K47-J47)</f>
      </c>
      <c r="M47" s="3">
        <f>IF($K47="","",L47*16.67%)</f>
      </c>
      <c r="N47" s="3">
        <f>IF($K47="","",K47*3.96%)</f>
      </c>
      <c r="O47" s="3">
        <f>IF($K47="","",N47*20%)</f>
      </c>
      <c r="P47" s="3">
        <f>IF($K47="","",N47+O47)</f>
      </c>
      <c r="Q47" s="3"/>
      <c r="R47" s="3">
        <f>IF($K47="","",Q47*20%)</f>
      </c>
      <c r="S47" s="3">
        <v>1</v>
      </c>
      <c r="T47" s="3">
        <f>IF($K47="","",R47)</f>
      </c>
      <c r="U47" s="3">
        <f>IF($K47="","",L47-M47-N47-Q47-R47-S47)</f>
      </c>
      <c r="V47" s="3">
        <f>IF($K47="","",(U47-X47)/J47*100)</f>
      </c>
      <c r="W47" s="3">
        <f>IF($K47="","",M47-T47)</f>
      </c>
      <c r="Y47" s="3">
        <f>IF($K47="","",U47-X47)</f>
      </c>
    </row>
    <row r="48" spans="1:25" x14ac:dyDescent="0.25">
      <c r="A48" s="1"/>
      <c r="D48" s="2"/>
      <c r="J48" s="3"/>
      <c r="K48" s="3"/>
      <c r="L48" s="3">
        <f>IF($K48="","",K48-J48)</f>
      </c>
      <c r="M48" s="3">
        <f>IF($K48="","",L48*16.67%)</f>
      </c>
      <c r="N48" s="3">
        <f>IF($K48="","",K48*3.96%)</f>
      </c>
      <c r="O48" s="3">
        <f>IF($K48="","",N48*20%)</f>
      </c>
      <c r="P48" s="3">
        <f>IF($K48="","",N48+O48)</f>
      </c>
      <c r="Q48" s="3"/>
      <c r="R48" s="3">
        <f>IF($K48="","",Q48*20%)</f>
      </c>
      <c r="S48" s="3">
        <v>1</v>
      </c>
      <c r="T48" s="3">
        <f>IF($K48="","",R48)</f>
      </c>
      <c r="U48" s="3">
        <f>IF($K48="","",L48-M48-N48-Q48-R48-S48)</f>
      </c>
      <c r="V48" s="3">
        <f>IF($K48="","",(U48-X48)/J48*100)</f>
      </c>
      <c r="W48" s="3">
        <f>IF($K48="","",M48-T48)</f>
      </c>
      <c r="Y48" s="3">
        <f>IF($K48="","",U48-X48)</f>
      </c>
    </row>
    <row r="49" spans="1:25" x14ac:dyDescent="0.25">
      <c r="A49" s="1"/>
      <c r="D49" s="2"/>
      <c r="J49" s="3"/>
      <c r="K49" s="3"/>
      <c r="L49" s="3">
        <f>IF($K49="","",K49-J49)</f>
      </c>
      <c r="M49" s="3">
        <f>IF($K49="","",L49*16.67%)</f>
      </c>
      <c r="N49" s="3">
        <f>IF($K49="","",K49*3.96%)</f>
      </c>
      <c r="O49" s="3">
        <f>IF($K49="","",N49*20%)</f>
      </c>
      <c r="P49" s="3">
        <f>IF($K49="","",N49+O49)</f>
      </c>
      <c r="Q49" s="3"/>
      <c r="R49" s="3">
        <f>IF($K49="","",Q49*20%)</f>
      </c>
      <c r="S49" s="3">
        <v>1</v>
      </c>
      <c r="T49" s="3">
        <f>IF($K49="","",R49)</f>
      </c>
      <c r="U49" s="3">
        <f>IF($K49="","",L49-M49-N49-Q49-R49-S49)</f>
      </c>
      <c r="V49" s="3">
        <f>IF($K49="","",(U49-X49)/J49*100)</f>
      </c>
      <c r="W49" s="3">
        <f>IF($K49="","",M49-T49)</f>
      </c>
      <c r="Y49" s="3">
        <f>IF($K49="","",U49-X49)</f>
      </c>
    </row>
    <row r="50" spans="1:25" x14ac:dyDescent="0.25">
      <c r="A50" s="1"/>
      <c r="D50" s="2"/>
      <c r="J50" s="3"/>
      <c r="K50" s="3"/>
      <c r="L50" s="3">
        <f>IF($K50="","",K50-J50)</f>
      </c>
      <c r="M50" s="3">
        <f>IF($K50="","",L50*16.67%)</f>
      </c>
      <c r="N50" s="3">
        <f>IF($K50="","",K50*3.96%)</f>
      </c>
      <c r="O50" s="3">
        <f>IF($K50="","",N50*20%)</f>
      </c>
      <c r="P50" s="3">
        <f>IF($K50="","",N50+O50)</f>
      </c>
      <c r="Q50" s="3"/>
      <c r="R50" s="3">
        <f>IF($K50="","",Q50*20%)</f>
      </c>
      <c r="S50" s="3">
        <v>1</v>
      </c>
      <c r="T50" s="3">
        <f>IF($K50="","",R50)</f>
      </c>
      <c r="U50" s="3">
        <f>IF($K50="","",L50-M50-N50-Q50-R50-S50)</f>
      </c>
      <c r="V50" s="3">
        <f>IF($K50="","",(U50-X50)/J50*100)</f>
      </c>
      <c r="W50" s="3">
        <f>IF($K50="","",M50-T50)</f>
      </c>
      <c r="Y50" s="3">
        <f>IF($K50="","",U50-X50)</f>
      </c>
    </row>
    <row r="51" spans="1:25" x14ac:dyDescent="0.25">
      <c r="A51" s="1"/>
      <c r="D51" s="2"/>
      <c r="J51" s="3"/>
      <c r="K51" s="3"/>
      <c r="L51" s="3">
        <f>IF($K51="","",K51-J51)</f>
      </c>
      <c r="M51" s="3">
        <f>IF($K51="","",L51*16.67%)</f>
      </c>
      <c r="N51" s="3">
        <f>IF($K51="","",K51*3.96%)</f>
      </c>
      <c r="O51" s="3">
        <f>IF($K51="","",N51*20%)</f>
      </c>
      <c r="P51" s="3">
        <f>IF($K51="","",N51+O51)</f>
      </c>
      <c r="Q51" s="3"/>
      <c r="R51" s="3">
        <f>IF($K51="","",Q51*20%)</f>
      </c>
      <c r="S51" s="3">
        <v>1</v>
      </c>
      <c r="T51" s="3">
        <f>IF($K51="","",R51)</f>
      </c>
      <c r="U51" s="3">
        <f>IF($K51="","",L51-M51-N51-Q51-R51-S51)</f>
      </c>
      <c r="V51" s="3">
        <f>IF($K51="","",(U51-X51)/J51*100)</f>
      </c>
      <c r="W51" s="3">
        <f>IF($K51="","",M51-T51)</f>
      </c>
      <c r="Y51" s="3">
        <f>IF($K51="","",U51-X51)</f>
      </c>
    </row>
    <row r="52" spans="1:25" x14ac:dyDescent="0.25">
      <c r="A52" s="1"/>
      <c r="D52" s="2"/>
      <c r="J52" s="3"/>
      <c r="K52" s="3"/>
      <c r="L52" s="3">
        <f>IF($K52="","",K52-J52)</f>
      </c>
      <c r="M52" s="3">
        <f>IF($K52="","",L52*16.67%)</f>
      </c>
      <c r="N52" s="3">
        <f>IF($K52="","",K52*3.96%)</f>
      </c>
      <c r="O52" s="3">
        <f>IF($K52="","",N52*20%)</f>
      </c>
      <c r="P52" s="3">
        <f>IF($K52="","",N52+O52)</f>
      </c>
      <c r="Q52" s="3"/>
      <c r="R52" s="3">
        <f>IF($K52="","",Q52*20%)</f>
      </c>
      <c r="S52" s="3">
        <v>1</v>
      </c>
      <c r="T52" s="3">
        <f>IF($K52="","",R52)</f>
      </c>
      <c r="U52" s="3">
        <f>IF($K52="","",L52-M52-N52-Q52-R52-S52)</f>
      </c>
      <c r="V52" s="3">
        <f>IF($K52="","",(U52-X52)/J52*100)</f>
      </c>
      <c r="W52" s="3">
        <f>IF($K52="","",M52-T52)</f>
      </c>
      <c r="Y52" s="3">
        <f>IF($K52="","",U52-X52)</f>
      </c>
    </row>
    <row r="53" spans="1:25" x14ac:dyDescent="0.25">
      <c r="A53" s="1"/>
      <c r="D53" s="2"/>
      <c r="J53" s="3"/>
      <c r="K53" s="3"/>
      <c r="L53" s="3">
        <f>IF($K53="","",K53-J53)</f>
      </c>
      <c r="M53" s="3">
        <f>IF($K53="","",L53*16.67%)</f>
      </c>
      <c r="N53" s="3">
        <f>IF($K53="","",K53*3.96%)</f>
      </c>
      <c r="O53" s="3">
        <f>IF($K53="","",N53*20%)</f>
      </c>
      <c r="P53" s="3">
        <f>IF($K53="","",N53+O53)</f>
      </c>
      <c r="Q53" s="3"/>
      <c r="R53" s="3">
        <f>IF($K53="","",Q53*20%)</f>
      </c>
      <c r="S53" s="3">
        <v>1</v>
      </c>
      <c r="T53" s="3">
        <f>IF($K53="","",R53)</f>
      </c>
      <c r="U53" s="3">
        <f>IF($K53="","",L53-M53-N53-Q53-R53-S53)</f>
      </c>
      <c r="V53" s="3">
        <f>IF($K53="","",(U53-X53)/J53*100)</f>
      </c>
      <c r="W53" s="3">
        <f>IF($K53="","",M53-T53)</f>
      </c>
      <c r="Y53" s="3">
        <f>IF($K53="","",U53-X53)</f>
      </c>
    </row>
    <row r="54" spans="1:25" x14ac:dyDescent="0.25">
      <c r="A54" s="1"/>
      <c r="D54" s="2"/>
      <c r="J54" s="3"/>
      <c r="K54" s="3"/>
      <c r="L54" s="3">
        <f>IF($K54="","",K54-J54)</f>
      </c>
      <c r="M54" s="3">
        <f>IF($K54="","",L54*16.67%)</f>
      </c>
      <c r="N54" s="3">
        <f>IF($K54="","",K54*3.96%)</f>
      </c>
      <c r="O54" s="3">
        <f>IF($K54="","",N54*20%)</f>
      </c>
      <c r="P54" s="3">
        <f>IF($K54="","",N54+O54)</f>
      </c>
      <c r="Q54" s="3"/>
      <c r="R54" s="3">
        <f>IF($K54="","",Q54*20%)</f>
      </c>
      <c r="S54" s="3">
        <v>1</v>
      </c>
      <c r="T54" s="3">
        <f>IF($K54="","",R54)</f>
      </c>
      <c r="U54" s="3">
        <f>IF($K54="","",L54-M54-N54-Q54-R54-S54)</f>
      </c>
      <c r="V54" s="3">
        <f>IF($K54="","",(U54-X54)/J54*100)</f>
      </c>
      <c r="W54" s="3">
        <f>IF($K54="","",M54-T54)</f>
      </c>
      <c r="Y54" s="3">
        <f>IF($K54="","",U54-X54)</f>
      </c>
    </row>
    <row r="55" spans="1:25" x14ac:dyDescent="0.25">
      <c r="A55" s="1"/>
      <c r="D55" s="2"/>
      <c r="J55" s="3"/>
      <c r="K55" s="3"/>
      <c r="L55" s="3">
        <f>IF($K55="","",K55-J55)</f>
      </c>
      <c r="M55" s="3">
        <f>IF($K55="","",L55*16.67%)</f>
      </c>
      <c r="N55" s="3">
        <f>IF($K55="","",K55*3.96%)</f>
      </c>
      <c r="O55" s="3">
        <f>IF($K55="","",N55*20%)</f>
      </c>
      <c r="P55" s="3">
        <f>IF($K55="","",N55+O55)</f>
      </c>
      <c r="Q55" s="3"/>
      <c r="R55" s="3">
        <f>IF($K55="","",Q55*20%)</f>
      </c>
      <c r="S55" s="3">
        <v>1</v>
      </c>
      <c r="T55" s="3">
        <f>IF($K55="","",R55)</f>
      </c>
      <c r="U55" s="3">
        <f>IF($K55="","",L55-M55-N55-Q55-R55-S55)</f>
      </c>
      <c r="V55" s="3">
        <f>IF($K55="","",(U55-X55)/J55*100)</f>
      </c>
      <c r="W55" s="3">
        <f>IF($K55="","",M55-T55)</f>
      </c>
      <c r="Y55" s="3">
        <f>IF($K55="","",U55-X55)</f>
      </c>
    </row>
    <row r="56" spans="1:25" x14ac:dyDescent="0.25">
      <c r="A56" s="1"/>
      <c r="D56" s="2"/>
      <c r="J56" s="3"/>
      <c r="K56" s="3"/>
      <c r="L56" s="3">
        <f>IF($K56="","",K56-J56)</f>
      </c>
      <c r="M56" s="3">
        <f>IF($K56="","",L56*16.67%)</f>
      </c>
      <c r="N56" s="3">
        <f>IF($K56="","",K56*3.96%)</f>
      </c>
      <c r="O56" s="3">
        <f>IF($K56="","",N56*20%)</f>
      </c>
      <c r="P56" s="3">
        <f>IF($K56="","",N56+O56)</f>
      </c>
      <c r="Q56" s="3"/>
      <c r="R56" s="3">
        <f>IF($K56="","",Q56*20%)</f>
      </c>
      <c r="S56" s="3">
        <v>1</v>
      </c>
      <c r="T56" s="3">
        <f>IF($K56="","",R56)</f>
      </c>
      <c r="U56" s="3">
        <f>IF($K56="","",L56-M56-N56-Q56-R56-S56)</f>
      </c>
      <c r="V56" s="3">
        <f>IF($K56="","",(U56-X56)/J56*100)</f>
      </c>
      <c r="W56" s="3">
        <f>IF($K56="","",M56-T56)</f>
      </c>
      <c r="Y56" s="3">
        <f>IF($K56="","",U56-X56)</f>
      </c>
    </row>
    <row r="57" spans="1:25" x14ac:dyDescent="0.25">
      <c r="A57" s="1"/>
      <c r="D57" s="2"/>
      <c r="J57" s="3"/>
      <c r="K57" s="3"/>
      <c r="L57" s="3">
        <f>IF($K57="","",K57-J57)</f>
      </c>
      <c r="M57" s="3">
        <f>IF($K57="","",L57*16.67%)</f>
      </c>
      <c r="N57" s="3">
        <f>IF($K57="","",K57*3.96%)</f>
      </c>
      <c r="O57" s="3">
        <f>IF($K57="","",N57*20%)</f>
      </c>
      <c r="P57" s="3">
        <f>IF($K57="","",N57+O57)</f>
      </c>
      <c r="Q57" s="3"/>
      <c r="R57" s="3">
        <f>IF($K57="","",Q57*20%)</f>
      </c>
      <c r="S57" s="3">
        <v>1</v>
      </c>
      <c r="T57" s="3">
        <f>IF($K57="","",R57)</f>
      </c>
      <c r="U57" s="3">
        <f>IF($K57="","",L57-M57-N57-Q57-R57-S57)</f>
      </c>
      <c r="V57" s="3">
        <f>IF($K57="","",(U57-X57)/J57*100)</f>
      </c>
      <c r="W57" s="3">
        <f>IF($K57="","",M57-T57)</f>
      </c>
      <c r="Y57" s="3">
        <f>IF($K57="","",U57-X57)</f>
      </c>
    </row>
    <row r="58" spans="1:25" x14ac:dyDescent="0.25">
      <c r="A58" s="1"/>
      <c r="D58" s="2"/>
      <c r="J58" s="3"/>
      <c r="K58" s="3"/>
      <c r="L58" s="3">
        <f>IF($K58="","",K58-J58)</f>
      </c>
      <c r="M58" s="3">
        <f>IF($K58="","",L58*16.67%)</f>
      </c>
      <c r="N58" s="3">
        <f>IF($K58="","",K58*3.96%)</f>
      </c>
      <c r="O58" s="3">
        <f>IF($K58="","",N58*20%)</f>
      </c>
      <c r="P58" s="3">
        <f>IF($K58="","",N58+O58)</f>
      </c>
      <c r="Q58" s="3"/>
      <c r="R58" s="3">
        <f>IF($K58="","",Q58*20%)</f>
      </c>
      <c r="S58" s="3">
        <v>1</v>
      </c>
      <c r="T58" s="3">
        <f>IF($K58="","",R58)</f>
      </c>
      <c r="U58" s="3">
        <f>IF($K58="","",L58-M58-N58-Q58-R58-S58)</f>
      </c>
      <c r="V58" s="3">
        <f>IF($K58="","",(U58-X58)/J58*100)</f>
      </c>
      <c r="W58" s="3">
        <f>IF($K58="","",M58-T58)</f>
      </c>
      <c r="Y58" s="3">
        <f>IF($K58="","",U58-X58)</f>
      </c>
    </row>
    <row r="59" spans="1:25" x14ac:dyDescent="0.25">
      <c r="A59" s="1"/>
      <c r="D59" s="2"/>
      <c r="J59" s="3"/>
      <c r="K59" s="3"/>
      <c r="L59" s="3">
        <f>IF($K59="","",K59-J59)</f>
      </c>
      <c r="M59" s="3">
        <f>IF($K59="","",L59*16.67%)</f>
      </c>
      <c r="N59" s="3">
        <f>IF($K59="","",K59*3.96%)</f>
      </c>
      <c r="O59" s="3">
        <f>IF($K59="","",N59*20%)</f>
      </c>
      <c r="P59" s="3">
        <f>IF($K59="","",N59+O59)</f>
      </c>
      <c r="Q59" s="3"/>
      <c r="R59" s="3">
        <f>IF($K59="","",Q59*20%)</f>
      </c>
      <c r="S59" s="3">
        <v>1</v>
      </c>
      <c r="T59" s="3">
        <f>IF($K59="","",R59)</f>
      </c>
      <c r="U59" s="3">
        <f>IF($K59="","",L59-M59-N59-Q59-R59-S59)</f>
      </c>
      <c r="V59" s="3">
        <f>IF($K59="","",(U59-X59)/J59*100)</f>
      </c>
      <c r="W59" s="3">
        <f>IF($K59="","",M59-T59)</f>
      </c>
      <c r="Y59" s="3">
        <f>IF($K59="","",U59-X59)</f>
      </c>
    </row>
    <row r="60" spans="1:25" x14ac:dyDescent="0.25">
      <c r="A60" s="1"/>
      <c r="D60" s="2"/>
      <c r="J60" s="3"/>
      <c r="K60" s="3"/>
      <c r="L60" s="3">
        <f>IF($K60="","",K60-J60)</f>
      </c>
      <c r="M60" s="3">
        <f>IF($K60="","",L60*16.67%)</f>
      </c>
      <c r="N60" s="3">
        <f>IF($K60="","",K60*3.96%)</f>
      </c>
      <c r="O60" s="3">
        <f>IF($K60="","",N60*20%)</f>
      </c>
      <c r="P60" s="3">
        <f>IF($K60="","",N60+O60)</f>
      </c>
      <c r="Q60" s="3"/>
      <c r="R60" s="3">
        <f>IF($K60="","",Q60*20%)</f>
      </c>
      <c r="S60" s="3">
        <v>1</v>
      </c>
      <c r="T60" s="3">
        <f>IF($K60="","",R60)</f>
      </c>
      <c r="U60" s="3">
        <f>IF($K60="","",L60-M60-N60-Q60-R60-S60)</f>
      </c>
      <c r="V60" s="3">
        <f>IF($K60="","",(U60-X60)/J60*100)</f>
      </c>
      <c r="W60" s="3">
        <f>IF($K60="","",M60-T60)</f>
      </c>
      <c r="Y60" s="3">
        <f>IF($K60="","",U60-X60)</f>
      </c>
    </row>
    <row r="61" spans="1:25" x14ac:dyDescent="0.25">
      <c r="A61" s="1"/>
      <c r="D61" s="2"/>
      <c r="J61" s="3"/>
      <c r="K61" s="3"/>
      <c r="L61" s="3">
        <f>IF($K61="","",K61-J61)</f>
      </c>
      <c r="M61" s="3">
        <f>IF($K61="","",L61*16.67%)</f>
      </c>
      <c r="N61" s="3">
        <f>IF($K61="","",K61*3.96%)</f>
      </c>
      <c r="O61" s="3">
        <f>IF($K61="","",N61*20%)</f>
      </c>
      <c r="P61" s="3">
        <f>IF($K61="","",N61+O61)</f>
      </c>
      <c r="Q61" s="3"/>
      <c r="R61" s="3">
        <f>IF($K61="","",Q61*20%)</f>
      </c>
      <c r="S61" s="3">
        <v>1</v>
      </c>
      <c r="T61" s="3">
        <f>IF($K61="","",R61)</f>
      </c>
      <c r="U61" s="3">
        <f>IF($K61="","",L61-M61-N61-Q61-R61-S61)</f>
      </c>
      <c r="V61" s="3">
        <f>IF($K61="","",(U61-X61)/J61*100)</f>
      </c>
      <c r="W61" s="3">
        <f>IF($K61="","",M61-T61)</f>
      </c>
      <c r="Y61" s="3">
        <f>IF($K61="","",U61-X61)</f>
      </c>
    </row>
    <row r="62" spans="1:25" x14ac:dyDescent="0.25">
      <c r="A62" s="1"/>
      <c r="D62" s="2"/>
      <c r="J62" s="3"/>
      <c r="K62" s="3"/>
      <c r="L62" s="3">
        <f>IF($K62="","",K62-J62)</f>
      </c>
      <c r="M62" s="3">
        <f>IF($K62="","",L62*16.67%)</f>
      </c>
      <c r="N62" s="3">
        <f>IF($K62="","",K62*3.96%)</f>
      </c>
      <c r="O62" s="3">
        <f>IF($K62="","",N62*20%)</f>
      </c>
      <c r="P62" s="3">
        <f>IF($K62="","",N62+O62)</f>
      </c>
      <c r="Q62" s="3"/>
      <c r="R62" s="3">
        <f>IF($K62="","",Q62*20%)</f>
      </c>
      <c r="S62" s="3">
        <v>1</v>
      </c>
      <c r="T62" s="3">
        <f>IF($K62="","",R62)</f>
      </c>
      <c r="U62" s="3">
        <f>IF($K62="","",L62-M62-N62-Q62-R62-S62)</f>
      </c>
      <c r="V62" s="3">
        <f>IF($K62="","",(U62-X62)/J62*100)</f>
      </c>
      <c r="W62" s="3">
        <f>IF($K62="","",M62-T62)</f>
      </c>
      <c r="Y62" s="3">
        <f>IF($K62="","",U62-X62)</f>
      </c>
    </row>
    <row r="63" spans="1:25" x14ac:dyDescent="0.25">
      <c r="A63" s="1"/>
      <c r="D63" s="2"/>
      <c r="J63" s="3"/>
      <c r="K63" s="3"/>
      <c r="L63" s="3">
        <f>IF($K63="","",K63-J63)</f>
      </c>
      <c r="M63" s="3">
        <f>IF($K63="","",L63*16.67%)</f>
      </c>
      <c r="N63" s="3">
        <f>IF($K63="","",K63*3.96%)</f>
      </c>
      <c r="O63" s="3">
        <f>IF($K63="","",N63*20%)</f>
      </c>
      <c r="P63" s="3">
        <f>IF($K63="","",N63+O63)</f>
      </c>
      <c r="Q63" s="3"/>
      <c r="R63" s="3">
        <f>IF($K63="","",Q63*20%)</f>
      </c>
      <c r="S63" s="3">
        <v>1</v>
      </c>
      <c r="T63" s="3">
        <f>IF($K63="","",R63)</f>
      </c>
      <c r="U63" s="3">
        <f>IF($K63="","",L63-M63-N63-Q63-R63-S63)</f>
      </c>
      <c r="V63" s="3">
        <f>IF($K63="","",(U63-X63)/J63*100)</f>
      </c>
      <c r="W63" s="3">
        <f>IF($K63="","",M63-T63)</f>
      </c>
      <c r="Y63" s="3">
        <f>IF($K63="","",U63-X63)</f>
      </c>
    </row>
    <row r="64" spans="1:25" x14ac:dyDescent="0.25">
      <c r="A64" s="1"/>
      <c r="D64" s="2"/>
      <c r="J64" s="3"/>
      <c r="K64" s="3"/>
      <c r="L64" s="3">
        <f>IF($K64="","",K64-J64)</f>
      </c>
      <c r="M64" s="3">
        <f>IF($K64="","",L64*16.67%)</f>
      </c>
      <c r="N64" s="3">
        <f>IF($K64="","",K64*3.96%)</f>
      </c>
      <c r="O64" s="3">
        <f>IF($K64="","",N64*20%)</f>
      </c>
      <c r="P64" s="3">
        <f>IF($K64="","",N64+O64)</f>
      </c>
      <c r="Q64" s="3"/>
      <c r="R64" s="3">
        <f>IF($K64="","",Q64*20%)</f>
      </c>
      <c r="S64" s="3">
        <v>1</v>
      </c>
      <c r="T64" s="3">
        <f>IF($K64="","",R64)</f>
      </c>
      <c r="U64" s="3">
        <f>IF($K64="","",L64-M64-N64-Q64-R64-S64)</f>
      </c>
      <c r="V64" s="3">
        <f>IF($K64="","",(U64-X64)/J64*100)</f>
      </c>
      <c r="W64" s="3">
        <f>IF($K64="","",M64-T64)</f>
      </c>
      <c r="Y64" s="3">
        <f>IF($K64="","",U64-X64)</f>
      </c>
    </row>
    <row r="65" spans="1:25" x14ac:dyDescent="0.25">
      <c r="A65" s="1"/>
      <c r="D65" s="2"/>
      <c r="J65" s="3"/>
      <c r="K65" s="3"/>
      <c r="L65" s="3">
        <f>IF($K65="","",K65-J65)</f>
      </c>
      <c r="M65" s="3">
        <f>IF($K65="","",L65*16.67%)</f>
      </c>
      <c r="N65" s="3">
        <f>IF($K65="","",K65*3.96%)</f>
      </c>
      <c r="O65" s="3">
        <f>IF($K65="","",N65*20%)</f>
      </c>
      <c r="P65" s="3">
        <f>IF($K65="","",N65+O65)</f>
      </c>
      <c r="Q65" s="3"/>
      <c r="R65" s="3">
        <f>IF($K65="","",Q65*20%)</f>
      </c>
      <c r="S65" s="3">
        <v>1</v>
      </c>
      <c r="T65" s="3">
        <f>IF($K65="","",R65)</f>
      </c>
      <c r="U65" s="3">
        <f>IF($K65="","",L65-M65-N65-Q65-R65-S65)</f>
      </c>
      <c r="V65" s="3">
        <f>IF($K65="","",(U65-X65)/J65*100)</f>
      </c>
      <c r="W65" s="3">
        <f>IF($K65="","",M65-T65)</f>
      </c>
      <c r="Y65" s="3">
        <f>IF($K65="","",U65-X65)</f>
      </c>
    </row>
    <row r="66" spans="1:25" x14ac:dyDescent="0.25">
      <c r="A66" s="1"/>
      <c r="D66" s="2"/>
      <c r="J66" s="3"/>
      <c r="K66" s="3"/>
      <c r="L66" s="3">
        <f>IF($K66="","",K66-J66)</f>
      </c>
      <c r="M66" s="3">
        <f>IF($K66="","",L66*16.67%)</f>
      </c>
      <c r="N66" s="3">
        <f>IF($K66="","",K66*3.96%)</f>
      </c>
      <c r="O66" s="3">
        <f>IF($K66="","",N66*20%)</f>
      </c>
      <c r="P66" s="3">
        <f>IF($K66="","",N66+O66)</f>
      </c>
      <c r="Q66" s="3"/>
      <c r="R66" s="3">
        <f>IF($K66="","",Q66*20%)</f>
      </c>
      <c r="S66" s="3">
        <v>1</v>
      </c>
      <c r="T66" s="3">
        <f>IF($K66="","",R66)</f>
      </c>
      <c r="U66" s="3">
        <f>IF($K66="","",L66-M66-N66-Q66-R66-S66)</f>
      </c>
      <c r="V66" s="3">
        <f>IF($K66="","",(U66-X66)/J66*100)</f>
      </c>
      <c r="W66" s="3">
        <f>IF($K66="","",M66-T66)</f>
      </c>
      <c r="Y66" s="3">
        <f>IF($K66="","",U66-X66)</f>
      </c>
    </row>
    <row r="67" spans="1:25" x14ac:dyDescent="0.25">
      <c r="A67" s="1"/>
      <c r="D67" s="2"/>
      <c r="J67" s="3"/>
      <c r="K67" s="3"/>
      <c r="L67" s="3">
        <f>IF($K67="","",K67-J67)</f>
      </c>
      <c r="M67" s="3">
        <f>IF($K67="","",L67*16.67%)</f>
      </c>
      <c r="N67" s="3">
        <f>IF($K67="","",K67*3.96%)</f>
      </c>
      <c r="O67" s="3">
        <f>IF($K67="","",N67*20%)</f>
      </c>
      <c r="P67" s="3">
        <f>IF($K67="","",N67+O67)</f>
      </c>
      <c r="Q67" s="3"/>
      <c r="R67" s="3">
        <f>IF($K67="","",Q67*20%)</f>
      </c>
      <c r="S67" s="3">
        <v>1</v>
      </c>
      <c r="T67" s="3">
        <f>IF($K67="","",R67)</f>
      </c>
      <c r="U67" s="3">
        <f>IF($K67="","",L67-M67-N67-Q67-R67-S67)</f>
      </c>
      <c r="V67" s="3">
        <f>IF($K67="","",(U67-X67)/J67*100)</f>
      </c>
      <c r="W67" s="3">
        <f>IF($K67="","",M67-T67)</f>
      </c>
      <c r="Y67" s="3">
        <f>IF($K67="","",U67-X67)</f>
      </c>
    </row>
    <row r="68" spans="1:25" x14ac:dyDescent="0.25">
      <c r="A68" s="1"/>
      <c r="D68" s="2"/>
      <c r="J68" s="3"/>
      <c r="K68" s="3"/>
      <c r="L68" s="3">
        <f>IF($K68="","",K68-J68)</f>
      </c>
      <c r="M68" s="3">
        <f>IF($K68="","",L68*16.67%)</f>
      </c>
      <c r="N68" s="3">
        <f>IF($K68="","",K68*3.96%)</f>
      </c>
      <c r="O68" s="3">
        <f>IF($K68="","",N68*20%)</f>
      </c>
      <c r="P68" s="3">
        <f>IF($K68="","",N68+O68)</f>
      </c>
      <c r="Q68" s="3"/>
      <c r="R68" s="3">
        <f>IF($K68="","",Q68*20%)</f>
      </c>
      <c r="S68" s="3">
        <v>1</v>
      </c>
      <c r="T68" s="3">
        <f>IF($K68="","",R68)</f>
      </c>
      <c r="U68" s="3">
        <f>IF($K68="","",L68-M68-N68-Q68-R68-S68)</f>
      </c>
      <c r="V68" s="3">
        <f>IF($K68="","",(U68-X68)/J68*100)</f>
      </c>
      <c r="W68" s="3">
        <f>IF($K68="","",M68-T68)</f>
      </c>
      <c r="Y68" s="3">
        <f>IF($K68="","",U68-X68)</f>
      </c>
    </row>
    <row r="69" spans="1:25" x14ac:dyDescent="0.25">
      <c r="A69" s="1"/>
      <c r="D69" s="2"/>
      <c r="J69" s="3"/>
      <c r="K69" s="3"/>
      <c r="L69" s="3">
        <f>IF($K69="","",K69-J69)</f>
      </c>
      <c r="M69" s="3">
        <f>IF($K69="","",L69*16.67%)</f>
      </c>
      <c r="N69" s="3">
        <f>IF($K69="","",K69*3.96%)</f>
      </c>
      <c r="O69" s="3">
        <f>IF($K69="","",N69*20%)</f>
      </c>
      <c r="P69" s="3">
        <f>IF($K69="","",N69+O69)</f>
      </c>
      <c r="Q69" s="3"/>
      <c r="R69" s="3">
        <f>IF($K69="","",Q69*20%)</f>
      </c>
      <c r="S69" s="3">
        <v>1</v>
      </c>
      <c r="T69" s="3">
        <f>IF($K69="","",R69)</f>
      </c>
      <c r="U69" s="3">
        <f>IF($K69="","",L69-M69-N69-Q69-R69-S69)</f>
      </c>
      <c r="V69" s="3">
        <f>IF($K69="","",(U69-X69)/J69*100)</f>
      </c>
      <c r="W69" s="3">
        <f>IF($K69="","",M69-T69)</f>
      </c>
      <c r="Y69" s="3">
        <f>IF($K69="","",U69-X69)</f>
      </c>
    </row>
    <row r="70" spans="1:25" x14ac:dyDescent="0.25">
      <c r="A70" s="1"/>
      <c r="D70" s="2"/>
      <c r="J70" s="3"/>
      <c r="K70" s="3"/>
      <c r="L70" s="3">
        <f>IF($K70="","",K70-J70)</f>
      </c>
      <c r="M70" s="3">
        <f>IF($K70="","",L70*16.67%)</f>
      </c>
      <c r="N70" s="3">
        <f>IF($K70="","",K70*3.96%)</f>
      </c>
      <c r="O70" s="3">
        <f>IF($K70="","",N70*20%)</f>
      </c>
      <c r="P70" s="3">
        <f>IF($K70="","",N70+O70)</f>
      </c>
      <c r="Q70" s="3"/>
      <c r="R70" s="3">
        <f>IF($K70="","",Q70*20%)</f>
      </c>
      <c r="S70" s="3">
        <v>1</v>
      </c>
      <c r="T70" s="3">
        <f>IF($K70="","",R70)</f>
      </c>
      <c r="U70" s="3">
        <f>IF($K70="","",L70-M70-N70-Q70-R70-S70)</f>
      </c>
      <c r="V70" s="3">
        <f>IF($K70="","",(U70-X70)/J70*100)</f>
      </c>
      <c r="W70" s="3">
        <f>IF($K70="","",M70-T70)</f>
      </c>
      <c r="Y70" s="3">
        <f>IF($K70="","",U70-X70)</f>
      </c>
    </row>
    <row r="71" spans="1:25" x14ac:dyDescent="0.25">
      <c r="A71" s="1"/>
      <c r="D71" s="2"/>
      <c r="J71" s="3"/>
      <c r="K71" s="3"/>
      <c r="L71" s="3">
        <f>IF($K71="","",K71-J71)</f>
      </c>
      <c r="M71" s="3">
        <f>IF($K71="","",L71*16.67%)</f>
      </c>
      <c r="N71" s="3">
        <f>IF($K71="","",K71*3.96%)</f>
      </c>
      <c r="O71" s="3">
        <f>IF($K71="","",N71*20%)</f>
      </c>
      <c r="P71" s="3">
        <f>IF($K71="","",N71+O71)</f>
      </c>
      <c r="Q71" s="3"/>
      <c r="R71" s="3">
        <f>IF($K71="","",Q71*20%)</f>
      </c>
      <c r="S71" s="3">
        <v>1</v>
      </c>
      <c r="T71" s="3">
        <f>IF($K71="","",R71)</f>
      </c>
      <c r="U71" s="3">
        <f>IF($K71="","",L71-M71-N71-Q71-R71-S71)</f>
      </c>
      <c r="V71" s="3">
        <f>IF($K71="","",(U71-X71)/J71*100)</f>
      </c>
      <c r="W71" s="3">
        <f>IF($K71="","",M71-T71)</f>
      </c>
      <c r="Y71" s="3">
        <f>IF($K71="","",U71-X71)</f>
      </c>
    </row>
    <row r="72" spans="1:25" x14ac:dyDescent="0.25">
      <c r="A72" s="1"/>
      <c r="D72" s="2"/>
      <c r="J72" s="3"/>
      <c r="K72" s="3"/>
      <c r="L72" s="3">
        <f>IF($K72="","",K72-J72)</f>
      </c>
      <c r="M72" s="3">
        <f>IF($K72="","",L72*16.67%)</f>
      </c>
      <c r="N72" s="3">
        <f>IF($K72="","",K72*3.96%)</f>
      </c>
      <c r="O72" s="3">
        <f>IF($K72="","",N72*20%)</f>
      </c>
      <c r="P72" s="3">
        <f>IF($K72="","",N72+O72)</f>
      </c>
      <c r="Q72" s="3"/>
      <c r="R72" s="3">
        <f>IF($K72="","",Q72*20%)</f>
      </c>
      <c r="S72" s="3">
        <v>1</v>
      </c>
      <c r="T72" s="3">
        <f>IF($K72="","",R72)</f>
      </c>
      <c r="U72" s="3">
        <f>IF($K72="","",L72-M72-N72-Q72-R72-S72)</f>
      </c>
      <c r="V72" s="3">
        <f>IF($K72="","",(U72-X72)/J72*100)</f>
      </c>
      <c r="W72" s="3">
        <f>IF($K72="","",M72-T72)</f>
      </c>
      <c r="Y72" s="3">
        <f>IF($K72="","",U72-X72)</f>
      </c>
    </row>
    <row r="73" spans="1:25" x14ac:dyDescent="0.25">
      <c r="A73" s="1"/>
      <c r="D73" s="2"/>
      <c r="J73" s="3"/>
      <c r="K73" s="3"/>
      <c r="L73" s="3">
        <f>IF($K73="","",K73-J73)</f>
      </c>
      <c r="M73" s="3">
        <f>IF($K73="","",L73*16.67%)</f>
      </c>
      <c r="N73" s="3">
        <f>IF($K73="","",K73*3.96%)</f>
      </c>
      <c r="O73" s="3">
        <f>IF($K73="","",N73*20%)</f>
      </c>
      <c r="P73" s="3">
        <f>IF($K73="","",N73+O73)</f>
      </c>
      <c r="Q73" s="3"/>
      <c r="R73" s="3">
        <f>IF($K73="","",Q73*20%)</f>
      </c>
      <c r="S73" s="3">
        <v>1</v>
      </c>
      <c r="T73" s="3">
        <f>IF($K73="","",R73)</f>
      </c>
      <c r="U73" s="3">
        <f>IF($K73="","",L73-M73-N73-Q73-R73-S73)</f>
      </c>
      <c r="V73" s="3">
        <f>IF($K73="","",(U73-X73)/J73*100)</f>
      </c>
      <c r="W73" s="3">
        <f>IF($K73="","",M73-T73)</f>
      </c>
      <c r="Y73" s="3">
        <f>IF($K73="","",U73-X73)</f>
      </c>
    </row>
    <row r="74" spans="1:25" x14ac:dyDescent="0.25">
      <c r="A74" s="1"/>
      <c r="D74" s="2"/>
      <c r="J74" s="3"/>
      <c r="K74" s="3"/>
      <c r="L74" s="3">
        <f>IF($K74="","",K74-J74)</f>
      </c>
      <c r="M74" s="3">
        <f>IF($K74="","",L74*16.67%)</f>
      </c>
      <c r="N74" s="3">
        <f>IF($K74="","",K74*3.96%)</f>
      </c>
      <c r="O74" s="3">
        <f>IF($K74="","",N74*20%)</f>
      </c>
      <c r="P74" s="3">
        <f>IF($K74="","",N74+O74)</f>
      </c>
      <c r="Q74" s="3"/>
      <c r="R74" s="3">
        <f>IF($K74="","",Q74*20%)</f>
      </c>
      <c r="S74" s="3">
        <v>1</v>
      </c>
      <c r="T74" s="3">
        <f>IF($K74="","",R74)</f>
      </c>
      <c r="U74" s="3">
        <f>IF($K74="","",L74-M74-N74-Q74-R74-S74)</f>
      </c>
      <c r="V74" s="3">
        <f>IF($K74="","",(U74-X74)/J74*100)</f>
      </c>
      <c r="W74" s="3">
        <f>IF($K74="","",M74-T74)</f>
      </c>
      <c r="Y74" s="3">
        <f>IF($K74="","",U74-X74)</f>
      </c>
    </row>
    <row r="75" spans="1:25" x14ac:dyDescent="0.25">
      <c r="A75" s="1"/>
      <c r="D75" s="2"/>
      <c r="J75" s="3"/>
      <c r="K75" s="3"/>
      <c r="L75" s="3">
        <f>IF($K75="","",K75-J75)</f>
      </c>
      <c r="M75" s="3">
        <f>IF($K75="","",L75*16.67%)</f>
      </c>
      <c r="N75" s="3">
        <f>IF($K75="","",K75*3.96%)</f>
      </c>
      <c r="O75" s="3">
        <f>IF($K75="","",N75*20%)</f>
      </c>
      <c r="P75" s="3">
        <f>IF($K75="","",N75+O75)</f>
      </c>
      <c r="Q75" s="3"/>
      <c r="R75" s="3">
        <f>IF($K75="","",Q75*20%)</f>
      </c>
      <c r="S75" s="3">
        <v>1</v>
      </c>
      <c r="T75" s="3">
        <f>IF($K75="","",R75)</f>
      </c>
      <c r="U75" s="3">
        <f>IF($K75="","",L75-M75-N75-Q75-R75-S75)</f>
      </c>
      <c r="V75" s="3">
        <f>IF($K75="","",(U75-X75)/J75*100)</f>
      </c>
      <c r="W75" s="3">
        <f>IF($K75="","",M75-T75)</f>
      </c>
      <c r="Y75" s="3">
        <f>IF($K75="","",U75-X75)</f>
      </c>
    </row>
    <row r="76" spans="1:25" x14ac:dyDescent="0.25">
      <c r="A76" s="1"/>
      <c r="D76" s="2"/>
      <c r="J76" s="3"/>
      <c r="K76" s="3"/>
      <c r="L76" s="3">
        <f>IF($K76="","",K76-J76)</f>
      </c>
      <c r="M76" s="3">
        <f>IF($K76="","",L76*16.67%)</f>
      </c>
      <c r="N76" s="3">
        <f>IF($K76="","",K76*3.96%)</f>
      </c>
      <c r="O76" s="3">
        <f>IF($K76="","",N76*20%)</f>
      </c>
      <c r="P76" s="3">
        <f>IF($K76="","",N76+O76)</f>
      </c>
      <c r="Q76" s="3"/>
      <c r="R76" s="3">
        <f>IF($K76="","",Q76*20%)</f>
      </c>
      <c r="S76" s="3">
        <v>1</v>
      </c>
      <c r="T76" s="3">
        <f>IF($K76="","",R76)</f>
      </c>
      <c r="U76" s="3">
        <f>IF($K76="","",L76-M76-N76-Q76-R76-S76)</f>
      </c>
      <c r="V76" s="3">
        <f>IF($K76="","",(U76-X76)/J76*100)</f>
      </c>
      <c r="W76" s="3">
        <f>IF($K76="","",M76-T76)</f>
      </c>
      <c r="Y76" s="3">
        <f>IF($K76="","",U76-X76)</f>
      </c>
    </row>
    <row r="77" spans="1:25" x14ac:dyDescent="0.25">
      <c r="A77" s="1"/>
      <c r="D77" s="2"/>
      <c r="J77" s="3"/>
      <c r="K77" s="3"/>
      <c r="L77" s="3">
        <f>IF($K77="","",K77-J77)</f>
      </c>
      <c r="M77" s="3">
        <f>IF($K77="","",L77*16.67%)</f>
      </c>
      <c r="N77" s="3">
        <f>IF($K77="","",K77*3.96%)</f>
      </c>
      <c r="O77" s="3">
        <f>IF($K77="","",N77*20%)</f>
      </c>
      <c r="P77" s="3">
        <f>IF($K77="","",N77+O77)</f>
      </c>
      <c r="Q77" s="3"/>
      <c r="R77" s="3">
        <f>IF($K77="","",Q77*20%)</f>
      </c>
      <c r="S77" s="3">
        <v>1</v>
      </c>
      <c r="T77" s="3">
        <f>IF($K77="","",R77)</f>
      </c>
      <c r="U77" s="3">
        <f>IF($K77="","",L77-M77-N77-Q77-R77-S77)</f>
      </c>
      <c r="V77" s="3">
        <f>IF($K77="","",(U77-X77)/J77*100)</f>
      </c>
      <c r="W77" s="3">
        <f>IF($K77="","",M77-T77)</f>
      </c>
      <c r="Y77" s="3">
        <f>IF($K77="","",U77-X77)</f>
      </c>
    </row>
    <row r="78" spans="1:25" x14ac:dyDescent="0.25">
      <c r="A78" s="1"/>
      <c r="D78" s="2"/>
      <c r="J78" s="3"/>
      <c r="K78" s="3"/>
      <c r="L78" s="3">
        <f>IF($K78="","",K78-J78)</f>
      </c>
      <c r="M78" s="3">
        <f>IF($K78="","",L78*16.67%)</f>
      </c>
      <c r="N78" s="3">
        <f>IF($K78="","",K78*3.96%)</f>
      </c>
      <c r="O78" s="3">
        <f>IF($K78="","",N78*20%)</f>
      </c>
      <c r="P78" s="3">
        <f>IF($K78="","",N78+O78)</f>
      </c>
      <c r="Q78" s="3"/>
      <c r="R78" s="3">
        <f>IF($K78="","",Q78*20%)</f>
      </c>
      <c r="S78" s="3">
        <v>1</v>
      </c>
      <c r="T78" s="3">
        <f>IF($K78="","",R78)</f>
      </c>
      <c r="U78" s="3">
        <f>IF($K78="","",L78-M78-N78-Q78-R78-S78)</f>
      </c>
      <c r="V78" s="3">
        <f>IF($K78="","",(U78-X78)/J78*100)</f>
      </c>
      <c r="W78" s="3">
        <f>IF($K78="","",M78-T78)</f>
      </c>
      <c r="Y78" s="3">
        <f>IF($K78="","",U78-X78)</f>
      </c>
    </row>
    <row r="79" spans="1:25" x14ac:dyDescent="0.25">
      <c r="A79" s="1"/>
      <c r="D79" s="2"/>
      <c r="J79" s="3"/>
      <c r="K79" s="3"/>
      <c r="L79" s="3">
        <f>IF($K79="","",K79-J79)</f>
      </c>
      <c r="M79" s="3">
        <f>IF($K79="","",L79*16.67%)</f>
      </c>
      <c r="N79" s="3">
        <f>IF($K79="","",K79*3.96%)</f>
      </c>
      <c r="O79" s="3">
        <f>IF($K79="","",N79*20%)</f>
      </c>
      <c r="P79" s="3">
        <f>IF($K79="","",N79+O79)</f>
      </c>
      <c r="Q79" s="3"/>
      <c r="R79" s="3">
        <f>IF($K79="","",Q79*20%)</f>
      </c>
      <c r="S79" s="3">
        <v>1</v>
      </c>
      <c r="T79" s="3">
        <f>IF($K79="","",R79)</f>
      </c>
      <c r="U79" s="3">
        <f>IF($K79="","",L79-M79-N79-Q79-R79-S79)</f>
      </c>
      <c r="V79" s="3">
        <f>IF($K79="","",(U79-X79)/J79*100)</f>
      </c>
      <c r="W79" s="3">
        <f>IF($K79="","",M79-T79)</f>
      </c>
      <c r="Y79" s="3">
        <f>IF($K79="","",U79-X79)</f>
      </c>
    </row>
    <row r="80" spans="1:25" x14ac:dyDescent="0.25">
      <c r="A80" s="1"/>
      <c r="D80" s="2"/>
      <c r="J80" s="3"/>
      <c r="K80" s="3"/>
      <c r="L80" s="3">
        <f>IF($K80="","",K80-J80)</f>
      </c>
      <c r="M80" s="3">
        <f>IF($K80="","",L80*16.67%)</f>
      </c>
      <c r="N80" s="3">
        <f>IF($K80="","",K80*3.96%)</f>
      </c>
      <c r="O80" s="3">
        <f>IF($K80="","",N80*20%)</f>
      </c>
      <c r="P80" s="3">
        <f>IF($K80="","",N80+O80)</f>
      </c>
      <c r="Q80" s="3"/>
      <c r="R80" s="3">
        <f>IF($K80="","",Q80*20%)</f>
      </c>
      <c r="S80" s="3">
        <v>1</v>
      </c>
      <c r="T80" s="3">
        <f>IF($K80="","",R80)</f>
      </c>
      <c r="U80" s="3">
        <f>IF($K80="","",L80-M80-N80-Q80-R80-S80)</f>
      </c>
      <c r="V80" s="3">
        <f>IF($K80="","",(U80-X80)/J80*100)</f>
      </c>
      <c r="W80" s="3">
        <f>IF($K80="","",M80-T80)</f>
      </c>
      <c r="Y80" s="3">
        <f>IF($K80="","",U80-X80)</f>
      </c>
    </row>
    <row r="81" spans="1:25" x14ac:dyDescent="0.25">
      <c r="A81" s="1"/>
      <c r="D81" s="2"/>
      <c r="J81" s="3"/>
      <c r="K81" s="3"/>
      <c r="L81" s="3">
        <f>IF($K81="","",K81-J81)</f>
      </c>
      <c r="M81" s="3">
        <f>IF($K81="","",L81*16.67%)</f>
      </c>
      <c r="N81" s="3">
        <f>IF($K81="","",K81*3.96%)</f>
      </c>
      <c r="O81" s="3">
        <f>IF($K81="","",N81*20%)</f>
      </c>
      <c r="P81" s="3">
        <f>IF($K81="","",N81+O81)</f>
      </c>
      <c r="Q81" s="3"/>
      <c r="R81" s="3">
        <f>IF($K81="","",Q81*20%)</f>
      </c>
      <c r="S81" s="3">
        <v>1</v>
      </c>
      <c r="T81" s="3">
        <f>IF($K81="","",R81)</f>
      </c>
      <c r="U81" s="3">
        <f>IF($K81="","",L81-M81-N81-Q81-R81-S81)</f>
      </c>
      <c r="V81" s="3">
        <f>IF($K81="","",(U81-X81)/J81*100)</f>
      </c>
      <c r="W81" s="3">
        <f>IF($K81="","",M81-T81)</f>
      </c>
      <c r="Y81" s="3">
        <f>IF($K81="","",U81-X81)</f>
      </c>
    </row>
    <row r="82" spans="1:25" x14ac:dyDescent="0.25">
      <c r="A82" s="1"/>
      <c r="D82" s="2"/>
      <c r="J82" s="3"/>
      <c r="K82" s="3"/>
      <c r="L82" s="3">
        <f>IF($K82="","",K82-J82)</f>
      </c>
      <c r="M82" s="3">
        <f>IF($K82="","",L82*16.67%)</f>
      </c>
      <c r="N82" s="3">
        <f>IF($K82="","",K82*3.96%)</f>
      </c>
      <c r="O82" s="3">
        <f>IF($K82="","",N82*20%)</f>
      </c>
      <c r="P82" s="3">
        <f>IF($K82="","",N82+O82)</f>
      </c>
      <c r="Q82" s="3"/>
      <c r="R82" s="3">
        <f>IF($K82="","",Q82*20%)</f>
      </c>
      <c r="S82" s="3">
        <v>1</v>
      </c>
      <c r="T82" s="3">
        <f>IF($K82="","",R82)</f>
      </c>
      <c r="U82" s="3">
        <f>IF($K82="","",L82-M82-N82-Q82-R82-S82)</f>
      </c>
      <c r="V82" s="3">
        <f>IF($K82="","",(U82-X82)/J82*100)</f>
      </c>
      <c r="W82" s="3">
        <f>IF($K82="","",M82-T82)</f>
      </c>
      <c r="Y82" s="3">
        <f>IF($K82="","",U82-X82)</f>
      </c>
    </row>
    <row r="83" spans="1:25" x14ac:dyDescent="0.25">
      <c r="A83" s="1"/>
      <c r="D83" s="2"/>
      <c r="J83" s="3"/>
      <c r="K83" s="3"/>
      <c r="L83" s="3">
        <f>IF($K83="","",K83-J83)</f>
      </c>
      <c r="M83" s="3">
        <f>IF($K83="","",L83*16.67%)</f>
      </c>
      <c r="N83" s="3">
        <f>IF($K83="","",K83*3.96%)</f>
      </c>
      <c r="O83" s="3">
        <f>IF($K83="","",N83*20%)</f>
      </c>
      <c r="P83" s="3">
        <f>IF($K83="","",N83+O83)</f>
      </c>
      <c r="Q83" s="3"/>
      <c r="R83" s="3">
        <f>IF($K83="","",Q83*20%)</f>
      </c>
      <c r="S83" s="3">
        <v>1</v>
      </c>
      <c r="T83" s="3">
        <f>IF($K83="","",R83)</f>
      </c>
      <c r="U83" s="3">
        <f>IF($K83="","",L83-M83-N83-Q83-R83-S83)</f>
      </c>
      <c r="V83" s="3">
        <f>IF($K83="","",(U83-X83)/J83*100)</f>
      </c>
      <c r="W83" s="3">
        <f>IF($K83="","",M83-T83)</f>
      </c>
      <c r="Y83" s="3">
        <f>IF($K83="","",U83-X83)</f>
      </c>
    </row>
    <row r="84" spans="1:25" x14ac:dyDescent="0.25">
      <c r="A84" s="1"/>
      <c r="D84" s="2"/>
      <c r="J84" s="3"/>
      <c r="K84" s="3"/>
      <c r="L84" s="3">
        <f>IF($K84="","",K84-J84)</f>
      </c>
      <c r="M84" s="3">
        <f>IF($K84="","",L84*16.67%)</f>
      </c>
      <c r="N84" s="3">
        <f>IF($K84="","",K84*3.96%)</f>
      </c>
      <c r="O84" s="3">
        <f>IF($K84="","",N84*20%)</f>
      </c>
      <c r="P84" s="3">
        <f>IF($K84="","",N84+O84)</f>
      </c>
      <c r="Q84" s="3"/>
      <c r="R84" s="3">
        <f>IF($K84="","",Q84*20%)</f>
      </c>
      <c r="S84" s="3">
        <v>1</v>
      </c>
      <c r="T84" s="3">
        <f>IF($K84="","",R84)</f>
      </c>
      <c r="U84" s="3">
        <f>IF($K84="","",L84-M84-N84-Q84-R84-S84)</f>
      </c>
      <c r="V84" s="3">
        <f>IF($K84="","",(U84-X84)/J84*100)</f>
      </c>
      <c r="W84" s="3">
        <f>IF($K84="","",M84-T84)</f>
      </c>
      <c r="Y84" s="3">
        <f>IF($K84="","",U84-X84)</f>
      </c>
    </row>
    <row r="85" spans="1:25" x14ac:dyDescent="0.25">
      <c r="A85" s="1"/>
      <c r="D85" s="2"/>
      <c r="J85" s="3"/>
      <c r="K85" s="3"/>
      <c r="L85" s="3">
        <f>IF($K85="","",K85-J85)</f>
      </c>
      <c r="M85" s="3">
        <f>IF($K85="","",L85*16.67%)</f>
      </c>
      <c r="N85" s="3">
        <f>IF($K85="","",K85*3.96%)</f>
      </c>
      <c r="O85" s="3">
        <f>IF($K85="","",N85*20%)</f>
      </c>
      <c r="P85" s="3">
        <f>IF($K85="","",N85+O85)</f>
      </c>
      <c r="Q85" s="3"/>
      <c r="R85" s="3">
        <f>IF($K85="","",Q85*20%)</f>
      </c>
      <c r="S85" s="3">
        <v>1</v>
      </c>
      <c r="T85" s="3">
        <f>IF($K85="","",R85)</f>
      </c>
      <c r="U85" s="3">
        <f>IF($K85="","",L85-M85-N85-Q85-R85-S85)</f>
      </c>
      <c r="V85" s="3">
        <f>IF($K85="","",(U85-X85)/J85*100)</f>
      </c>
      <c r="W85" s="3">
        <f>IF($K85="","",M85-T85)</f>
      </c>
      <c r="Y85" s="3">
        <f>IF($K85="","",U85-X85)</f>
      </c>
    </row>
    <row r="86" spans="1:25" x14ac:dyDescent="0.25">
      <c r="A86" s="1"/>
      <c r="D86" s="2"/>
      <c r="J86" s="3"/>
      <c r="K86" s="3"/>
      <c r="L86" s="3">
        <f>IF($K86="","",K86-J86)</f>
      </c>
      <c r="M86" s="3">
        <f>IF($K86="","",L86*16.67%)</f>
      </c>
      <c r="N86" s="3">
        <f>IF($K86="","",K86*3.96%)</f>
      </c>
      <c r="O86" s="3">
        <f>IF($K86="","",N86*20%)</f>
      </c>
      <c r="P86" s="3">
        <f>IF($K86="","",N86+O86)</f>
      </c>
      <c r="Q86" s="3"/>
      <c r="R86" s="3">
        <f>IF($K86="","",Q86*20%)</f>
      </c>
      <c r="S86" s="3">
        <v>1</v>
      </c>
      <c r="T86" s="3">
        <f>IF($K86="","",R86)</f>
      </c>
      <c r="U86" s="3">
        <f>IF($K86="","",L86-M86-N86-Q86-R86-S86)</f>
      </c>
      <c r="V86" s="3">
        <f>IF($K86="","",(U86-X86)/J86*100)</f>
      </c>
      <c r="W86" s="3">
        <f>IF($K86="","",M86-T86)</f>
      </c>
      <c r="Y86" s="3">
        <f>IF($K86="","",U86-X86)</f>
      </c>
    </row>
    <row r="87" spans="1:25" x14ac:dyDescent="0.25">
      <c r="A87" s="1"/>
      <c r="D87" s="2"/>
      <c r="J87" s="3"/>
      <c r="K87" s="3"/>
      <c r="L87" s="3">
        <f>IF($K87="","",K87-J87)</f>
      </c>
      <c r="M87" s="3">
        <f>IF($K87="","",L87*16.67%)</f>
      </c>
      <c r="N87" s="3">
        <f>IF($K87="","",K87*3.96%)</f>
      </c>
      <c r="O87" s="3">
        <f>IF($K87="","",N87*20%)</f>
      </c>
      <c r="P87" s="3">
        <f>IF($K87="","",N87+O87)</f>
      </c>
      <c r="Q87" s="3"/>
      <c r="R87" s="3">
        <f>IF($K87="","",Q87*20%)</f>
      </c>
      <c r="S87" s="3">
        <v>1</v>
      </c>
      <c r="T87" s="3">
        <f>IF($K87="","",R87)</f>
      </c>
      <c r="U87" s="3">
        <f>IF($K87="","",L87-M87-N87-Q87-R87-S87)</f>
      </c>
      <c r="V87" s="3">
        <f>IF($K87="","",(U87-X87)/J87*100)</f>
      </c>
      <c r="W87" s="3">
        <f>IF($K87="","",M87-T87)</f>
      </c>
      <c r="Y87" s="3">
        <f>IF($K87="","",U87-X87)</f>
      </c>
    </row>
    <row r="88" spans="1:25" x14ac:dyDescent="0.25">
      <c r="A88" s="1"/>
      <c r="D88" s="2"/>
      <c r="J88" s="3"/>
      <c r="K88" s="3"/>
      <c r="L88" s="3">
        <f>IF($K88="","",K88-J88)</f>
      </c>
      <c r="M88" s="3">
        <f>IF($K88="","",L88*16.67%)</f>
      </c>
      <c r="N88" s="3">
        <f>IF($K88="","",K88*3.96%)</f>
      </c>
      <c r="O88" s="3">
        <f>IF($K88="","",N88*20%)</f>
      </c>
      <c r="P88" s="3">
        <f>IF($K88="","",N88+O88)</f>
      </c>
      <c r="Q88" s="3"/>
      <c r="R88" s="3">
        <f>IF($K88="","",Q88*20%)</f>
      </c>
      <c r="S88" s="3">
        <v>1</v>
      </c>
      <c r="T88" s="3">
        <f>IF($K88="","",R88)</f>
      </c>
      <c r="U88" s="3">
        <f>IF($K88="","",L88-M88-N88-Q88-R88-S88)</f>
      </c>
      <c r="V88" s="3">
        <f>IF($K88="","",(U88-X88)/J88*100)</f>
      </c>
      <c r="W88" s="3">
        <f>IF($K88="","",M88-T88)</f>
      </c>
      <c r="Y88" s="3">
        <f>IF($K88="","",U88-X88)</f>
      </c>
    </row>
    <row r="89" spans="1:25" x14ac:dyDescent="0.25">
      <c r="A89" s="1"/>
      <c r="D89" s="2"/>
      <c r="J89" s="3"/>
      <c r="K89" s="3"/>
      <c r="L89" s="3">
        <f>IF($K89="","",K89-J89)</f>
      </c>
      <c r="M89" s="3">
        <f>IF($K89="","",L89*16.67%)</f>
      </c>
      <c r="N89" s="3">
        <f>IF($K89="","",K89*3.96%)</f>
      </c>
      <c r="O89" s="3">
        <f>IF($K89="","",N89*20%)</f>
      </c>
      <c r="P89" s="3">
        <f>IF($K89="","",N89+O89)</f>
      </c>
      <c r="Q89" s="3"/>
      <c r="R89" s="3">
        <f>IF($K89="","",Q89*20%)</f>
      </c>
      <c r="S89" s="3">
        <v>1</v>
      </c>
      <c r="T89" s="3">
        <f>IF($K89="","",R89)</f>
      </c>
      <c r="U89" s="3">
        <f>IF($K89="","",L89-M89-N89-Q89-R89-S89)</f>
      </c>
      <c r="V89" s="3">
        <f>IF($K89="","",(U89-X89)/J89*100)</f>
      </c>
      <c r="W89" s="3">
        <f>IF($K89="","",M89-T89)</f>
      </c>
      <c r="Y89" s="3">
        <f>IF($K89="","",U89-X89)</f>
      </c>
    </row>
    <row r="90" spans="1:25" x14ac:dyDescent="0.25">
      <c r="A90" s="1"/>
      <c r="D90" s="2"/>
      <c r="J90" s="3"/>
      <c r="K90" s="3"/>
      <c r="L90" s="3">
        <f>IF($K90="","",K90-J90)</f>
      </c>
      <c r="M90" s="3">
        <f>IF($K90="","",L90*16.67%)</f>
      </c>
      <c r="N90" s="3">
        <f>IF($K90="","",K90*3.96%)</f>
      </c>
      <c r="O90" s="3">
        <f>IF($K90="","",N90*20%)</f>
      </c>
      <c r="P90" s="3">
        <f>IF($K90="","",N90+O90)</f>
      </c>
      <c r="Q90" s="3"/>
      <c r="R90" s="3">
        <f>IF($K90="","",Q90*20%)</f>
      </c>
      <c r="S90" s="3">
        <v>1</v>
      </c>
      <c r="T90" s="3">
        <f>IF($K90="","",R90)</f>
      </c>
      <c r="U90" s="3">
        <f>IF($K90="","",L90-M90-N90-Q90-R90-S90)</f>
      </c>
      <c r="V90" s="3">
        <f>IF($K90="","",(U90-X90)/J90*100)</f>
      </c>
      <c r="W90" s="3">
        <f>IF($K90="","",M90-T90)</f>
      </c>
      <c r="Y90" s="3">
        <f>IF($K90="","",U90-X90)</f>
      </c>
    </row>
    <row r="91" spans="1:25" x14ac:dyDescent="0.25">
      <c r="A91" s="1"/>
      <c r="D91" s="2"/>
      <c r="J91" s="3"/>
      <c r="K91" s="3"/>
      <c r="L91" s="3">
        <f>IF($K91="","",K91-J91)</f>
      </c>
      <c r="M91" s="3">
        <f>IF($K91="","",L91*16.67%)</f>
      </c>
      <c r="N91" s="3">
        <f>IF($K91="","",K91*3.96%)</f>
      </c>
      <c r="O91" s="3">
        <f>IF($K91="","",N91*20%)</f>
      </c>
      <c r="P91" s="3">
        <f>IF($K91="","",N91+O91)</f>
      </c>
      <c r="Q91" s="3"/>
      <c r="R91" s="3">
        <f>IF($K91="","",Q91*20%)</f>
      </c>
      <c r="S91" s="3">
        <v>1</v>
      </c>
      <c r="T91" s="3">
        <f>IF($K91="","",R91)</f>
      </c>
      <c r="U91" s="3">
        <f>IF($K91="","",L91-M91-N91-Q91-R91-S91)</f>
      </c>
      <c r="V91" s="3">
        <f>IF($K91="","",(U91-X91)/J91*100)</f>
      </c>
      <c r="W91" s="3">
        <f>IF($K91="","",M91-T91)</f>
      </c>
      <c r="Y91" s="3">
        <f>IF($K91="","",U91-X91)</f>
      </c>
    </row>
    <row r="92" spans="1:25" x14ac:dyDescent="0.25">
      <c r="A92" s="1"/>
      <c r="D92" s="2"/>
      <c r="J92" s="3"/>
      <c r="K92" s="3"/>
      <c r="L92" s="3">
        <f>IF($K92="","",K92-J92)</f>
      </c>
      <c r="M92" s="3">
        <f>IF($K92="","",L92*16.67%)</f>
      </c>
      <c r="N92" s="3">
        <f>IF($K92="","",K92*3.96%)</f>
      </c>
      <c r="O92" s="3">
        <f>IF($K92="","",N92*20%)</f>
      </c>
      <c r="P92" s="3">
        <f>IF($K92="","",N92+O92)</f>
      </c>
      <c r="Q92" s="3"/>
      <c r="R92" s="3">
        <f>IF($K92="","",Q92*20%)</f>
      </c>
      <c r="S92" s="3">
        <v>1</v>
      </c>
      <c r="T92" s="3">
        <f>IF($K92="","",R92)</f>
      </c>
      <c r="U92" s="3">
        <f>IF($K92="","",L92-M92-N92-Q92-R92-S92)</f>
      </c>
      <c r="V92" s="3">
        <f>IF($K92="","",(U92-X92)/J92*100)</f>
      </c>
      <c r="W92" s="3">
        <f>IF($K92="","",M92-T92)</f>
      </c>
      <c r="Y92" s="3">
        <f>IF($K92="","",U92-X92)</f>
      </c>
    </row>
    <row r="93" spans="1:25" x14ac:dyDescent="0.25">
      <c r="A93" s="1"/>
      <c r="D93" s="2"/>
      <c r="J93" s="3"/>
      <c r="K93" s="3"/>
      <c r="L93" s="3">
        <f>IF($K93="","",K93-J93)</f>
      </c>
      <c r="M93" s="3">
        <f>IF($K93="","",L93*16.67%)</f>
      </c>
      <c r="N93" s="3">
        <f>IF($K93="","",K93*3.96%)</f>
      </c>
      <c r="O93" s="3">
        <f>IF($K93="","",N93*20%)</f>
      </c>
      <c r="P93" s="3">
        <f>IF($K93="","",N93+O93)</f>
      </c>
      <c r="Q93" s="3"/>
      <c r="R93" s="3">
        <f>IF($K93="","",Q93*20%)</f>
      </c>
      <c r="S93" s="3">
        <v>1</v>
      </c>
      <c r="T93" s="3">
        <f>IF($K93="","",R93)</f>
      </c>
      <c r="U93" s="3">
        <f>IF($K93="","",L93-M93-N93-Q93-R93-S93)</f>
      </c>
      <c r="V93" s="3">
        <f>IF($K93="","",(U93-X93)/J93*100)</f>
      </c>
      <c r="W93" s="3">
        <f>IF($K93="","",M93-T93)</f>
      </c>
      <c r="Y93" s="3">
        <f>IF($K93="","",U93-X93)</f>
      </c>
    </row>
    <row r="94" spans="1:25" x14ac:dyDescent="0.25">
      <c r="A94" s="1"/>
      <c r="D94" s="2"/>
      <c r="J94" s="3"/>
      <c r="K94" s="3"/>
      <c r="L94" s="3">
        <f>IF($K94="","",K94-J94)</f>
      </c>
      <c r="M94" s="3">
        <f>IF($K94="","",L94*16.67%)</f>
      </c>
      <c r="N94" s="3">
        <f>IF($K94="","",K94*3.96%)</f>
      </c>
      <c r="O94" s="3">
        <f>IF($K94="","",N94*20%)</f>
      </c>
      <c r="P94" s="3">
        <f>IF($K94="","",N94+O94)</f>
      </c>
      <c r="Q94" s="3"/>
      <c r="R94" s="3">
        <f>IF($K94="","",Q94*20%)</f>
      </c>
      <c r="S94" s="3">
        <v>1</v>
      </c>
      <c r="T94" s="3">
        <f>IF($K94="","",R94)</f>
      </c>
      <c r="U94" s="3">
        <f>IF($K94="","",L94-M94-N94-Q94-R94-S94)</f>
      </c>
      <c r="V94" s="3">
        <f>IF($K94="","",(U94-X94)/J94*100)</f>
      </c>
      <c r="W94" s="3">
        <f>IF($K94="","",M94-T94)</f>
      </c>
      <c r="Y94" s="3">
        <f>IF($K94="","",U94-X94)</f>
      </c>
    </row>
    <row r="95" spans="1:25" x14ac:dyDescent="0.25">
      <c r="A95" s="1"/>
      <c r="D95" s="2"/>
      <c r="J95" s="3"/>
      <c r="K95" s="3"/>
      <c r="L95" s="3">
        <f>IF($K95="","",K95-J95)</f>
      </c>
      <c r="M95" s="3">
        <f>IF($K95="","",L95*16.67%)</f>
      </c>
      <c r="N95" s="3">
        <f>IF($K95="","",K95*3.96%)</f>
      </c>
      <c r="O95" s="3">
        <f>IF($K95="","",N95*20%)</f>
      </c>
      <c r="P95" s="3">
        <f>IF($K95="","",N95+O95)</f>
      </c>
      <c r="Q95" s="3"/>
      <c r="R95" s="3">
        <f>IF($K95="","",Q95*20%)</f>
      </c>
      <c r="S95" s="3">
        <v>1</v>
      </c>
      <c r="T95" s="3">
        <f>IF($K95="","",R95)</f>
      </c>
      <c r="U95" s="3">
        <f>IF($K95="","",L95-M95-N95-Q95-R95-S95)</f>
      </c>
      <c r="V95" s="3">
        <f>IF($K95="","",(U95-X95)/J95*100)</f>
      </c>
      <c r="W95" s="3">
        <f>IF($K95="","",M95-T95)</f>
      </c>
      <c r="Y95" s="3">
        <f>IF($K95="","",U95-X95)</f>
      </c>
    </row>
    <row r="96" spans="1:25" x14ac:dyDescent="0.25">
      <c r="A96" s="1"/>
      <c r="D96" s="2"/>
      <c r="J96" s="3"/>
      <c r="K96" s="3"/>
      <c r="L96" s="3">
        <f>IF($K96="","",K96-J96)</f>
      </c>
      <c r="M96" s="3">
        <f>IF($K96="","",L96*16.67%)</f>
      </c>
      <c r="N96" s="3">
        <f>IF($K96="","",K96*3.96%)</f>
      </c>
      <c r="O96" s="3">
        <f>IF($K96="","",N96*20%)</f>
      </c>
      <c r="P96" s="3">
        <f>IF($K96="","",N96+O96)</f>
      </c>
      <c r="Q96" s="3"/>
      <c r="R96" s="3">
        <f>IF($K96="","",Q96*20%)</f>
      </c>
      <c r="S96" s="3">
        <v>1</v>
      </c>
      <c r="T96" s="3">
        <f>IF($K96="","",R96)</f>
      </c>
      <c r="U96" s="3">
        <f>IF($K96="","",L96-M96-N96-Q96-R96-S96)</f>
      </c>
      <c r="V96" s="3">
        <f>IF($K96="","",(U96-X96)/J96*100)</f>
      </c>
      <c r="W96" s="3">
        <f>IF($K96="","",M96-T96)</f>
      </c>
      <c r="Y96" s="3">
        <f>IF($K96="","",U96-X96)</f>
      </c>
    </row>
    <row r="97" spans="1:25" x14ac:dyDescent="0.25">
      <c r="A97" s="1"/>
      <c r="D97" s="2"/>
      <c r="J97" s="3"/>
      <c r="K97" s="3"/>
      <c r="L97" s="3">
        <f>IF($K97="","",K97-J97)</f>
      </c>
      <c r="M97" s="3">
        <f>IF($K97="","",L97*16.67%)</f>
      </c>
      <c r="N97" s="3">
        <f>IF($K97="","",K97*3.96%)</f>
      </c>
      <c r="O97" s="3">
        <f>IF($K97="","",N97*20%)</f>
      </c>
      <c r="P97" s="3">
        <f>IF($K97="","",N97+O97)</f>
      </c>
      <c r="Q97" s="3"/>
      <c r="R97" s="3">
        <f>IF($K97="","",Q97*20%)</f>
      </c>
      <c r="S97" s="3">
        <v>1</v>
      </c>
      <c r="T97" s="3">
        <f>IF($K97="","",R97)</f>
      </c>
      <c r="U97" s="3">
        <f>IF($K97="","",L97-M97-N97-Q97-R97-S97)</f>
      </c>
      <c r="V97" s="3">
        <f>IF($K97="","",(U97-X97)/J97*100)</f>
      </c>
      <c r="W97" s="3">
        <f>IF($K97="","",M97-T97)</f>
      </c>
      <c r="Y97" s="3">
        <f>IF($K97="","",U97-X97)</f>
      </c>
    </row>
    <row r="98" spans="1:25" x14ac:dyDescent="0.25">
      <c r="A98" s="1"/>
      <c r="D98" s="2"/>
      <c r="J98" s="3"/>
      <c r="K98" s="3"/>
      <c r="L98" s="3">
        <f>IF($K98="","",K98-J98)</f>
      </c>
      <c r="M98" s="3">
        <f>IF($K98="","",L98*16.67%)</f>
      </c>
      <c r="N98" s="3">
        <f>IF($K98="","",K98*3.96%)</f>
      </c>
      <c r="O98" s="3">
        <f>IF($K98="","",N98*20%)</f>
      </c>
      <c r="P98" s="3">
        <f>IF($K98="","",N98+O98)</f>
      </c>
      <c r="Q98" s="3"/>
      <c r="R98" s="3">
        <f>IF($K98="","",Q98*20%)</f>
      </c>
      <c r="S98" s="3">
        <v>1</v>
      </c>
      <c r="T98" s="3">
        <f>IF($K98="","",R98)</f>
      </c>
      <c r="U98" s="3">
        <f>IF($K98="","",L98-M98-N98-Q98-R98-S98)</f>
      </c>
      <c r="V98" s="3">
        <f>IF($K98="","",(U98-X98)/J98*100)</f>
      </c>
      <c r="W98" s="3">
        <f>IF($K98="","",M98-T98)</f>
      </c>
      <c r="Y98" s="3">
        <f>IF($K98="","",U98-X98)</f>
      </c>
    </row>
    <row r="99" spans="1:25" x14ac:dyDescent="0.25">
      <c r="A99" s="1"/>
      <c r="D99" s="2"/>
      <c r="J99" s="3"/>
      <c r="K99" s="3"/>
      <c r="L99" s="3">
        <f>IF($K99="","",K99-J99)</f>
      </c>
      <c r="M99" s="3">
        <f>IF($K99="","",L99*16.67%)</f>
      </c>
      <c r="N99" s="3">
        <f>IF($K99="","",K99*3.96%)</f>
      </c>
      <c r="O99" s="3">
        <f>IF($K99="","",N99*20%)</f>
      </c>
      <c r="P99" s="3">
        <f>IF($K99="","",N99+O99)</f>
      </c>
      <c r="Q99" s="3"/>
      <c r="R99" s="3">
        <f>IF($K99="","",Q99*20%)</f>
      </c>
      <c r="S99" s="3">
        <v>1</v>
      </c>
      <c r="T99" s="3">
        <f>IF($K99="","",R99)</f>
      </c>
      <c r="U99" s="3">
        <f>IF($K99="","",L99-M99-N99-Q99-R99-S99)</f>
      </c>
      <c r="V99" s="3">
        <f>IF($K99="","",(U99-X99)/J99*100)</f>
      </c>
      <c r="W99" s="3">
        <f>IF($K99="","",M99-T99)</f>
      </c>
      <c r="Y99" s="3">
        <f>IF($K99="","",U99-X99)</f>
      </c>
    </row>
    <row r="100" spans="1:25" x14ac:dyDescent="0.25">
      <c r="A100" s="1"/>
      <c r="D100" s="2"/>
      <c r="J100" s="3"/>
      <c r="K100" s="3"/>
      <c r="L100" s="3">
        <f>IF($K100="","",K100-J100)</f>
      </c>
      <c r="M100" s="3">
        <f>IF($K100="","",L100*16.67%)</f>
      </c>
      <c r="N100" s="3">
        <f>IF($K100="","",K100*3.96%)</f>
      </c>
      <c r="O100" s="3">
        <f>IF($K100="","",N100*20%)</f>
      </c>
      <c r="P100" s="3">
        <f>IF($K100="","",N100+O100)</f>
      </c>
      <c r="Q100" s="3"/>
      <c r="R100" s="3">
        <f>IF($K100="","",Q100*20%)</f>
      </c>
      <c r="S100" s="3">
        <v>1</v>
      </c>
      <c r="T100" s="3">
        <f>IF($K100="","",R100)</f>
      </c>
      <c r="U100" s="3">
        <f>IF($K100="","",L100-M100-N100-Q100-R100-S100)</f>
      </c>
      <c r="V100" s="3">
        <f>IF($K100="","",(U100-X100)/J100*100)</f>
      </c>
      <c r="W100" s="3">
        <f>IF($K100="","",M100-T100)</f>
      </c>
      <c r="Y100" s="3">
        <f>IF($K100="","",U100-X100)</f>
      </c>
    </row>
    <row r="101" spans="1:25" x14ac:dyDescent="0.25">
      <c r="A101" s="1"/>
      <c r="D101" s="2"/>
      <c r="J101" s="3"/>
      <c r="K101" s="3"/>
      <c r="L101" s="3">
        <f>IF($K101="","",K101-J101)</f>
      </c>
      <c r="M101" s="3">
        <f>IF($K101="","",L101*16.67%)</f>
      </c>
      <c r="N101" s="3">
        <f>IF($K101="","",K101*3.96%)</f>
      </c>
      <c r="O101" s="3">
        <f>IF($K101="","",N101*20%)</f>
      </c>
      <c r="P101" s="3">
        <f>IF($K101="","",N101+O101)</f>
      </c>
      <c r="Q101" s="3"/>
      <c r="R101" s="3">
        <f>IF($K101="","",Q101*20%)</f>
      </c>
      <c r="S101" s="3">
        <v>1</v>
      </c>
      <c r="T101" s="3">
        <f>IF($K101="","",R101)</f>
      </c>
      <c r="U101" s="3">
        <f>IF($K101="","",L101-M101-N101-Q101-R101-S101)</f>
      </c>
      <c r="V101" s="3">
        <f>IF($K101="","",(U101-X101)/J101*100)</f>
      </c>
      <c r="W101" s="3">
        <f>IF($K101="","",M101-T101)</f>
      </c>
      <c r="Y101" s="3">
        <f>IF($K101="","",U101-X101)</f>
      </c>
    </row>
    <row r="102" spans="1:25" x14ac:dyDescent="0.25">
      <c r="A102" s="1"/>
      <c r="D102" s="2"/>
      <c r="J102" s="3"/>
      <c r="K102" s="3"/>
      <c r="L102" s="3">
        <f>IF($K102="","",K102-J102)</f>
      </c>
      <c r="M102" s="3">
        <f>IF($K102="","",L102*16.67%)</f>
      </c>
      <c r="N102" s="3">
        <f>IF($K102="","",K102*3.96%)</f>
      </c>
      <c r="O102" s="3">
        <f>IF($K102="","",N102*20%)</f>
      </c>
      <c r="P102" s="3">
        <f>IF($K102="","",N102+O102)</f>
      </c>
      <c r="Q102" s="3"/>
      <c r="R102" s="3">
        <f>IF($K102="","",Q102*20%)</f>
      </c>
      <c r="S102" s="3">
        <v>1</v>
      </c>
      <c r="T102" s="3">
        <f>IF($K102="","",R102)</f>
      </c>
      <c r="U102" s="3">
        <f>IF($K102="","",L102-M102-N102-Q102-R102-S102)</f>
      </c>
      <c r="V102" s="3">
        <f>IF($K102="","",(U102-X102)/J102*100)</f>
      </c>
      <c r="W102" s="3">
        <f>IF($K102="","",M102-T102)</f>
      </c>
      <c r="Y102" s="3">
        <f>IF($K102="","",U102-X102)</f>
      </c>
    </row>
    <row r="103" spans="1:25" x14ac:dyDescent="0.25">
      <c r="A103" s="1"/>
      <c r="D103" s="2"/>
      <c r="J103" s="3"/>
      <c r="K103" s="3"/>
      <c r="L103" s="3">
        <f>IF($K103="","",K103-J103)</f>
      </c>
      <c r="M103" s="3">
        <f>IF($K103="","",L103*16.67%)</f>
      </c>
      <c r="N103" s="3">
        <f>IF($K103="","",K103*3.96%)</f>
      </c>
      <c r="O103" s="3">
        <f>IF($K103="","",N103*20%)</f>
      </c>
      <c r="P103" s="3">
        <f>IF($K103="","",N103+O103)</f>
      </c>
      <c r="Q103" s="3"/>
      <c r="R103" s="3">
        <f>IF($K103="","",Q103*20%)</f>
      </c>
      <c r="S103" s="3">
        <v>1</v>
      </c>
      <c r="T103" s="3">
        <f>IF($K103="","",R103)</f>
      </c>
      <c r="U103" s="3">
        <f>IF($K103="","",L103-M103-N103-Q103-R103-S103)</f>
      </c>
      <c r="V103" s="3">
        <f>IF($K103="","",(U103-X103)/J103*100)</f>
      </c>
      <c r="W103" s="3">
        <f>IF($K103="","",M103-T103)</f>
      </c>
      <c r="Y103" s="3">
        <f>IF($K103="","",U103-X103)</f>
      </c>
    </row>
    <row r="104" spans="1:25" x14ac:dyDescent="0.25">
      <c r="A104" s="1"/>
      <c r="D104" s="2"/>
      <c r="J104" s="3"/>
      <c r="K104" s="3"/>
      <c r="L104" s="3">
        <f>IF($K104="","",K104-J104)</f>
      </c>
      <c r="M104" s="3">
        <f>IF($K104="","",L104*16.67%)</f>
      </c>
      <c r="N104" s="3">
        <f>IF($K104="","",K104*3.96%)</f>
      </c>
      <c r="O104" s="3">
        <f>IF($K104="","",N104*20%)</f>
      </c>
      <c r="P104" s="3">
        <f>IF($K104="","",N104+O104)</f>
      </c>
      <c r="Q104" s="3"/>
      <c r="R104" s="3">
        <f>IF($K104="","",Q104*20%)</f>
      </c>
      <c r="S104" s="3">
        <v>1</v>
      </c>
      <c r="T104" s="3">
        <f>IF($K104="","",R104)</f>
      </c>
      <c r="U104" s="3">
        <f>IF($K104="","",L104-M104-N104-Q104-R104-S104)</f>
      </c>
      <c r="V104" s="3">
        <f>IF($K104="","",(U104-X104)/J104*100)</f>
      </c>
      <c r="W104" s="3">
        <f>IF($K104="","",M104-T104)</f>
      </c>
      <c r="Y104" s="3">
        <f>IF($K104="","",U104-X104)</f>
      </c>
    </row>
    <row r="105" spans="1:25" x14ac:dyDescent="0.25">
      <c r="A105" s="1"/>
      <c r="D105" s="2"/>
      <c r="J105" s="3"/>
      <c r="K105" s="3"/>
      <c r="L105" s="3">
        <f>IF($K105="","",K105-J105)</f>
      </c>
      <c r="M105" s="3">
        <f>IF($K105="","",L105*16.67%)</f>
      </c>
      <c r="N105" s="3">
        <f>IF($K105="","",K105*3.96%)</f>
      </c>
      <c r="O105" s="3">
        <f>IF($K105="","",N105*20%)</f>
      </c>
      <c r="P105" s="3">
        <f>IF($K105="","",N105+O105)</f>
      </c>
      <c r="Q105" s="3"/>
      <c r="R105" s="3">
        <f>IF($K105="","",Q105*20%)</f>
      </c>
      <c r="S105" s="3">
        <v>1</v>
      </c>
      <c r="T105" s="3">
        <f>IF($K105="","",R105)</f>
      </c>
      <c r="U105" s="3">
        <f>IF($K105="","",L105-M105-N105-Q105-R105-S105)</f>
      </c>
      <c r="V105" s="3">
        <f>IF($K105="","",(U105-X105)/J105*100)</f>
      </c>
      <c r="W105" s="3">
        <f>IF($K105="","",M105-T105)</f>
      </c>
      <c r="Y105" s="3">
        <f>IF($K105="","",U105-X105)</f>
      </c>
    </row>
    <row r="106" spans="1:25" x14ac:dyDescent="0.25">
      <c r="A106" s="1"/>
      <c r="D106" s="2"/>
      <c r="J106" s="3"/>
      <c r="K106" s="3"/>
      <c r="L106" s="3">
        <f>IF($K106="","",K106-J106)</f>
      </c>
      <c r="M106" s="3">
        <f>IF($K106="","",L106*16.67%)</f>
      </c>
      <c r="N106" s="3">
        <f>IF($K106="","",K106*3.96%)</f>
      </c>
      <c r="O106" s="3">
        <f>IF($K106="","",N106*20%)</f>
      </c>
      <c r="P106" s="3">
        <f>IF($K106="","",N106+O106)</f>
      </c>
      <c r="Q106" s="3"/>
      <c r="R106" s="3">
        <f>IF($K106="","",Q106*20%)</f>
      </c>
      <c r="S106" s="3">
        <v>1</v>
      </c>
      <c r="T106" s="3">
        <f>IF($K106="","",R106)</f>
      </c>
      <c r="U106" s="3">
        <f>IF($K106="","",L106-M106-N106-Q106-R106-S106)</f>
      </c>
      <c r="V106" s="3">
        <f>IF($K106="","",(U106-X106)/J106*100)</f>
      </c>
      <c r="W106" s="3">
        <f>IF($K106="","",M106-T106)</f>
      </c>
      <c r="Y106" s="3">
        <f>IF($K106="","",U106-X106)</f>
      </c>
    </row>
    <row r="107" spans="1:25" x14ac:dyDescent="0.25">
      <c r="A107" s="1"/>
      <c r="D107" s="2"/>
      <c r="J107" s="3"/>
      <c r="K107" s="3"/>
      <c r="L107" s="3">
        <f>IF($K107="","",K107-J107)</f>
      </c>
      <c r="M107" s="3">
        <f>IF($K107="","",L107*16.67%)</f>
      </c>
      <c r="N107" s="3">
        <f>IF($K107="","",K107*3.96%)</f>
      </c>
      <c r="O107" s="3">
        <f>IF($K107="","",N107*20%)</f>
      </c>
      <c r="P107" s="3">
        <f>IF($K107="","",N107+O107)</f>
      </c>
      <c r="Q107" s="3"/>
      <c r="R107" s="3">
        <f>IF($K107="","",Q107*20%)</f>
      </c>
      <c r="S107" s="3">
        <v>1</v>
      </c>
      <c r="T107" s="3">
        <f>IF($K107="","",R107)</f>
      </c>
      <c r="U107" s="3">
        <f>IF($K107="","",L107-M107-N107-Q107-R107-S107)</f>
      </c>
      <c r="V107" s="3">
        <f>IF($K107="","",(U107-X107)/J107*100)</f>
      </c>
      <c r="W107" s="3">
        <f>IF($K107="","",M107-T107)</f>
      </c>
      <c r="Y107" s="3">
        <f>IF($K107="","",U107-X107)</f>
      </c>
    </row>
    <row r="108" spans="1:25" x14ac:dyDescent="0.25">
      <c r="A108" s="1"/>
      <c r="D108" s="2"/>
      <c r="J108" s="3"/>
      <c r="K108" s="3"/>
      <c r="L108" s="3">
        <f>IF($K108="","",K108-J108)</f>
      </c>
      <c r="M108" s="3">
        <f>IF($K108="","",L108*16.67%)</f>
      </c>
      <c r="N108" s="3">
        <f>IF($K108="","",K108*3.96%)</f>
      </c>
      <c r="O108" s="3">
        <f>IF($K108="","",N108*20%)</f>
      </c>
      <c r="P108" s="3">
        <f>IF($K108="","",N108+O108)</f>
      </c>
      <c r="Q108" s="3"/>
      <c r="R108" s="3">
        <f>IF($K108="","",Q108*20%)</f>
      </c>
      <c r="S108" s="3">
        <v>1</v>
      </c>
      <c r="T108" s="3">
        <f>IF($K108="","",R108)</f>
      </c>
      <c r="U108" s="3">
        <f>IF($K108="","",L108-M108-N108-Q108-R108-S108)</f>
      </c>
      <c r="V108" s="3">
        <f>IF($K108="","",(U108-X108)/J108*100)</f>
      </c>
      <c r="W108" s="3">
        <f>IF($K108="","",M108-T108)</f>
      </c>
      <c r="Y108" s="3">
        <f>IF($K108="","",U108-X108)</f>
      </c>
    </row>
    <row r="109" spans="1:25" x14ac:dyDescent="0.25">
      <c r="A109" s="1"/>
      <c r="D109" s="2"/>
      <c r="J109" s="3"/>
      <c r="K109" s="3"/>
      <c r="L109" s="3">
        <f>IF($K109="","",K109-J109)</f>
      </c>
      <c r="M109" s="3">
        <f>IF($K109="","",L109*16.67%)</f>
      </c>
      <c r="N109" s="3">
        <f>IF($K109="","",K109*3.96%)</f>
      </c>
      <c r="O109" s="3">
        <f>IF($K109="","",N109*20%)</f>
      </c>
      <c r="P109" s="3">
        <f>IF($K109="","",N109+O109)</f>
      </c>
      <c r="Q109" s="3"/>
      <c r="R109" s="3">
        <f>IF($K109="","",Q109*20%)</f>
      </c>
      <c r="S109" s="3">
        <v>1</v>
      </c>
      <c r="T109" s="3">
        <f>IF($K109="","",R109)</f>
      </c>
      <c r="U109" s="3">
        <f>IF($K109="","",L109-M109-N109-Q109-R109-S109)</f>
      </c>
      <c r="V109" s="3">
        <f>IF($K109="","",(U109-X109)/J109*100)</f>
      </c>
      <c r="W109" s="3">
        <f>IF($K109="","",M109-T109)</f>
      </c>
      <c r="Y109" s="3">
        <f>IF($K109="","",U109-X109)</f>
      </c>
    </row>
    <row r="110" spans="1:25" x14ac:dyDescent="0.25">
      <c r="A110" s="1"/>
      <c r="D110" s="2"/>
      <c r="J110" s="3"/>
      <c r="K110" s="3"/>
      <c r="L110" s="3">
        <f>IF($K110="","",K110-J110)</f>
      </c>
      <c r="M110" s="3">
        <f>IF($K110="","",L110*16.67%)</f>
      </c>
      <c r="N110" s="3">
        <f>IF($K110="","",K110*3.96%)</f>
      </c>
      <c r="O110" s="3">
        <f>IF($K110="","",N110*20%)</f>
      </c>
      <c r="P110" s="3">
        <f>IF($K110="","",N110+O110)</f>
      </c>
      <c r="Q110" s="3"/>
      <c r="R110" s="3">
        <f>IF($K110="","",Q110*20%)</f>
      </c>
      <c r="S110" s="3">
        <v>1</v>
      </c>
      <c r="T110" s="3">
        <f>IF($K110="","",R110)</f>
      </c>
      <c r="U110" s="3">
        <f>IF($K110="","",L110-M110-N110-Q110-R110-S110)</f>
      </c>
      <c r="V110" s="3">
        <f>IF($K110="","",(U110-X110)/J110*100)</f>
      </c>
      <c r="W110" s="3">
        <f>IF($K110="","",M110-T110)</f>
      </c>
      <c r="Y110" s="3">
        <f>IF($K110="","",U110-X110)</f>
      </c>
    </row>
    <row r="111" spans="1:25" x14ac:dyDescent="0.25">
      <c r="A111" s="1"/>
      <c r="D111" s="2"/>
      <c r="J111" s="3"/>
      <c r="K111" s="3"/>
      <c r="L111" s="3">
        <f>IF($K111="","",K111-J111)</f>
      </c>
      <c r="M111" s="3">
        <f>IF($K111="","",L111*16.67%)</f>
      </c>
      <c r="N111" s="3">
        <f>IF($K111="","",K111*3.96%)</f>
      </c>
      <c r="O111" s="3">
        <f>IF($K111="","",N111*20%)</f>
      </c>
      <c r="P111" s="3">
        <f>IF($K111="","",N111+O111)</f>
      </c>
      <c r="Q111" s="3"/>
      <c r="R111" s="3">
        <f>IF($K111="","",Q111*20%)</f>
      </c>
      <c r="S111" s="3">
        <v>1</v>
      </c>
      <c r="T111" s="3">
        <f>IF($K111="","",R111)</f>
      </c>
      <c r="U111" s="3">
        <f>IF($K111="","",L111-M111-N111-Q111-R111-S111)</f>
      </c>
      <c r="V111" s="3">
        <f>IF($K111="","",(U111-X111)/J111*100)</f>
      </c>
      <c r="W111" s="3">
        <f>IF($K111="","",M111-T111)</f>
      </c>
      <c r="Y111" s="3">
        <f>IF($K111="","",U111-X111)</f>
      </c>
    </row>
    <row r="112" spans="1:25" x14ac:dyDescent="0.25">
      <c r="A112" s="1"/>
      <c r="D112" s="2"/>
      <c r="J112" s="3"/>
      <c r="K112" s="3"/>
      <c r="L112" s="3">
        <f>IF($K112="","",K112-J112)</f>
      </c>
      <c r="M112" s="3">
        <f>IF($K112="","",L112*16.67%)</f>
      </c>
      <c r="N112" s="3">
        <f>IF($K112="","",K112*3.96%)</f>
      </c>
      <c r="O112" s="3">
        <f>IF($K112="","",N112*20%)</f>
      </c>
      <c r="P112" s="3">
        <f>IF($K112="","",N112+O112)</f>
      </c>
      <c r="Q112" s="3"/>
      <c r="R112" s="3">
        <f>IF($K112="","",Q112*20%)</f>
      </c>
      <c r="S112" s="3">
        <v>1</v>
      </c>
      <c r="T112" s="3">
        <f>IF($K112="","",R112)</f>
      </c>
      <c r="U112" s="3">
        <f>IF($K112="","",L112-M112-N112-Q112-R112-S112)</f>
      </c>
      <c r="V112" s="3">
        <f>IF($K112="","",(U112-X112)/J112*100)</f>
      </c>
      <c r="W112" s="3">
        <f>IF($K112="","",M112-T112)</f>
      </c>
      <c r="Y112" s="3">
        <f>IF($K112="","",U112-X112)</f>
      </c>
    </row>
    <row r="113" spans="1:25" x14ac:dyDescent="0.25">
      <c r="A113" s="1"/>
      <c r="D113" s="2"/>
      <c r="J113" s="3"/>
      <c r="K113" s="3"/>
      <c r="L113" s="3">
        <f>IF($K113="","",K113-J113)</f>
      </c>
      <c r="M113" s="3">
        <f>IF($K113="","",L113*16.67%)</f>
      </c>
      <c r="N113" s="3">
        <f>IF($K113="","",K113*3.96%)</f>
      </c>
      <c r="O113" s="3">
        <f>IF($K113="","",N113*20%)</f>
      </c>
      <c r="P113" s="3">
        <f>IF($K113="","",N113+O113)</f>
      </c>
      <c r="Q113" s="3"/>
      <c r="R113" s="3">
        <f>IF($K113="","",Q113*20%)</f>
      </c>
      <c r="S113" s="3">
        <v>1</v>
      </c>
      <c r="T113" s="3">
        <f>IF($K113="","",R113)</f>
      </c>
      <c r="U113" s="3">
        <f>IF($K113="","",L113-M113-N113-Q113-R113-S113)</f>
      </c>
      <c r="V113" s="3">
        <f>IF($K113="","",(U113-X113)/J113*100)</f>
      </c>
      <c r="W113" s="3">
        <f>IF($K113="","",M113-T113)</f>
      </c>
      <c r="Y113" s="3">
        <f>IF($K113="","",U113-X113)</f>
      </c>
    </row>
    <row r="114" spans="1:25" x14ac:dyDescent="0.25">
      <c r="A114" s="1"/>
      <c r="D114" s="2"/>
      <c r="J114" s="3"/>
      <c r="K114" s="3"/>
      <c r="L114" s="3">
        <f>IF($K114="","",K114-J114)</f>
      </c>
      <c r="M114" s="3">
        <f>IF($K114="","",L114*16.67%)</f>
      </c>
      <c r="N114" s="3">
        <f>IF($K114="","",K114*3.96%)</f>
      </c>
      <c r="O114" s="3">
        <f>IF($K114="","",N114*20%)</f>
      </c>
      <c r="P114" s="3">
        <f>IF($K114="","",N114+O114)</f>
      </c>
      <c r="Q114" s="3"/>
      <c r="R114" s="3">
        <f>IF($K114="","",Q114*20%)</f>
      </c>
      <c r="S114" s="3">
        <v>1</v>
      </c>
      <c r="T114" s="3">
        <f>IF($K114="","",R114)</f>
      </c>
      <c r="U114" s="3">
        <f>IF($K114="","",L114-M114-N114-Q114-R114-S114)</f>
      </c>
      <c r="V114" s="3">
        <f>IF($K114="","",(U114-X114)/J114*100)</f>
      </c>
      <c r="W114" s="3">
        <f>IF($K114="","",M114-T114)</f>
      </c>
      <c r="Y114" s="3">
        <f>IF($K114="","",U114-X114)</f>
      </c>
    </row>
    <row r="115" spans="1:25" x14ac:dyDescent="0.25">
      <c r="A115" s="1"/>
      <c r="D115" s="2"/>
      <c r="J115" s="3"/>
      <c r="K115" s="3"/>
      <c r="L115" s="3">
        <f>IF($K115="","",K115-J115)</f>
      </c>
      <c r="M115" s="3">
        <f>IF($K115="","",L115*16.67%)</f>
      </c>
      <c r="N115" s="3">
        <f>IF($K115="","",K115*3.96%)</f>
      </c>
      <c r="O115" s="3">
        <f>IF($K115="","",N115*20%)</f>
      </c>
      <c r="P115" s="3">
        <f>IF($K115="","",N115+O115)</f>
      </c>
      <c r="Q115" s="3"/>
      <c r="R115" s="3">
        <f>IF($K115="","",Q115*20%)</f>
      </c>
      <c r="S115" s="3">
        <v>1</v>
      </c>
      <c r="T115" s="3">
        <f>IF($K115="","",R115)</f>
      </c>
      <c r="U115" s="3">
        <f>IF($K115="","",L115-M115-N115-Q115-R115-S115)</f>
      </c>
      <c r="V115" s="3">
        <f>IF($K115="","",(U115-X115)/J115*100)</f>
      </c>
      <c r="W115" s="3">
        <f>IF($K115="","",M115-T115)</f>
      </c>
      <c r="Y115" s="3">
        <f>IF($K115="","",U115-X115)</f>
      </c>
    </row>
    <row r="116" spans="1:25" x14ac:dyDescent="0.25">
      <c r="A116" s="1"/>
      <c r="D116" s="2"/>
      <c r="J116" s="3"/>
      <c r="K116" s="3"/>
      <c r="L116" s="3">
        <f>IF($K116="","",K116-J116)</f>
      </c>
      <c r="M116" s="3">
        <f>IF($K116="","",L116*16.67%)</f>
      </c>
      <c r="N116" s="3">
        <f>IF($K116="","",K116*3.96%)</f>
      </c>
      <c r="O116" s="3">
        <f>IF($K116="","",N116*20%)</f>
      </c>
      <c r="P116" s="3">
        <f>IF($K116="","",N116+O116)</f>
      </c>
      <c r="Q116" s="3"/>
      <c r="R116" s="3">
        <f>IF($K116="","",Q116*20%)</f>
      </c>
      <c r="S116" s="3">
        <v>1</v>
      </c>
      <c r="T116" s="3">
        <f>IF($K116="","",R116)</f>
      </c>
      <c r="U116" s="3">
        <f>IF($K116="","",L116-M116-N116-Q116-R116-S116)</f>
      </c>
      <c r="V116" s="3">
        <f>IF($K116="","",(U116-X116)/J116*100)</f>
      </c>
      <c r="W116" s="3">
        <f>IF($K116="","",M116-T116)</f>
      </c>
      <c r="Y116" s="3">
        <f>IF($K116="","",U116-X116)</f>
      </c>
    </row>
    <row r="117" spans="1:25" x14ac:dyDescent="0.25">
      <c r="A117" s="1"/>
      <c r="D117" s="2"/>
      <c r="J117" s="3"/>
      <c r="K117" s="3"/>
      <c r="L117" s="3">
        <f>IF($K117="","",K117-J117)</f>
      </c>
      <c r="M117" s="3">
        <f>IF($K117="","",L117*16.67%)</f>
      </c>
      <c r="N117" s="3">
        <f>IF($K117="","",K117*3.96%)</f>
      </c>
      <c r="O117" s="3">
        <f>IF($K117="","",N117*20%)</f>
      </c>
      <c r="P117" s="3">
        <f>IF($K117="","",N117+O117)</f>
      </c>
      <c r="Q117" s="3"/>
      <c r="R117" s="3">
        <f>IF($K117="","",Q117*20%)</f>
      </c>
      <c r="S117" s="3">
        <v>1</v>
      </c>
      <c r="T117" s="3">
        <f>IF($K117="","",R117)</f>
      </c>
      <c r="U117" s="3">
        <f>IF($K117="","",L117-M117-N117-Q117-R117-S117)</f>
      </c>
      <c r="V117" s="3">
        <f>IF($K117="","",(U117-X117)/J117*100)</f>
      </c>
      <c r="W117" s="3">
        <f>IF($K117="","",M117-T117)</f>
      </c>
      <c r="Y117" s="3">
        <f>IF($K117="","",U117-X117)</f>
      </c>
    </row>
    <row r="118" spans="1:25" x14ac:dyDescent="0.25">
      <c r="A118" s="1"/>
      <c r="D118" s="2"/>
      <c r="J118" s="3"/>
      <c r="K118" s="3"/>
      <c r="L118" s="3">
        <f>IF($K118="","",K118-J118)</f>
      </c>
      <c r="M118" s="3">
        <f>IF($K118="","",L118*16.67%)</f>
      </c>
      <c r="N118" s="3">
        <f>IF($K118="","",K118*3.96%)</f>
      </c>
      <c r="O118" s="3">
        <f>IF($K118="","",N118*20%)</f>
      </c>
      <c r="P118" s="3">
        <f>IF($K118="","",N118+O118)</f>
      </c>
      <c r="Q118" s="3"/>
      <c r="R118" s="3">
        <f>IF($K118="","",Q118*20%)</f>
      </c>
      <c r="S118" s="3">
        <v>1</v>
      </c>
      <c r="T118" s="3">
        <f>IF($K118="","",R118)</f>
      </c>
      <c r="U118" s="3">
        <f>IF($K118="","",L118-M118-N118-Q118-R118-S118)</f>
      </c>
      <c r="V118" s="3">
        <f>IF($K118="","",(U118-X118)/J118*100)</f>
      </c>
      <c r="W118" s="3">
        <f>IF($K118="","",M118-T118)</f>
      </c>
      <c r="Y118" s="3">
        <f>IF($K118="","",U118-X118)</f>
      </c>
    </row>
    <row r="119" spans="1:25" x14ac:dyDescent="0.25">
      <c r="A119" s="1"/>
      <c r="D119" s="2"/>
      <c r="J119" s="3"/>
      <c r="K119" s="3"/>
      <c r="L119" s="3">
        <f>IF($K119="","",K119-J119)</f>
      </c>
      <c r="M119" s="3">
        <f>IF($K119="","",L119*16.67%)</f>
      </c>
      <c r="N119" s="3">
        <f>IF($K119="","",K119*3.96%)</f>
      </c>
      <c r="O119" s="3">
        <f>IF($K119="","",N119*20%)</f>
      </c>
      <c r="P119" s="3">
        <f>IF($K119="","",N119+O119)</f>
      </c>
      <c r="Q119" s="3"/>
      <c r="R119" s="3">
        <f>IF($K119="","",Q119*20%)</f>
      </c>
      <c r="S119" s="3">
        <v>1</v>
      </c>
      <c r="T119" s="3">
        <f>IF($K119="","",R119)</f>
      </c>
      <c r="U119" s="3">
        <f>IF($K119="","",L119-M119-N119-Q119-R119-S119)</f>
      </c>
      <c r="V119" s="3">
        <f>IF($K119="","",(U119-X119)/J119*100)</f>
      </c>
      <c r="W119" s="3">
        <f>IF($K119="","",M119-T119)</f>
      </c>
      <c r="Y119" s="3">
        <f>IF($K119="","",U119-X119)</f>
      </c>
    </row>
    <row r="120" spans="1:25" x14ac:dyDescent="0.25">
      <c r="A120" s="1"/>
      <c r="D120" s="2"/>
      <c r="J120" s="3"/>
      <c r="K120" s="3"/>
      <c r="L120" s="3">
        <f>IF($K120="","",K120-J120)</f>
      </c>
      <c r="M120" s="3">
        <f>IF($K120="","",L120*16.67%)</f>
      </c>
      <c r="N120" s="3">
        <f>IF($K120="","",K120*3.96%)</f>
      </c>
      <c r="O120" s="3">
        <f>IF($K120="","",N120*20%)</f>
      </c>
      <c r="P120" s="3">
        <f>IF($K120="","",N120+O120)</f>
      </c>
      <c r="Q120" s="3"/>
      <c r="R120" s="3">
        <f>IF($K120="","",Q120*20%)</f>
      </c>
      <c r="S120" s="3">
        <v>1</v>
      </c>
      <c r="T120" s="3">
        <f>IF($K120="","",R120)</f>
      </c>
      <c r="U120" s="3">
        <f>IF($K120="","",L120-M120-N120-Q120-R120-S120)</f>
      </c>
      <c r="V120" s="3">
        <f>IF($K120="","",(U120-X120)/J120*100)</f>
      </c>
      <c r="W120" s="3">
        <f>IF($K120="","",M120-T120)</f>
      </c>
      <c r="Y120" s="3">
        <f>IF($K120="","",U120-X120)</f>
      </c>
    </row>
    <row r="121" spans="1:25" x14ac:dyDescent="0.25">
      <c r="A121" s="1"/>
      <c r="D121" s="2"/>
      <c r="J121" s="3"/>
      <c r="K121" s="3"/>
      <c r="L121" s="3">
        <f>IF($K121="","",K121-J121)</f>
      </c>
      <c r="M121" s="3">
        <f>IF($K121="","",L121*16.67%)</f>
      </c>
      <c r="N121" s="3">
        <f>IF($K121="","",K121*3.96%)</f>
      </c>
      <c r="O121" s="3">
        <f>IF($K121="","",N121*20%)</f>
      </c>
      <c r="P121" s="3">
        <f>IF($K121="","",N121+O121)</f>
      </c>
      <c r="Q121" s="3"/>
      <c r="R121" s="3">
        <f>IF($K121="","",Q121*20%)</f>
      </c>
      <c r="S121" s="3">
        <v>1</v>
      </c>
      <c r="T121" s="3">
        <f>IF($K121="","",R121)</f>
      </c>
      <c r="U121" s="3">
        <f>IF($K121="","",L121-M121-N121-Q121-R121-S121)</f>
      </c>
      <c r="V121" s="3">
        <f>IF($K121="","",(U121-X121)/J121*100)</f>
      </c>
      <c r="W121" s="3">
        <f>IF($K121="","",M121-T121)</f>
      </c>
      <c r="Y121" s="3">
        <f>IF($K121="","",U121-X121)</f>
      </c>
    </row>
    <row r="122" spans="1:25" x14ac:dyDescent="0.25">
      <c r="A122" s="1"/>
      <c r="D122" s="2"/>
      <c r="J122" s="3"/>
      <c r="K122" s="3"/>
      <c r="L122" s="3">
        <f>IF($K122="","",K122-J122)</f>
      </c>
      <c r="M122" s="3">
        <f>IF($K122="","",L122*16.67%)</f>
      </c>
      <c r="N122" s="3">
        <f>IF($K122="","",K122*3.96%)</f>
      </c>
      <c r="O122" s="3">
        <f>IF($K122="","",N122*20%)</f>
      </c>
      <c r="P122" s="3">
        <f>IF($K122="","",N122+O122)</f>
      </c>
      <c r="Q122" s="3"/>
      <c r="R122" s="3">
        <f>IF($K122="","",Q122*20%)</f>
      </c>
      <c r="S122" s="3">
        <v>1</v>
      </c>
      <c r="T122" s="3">
        <f>IF($K122="","",R122)</f>
      </c>
      <c r="U122" s="3">
        <f>IF($K122="","",L122-M122-N122-Q122-R122-S122)</f>
      </c>
      <c r="V122" s="3">
        <f>IF($K122="","",(U122-X122)/J122*100)</f>
      </c>
      <c r="W122" s="3">
        <f>IF($K122="","",M122-T122)</f>
      </c>
      <c r="Y122" s="3">
        <f>IF($K122="","",U122-X122)</f>
      </c>
    </row>
    <row r="123" spans="1:25" x14ac:dyDescent="0.25">
      <c r="A123" s="1"/>
      <c r="D123" s="2"/>
      <c r="J123" s="3"/>
      <c r="K123" s="3"/>
      <c r="L123" s="3">
        <f>IF($K123="","",K123-J123)</f>
      </c>
      <c r="M123" s="3">
        <f>IF($K123="","",L123*16.67%)</f>
      </c>
      <c r="N123" s="3">
        <f>IF($K123="","",K123*3.96%)</f>
      </c>
      <c r="O123" s="3">
        <f>IF($K123="","",N123*20%)</f>
      </c>
      <c r="P123" s="3">
        <f>IF($K123="","",N123+O123)</f>
      </c>
      <c r="Q123" s="3"/>
      <c r="R123" s="3">
        <f>IF($K123="","",Q123*20%)</f>
      </c>
      <c r="S123" s="3">
        <v>1</v>
      </c>
      <c r="T123" s="3">
        <f>IF($K123="","",R123)</f>
      </c>
      <c r="U123" s="3">
        <f>IF($K123="","",L123-M123-N123-Q123-R123-S123)</f>
      </c>
      <c r="V123" s="3">
        <f>IF($K123="","",(U123-X123)/J123*100)</f>
      </c>
      <c r="W123" s="3">
        <f>IF($K123="","",M123-T123)</f>
      </c>
      <c r="Y123" s="3">
        <f>IF($K123="","",U123-X123)</f>
      </c>
    </row>
    <row r="124" spans="1:25" x14ac:dyDescent="0.25">
      <c r="A124" s="1"/>
      <c r="D124" s="2"/>
      <c r="J124" s="3"/>
      <c r="K124" s="3"/>
      <c r="L124" s="3">
        <f>IF($K124="","",K124-J124)</f>
      </c>
      <c r="M124" s="3">
        <f>IF($K124="","",L124*16.67%)</f>
      </c>
      <c r="N124" s="3">
        <f>IF($K124="","",K124*3.96%)</f>
      </c>
      <c r="O124" s="3">
        <f>IF($K124="","",N124*20%)</f>
      </c>
      <c r="P124" s="3">
        <f>IF($K124="","",N124+O124)</f>
      </c>
      <c r="Q124" s="3"/>
      <c r="R124" s="3">
        <f>IF($K124="","",Q124*20%)</f>
      </c>
      <c r="S124" s="3">
        <v>1</v>
      </c>
      <c r="T124" s="3">
        <f>IF($K124="","",R124)</f>
      </c>
      <c r="U124" s="3">
        <f>IF($K124="","",L124-M124-N124-Q124-R124-S124)</f>
      </c>
      <c r="V124" s="3">
        <f>IF($K124="","",(U124-X124)/J124*100)</f>
      </c>
      <c r="W124" s="3">
        <f>IF($K124="","",M124-T124)</f>
      </c>
      <c r="Y124" s="3">
        <f>IF($K124="","",U124-X124)</f>
      </c>
    </row>
    <row r="125" spans="1:25" x14ac:dyDescent="0.25">
      <c r="A125" s="1"/>
      <c r="D125" s="2"/>
      <c r="J125" s="3"/>
      <c r="K125" s="3"/>
      <c r="L125" s="3">
        <f>IF($K125="","",K125-J125)</f>
      </c>
      <c r="M125" s="3">
        <f>IF($K125="","",L125*16.67%)</f>
      </c>
      <c r="N125" s="3">
        <f>IF($K125="","",K125*3.96%)</f>
      </c>
      <c r="O125" s="3">
        <f>IF($K125="","",N125*20%)</f>
      </c>
      <c r="P125" s="3">
        <f>IF($K125="","",N125+O125)</f>
      </c>
      <c r="Q125" s="3"/>
      <c r="R125" s="3">
        <f>IF($K125="","",Q125*20%)</f>
      </c>
      <c r="S125" s="3">
        <v>1</v>
      </c>
      <c r="T125" s="3">
        <f>IF($K125="","",R125)</f>
      </c>
      <c r="U125" s="3">
        <f>IF($K125="","",L125-M125-N125-Q125-R125-S125)</f>
      </c>
      <c r="V125" s="3">
        <f>IF($K125="","",(U125-X125)/J125*100)</f>
      </c>
      <c r="W125" s="3">
        <f>IF($K125="","",M125-T125)</f>
      </c>
      <c r="Y125" s="3">
        <f>IF($K125="","",U125-X125)</f>
      </c>
    </row>
    <row r="126" spans="1:25" x14ac:dyDescent="0.25">
      <c r="A126" s="1"/>
      <c r="D126" s="2"/>
      <c r="J126" s="3"/>
      <c r="K126" s="3"/>
      <c r="L126" s="3">
        <f>IF($K126="","",K126-J126)</f>
      </c>
      <c r="M126" s="3">
        <f>IF($K126="","",L126*16.67%)</f>
      </c>
      <c r="N126" s="3">
        <f>IF($K126="","",K126*3.96%)</f>
      </c>
      <c r="O126" s="3">
        <f>IF($K126="","",N126*20%)</f>
      </c>
      <c r="P126" s="3">
        <f>IF($K126="","",N126+O126)</f>
      </c>
      <c r="Q126" s="3"/>
      <c r="R126" s="3">
        <f>IF($K126="","",Q126*20%)</f>
      </c>
      <c r="S126" s="3">
        <v>1</v>
      </c>
      <c r="T126" s="3">
        <f>IF($K126="","",R126)</f>
      </c>
      <c r="U126" s="3">
        <f>IF($K126="","",L126-M126-N126-Q126-R126-S126)</f>
      </c>
      <c r="V126" s="3">
        <f>IF($K126="","",(U126-X126)/J126*100)</f>
      </c>
      <c r="W126" s="3">
        <f>IF($K126="","",M126-T126)</f>
      </c>
      <c r="Y126" s="3">
        <f>IF($K126="","",U126-X126)</f>
      </c>
    </row>
    <row r="127" spans="1:25" x14ac:dyDescent="0.25">
      <c r="A127" s="1"/>
      <c r="D127" s="2"/>
      <c r="J127" s="3"/>
      <c r="K127" s="3"/>
      <c r="L127" s="3">
        <f>IF($K127="","",K127-J127)</f>
      </c>
      <c r="M127" s="3">
        <f>IF($K127="","",L127*16.67%)</f>
      </c>
      <c r="N127" s="3">
        <f>IF($K127="","",K127*3.96%)</f>
      </c>
      <c r="O127" s="3">
        <f>IF($K127="","",N127*20%)</f>
      </c>
      <c r="P127" s="3">
        <f>IF($K127="","",N127+O127)</f>
      </c>
      <c r="Q127" s="3"/>
      <c r="R127" s="3">
        <f>IF($K127="","",Q127*20%)</f>
      </c>
      <c r="S127" s="3">
        <v>1</v>
      </c>
      <c r="T127" s="3">
        <f>IF($K127="","",R127)</f>
      </c>
      <c r="U127" s="3">
        <f>IF($K127="","",L127-M127-N127-Q127-R127-S127)</f>
      </c>
      <c r="V127" s="3">
        <f>IF($K127="","",(U127-X127)/J127*100)</f>
      </c>
      <c r="W127" s="3">
        <f>IF($K127="","",M127-T127)</f>
      </c>
      <c r="Y127" s="3">
        <f>IF($K127="","",U127-X127)</f>
      </c>
    </row>
    <row r="128" spans="1:25" x14ac:dyDescent="0.25">
      <c r="A128" s="1"/>
      <c r="D128" s="2"/>
      <c r="J128" s="3"/>
      <c r="K128" s="3"/>
      <c r="L128" s="3">
        <f>IF($K128="","",K128-J128)</f>
      </c>
      <c r="M128" s="3">
        <f>IF($K128="","",L128*16.67%)</f>
      </c>
      <c r="N128" s="3">
        <f>IF($K128="","",K128*3.96%)</f>
      </c>
      <c r="O128" s="3">
        <f>IF($K128="","",N128*20%)</f>
      </c>
      <c r="P128" s="3">
        <f>IF($K128="","",N128+O128)</f>
      </c>
      <c r="Q128" s="3"/>
      <c r="R128" s="3">
        <f>IF($K128="","",Q128*20%)</f>
      </c>
      <c r="S128" s="3">
        <v>1</v>
      </c>
      <c r="T128" s="3">
        <f>IF($K128="","",R128)</f>
      </c>
      <c r="U128" s="3">
        <f>IF($K128="","",L128-M128-N128-Q128-R128-S128)</f>
      </c>
      <c r="V128" s="3">
        <f>IF($K128="","",(U128-X128)/J128*100)</f>
      </c>
      <c r="W128" s="3">
        <f>IF($K128="","",M128-T128)</f>
      </c>
      <c r="Y128" s="3">
        <f>IF($K128="","",U128-X128)</f>
      </c>
    </row>
    <row r="129" spans="1:25" x14ac:dyDescent="0.25">
      <c r="A129" s="1"/>
      <c r="D129" s="2"/>
      <c r="J129" s="3"/>
      <c r="K129" s="3"/>
      <c r="L129" s="3">
        <f>IF($K129="","",K129-J129)</f>
      </c>
      <c r="M129" s="3">
        <f>IF($K129="","",L129*16.67%)</f>
      </c>
      <c r="N129" s="3">
        <f>IF($K129="","",K129*3.96%)</f>
      </c>
      <c r="O129" s="3">
        <f>IF($K129="","",N129*20%)</f>
      </c>
      <c r="P129" s="3">
        <f>IF($K129="","",N129+O129)</f>
      </c>
      <c r="Q129" s="3"/>
      <c r="R129" s="3">
        <f>IF($K129="","",Q129*20%)</f>
      </c>
      <c r="S129" s="3">
        <v>1</v>
      </c>
      <c r="T129" s="3">
        <f>IF($K129="","",R129)</f>
      </c>
      <c r="U129" s="3">
        <f>IF($K129="","",L129-M129-N129-Q129-R129-S129)</f>
      </c>
      <c r="V129" s="3">
        <f>IF($K129="","",(U129-X129)/J129*100)</f>
      </c>
      <c r="W129" s="3">
        <f>IF($K129="","",M129-T129)</f>
      </c>
      <c r="Y129" s="3">
        <f>IF($K129="","",U129-X129)</f>
      </c>
    </row>
    <row r="130" spans="1:25" x14ac:dyDescent="0.25">
      <c r="A130" s="1"/>
      <c r="D130" s="2"/>
      <c r="J130" s="3"/>
      <c r="K130" s="3"/>
      <c r="L130" s="3">
        <f>IF($K130="","",K130-J130)</f>
      </c>
      <c r="M130" s="3">
        <f>IF($K130="","",L130*16.67%)</f>
      </c>
      <c r="N130" s="3">
        <f>IF($K130="","",K130*3.96%)</f>
      </c>
      <c r="O130" s="3">
        <f>IF($K130="","",N130*20%)</f>
      </c>
      <c r="P130" s="3">
        <f>IF($K130="","",N130+O130)</f>
      </c>
      <c r="Q130" s="3"/>
      <c r="R130" s="3">
        <f>IF($K130="","",Q130*20%)</f>
      </c>
      <c r="S130" s="3">
        <v>1</v>
      </c>
      <c r="T130" s="3">
        <f>IF($K130="","",R130)</f>
      </c>
      <c r="U130" s="3">
        <f>IF($K130="","",L130-M130-N130-Q130-R130-S130)</f>
      </c>
      <c r="V130" s="3">
        <f>IF($K130="","",(U130-X130)/J130*100)</f>
      </c>
      <c r="W130" s="3">
        <f>IF($K130="","",M130-T130)</f>
      </c>
      <c r="Y130" s="3">
        <f>IF($K130="","",U130-X130)</f>
      </c>
    </row>
    <row r="131" spans="1:25" x14ac:dyDescent="0.25">
      <c r="A131" s="1"/>
      <c r="D131" s="2"/>
      <c r="J131" s="3"/>
      <c r="K131" s="3"/>
      <c r="L131" s="3">
        <f>IF($K131="","",K131-J131)</f>
      </c>
      <c r="M131" s="3">
        <f>IF($K131="","",L131*16.67%)</f>
      </c>
      <c r="N131" s="3">
        <f>IF($K131="","",K131*3.96%)</f>
      </c>
      <c r="O131" s="3">
        <f>IF($K131="","",N131*20%)</f>
      </c>
      <c r="P131" s="3">
        <f>IF($K131="","",N131+O131)</f>
      </c>
      <c r="Q131" s="3"/>
      <c r="R131" s="3">
        <f>IF($K131="","",Q131*20%)</f>
      </c>
      <c r="S131" s="3">
        <v>1</v>
      </c>
      <c r="T131" s="3">
        <f>IF($K131="","",R131)</f>
      </c>
      <c r="U131" s="3">
        <f>IF($K131="","",L131-M131-N131-Q131-R131-S131)</f>
      </c>
      <c r="V131" s="3">
        <f>IF($K131="","",(U131-X131)/J131*100)</f>
      </c>
      <c r="W131" s="3">
        <f>IF($K131="","",M131-T131)</f>
      </c>
      <c r="Y131" s="3">
        <f>IF($K131="","",U131-X131)</f>
      </c>
    </row>
    <row r="132" spans="1:25" x14ac:dyDescent="0.25">
      <c r="A132" s="1"/>
      <c r="D132" s="2"/>
      <c r="J132" s="3"/>
      <c r="K132" s="3"/>
      <c r="L132" s="3">
        <f>IF($K132="","",K132-J132)</f>
      </c>
      <c r="M132" s="3">
        <f>IF($K132="","",L132*16.67%)</f>
      </c>
      <c r="N132" s="3">
        <f>IF($K132="","",K132*3.96%)</f>
      </c>
      <c r="O132" s="3">
        <f>IF($K132="","",N132*20%)</f>
      </c>
      <c r="P132" s="3">
        <f>IF($K132="","",N132+O132)</f>
      </c>
      <c r="Q132" s="3"/>
      <c r="R132" s="3">
        <f>IF($K132="","",Q132*20%)</f>
      </c>
      <c r="S132" s="3">
        <v>1</v>
      </c>
      <c r="T132" s="3">
        <f>IF($K132="","",R132)</f>
      </c>
      <c r="U132" s="3">
        <f>IF($K132="","",L132-M132-N132-Q132-R132-S132)</f>
      </c>
      <c r="V132" s="3">
        <f>IF($K132="","",(U132-X132)/J132*100)</f>
      </c>
      <c r="W132" s="3">
        <f>IF($K132="","",M132-T132)</f>
      </c>
      <c r="Y132" s="3">
        <f>IF($K132="","",U132-X132)</f>
      </c>
    </row>
    <row r="133" spans="1:25" x14ac:dyDescent="0.25">
      <c r="A133" s="1"/>
      <c r="D133" s="2"/>
      <c r="J133" s="3"/>
      <c r="K133" s="3"/>
      <c r="L133" s="3">
        <f>IF($K133="","",K133-J133)</f>
      </c>
      <c r="M133" s="3">
        <f>IF($K133="","",L133*16.67%)</f>
      </c>
      <c r="N133" s="3">
        <f>IF($K133="","",K133*3.96%)</f>
      </c>
      <c r="O133" s="3">
        <f>IF($K133="","",N133*20%)</f>
      </c>
      <c r="P133" s="3">
        <f>IF($K133="","",N133+O133)</f>
      </c>
      <c r="Q133" s="3"/>
      <c r="R133" s="3">
        <f>IF($K133="","",Q133*20%)</f>
      </c>
      <c r="S133" s="3">
        <v>1</v>
      </c>
      <c r="T133" s="3">
        <f>IF($K133="","",R133)</f>
      </c>
      <c r="U133" s="3">
        <f>IF($K133="","",L133-M133-N133-Q133-R133-S133)</f>
      </c>
      <c r="V133" s="3">
        <f>IF($K133="","",(U133-X133)/J133*100)</f>
      </c>
      <c r="W133" s="3">
        <f>IF($K133="","",M133-T133)</f>
      </c>
      <c r="Y133" s="3">
        <f>IF($K133="","",U133-X133)</f>
      </c>
    </row>
    <row r="134" spans="1:25" x14ac:dyDescent="0.25">
      <c r="A134" s="1"/>
      <c r="D134" s="2"/>
      <c r="J134" s="3"/>
      <c r="K134" s="3"/>
      <c r="L134" s="3">
        <f>IF($K134="","",K134-J134)</f>
      </c>
      <c r="M134" s="3">
        <f>IF($K134="","",L134*16.67%)</f>
      </c>
      <c r="N134" s="3">
        <f>IF($K134="","",K134*3.96%)</f>
      </c>
      <c r="O134" s="3">
        <f>IF($K134="","",N134*20%)</f>
      </c>
      <c r="P134" s="3">
        <f>IF($K134="","",N134+O134)</f>
      </c>
      <c r="Q134" s="3"/>
      <c r="R134" s="3">
        <f>IF($K134="","",Q134*20%)</f>
      </c>
      <c r="S134" s="3">
        <v>1</v>
      </c>
      <c r="T134" s="3">
        <f>IF($K134="","",R134)</f>
      </c>
      <c r="U134" s="3">
        <f>IF($K134="","",L134-M134-N134-Q134-R134-S134)</f>
      </c>
      <c r="V134" s="3">
        <f>IF($K134="","",(U134-X134)/J134*100)</f>
      </c>
      <c r="W134" s="3">
        <f>IF($K134="","",M134-T134)</f>
      </c>
      <c r="Y134" s="3">
        <f>IF($K134="","",U134-X134)</f>
      </c>
    </row>
    <row r="135" spans="1:25" x14ac:dyDescent="0.25">
      <c r="A135" s="1"/>
      <c r="D135" s="2"/>
      <c r="J135" s="3"/>
      <c r="K135" s="3"/>
      <c r="L135" s="3">
        <f>IF($K135="","",K135-J135)</f>
      </c>
      <c r="M135" s="3">
        <f>IF($K135="","",L135*16.67%)</f>
      </c>
      <c r="N135" s="3">
        <f>IF($K135="","",K135*3.96%)</f>
      </c>
      <c r="O135" s="3">
        <f>IF($K135="","",N135*20%)</f>
      </c>
      <c r="P135" s="3">
        <f>IF($K135="","",N135+O135)</f>
      </c>
      <c r="Q135" s="3"/>
      <c r="R135" s="3">
        <f>IF($K135="","",Q135*20%)</f>
      </c>
      <c r="S135" s="3">
        <v>1</v>
      </c>
      <c r="T135" s="3">
        <f>IF($K135="","",R135)</f>
      </c>
      <c r="U135" s="3">
        <f>IF($K135="","",L135-M135-N135-Q135-R135-S135)</f>
      </c>
      <c r="V135" s="3">
        <f>IF($K135="","",(U135-X135)/J135*100)</f>
      </c>
      <c r="W135" s="3">
        <f>IF($K135="","",M135-T135)</f>
      </c>
      <c r="Y135" s="3">
        <f>IF($K135="","",U135-X135)</f>
      </c>
    </row>
    <row r="136" spans="1:25" x14ac:dyDescent="0.25">
      <c r="A136" s="1"/>
      <c r="D136" s="2"/>
      <c r="J136" s="3"/>
      <c r="K136" s="3"/>
      <c r="L136" s="3">
        <f>IF($K136="","",K136-J136)</f>
      </c>
      <c r="M136" s="3">
        <f>IF($K136="","",L136*16.67%)</f>
      </c>
      <c r="N136" s="3">
        <f>IF($K136="","",K136*3.96%)</f>
      </c>
      <c r="O136" s="3">
        <f>IF($K136="","",N136*20%)</f>
      </c>
      <c r="P136" s="3">
        <f>IF($K136="","",N136+O136)</f>
      </c>
      <c r="Q136" s="3"/>
      <c r="R136" s="3">
        <f>IF($K136="","",Q136*20%)</f>
      </c>
      <c r="S136" s="3">
        <v>1</v>
      </c>
      <c r="T136" s="3">
        <f>IF($K136="","",R136)</f>
      </c>
      <c r="U136" s="3">
        <f>IF($K136="","",L136-M136-N136-Q136-R136-S136)</f>
      </c>
      <c r="V136" s="3">
        <f>IF($K136="","",(U136-X136)/J136*100)</f>
      </c>
      <c r="W136" s="3">
        <f>IF($K136="","",M136-T136)</f>
      </c>
      <c r="Y136" s="3">
        <f>IF($K136="","",U136-X136)</f>
      </c>
    </row>
    <row r="137" spans="1:25" x14ac:dyDescent="0.25">
      <c r="A137" s="1"/>
      <c r="D137" s="2"/>
      <c r="J137" s="3"/>
      <c r="K137" s="3"/>
      <c r="L137" s="3">
        <f>IF($K137="","",K137-J137)</f>
      </c>
      <c r="M137" s="3">
        <f>IF($K137="","",L137*16.67%)</f>
      </c>
      <c r="N137" s="3">
        <f>IF($K137="","",K137*3.96%)</f>
      </c>
      <c r="O137" s="3">
        <f>IF($K137="","",N137*20%)</f>
      </c>
      <c r="P137" s="3">
        <f>IF($K137="","",N137+O137)</f>
      </c>
      <c r="Q137" s="3"/>
      <c r="R137" s="3">
        <f>IF($K137="","",Q137*20%)</f>
      </c>
      <c r="S137" s="3">
        <v>1</v>
      </c>
      <c r="T137" s="3">
        <f>IF($K137="","",R137)</f>
      </c>
      <c r="U137" s="3">
        <f>IF($K137="","",L137-M137-N137-Q137-R137-S137)</f>
      </c>
      <c r="V137" s="3">
        <f>IF($K137="","",(U137-X137)/J137*100)</f>
      </c>
      <c r="W137" s="3">
        <f>IF($K137="","",M137-T137)</f>
      </c>
      <c r="Y137" s="3">
        <f>IF($K137="","",U137-X137)</f>
      </c>
    </row>
    <row r="138" spans="1:25" x14ac:dyDescent="0.25">
      <c r="A138" s="1"/>
      <c r="D138" s="2"/>
      <c r="J138" s="3"/>
      <c r="K138" s="3"/>
      <c r="L138" s="3">
        <f>IF($K138="","",K138-J138)</f>
      </c>
      <c r="M138" s="3">
        <f>IF($K138="","",L138*16.67%)</f>
      </c>
      <c r="N138" s="3">
        <f>IF($K138="","",K138*3.96%)</f>
      </c>
      <c r="O138" s="3">
        <f>IF($K138="","",N138*20%)</f>
      </c>
      <c r="P138" s="3">
        <f>IF($K138="","",N138+O138)</f>
      </c>
      <c r="Q138" s="3"/>
      <c r="R138" s="3">
        <f>IF($K138="","",Q138*20%)</f>
      </c>
      <c r="S138" s="3">
        <v>1</v>
      </c>
      <c r="T138" s="3">
        <f>IF($K138="","",R138)</f>
      </c>
      <c r="U138" s="3">
        <f>IF($K138="","",L138-M138-N138-Q138-R138-S138)</f>
      </c>
      <c r="V138" s="3">
        <f>IF($K138="","",(U138-X138)/J138*100)</f>
      </c>
      <c r="W138" s="3">
        <f>IF($K138="","",M138-T138)</f>
      </c>
      <c r="Y138" s="3">
        <f>IF($K138="","",U138-X138)</f>
      </c>
    </row>
    <row r="139" spans="1:25" x14ac:dyDescent="0.25">
      <c r="A139" s="1"/>
      <c r="D139" s="2"/>
      <c r="J139" s="3"/>
      <c r="K139" s="3"/>
      <c r="L139" s="3">
        <f>IF($K139="","",K139-J139)</f>
      </c>
      <c r="M139" s="3">
        <f>IF($K139="","",L139*16.67%)</f>
      </c>
      <c r="N139" s="3">
        <f>IF($K139="","",K139*3.96%)</f>
      </c>
      <c r="O139" s="3">
        <f>IF($K139="","",N139*20%)</f>
      </c>
      <c r="P139" s="3">
        <f>IF($K139="","",N139+O139)</f>
      </c>
      <c r="Q139" s="3"/>
      <c r="R139" s="3">
        <f>IF($K139="","",Q139*20%)</f>
      </c>
      <c r="S139" s="3">
        <v>1</v>
      </c>
      <c r="T139" s="3">
        <f>IF($K139="","",R139)</f>
      </c>
      <c r="U139" s="3">
        <f>IF($K139="","",L139-M139-N139-Q139-R139-S139)</f>
      </c>
      <c r="V139" s="3">
        <f>IF($K139="","",(U139-X139)/J139*100)</f>
      </c>
      <c r="W139" s="3">
        <f>IF($K139="","",M139-T139)</f>
      </c>
      <c r="Y139" s="3">
        <f>IF($K139="","",U139-X139)</f>
      </c>
    </row>
    <row r="140" spans="1:25" x14ac:dyDescent="0.25">
      <c r="A140" s="1"/>
      <c r="D140" s="2"/>
      <c r="J140" s="3"/>
      <c r="K140" s="3"/>
      <c r="L140" s="3">
        <f>IF($K140="","",K140-J140)</f>
      </c>
      <c r="M140" s="3">
        <f>IF($K140="","",L140*16.67%)</f>
      </c>
      <c r="N140" s="3">
        <f>IF($K140="","",K140*3.96%)</f>
      </c>
      <c r="O140" s="3">
        <f>IF($K140="","",N140*20%)</f>
      </c>
      <c r="P140" s="3">
        <f>IF($K140="","",N140+O140)</f>
      </c>
      <c r="Q140" s="3"/>
      <c r="R140" s="3">
        <f>IF($K140="","",Q140*20%)</f>
      </c>
      <c r="S140" s="3">
        <v>1</v>
      </c>
      <c r="T140" s="3">
        <f>IF($K140="","",R140)</f>
      </c>
      <c r="U140" s="3">
        <f>IF($K140="","",L140-M140-N140-Q140-R140-S140)</f>
      </c>
      <c r="V140" s="3">
        <f>IF($K140="","",(U140-X140)/J140*100)</f>
      </c>
      <c r="W140" s="3">
        <f>IF($K140="","",M140-T140)</f>
      </c>
      <c r="Y140" s="3">
        <f>IF($K140="","",U140-X140)</f>
      </c>
    </row>
    <row r="141" spans="1:25" x14ac:dyDescent="0.25">
      <c r="A141" s="1"/>
      <c r="D141" s="2"/>
      <c r="J141" s="3"/>
      <c r="K141" s="3"/>
      <c r="L141" s="3">
        <f>IF($K141="","",K141-J141)</f>
      </c>
      <c r="M141" s="3">
        <f>IF($K141="","",L141*16.67%)</f>
      </c>
      <c r="N141" s="3">
        <f>IF($K141="","",K141*3.96%)</f>
      </c>
      <c r="O141" s="3">
        <f>IF($K141="","",N141*20%)</f>
      </c>
      <c r="P141" s="3">
        <f>IF($K141="","",N141+O141)</f>
      </c>
      <c r="Q141" s="3"/>
      <c r="R141" s="3">
        <f>IF($K141="","",Q141*20%)</f>
      </c>
      <c r="S141" s="3">
        <v>1</v>
      </c>
      <c r="T141" s="3">
        <f>IF($K141="","",R141)</f>
      </c>
      <c r="U141" s="3">
        <f>IF($K141="","",L141-M141-N141-Q141-R141-S141)</f>
      </c>
      <c r="V141" s="3">
        <f>IF($K141="","",(U141-X141)/J141*100)</f>
      </c>
      <c r="W141" s="3">
        <f>IF($K141="","",M141-T141)</f>
      </c>
      <c r="Y141" s="3">
        <f>IF($K141="","",U141-X141)</f>
      </c>
    </row>
    <row r="142" spans="1:25" x14ac:dyDescent="0.25">
      <c r="A142" s="1"/>
      <c r="D142" s="2"/>
      <c r="J142" s="3"/>
      <c r="K142" s="3"/>
      <c r="L142" s="3">
        <f>IF($K142="","",K142-J142)</f>
      </c>
      <c r="M142" s="3">
        <f>IF($K142="","",L142*16.67%)</f>
      </c>
      <c r="N142" s="3">
        <f>IF($K142="","",K142*3.96%)</f>
      </c>
      <c r="O142" s="3">
        <f>IF($K142="","",N142*20%)</f>
      </c>
      <c r="P142" s="3">
        <f>IF($K142="","",N142+O142)</f>
      </c>
      <c r="Q142" s="3"/>
      <c r="R142" s="3">
        <f>IF($K142="","",Q142*20%)</f>
      </c>
      <c r="S142" s="3">
        <v>1</v>
      </c>
      <c r="T142" s="3">
        <f>IF($K142="","",R142)</f>
      </c>
      <c r="U142" s="3">
        <f>IF($K142="","",L142-M142-N142-Q142-R142-S142)</f>
      </c>
      <c r="V142" s="3">
        <f>IF($K142="","",(U142-X142)/J142*100)</f>
      </c>
      <c r="W142" s="3">
        <f>IF($K142="","",M142-T142)</f>
      </c>
      <c r="Y142" s="3">
        <f>IF($K142="","",U142-X142)</f>
      </c>
    </row>
    <row r="143" spans="1:25" x14ac:dyDescent="0.25">
      <c r="A143" s="1"/>
      <c r="D143" s="2"/>
      <c r="J143" s="3"/>
      <c r="K143" s="3"/>
      <c r="L143" s="3">
        <f>IF($K143="","",K143-J143)</f>
      </c>
      <c r="M143" s="3">
        <f>IF($K143="","",L143*16.67%)</f>
      </c>
      <c r="N143" s="3">
        <f>IF($K143="","",K143*3.96%)</f>
      </c>
      <c r="O143" s="3">
        <f>IF($K143="","",N143*20%)</f>
      </c>
      <c r="P143" s="3">
        <f>IF($K143="","",N143+O143)</f>
      </c>
      <c r="Q143" s="3"/>
      <c r="R143" s="3">
        <f>IF($K143="","",Q143*20%)</f>
      </c>
      <c r="S143" s="3">
        <v>1</v>
      </c>
      <c r="T143" s="3">
        <f>IF($K143="","",R143)</f>
      </c>
      <c r="U143" s="3">
        <f>IF($K143="","",L143-M143-N143-Q143-R143-S143)</f>
      </c>
      <c r="V143" s="3">
        <f>IF($K143="","",(U143-X143)/J143*100)</f>
      </c>
      <c r="W143" s="3">
        <f>IF($K143="","",M143-T143)</f>
      </c>
      <c r="Y143" s="3">
        <f>IF($K143="","",U143-X143)</f>
      </c>
    </row>
    <row r="144" spans="1:25" x14ac:dyDescent="0.25">
      <c r="A144" s="1"/>
      <c r="D144" s="2"/>
      <c r="J144" s="3"/>
      <c r="K144" s="3"/>
      <c r="L144" s="3">
        <f>IF($K144="","",K144-J144)</f>
      </c>
      <c r="M144" s="3">
        <f>IF($K144="","",L144*16.67%)</f>
      </c>
      <c r="N144" s="3">
        <f>IF($K144="","",K144*3.96%)</f>
      </c>
      <c r="O144" s="3">
        <f>IF($K144="","",N144*20%)</f>
      </c>
      <c r="P144" s="3">
        <f>IF($K144="","",N144+O144)</f>
      </c>
      <c r="Q144" s="3"/>
      <c r="R144" s="3">
        <f>IF($K144="","",Q144*20%)</f>
      </c>
      <c r="S144" s="3">
        <v>1</v>
      </c>
      <c r="T144" s="3">
        <f>IF($K144="","",R144)</f>
      </c>
      <c r="U144" s="3">
        <f>IF($K144="","",L144-M144-N144-Q144-R144-S144)</f>
      </c>
      <c r="V144" s="3">
        <f>IF($K144="","",(U144-X144)/J144*100)</f>
      </c>
      <c r="W144" s="3">
        <f>IF($K144="","",M144-T144)</f>
      </c>
      <c r="Y144" s="3">
        <f>IF($K144="","",U144-X144)</f>
      </c>
    </row>
    <row r="145" spans="1:25" x14ac:dyDescent="0.25">
      <c r="A145" s="1"/>
      <c r="D145" s="2"/>
      <c r="J145" s="3"/>
      <c r="K145" s="3"/>
      <c r="L145" s="3">
        <f>IF($K145="","",K145-J145)</f>
      </c>
      <c r="M145" s="3">
        <f>IF($K145="","",L145*16.67%)</f>
      </c>
      <c r="N145" s="3">
        <f>IF($K145="","",K145*3.96%)</f>
      </c>
      <c r="O145" s="3">
        <f>IF($K145="","",N145*20%)</f>
      </c>
      <c r="P145" s="3">
        <f>IF($K145="","",N145+O145)</f>
      </c>
      <c r="Q145" s="3"/>
      <c r="R145" s="3">
        <f>IF($K145="","",Q145*20%)</f>
      </c>
      <c r="S145" s="3">
        <v>1</v>
      </c>
      <c r="T145" s="3">
        <f>IF($K145="","",R145)</f>
      </c>
      <c r="U145" s="3">
        <f>IF($K145="","",L145-M145-N145-Q145-R145-S145)</f>
      </c>
      <c r="V145" s="3">
        <f>IF($K145="","",(U145-X145)/J145*100)</f>
      </c>
      <c r="W145" s="3">
        <f>IF($K145="","",M145-T145)</f>
      </c>
      <c r="Y145" s="3">
        <f>IF($K145="","",U145-X145)</f>
      </c>
    </row>
    <row r="146" spans="1:25" x14ac:dyDescent="0.25">
      <c r="A146" s="1"/>
      <c r="D146" s="2"/>
      <c r="J146" s="3"/>
      <c r="K146" s="3"/>
      <c r="L146" s="3">
        <f>IF($K146="","",K146-J146)</f>
      </c>
      <c r="M146" s="3">
        <f>IF($K146="","",L146*16.67%)</f>
      </c>
      <c r="N146" s="3">
        <f>IF($K146="","",K146*3.96%)</f>
      </c>
      <c r="O146" s="3">
        <f>IF($K146="","",N146*20%)</f>
      </c>
      <c r="P146" s="3">
        <f>IF($K146="","",N146+O146)</f>
      </c>
      <c r="Q146" s="3"/>
      <c r="R146" s="3">
        <f>IF($K146="","",Q146*20%)</f>
      </c>
      <c r="S146" s="3">
        <v>1</v>
      </c>
      <c r="T146" s="3">
        <f>IF($K146="","",R146)</f>
      </c>
      <c r="U146" s="3">
        <f>IF($K146="","",L146-M146-N146-Q146-R146-S146)</f>
      </c>
      <c r="V146" s="3">
        <f>IF($K146="","",(U146-X146)/J146*100)</f>
      </c>
      <c r="W146" s="3">
        <f>IF($K146="","",M146-T146)</f>
      </c>
      <c r="Y146" s="3">
        <f>IF($K146="","",U146-X146)</f>
      </c>
    </row>
    <row r="147" spans="1:25" x14ac:dyDescent="0.25">
      <c r="A147" s="1"/>
      <c r="D147" s="2"/>
      <c r="J147" s="3"/>
      <c r="K147" s="3"/>
      <c r="L147" s="3">
        <f>IF($K147="","",K147-J147)</f>
      </c>
      <c r="M147" s="3">
        <f>IF($K147="","",L147*16.67%)</f>
      </c>
      <c r="N147" s="3">
        <f>IF($K147="","",K147*3.96%)</f>
      </c>
      <c r="O147" s="3">
        <f>IF($K147="","",N147*20%)</f>
      </c>
      <c r="P147" s="3">
        <f>IF($K147="","",N147+O147)</f>
      </c>
      <c r="Q147" s="3"/>
      <c r="R147" s="3">
        <f>IF($K147="","",Q147*20%)</f>
      </c>
      <c r="S147" s="3">
        <v>1</v>
      </c>
      <c r="T147" s="3">
        <f>IF($K147="","",R147)</f>
      </c>
      <c r="U147" s="3">
        <f>IF($K147="","",L147-M147-N147-Q147-R147-S147)</f>
      </c>
      <c r="V147" s="3">
        <f>IF($K147="","",(U147-X147)/J147*100)</f>
      </c>
      <c r="W147" s="3">
        <f>IF($K147="","",M147-T147)</f>
      </c>
      <c r="Y147" s="3">
        <f>IF($K147="","",U147-X147)</f>
      </c>
    </row>
    <row r="148" spans="1:25" x14ac:dyDescent="0.25">
      <c r="A148" s="1"/>
      <c r="D148" s="2"/>
      <c r="J148" s="3"/>
      <c r="K148" s="3"/>
      <c r="L148" s="3">
        <f>IF($K148="","",K148-J148)</f>
      </c>
      <c r="M148" s="3">
        <f>IF($K148="","",L148*16.67%)</f>
      </c>
      <c r="N148" s="3">
        <f>IF($K148="","",K148*3.96%)</f>
      </c>
      <c r="O148" s="3">
        <f>IF($K148="","",N148*20%)</f>
      </c>
      <c r="P148" s="3">
        <f>IF($K148="","",N148+O148)</f>
      </c>
      <c r="Q148" s="3"/>
      <c r="R148" s="3">
        <f>IF($K148="","",Q148*20%)</f>
      </c>
      <c r="S148" s="3">
        <v>1</v>
      </c>
      <c r="T148" s="3">
        <f>IF($K148="","",R148)</f>
      </c>
      <c r="U148" s="3">
        <f>IF($K148="","",L148-M148-N148-Q148-R148-S148)</f>
      </c>
      <c r="V148" s="3">
        <f>IF($K148="","",(U148-X148)/J148*100)</f>
      </c>
      <c r="W148" s="3">
        <f>IF($K148="","",M148-T148)</f>
      </c>
      <c r="Y148" s="3">
        <f>IF($K148="","",U148-X148)</f>
      </c>
    </row>
    <row r="149" spans="1:25" x14ac:dyDescent="0.25">
      <c r="A149" s="1"/>
      <c r="D149" s="2"/>
      <c r="J149" s="3"/>
      <c r="K149" s="3"/>
      <c r="L149" s="3">
        <f>IF($K149="","",K149-J149)</f>
      </c>
      <c r="M149" s="3">
        <f>IF($K149="","",L149*16.67%)</f>
      </c>
      <c r="N149" s="3">
        <f>IF($K149="","",K149*3.96%)</f>
      </c>
      <c r="O149" s="3">
        <f>IF($K149="","",N149*20%)</f>
      </c>
      <c r="P149" s="3">
        <f>IF($K149="","",N149+O149)</f>
      </c>
      <c r="Q149" s="3"/>
      <c r="R149" s="3">
        <f>IF($K149="","",Q149*20%)</f>
      </c>
      <c r="S149" s="3">
        <v>1</v>
      </c>
      <c r="T149" s="3">
        <f>IF($K149="","",R149)</f>
      </c>
      <c r="U149" s="3">
        <f>IF($K149="","",L149-M149-N149-Q149-R149-S149)</f>
      </c>
      <c r="V149" s="3">
        <f>IF($K149="","",(U149-X149)/J149*100)</f>
      </c>
      <c r="W149" s="3">
        <f>IF($K149="","",M149-T149)</f>
      </c>
      <c r="Y149" s="3">
        <f>IF($K149="","",U149-X149)</f>
      </c>
    </row>
    <row r="150" spans="1:25" x14ac:dyDescent="0.25">
      <c r="A150" s="1"/>
      <c r="D150" s="2"/>
      <c r="J150" s="3"/>
      <c r="K150" s="3"/>
      <c r="L150" s="3">
        <f>IF($K150="","",K150-J150)</f>
      </c>
      <c r="M150" s="3">
        <f>IF($K150="","",L150*16.67%)</f>
      </c>
      <c r="N150" s="3">
        <f>IF($K150="","",K150*3.96%)</f>
      </c>
      <c r="O150" s="3">
        <f>IF($K150="","",N150*20%)</f>
      </c>
      <c r="P150" s="3">
        <f>IF($K150="","",N150+O150)</f>
      </c>
      <c r="Q150" s="3"/>
      <c r="R150" s="3">
        <f>IF($K150="","",Q150*20%)</f>
      </c>
      <c r="S150" s="3">
        <v>1</v>
      </c>
      <c r="T150" s="3">
        <f>IF($K150="","",R150)</f>
      </c>
      <c r="U150" s="3">
        <f>IF($K150="","",L150-M150-N150-Q150-R150-S150)</f>
      </c>
      <c r="V150" s="3">
        <f>IF($K150="","",(U150-X150)/J150*100)</f>
      </c>
      <c r="W150" s="3">
        <f>IF($K150="","",M150-T150)</f>
      </c>
      <c r="Y150" s="3">
        <f>IF($K150="","",U150-X150)</f>
      </c>
    </row>
    <row r="151" spans="1:25" x14ac:dyDescent="0.25">
      <c r="A151" s="1"/>
      <c r="D151" s="2"/>
      <c r="J151" s="3"/>
      <c r="K151" s="3"/>
      <c r="L151" s="3">
        <f>IF($K151="","",K151-J151)</f>
      </c>
      <c r="M151" s="3">
        <f>IF($K151="","",L151*16.67%)</f>
      </c>
      <c r="N151" s="3">
        <f>IF($K151="","",K151*3.96%)</f>
      </c>
      <c r="O151" s="3">
        <f>IF($K151="","",N151*20%)</f>
      </c>
      <c r="P151" s="3">
        <f>IF($K151="","",N151+O151)</f>
      </c>
      <c r="Q151" s="3"/>
      <c r="R151" s="3">
        <f>IF($K151="","",Q151*20%)</f>
      </c>
      <c r="S151" s="3">
        <v>1</v>
      </c>
      <c r="T151" s="3">
        <f>IF($K151="","",R151)</f>
      </c>
      <c r="U151" s="3">
        <f>IF($K151="","",L151-M151-N151-Q151-R151-S151)</f>
      </c>
      <c r="V151" s="3">
        <f>IF($K151="","",(U151-X151)/J151*100)</f>
      </c>
      <c r="W151" s="3">
        <f>IF($K151="","",M151-T151)</f>
      </c>
      <c r="Y151" s="3">
        <f>IF($K151="","",U151-X151)</f>
      </c>
    </row>
    <row r="152" spans="1:25" x14ac:dyDescent="0.25">
      <c r="A152" s="1"/>
      <c r="D152" s="2"/>
      <c r="J152" s="3"/>
      <c r="K152" s="3"/>
      <c r="L152" s="3">
        <f>IF($K152="","",K152-J152)</f>
      </c>
      <c r="M152" s="3">
        <f>IF($K152="","",L152*16.67%)</f>
      </c>
      <c r="N152" s="3">
        <f>IF($K152="","",K152*3.96%)</f>
      </c>
      <c r="O152" s="3">
        <f>IF($K152="","",N152*20%)</f>
      </c>
      <c r="P152" s="3">
        <f>IF($K152="","",N152+O152)</f>
      </c>
      <c r="Q152" s="3"/>
      <c r="R152" s="3">
        <f>IF($K152="","",Q152*20%)</f>
      </c>
      <c r="S152" s="3">
        <v>1</v>
      </c>
      <c r="T152" s="3">
        <f>IF($K152="","",R152)</f>
      </c>
      <c r="U152" s="3">
        <f>IF($K152="","",L152-M152-N152-Q152-R152-S152)</f>
      </c>
      <c r="V152" s="3">
        <f>IF($K152="","",(U152-X152)/J152*100)</f>
      </c>
      <c r="W152" s="3">
        <f>IF($K152="","",M152-T152)</f>
      </c>
      <c r="Y152" s="3">
        <f>IF($K152="","",U152-X152)</f>
      </c>
    </row>
    <row r="153" spans="1:25" x14ac:dyDescent="0.25">
      <c r="A153" s="1"/>
      <c r="D153" s="2"/>
      <c r="J153" s="3"/>
      <c r="K153" s="3"/>
      <c r="L153" s="3">
        <f>IF($K153="","",K153-J153)</f>
      </c>
      <c r="M153" s="3">
        <f>IF($K153="","",L153*16.67%)</f>
      </c>
      <c r="N153" s="3">
        <f>IF($K153="","",K153*3.96%)</f>
      </c>
      <c r="O153" s="3">
        <f>IF($K153="","",N153*20%)</f>
      </c>
      <c r="P153" s="3">
        <f>IF($K153="","",N153+O153)</f>
      </c>
      <c r="Q153" s="3"/>
      <c r="R153" s="3">
        <f>IF($K153="","",Q153*20%)</f>
      </c>
      <c r="S153" s="3">
        <v>1</v>
      </c>
      <c r="T153" s="3">
        <f>IF($K153="","",R153)</f>
      </c>
      <c r="U153" s="3">
        <f>IF($K153="","",L153-M153-N153-Q153-R153-S153)</f>
      </c>
      <c r="V153" s="3">
        <f>IF($K153="","",(U153-X153)/J153*100)</f>
      </c>
      <c r="W153" s="3">
        <f>IF($K153="","",M153-T153)</f>
      </c>
      <c r="Y153" s="3">
        <f>IF($K153="","",U153-X153)</f>
      </c>
    </row>
    <row r="154" spans="1:25" x14ac:dyDescent="0.25">
      <c r="A154" s="1"/>
      <c r="D154" s="2"/>
      <c r="J154" s="3"/>
      <c r="K154" s="3"/>
      <c r="L154" s="3">
        <f>IF($K154="","",K154-J154)</f>
      </c>
      <c r="M154" s="3">
        <f>IF($K154="","",L154*16.67%)</f>
      </c>
      <c r="N154" s="3">
        <f>IF($K154="","",K154*3.96%)</f>
      </c>
      <c r="O154" s="3">
        <f>IF($K154="","",N154*20%)</f>
      </c>
      <c r="P154" s="3">
        <f>IF($K154="","",N154+O154)</f>
      </c>
      <c r="Q154" s="3"/>
      <c r="R154" s="3">
        <f>IF($K154="","",Q154*20%)</f>
      </c>
      <c r="S154" s="3">
        <v>1</v>
      </c>
      <c r="T154" s="3">
        <f>IF($K154="","",R154)</f>
      </c>
      <c r="U154" s="3">
        <f>IF($K154="","",L154-M154-N154-Q154-R154-S154)</f>
      </c>
      <c r="V154" s="3">
        <f>IF($K154="","",(U154-X154)/J154*100)</f>
      </c>
      <c r="W154" s="3">
        <f>IF($K154="","",M154-T154)</f>
      </c>
      <c r="Y154" s="3">
        <f>IF($K154="","",U154-X154)</f>
      </c>
    </row>
    <row r="155" spans="1:25" x14ac:dyDescent="0.25">
      <c r="A155" s="1"/>
      <c r="D155" s="2"/>
      <c r="J155" s="3"/>
      <c r="K155" s="3"/>
      <c r="L155" s="3">
        <f>IF($K155="","",K155-J155)</f>
      </c>
      <c r="M155" s="3">
        <f>IF($K155="","",L155*16.67%)</f>
      </c>
      <c r="N155" s="3">
        <f>IF($K155="","",K155*3.96%)</f>
      </c>
      <c r="O155" s="3">
        <f>IF($K155="","",N155*20%)</f>
      </c>
      <c r="P155" s="3">
        <f>IF($K155="","",N155+O155)</f>
      </c>
      <c r="Q155" s="3"/>
      <c r="R155" s="3">
        <f>IF($K155="","",Q155*20%)</f>
      </c>
      <c r="S155" s="3">
        <v>1</v>
      </c>
      <c r="T155" s="3">
        <f>IF($K155="","",R155)</f>
      </c>
      <c r="U155" s="3">
        <f>IF($K155="","",L155-M155-N155-Q155-R155-S155)</f>
      </c>
      <c r="V155" s="3">
        <f>IF($K155="","",(U155-X155)/J155*100)</f>
      </c>
      <c r="W155" s="3">
        <f>IF($K155="","",M155-T155)</f>
      </c>
      <c r="Y155" s="3">
        <f>IF($K155="","",U155-X155)</f>
      </c>
    </row>
    <row r="156" spans="1:25" x14ac:dyDescent="0.25">
      <c r="A156" s="1"/>
      <c r="D156" s="2"/>
      <c r="J156" s="3"/>
      <c r="K156" s="3"/>
      <c r="L156" s="3">
        <f>IF($K156="","",K156-J156)</f>
      </c>
      <c r="M156" s="3">
        <f>IF($K156="","",L156*16.67%)</f>
      </c>
      <c r="N156" s="3">
        <f>IF($K156="","",K156*3.96%)</f>
      </c>
      <c r="O156" s="3">
        <f>IF($K156="","",N156*20%)</f>
      </c>
      <c r="P156" s="3">
        <f>IF($K156="","",N156+O156)</f>
      </c>
      <c r="Q156" s="3"/>
      <c r="R156" s="3">
        <f>IF($K156="","",Q156*20%)</f>
      </c>
      <c r="S156" s="3">
        <v>1</v>
      </c>
      <c r="T156" s="3">
        <f>IF($K156="","",R156)</f>
      </c>
      <c r="U156" s="3">
        <f>IF($K156="","",L156-M156-N156-Q156-R156-S156)</f>
      </c>
      <c r="V156" s="3">
        <f>IF($K156="","",(U156-X156)/J156*100)</f>
      </c>
      <c r="W156" s="3">
        <f>IF($K156="","",M156-T156)</f>
      </c>
      <c r="Y156" s="3">
        <f>IF($K156="","",U156-X156)</f>
      </c>
    </row>
    <row r="157" spans="1:25" x14ac:dyDescent="0.25">
      <c r="A157" s="1"/>
      <c r="D157" s="2"/>
      <c r="J157" s="3"/>
      <c r="K157" s="3"/>
      <c r="L157" s="3">
        <f>IF($K157="","",K157-J157)</f>
      </c>
      <c r="M157" s="3">
        <f>IF($K157="","",L157*16.67%)</f>
      </c>
      <c r="N157" s="3">
        <f>IF($K157="","",K157*3.96%)</f>
      </c>
      <c r="O157" s="3">
        <f>IF($K157="","",N157*20%)</f>
      </c>
      <c r="P157" s="3">
        <f>IF($K157="","",N157+O157)</f>
      </c>
      <c r="Q157" s="3"/>
      <c r="R157" s="3">
        <f>IF($K157="","",Q157*20%)</f>
      </c>
      <c r="S157" s="3">
        <v>1</v>
      </c>
      <c r="T157" s="3">
        <f>IF($K157="","",R157)</f>
      </c>
      <c r="U157" s="3">
        <f>IF($K157="","",L157-M157-N157-Q157-R157-S157)</f>
      </c>
      <c r="V157" s="3">
        <f>IF($K157="","",(U157-X157)/J157*100)</f>
      </c>
      <c r="W157" s="3">
        <f>IF($K157="","",M157-T157)</f>
      </c>
      <c r="Y157" s="3">
        <f>IF($K157="","",U157-X157)</f>
      </c>
    </row>
    <row r="158" spans="1:25" x14ac:dyDescent="0.25">
      <c r="A158" s="1"/>
      <c r="D158" s="2"/>
      <c r="J158" s="3"/>
      <c r="K158" s="3"/>
      <c r="L158" s="3">
        <f>IF($K158="","",K158-J158)</f>
      </c>
      <c r="M158" s="3">
        <f>IF($K158="","",L158*16.67%)</f>
      </c>
      <c r="N158" s="3">
        <f>IF($K158="","",K158*3.96%)</f>
      </c>
      <c r="O158" s="3">
        <f>IF($K158="","",N158*20%)</f>
      </c>
      <c r="P158" s="3">
        <f>IF($K158="","",N158+O158)</f>
      </c>
      <c r="Q158" s="3"/>
      <c r="R158" s="3">
        <f>IF($K158="","",Q158*20%)</f>
      </c>
      <c r="S158" s="3">
        <v>1</v>
      </c>
      <c r="T158" s="3">
        <f>IF($K158="","",R158)</f>
      </c>
      <c r="U158" s="3">
        <f>IF($K158="","",L158-M158-N158-Q158-R158-S158)</f>
      </c>
      <c r="V158" s="3">
        <f>IF($K158="","",(U158-X158)/J158*100)</f>
      </c>
      <c r="W158" s="3">
        <f>IF($K158="","",M158-T158)</f>
      </c>
      <c r="Y158" s="3">
        <f>IF($K158="","",U158-X158)</f>
      </c>
    </row>
    <row r="159" spans="1:25" x14ac:dyDescent="0.25">
      <c r="A159" s="1"/>
      <c r="D159" s="2"/>
      <c r="J159" s="3"/>
      <c r="K159" s="3"/>
      <c r="L159" s="3">
        <f>IF($K159="","",K159-J159)</f>
      </c>
      <c r="M159" s="3">
        <f>IF($K159="","",L159*16.67%)</f>
      </c>
      <c r="N159" s="3">
        <f>IF($K159="","",K159*3.96%)</f>
      </c>
      <c r="O159" s="3">
        <f>IF($K159="","",N159*20%)</f>
      </c>
      <c r="P159" s="3">
        <f>IF($K159="","",N159+O159)</f>
      </c>
      <c r="Q159" s="3"/>
      <c r="R159" s="3">
        <f>IF($K159="","",Q159*20%)</f>
      </c>
      <c r="S159" s="3">
        <v>1</v>
      </c>
      <c r="T159" s="3">
        <f>IF($K159="","",R159)</f>
      </c>
      <c r="U159" s="3">
        <f>IF($K159="","",L159-M159-N159-Q159-R159-S159)</f>
      </c>
      <c r="V159" s="3">
        <f>IF($K159="","",(U159-X159)/J159*100)</f>
      </c>
      <c r="W159" s="3">
        <f>IF($K159="","",M159-T159)</f>
      </c>
      <c r="Y159" s="3">
        <f>IF($K159="","",U159-X159)</f>
      </c>
    </row>
    <row r="160" spans="1:25" x14ac:dyDescent="0.25">
      <c r="A160" s="1"/>
      <c r="D160" s="2"/>
      <c r="J160" s="3"/>
      <c r="K160" s="3"/>
      <c r="L160" s="3">
        <f>IF($K160="","",K160-J160)</f>
      </c>
      <c r="M160" s="3">
        <f>IF($K160="","",L160*16.67%)</f>
      </c>
      <c r="N160" s="3">
        <f>IF($K160="","",K160*3.96%)</f>
      </c>
      <c r="O160" s="3">
        <f>IF($K160="","",N160*20%)</f>
      </c>
      <c r="P160" s="3">
        <f>IF($K160="","",N160+O160)</f>
      </c>
      <c r="Q160" s="3"/>
      <c r="R160" s="3">
        <f>IF($K160="","",Q160*20%)</f>
      </c>
      <c r="S160" s="3">
        <v>1</v>
      </c>
      <c r="T160" s="3">
        <f>IF($K160="","",R160)</f>
      </c>
      <c r="U160" s="3">
        <f>IF($K160="","",L160-M160-N160-Q160-R160-S160)</f>
      </c>
      <c r="V160" s="3">
        <f>IF($K160="","",(U160-X160)/J160*100)</f>
      </c>
      <c r="W160" s="3">
        <f>IF($K160="","",M160-T160)</f>
      </c>
      <c r="Y160" s="3">
        <f>IF($K160="","",U160-X160)</f>
      </c>
    </row>
    <row r="161" spans="1:25" x14ac:dyDescent="0.25">
      <c r="A161" s="1"/>
      <c r="D161" s="2"/>
      <c r="J161" s="3"/>
      <c r="K161" s="3"/>
      <c r="L161" s="3">
        <f>IF($K161="","",K161-J161)</f>
      </c>
      <c r="M161" s="3">
        <f>IF($K161="","",L161*16.67%)</f>
      </c>
      <c r="N161" s="3">
        <f>IF($K161="","",K161*3.96%)</f>
      </c>
      <c r="O161" s="3">
        <f>IF($K161="","",N161*20%)</f>
      </c>
      <c r="P161" s="3">
        <f>IF($K161="","",N161+O161)</f>
      </c>
      <c r="Q161" s="3"/>
      <c r="R161" s="3">
        <f>IF($K161="","",Q161*20%)</f>
      </c>
      <c r="S161" s="3">
        <v>1</v>
      </c>
      <c r="T161" s="3">
        <f>IF($K161="","",R161)</f>
      </c>
      <c r="U161" s="3">
        <f>IF($K161="","",L161-M161-N161-Q161-R161-S161)</f>
      </c>
      <c r="V161" s="3">
        <f>IF($K161="","",(U161-X161)/J161*100)</f>
      </c>
      <c r="W161" s="3">
        <f>IF($K161="","",M161-T161)</f>
      </c>
      <c r="Y161" s="3">
        <f>IF($K161="","",U161-X161)</f>
      </c>
    </row>
    <row r="162" spans="1:25" x14ac:dyDescent="0.25">
      <c r="A162" s="1"/>
      <c r="D162" s="2"/>
      <c r="J162" s="3"/>
      <c r="K162" s="3"/>
      <c r="L162" s="3">
        <f>IF($K162="","",K162-J162)</f>
      </c>
      <c r="M162" s="3">
        <f>IF($K162="","",L162*16.67%)</f>
      </c>
      <c r="N162" s="3">
        <f>IF($K162="","",K162*3.96%)</f>
      </c>
      <c r="O162" s="3">
        <f>IF($K162="","",N162*20%)</f>
      </c>
      <c r="P162" s="3">
        <f>IF($K162="","",N162+O162)</f>
      </c>
      <c r="Q162" s="3"/>
      <c r="R162" s="3">
        <f>IF($K162="","",Q162*20%)</f>
      </c>
      <c r="S162" s="3">
        <v>1</v>
      </c>
      <c r="T162" s="3">
        <f>IF($K162="","",R162)</f>
      </c>
      <c r="U162" s="3">
        <f>IF($K162="","",L162-M162-N162-Q162-R162-S162)</f>
      </c>
      <c r="V162" s="3">
        <f>IF($K162="","",(U162-X162)/J162*100)</f>
      </c>
      <c r="W162" s="3">
        <f>IF($K162="","",M162-T162)</f>
      </c>
      <c r="Y162" s="3">
        <f>IF($K162="","",U162-X162)</f>
      </c>
    </row>
    <row r="163" spans="1:25" x14ac:dyDescent="0.25">
      <c r="A163" s="1"/>
      <c r="D163" s="2"/>
      <c r="J163" s="3"/>
      <c r="K163" s="3"/>
      <c r="L163" s="3">
        <f>IF($K163="","",K163-J163)</f>
      </c>
      <c r="M163" s="3">
        <f>IF($K163="","",L163*16.67%)</f>
      </c>
      <c r="N163" s="3">
        <f>IF($K163="","",K163*3.96%)</f>
      </c>
      <c r="O163" s="3">
        <f>IF($K163="","",N163*20%)</f>
      </c>
      <c r="P163" s="3">
        <f>IF($K163="","",N163+O163)</f>
      </c>
      <c r="Q163" s="3"/>
      <c r="R163" s="3">
        <f>IF($K163="","",Q163*20%)</f>
      </c>
      <c r="S163" s="3">
        <v>1</v>
      </c>
      <c r="T163" s="3">
        <f>IF($K163="","",R163)</f>
      </c>
      <c r="U163" s="3">
        <f>IF($K163="","",L163-M163-N163-Q163-R163-S163)</f>
      </c>
      <c r="V163" s="3">
        <f>IF($K163="","",(U163-X163)/J163*100)</f>
      </c>
      <c r="W163" s="3">
        <f>IF($K163="","",M163-T163)</f>
      </c>
      <c r="Y163" s="3">
        <f>IF($K163="","",U163-X163)</f>
      </c>
    </row>
    <row r="164" spans="1:25" x14ac:dyDescent="0.25">
      <c r="A164" s="1"/>
      <c r="D164" s="2"/>
      <c r="J164" s="3"/>
      <c r="K164" s="3"/>
      <c r="L164" s="3">
        <f>IF($K164="","",K164-J164)</f>
      </c>
      <c r="M164" s="3">
        <f>IF($K164="","",L164*16.67%)</f>
      </c>
      <c r="N164" s="3">
        <f>IF($K164="","",K164*3.96%)</f>
      </c>
      <c r="O164" s="3">
        <f>IF($K164="","",N164*20%)</f>
      </c>
      <c r="P164" s="3">
        <f>IF($K164="","",N164+O164)</f>
      </c>
      <c r="Q164" s="3"/>
      <c r="R164" s="3">
        <f>IF($K164="","",Q164*20%)</f>
      </c>
      <c r="S164" s="3">
        <v>1</v>
      </c>
      <c r="T164" s="3">
        <f>IF($K164="","",R164)</f>
      </c>
      <c r="U164" s="3">
        <f>IF($K164="","",L164-M164-N164-Q164-R164-S164)</f>
      </c>
      <c r="V164" s="3">
        <f>IF($K164="","",(U164-X164)/J164*100)</f>
      </c>
      <c r="W164" s="3">
        <f>IF($K164="","",M164-T164)</f>
      </c>
      <c r="Y164" s="3">
        <f>IF($K164="","",U164-X164)</f>
      </c>
    </row>
    <row r="165" spans="1:25" x14ac:dyDescent="0.25">
      <c r="A165" s="1"/>
      <c r="D165" s="2"/>
      <c r="J165" s="3"/>
      <c r="K165" s="3"/>
      <c r="L165" s="3">
        <f>IF($K165="","",K165-J165)</f>
      </c>
      <c r="M165" s="3">
        <f>IF($K165="","",L165*16.67%)</f>
      </c>
      <c r="N165" s="3">
        <f>IF($K165="","",K165*3.96%)</f>
      </c>
      <c r="O165" s="3">
        <f>IF($K165="","",N165*20%)</f>
      </c>
      <c r="P165" s="3">
        <f>IF($K165="","",N165+O165)</f>
      </c>
      <c r="Q165" s="3"/>
      <c r="R165" s="3">
        <f>IF($K165="","",Q165*20%)</f>
      </c>
      <c r="S165" s="3">
        <v>1</v>
      </c>
      <c r="T165" s="3">
        <f>IF($K165="","",R165)</f>
      </c>
      <c r="U165" s="3">
        <f>IF($K165="","",L165-M165-N165-Q165-R165-S165)</f>
      </c>
      <c r="V165" s="3">
        <f>IF($K165="","",(U165-X165)/J165*100)</f>
      </c>
      <c r="W165" s="3">
        <f>IF($K165="","",M165-T165)</f>
      </c>
      <c r="Y165" s="3">
        <f>IF($K165="","",U165-X165)</f>
      </c>
    </row>
    <row r="166" spans="1:25" x14ac:dyDescent="0.25">
      <c r="A166" s="1"/>
      <c r="D166" s="2"/>
      <c r="J166" s="3"/>
      <c r="K166" s="3"/>
      <c r="L166" s="3">
        <f>IF($K166="","",K166-J166)</f>
      </c>
      <c r="M166" s="3">
        <f>IF($K166="","",L166*16.67%)</f>
      </c>
      <c r="N166" s="3">
        <f>IF($K166="","",K166*3.96%)</f>
      </c>
      <c r="O166" s="3">
        <f>IF($K166="","",N166*20%)</f>
      </c>
      <c r="P166" s="3">
        <f>IF($K166="","",N166+O166)</f>
      </c>
      <c r="Q166" s="3"/>
      <c r="R166" s="3">
        <f>IF($K166="","",Q166*20%)</f>
      </c>
      <c r="S166" s="3">
        <v>1</v>
      </c>
      <c r="T166" s="3">
        <f>IF($K166="","",R166)</f>
      </c>
      <c r="U166" s="3">
        <f>IF($K166="","",L166-M166-N166-Q166-R166-S166)</f>
      </c>
      <c r="V166" s="3">
        <f>IF($K166="","",(U166-X166)/J166*100)</f>
      </c>
      <c r="W166" s="3">
        <f>IF($K166="","",M166-T166)</f>
      </c>
      <c r="Y166" s="3">
        <f>IF($K166="","",U166-X166)</f>
      </c>
    </row>
    <row r="167" spans="1:25" x14ac:dyDescent="0.25">
      <c r="A167" s="1"/>
      <c r="D167" s="2"/>
      <c r="J167" s="3"/>
      <c r="K167" s="3"/>
      <c r="L167" s="3">
        <f>IF($K167="","",K167-J167)</f>
      </c>
      <c r="M167" s="3">
        <f>IF($K167="","",L167*16.67%)</f>
      </c>
      <c r="N167" s="3">
        <f>IF($K167="","",K167*3.96%)</f>
      </c>
      <c r="O167" s="3">
        <f>IF($K167="","",N167*20%)</f>
      </c>
      <c r="P167" s="3">
        <f>IF($K167="","",N167+O167)</f>
      </c>
      <c r="Q167" s="3"/>
      <c r="R167" s="3">
        <f>IF($K167="","",Q167*20%)</f>
      </c>
      <c r="S167" s="3">
        <v>1</v>
      </c>
      <c r="T167" s="3">
        <f>IF($K167="","",R167)</f>
      </c>
      <c r="U167" s="3">
        <f>IF($K167="","",L167-M167-N167-Q167-R167-S167)</f>
      </c>
      <c r="V167" s="3">
        <f>IF($K167="","",(U167-X167)/J167*100)</f>
      </c>
      <c r="W167" s="3">
        <f>IF($K167="","",M167-T167)</f>
      </c>
      <c r="Y167" s="3">
        <f>IF($K167="","",U167-X167)</f>
      </c>
    </row>
    <row r="168" spans="1:25" x14ac:dyDescent="0.25">
      <c r="A168" s="1"/>
      <c r="D168" s="2"/>
      <c r="J168" s="3"/>
      <c r="K168" s="3"/>
      <c r="L168" s="3">
        <f>IF($K168="","",K168-J168)</f>
      </c>
      <c r="M168" s="3">
        <f>IF($K168="","",L168*16.67%)</f>
      </c>
      <c r="N168" s="3">
        <f>IF($K168="","",K168*3.96%)</f>
      </c>
      <c r="O168" s="3">
        <f>IF($K168="","",N168*20%)</f>
      </c>
      <c r="P168" s="3">
        <f>IF($K168="","",N168+O168)</f>
      </c>
      <c r="Q168" s="3"/>
      <c r="R168" s="3">
        <f>IF($K168="","",Q168*20%)</f>
      </c>
      <c r="S168" s="3">
        <v>1</v>
      </c>
      <c r="T168" s="3">
        <f>IF($K168="","",R168)</f>
      </c>
      <c r="U168" s="3">
        <f>IF($K168="","",L168-M168-N168-Q168-R168-S168)</f>
      </c>
      <c r="V168" s="3">
        <f>IF($K168="","",(U168-X168)/J168*100)</f>
      </c>
      <c r="W168" s="3">
        <f>IF($K168="","",M168-T168)</f>
      </c>
      <c r="Y168" s="3">
        <f>IF($K168="","",U168-X168)</f>
      </c>
    </row>
    <row r="169" spans="1:25" x14ac:dyDescent="0.25">
      <c r="A169" s="1"/>
      <c r="D169" s="2"/>
      <c r="J169" s="3"/>
      <c r="K169" s="3"/>
      <c r="L169" s="3">
        <f>IF($K169="","",K169-J169)</f>
      </c>
      <c r="M169" s="3">
        <f>IF($K169="","",L169*16.67%)</f>
      </c>
      <c r="N169" s="3">
        <f>IF($K169="","",K169*3.96%)</f>
      </c>
      <c r="O169" s="3">
        <f>IF($K169="","",N169*20%)</f>
      </c>
      <c r="P169" s="3">
        <f>IF($K169="","",N169+O169)</f>
      </c>
      <c r="Q169" s="3"/>
      <c r="R169" s="3">
        <f>IF($K169="","",Q169*20%)</f>
      </c>
      <c r="S169" s="3">
        <v>1</v>
      </c>
      <c r="T169" s="3">
        <f>IF($K169="","",R169)</f>
      </c>
      <c r="U169" s="3">
        <f>IF($K169="","",L169-M169-N169-Q169-R169-S169)</f>
      </c>
      <c r="V169" s="3">
        <f>IF($K169="","",(U169-X169)/J169*100)</f>
      </c>
      <c r="W169" s="3">
        <f>IF($K169="","",M169-T169)</f>
      </c>
      <c r="Y169" s="3">
        <f>IF($K169="","",U169-X169)</f>
      </c>
    </row>
    <row r="170" spans="1:25" x14ac:dyDescent="0.25">
      <c r="A170" s="1"/>
      <c r="D170" s="2"/>
      <c r="J170" s="3"/>
      <c r="K170" s="3"/>
      <c r="L170" s="3">
        <f>IF($K170="","",K170-J170)</f>
      </c>
      <c r="M170" s="3">
        <f>IF($K170="","",L170*16.67%)</f>
      </c>
      <c r="N170" s="3">
        <f>IF($K170="","",K170*3.96%)</f>
      </c>
      <c r="O170" s="3">
        <f>IF($K170="","",N170*20%)</f>
      </c>
      <c r="P170" s="3">
        <f>IF($K170="","",N170+O170)</f>
      </c>
      <c r="Q170" s="3"/>
      <c r="R170" s="3">
        <f>IF($K170="","",Q170*20%)</f>
      </c>
      <c r="S170" s="3">
        <v>1</v>
      </c>
      <c r="T170" s="3">
        <f>IF($K170="","",R170)</f>
      </c>
      <c r="U170" s="3">
        <f>IF($K170="","",L170-M170-N170-Q170-R170-S170)</f>
      </c>
      <c r="V170" s="3">
        <f>IF($K170="","",(U170-X170)/J170*100)</f>
      </c>
      <c r="W170" s="3">
        <f>IF($K170="","",M170-T170)</f>
      </c>
      <c r="Y170" s="3">
        <f>IF($K170="","",U170-X170)</f>
      </c>
    </row>
    <row r="171" spans="1:25" x14ac:dyDescent="0.25">
      <c r="A171" s="1"/>
      <c r="D171" s="2"/>
      <c r="J171" s="3"/>
      <c r="K171" s="3"/>
      <c r="L171" s="3">
        <f>IF($K171="","",K171-J171)</f>
      </c>
      <c r="M171" s="3">
        <f>IF($K171="","",L171*16.67%)</f>
      </c>
      <c r="N171" s="3">
        <f>IF($K171="","",K171*3.96%)</f>
      </c>
      <c r="O171" s="3">
        <f>IF($K171="","",N171*20%)</f>
      </c>
      <c r="P171" s="3">
        <f>IF($K171="","",N171+O171)</f>
      </c>
      <c r="Q171" s="3"/>
      <c r="R171" s="3">
        <f>IF($K171="","",Q171*20%)</f>
      </c>
      <c r="S171" s="3">
        <v>1</v>
      </c>
      <c r="T171" s="3">
        <f>IF($K171="","",R171)</f>
      </c>
      <c r="U171" s="3">
        <f>IF($K171="","",L171-M171-N171-Q171-R171-S171)</f>
      </c>
      <c r="V171" s="3">
        <f>IF($K171="","",(U171-X171)/J171*100)</f>
      </c>
      <c r="W171" s="3">
        <f>IF($K171="","",M171-T171)</f>
      </c>
      <c r="Y171" s="3">
        <f>IF($K171="","",U171-X171)</f>
      </c>
    </row>
    <row r="172" spans="1:25" x14ac:dyDescent="0.25">
      <c r="A172" s="1"/>
      <c r="D172" s="2"/>
      <c r="J172" s="3"/>
      <c r="K172" s="3"/>
      <c r="L172" s="3">
        <f>IF($K172="","",K172-J172)</f>
      </c>
      <c r="M172" s="3">
        <f>IF($K172="","",L172*16.67%)</f>
      </c>
      <c r="N172" s="3">
        <f>IF($K172="","",K172*3.96%)</f>
      </c>
      <c r="O172" s="3">
        <f>IF($K172="","",N172*20%)</f>
      </c>
      <c r="P172" s="3">
        <f>IF($K172="","",N172+O172)</f>
      </c>
      <c r="Q172" s="3"/>
      <c r="R172" s="3">
        <f>IF($K172="","",Q172*20%)</f>
      </c>
      <c r="S172" s="3">
        <v>1</v>
      </c>
      <c r="T172" s="3">
        <f>IF($K172="","",R172)</f>
      </c>
      <c r="U172" s="3">
        <f>IF($K172="","",L172-M172-N172-Q172-R172-S172)</f>
      </c>
      <c r="V172" s="3">
        <f>IF($K172="","",(U172-X172)/J172*100)</f>
      </c>
      <c r="W172" s="3">
        <f>IF($K172="","",M172-T172)</f>
      </c>
      <c r="Y172" s="3">
        <f>IF($K172="","",U172-X172)</f>
      </c>
    </row>
    <row r="173" spans="1:25" x14ac:dyDescent="0.25">
      <c r="A173" s="1"/>
      <c r="D173" s="2"/>
      <c r="J173" s="3"/>
      <c r="K173" s="3"/>
      <c r="L173" s="3">
        <f>IF($K173="","",K173-J173)</f>
      </c>
      <c r="M173" s="3">
        <f>IF($K173="","",L173*16.67%)</f>
      </c>
      <c r="N173" s="3">
        <f>IF($K173="","",K173*3.96%)</f>
      </c>
      <c r="O173" s="3">
        <f>IF($K173="","",N173*20%)</f>
      </c>
      <c r="P173" s="3">
        <f>IF($K173="","",N173+O173)</f>
      </c>
      <c r="Q173" s="3"/>
      <c r="R173" s="3">
        <f>IF($K173="","",Q173*20%)</f>
      </c>
      <c r="S173" s="3">
        <v>1</v>
      </c>
      <c r="T173" s="3">
        <f>IF($K173="","",R173)</f>
      </c>
      <c r="U173" s="3">
        <f>IF($K173="","",L173-M173-N173-Q173-R173-S173)</f>
      </c>
      <c r="V173" s="3">
        <f>IF($K173="","",(U173-X173)/J173*100)</f>
      </c>
      <c r="W173" s="3">
        <f>IF($K173="","",M173-T173)</f>
      </c>
      <c r="Y173" s="3">
        <f>IF($K173="","",U173-X173)</f>
      </c>
    </row>
    <row r="174" spans="1:25" x14ac:dyDescent="0.25">
      <c r="A174" s="1"/>
      <c r="D174" s="2"/>
      <c r="J174" s="3"/>
      <c r="K174" s="3"/>
      <c r="L174" s="3">
        <f>IF($K174="","",K174-J174)</f>
      </c>
      <c r="M174" s="3">
        <f>IF($K174="","",L174*16.67%)</f>
      </c>
      <c r="N174" s="3">
        <f>IF($K174="","",K174*3.96%)</f>
      </c>
      <c r="O174" s="3">
        <f>IF($K174="","",N174*20%)</f>
      </c>
      <c r="P174" s="3">
        <f>IF($K174="","",N174+O174)</f>
      </c>
      <c r="Q174" s="3"/>
      <c r="R174" s="3">
        <f>IF($K174="","",Q174*20%)</f>
      </c>
      <c r="S174" s="3">
        <v>1</v>
      </c>
      <c r="T174" s="3">
        <f>IF($K174="","",R174)</f>
      </c>
      <c r="U174" s="3">
        <f>IF($K174="","",L174-M174-N174-Q174-R174-S174)</f>
      </c>
      <c r="V174" s="3">
        <f>IF($K174="","",(U174-X174)/J174*100)</f>
      </c>
      <c r="W174" s="3">
        <f>IF($K174="","",M174-T174)</f>
      </c>
      <c r="Y174" s="3">
        <f>IF($K174="","",U174-X174)</f>
      </c>
    </row>
    <row r="175" spans="1:25" x14ac:dyDescent="0.25">
      <c r="A175" s="1"/>
      <c r="D175" s="2"/>
      <c r="J175" s="3"/>
      <c r="K175" s="3"/>
      <c r="L175" s="3">
        <f>IF($K175="","",K175-J175)</f>
      </c>
      <c r="M175" s="3">
        <f>IF($K175="","",L175*16.67%)</f>
      </c>
      <c r="N175" s="3">
        <f>IF($K175="","",K175*3.96%)</f>
      </c>
      <c r="O175" s="3">
        <f>IF($K175="","",N175*20%)</f>
      </c>
      <c r="P175" s="3">
        <f>IF($K175="","",N175+O175)</f>
      </c>
      <c r="Q175" s="3"/>
      <c r="R175" s="3">
        <f>IF($K175="","",Q175*20%)</f>
      </c>
      <c r="S175" s="3">
        <v>1</v>
      </c>
      <c r="T175" s="3">
        <f>IF($K175="","",R175)</f>
      </c>
      <c r="U175" s="3">
        <f>IF($K175="","",L175-M175-N175-Q175-R175-S175)</f>
      </c>
      <c r="V175" s="3">
        <f>IF($K175="","",(U175-X175)/J175*100)</f>
      </c>
      <c r="W175" s="3">
        <f>IF($K175="","",M175-T175)</f>
      </c>
      <c r="Y175" s="3">
        <f>IF($K175="","",U175-X175)</f>
      </c>
    </row>
    <row r="176" spans="1:25" x14ac:dyDescent="0.25">
      <c r="A176" s="1"/>
      <c r="D176" s="2"/>
      <c r="J176" s="3"/>
      <c r="K176" s="3"/>
      <c r="L176" s="3">
        <f>IF($K176="","",K176-J176)</f>
      </c>
      <c r="M176" s="3">
        <f>IF($K176="","",L176*16.67%)</f>
      </c>
      <c r="N176" s="3">
        <f>IF($K176="","",K176*3.96%)</f>
      </c>
      <c r="O176" s="3">
        <f>IF($K176="","",N176*20%)</f>
      </c>
      <c r="P176" s="3">
        <f>IF($K176="","",N176+O176)</f>
      </c>
      <c r="Q176" s="3"/>
      <c r="R176" s="3">
        <f>IF($K176="","",Q176*20%)</f>
      </c>
      <c r="S176" s="3">
        <v>1</v>
      </c>
      <c r="T176" s="3">
        <f>IF($K176="","",R176)</f>
      </c>
      <c r="U176" s="3">
        <f>IF($K176="","",L176-M176-N176-Q176-R176-S176)</f>
      </c>
      <c r="V176" s="3">
        <f>IF($K176="","",(U176-X176)/J176*100)</f>
      </c>
      <c r="W176" s="3">
        <f>IF($K176="","",M176-T176)</f>
      </c>
      <c r="Y176" s="3">
        <f>IF($K176="","",U176-X176)</f>
      </c>
    </row>
    <row r="177" spans="1:25" x14ac:dyDescent="0.25">
      <c r="A177" s="1"/>
      <c r="D177" s="2"/>
      <c r="J177" s="3"/>
      <c r="K177" s="3"/>
      <c r="L177" s="3">
        <f>IF($K177="","",K177-J177)</f>
      </c>
      <c r="M177" s="3">
        <f>IF($K177="","",L177*16.67%)</f>
      </c>
      <c r="N177" s="3">
        <f>IF($K177="","",K177*3.96%)</f>
      </c>
      <c r="O177" s="3">
        <f>IF($K177="","",N177*20%)</f>
      </c>
      <c r="P177" s="3">
        <f>IF($K177="","",N177+O177)</f>
      </c>
      <c r="Q177" s="3"/>
      <c r="R177" s="3">
        <f>IF($K177="","",Q177*20%)</f>
      </c>
      <c r="S177" s="3">
        <v>1</v>
      </c>
      <c r="T177" s="3">
        <f>IF($K177="","",R177)</f>
      </c>
      <c r="U177" s="3">
        <f>IF($K177="","",L177-M177-N177-Q177-R177-S177)</f>
      </c>
      <c r="V177" s="3">
        <f>IF($K177="","",(U177-X177)/J177*100)</f>
      </c>
      <c r="W177" s="3">
        <f>IF($K177="","",M177-T177)</f>
      </c>
      <c r="Y177" s="3">
        <f>IF($K177="","",U177-X177)</f>
      </c>
    </row>
    <row r="178" spans="1:25" x14ac:dyDescent="0.25">
      <c r="A178" s="1"/>
      <c r="D178" s="2"/>
      <c r="J178" s="3"/>
      <c r="K178" s="3"/>
      <c r="L178" s="3">
        <f>IF($K178="","",K178-J178)</f>
      </c>
      <c r="M178" s="3">
        <f>IF($K178="","",L178*16.67%)</f>
      </c>
      <c r="N178" s="3">
        <f>IF($K178="","",K178*3.96%)</f>
      </c>
      <c r="O178" s="3">
        <f>IF($K178="","",N178*20%)</f>
      </c>
      <c r="P178" s="3">
        <f>IF($K178="","",N178+O178)</f>
      </c>
      <c r="Q178" s="3"/>
      <c r="R178" s="3">
        <f>IF($K178="","",Q178*20%)</f>
      </c>
      <c r="S178" s="3">
        <v>1</v>
      </c>
      <c r="T178" s="3">
        <f>IF($K178="","",R178)</f>
      </c>
      <c r="U178" s="3">
        <f>IF($K178="","",L178-M178-N178-Q178-R178-S178)</f>
      </c>
      <c r="V178" s="3">
        <f>IF($K178="","",(U178-X178)/J178*100)</f>
      </c>
      <c r="W178" s="3">
        <f>IF($K178="","",M178-T178)</f>
      </c>
      <c r="Y178" s="3">
        <f>IF($K178="","",U178-X178)</f>
      </c>
    </row>
    <row r="179" spans="1:25" x14ac:dyDescent="0.25">
      <c r="A179" s="1"/>
      <c r="D179" s="2"/>
      <c r="J179" s="3"/>
      <c r="K179" s="3"/>
      <c r="L179" s="3">
        <f>IF($K179="","",K179-J179)</f>
      </c>
      <c r="M179" s="3">
        <f>IF($K179="","",L179*16.67%)</f>
      </c>
      <c r="N179" s="3">
        <f>IF($K179="","",K179*3.96%)</f>
      </c>
      <c r="O179" s="3">
        <f>IF($K179="","",N179*20%)</f>
      </c>
      <c r="P179" s="3">
        <f>IF($K179="","",N179+O179)</f>
      </c>
      <c r="Q179" s="3"/>
      <c r="R179" s="3">
        <f>IF($K179="","",Q179*20%)</f>
      </c>
      <c r="S179" s="3">
        <v>1</v>
      </c>
      <c r="T179" s="3">
        <f>IF($K179="","",R179)</f>
      </c>
      <c r="U179" s="3">
        <f>IF($K179="","",L179-M179-N179-Q179-R179-S179)</f>
      </c>
      <c r="V179" s="3">
        <f>IF($K179="","",(U179-X179)/J179*100)</f>
      </c>
      <c r="W179" s="3">
        <f>IF($K179="","",M179-T179)</f>
      </c>
      <c r="Y179" s="3">
        <f>IF($K179="","",U179-X179)</f>
      </c>
    </row>
    <row r="180" spans="1:25" x14ac:dyDescent="0.25">
      <c r="A180" s="1"/>
      <c r="D180" s="2"/>
      <c r="J180" s="3"/>
      <c r="K180" s="3"/>
      <c r="L180" s="3">
        <f>IF($K180="","",K180-J180)</f>
      </c>
      <c r="M180" s="3">
        <f>IF($K180="","",L180*16.67%)</f>
      </c>
      <c r="N180" s="3">
        <f>IF($K180="","",K180*3.96%)</f>
      </c>
      <c r="O180" s="3">
        <f>IF($K180="","",N180*20%)</f>
      </c>
      <c r="P180" s="3">
        <f>IF($K180="","",N180+O180)</f>
      </c>
      <c r="Q180" s="3"/>
      <c r="R180" s="3">
        <f>IF($K180="","",Q180*20%)</f>
      </c>
      <c r="S180" s="3">
        <v>1</v>
      </c>
      <c r="T180" s="3">
        <f>IF($K180="","",R180)</f>
      </c>
      <c r="U180" s="3">
        <f>IF($K180="","",L180-M180-N180-Q180-R180-S180)</f>
      </c>
      <c r="V180" s="3">
        <f>IF($K180="","",(U180-X180)/J180*100)</f>
      </c>
      <c r="W180" s="3">
        <f>IF($K180="","",M180-T180)</f>
      </c>
      <c r="Y180" s="3">
        <f>IF($K180="","",U180-X180)</f>
      </c>
    </row>
    <row r="181" spans="1:25" x14ac:dyDescent="0.25">
      <c r="A181" s="1"/>
      <c r="D181" s="2"/>
      <c r="J181" s="3"/>
      <c r="K181" s="3"/>
      <c r="L181" s="3">
        <f>IF($K181="","",K181-J181)</f>
      </c>
      <c r="M181" s="3">
        <f>IF($K181="","",L181*16.67%)</f>
      </c>
      <c r="N181" s="3">
        <f>IF($K181="","",K181*3.96%)</f>
      </c>
      <c r="O181" s="3">
        <f>IF($K181="","",N181*20%)</f>
      </c>
      <c r="P181" s="3">
        <f>IF($K181="","",N181+O181)</f>
      </c>
      <c r="Q181" s="3"/>
      <c r="R181" s="3">
        <f>IF($K181="","",Q181*20%)</f>
      </c>
      <c r="S181" s="3">
        <v>1</v>
      </c>
      <c r="T181" s="3">
        <f>IF($K181="","",R181)</f>
      </c>
      <c r="U181" s="3">
        <f>IF($K181="","",L181-M181-N181-Q181-R181-S181)</f>
      </c>
      <c r="V181" s="3">
        <f>IF($K181="","",(U181-X181)/J181*100)</f>
      </c>
      <c r="W181" s="3">
        <f>IF($K181="","",M181-T181)</f>
      </c>
      <c r="Y181" s="3">
        <f>IF($K181="","",U181-X181)</f>
      </c>
    </row>
    <row r="182" spans="1:25" x14ac:dyDescent="0.25">
      <c r="A182" s="1"/>
      <c r="D182" s="2"/>
      <c r="J182" s="3"/>
      <c r="K182" s="3"/>
      <c r="L182" s="3">
        <f>IF($K182="","",K182-J182)</f>
      </c>
      <c r="M182" s="3">
        <f>IF($K182="","",L182*16.67%)</f>
      </c>
      <c r="N182" s="3">
        <f>IF($K182="","",K182*3.96%)</f>
      </c>
      <c r="O182" s="3">
        <f>IF($K182="","",N182*20%)</f>
      </c>
      <c r="P182" s="3">
        <f>IF($K182="","",N182+O182)</f>
      </c>
      <c r="Q182" s="3"/>
      <c r="R182" s="3">
        <f>IF($K182="","",Q182*20%)</f>
      </c>
      <c r="S182" s="3">
        <v>1</v>
      </c>
      <c r="T182" s="3">
        <f>IF($K182="","",R182)</f>
      </c>
      <c r="U182" s="3">
        <f>IF($K182="","",L182-M182-N182-Q182-R182-S182)</f>
      </c>
      <c r="V182" s="3">
        <f>IF($K182="","",(U182-X182)/J182*100)</f>
      </c>
      <c r="W182" s="3">
        <f>IF($K182="","",M182-T182)</f>
      </c>
      <c r="Y182" s="3">
        <f>IF($K182="","",U182-X182)</f>
      </c>
    </row>
    <row r="183" spans="1:25" x14ac:dyDescent="0.25">
      <c r="A183" s="1"/>
      <c r="D183" s="2"/>
      <c r="J183" s="3"/>
      <c r="K183" s="3"/>
      <c r="L183" s="3">
        <f>IF($K183="","",K183-J183)</f>
      </c>
      <c r="M183" s="3">
        <f>IF($K183="","",L183*16.67%)</f>
      </c>
      <c r="N183" s="3">
        <f>IF($K183="","",K183*3.96%)</f>
      </c>
      <c r="O183" s="3">
        <f>IF($K183="","",N183*20%)</f>
      </c>
      <c r="P183" s="3">
        <f>IF($K183="","",N183+O183)</f>
      </c>
      <c r="Q183" s="3"/>
      <c r="R183" s="3">
        <f>IF($K183="","",Q183*20%)</f>
      </c>
      <c r="S183" s="3">
        <v>1</v>
      </c>
      <c r="T183" s="3">
        <f>IF($K183="","",R183)</f>
      </c>
      <c r="U183" s="3">
        <f>IF($K183="","",L183-M183-N183-Q183-R183-S183)</f>
      </c>
      <c r="V183" s="3">
        <f>IF($K183="","",(U183-X183)/J183*100)</f>
      </c>
      <c r="W183" s="3">
        <f>IF($K183="","",M183-T183)</f>
      </c>
      <c r="Y183" s="3">
        <f>IF($K183="","",U183-X183)</f>
      </c>
    </row>
    <row r="184" spans="1:25" x14ac:dyDescent="0.25">
      <c r="A184" s="1"/>
      <c r="D184" s="2"/>
      <c r="J184" s="3"/>
      <c r="K184" s="3"/>
      <c r="L184" s="3">
        <f>IF($K184="","",K184-J184)</f>
      </c>
      <c r="M184" s="3">
        <f>IF($K184="","",L184*16.67%)</f>
      </c>
      <c r="N184" s="3">
        <f>IF($K184="","",K184*3.96%)</f>
      </c>
      <c r="O184" s="3">
        <f>IF($K184="","",N184*20%)</f>
      </c>
      <c r="P184" s="3">
        <f>IF($K184="","",N184+O184)</f>
      </c>
      <c r="Q184" s="3"/>
      <c r="R184" s="3">
        <f>IF($K184="","",Q184*20%)</f>
      </c>
      <c r="S184" s="3">
        <v>1</v>
      </c>
      <c r="T184" s="3">
        <f>IF($K184="","",R184)</f>
      </c>
      <c r="U184" s="3">
        <f>IF($K184="","",L184-M184-N184-Q184-R184-S184)</f>
      </c>
      <c r="V184" s="3">
        <f>IF($K184="","",(U184-X184)/J184*100)</f>
      </c>
      <c r="W184" s="3">
        <f>IF($K184="","",M184-T184)</f>
      </c>
      <c r="Y184" s="3">
        <f>IF($K184="","",U184-X184)</f>
      </c>
    </row>
    <row r="185" spans="1:25" x14ac:dyDescent="0.25">
      <c r="A185" s="1"/>
      <c r="D185" s="2"/>
      <c r="J185" s="3"/>
      <c r="K185" s="3"/>
      <c r="L185" s="3">
        <f>IF($K185="","",K185-J185)</f>
      </c>
      <c r="M185" s="3">
        <f>IF($K185="","",L185*16.67%)</f>
      </c>
      <c r="N185" s="3">
        <f>IF($K185="","",K185*3.96%)</f>
      </c>
      <c r="O185" s="3">
        <f>IF($K185="","",N185*20%)</f>
      </c>
      <c r="P185" s="3">
        <f>IF($K185="","",N185+O185)</f>
      </c>
      <c r="Q185" s="3"/>
      <c r="R185" s="3">
        <f>IF($K185="","",Q185*20%)</f>
      </c>
      <c r="S185" s="3">
        <v>1</v>
      </c>
      <c r="T185" s="3">
        <f>IF($K185="","",R185)</f>
      </c>
      <c r="U185" s="3">
        <f>IF($K185="","",L185-M185-N185-Q185-R185-S185)</f>
      </c>
      <c r="V185" s="3">
        <f>IF($K185="","",(U185-X185)/J185*100)</f>
      </c>
      <c r="W185" s="3">
        <f>IF($K185="","",M185-T185)</f>
      </c>
      <c r="Y185" s="3">
        <f>IF($K185="","",U185-X185)</f>
      </c>
    </row>
    <row r="186" spans="1:25" x14ac:dyDescent="0.25">
      <c r="A186" s="1"/>
      <c r="D186" s="2"/>
      <c r="J186" s="3"/>
      <c r="K186" s="3"/>
      <c r="L186" s="3">
        <f>IF($K186="","",K186-J186)</f>
      </c>
      <c r="M186" s="3">
        <f>IF($K186="","",L186*16.67%)</f>
      </c>
      <c r="N186" s="3">
        <f>IF($K186="","",K186*3.96%)</f>
      </c>
      <c r="O186" s="3">
        <f>IF($K186="","",N186*20%)</f>
      </c>
      <c r="P186" s="3">
        <f>IF($K186="","",N186+O186)</f>
      </c>
      <c r="Q186" s="3"/>
      <c r="R186" s="3">
        <f>IF($K186="","",Q186*20%)</f>
      </c>
      <c r="S186" s="3">
        <v>1</v>
      </c>
      <c r="T186" s="3">
        <f>IF($K186="","",R186)</f>
      </c>
      <c r="U186" s="3">
        <f>IF($K186="","",L186-M186-N186-Q186-R186-S186)</f>
      </c>
      <c r="V186" s="3">
        <f>IF($K186="","",(U186-X186)/J186*100)</f>
      </c>
      <c r="W186" s="3">
        <f>IF($K186="","",M186-T186)</f>
      </c>
      <c r="Y186" s="3">
        <f>IF($K186="","",U186-X186)</f>
      </c>
    </row>
    <row r="187" spans="1:25" x14ac:dyDescent="0.25">
      <c r="A187" s="1"/>
      <c r="D187" s="2"/>
      <c r="J187" s="3"/>
      <c r="K187" s="3"/>
      <c r="L187" s="3">
        <f>IF($K187="","",K187-J187)</f>
      </c>
      <c r="M187" s="3">
        <f>IF($K187="","",L187*16.67%)</f>
      </c>
      <c r="N187" s="3">
        <f>IF($K187="","",K187*3.96%)</f>
      </c>
      <c r="O187" s="3">
        <f>IF($K187="","",N187*20%)</f>
      </c>
      <c r="P187" s="3">
        <f>IF($K187="","",N187+O187)</f>
      </c>
      <c r="Q187" s="3"/>
      <c r="R187" s="3">
        <f>IF($K187="","",Q187*20%)</f>
      </c>
      <c r="S187" s="3">
        <v>1</v>
      </c>
      <c r="T187" s="3">
        <f>IF($K187="","",R187)</f>
      </c>
      <c r="U187" s="3">
        <f>IF($K187="","",L187-M187-N187-Q187-R187-S187)</f>
      </c>
      <c r="V187" s="3">
        <f>IF($K187="","",(U187-X187)/J187*100)</f>
      </c>
      <c r="W187" s="3">
        <f>IF($K187="","",M187-T187)</f>
      </c>
      <c r="Y187" s="3">
        <f>IF($K187="","",U187-X187)</f>
      </c>
    </row>
    <row r="188" spans="1:25" x14ac:dyDescent="0.25">
      <c r="A188" s="1"/>
      <c r="D188" s="2"/>
      <c r="J188" s="3"/>
      <c r="K188" s="3"/>
      <c r="L188" s="3">
        <f>IF($K188="","",K188-J188)</f>
      </c>
      <c r="M188" s="3">
        <f>IF($K188="","",L188*16.67%)</f>
      </c>
      <c r="N188" s="3">
        <f>IF($K188="","",K188*3.96%)</f>
      </c>
      <c r="O188" s="3">
        <f>IF($K188="","",N188*20%)</f>
      </c>
      <c r="P188" s="3">
        <f>IF($K188="","",N188+O188)</f>
      </c>
      <c r="Q188" s="3"/>
      <c r="R188" s="3">
        <f>IF($K188="","",Q188*20%)</f>
      </c>
      <c r="S188" s="3">
        <v>1</v>
      </c>
      <c r="T188" s="3">
        <f>IF($K188="","",R188)</f>
      </c>
      <c r="U188" s="3">
        <f>IF($K188="","",L188-M188-N188-Q188-R188-S188)</f>
      </c>
      <c r="V188" s="3">
        <f>IF($K188="","",(U188-X188)/J188*100)</f>
      </c>
      <c r="W188" s="3">
        <f>IF($K188="","",M188-T188)</f>
      </c>
      <c r="Y188" s="3">
        <f>IF($K188="","",U188-X188)</f>
      </c>
    </row>
    <row r="189" spans="1:25" x14ac:dyDescent="0.25">
      <c r="A189" s="1"/>
      <c r="D189" s="2"/>
      <c r="J189" s="3"/>
      <c r="K189" s="3"/>
      <c r="L189" s="3">
        <f>IF($K189="","",K189-J189)</f>
      </c>
      <c r="M189" s="3">
        <f>IF($K189="","",L189*16.67%)</f>
      </c>
      <c r="N189" s="3">
        <f>IF($K189="","",K189*3.96%)</f>
      </c>
      <c r="O189" s="3">
        <f>IF($K189="","",N189*20%)</f>
      </c>
      <c r="P189" s="3">
        <f>IF($K189="","",N189+O189)</f>
      </c>
      <c r="Q189" s="3"/>
      <c r="R189" s="3">
        <f>IF($K189="","",Q189*20%)</f>
      </c>
      <c r="S189" s="3">
        <v>1</v>
      </c>
      <c r="T189" s="3">
        <f>IF($K189="","",R189)</f>
      </c>
      <c r="U189" s="3">
        <f>IF($K189="","",L189-M189-N189-Q189-R189-S189)</f>
      </c>
      <c r="V189" s="3">
        <f>IF($K189="","",(U189-X189)/J189*100)</f>
      </c>
      <c r="W189" s="3">
        <f>IF($K189="","",M189-T189)</f>
      </c>
      <c r="Y189" s="3">
        <f>IF($K189="","",U189-X189)</f>
      </c>
    </row>
    <row r="190" spans="1:25" x14ac:dyDescent="0.25">
      <c r="A190" s="1"/>
      <c r="D190" s="2"/>
      <c r="J190" s="3"/>
      <c r="K190" s="3"/>
      <c r="L190" s="3">
        <f>IF($K190="","",K190-J190)</f>
      </c>
      <c r="M190" s="3">
        <f>IF($K190="","",L190*16.67%)</f>
      </c>
      <c r="N190" s="3">
        <f>IF($K190="","",K190*3.96%)</f>
      </c>
      <c r="O190" s="3">
        <f>IF($K190="","",N190*20%)</f>
      </c>
      <c r="P190" s="3">
        <f>IF($K190="","",N190+O190)</f>
      </c>
      <c r="Q190" s="3"/>
      <c r="R190" s="3">
        <f>IF($K190="","",Q190*20%)</f>
      </c>
      <c r="S190" s="3">
        <v>1</v>
      </c>
      <c r="T190" s="3">
        <f>IF($K190="","",R190)</f>
      </c>
      <c r="U190" s="3">
        <f>IF($K190="","",L190-M190-N190-Q190-R190-S190)</f>
      </c>
      <c r="V190" s="3">
        <f>IF($K190="","",(U190-X190)/J190*100)</f>
      </c>
      <c r="W190" s="3">
        <f>IF($K190="","",M190-T190)</f>
      </c>
      <c r="Y190" s="3">
        <f>IF($K190="","",U190-X190)</f>
      </c>
    </row>
    <row r="191" spans="1:25" x14ac:dyDescent="0.25">
      <c r="A191" s="1"/>
      <c r="D191" s="2"/>
      <c r="J191" s="3"/>
      <c r="K191" s="3"/>
      <c r="L191" s="3">
        <f>IF($K191="","",K191-J191)</f>
      </c>
      <c r="M191" s="3">
        <f>IF($K191="","",L191*16.67%)</f>
      </c>
      <c r="N191" s="3">
        <f>IF($K191="","",K191*3.96%)</f>
      </c>
      <c r="O191" s="3">
        <f>IF($K191="","",N191*20%)</f>
      </c>
      <c r="P191" s="3">
        <f>IF($K191="","",N191+O191)</f>
      </c>
      <c r="Q191" s="3"/>
      <c r="R191" s="3">
        <f>IF($K191="","",Q191*20%)</f>
      </c>
      <c r="S191" s="3">
        <v>1</v>
      </c>
      <c r="T191" s="3">
        <f>IF($K191="","",R191)</f>
      </c>
      <c r="U191" s="3">
        <f>IF($K191="","",L191-M191-N191-Q191-R191-S191)</f>
      </c>
      <c r="V191" s="3">
        <f>IF($K191="","",(U191-X191)/J191*100)</f>
      </c>
      <c r="W191" s="3">
        <f>IF($K191="","",M191-T191)</f>
      </c>
      <c r="Y191" s="3">
        <f>IF($K191="","",U191-X191)</f>
      </c>
    </row>
    <row r="192" spans="1:25" x14ac:dyDescent="0.25">
      <c r="A192" s="1"/>
      <c r="D192" s="2"/>
      <c r="J192" s="3"/>
      <c r="K192" s="3"/>
      <c r="L192" s="3">
        <f>IF($K192="","",K192-J192)</f>
      </c>
      <c r="M192" s="3">
        <f>IF($K192="","",L192*16.67%)</f>
      </c>
      <c r="N192" s="3">
        <f>IF($K192="","",K192*3.96%)</f>
      </c>
      <c r="O192" s="3">
        <f>IF($K192="","",N192*20%)</f>
      </c>
      <c r="P192" s="3">
        <f>IF($K192="","",N192+O192)</f>
      </c>
      <c r="Q192" s="3"/>
      <c r="R192" s="3">
        <f>IF($K192="","",Q192*20%)</f>
      </c>
      <c r="S192" s="3">
        <v>1</v>
      </c>
      <c r="T192" s="3">
        <f>IF($K192="","",R192)</f>
      </c>
      <c r="U192" s="3">
        <f>IF($K192="","",L192-M192-N192-Q192-R192-S192)</f>
      </c>
      <c r="V192" s="3">
        <f>IF($K192="","",(U192-X192)/J192*100)</f>
      </c>
      <c r="W192" s="3">
        <f>IF($K192="","",M192-T192)</f>
      </c>
      <c r="Y192" s="3">
        <f>IF($K192="","",U192-X192)</f>
      </c>
    </row>
    <row r="193" spans="1:25" x14ac:dyDescent="0.25">
      <c r="A193" s="1"/>
      <c r="D193" s="2"/>
      <c r="J193" s="3"/>
      <c r="K193" s="3"/>
      <c r="L193" s="3">
        <f>IF($K193="","",K193-J193)</f>
      </c>
      <c r="M193" s="3">
        <f>IF($K193="","",L193*16.67%)</f>
      </c>
      <c r="N193" s="3">
        <f>IF($K193="","",K193*3.96%)</f>
      </c>
      <c r="O193" s="3">
        <f>IF($K193="","",N193*20%)</f>
      </c>
      <c r="P193" s="3">
        <f>IF($K193="","",N193+O193)</f>
      </c>
      <c r="Q193" s="3"/>
      <c r="R193" s="3">
        <f>IF($K193="","",Q193*20%)</f>
      </c>
      <c r="S193" s="3">
        <v>1</v>
      </c>
      <c r="T193" s="3">
        <f>IF($K193="","",R193)</f>
      </c>
      <c r="U193" s="3">
        <f>IF($K193="","",L193-M193-N193-Q193-R193-S193)</f>
      </c>
      <c r="V193" s="3">
        <f>IF($K193="","",(U193-X193)/J193*100)</f>
      </c>
      <c r="W193" s="3">
        <f>IF($K193="","",M193-T193)</f>
      </c>
      <c r="Y193" s="3">
        <f>IF($K193="","",U193-X193)</f>
      </c>
    </row>
    <row r="194" spans="1:25" x14ac:dyDescent="0.25">
      <c r="A194" s="1"/>
      <c r="D194" s="2"/>
      <c r="J194" s="3"/>
      <c r="K194" s="3"/>
      <c r="L194" s="3">
        <f>IF($K194="","",K194-J194)</f>
      </c>
      <c r="M194" s="3">
        <f>IF($K194="","",L194*16.67%)</f>
      </c>
      <c r="N194" s="3">
        <f>IF($K194="","",K194*3.96%)</f>
      </c>
      <c r="O194" s="3">
        <f>IF($K194="","",N194*20%)</f>
      </c>
      <c r="P194" s="3">
        <f>IF($K194="","",N194+O194)</f>
      </c>
      <c r="Q194" s="3"/>
      <c r="R194" s="3">
        <f>IF($K194="","",Q194*20%)</f>
      </c>
      <c r="S194" s="3">
        <v>1</v>
      </c>
      <c r="T194" s="3">
        <f>IF($K194="","",R194)</f>
      </c>
      <c r="U194" s="3">
        <f>IF($K194="","",L194-M194-N194-Q194-R194-S194)</f>
      </c>
      <c r="V194" s="3">
        <f>IF($K194="","",(U194-X194)/J194*100)</f>
      </c>
      <c r="W194" s="3">
        <f>IF($K194="","",M194-T194)</f>
      </c>
      <c r="Y194" s="3">
        <f>IF($K194="","",U194-X194)</f>
      </c>
    </row>
    <row r="195" spans="1:25" x14ac:dyDescent="0.25">
      <c r="A195" s="1"/>
      <c r="D195" s="2"/>
      <c r="J195" s="3"/>
      <c r="K195" s="3"/>
      <c r="L195" s="3">
        <f>IF($K195="","",K195-J195)</f>
      </c>
      <c r="M195" s="3">
        <f>IF($K195="","",L195*16.67%)</f>
      </c>
      <c r="N195" s="3">
        <f>IF($K195="","",K195*3.96%)</f>
      </c>
      <c r="O195" s="3">
        <f>IF($K195="","",N195*20%)</f>
      </c>
      <c r="P195" s="3">
        <f>IF($K195="","",N195+O195)</f>
      </c>
      <c r="Q195" s="3"/>
      <c r="R195" s="3">
        <f>IF($K195="","",Q195*20%)</f>
      </c>
      <c r="S195" s="3">
        <v>1</v>
      </c>
      <c r="T195" s="3">
        <f>IF($K195="","",R195)</f>
      </c>
      <c r="U195" s="3">
        <f>IF($K195="","",L195-M195-N195-Q195-R195-S195)</f>
      </c>
      <c r="V195" s="3">
        <f>IF($K195="","",(U195-X195)/J195*100)</f>
      </c>
      <c r="W195" s="3">
        <f>IF($K195="","",M195-T195)</f>
      </c>
      <c r="Y195" s="3">
        <f>IF($K195="","",U195-X195)</f>
      </c>
    </row>
    <row r="196" spans="1:25" x14ac:dyDescent="0.25">
      <c r="A196" s="1"/>
      <c r="D196" s="2"/>
      <c r="J196" s="3"/>
      <c r="K196" s="3"/>
      <c r="L196" s="3">
        <f>IF($K196="","",K196-J196)</f>
      </c>
      <c r="M196" s="3">
        <f>IF($K196="","",L196*16.67%)</f>
      </c>
      <c r="N196" s="3">
        <f>IF($K196="","",K196*3.96%)</f>
      </c>
      <c r="O196" s="3">
        <f>IF($K196="","",N196*20%)</f>
      </c>
      <c r="P196" s="3">
        <f>IF($K196="","",N196+O196)</f>
      </c>
      <c r="Q196" s="3"/>
      <c r="R196" s="3">
        <f>IF($K196="","",Q196*20%)</f>
      </c>
      <c r="S196" s="3">
        <v>1</v>
      </c>
      <c r="T196" s="3">
        <f>IF($K196="","",R196)</f>
      </c>
      <c r="U196" s="3">
        <f>IF($K196="","",L196-M196-N196-Q196-R196-S196)</f>
      </c>
      <c r="V196" s="3">
        <f>IF($K196="","",(U196-X196)/J196*100)</f>
      </c>
      <c r="W196" s="3">
        <f>IF($K196="","",M196-T196)</f>
      </c>
      <c r="Y196" s="3">
        <f>IF($K196="","",U196-X196)</f>
      </c>
    </row>
    <row r="197" spans="1:25" x14ac:dyDescent="0.25">
      <c r="A197" s="1"/>
      <c r="D197" s="2"/>
      <c r="J197" s="3"/>
      <c r="K197" s="3"/>
      <c r="L197" s="3">
        <f>IF($K197="","",K197-J197)</f>
      </c>
      <c r="M197" s="3">
        <f>IF($K197="","",L197*16.67%)</f>
      </c>
      <c r="N197" s="3">
        <f>IF($K197="","",K197*3.96%)</f>
      </c>
      <c r="O197" s="3">
        <f>IF($K197="","",N197*20%)</f>
      </c>
      <c r="P197" s="3">
        <f>IF($K197="","",N197+O197)</f>
      </c>
      <c r="Q197" s="3"/>
      <c r="R197" s="3">
        <f>IF($K197="","",Q197*20%)</f>
      </c>
      <c r="S197" s="3">
        <v>1</v>
      </c>
      <c r="T197" s="3">
        <f>IF($K197="","",R197)</f>
      </c>
      <c r="U197" s="3">
        <f>IF($K197="","",L197-M197-N197-Q197-R197-S197)</f>
      </c>
      <c r="V197" s="3">
        <f>IF($K197="","",(U197-X197)/J197*100)</f>
      </c>
      <c r="W197" s="3">
        <f>IF($K197="","",M197-T197)</f>
      </c>
      <c r="Y197" s="3">
        <f>IF($K197="","",U197-X197)</f>
      </c>
    </row>
    <row r="198" spans="1:25" x14ac:dyDescent="0.25">
      <c r="A198" s="1"/>
      <c r="D198" s="2"/>
      <c r="J198" s="3"/>
      <c r="K198" s="3"/>
      <c r="L198" s="3">
        <f>IF($K198="","",K198-J198)</f>
      </c>
      <c r="M198" s="3">
        <f>IF($K198="","",L198*16.67%)</f>
      </c>
      <c r="N198" s="3">
        <f>IF($K198="","",K198*3.96%)</f>
      </c>
      <c r="O198" s="3">
        <f>IF($K198="","",N198*20%)</f>
      </c>
      <c r="P198" s="3">
        <f>IF($K198="","",N198+O198)</f>
      </c>
      <c r="Q198" s="3"/>
      <c r="R198" s="3">
        <f>IF($K198="","",Q198*20%)</f>
      </c>
      <c r="S198" s="3">
        <v>1</v>
      </c>
      <c r="T198" s="3">
        <f>IF($K198="","",R198)</f>
      </c>
      <c r="U198" s="3">
        <f>IF($K198="","",L198-M198-N198-Q198-R198-S198)</f>
      </c>
      <c r="V198" s="3">
        <f>IF($K198="","",(U198-X198)/J198*100)</f>
      </c>
      <c r="W198" s="3">
        <f>IF($K198="","",M198-T198)</f>
      </c>
      <c r="Y198" s="3">
        <f>IF($K198="","",U198-X198)</f>
      </c>
    </row>
    <row r="199" spans="1:25" x14ac:dyDescent="0.25">
      <c r="A199" s="1"/>
      <c r="D199" s="2"/>
      <c r="J199" s="3"/>
      <c r="K199" s="3"/>
      <c r="L199" s="3">
        <f>IF($K199="","",K199-J199)</f>
      </c>
      <c r="M199" s="3">
        <f>IF($K199="","",L199*16.67%)</f>
      </c>
      <c r="N199" s="3">
        <f>IF($K199="","",K199*3.96%)</f>
      </c>
      <c r="O199" s="3">
        <f>IF($K199="","",N199*20%)</f>
      </c>
      <c r="P199" s="3">
        <f>IF($K199="","",N199+O199)</f>
      </c>
      <c r="Q199" s="3"/>
      <c r="R199" s="3">
        <f>IF($K199="","",Q199*20%)</f>
      </c>
      <c r="S199" s="3">
        <v>1</v>
      </c>
      <c r="T199" s="3">
        <f>IF($K199="","",R199)</f>
      </c>
      <c r="U199" s="3">
        <f>IF($K199="","",L199-M199-N199-Q199-R199-S199)</f>
      </c>
      <c r="V199" s="3">
        <f>IF($K199="","",(U199-X199)/J199*100)</f>
      </c>
      <c r="W199" s="3">
        <f>IF($K199="","",M199-T199)</f>
      </c>
      <c r="Y199" s="3">
        <f>IF($K199="","",U199-X199)</f>
      </c>
    </row>
    <row r="200" spans="1:25" x14ac:dyDescent="0.25">
      <c r="A200" s="1"/>
      <c r="D200" s="2"/>
      <c r="J200" s="3"/>
      <c r="K200" s="3"/>
      <c r="L200" s="3">
        <f>IF($K200="","",K200-J200)</f>
      </c>
      <c r="M200" s="3">
        <f>IF($K200="","",L200*16.67%)</f>
      </c>
      <c r="N200" s="3">
        <f>IF($K200="","",K200*3.96%)</f>
      </c>
      <c r="O200" s="3">
        <f>IF($K200="","",N200*20%)</f>
      </c>
      <c r="P200" s="3">
        <f>IF($K200="","",N200+O200)</f>
      </c>
      <c r="Q200" s="3"/>
      <c r="R200" s="3">
        <f>IF($K200="","",Q200*20%)</f>
      </c>
      <c r="S200" s="3">
        <v>1</v>
      </c>
      <c r="T200" s="3">
        <f>IF($K200="","",R200)</f>
      </c>
      <c r="U200" s="3">
        <f>IF($K200="","",L200-M200-N200-Q200-R200-S200)</f>
      </c>
      <c r="V200" s="3">
        <f>IF($K200="","",(U200-X200)/J200*100)</f>
      </c>
      <c r="W200" s="3">
        <f>IF($K200="","",M200-T200)</f>
      </c>
      <c r="Y200" s="3">
        <f>IF($K200="","",U200-X200)</f>
      </c>
    </row>
    <row r="201" spans="1:25" x14ac:dyDescent="0.25">
      <c r="A201" s="1"/>
      <c r="D201" s="2"/>
      <c r="J201" s="3"/>
      <c r="K201" s="3"/>
      <c r="L201" s="3">
        <f>IF($K201="","",K201-J201)</f>
      </c>
      <c r="M201" s="3">
        <f>IF($K201="","",L201*16.67%)</f>
      </c>
      <c r="N201" s="3">
        <f>IF($K201="","",K201*3.96%)</f>
      </c>
      <c r="O201" s="3">
        <f>IF($K201="","",N201*20%)</f>
      </c>
      <c r="P201" s="3">
        <f>IF($K201="","",N201+O201)</f>
      </c>
      <c r="Q201" s="3"/>
      <c r="R201" s="3">
        <f>IF($K201="","",Q201*20%)</f>
      </c>
      <c r="S201" s="3">
        <v>1</v>
      </c>
      <c r="T201" s="3">
        <f>IF($K201="","",R201)</f>
      </c>
      <c r="U201" s="3">
        <f>IF($K201="","",L201-M201-N201-Q201-R201-S201)</f>
      </c>
      <c r="V201" s="3">
        <f>IF($K201="","",(U201-X201)/J201*100)</f>
      </c>
      <c r="W201" s="3">
        <f>IF($K201="","",M201-T201)</f>
      </c>
      <c r="Y201" s="3">
        <f>IF($K201="","",U201-X201)</f>
      </c>
    </row>
    <row r="202" spans="1:25" x14ac:dyDescent="0.25">
      <c r="A202" s="1"/>
      <c r="D202" s="2"/>
      <c r="J202" s="3"/>
      <c r="K202" s="3"/>
      <c r="L202" s="3">
        <f>IF($K202="","",K202-J202)</f>
      </c>
      <c r="M202" s="3">
        <f>IF($K202="","",L202*16.67%)</f>
      </c>
      <c r="N202" s="3">
        <f>IF($K202="","",K202*3.96%)</f>
      </c>
      <c r="O202" s="3">
        <f>IF($K202="","",N202*20%)</f>
      </c>
      <c r="P202" s="3">
        <f>IF($K202="","",N202+O202)</f>
      </c>
      <c r="Q202" s="3"/>
      <c r="R202" s="3">
        <f>IF($K202="","",Q202*20%)</f>
      </c>
      <c r="S202" s="3">
        <v>1</v>
      </c>
      <c r="T202" s="3">
        <f>IF($K202="","",R202)</f>
      </c>
      <c r="U202" s="3">
        <f>IF($K202="","",L202-M202-N202-Q202-R202-S202)</f>
      </c>
      <c r="V202" s="3">
        <f>IF($K202="","",(U202-X202)/J202*100)</f>
      </c>
      <c r="W202" s="3">
        <f>IF($K202="","",M202-T202)</f>
      </c>
      <c r="Y202" s="3">
        <f>IF($K202="","",U202-X202)</f>
      </c>
    </row>
    <row r="203" spans="1:30" s="4" customFormat="1" x14ac:dyDescent="0.25">
      <c r="A203" s="5" t="s">
        <v>36</v>
      </c>
      <c r="B203" s="4"/>
      <c r="C203" s="4"/>
      <c r="D203" s="4"/>
      <c r="E203" s="4"/>
      <c r="F203" s="4"/>
      <c r="G203" s="4"/>
      <c r="H203" s="4"/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SUM(R2:R202)</f>
      </c>
      <c r="S203" s="6">
        <f>SUM(S2:S202)</f>
      </c>
      <c r="T203" s="6">
        <f>SUM(T2:T202)</f>
      </c>
      <c r="U203" s="6">
        <f>SUM(U2:U202)</f>
      </c>
      <c r="V203" s="6">
        <f>IFERROR((U203-X203)/J203*100,0)</f>
      </c>
      <c r="W203" s="6">
        <f>SUM(W2:W202)</f>
      </c>
      <c r="X203" s="6">
        <f>SUM(X2:X202)</f>
      </c>
      <c r="Y203" s="6">
        <f>SUM(Y2:Y202)</f>
      </c>
      <c r="Z203" s="4"/>
      <c r="AA203" s="4"/>
      <c r="AB203" s="4"/>
      <c r="AC203" s="4"/>
      <c r="AD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TEMU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2026-08-14T08:58:25Z</dcterms:created>
  <dcterms:modified xsi:type="dcterms:W3CDTF">2026-08-14T08:58:25Z</dcterms:modified>
</cp:coreProperties>
</file>