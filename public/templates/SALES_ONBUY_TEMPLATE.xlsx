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5" name="ONBUY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<sst xmlns="http://schemas.openxmlformats.org/spreadsheetml/2006/main" count="55" uniqueCount="51">
  <si>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</si>
  <si>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</si>
  <si>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</si>
  <si>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</si>
  <si>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</si>
  <si>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</si>
  <si>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</si>
  <si>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</si>
  <si>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BP</t>
  </si>
  <si>
    <t>SP</t>
  </si>
  <si>
    <t>SP-BP</t>
  </si>
  <si>
    <t>Marginal Tax</t>
  </si>
  <si>
    <t>Commission</t>
  </si>
  <si>
    <t>VAT 20%</t>
  </si>
  <si>
    <t>Postage</t>
  </si>
  <si>
    <t>P. VAT</t>
  </si>
  <si>
    <t>Accessories</t>
  </si>
  <si>
    <t>Total VAT</t>
  </si>
  <si>
    <t>GP</t>
  </si>
  <si>
    <t>GP %</t>
  </si>
  <si>
    <t>Total VAT NTP</t>
  </si>
  <si>
    <t>Postage Loss</t>
  </si>
  <si>
    <t>Net GP £</t>
  </si>
  <si>
    <t>Return Date</t>
  </si>
  <si>
    <t>Outcome</t>
  </si>
  <si>
    <t>Shipping Legs</t>
  </si>
  <si>
    <t>Return Reason</t>
  </si>
  <si>
    <t>Comments</t>
  </si>
  <si>
    <t>OB-9002</t>
  </si>
  <si>
    <t>PIX7-128-BLK</t>
  </si>
  <si>
    <t>350100000031676</t>
  </si>
  <si>
    <t/>
  </si>
  <si>
    <t>NORTHSIDE STOCK</t>
  </si>
  <si>
    <t>TOTAL</t>
  </si>
  <si>
    <t>SALES TEMPLATE — same columns as the Sales Report</t>
  </si>
  <si>
    <t>What this is</t>
  </si>
  <si>
    <t>One sheet per marketplace (ONBUY),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</si>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</sst>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yy"/>
  </numFmts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7" t="s">
        <v>34</v>
      </c>
      <c r="B1" t="s">
        <v>31</v>
      </c>
    </row>
    <row r="3" spans="1:2" x14ac:dyDescent="0.25">
      <c r="A3" s="4" t="s">
        <v>35</v>
      </c>
      <c r="B3" s="8" t="s">
        <v>36</v>
      </c>
    </row>
    <row r="4" spans="1:2" x14ac:dyDescent="0.25">
      <c r="A4" s="4" t="s">
        <v>37</v>
      </c>
      <c r="B4" s="8" t="s">
        <v>38</v>
      </c>
    </row>
    <row r="5" spans="1:2" x14ac:dyDescent="0.25">
      <c r="A5" s="4" t="s">
        <v>39</v>
      </c>
      <c r="B5" s="8" t="s">
        <v>40</v>
      </c>
    </row>
    <row r="6" spans="1:2" x14ac:dyDescent="0.25">
      <c r="A6" s="4" t="s">
        <v>41</v>
      </c>
      <c r="B6" s="8" t="s">
        <v>42</v>
      </c>
    </row>
    <row r="7" spans="1:2" x14ac:dyDescent="0.25">
      <c r="A7" s="4" t="s">
        <v>43</v>
      </c>
      <c r="B7" s="8" t="s">
        <v>44</v>
      </c>
    </row>
    <row r="8" spans="1:2" x14ac:dyDescent="0.25">
      <c r="A8" s="4" t="s">
        <v>45</v>
      </c>
      <c r="B8" s="8" t="s">
        <v>46</v>
      </c>
    </row>
    <row r="9" spans="1:2" x14ac:dyDescent="0.25">
      <c r="A9" s="4" t="s">
        <v>47</v>
      </c>
      <c r="B9" s="8" t="s">
        <v>48</v>
      </c>
    </row>
    <row r="10" spans="1:2" x14ac:dyDescent="0.25">
      <c r="A10" s="4" t="s">
        <v>49</v>
      </c>
      <c r="B10" s="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3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46235.5</v>
      </c>
      <c r="B2" t="s">
        <v>28</v>
      </c>
      <c r="C2" t="s">
        <v>29</v>
      </c>
      <c r="D2" s="2" t="s">
        <v>30</v>
      </c>
      <c r="E2" t="s">
        <v>29</v>
      </c>
      <c r="F2" t="s">
        <v>31</v>
      </c>
      <c r="G2" t="s">
        <v>31</v>
      </c>
      <c r="H2" t="s">
        <v>32</v>
      </c>
      <c r="I2" s="3">
        <v>275</v>
      </c>
      <c r="J2" s="3">
        <v>359</v>
      </c>
      <c r="K2" s="3">
        <f>J2-I2</f>
      </c>
      <c r="L2" s="3">
        <f>K2*16.67%</f>
      </c>
      <c r="M2" s="3">
        <f>J2*7%</f>
      </c>
      <c r="N2" s="3">
        <f>M2*20%</f>
      </c>
      <c r="O2" s="3">
        <v>8</v>
      </c>
      <c r="P2" s="3">
        <f>O2*20%</f>
      </c>
      <c r="Q2" s="3">
        <v>1</v>
      </c>
      <c r="R2" s="3">
        <f>N2+P2</f>
      </c>
      <c r="S2" s="3">
        <f>K2-L2-M2-N2-O2-P2-Q2</f>
      </c>
      <c r="T2" s="3">
        <f>(S2-V2)/I2*100</f>
      </c>
      <c r="U2" s="3">
        <f>L2-R2</f>
      </c>
      <c r="W2" s="3">
        <f>S2-V2</f>
      </c>
      <c r="AB2" t="s">
        <v>31</v>
      </c>
    </row>
    <row r="3" spans="1:23" x14ac:dyDescent="0.25">
      <c r="A3" s="1"/>
      <c r="D3" s="2"/>
      <c r="I3" s="3"/>
      <c r="J3" s="3"/>
      <c r="K3" s="3">
        <f>IF($J3="","",J3-I3)</f>
      </c>
      <c r="L3" s="3">
        <f>IF($J3="","",K3*16.67%)</f>
      </c>
      <c r="M3" s="3">
        <f>IF($J3="","",J3*7%)</f>
      </c>
      <c r="N3" s="3">
        <f>IF($J3="","",M3*20%)</f>
      </c>
      <c r="O3" s="3"/>
      <c r="P3" s="3">
        <f>IF($J3="","",O3*20%)</f>
      </c>
      <c r="Q3" s="3">
        <v>1</v>
      </c>
      <c r="R3" s="3">
        <f>IF($J3="","",N3+P3)</f>
      </c>
      <c r="S3" s="3">
        <f>IF($J3="","",K3-L3-M3-N3-O3-P3-Q3)</f>
      </c>
      <c r="T3" s="3">
        <f>IF($J3="","",(S3-V3)/I3*100)</f>
      </c>
      <c r="U3" s="3">
        <f>IF($J3="","",L3-R3)</f>
      </c>
      <c r="W3" s="3">
        <f>IF($J3="","",S3-V3)</f>
      </c>
    </row>
    <row r="4" spans="1:23" x14ac:dyDescent="0.25">
      <c r="A4" s="1"/>
      <c r="D4" s="2"/>
      <c r="I4" s="3"/>
      <c r="J4" s="3"/>
      <c r="K4" s="3">
        <f>IF($J4="","",J4-I4)</f>
      </c>
      <c r="L4" s="3">
        <f>IF($J4="","",K4*16.67%)</f>
      </c>
      <c r="M4" s="3">
        <f>IF($J4="","",J4*7%)</f>
      </c>
      <c r="N4" s="3">
        <f>IF($J4="","",M4*20%)</f>
      </c>
      <c r="O4" s="3"/>
      <c r="P4" s="3">
        <f>IF($J4="","",O4*20%)</f>
      </c>
      <c r="Q4" s="3">
        <v>1</v>
      </c>
      <c r="R4" s="3">
        <f>IF($J4="","",N4+P4)</f>
      </c>
      <c r="S4" s="3">
        <f>IF($J4="","",K4-L4-M4-N4-O4-P4-Q4)</f>
      </c>
      <c r="T4" s="3">
        <f>IF($J4="","",(S4-V4)/I4*100)</f>
      </c>
      <c r="U4" s="3">
        <f>IF($J4="","",L4-R4)</f>
      </c>
      <c r="W4" s="3">
        <f>IF($J4="","",S4-V4)</f>
      </c>
    </row>
    <row r="5" spans="1:23" x14ac:dyDescent="0.25">
      <c r="A5" s="1"/>
      <c r="D5" s="2"/>
      <c r="I5" s="3"/>
      <c r="J5" s="3"/>
      <c r="K5" s="3">
        <f>IF($J5="","",J5-I5)</f>
      </c>
      <c r="L5" s="3">
        <f>IF($J5="","",K5*16.67%)</f>
      </c>
      <c r="M5" s="3">
        <f>IF($J5="","",J5*7%)</f>
      </c>
      <c r="N5" s="3">
        <f>IF($J5="","",M5*20%)</f>
      </c>
      <c r="O5" s="3"/>
      <c r="P5" s="3">
        <f>IF($J5="","",O5*20%)</f>
      </c>
      <c r="Q5" s="3">
        <v>1</v>
      </c>
      <c r="R5" s="3">
        <f>IF($J5="","",N5+P5)</f>
      </c>
      <c r="S5" s="3">
        <f>IF($J5="","",K5-L5-M5-N5-O5-P5-Q5)</f>
      </c>
      <c r="T5" s="3">
        <f>IF($J5="","",(S5-V5)/I5*100)</f>
      </c>
      <c r="U5" s="3">
        <f>IF($J5="","",L5-R5)</f>
      </c>
      <c r="W5" s="3">
        <f>IF($J5="","",S5-V5)</f>
      </c>
    </row>
    <row r="6" spans="1:23" x14ac:dyDescent="0.25">
      <c r="A6" s="1"/>
      <c r="D6" s="2"/>
      <c r="I6" s="3"/>
      <c r="J6" s="3"/>
      <c r="K6" s="3">
        <f>IF($J6="","",J6-I6)</f>
      </c>
      <c r="L6" s="3">
        <f>IF($J6="","",K6*16.67%)</f>
      </c>
      <c r="M6" s="3">
        <f>IF($J6="","",J6*7%)</f>
      </c>
      <c r="N6" s="3">
        <f>IF($J6="","",M6*20%)</f>
      </c>
      <c r="O6" s="3"/>
      <c r="P6" s="3">
        <f>IF($J6="","",O6*20%)</f>
      </c>
      <c r="Q6" s="3">
        <v>1</v>
      </c>
      <c r="R6" s="3">
        <f>IF($J6="","",N6+P6)</f>
      </c>
      <c r="S6" s="3">
        <f>IF($J6="","",K6-L6-M6-N6-O6-P6-Q6)</f>
      </c>
      <c r="T6" s="3">
        <f>IF($J6="","",(S6-V6)/I6*100)</f>
      </c>
      <c r="U6" s="3">
        <f>IF($J6="","",L6-R6)</f>
      </c>
      <c r="W6" s="3">
        <f>IF($J6="","",S6-V6)</f>
      </c>
    </row>
    <row r="7" spans="1:23" x14ac:dyDescent="0.25">
      <c r="A7" s="1"/>
      <c r="D7" s="2"/>
      <c r="I7" s="3"/>
      <c r="J7" s="3"/>
      <c r="K7" s="3">
        <f>IF($J7="","",J7-I7)</f>
      </c>
      <c r="L7" s="3">
        <f>IF($J7="","",K7*16.67%)</f>
      </c>
      <c r="M7" s="3">
        <f>IF($J7="","",J7*7%)</f>
      </c>
      <c r="N7" s="3">
        <f>IF($J7="","",M7*20%)</f>
      </c>
      <c r="O7" s="3"/>
      <c r="P7" s="3">
        <f>IF($J7="","",O7*20%)</f>
      </c>
      <c r="Q7" s="3">
        <v>1</v>
      </c>
      <c r="R7" s="3">
        <f>IF($J7="","",N7+P7)</f>
      </c>
      <c r="S7" s="3">
        <f>IF($J7="","",K7-L7-M7-N7-O7-P7-Q7)</f>
      </c>
      <c r="T7" s="3">
        <f>IF($J7="","",(S7-V7)/I7*100)</f>
      </c>
      <c r="U7" s="3">
        <f>IF($J7="","",L7-R7)</f>
      </c>
      <c r="W7" s="3">
        <f>IF($J7="","",S7-V7)</f>
      </c>
    </row>
    <row r="8" spans="1:23" x14ac:dyDescent="0.25">
      <c r="A8" s="1"/>
      <c r="D8" s="2"/>
      <c r="I8" s="3"/>
      <c r="J8" s="3"/>
      <c r="K8" s="3">
        <f>IF($J8="","",J8-I8)</f>
      </c>
      <c r="L8" s="3">
        <f>IF($J8="","",K8*16.67%)</f>
      </c>
      <c r="M8" s="3">
        <f>IF($J8="","",J8*7%)</f>
      </c>
      <c r="N8" s="3">
        <f>IF($J8="","",M8*20%)</f>
      </c>
      <c r="O8" s="3"/>
      <c r="P8" s="3">
        <f>IF($J8="","",O8*20%)</f>
      </c>
      <c r="Q8" s="3">
        <v>1</v>
      </c>
      <c r="R8" s="3">
        <f>IF($J8="","",N8+P8)</f>
      </c>
      <c r="S8" s="3">
        <f>IF($J8="","",K8-L8-M8-N8-O8-P8-Q8)</f>
      </c>
      <c r="T8" s="3">
        <f>IF($J8="","",(S8-V8)/I8*100)</f>
      </c>
      <c r="U8" s="3">
        <f>IF($J8="","",L8-R8)</f>
      </c>
      <c r="W8" s="3">
        <f>IF($J8="","",S8-V8)</f>
      </c>
    </row>
    <row r="9" spans="1:23" x14ac:dyDescent="0.25">
      <c r="A9" s="1"/>
      <c r="D9" s="2"/>
      <c r="I9" s="3"/>
      <c r="J9" s="3"/>
      <c r="K9" s="3">
        <f>IF($J9="","",J9-I9)</f>
      </c>
      <c r="L9" s="3">
        <f>IF($J9="","",K9*16.67%)</f>
      </c>
      <c r="M9" s="3">
        <f>IF($J9="","",J9*7%)</f>
      </c>
      <c r="N9" s="3">
        <f>IF($J9="","",M9*20%)</f>
      </c>
      <c r="O9" s="3"/>
      <c r="P9" s="3">
        <f>IF($J9="","",O9*20%)</f>
      </c>
      <c r="Q9" s="3">
        <v>1</v>
      </c>
      <c r="R9" s="3">
        <f>IF($J9="","",N9+P9)</f>
      </c>
      <c r="S9" s="3">
        <f>IF($J9="","",K9-L9-M9-N9-O9-P9-Q9)</f>
      </c>
      <c r="T9" s="3">
        <f>IF($J9="","",(S9-V9)/I9*100)</f>
      </c>
      <c r="U9" s="3">
        <f>IF($J9="","",L9-R9)</f>
      </c>
      <c r="W9" s="3">
        <f>IF($J9="","",S9-V9)</f>
      </c>
    </row>
    <row r="10" spans="1:23" x14ac:dyDescent="0.25">
      <c r="A10" s="1"/>
      <c r="D10" s="2"/>
      <c r="I10" s="3"/>
      <c r="J10" s="3"/>
      <c r="K10" s="3">
        <f>IF($J10="","",J10-I10)</f>
      </c>
      <c r="L10" s="3">
        <f>IF($J10="","",K10*16.67%)</f>
      </c>
      <c r="M10" s="3">
        <f>IF($J10="","",J10*7%)</f>
      </c>
      <c r="N10" s="3">
        <f>IF($J10="","",M10*20%)</f>
      </c>
      <c r="O10" s="3"/>
      <c r="P10" s="3">
        <f>IF($J10="","",O10*20%)</f>
      </c>
      <c r="Q10" s="3">
        <v>1</v>
      </c>
      <c r="R10" s="3">
        <f>IF($J10="","",N10+P10)</f>
      </c>
      <c r="S10" s="3">
        <f>IF($J10="","",K10-L10-M10-N10-O10-P10-Q10)</f>
      </c>
      <c r="T10" s="3">
        <f>IF($J10="","",(S10-V10)/I10*100)</f>
      </c>
      <c r="U10" s="3">
        <f>IF($J10="","",L10-R10)</f>
      </c>
      <c r="W10" s="3">
        <f>IF($J10="","",S10-V10)</f>
      </c>
    </row>
    <row r="11" spans="1:23" x14ac:dyDescent="0.25">
      <c r="A11" s="1"/>
      <c r="D11" s="2"/>
      <c r="I11" s="3"/>
      <c r="J11" s="3"/>
      <c r="K11" s="3">
        <f>IF($J11="","",J11-I11)</f>
      </c>
      <c r="L11" s="3">
        <f>IF($J11="","",K11*16.67%)</f>
      </c>
      <c r="M11" s="3">
        <f>IF($J11="","",J11*7%)</f>
      </c>
      <c r="N11" s="3">
        <f>IF($J11="","",M11*20%)</f>
      </c>
      <c r="O11" s="3"/>
      <c r="P11" s="3">
        <f>IF($J11="","",O11*20%)</f>
      </c>
      <c r="Q11" s="3">
        <v>1</v>
      </c>
      <c r="R11" s="3">
        <f>IF($J11="","",N11+P11)</f>
      </c>
      <c r="S11" s="3">
        <f>IF($J11="","",K11-L11-M11-N11-O11-P11-Q11)</f>
      </c>
      <c r="T11" s="3">
        <f>IF($J11="","",(S11-V11)/I11*100)</f>
      </c>
      <c r="U11" s="3">
        <f>IF($J11="","",L11-R11)</f>
      </c>
      <c r="W11" s="3">
        <f>IF($J11="","",S11-V11)</f>
      </c>
    </row>
    <row r="12" spans="1:23" x14ac:dyDescent="0.25">
      <c r="A12" s="1"/>
      <c r="D12" s="2"/>
      <c r="I12" s="3"/>
      <c r="J12" s="3"/>
      <c r="K12" s="3">
        <f>IF($J12="","",J12-I12)</f>
      </c>
      <c r="L12" s="3">
        <f>IF($J12="","",K12*16.67%)</f>
      </c>
      <c r="M12" s="3">
        <f>IF($J12="","",J12*7%)</f>
      </c>
      <c r="N12" s="3">
        <f>IF($J12="","",M12*20%)</f>
      </c>
      <c r="O12" s="3"/>
      <c r="P12" s="3">
        <f>IF($J12="","",O12*20%)</f>
      </c>
      <c r="Q12" s="3">
        <v>1</v>
      </c>
      <c r="R12" s="3">
        <f>IF($J12="","",N12+P12)</f>
      </c>
      <c r="S12" s="3">
        <f>IF($J12="","",K12-L12-M12-N12-O12-P12-Q12)</f>
      </c>
      <c r="T12" s="3">
        <f>IF($J12="","",(S12-V12)/I12*100)</f>
      </c>
      <c r="U12" s="3">
        <f>IF($J12="","",L12-R12)</f>
      </c>
      <c r="W12" s="3">
        <f>IF($J12="","",S12-V12)</f>
      </c>
    </row>
    <row r="13" spans="1:23" x14ac:dyDescent="0.25">
      <c r="A13" s="1"/>
      <c r="D13" s="2"/>
      <c r="I13" s="3"/>
      <c r="J13" s="3"/>
      <c r="K13" s="3">
        <f>IF($J13="","",J13-I13)</f>
      </c>
      <c r="L13" s="3">
        <f>IF($J13="","",K13*16.67%)</f>
      </c>
      <c r="M13" s="3">
        <f>IF($J13="","",J13*7%)</f>
      </c>
      <c r="N13" s="3">
        <f>IF($J13="","",M13*20%)</f>
      </c>
      <c r="O13" s="3"/>
      <c r="P13" s="3">
        <f>IF($J13="","",O13*20%)</f>
      </c>
      <c r="Q13" s="3">
        <v>1</v>
      </c>
      <c r="R13" s="3">
        <f>IF($J13="","",N13+P13)</f>
      </c>
      <c r="S13" s="3">
        <f>IF($J13="","",K13-L13-M13-N13-O13-P13-Q13)</f>
      </c>
      <c r="T13" s="3">
        <f>IF($J13="","",(S13-V13)/I13*100)</f>
      </c>
      <c r="U13" s="3">
        <f>IF($J13="","",L13-R13)</f>
      </c>
      <c r="W13" s="3">
        <f>IF($J13="","",S13-V13)</f>
      </c>
    </row>
    <row r="14" spans="1:23" x14ac:dyDescent="0.25">
      <c r="A14" s="1"/>
      <c r="D14" s="2"/>
      <c r="I14" s="3"/>
      <c r="J14" s="3"/>
      <c r="K14" s="3">
        <f>IF($J14="","",J14-I14)</f>
      </c>
      <c r="L14" s="3">
        <f>IF($J14="","",K14*16.67%)</f>
      </c>
      <c r="M14" s="3">
        <f>IF($J14="","",J14*7%)</f>
      </c>
      <c r="N14" s="3">
        <f>IF($J14="","",M14*20%)</f>
      </c>
      <c r="O14" s="3"/>
      <c r="P14" s="3">
        <f>IF($J14="","",O14*20%)</f>
      </c>
      <c r="Q14" s="3">
        <v>1</v>
      </c>
      <c r="R14" s="3">
        <f>IF($J14="","",N14+P14)</f>
      </c>
      <c r="S14" s="3">
        <f>IF($J14="","",K14-L14-M14-N14-O14-P14-Q14)</f>
      </c>
      <c r="T14" s="3">
        <f>IF($J14="","",(S14-V14)/I14*100)</f>
      </c>
      <c r="U14" s="3">
        <f>IF($J14="","",L14-R14)</f>
      </c>
      <c r="W14" s="3">
        <f>IF($J14="","",S14-V14)</f>
      </c>
    </row>
    <row r="15" spans="1:23" x14ac:dyDescent="0.25">
      <c r="A15" s="1"/>
      <c r="D15" s="2"/>
      <c r="I15" s="3"/>
      <c r="J15" s="3"/>
      <c r="K15" s="3">
        <f>IF($J15="","",J15-I15)</f>
      </c>
      <c r="L15" s="3">
        <f>IF($J15="","",K15*16.67%)</f>
      </c>
      <c r="M15" s="3">
        <f>IF($J15="","",J15*7%)</f>
      </c>
      <c r="N15" s="3">
        <f>IF($J15="","",M15*20%)</f>
      </c>
      <c r="O15" s="3"/>
      <c r="P15" s="3">
        <f>IF($J15="","",O15*20%)</f>
      </c>
      <c r="Q15" s="3">
        <v>1</v>
      </c>
      <c r="R15" s="3">
        <f>IF($J15="","",N15+P15)</f>
      </c>
      <c r="S15" s="3">
        <f>IF($J15="","",K15-L15-M15-N15-O15-P15-Q15)</f>
      </c>
      <c r="T15" s="3">
        <f>IF($J15="","",(S15-V15)/I15*100)</f>
      </c>
      <c r="U15" s="3">
        <f>IF($J15="","",L15-R15)</f>
      </c>
      <c r="W15" s="3">
        <f>IF($J15="","",S15-V15)</f>
      </c>
    </row>
    <row r="16" spans="1:23" x14ac:dyDescent="0.25">
      <c r="A16" s="1"/>
      <c r="D16" s="2"/>
      <c r="I16" s="3"/>
      <c r="J16" s="3"/>
      <c r="K16" s="3">
        <f>IF($J16="","",J16-I16)</f>
      </c>
      <c r="L16" s="3">
        <f>IF($J16="","",K16*16.67%)</f>
      </c>
      <c r="M16" s="3">
        <f>IF($J16="","",J16*7%)</f>
      </c>
      <c r="N16" s="3">
        <f>IF($J16="","",M16*20%)</f>
      </c>
      <c r="O16" s="3"/>
      <c r="P16" s="3">
        <f>IF($J16="","",O16*20%)</f>
      </c>
      <c r="Q16" s="3">
        <v>1</v>
      </c>
      <c r="R16" s="3">
        <f>IF($J16="","",N16+P16)</f>
      </c>
      <c r="S16" s="3">
        <f>IF($J16="","",K16-L16-M16-N16-O16-P16-Q16)</f>
      </c>
      <c r="T16" s="3">
        <f>IF($J16="","",(S16-V16)/I16*100)</f>
      </c>
      <c r="U16" s="3">
        <f>IF($J16="","",L16-R16)</f>
      </c>
      <c r="W16" s="3">
        <f>IF($J16="","",S16-V16)</f>
      </c>
    </row>
    <row r="17" spans="1:23" x14ac:dyDescent="0.25">
      <c r="A17" s="1"/>
      <c r="D17" s="2"/>
      <c r="I17" s="3"/>
      <c r="J17" s="3"/>
      <c r="K17" s="3">
        <f>IF($J17="","",J17-I17)</f>
      </c>
      <c r="L17" s="3">
        <f>IF($J17="","",K17*16.67%)</f>
      </c>
      <c r="M17" s="3">
        <f>IF($J17="","",J17*7%)</f>
      </c>
      <c r="N17" s="3">
        <f>IF($J17="","",M17*20%)</f>
      </c>
      <c r="O17" s="3"/>
      <c r="P17" s="3">
        <f>IF($J17="","",O17*20%)</f>
      </c>
      <c r="Q17" s="3">
        <v>1</v>
      </c>
      <c r="R17" s="3">
        <f>IF($J17="","",N17+P17)</f>
      </c>
      <c r="S17" s="3">
        <f>IF($J17="","",K17-L17-M17-N17-O17-P17-Q17)</f>
      </c>
      <c r="T17" s="3">
        <f>IF($J17="","",(S17-V17)/I17*100)</f>
      </c>
      <c r="U17" s="3">
        <f>IF($J17="","",L17-R17)</f>
      </c>
      <c r="W17" s="3">
        <f>IF($J17="","",S17-V17)</f>
      </c>
    </row>
    <row r="18" spans="1:23" x14ac:dyDescent="0.25">
      <c r="A18" s="1"/>
      <c r="D18" s="2"/>
      <c r="I18" s="3"/>
      <c r="J18" s="3"/>
      <c r="K18" s="3">
        <f>IF($J18="","",J18-I18)</f>
      </c>
      <c r="L18" s="3">
        <f>IF($J18="","",K18*16.67%)</f>
      </c>
      <c r="M18" s="3">
        <f>IF($J18="","",J18*7%)</f>
      </c>
      <c r="N18" s="3">
        <f>IF($J18="","",M18*20%)</f>
      </c>
      <c r="O18" s="3"/>
      <c r="P18" s="3">
        <f>IF($J18="","",O18*20%)</f>
      </c>
      <c r="Q18" s="3">
        <v>1</v>
      </c>
      <c r="R18" s="3">
        <f>IF($J18="","",N18+P18)</f>
      </c>
      <c r="S18" s="3">
        <f>IF($J18="","",K18-L18-M18-N18-O18-P18-Q18)</f>
      </c>
      <c r="T18" s="3">
        <f>IF($J18="","",(S18-V18)/I18*100)</f>
      </c>
      <c r="U18" s="3">
        <f>IF($J18="","",L18-R18)</f>
      </c>
      <c r="W18" s="3">
        <f>IF($J18="","",S18-V18)</f>
      </c>
    </row>
    <row r="19" spans="1:23" x14ac:dyDescent="0.25">
      <c r="A19" s="1"/>
      <c r="D19" s="2"/>
      <c r="I19" s="3"/>
      <c r="J19" s="3"/>
      <c r="K19" s="3">
        <f>IF($J19="","",J19-I19)</f>
      </c>
      <c r="L19" s="3">
        <f>IF($J19="","",K19*16.67%)</f>
      </c>
      <c r="M19" s="3">
        <f>IF($J19="","",J19*7%)</f>
      </c>
      <c r="N19" s="3">
        <f>IF($J19="","",M19*20%)</f>
      </c>
      <c r="O19" s="3"/>
      <c r="P19" s="3">
        <f>IF($J19="","",O19*20%)</f>
      </c>
      <c r="Q19" s="3">
        <v>1</v>
      </c>
      <c r="R19" s="3">
        <f>IF($J19="","",N19+P19)</f>
      </c>
      <c r="S19" s="3">
        <f>IF($J19="","",K19-L19-M19-N19-O19-P19-Q19)</f>
      </c>
      <c r="T19" s="3">
        <f>IF($J19="","",(S19-V19)/I19*100)</f>
      </c>
      <c r="U19" s="3">
        <f>IF($J19="","",L19-R19)</f>
      </c>
      <c r="W19" s="3">
        <f>IF($J19="","",S19-V19)</f>
      </c>
    </row>
    <row r="20" spans="1:23" x14ac:dyDescent="0.25">
      <c r="A20" s="1"/>
      <c r="D20" s="2"/>
      <c r="I20" s="3"/>
      <c r="J20" s="3"/>
      <c r="K20" s="3">
        <f>IF($J20="","",J20-I20)</f>
      </c>
      <c r="L20" s="3">
        <f>IF($J20="","",K20*16.67%)</f>
      </c>
      <c r="M20" s="3">
        <f>IF($J20="","",J20*7%)</f>
      </c>
      <c r="N20" s="3">
        <f>IF($J20="","",M20*20%)</f>
      </c>
      <c r="O20" s="3"/>
      <c r="P20" s="3">
        <f>IF($J20="","",O20*20%)</f>
      </c>
      <c r="Q20" s="3">
        <v>1</v>
      </c>
      <c r="R20" s="3">
        <f>IF($J20="","",N20+P20)</f>
      </c>
      <c r="S20" s="3">
        <f>IF($J20="","",K20-L20-M20-N20-O20-P20-Q20)</f>
      </c>
      <c r="T20" s="3">
        <f>IF($J20="","",(S20-V20)/I20*100)</f>
      </c>
      <c r="U20" s="3">
        <f>IF($J20="","",L20-R20)</f>
      </c>
      <c r="W20" s="3">
        <f>IF($J20="","",S20-V20)</f>
      </c>
    </row>
    <row r="21" spans="1:23" x14ac:dyDescent="0.25">
      <c r="A21" s="1"/>
      <c r="D21" s="2"/>
      <c r="I21" s="3"/>
      <c r="J21" s="3"/>
      <c r="K21" s="3">
        <f>IF($J21="","",J21-I21)</f>
      </c>
      <c r="L21" s="3">
        <f>IF($J21="","",K21*16.67%)</f>
      </c>
      <c r="M21" s="3">
        <f>IF($J21="","",J21*7%)</f>
      </c>
      <c r="N21" s="3">
        <f>IF($J21="","",M21*20%)</f>
      </c>
      <c r="O21" s="3"/>
      <c r="P21" s="3">
        <f>IF($J21="","",O21*20%)</f>
      </c>
      <c r="Q21" s="3">
        <v>1</v>
      </c>
      <c r="R21" s="3">
        <f>IF($J21="","",N21+P21)</f>
      </c>
      <c r="S21" s="3">
        <f>IF($J21="","",K21-L21-M21-N21-O21-P21-Q21)</f>
      </c>
      <c r="T21" s="3">
        <f>IF($J21="","",(S21-V21)/I21*100)</f>
      </c>
      <c r="U21" s="3">
        <f>IF($J21="","",L21-R21)</f>
      </c>
      <c r="W21" s="3">
        <f>IF($J21="","",S21-V21)</f>
      </c>
    </row>
    <row r="22" spans="1:23" x14ac:dyDescent="0.25">
      <c r="A22" s="1"/>
      <c r="D22" s="2"/>
      <c r="I22" s="3"/>
      <c r="J22" s="3"/>
      <c r="K22" s="3">
        <f>IF($J22="","",J22-I22)</f>
      </c>
      <c r="L22" s="3">
        <f>IF($J22="","",K22*16.67%)</f>
      </c>
      <c r="M22" s="3">
        <f>IF($J22="","",J22*7%)</f>
      </c>
      <c r="N22" s="3">
        <f>IF($J22="","",M22*20%)</f>
      </c>
      <c r="O22" s="3"/>
      <c r="P22" s="3">
        <f>IF($J22="","",O22*20%)</f>
      </c>
      <c r="Q22" s="3">
        <v>1</v>
      </c>
      <c r="R22" s="3">
        <f>IF($J22="","",N22+P22)</f>
      </c>
      <c r="S22" s="3">
        <f>IF($J22="","",K22-L22-M22-N22-O22-P22-Q22)</f>
      </c>
      <c r="T22" s="3">
        <f>IF($J22="","",(S22-V22)/I22*100)</f>
      </c>
      <c r="U22" s="3">
        <f>IF($J22="","",L22-R22)</f>
      </c>
      <c r="W22" s="3">
        <f>IF($J22="","",S22-V22)</f>
      </c>
    </row>
    <row r="23" spans="1:23" x14ac:dyDescent="0.25">
      <c r="A23" s="1"/>
      <c r="D23" s="2"/>
      <c r="I23" s="3"/>
      <c r="J23" s="3"/>
      <c r="K23" s="3">
        <f>IF($J23="","",J23-I23)</f>
      </c>
      <c r="L23" s="3">
        <f>IF($J23="","",K23*16.67%)</f>
      </c>
      <c r="M23" s="3">
        <f>IF($J23="","",J23*7%)</f>
      </c>
      <c r="N23" s="3">
        <f>IF($J23="","",M23*20%)</f>
      </c>
      <c r="O23" s="3"/>
      <c r="P23" s="3">
        <f>IF($J23="","",O23*20%)</f>
      </c>
      <c r="Q23" s="3">
        <v>1</v>
      </c>
      <c r="R23" s="3">
        <f>IF($J23="","",N23+P23)</f>
      </c>
      <c r="S23" s="3">
        <f>IF($J23="","",K23-L23-M23-N23-O23-P23-Q23)</f>
      </c>
      <c r="T23" s="3">
        <f>IF($J23="","",(S23-V23)/I23*100)</f>
      </c>
      <c r="U23" s="3">
        <f>IF($J23="","",L23-R23)</f>
      </c>
      <c r="W23" s="3">
        <f>IF($J23="","",S23-V23)</f>
      </c>
    </row>
    <row r="24" spans="1:23" x14ac:dyDescent="0.25">
      <c r="A24" s="1"/>
      <c r="D24" s="2"/>
      <c r="I24" s="3"/>
      <c r="J24" s="3"/>
      <c r="K24" s="3">
        <f>IF($J24="","",J24-I24)</f>
      </c>
      <c r="L24" s="3">
        <f>IF($J24="","",K24*16.67%)</f>
      </c>
      <c r="M24" s="3">
        <f>IF($J24="","",J24*7%)</f>
      </c>
      <c r="N24" s="3">
        <f>IF($J24="","",M24*20%)</f>
      </c>
      <c r="O24" s="3"/>
      <c r="P24" s="3">
        <f>IF($J24="","",O24*20%)</f>
      </c>
      <c r="Q24" s="3">
        <v>1</v>
      </c>
      <c r="R24" s="3">
        <f>IF($J24="","",N24+P24)</f>
      </c>
      <c r="S24" s="3">
        <f>IF($J24="","",K24-L24-M24-N24-O24-P24-Q24)</f>
      </c>
      <c r="T24" s="3">
        <f>IF($J24="","",(S24-V24)/I24*100)</f>
      </c>
      <c r="U24" s="3">
        <f>IF($J24="","",L24-R24)</f>
      </c>
      <c r="W24" s="3">
        <f>IF($J24="","",S24-V24)</f>
      </c>
    </row>
    <row r="25" spans="1:23" x14ac:dyDescent="0.25">
      <c r="A25" s="1"/>
      <c r="D25" s="2"/>
      <c r="I25" s="3"/>
      <c r="J25" s="3"/>
      <c r="K25" s="3">
        <f>IF($J25="","",J25-I25)</f>
      </c>
      <c r="L25" s="3">
        <f>IF($J25="","",K25*16.67%)</f>
      </c>
      <c r="M25" s="3">
        <f>IF($J25="","",J25*7%)</f>
      </c>
      <c r="N25" s="3">
        <f>IF($J25="","",M25*20%)</f>
      </c>
      <c r="O25" s="3"/>
      <c r="P25" s="3">
        <f>IF($J25="","",O25*20%)</f>
      </c>
      <c r="Q25" s="3">
        <v>1</v>
      </c>
      <c r="R25" s="3">
        <f>IF($J25="","",N25+P25)</f>
      </c>
      <c r="S25" s="3">
        <f>IF($J25="","",K25-L25-M25-N25-O25-P25-Q25)</f>
      </c>
      <c r="T25" s="3">
        <f>IF($J25="","",(S25-V25)/I25*100)</f>
      </c>
      <c r="U25" s="3">
        <f>IF($J25="","",L25-R25)</f>
      </c>
      <c r="W25" s="3">
        <f>IF($J25="","",S25-V25)</f>
      </c>
    </row>
    <row r="26" spans="1:23" x14ac:dyDescent="0.25">
      <c r="A26" s="1"/>
      <c r="D26" s="2"/>
      <c r="I26" s="3"/>
      <c r="J26" s="3"/>
      <c r="K26" s="3">
        <f>IF($J26="","",J26-I26)</f>
      </c>
      <c r="L26" s="3">
        <f>IF($J26="","",K26*16.67%)</f>
      </c>
      <c r="M26" s="3">
        <f>IF($J26="","",J26*7%)</f>
      </c>
      <c r="N26" s="3">
        <f>IF($J26="","",M26*20%)</f>
      </c>
      <c r="O26" s="3"/>
      <c r="P26" s="3">
        <f>IF($J26="","",O26*20%)</f>
      </c>
      <c r="Q26" s="3">
        <v>1</v>
      </c>
      <c r="R26" s="3">
        <f>IF($J26="","",N26+P26)</f>
      </c>
      <c r="S26" s="3">
        <f>IF($J26="","",K26-L26-M26-N26-O26-P26-Q26)</f>
      </c>
      <c r="T26" s="3">
        <f>IF($J26="","",(S26-V26)/I26*100)</f>
      </c>
      <c r="U26" s="3">
        <f>IF($J26="","",L26-R26)</f>
      </c>
      <c r="W26" s="3">
        <f>IF($J26="","",S26-V26)</f>
      </c>
    </row>
    <row r="27" spans="1:23" x14ac:dyDescent="0.25">
      <c r="A27" s="1"/>
      <c r="D27" s="2"/>
      <c r="I27" s="3"/>
      <c r="J27" s="3"/>
      <c r="K27" s="3">
        <f>IF($J27="","",J27-I27)</f>
      </c>
      <c r="L27" s="3">
        <f>IF($J27="","",K27*16.67%)</f>
      </c>
      <c r="M27" s="3">
        <f>IF($J27="","",J27*7%)</f>
      </c>
      <c r="N27" s="3">
        <f>IF($J27="","",M27*20%)</f>
      </c>
      <c r="O27" s="3"/>
      <c r="P27" s="3">
        <f>IF($J27="","",O27*20%)</f>
      </c>
      <c r="Q27" s="3">
        <v>1</v>
      </c>
      <c r="R27" s="3">
        <f>IF($J27="","",N27+P27)</f>
      </c>
      <c r="S27" s="3">
        <f>IF($J27="","",K27-L27-M27-N27-O27-P27-Q27)</f>
      </c>
      <c r="T27" s="3">
        <f>IF($J27="","",(S27-V27)/I27*100)</f>
      </c>
      <c r="U27" s="3">
        <f>IF($J27="","",L27-R27)</f>
      </c>
      <c r="W27" s="3">
        <f>IF($J27="","",S27-V27)</f>
      </c>
    </row>
    <row r="28" spans="1:23" x14ac:dyDescent="0.25">
      <c r="A28" s="1"/>
      <c r="D28" s="2"/>
      <c r="I28" s="3"/>
      <c r="J28" s="3"/>
      <c r="K28" s="3">
        <f>IF($J28="","",J28-I28)</f>
      </c>
      <c r="L28" s="3">
        <f>IF($J28="","",K28*16.67%)</f>
      </c>
      <c r="M28" s="3">
        <f>IF($J28="","",J28*7%)</f>
      </c>
      <c r="N28" s="3">
        <f>IF($J28="","",M28*20%)</f>
      </c>
      <c r="O28" s="3"/>
      <c r="P28" s="3">
        <f>IF($J28="","",O28*20%)</f>
      </c>
      <c r="Q28" s="3">
        <v>1</v>
      </c>
      <c r="R28" s="3">
        <f>IF($J28="","",N28+P28)</f>
      </c>
      <c r="S28" s="3">
        <f>IF($J28="","",K28-L28-M28-N28-O28-P28-Q28)</f>
      </c>
      <c r="T28" s="3">
        <f>IF($J28="","",(S28-V28)/I28*100)</f>
      </c>
      <c r="U28" s="3">
        <f>IF($J28="","",L28-R28)</f>
      </c>
      <c r="W28" s="3">
        <f>IF($J28="","",S28-V28)</f>
      </c>
    </row>
    <row r="29" spans="1:23" x14ac:dyDescent="0.25">
      <c r="A29" s="1"/>
      <c r="D29" s="2"/>
      <c r="I29" s="3"/>
      <c r="J29" s="3"/>
      <c r="K29" s="3">
        <f>IF($J29="","",J29-I29)</f>
      </c>
      <c r="L29" s="3">
        <f>IF($J29="","",K29*16.67%)</f>
      </c>
      <c r="M29" s="3">
        <f>IF($J29="","",J29*7%)</f>
      </c>
      <c r="N29" s="3">
        <f>IF($J29="","",M29*20%)</f>
      </c>
      <c r="O29" s="3"/>
      <c r="P29" s="3">
        <f>IF($J29="","",O29*20%)</f>
      </c>
      <c r="Q29" s="3">
        <v>1</v>
      </c>
      <c r="R29" s="3">
        <f>IF($J29="","",N29+P29)</f>
      </c>
      <c r="S29" s="3">
        <f>IF($J29="","",K29-L29-M29-N29-O29-P29-Q29)</f>
      </c>
      <c r="T29" s="3">
        <f>IF($J29="","",(S29-V29)/I29*100)</f>
      </c>
      <c r="U29" s="3">
        <f>IF($J29="","",L29-R29)</f>
      </c>
      <c r="W29" s="3">
        <f>IF($J29="","",S29-V29)</f>
      </c>
    </row>
    <row r="30" spans="1:23" x14ac:dyDescent="0.25">
      <c r="A30" s="1"/>
      <c r="D30" s="2"/>
      <c r="I30" s="3"/>
      <c r="J30" s="3"/>
      <c r="K30" s="3">
        <f>IF($J30="","",J30-I30)</f>
      </c>
      <c r="L30" s="3">
        <f>IF($J30="","",K30*16.67%)</f>
      </c>
      <c r="M30" s="3">
        <f>IF($J30="","",J30*7%)</f>
      </c>
      <c r="N30" s="3">
        <f>IF($J30="","",M30*20%)</f>
      </c>
      <c r="O30" s="3"/>
      <c r="P30" s="3">
        <f>IF($J30="","",O30*20%)</f>
      </c>
      <c r="Q30" s="3">
        <v>1</v>
      </c>
      <c r="R30" s="3">
        <f>IF($J30="","",N30+P30)</f>
      </c>
      <c r="S30" s="3">
        <f>IF($J30="","",K30-L30-M30-N30-O30-P30-Q30)</f>
      </c>
      <c r="T30" s="3">
        <f>IF($J30="","",(S30-V30)/I30*100)</f>
      </c>
      <c r="U30" s="3">
        <f>IF($J30="","",L30-R30)</f>
      </c>
      <c r="W30" s="3">
        <f>IF($J30="","",S30-V30)</f>
      </c>
    </row>
    <row r="31" spans="1:23" x14ac:dyDescent="0.25">
      <c r="A31" s="1"/>
      <c r="D31" s="2"/>
      <c r="I31" s="3"/>
      <c r="J31" s="3"/>
      <c r="K31" s="3">
        <f>IF($J31="","",J31-I31)</f>
      </c>
      <c r="L31" s="3">
        <f>IF($J31="","",K31*16.67%)</f>
      </c>
      <c r="M31" s="3">
        <f>IF($J31="","",J31*7%)</f>
      </c>
      <c r="N31" s="3">
        <f>IF($J31="","",M31*20%)</f>
      </c>
      <c r="O31" s="3"/>
      <c r="P31" s="3">
        <f>IF($J31="","",O31*20%)</f>
      </c>
      <c r="Q31" s="3">
        <v>1</v>
      </c>
      <c r="R31" s="3">
        <f>IF($J31="","",N31+P31)</f>
      </c>
      <c r="S31" s="3">
        <f>IF($J31="","",K31-L31-M31-N31-O31-P31-Q31)</f>
      </c>
      <c r="T31" s="3">
        <f>IF($J31="","",(S31-V31)/I31*100)</f>
      </c>
      <c r="U31" s="3">
        <f>IF($J31="","",L31-R31)</f>
      </c>
      <c r="W31" s="3">
        <f>IF($J31="","",S31-V31)</f>
      </c>
    </row>
    <row r="32" spans="1:23" x14ac:dyDescent="0.25">
      <c r="A32" s="1"/>
      <c r="D32" s="2"/>
      <c r="I32" s="3"/>
      <c r="J32" s="3"/>
      <c r="K32" s="3">
        <f>IF($J32="","",J32-I32)</f>
      </c>
      <c r="L32" s="3">
        <f>IF($J32="","",K32*16.67%)</f>
      </c>
      <c r="M32" s="3">
        <f>IF($J32="","",J32*7%)</f>
      </c>
      <c r="N32" s="3">
        <f>IF($J32="","",M32*20%)</f>
      </c>
      <c r="O32" s="3"/>
      <c r="P32" s="3">
        <f>IF($J32="","",O32*20%)</f>
      </c>
      <c r="Q32" s="3">
        <v>1</v>
      </c>
      <c r="R32" s="3">
        <f>IF($J32="","",N32+P32)</f>
      </c>
      <c r="S32" s="3">
        <f>IF($J32="","",K32-L32-M32-N32-O32-P32-Q32)</f>
      </c>
      <c r="T32" s="3">
        <f>IF($J32="","",(S32-V32)/I32*100)</f>
      </c>
      <c r="U32" s="3">
        <f>IF($J32="","",L32-R32)</f>
      </c>
      <c r="W32" s="3">
        <f>IF($J32="","",S32-V32)</f>
      </c>
    </row>
    <row r="33" spans="1:23" x14ac:dyDescent="0.25">
      <c r="A33" s="1"/>
      <c r="D33" s="2"/>
      <c r="I33" s="3"/>
      <c r="J33" s="3"/>
      <c r="K33" s="3">
        <f>IF($J33="","",J33-I33)</f>
      </c>
      <c r="L33" s="3">
        <f>IF($J33="","",K33*16.67%)</f>
      </c>
      <c r="M33" s="3">
        <f>IF($J33="","",J33*7%)</f>
      </c>
      <c r="N33" s="3">
        <f>IF($J33="","",M33*20%)</f>
      </c>
      <c r="O33" s="3"/>
      <c r="P33" s="3">
        <f>IF($J33="","",O33*20%)</f>
      </c>
      <c r="Q33" s="3">
        <v>1</v>
      </c>
      <c r="R33" s="3">
        <f>IF($J33="","",N33+P33)</f>
      </c>
      <c r="S33" s="3">
        <f>IF($J33="","",K33-L33-M33-N33-O33-P33-Q33)</f>
      </c>
      <c r="T33" s="3">
        <f>IF($J33="","",(S33-V33)/I33*100)</f>
      </c>
      <c r="U33" s="3">
        <f>IF($J33="","",L33-R33)</f>
      </c>
      <c r="W33" s="3">
        <f>IF($J33="","",S33-V33)</f>
      </c>
    </row>
    <row r="34" spans="1:23" x14ac:dyDescent="0.25">
      <c r="A34" s="1"/>
      <c r="D34" s="2"/>
      <c r="I34" s="3"/>
      <c r="J34" s="3"/>
      <c r="K34" s="3">
        <f>IF($J34="","",J34-I34)</f>
      </c>
      <c r="L34" s="3">
        <f>IF($J34="","",K34*16.67%)</f>
      </c>
      <c r="M34" s="3">
        <f>IF($J34="","",J34*7%)</f>
      </c>
      <c r="N34" s="3">
        <f>IF($J34="","",M34*20%)</f>
      </c>
      <c r="O34" s="3"/>
      <c r="P34" s="3">
        <f>IF($J34="","",O34*20%)</f>
      </c>
      <c r="Q34" s="3">
        <v>1</v>
      </c>
      <c r="R34" s="3">
        <f>IF($J34="","",N34+P34)</f>
      </c>
      <c r="S34" s="3">
        <f>IF($J34="","",K34-L34-M34-N34-O34-P34-Q34)</f>
      </c>
      <c r="T34" s="3">
        <f>IF($J34="","",(S34-V34)/I34*100)</f>
      </c>
      <c r="U34" s="3">
        <f>IF($J34="","",L34-R34)</f>
      </c>
      <c r="W34" s="3">
        <f>IF($J34="","",S34-V34)</f>
      </c>
    </row>
    <row r="35" spans="1:23" x14ac:dyDescent="0.25">
      <c r="A35" s="1"/>
      <c r="D35" s="2"/>
      <c r="I35" s="3"/>
      <c r="J35" s="3"/>
      <c r="K35" s="3">
        <f>IF($J35="","",J35-I35)</f>
      </c>
      <c r="L35" s="3">
        <f>IF($J35="","",K35*16.67%)</f>
      </c>
      <c r="M35" s="3">
        <f>IF($J35="","",J35*7%)</f>
      </c>
      <c r="N35" s="3">
        <f>IF($J35="","",M35*20%)</f>
      </c>
      <c r="O35" s="3"/>
      <c r="P35" s="3">
        <f>IF($J35="","",O35*20%)</f>
      </c>
      <c r="Q35" s="3">
        <v>1</v>
      </c>
      <c r="R35" s="3">
        <f>IF($J35="","",N35+P35)</f>
      </c>
      <c r="S35" s="3">
        <f>IF($J35="","",K35-L35-M35-N35-O35-P35-Q35)</f>
      </c>
      <c r="T35" s="3">
        <f>IF($J35="","",(S35-V35)/I35*100)</f>
      </c>
      <c r="U35" s="3">
        <f>IF($J35="","",L35-R35)</f>
      </c>
      <c r="W35" s="3">
        <f>IF($J35="","",S35-V35)</f>
      </c>
    </row>
    <row r="36" spans="1:23" x14ac:dyDescent="0.25">
      <c r="A36" s="1"/>
      <c r="D36" s="2"/>
      <c r="I36" s="3"/>
      <c r="J36" s="3"/>
      <c r="K36" s="3">
        <f>IF($J36="","",J36-I36)</f>
      </c>
      <c r="L36" s="3">
        <f>IF($J36="","",K36*16.67%)</f>
      </c>
      <c r="M36" s="3">
        <f>IF($J36="","",J36*7%)</f>
      </c>
      <c r="N36" s="3">
        <f>IF($J36="","",M36*20%)</f>
      </c>
      <c r="O36" s="3"/>
      <c r="P36" s="3">
        <f>IF($J36="","",O36*20%)</f>
      </c>
      <c r="Q36" s="3">
        <v>1</v>
      </c>
      <c r="R36" s="3">
        <f>IF($J36="","",N36+P36)</f>
      </c>
      <c r="S36" s="3">
        <f>IF($J36="","",K36-L36-M36-N36-O36-P36-Q36)</f>
      </c>
      <c r="T36" s="3">
        <f>IF($J36="","",(S36-V36)/I36*100)</f>
      </c>
      <c r="U36" s="3">
        <f>IF($J36="","",L36-R36)</f>
      </c>
      <c r="W36" s="3">
        <f>IF($J36="","",S36-V36)</f>
      </c>
    </row>
    <row r="37" spans="1:23" x14ac:dyDescent="0.25">
      <c r="A37" s="1"/>
      <c r="D37" s="2"/>
      <c r="I37" s="3"/>
      <c r="J37" s="3"/>
      <c r="K37" s="3">
        <f>IF($J37="","",J37-I37)</f>
      </c>
      <c r="L37" s="3">
        <f>IF($J37="","",K37*16.67%)</f>
      </c>
      <c r="M37" s="3">
        <f>IF($J37="","",J37*7%)</f>
      </c>
      <c r="N37" s="3">
        <f>IF($J37="","",M37*20%)</f>
      </c>
      <c r="O37" s="3"/>
      <c r="P37" s="3">
        <f>IF($J37="","",O37*20%)</f>
      </c>
      <c r="Q37" s="3">
        <v>1</v>
      </c>
      <c r="R37" s="3">
        <f>IF($J37="","",N37+P37)</f>
      </c>
      <c r="S37" s="3">
        <f>IF($J37="","",K37-L37-M37-N37-O37-P37-Q37)</f>
      </c>
      <c r="T37" s="3">
        <f>IF($J37="","",(S37-V37)/I37*100)</f>
      </c>
      <c r="U37" s="3">
        <f>IF($J37="","",L37-R37)</f>
      </c>
      <c r="W37" s="3">
        <f>IF($J37="","",S37-V37)</f>
      </c>
    </row>
    <row r="38" spans="1:23" x14ac:dyDescent="0.25">
      <c r="A38" s="1"/>
      <c r="D38" s="2"/>
      <c r="I38" s="3"/>
      <c r="J38" s="3"/>
      <c r="K38" s="3">
        <f>IF($J38="","",J38-I38)</f>
      </c>
      <c r="L38" s="3">
        <f>IF($J38="","",K38*16.67%)</f>
      </c>
      <c r="M38" s="3">
        <f>IF($J38="","",J38*7%)</f>
      </c>
      <c r="N38" s="3">
        <f>IF($J38="","",M38*20%)</f>
      </c>
      <c r="O38" s="3"/>
      <c r="P38" s="3">
        <f>IF($J38="","",O38*20%)</f>
      </c>
      <c r="Q38" s="3">
        <v>1</v>
      </c>
      <c r="R38" s="3">
        <f>IF($J38="","",N38+P38)</f>
      </c>
      <c r="S38" s="3">
        <f>IF($J38="","",K38-L38-M38-N38-O38-P38-Q38)</f>
      </c>
      <c r="T38" s="3">
        <f>IF($J38="","",(S38-V38)/I38*100)</f>
      </c>
      <c r="U38" s="3">
        <f>IF($J38="","",L38-R38)</f>
      </c>
      <c r="W38" s="3">
        <f>IF($J38="","",S38-V38)</f>
      </c>
    </row>
    <row r="39" spans="1:23" x14ac:dyDescent="0.25">
      <c r="A39" s="1"/>
      <c r="D39" s="2"/>
      <c r="I39" s="3"/>
      <c r="J39" s="3"/>
      <c r="K39" s="3">
        <f>IF($J39="","",J39-I39)</f>
      </c>
      <c r="L39" s="3">
        <f>IF($J39="","",K39*16.67%)</f>
      </c>
      <c r="M39" s="3">
        <f>IF($J39="","",J39*7%)</f>
      </c>
      <c r="N39" s="3">
        <f>IF($J39="","",M39*20%)</f>
      </c>
      <c r="O39" s="3"/>
      <c r="P39" s="3">
        <f>IF($J39="","",O39*20%)</f>
      </c>
      <c r="Q39" s="3">
        <v>1</v>
      </c>
      <c r="R39" s="3">
        <f>IF($J39="","",N39+P39)</f>
      </c>
      <c r="S39" s="3">
        <f>IF($J39="","",K39-L39-M39-N39-O39-P39-Q39)</f>
      </c>
      <c r="T39" s="3">
        <f>IF($J39="","",(S39-V39)/I39*100)</f>
      </c>
      <c r="U39" s="3">
        <f>IF($J39="","",L39-R39)</f>
      </c>
      <c r="W39" s="3">
        <f>IF($J39="","",S39-V39)</f>
      </c>
    </row>
    <row r="40" spans="1:23" x14ac:dyDescent="0.25">
      <c r="A40" s="1"/>
      <c r="D40" s="2"/>
      <c r="I40" s="3"/>
      <c r="J40" s="3"/>
      <c r="K40" s="3">
        <f>IF($J40="","",J40-I40)</f>
      </c>
      <c r="L40" s="3">
        <f>IF($J40="","",K40*16.67%)</f>
      </c>
      <c r="M40" s="3">
        <f>IF($J40="","",J40*7%)</f>
      </c>
      <c r="N40" s="3">
        <f>IF($J40="","",M40*20%)</f>
      </c>
      <c r="O40" s="3"/>
      <c r="P40" s="3">
        <f>IF($J40="","",O40*20%)</f>
      </c>
      <c r="Q40" s="3">
        <v>1</v>
      </c>
      <c r="R40" s="3">
        <f>IF($J40="","",N40+P40)</f>
      </c>
      <c r="S40" s="3">
        <f>IF($J40="","",K40-L40-M40-N40-O40-P40-Q40)</f>
      </c>
      <c r="T40" s="3">
        <f>IF($J40="","",(S40-V40)/I40*100)</f>
      </c>
      <c r="U40" s="3">
        <f>IF($J40="","",L40-R40)</f>
      </c>
      <c r="W40" s="3">
        <f>IF($J40="","",S40-V40)</f>
      </c>
    </row>
    <row r="41" spans="1:23" x14ac:dyDescent="0.25">
      <c r="A41" s="1"/>
      <c r="D41" s="2"/>
      <c r="I41" s="3"/>
      <c r="J41" s="3"/>
      <c r="K41" s="3">
        <f>IF($J41="","",J41-I41)</f>
      </c>
      <c r="L41" s="3">
        <f>IF($J41="","",K41*16.67%)</f>
      </c>
      <c r="M41" s="3">
        <f>IF($J41="","",J41*7%)</f>
      </c>
      <c r="N41" s="3">
        <f>IF($J41="","",M41*20%)</f>
      </c>
      <c r="O41" s="3"/>
      <c r="P41" s="3">
        <f>IF($J41="","",O41*20%)</f>
      </c>
      <c r="Q41" s="3">
        <v>1</v>
      </c>
      <c r="R41" s="3">
        <f>IF($J41="","",N41+P41)</f>
      </c>
      <c r="S41" s="3">
        <f>IF($J41="","",K41-L41-M41-N41-O41-P41-Q41)</f>
      </c>
      <c r="T41" s="3">
        <f>IF($J41="","",(S41-V41)/I41*100)</f>
      </c>
      <c r="U41" s="3">
        <f>IF($J41="","",L41-R41)</f>
      </c>
      <c r="W41" s="3">
        <f>IF($J41="","",S41-V41)</f>
      </c>
    </row>
    <row r="42" spans="1:23" x14ac:dyDescent="0.25">
      <c r="A42" s="1"/>
      <c r="D42" s="2"/>
      <c r="I42" s="3"/>
      <c r="J42" s="3"/>
      <c r="K42" s="3">
        <f>IF($J42="","",J42-I42)</f>
      </c>
      <c r="L42" s="3">
        <f>IF($J42="","",K42*16.67%)</f>
      </c>
      <c r="M42" s="3">
        <f>IF($J42="","",J42*7%)</f>
      </c>
      <c r="N42" s="3">
        <f>IF($J42="","",M42*20%)</f>
      </c>
      <c r="O42" s="3"/>
      <c r="P42" s="3">
        <f>IF($J42="","",O42*20%)</f>
      </c>
      <c r="Q42" s="3">
        <v>1</v>
      </c>
      <c r="R42" s="3">
        <f>IF($J42="","",N42+P42)</f>
      </c>
      <c r="S42" s="3">
        <f>IF($J42="","",K42-L42-M42-N42-O42-P42-Q42)</f>
      </c>
      <c r="T42" s="3">
        <f>IF($J42="","",(S42-V42)/I42*100)</f>
      </c>
      <c r="U42" s="3">
        <f>IF($J42="","",L42-R42)</f>
      </c>
      <c r="W42" s="3">
        <f>IF($J42="","",S42-V42)</f>
      </c>
    </row>
    <row r="43" spans="1:23" x14ac:dyDescent="0.25">
      <c r="A43" s="1"/>
      <c r="D43" s="2"/>
      <c r="I43" s="3"/>
      <c r="J43" s="3"/>
      <c r="K43" s="3">
        <f>IF($J43="","",J43-I43)</f>
      </c>
      <c r="L43" s="3">
        <f>IF($J43="","",K43*16.67%)</f>
      </c>
      <c r="M43" s="3">
        <f>IF($J43="","",J43*7%)</f>
      </c>
      <c r="N43" s="3">
        <f>IF($J43="","",M43*20%)</f>
      </c>
      <c r="O43" s="3"/>
      <c r="P43" s="3">
        <f>IF($J43="","",O43*20%)</f>
      </c>
      <c r="Q43" s="3">
        <v>1</v>
      </c>
      <c r="R43" s="3">
        <f>IF($J43="","",N43+P43)</f>
      </c>
      <c r="S43" s="3">
        <f>IF($J43="","",K43-L43-M43-N43-O43-P43-Q43)</f>
      </c>
      <c r="T43" s="3">
        <f>IF($J43="","",(S43-V43)/I43*100)</f>
      </c>
      <c r="U43" s="3">
        <f>IF($J43="","",L43-R43)</f>
      </c>
      <c r="W43" s="3">
        <f>IF($J43="","",S43-V43)</f>
      </c>
    </row>
    <row r="44" spans="1:23" x14ac:dyDescent="0.25">
      <c r="A44" s="1"/>
      <c r="D44" s="2"/>
      <c r="I44" s="3"/>
      <c r="J44" s="3"/>
      <c r="K44" s="3">
        <f>IF($J44="","",J44-I44)</f>
      </c>
      <c r="L44" s="3">
        <f>IF($J44="","",K44*16.67%)</f>
      </c>
      <c r="M44" s="3">
        <f>IF($J44="","",J44*7%)</f>
      </c>
      <c r="N44" s="3">
        <f>IF($J44="","",M44*20%)</f>
      </c>
      <c r="O44" s="3"/>
      <c r="P44" s="3">
        <f>IF($J44="","",O44*20%)</f>
      </c>
      <c r="Q44" s="3">
        <v>1</v>
      </c>
      <c r="R44" s="3">
        <f>IF($J44="","",N44+P44)</f>
      </c>
      <c r="S44" s="3">
        <f>IF($J44="","",K44-L44-M44-N44-O44-P44-Q44)</f>
      </c>
      <c r="T44" s="3">
        <f>IF($J44="","",(S44-V44)/I44*100)</f>
      </c>
      <c r="U44" s="3">
        <f>IF($J44="","",L44-R44)</f>
      </c>
      <c r="W44" s="3">
        <f>IF($J44="","",S44-V44)</f>
      </c>
    </row>
    <row r="45" spans="1:23" x14ac:dyDescent="0.25">
      <c r="A45" s="1"/>
      <c r="D45" s="2"/>
      <c r="I45" s="3"/>
      <c r="J45" s="3"/>
      <c r="K45" s="3">
        <f>IF($J45="","",J45-I45)</f>
      </c>
      <c r="L45" s="3">
        <f>IF($J45="","",K45*16.67%)</f>
      </c>
      <c r="M45" s="3">
        <f>IF($J45="","",J45*7%)</f>
      </c>
      <c r="N45" s="3">
        <f>IF($J45="","",M45*20%)</f>
      </c>
      <c r="O45" s="3"/>
      <c r="P45" s="3">
        <f>IF($J45="","",O45*20%)</f>
      </c>
      <c r="Q45" s="3">
        <v>1</v>
      </c>
      <c r="R45" s="3">
        <f>IF($J45="","",N45+P45)</f>
      </c>
      <c r="S45" s="3">
        <f>IF($J45="","",K45-L45-M45-N45-O45-P45-Q45)</f>
      </c>
      <c r="T45" s="3">
        <f>IF($J45="","",(S45-V45)/I45*100)</f>
      </c>
      <c r="U45" s="3">
        <f>IF($J45="","",L45-R45)</f>
      </c>
      <c r="W45" s="3">
        <f>IF($J45="","",S45-V45)</f>
      </c>
    </row>
    <row r="46" spans="1:23" x14ac:dyDescent="0.25">
      <c r="A46" s="1"/>
      <c r="D46" s="2"/>
      <c r="I46" s="3"/>
      <c r="J46" s="3"/>
      <c r="K46" s="3">
        <f>IF($J46="","",J46-I46)</f>
      </c>
      <c r="L46" s="3">
        <f>IF($J46="","",K46*16.67%)</f>
      </c>
      <c r="M46" s="3">
        <f>IF($J46="","",J46*7%)</f>
      </c>
      <c r="N46" s="3">
        <f>IF($J46="","",M46*20%)</f>
      </c>
      <c r="O46" s="3"/>
      <c r="P46" s="3">
        <f>IF($J46="","",O46*20%)</f>
      </c>
      <c r="Q46" s="3">
        <v>1</v>
      </c>
      <c r="R46" s="3">
        <f>IF($J46="","",N46+P46)</f>
      </c>
      <c r="S46" s="3">
        <f>IF($J46="","",K46-L46-M46-N46-O46-P46-Q46)</f>
      </c>
      <c r="T46" s="3">
        <f>IF($J46="","",(S46-V46)/I46*100)</f>
      </c>
      <c r="U46" s="3">
        <f>IF($J46="","",L46-R46)</f>
      </c>
      <c r="W46" s="3">
        <f>IF($J46="","",S46-V46)</f>
      </c>
    </row>
    <row r="47" spans="1:23" x14ac:dyDescent="0.25">
      <c r="A47" s="1"/>
      <c r="D47" s="2"/>
      <c r="I47" s="3"/>
      <c r="J47" s="3"/>
      <c r="K47" s="3">
        <f>IF($J47="","",J47-I47)</f>
      </c>
      <c r="L47" s="3">
        <f>IF($J47="","",K47*16.67%)</f>
      </c>
      <c r="M47" s="3">
        <f>IF($J47="","",J47*7%)</f>
      </c>
      <c r="N47" s="3">
        <f>IF($J47="","",M47*20%)</f>
      </c>
      <c r="O47" s="3"/>
      <c r="P47" s="3">
        <f>IF($J47="","",O47*20%)</f>
      </c>
      <c r="Q47" s="3">
        <v>1</v>
      </c>
      <c r="R47" s="3">
        <f>IF($J47="","",N47+P47)</f>
      </c>
      <c r="S47" s="3">
        <f>IF($J47="","",K47-L47-M47-N47-O47-P47-Q47)</f>
      </c>
      <c r="T47" s="3">
        <f>IF($J47="","",(S47-V47)/I47*100)</f>
      </c>
      <c r="U47" s="3">
        <f>IF($J47="","",L47-R47)</f>
      </c>
      <c r="W47" s="3">
        <f>IF($J47="","",S47-V47)</f>
      </c>
    </row>
    <row r="48" spans="1:23" x14ac:dyDescent="0.25">
      <c r="A48" s="1"/>
      <c r="D48" s="2"/>
      <c r="I48" s="3"/>
      <c r="J48" s="3"/>
      <c r="K48" s="3">
        <f>IF($J48="","",J48-I48)</f>
      </c>
      <c r="L48" s="3">
        <f>IF($J48="","",K48*16.67%)</f>
      </c>
      <c r="M48" s="3">
        <f>IF($J48="","",J48*7%)</f>
      </c>
      <c r="N48" s="3">
        <f>IF($J48="","",M48*20%)</f>
      </c>
      <c r="O48" s="3"/>
      <c r="P48" s="3">
        <f>IF($J48="","",O48*20%)</f>
      </c>
      <c r="Q48" s="3">
        <v>1</v>
      </c>
      <c r="R48" s="3">
        <f>IF($J48="","",N48+P48)</f>
      </c>
      <c r="S48" s="3">
        <f>IF($J48="","",K48-L48-M48-N48-O48-P48-Q48)</f>
      </c>
      <c r="T48" s="3">
        <f>IF($J48="","",(S48-V48)/I48*100)</f>
      </c>
      <c r="U48" s="3">
        <f>IF($J48="","",L48-R48)</f>
      </c>
      <c r="W48" s="3">
        <f>IF($J48="","",S48-V48)</f>
      </c>
    </row>
    <row r="49" spans="1:23" x14ac:dyDescent="0.25">
      <c r="A49" s="1"/>
      <c r="D49" s="2"/>
      <c r="I49" s="3"/>
      <c r="J49" s="3"/>
      <c r="K49" s="3">
        <f>IF($J49="","",J49-I49)</f>
      </c>
      <c r="L49" s="3">
        <f>IF($J49="","",K49*16.67%)</f>
      </c>
      <c r="M49" s="3">
        <f>IF($J49="","",J49*7%)</f>
      </c>
      <c r="N49" s="3">
        <f>IF($J49="","",M49*20%)</f>
      </c>
      <c r="O49" s="3"/>
      <c r="P49" s="3">
        <f>IF($J49="","",O49*20%)</f>
      </c>
      <c r="Q49" s="3">
        <v>1</v>
      </c>
      <c r="R49" s="3">
        <f>IF($J49="","",N49+P49)</f>
      </c>
      <c r="S49" s="3">
        <f>IF($J49="","",K49-L49-M49-N49-O49-P49-Q49)</f>
      </c>
      <c r="T49" s="3">
        <f>IF($J49="","",(S49-V49)/I49*100)</f>
      </c>
      <c r="U49" s="3">
        <f>IF($J49="","",L49-R49)</f>
      </c>
      <c r="W49" s="3">
        <f>IF($J49="","",S49-V49)</f>
      </c>
    </row>
    <row r="50" spans="1:23" x14ac:dyDescent="0.25">
      <c r="A50" s="1"/>
      <c r="D50" s="2"/>
      <c r="I50" s="3"/>
      <c r="J50" s="3"/>
      <c r="K50" s="3">
        <f>IF($J50="","",J50-I50)</f>
      </c>
      <c r="L50" s="3">
        <f>IF($J50="","",K50*16.67%)</f>
      </c>
      <c r="M50" s="3">
        <f>IF($J50="","",J50*7%)</f>
      </c>
      <c r="N50" s="3">
        <f>IF($J50="","",M50*20%)</f>
      </c>
      <c r="O50" s="3"/>
      <c r="P50" s="3">
        <f>IF($J50="","",O50*20%)</f>
      </c>
      <c r="Q50" s="3">
        <v>1</v>
      </c>
      <c r="R50" s="3">
        <f>IF($J50="","",N50+P50)</f>
      </c>
      <c r="S50" s="3">
        <f>IF($J50="","",K50-L50-M50-N50-O50-P50-Q50)</f>
      </c>
      <c r="T50" s="3">
        <f>IF($J50="","",(S50-V50)/I50*100)</f>
      </c>
      <c r="U50" s="3">
        <f>IF($J50="","",L50-R50)</f>
      </c>
      <c r="W50" s="3">
        <f>IF($J50="","",S50-V50)</f>
      </c>
    </row>
    <row r="51" spans="1:23" x14ac:dyDescent="0.25">
      <c r="A51" s="1"/>
      <c r="D51" s="2"/>
      <c r="I51" s="3"/>
      <c r="J51" s="3"/>
      <c r="K51" s="3">
        <f>IF($J51="","",J51-I51)</f>
      </c>
      <c r="L51" s="3">
        <f>IF($J51="","",K51*16.67%)</f>
      </c>
      <c r="M51" s="3">
        <f>IF($J51="","",J51*7%)</f>
      </c>
      <c r="N51" s="3">
        <f>IF($J51="","",M51*20%)</f>
      </c>
      <c r="O51" s="3"/>
      <c r="P51" s="3">
        <f>IF($J51="","",O51*20%)</f>
      </c>
      <c r="Q51" s="3">
        <v>1</v>
      </c>
      <c r="R51" s="3">
        <f>IF($J51="","",N51+P51)</f>
      </c>
      <c r="S51" s="3">
        <f>IF($J51="","",K51-L51-M51-N51-O51-P51-Q51)</f>
      </c>
      <c r="T51" s="3">
        <f>IF($J51="","",(S51-V51)/I51*100)</f>
      </c>
      <c r="U51" s="3">
        <f>IF($J51="","",L51-R51)</f>
      </c>
      <c r="W51" s="3">
        <f>IF($J51="","",S51-V51)</f>
      </c>
    </row>
    <row r="52" spans="1:23" x14ac:dyDescent="0.25">
      <c r="A52" s="1"/>
      <c r="D52" s="2"/>
      <c r="I52" s="3"/>
      <c r="J52" s="3"/>
      <c r="K52" s="3">
        <f>IF($J52="","",J52-I52)</f>
      </c>
      <c r="L52" s="3">
        <f>IF($J52="","",K52*16.67%)</f>
      </c>
      <c r="M52" s="3">
        <f>IF($J52="","",J52*7%)</f>
      </c>
      <c r="N52" s="3">
        <f>IF($J52="","",M52*20%)</f>
      </c>
      <c r="O52" s="3"/>
      <c r="P52" s="3">
        <f>IF($J52="","",O52*20%)</f>
      </c>
      <c r="Q52" s="3">
        <v>1</v>
      </c>
      <c r="R52" s="3">
        <f>IF($J52="","",N52+P52)</f>
      </c>
      <c r="S52" s="3">
        <f>IF($J52="","",K52-L52-M52-N52-O52-P52-Q52)</f>
      </c>
      <c r="T52" s="3">
        <f>IF($J52="","",(S52-V52)/I52*100)</f>
      </c>
      <c r="U52" s="3">
        <f>IF($J52="","",L52-R52)</f>
      </c>
      <c r="W52" s="3">
        <f>IF($J52="","",S52-V52)</f>
      </c>
    </row>
    <row r="53" spans="1:23" x14ac:dyDescent="0.25">
      <c r="A53" s="1"/>
      <c r="D53" s="2"/>
      <c r="I53" s="3"/>
      <c r="J53" s="3"/>
      <c r="K53" s="3">
        <f>IF($J53="","",J53-I53)</f>
      </c>
      <c r="L53" s="3">
        <f>IF($J53="","",K53*16.67%)</f>
      </c>
      <c r="M53" s="3">
        <f>IF($J53="","",J53*7%)</f>
      </c>
      <c r="N53" s="3">
        <f>IF($J53="","",M53*20%)</f>
      </c>
      <c r="O53" s="3"/>
      <c r="P53" s="3">
        <f>IF($J53="","",O53*20%)</f>
      </c>
      <c r="Q53" s="3">
        <v>1</v>
      </c>
      <c r="R53" s="3">
        <f>IF($J53="","",N53+P53)</f>
      </c>
      <c r="S53" s="3">
        <f>IF($J53="","",K53-L53-M53-N53-O53-P53-Q53)</f>
      </c>
      <c r="T53" s="3">
        <f>IF($J53="","",(S53-V53)/I53*100)</f>
      </c>
      <c r="U53" s="3">
        <f>IF($J53="","",L53-R53)</f>
      </c>
      <c r="W53" s="3">
        <f>IF($J53="","",S53-V53)</f>
      </c>
    </row>
    <row r="54" spans="1:23" x14ac:dyDescent="0.25">
      <c r="A54" s="1"/>
      <c r="D54" s="2"/>
      <c r="I54" s="3"/>
      <c r="J54" s="3"/>
      <c r="K54" s="3">
        <f>IF($J54="","",J54-I54)</f>
      </c>
      <c r="L54" s="3">
        <f>IF($J54="","",K54*16.67%)</f>
      </c>
      <c r="M54" s="3">
        <f>IF($J54="","",J54*7%)</f>
      </c>
      <c r="N54" s="3">
        <f>IF($J54="","",M54*20%)</f>
      </c>
      <c r="O54" s="3"/>
      <c r="P54" s="3">
        <f>IF($J54="","",O54*20%)</f>
      </c>
      <c r="Q54" s="3">
        <v>1</v>
      </c>
      <c r="R54" s="3">
        <f>IF($J54="","",N54+P54)</f>
      </c>
      <c r="S54" s="3">
        <f>IF($J54="","",K54-L54-M54-N54-O54-P54-Q54)</f>
      </c>
      <c r="T54" s="3">
        <f>IF($J54="","",(S54-V54)/I54*100)</f>
      </c>
      <c r="U54" s="3">
        <f>IF($J54="","",L54-R54)</f>
      </c>
      <c r="W54" s="3">
        <f>IF($J54="","",S54-V54)</f>
      </c>
    </row>
    <row r="55" spans="1:23" x14ac:dyDescent="0.25">
      <c r="A55" s="1"/>
      <c r="D55" s="2"/>
      <c r="I55" s="3"/>
      <c r="J55" s="3"/>
      <c r="K55" s="3">
        <f>IF($J55="","",J55-I55)</f>
      </c>
      <c r="L55" s="3">
        <f>IF($J55="","",K55*16.67%)</f>
      </c>
      <c r="M55" s="3">
        <f>IF($J55="","",J55*7%)</f>
      </c>
      <c r="N55" s="3">
        <f>IF($J55="","",M55*20%)</f>
      </c>
      <c r="O55" s="3"/>
      <c r="P55" s="3">
        <f>IF($J55="","",O55*20%)</f>
      </c>
      <c r="Q55" s="3">
        <v>1</v>
      </c>
      <c r="R55" s="3">
        <f>IF($J55="","",N55+P55)</f>
      </c>
      <c r="S55" s="3">
        <f>IF($J55="","",K55-L55-M55-N55-O55-P55-Q55)</f>
      </c>
      <c r="T55" s="3">
        <f>IF($J55="","",(S55-V55)/I55*100)</f>
      </c>
      <c r="U55" s="3">
        <f>IF($J55="","",L55-R55)</f>
      </c>
      <c r="W55" s="3">
        <f>IF($J55="","",S55-V55)</f>
      </c>
    </row>
    <row r="56" spans="1:23" x14ac:dyDescent="0.25">
      <c r="A56" s="1"/>
      <c r="D56" s="2"/>
      <c r="I56" s="3"/>
      <c r="J56" s="3"/>
      <c r="K56" s="3">
        <f>IF($J56="","",J56-I56)</f>
      </c>
      <c r="L56" s="3">
        <f>IF($J56="","",K56*16.67%)</f>
      </c>
      <c r="M56" s="3">
        <f>IF($J56="","",J56*7%)</f>
      </c>
      <c r="N56" s="3">
        <f>IF($J56="","",M56*20%)</f>
      </c>
      <c r="O56" s="3"/>
      <c r="P56" s="3">
        <f>IF($J56="","",O56*20%)</f>
      </c>
      <c r="Q56" s="3">
        <v>1</v>
      </c>
      <c r="R56" s="3">
        <f>IF($J56="","",N56+P56)</f>
      </c>
      <c r="S56" s="3">
        <f>IF($J56="","",K56-L56-M56-N56-O56-P56-Q56)</f>
      </c>
      <c r="T56" s="3">
        <f>IF($J56="","",(S56-V56)/I56*100)</f>
      </c>
      <c r="U56" s="3">
        <f>IF($J56="","",L56-R56)</f>
      </c>
      <c r="W56" s="3">
        <f>IF($J56="","",S56-V56)</f>
      </c>
    </row>
    <row r="57" spans="1:23" x14ac:dyDescent="0.25">
      <c r="A57" s="1"/>
      <c r="D57" s="2"/>
      <c r="I57" s="3"/>
      <c r="J57" s="3"/>
      <c r="K57" s="3">
        <f>IF($J57="","",J57-I57)</f>
      </c>
      <c r="L57" s="3">
        <f>IF($J57="","",K57*16.67%)</f>
      </c>
      <c r="M57" s="3">
        <f>IF($J57="","",J57*7%)</f>
      </c>
      <c r="N57" s="3">
        <f>IF($J57="","",M57*20%)</f>
      </c>
      <c r="O57" s="3"/>
      <c r="P57" s="3">
        <f>IF($J57="","",O57*20%)</f>
      </c>
      <c r="Q57" s="3">
        <v>1</v>
      </c>
      <c r="R57" s="3">
        <f>IF($J57="","",N57+P57)</f>
      </c>
      <c r="S57" s="3">
        <f>IF($J57="","",K57-L57-M57-N57-O57-P57-Q57)</f>
      </c>
      <c r="T57" s="3">
        <f>IF($J57="","",(S57-V57)/I57*100)</f>
      </c>
      <c r="U57" s="3">
        <f>IF($J57="","",L57-R57)</f>
      </c>
      <c r="W57" s="3">
        <f>IF($J57="","",S57-V57)</f>
      </c>
    </row>
    <row r="58" spans="1:23" x14ac:dyDescent="0.25">
      <c r="A58" s="1"/>
      <c r="D58" s="2"/>
      <c r="I58" s="3"/>
      <c r="J58" s="3"/>
      <c r="K58" s="3">
        <f>IF($J58="","",J58-I58)</f>
      </c>
      <c r="L58" s="3">
        <f>IF($J58="","",K58*16.67%)</f>
      </c>
      <c r="M58" s="3">
        <f>IF($J58="","",J58*7%)</f>
      </c>
      <c r="N58" s="3">
        <f>IF($J58="","",M58*20%)</f>
      </c>
      <c r="O58" s="3"/>
      <c r="P58" s="3">
        <f>IF($J58="","",O58*20%)</f>
      </c>
      <c r="Q58" s="3">
        <v>1</v>
      </c>
      <c r="R58" s="3">
        <f>IF($J58="","",N58+P58)</f>
      </c>
      <c r="S58" s="3">
        <f>IF($J58="","",K58-L58-M58-N58-O58-P58-Q58)</f>
      </c>
      <c r="T58" s="3">
        <f>IF($J58="","",(S58-V58)/I58*100)</f>
      </c>
      <c r="U58" s="3">
        <f>IF($J58="","",L58-R58)</f>
      </c>
      <c r="W58" s="3">
        <f>IF($J58="","",S58-V58)</f>
      </c>
    </row>
    <row r="59" spans="1:23" x14ac:dyDescent="0.25">
      <c r="A59" s="1"/>
      <c r="D59" s="2"/>
      <c r="I59" s="3"/>
      <c r="J59" s="3"/>
      <c r="K59" s="3">
        <f>IF($J59="","",J59-I59)</f>
      </c>
      <c r="L59" s="3">
        <f>IF($J59="","",K59*16.67%)</f>
      </c>
      <c r="M59" s="3">
        <f>IF($J59="","",J59*7%)</f>
      </c>
      <c r="N59" s="3">
        <f>IF($J59="","",M59*20%)</f>
      </c>
      <c r="O59" s="3"/>
      <c r="P59" s="3">
        <f>IF($J59="","",O59*20%)</f>
      </c>
      <c r="Q59" s="3">
        <v>1</v>
      </c>
      <c r="R59" s="3">
        <f>IF($J59="","",N59+P59)</f>
      </c>
      <c r="S59" s="3">
        <f>IF($J59="","",K59-L59-M59-N59-O59-P59-Q59)</f>
      </c>
      <c r="T59" s="3">
        <f>IF($J59="","",(S59-V59)/I59*100)</f>
      </c>
      <c r="U59" s="3">
        <f>IF($J59="","",L59-R59)</f>
      </c>
      <c r="W59" s="3">
        <f>IF($J59="","",S59-V59)</f>
      </c>
    </row>
    <row r="60" spans="1:23" x14ac:dyDescent="0.25">
      <c r="A60" s="1"/>
      <c r="D60" s="2"/>
      <c r="I60" s="3"/>
      <c r="J60" s="3"/>
      <c r="K60" s="3">
        <f>IF($J60="","",J60-I60)</f>
      </c>
      <c r="L60" s="3">
        <f>IF($J60="","",K60*16.67%)</f>
      </c>
      <c r="M60" s="3">
        <f>IF($J60="","",J60*7%)</f>
      </c>
      <c r="N60" s="3">
        <f>IF($J60="","",M60*20%)</f>
      </c>
      <c r="O60" s="3"/>
      <c r="P60" s="3">
        <f>IF($J60="","",O60*20%)</f>
      </c>
      <c r="Q60" s="3">
        <v>1</v>
      </c>
      <c r="R60" s="3">
        <f>IF($J60="","",N60+P60)</f>
      </c>
      <c r="S60" s="3">
        <f>IF($J60="","",K60-L60-M60-N60-O60-P60-Q60)</f>
      </c>
      <c r="T60" s="3">
        <f>IF($J60="","",(S60-V60)/I60*100)</f>
      </c>
      <c r="U60" s="3">
        <f>IF($J60="","",L60-R60)</f>
      </c>
      <c r="W60" s="3">
        <f>IF($J60="","",S60-V60)</f>
      </c>
    </row>
    <row r="61" spans="1:23" x14ac:dyDescent="0.25">
      <c r="A61" s="1"/>
      <c r="D61" s="2"/>
      <c r="I61" s="3"/>
      <c r="J61" s="3"/>
      <c r="K61" s="3">
        <f>IF($J61="","",J61-I61)</f>
      </c>
      <c r="L61" s="3">
        <f>IF($J61="","",K61*16.67%)</f>
      </c>
      <c r="M61" s="3">
        <f>IF($J61="","",J61*7%)</f>
      </c>
      <c r="N61" s="3">
        <f>IF($J61="","",M61*20%)</f>
      </c>
      <c r="O61" s="3"/>
      <c r="P61" s="3">
        <f>IF($J61="","",O61*20%)</f>
      </c>
      <c r="Q61" s="3">
        <v>1</v>
      </c>
      <c r="R61" s="3">
        <f>IF($J61="","",N61+P61)</f>
      </c>
      <c r="S61" s="3">
        <f>IF($J61="","",K61-L61-M61-N61-O61-P61-Q61)</f>
      </c>
      <c r="T61" s="3">
        <f>IF($J61="","",(S61-V61)/I61*100)</f>
      </c>
      <c r="U61" s="3">
        <f>IF($J61="","",L61-R61)</f>
      </c>
      <c r="W61" s="3">
        <f>IF($J61="","",S61-V61)</f>
      </c>
    </row>
    <row r="62" spans="1:23" x14ac:dyDescent="0.25">
      <c r="A62" s="1"/>
      <c r="D62" s="2"/>
      <c r="I62" s="3"/>
      <c r="J62" s="3"/>
      <c r="K62" s="3">
        <f>IF($J62="","",J62-I62)</f>
      </c>
      <c r="L62" s="3">
        <f>IF($J62="","",K62*16.67%)</f>
      </c>
      <c r="M62" s="3">
        <f>IF($J62="","",J62*7%)</f>
      </c>
      <c r="N62" s="3">
        <f>IF($J62="","",M62*20%)</f>
      </c>
      <c r="O62" s="3"/>
      <c r="P62" s="3">
        <f>IF($J62="","",O62*20%)</f>
      </c>
      <c r="Q62" s="3">
        <v>1</v>
      </c>
      <c r="R62" s="3">
        <f>IF($J62="","",N62+P62)</f>
      </c>
      <c r="S62" s="3">
        <f>IF($J62="","",K62-L62-M62-N62-O62-P62-Q62)</f>
      </c>
      <c r="T62" s="3">
        <f>IF($J62="","",(S62-V62)/I62*100)</f>
      </c>
      <c r="U62" s="3">
        <f>IF($J62="","",L62-R62)</f>
      </c>
      <c r="W62" s="3">
        <f>IF($J62="","",S62-V62)</f>
      </c>
    </row>
    <row r="63" spans="1:23" x14ac:dyDescent="0.25">
      <c r="A63" s="1"/>
      <c r="D63" s="2"/>
      <c r="I63" s="3"/>
      <c r="J63" s="3"/>
      <c r="K63" s="3">
        <f>IF($J63="","",J63-I63)</f>
      </c>
      <c r="L63" s="3">
        <f>IF($J63="","",K63*16.67%)</f>
      </c>
      <c r="M63" s="3">
        <f>IF($J63="","",J63*7%)</f>
      </c>
      <c r="N63" s="3">
        <f>IF($J63="","",M63*20%)</f>
      </c>
      <c r="O63" s="3"/>
      <c r="P63" s="3">
        <f>IF($J63="","",O63*20%)</f>
      </c>
      <c r="Q63" s="3">
        <v>1</v>
      </c>
      <c r="R63" s="3">
        <f>IF($J63="","",N63+P63)</f>
      </c>
      <c r="S63" s="3">
        <f>IF($J63="","",K63-L63-M63-N63-O63-P63-Q63)</f>
      </c>
      <c r="T63" s="3">
        <f>IF($J63="","",(S63-V63)/I63*100)</f>
      </c>
      <c r="U63" s="3">
        <f>IF($J63="","",L63-R63)</f>
      </c>
      <c r="W63" s="3">
        <f>IF($J63="","",S63-V63)</f>
      </c>
    </row>
    <row r="64" spans="1:23" x14ac:dyDescent="0.25">
      <c r="A64" s="1"/>
      <c r="D64" s="2"/>
      <c r="I64" s="3"/>
      <c r="J64" s="3"/>
      <c r="K64" s="3">
        <f>IF($J64="","",J64-I64)</f>
      </c>
      <c r="L64" s="3">
        <f>IF($J64="","",K64*16.67%)</f>
      </c>
      <c r="M64" s="3">
        <f>IF($J64="","",J64*7%)</f>
      </c>
      <c r="N64" s="3">
        <f>IF($J64="","",M64*20%)</f>
      </c>
      <c r="O64" s="3"/>
      <c r="P64" s="3">
        <f>IF($J64="","",O64*20%)</f>
      </c>
      <c r="Q64" s="3">
        <v>1</v>
      </c>
      <c r="R64" s="3">
        <f>IF($J64="","",N64+P64)</f>
      </c>
      <c r="S64" s="3">
        <f>IF($J64="","",K64-L64-M64-N64-O64-P64-Q64)</f>
      </c>
      <c r="T64" s="3">
        <f>IF($J64="","",(S64-V64)/I64*100)</f>
      </c>
      <c r="U64" s="3">
        <f>IF($J64="","",L64-R64)</f>
      </c>
      <c r="W64" s="3">
        <f>IF($J64="","",S64-V64)</f>
      </c>
    </row>
    <row r="65" spans="1:23" x14ac:dyDescent="0.25">
      <c r="A65" s="1"/>
      <c r="D65" s="2"/>
      <c r="I65" s="3"/>
      <c r="J65" s="3"/>
      <c r="K65" s="3">
        <f>IF($J65="","",J65-I65)</f>
      </c>
      <c r="L65" s="3">
        <f>IF($J65="","",K65*16.67%)</f>
      </c>
      <c r="M65" s="3">
        <f>IF($J65="","",J65*7%)</f>
      </c>
      <c r="N65" s="3">
        <f>IF($J65="","",M65*20%)</f>
      </c>
      <c r="O65" s="3"/>
      <c r="P65" s="3">
        <f>IF($J65="","",O65*20%)</f>
      </c>
      <c r="Q65" s="3">
        <v>1</v>
      </c>
      <c r="R65" s="3">
        <f>IF($J65="","",N65+P65)</f>
      </c>
      <c r="S65" s="3">
        <f>IF($J65="","",K65-L65-M65-N65-O65-P65-Q65)</f>
      </c>
      <c r="T65" s="3">
        <f>IF($J65="","",(S65-V65)/I65*100)</f>
      </c>
      <c r="U65" s="3">
        <f>IF($J65="","",L65-R65)</f>
      </c>
      <c r="W65" s="3">
        <f>IF($J65="","",S65-V65)</f>
      </c>
    </row>
    <row r="66" spans="1:23" x14ac:dyDescent="0.25">
      <c r="A66" s="1"/>
      <c r="D66" s="2"/>
      <c r="I66" s="3"/>
      <c r="J66" s="3"/>
      <c r="K66" s="3">
        <f>IF($J66="","",J66-I66)</f>
      </c>
      <c r="L66" s="3">
        <f>IF($J66="","",K66*16.67%)</f>
      </c>
      <c r="M66" s="3">
        <f>IF($J66="","",J66*7%)</f>
      </c>
      <c r="N66" s="3">
        <f>IF($J66="","",M66*20%)</f>
      </c>
      <c r="O66" s="3"/>
      <c r="P66" s="3">
        <f>IF($J66="","",O66*20%)</f>
      </c>
      <c r="Q66" s="3">
        <v>1</v>
      </c>
      <c r="R66" s="3">
        <f>IF($J66="","",N66+P66)</f>
      </c>
      <c r="S66" s="3">
        <f>IF($J66="","",K66-L66-M66-N66-O66-P66-Q66)</f>
      </c>
      <c r="T66" s="3">
        <f>IF($J66="","",(S66-V66)/I66*100)</f>
      </c>
      <c r="U66" s="3">
        <f>IF($J66="","",L66-R66)</f>
      </c>
      <c r="W66" s="3">
        <f>IF($J66="","",S66-V66)</f>
      </c>
    </row>
    <row r="67" spans="1:23" x14ac:dyDescent="0.25">
      <c r="A67" s="1"/>
      <c r="D67" s="2"/>
      <c r="I67" s="3"/>
      <c r="J67" s="3"/>
      <c r="K67" s="3">
        <f>IF($J67="","",J67-I67)</f>
      </c>
      <c r="L67" s="3">
        <f>IF($J67="","",K67*16.67%)</f>
      </c>
      <c r="M67" s="3">
        <f>IF($J67="","",J67*7%)</f>
      </c>
      <c r="N67" s="3">
        <f>IF($J67="","",M67*20%)</f>
      </c>
      <c r="O67" s="3"/>
      <c r="P67" s="3">
        <f>IF($J67="","",O67*20%)</f>
      </c>
      <c r="Q67" s="3">
        <v>1</v>
      </c>
      <c r="R67" s="3">
        <f>IF($J67="","",N67+P67)</f>
      </c>
      <c r="S67" s="3">
        <f>IF($J67="","",K67-L67-M67-N67-O67-P67-Q67)</f>
      </c>
      <c r="T67" s="3">
        <f>IF($J67="","",(S67-V67)/I67*100)</f>
      </c>
      <c r="U67" s="3">
        <f>IF($J67="","",L67-R67)</f>
      </c>
      <c r="W67" s="3">
        <f>IF($J67="","",S67-V67)</f>
      </c>
    </row>
    <row r="68" spans="1:23" x14ac:dyDescent="0.25">
      <c r="A68" s="1"/>
      <c r="D68" s="2"/>
      <c r="I68" s="3"/>
      <c r="J68" s="3"/>
      <c r="K68" s="3">
        <f>IF($J68="","",J68-I68)</f>
      </c>
      <c r="L68" s="3">
        <f>IF($J68="","",K68*16.67%)</f>
      </c>
      <c r="M68" s="3">
        <f>IF($J68="","",J68*7%)</f>
      </c>
      <c r="N68" s="3">
        <f>IF($J68="","",M68*20%)</f>
      </c>
      <c r="O68" s="3"/>
      <c r="P68" s="3">
        <f>IF($J68="","",O68*20%)</f>
      </c>
      <c r="Q68" s="3">
        <v>1</v>
      </c>
      <c r="R68" s="3">
        <f>IF($J68="","",N68+P68)</f>
      </c>
      <c r="S68" s="3">
        <f>IF($J68="","",K68-L68-M68-N68-O68-P68-Q68)</f>
      </c>
      <c r="T68" s="3">
        <f>IF($J68="","",(S68-V68)/I68*100)</f>
      </c>
      <c r="U68" s="3">
        <f>IF($J68="","",L68-R68)</f>
      </c>
      <c r="W68" s="3">
        <f>IF($J68="","",S68-V68)</f>
      </c>
    </row>
    <row r="69" spans="1:23" x14ac:dyDescent="0.25">
      <c r="A69" s="1"/>
      <c r="D69" s="2"/>
      <c r="I69" s="3"/>
      <c r="J69" s="3"/>
      <c r="K69" s="3">
        <f>IF($J69="","",J69-I69)</f>
      </c>
      <c r="L69" s="3">
        <f>IF($J69="","",K69*16.67%)</f>
      </c>
      <c r="M69" s="3">
        <f>IF($J69="","",J69*7%)</f>
      </c>
      <c r="N69" s="3">
        <f>IF($J69="","",M69*20%)</f>
      </c>
      <c r="O69" s="3"/>
      <c r="P69" s="3">
        <f>IF($J69="","",O69*20%)</f>
      </c>
      <c r="Q69" s="3">
        <v>1</v>
      </c>
      <c r="R69" s="3">
        <f>IF($J69="","",N69+P69)</f>
      </c>
      <c r="S69" s="3">
        <f>IF($J69="","",K69-L69-M69-N69-O69-P69-Q69)</f>
      </c>
      <c r="T69" s="3">
        <f>IF($J69="","",(S69-V69)/I69*100)</f>
      </c>
      <c r="U69" s="3">
        <f>IF($J69="","",L69-R69)</f>
      </c>
      <c r="W69" s="3">
        <f>IF($J69="","",S69-V69)</f>
      </c>
    </row>
    <row r="70" spans="1:23" x14ac:dyDescent="0.25">
      <c r="A70" s="1"/>
      <c r="D70" s="2"/>
      <c r="I70" s="3"/>
      <c r="J70" s="3"/>
      <c r="K70" s="3">
        <f>IF($J70="","",J70-I70)</f>
      </c>
      <c r="L70" s="3">
        <f>IF($J70="","",K70*16.67%)</f>
      </c>
      <c r="M70" s="3">
        <f>IF($J70="","",J70*7%)</f>
      </c>
      <c r="N70" s="3">
        <f>IF($J70="","",M70*20%)</f>
      </c>
      <c r="O70" s="3"/>
      <c r="P70" s="3">
        <f>IF($J70="","",O70*20%)</f>
      </c>
      <c r="Q70" s="3">
        <v>1</v>
      </c>
      <c r="R70" s="3">
        <f>IF($J70="","",N70+P70)</f>
      </c>
      <c r="S70" s="3">
        <f>IF($J70="","",K70-L70-M70-N70-O70-P70-Q70)</f>
      </c>
      <c r="T70" s="3">
        <f>IF($J70="","",(S70-V70)/I70*100)</f>
      </c>
      <c r="U70" s="3">
        <f>IF($J70="","",L70-R70)</f>
      </c>
      <c r="W70" s="3">
        <f>IF($J70="","",S70-V70)</f>
      </c>
    </row>
    <row r="71" spans="1:23" x14ac:dyDescent="0.25">
      <c r="A71" s="1"/>
      <c r="D71" s="2"/>
      <c r="I71" s="3"/>
      <c r="J71" s="3"/>
      <c r="K71" s="3">
        <f>IF($J71="","",J71-I71)</f>
      </c>
      <c r="L71" s="3">
        <f>IF($J71="","",K71*16.67%)</f>
      </c>
      <c r="M71" s="3">
        <f>IF($J71="","",J71*7%)</f>
      </c>
      <c r="N71" s="3">
        <f>IF($J71="","",M71*20%)</f>
      </c>
      <c r="O71" s="3"/>
      <c r="P71" s="3">
        <f>IF($J71="","",O71*20%)</f>
      </c>
      <c r="Q71" s="3">
        <v>1</v>
      </c>
      <c r="R71" s="3">
        <f>IF($J71="","",N71+P71)</f>
      </c>
      <c r="S71" s="3">
        <f>IF($J71="","",K71-L71-M71-N71-O71-P71-Q71)</f>
      </c>
      <c r="T71" s="3">
        <f>IF($J71="","",(S71-V71)/I71*100)</f>
      </c>
      <c r="U71" s="3">
        <f>IF($J71="","",L71-R71)</f>
      </c>
      <c r="W71" s="3">
        <f>IF($J71="","",S71-V71)</f>
      </c>
    </row>
    <row r="72" spans="1:23" x14ac:dyDescent="0.25">
      <c r="A72" s="1"/>
      <c r="D72" s="2"/>
      <c r="I72" s="3"/>
      <c r="J72" s="3"/>
      <c r="K72" s="3">
        <f>IF($J72="","",J72-I72)</f>
      </c>
      <c r="L72" s="3">
        <f>IF($J72="","",K72*16.67%)</f>
      </c>
      <c r="M72" s="3">
        <f>IF($J72="","",J72*7%)</f>
      </c>
      <c r="N72" s="3">
        <f>IF($J72="","",M72*20%)</f>
      </c>
      <c r="O72" s="3"/>
      <c r="P72" s="3">
        <f>IF($J72="","",O72*20%)</f>
      </c>
      <c r="Q72" s="3">
        <v>1</v>
      </c>
      <c r="R72" s="3">
        <f>IF($J72="","",N72+P72)</f>
      </c>
      <c r="S72" s="3">
        <f>IF($J72="","",K72-L72-M72-N72-O72-P72-Q72)</f>
      </c>
      <c r="T72" s="3">
        <f>IF($J72="","",(S72-V72)/I72*100)</f>
      </c>
      <c r="U72" s="3">
        <f>IF($J72="","",L72-R72)</f>
      </c>
      <c r="W72" s="3">
        <f>IF($J72="","",S72-V72)</f>
      </c>
    </row>
    <row r="73" spans="1:23" x14ac:dyDescent="0.25">
      <c r="A73" s="1"/>
      <c r="D73" s="2"/>
      <c r="I73" s="3"/>
      <c r="J73" s="3"/>
      <c r="K73" s="3">
        <f>IF($J73="","",J73-I73)</f>
      </c>
      <c r="L73" s="3">
        <f>IF($J73="","",K73*16.67%)</f>
      </c>
      <c r="M73" s="3">
        <f>IF($J73="","",J73*7%)</f>
      </c>
      <c r="N73" s="3">
        <f>IF($J73="","",M73*20%)</f>
      </c>
      <c r="O73" s="3"/>
      <c r="P73" s="3">
        <f>IF($J73="","",O73*20%)</f>
      </c>
      <c r="Q73" s="3">
        <v>1</v>
      </c>
      <c r="R73" s="3">
        <f>IF($J73="","",N73+P73)</f>
      </c>
      <c r="S73" s="3">
        <f>IF($J73="","",K73-L73-M73-N73-O73-P73-Q73)</f>
      </c>
      <c r="T73" s="3">
        <f>IF($J73="","",(S73-V73)/I73*100)</f>
      </c>
      <c r="U73" s="3">
        <f>IF($J73="","",L73-R73)</f>
      </c>
      <c r="W73" s="3">
        <f>IF($J73="","",S73-V73)</f>
      </c>
    </row>
    <row r="74" spans="1:23" x14ac:dyDescent="0.25">
      <c r="A74" s="1"/>
      <c r="D74" s="2"/>
      <c r="I74" s="3"/>
      <c r="J74" s="3"/>
      <c r="K74" s="3">
        <f>IF($J74="","",J74-I74)</f>
      </c>
      <c r="L74" s="3">
        <f>IF($J74="","",K74*16.67%)</f>
      </c>
      <c r="M74" s="3">
        <f>IF($J74="","",J74*7%)</f>
      </c>
      <c r="N74" s="3">
        <f>IF($J74="","",M74*20%)</f>
      </c>
      <c r="O74" s="3"/>
      <c r="P74" s="3">
        <f>IF($J74="","",O74*20%)</f>
      </c>
      <c r="Q74" s="3">
        <v>1</v>
      </c>
      <c r="R74" s="3">
        <f>IF($J74="","",N74+P74)</f>
      </c>
      <c r="S74" s="3">
        <f>IF($J74="","",K74-L74-M74-N74-O74-P74-Q74)</f>
      </c>
      <c r="T74" s="3">
        <f>IF($J74="","",(S74-V74)/I74*100)</f>
      </c>
      <c r="U74" s="3">
        <f>IF($J74="","",L74-R74)</f>
      </c>
      <c r="W74" s="3">
        <f>IF($J74="","",S74-V74)</f>
      </c>
    </row>
    <row r="75" spans="1:23" x14ac:dyDescent="0.25">
      <c r="A75" s="1"/>
      <c r="D75" s="2"/>
      <c r="I75" s="3"/>
      <c r="J75" s="3"/>
      <c r="K75" s="3">
        <f>IF($J75="","",J75-I75)</f>
      </c>
      <c r="L75" s="3">
        <f>IF($J75="","",K75*16.67%)</f>
      </c>
      <c r="M75" s="3">
        <f>IF($J75="","",J75*7%)</f>
      </c>
      <c r="N75" s="3">
        <f>IF($J75="","",M75*20%)</f>
      </c>
      <c r="O75" s="3"/>
      <c r="P75" s="3">
        <f>IF($J75="","",O75*20%)</f>
      </c>
      <c r="Q75" s="3">
        <v>1</v>
      </c>
      <c r="R75" s="3">
        <f>IF($J75="","",N75+P75)</f>
      </c>
      <c r="S75" s="3">
        <f>IF($J75="","",K75-L75-M75-N75-O75-P75-Q75)</f>
      </c>
      <c r="T75" s="3">
        <f>IF($J75="","",(S75-V75)/I75*100)</f>
      </c>
      <c r="U75" s="3">
        <f>IF($J75="","",L75-R75)</f>
      </c>
      <c r="W75" s="3">
        <f>IF($J75="","",S75-V75)</f>
      </c>
    </row>
    <row r="76" spans="1:23" x14ac:dyDescent="0.25">
      <c r="A76" s="1"/>
      <c r="D76" s="2"/>
      <c r="I76" s="3"/>
      <c r="J76" s="3"/>
      <c r="K76" s="3">
        <f>IF($J76="","",J76-I76)</f>
      </c>
      <c r="L76" s="3">
        <f>IF($J76="","",K76*16.67%)</f>
      </c>
      <c r="M76" s="3">
        <f>IF($J76="","",J76*7%)</f>
      </c>
      <c r="N76" s="3">
        <f>IF($J76="","",M76*20%)</f>
      </c>
      <c r="O76" s="3"/>
      <c r="P76" s="3">
        <f>IF($J76="","",O76*20%)</f>
      </c>
      <c r="Q76" s="3">
        <v>1</v>
      </c>
      <c r="R76" s="3">
        <f>IF($J76="","",N76+P76)</f>
      </c>
      <c r="S76" s="3">
        <f>IF($J76="","",K76-L76-M76-N76-O76-P76-Q76)</f>
      </c>
      <c r="T76" s="3">
        <f>IF($J76="","",(S76-V76)/I76*100)</f>
      </c>
      <c r="U76" s="3">
        <f>IF($J76="","",L76-R76)</f>
      </c>
      <c r="W76" s="3">
        <f>IF($J76="","",S76-V76)</f>
      </c>
    </row>
    <row r="77" spans="1:23" x14ac:dyDescent="0.25">
      <c r="A77" s="1"/>
      <c r="D77" s="2"/>
      <c r="I77" s="3"/>
      <c r="J77" s="3"/>
      <c r="K77" s="3">
        <f>IF($J77="","",J77-I77)</f>
      </c>
      <c r="L77" s="3">
        <f>IF($J77="","",K77*16.67%)</f>
      </c>
      <c r="M77" s="3">
        <f>IF($J77="","",J77*7%)</f>
      </c>
      <c r="N77" s="3">
        <f>IF($J77="","",M77*20%)</f>
      </c>
      <c r="O77" s="3"/>
      <c r="P77" s="3">
        <f>IF($J77="","",O77*20%)</f>
      </c>
      <c r="Q77" s="3">
        <v>1</v>
      </c>
      <c r="R77" s="3">
        <f>IF($J77="","",N77+P77)</f>
      </c>
      <c r="S77" s="3">
        <f>IF($J77="","",K77-L77-M77-N77-O77-P77-Q77)</f>
      </c>
      <c r="T77" s="3">
        <f>IF($J77="","",(S77-V77)/I77*100)</f>
      </c>
      <c r="U77" s="3">
        <f>IF($J77="","",L77-R77)</f>
      </c>
      <c r="W77" s="3">
        <f>IF($J77="","",S77-V77)</f>
      </c>
    </row>
    <row r="78" spans="1:23" x14ac:dyDescent="0.25">
      <c r="A78" s="1"/>
      <c r="D78" s="2"/>
      <c r="I78" s="3"/>
      <c r="J78" s="3"/>
      <c r="K78" s="3">
        <f>IF($J78="","",J78-I78)</f>
      </c>
      <c r="L78" s="3">
        <f>IF($J78="","",K78*16.67%)</f>
      </c>
      <c r="M78" s="3">
        <f>IF($J78="","",J78*7%)</f>
      </c>
      <c r="N78" s="3">
        <f>IF($J78="","",M78*20%)</f>
      </c>
      <c r="O78" s="3"/>
      <c r="P78" s="3">
        <f>IF($J78="","",O78*20%)</f>
      </c>
      <c r="Q78" s="3">
        <v>1</v>
      </c>
      <c r="R78" s="3">
        <f>IF($J78="","",N78+P78)</f>
      </c>
      <c r="S78" s="3">
        <f>IF($J78="","",K78-L78-M78-N78-O78-P78-Q78)</f>
      </c>
      <c r="T78" s="3">
        <f>IF($J78="","",(S78-V78)/I78*100)</f>
      </c>
      <c r="U78" s="3">
        <f>IF($J78="","",L78-R78)</f>
      </c>
      <c r="W78" s="3">
        <f>IF($J78="","",S78-V78)</f>
      </c>
    </row>
    <row r="79" spans="1:23" x14ac:dyDescent="0.25">
      <c r="A79" s="1"/>
      <c r="D79" s="2"/>
      <c r="I79" s="3"/>
      <c r="J79" s="3"/>
      <c r="K79" s="3">
        <f>IF($J79="","",J79-I79)</f>
      </c>
      <c r="L79" s="3">
        <f>IF($J79="","",K79*16.67%)</f>
      </c>
      <c r="M79" s="3">
        <f>IF($J79="","",J79*7%)</f>
      </c>
      <c r="N79" s="3">
        <f>IF($J79="","",M79*20%)</f>
      </c>
      <c r="O79" s="3"/>
      <c r="P79" s="3">
        <f>IF($J79="","",O79*20%)</f>
      </c>
      <c r="Q79" s="3">
        <v>1</v>
      </c>
      <c r="R79" s="3">
        <f>IF($J79="","",N79+P79)</f>
      </c>
      <c r="S79" s="3">
        <f>IF($J79="","",K79-L79-M79-N79-O79-P79-Q79)</f>
      </c>
      <c r="T79" s="3">
        <f>IF($J79="","",(S79-V79)/I79*100)</f>
      </c>
      <c r="U79" s="3">
        <f>IF($J79="","",L79-R79)</f>
      </c>
      <c r="W79" s="3">
        <f>IF($J79="","",S79-V79)</f>
      </c>
    </row>
    <row r="80" spans="1:23" x14ac:dyDescent="0.25">
      <c r="A80" s="1"/>
      <c r="D80" s="2"/>
      <c r="I80" s="3"/>
      <c r="J80" s="3"/>
      <c r="K80" s="3">
        <f>IF($J80="","",J80-I80)</f>
      </c>
      <c r="L80" s="3">
        <f>IF($J80="","",K80*16.67%)</f>
      </c>
      <c r="M80" s="3">
        <f>IF($J80="","",J80*7%)</f>
      </c>
      <c r="N80" s="3">
        <f>IF($J80="","",M80*20%)</f>
      </c>
      <c r="O80" s="3"/>
      <c r="P80" s="3">
        <f>IF($J80="","",O80*20%)</f>
      </c>
      <c r="Q80" s="3">
        <v>1</v>
      </c>
      <c r="R80" s="3">
        <f>IF($J80="","",N80+P80)</f>
      </c>
      <c r="S80" s="3">
        <f>IF($J80="","",K80-L80-M80-N80-O80-P80-Q80)</f>
      </c>
      <c r="T80" s="3">
        <f>IF($J80="","",(S80-V80)/I80*100)</f>
      </c>
      <c r="U80" s="3">
        <f>IF($J80="","",L80-R80)</f>
      </c>
      <c r="W80" s="3">
        <f>IF($J80="","",S80-V80)</f>
      </c>
    </row>
    <row r="81" spans="1:23" x14ac:dyDescent="0.25">
      <c r="A81" s="1"/>
      <c r="D81" s="2"/>
      <c r="I81" s="3"/>
      <c r="J81" s="3"/>
      <c r="K81" s="3">
        <f>IF($J81="","",J81-I81)</f>
      </c>
      <c r="L81" s="3">
        <f>IF($J81="","",K81*16.67%)</f>
      </c>
      <c r="M81" s="3">
        <f>IF($J81="","",J81*7%)</f>
      </c>
      <c r="N81" s="3">
        <f>IF($J81="","",M81*20%)</f>
      </c>
      <c r="O81" s="3"/>
      <c r="P81" s="3">
        <f>IF($J81="","",O81*20%)</f>
      </c>
      <c r="Q81" s="3">
        <v>1</v>
      </c>
      <c r="R81" s="3">
        <f>IF($J81="","",N81+P81)</f>
      </c>
      <c r="S81" s="3">
        <f>IF($J81="","",K81-L81-M81-N81-O81-P81-Q81)</f>
      </c>
      <c r="T81" s="3">
        <f>IF($J81="","",(S81-V81)/I81*100)</f>
      </c>
      <c r="U81" s="3">
        <f>IF($J81="","",L81-R81)</f>
      </c>
      <c r="W81" s="3">
        <f>IF($J81="","",S81-V81)</f>
      </c>
    </row>
    <row r="82" spans="1:23" x14ac:dyDescent="0.25">
      <c r="A82" s="1"/>
      <c r="D82" s="2"/>
      <c r="I82" s="3"/>
      <c r="J82" s="3"/>
      <c r="K82" s="3">
        <f>IF($J82="","",J82-I82)</f>
      </c>
      <c r="L82" s="3">
        <f>IF($J82="","",K82*16.67%)</f>
      </c>
      <c r="M82" s="3">
        <f>IF($J82="","",J82*7%)</f>
      </c>
      <c r="N82" s="3">
        <f>IF($J82="","",M82*20%)</f>
      </c>
      <c r="O82" s="3"/>
      <c r="P82" s="3">
        <f>IF($J82="","",O82*20%)</f>
      </c>
      <c r="Q82" s="3">
        <v>1</v>
      </c>
      <c r="R82" s="3">
        <f>IF($J82="","",N82+P82)</f>
      </c>
      <c r="S82" s="3">
        <f>IF($J82="","",K82-L82-M82-N82-O82-P82-Q82)</f>
      </c>
      <c r="T82" s="3">
        <f>IF($J82="","",(S82-V82)/I82*100)</f>
      </c>
      <c r="U82" s="3">
        <f>IF($J82="","",L82-R82)</f>
      </c>
      <c r="W82" s="3">
        <f>IF($J82="","",S82-V82)</f>
      </c>
    </row>
    <row r="83" spans="1:23" x14ac:dyDescent="0.25">
      <c r="A83" s="1"/>
      <c r="D83" s="2"/>
      <c r="I83" s="3"/>
      <c r="J83" s="3"/>
      <c r="K83" s="3">
        <f>IF($J83="","",J83-I83)</f>
      </c>
      <c r="L83" s="3">
        <f>IF($J83="","",K83*16.67%)</f>
      </c>
      <c r="M83" s="3">
        <f>IF($J83="","",J83*7%)</f>
      </c>
      <c r="N83" s="3">
        <f>IF($J83="","",M83*20%)</f>
      </c>
      <c r="O83" s="3"/>
      <c r="P83" s="3">
        <f>IF($J83="","",O83*20%)</f>
      </c>
      <c r="Q83" s="3">
        <v>1</v>
      </c>
      <c r="R83" s="3">
        <f>IF($J83="","",N83+P83)</f>
      </c>
      <c r="S83" s="3">
        <f>IF($J83="","",K83-L83-M83-N83-O83-P83-Q83)</f>
      </c>
      <c r="T83" s="3">
        <f>IF($J83="","",(S83-V83)/I83*100)</f>
      </c>
      <c r="U83" s="3">
        <f>IF($J83="","",L83-R83)</f>
      </c>
      <c r="W83" s="3">
        <f>IF($J83="","",S83-V83)</f>
      </c>
    </row>
    <row r="84" spans="1:23" x14ac:dyDescent="0.25">
      <c r="A84" s="1"/>
      <c r="D84" s="2"/>
      <c r="I84" s="3"/>
      <c r="J84" s="3"/>
      <c r="K84" s="3">
        <f>IF($J84="","",J84-I84)</f>
      </c>
      <c r="L84" s="3">
        <f>IF($J84="","",K84*16.67%)</f>
      </c>
      <c r="M84" s="3">
        <f>IF($J84="","",J84*7%)</f>
      </c>
      <c r="N84" s="3">
        <f>IF($J84="","",M84*20%)</f>
      </c>
      <c r="O84" s="3"/>
      <c r="P84" s="3">
        <f>IF($J84="","",O84*20%)</f>
      </c>
      <c r="Q84" s="3">
        <v>1</v>
      </c>
      <c r="R84" s="3">
        <f>IF($J84="","",N84+P84)</f>
      </c>
      <c r="S84" s="3">
        <f>IF($J84="","",K84-L84-M84-N84-O84-P84-Q84)</f>
      </c>
      <c r="T84" s="3">
        <f>IF($J84="","",(S84-V84)/I84*100)</f>
      </c>
      <c r="U84" s="3">
        <f>IF($J84="","",L84-R84)</f>
      </c>
      <c r="W84" s="3">
        <f>IF($J84="","",S84-V84)</f>
      </c>
    </row>
    <row r="85" spans="1:23" x14ac:dyDescent="0.25">
      <c r="A85" s="1"/>
      <c r="D85" s="2"/>
      <c r="I85" s="3"/>
      <c r="J85" s="3"/>
      <c r="K85" s="3">
        <f>IF($J85="","",J85-I85)</f>
      </c>
      <c r="L85" s="3">
        <f>IF($J85="","",K85*16.67%)</f>
      </c>
      <c r="M85" s="3">
        <f>IF($J85="","",J85*7%)</f>
      </c>
      <c r="N85" s="3">
        <f>IF($J85="","",M85*20%)</f>
      </c>
      <c r="O85" s="3"/>
      <c r="P85" s="3">
        <f>IF($J85="","",O85*20%)</f>
      </c>
      <c r="Q85" s="3">
        <v>1</v>
      </c>
      <c r="R85" s="3">
        <f>IF($J85="","",N85+P85)</f>
      </c>
      <c r="S85" s="3">
        <f>IF($J85="","",K85-L85-M85-N85-O85-P85-Q85)</f>
      </c>
      <c r="T85" s="3">
        <f>IF($J85="","",(S85-V85)/I85*100)</f>
      </c>
      <c r="U85" s="3">
        <f>IF($J85="","",L85-R85)</f>
      </c>
      <c r="W85" s="3">
        <f>IF($J85="","",S85-V85)</f>
      </c>
    </row>
    <row r="86" spans="1:23" x14ac:dyDescent="0.25">
      <c r="A86" s="1"/>
      <c r="D86" s="2"/>
      <c r="I86" s="3"/>
      <c r="J86" s="3"/>
      <c r="K86" s="3">
        <f>IF($J86="","",J86-I86)</f>
      </c>
      <c r="L86" s="3">
        <f>IF($J86="","",K86*16.67%)</f>
      </c>
      <c r="M86" s="3">
        <f>IF($J86="","",J86*7%)</f>
      </c>
      <c r="N86" s="3">
        <f>IF($J86="","",M86*20%)</f>
      </c>
      <c r="O86" s="3"/>
      <c r="P86" s="3">
        <f>IF($J86="","",O86*20%)</f>
      </c>
      <c r="Q86" s="3">
        <v>1</v>
      </c>
      <c r="R86" s="3">
        <f>IF($J86="","",N86+P86)</f>
      </c>
      <c r="S86" s="3">
        <f>IF($J86="","",K86-L86-M86-N86-O86-P86-Q86)</f>
      </c>
      <c r="T86" s="3">
        <f>IF($J86="","",(S86-V86)/I86*100)</f>
      </c>
      <c r="U86" s="3">
        <f>IF($J86="","",L86-R86)</f>
      </c>
      <c r="W86" s="3">
        <f>IF($J86="","",S86-V86)</f>
      </c>
    </row>
    <row r="87" spans="1:23" x14ac:dyDescent="0.25">
      <c r="A87" s="1"/>
      <c r="D87" s="2"/>
      <c r="I87" s="3"/>
      <c r="J87" s="3"/>
      <c r="K87" s="3">
        <f>IF($J87="","",J87-I87)</f>
      </c>
      <c r="L87" s="3">
        <f>IF($J87="","",K87*16.67%)</f>
      </c>
      <c r="M87" s="3">
        <f>IF($J87="","",J87*7%)</f>
      </c>
      <c r="N87" s="3">
        <f>IF($J87="","",M87*20%)</f>
      </c>
      <c r="O87" s="3"/>
      <c r="P87" s="3">
        <f>IF($J87="","",O87*20%)</f>
      </c>
      <c r="Q87" s="3">
        <v>1</v>
      </c>
      <c r="R87" s="3">
        <f>IF($J87="","",N87+P87)</f>
      </c>
      <c r="S87" s="3">
        <f>IF($J87="","",K87-L87-M87-N87-O87-P87-Q87)</f>
      </c>
      <c r="T87" s="3">
        <f>IF($J87="","",(S87-V87)/I87*100)</f>
      </c>
      <c r="U87" s="3">
        <f>IF($J87="","",L87-R87)</f>
      </c>
      <c r="W87" s="3">
        <f>IF($J87="","",S87-V87)</f>
      </c>
    </row>
    <row r="88" spans="1:23" x14ac:dyDescent="0.25">
      <c r="A88" s="1"/>
      <c r="D88" s="2"/>
      <c r="I88" s="3"/>
      <c r="J88" s="3"/>
      <c r="K88" s="3">
        <f>IF($J88="","",J88-I88)</f>
      </c>
      <c r="L88" s="3">
        <f>IF($J88="","",K88*16.67%)</f>
      </c>
      <c r="M88" s="3">
        <f>IF($J88="","",J88*7%)</f>
      </c>
      <c r="N88" s="3">
        <f>IF($J88="","",M88*20%)</f>
      </c>
      <c r="O88" s="3"/>
      <c r="P88" s="3">
        <f>IF($J88="","",O88*20%)</f>
      </c>
      <c r="Q88" s="3">
        <v>1</v>
      </c>
      <c r="R88" s="3">
        <f>IF($J88="","",N88+P88)</f>
      </c>
      <c r="S88" s="3">
        <f>IF($J88="","",K88-L88-M88-N88-O88-P88-Q88)</f>
      </c>
      <c r="T88" s="3">
        <f>IF($J88="","",(S88-V88)/I88*100)</f>
      </c>
      <c r="U88" s="3">
        <f>IF($J88="","",L88-R88)</f>
      </c>
      <c r="W88" s="3">
        <f>IF($J88="","",S88-V88)</f>
      </c>
    </row>
    <row r="89" spans="1:23" x14ac:dyDescent="0.25">
      <c r="A89" s="1"/>
      <c r="D89" s="2"/>
      <c r="I89" s="3"/>
      <c r="J89" s="3"/>
      <c r="K89" s="3">
        <f>IF($J89="","",J89-I89)</f>
      </c>
      <c r="L89" s="3">
        <f>IF($J89="","",K89*16.67%)</f>
      </c>
      <c r="M89" s="3">
        <f>IF($J89="","",J89*7%)</f>
      </c>
      <c r="N89" s="3">
        <f>IF($J89="","",M89*20%)</f>
      </c>
      <c r="O89" s="3"/>
      <c r="P89" s="3">
        <f>IF($J89="","",O89*20%)</f>
      </c>
      <c r="Q89" s="3">
        <v>1</v>
      </c>
      <c r="R89" s="3">
        <f>IF($J89="","",N89+P89)</f>
      </c>
      <c r="S89" s="3">
        <f>IF($J89="","",K89-L89-M89-N89-O89-P89-Q89)</f>
      </c>
      <c r="T89" s="3">
        <f>IF($J89="","",(S89-V89)/I89*100)</f>
      </c>
      <c r="U89" s="3">
        <f>IF($J89="","",L89-R89)</f>
      </c>
      <c r="W89" s="3">
        <f>IF($J89="","",S89-V89)</f>
      </c>
    </row>
    <row r="90" spans="1:23" x14ac:dyDescent="0.25">
      <c r="A90" s="1"/>
      <c r="D90" s="2"/>
      <c r="I90" s="3"/>
      <c r="J90" s="3"/>
      <c r="K90" s="3">
        <f>IF($J90="","",J90-I90)</f>
      </c>
      <c r="L90" s="3">
        <f>IF($J90="","",K90*16.67%)</f>
      </c>
      <c r="M90" s="3">
        <f>IF($J90="","",J90*7%)</f>
      </c>
      <c r="N90" s="3">
        <f>IF($J90="","",M90*20%)</f>
      </c>
      <c r="O90" s="3"/>
      <c r="P90" s="3">
        <f>IF($J90="","",O90*20%)</f>
      </c>
      <c r="Q90" s="3">
        <v>1</v>
      </c>
      <c r="R90" s="3">
        <f>IF($J90="","",N90+P90)</f>
      </c>
      <c r="S90" s="3">
        <f>IF($J90="","",K90-L90-M90-N90-O90-P90-Q90)</f>
      </c>
      <c r="T90" s="3">
        <f>IF($J90="","",(S90-V90)/I90*100)</f>
      </c>
      <c r="U90" s="3">
        <f>IF($J90="","",L90-R90)</f>
      </c>
      <c r="W90" s="3">
        <f>IF($J90="","",S90-V90)</f>
      </c>
    </row>
    <row r="91" spans="1:23" x14ac:dyDescent="0.25">
      <c r="A91" s="1"/>
      <c r="D91" s="2"/>
      <c r="I91" s="3"/>
      <c r="J91" s="3"/>
      <c r="K91" s="3">
        <f>IF($J91="","",J91-I91)</f>
      </c>
      <c r="L91" s="3">
        <f>IF($J91="","",K91*16.67%)</f>
      </c>
      <c r="M91" s="3">
        <f>IF($J91="","",J91*7%)</f>
      </c>
      <c r="N91" s="3">
        <f>IF($J91="","",M91*20%)</f>
      </c>
      <c r="O91" s="3"/>
      <c r="P91" s="3">
        <f>IF($J91="","",O91*20%)</f>
      </c>
      <c r="Q91" s="3">
        <v>1</v>
      </c>
      <c r="R91" s="3">
        <f>IF($J91="","",N91+P91)</f>
      </c>
      <c r="S91" s="3">
        <f>IF($J91="","",K91-L91-M91-N91-O91-P91-Q91)</f>
      </c>
      <c r="T91" s="3">
        <f>IF($J91="","",(S91-V91)/I91*100)</f>
      </c>
      <c r="U91" s="3">
        <f>IF($J91="","",L91-R91)</f>
      </c>
      <c r="W91" s="3">
        <f>IF($J91="","",S91-V91)</f>
      </c>
    </row>
    <row r="92" spans="1:23" x14ac:dyDescent="0.25">
      <c r="A92" s="1"/>
      <c r="D92" s="2"/>
      <c r="I92" s="3"/>
      <c r="J92" s="3"/>
      <c r="K92" s="3">
        <f>IF($J92="","",J92-I92)</f>
      </c>
      <c r="L92" s="3">
        <f>IF($J92="","",K92*16.67%)</f>
      </c>
      <c r="M92" s="3">
        <f>IF($J92="","",J92*7%)</f>
      </c>
      <c r="N92" s="3">
        <f>IF($J92="","",M92*20%)</f>
      </c>
      <c r="O92" s="3"/>
      <c r="P92" s="3">
        <f>IF($J92="","",O92*20%)</f>
      </c>
      <c r="Q92" s="3">
        <v>1</v>
      </c>
      <c r="R92" s="3">
        <f>IF($J92="","",N92+P92)</f>
      </c>
      <c r="S92" s="3">
        <f>IF($J92="","",K92-L92-M92-N92-O92-P92-Q92)</f>
      </c>
      <c r="T92" s="3">
        <f>IF($J92="","",(S92-V92)/I92*100)</f>
      </c>
      <c r="U92" s="3">
        <f>IF($J92="","",L92-R92)</f>
      </c>
      <c r="W92" s="3">
        <f>IF($J92="","",S92-V92)</f>
      </c>
    </row>
    <row r="93" spans="1:23" x14ac:dyDescent="0.25">
      <c r="A93" s="1"/>
      <c r="D93" s="2"/>
      <c r="I93" s="3"/>
      <c r="J93" s="3"/>
      <c r="K93" s="3">
        <f>IF($J93="","",J93-I93)</f>
      </c>
      <c r="L93" s="3">
        <f>IF($J93="","",K93*16.67%)</f>
      </c>
      <c r="M93" s="3">
        <f>IF($J93="","",J93*7%)</f>
      </c>
      <c r="N93" s="3">
        <f>IF($J93="","",M93*20%)</f>
      </c>
      <c r="O93" s="3"/>
      <c r="P93" s="3">
        <f>IF($J93="","",O93*20%)</f>
      </c>
      <c r="Q93" s="3">
        <v>1</v>
      </c>
      <c r="R93" s="3">
        <f>IF($J93="","",N93+P93)</f>
      </c>
      <c r="S93" s="3">
        <f>IF($J93="","",K93-L93-M93-N93-O93-P93-Q93)</f>
      </c>
      <c r="T93" s="3">
        <f>IF($J93="","",(S93-V93)/I93*100)</f>
      </c>
      <c r="U93" s="3">
        <f>IF($J93="","",L93-R93)</f>
      </c>
      <c r="W93" s="3">
        <f>IF($J93="","",S93-V93)</f>
      </c>
    </row>
    <row r="94" spans="1:23" x14ac:dyDescent="0.25">
      <c r="A94" s="1"/>
      <c r="D94" s="2"/>
      <c r="I94" s="3"/>
      <c r="J94" s="3"/>
      <c r="K94" s="3">
        <f>IF($J94="","",J94-I94)</f>
      </c>
      <c r="L94" s="3">
        <f>IF($J94="","",K94*16.67%)</f>
      </c>
      <c r="M94" s="3">
        <f>IF($J94="","",J94*7%)</f>
      </c>
      <c r="N94" s="3">
        <f>IF($J94="","",M94*20%)</f>
      </c>
      <c r="O94" s="3"/>
      <c r="P94" s="3">
        <f>IF($J94="","",O94*20%)</f>
      </c>
      <c r="Q94" s="3">
        <v>1</v>
      </c>
      <c r="R94" s="3">
        <f>IF($J94="","",N94+P94)</f>
      </c>
      <c r="S94" s="3">
        <f>IF($J94="","",K94-L94-M94-N94-O94-P94-Q94)</f>
      </c>
      <c r="T94" s="3">
        <f>IF($J94="","",(S94-V94)/I94*100)</f>
      </c>
      <c r="U94" s="3">
        <f>IF($J94="","",L94-R94)</f>
      </c>
      <c r="W94" s="3">
        <f>IF($J94="","",S94-V94)</f>
      </c>
    </row>
    <row r="95" spans="1:23" x14ac:dyDescent="0.25">
      <c r="A95" s="1"/>
      <c r="D95" s="2"/>
      <c r="I95" s="3"/>
      <c r="J95" s="3"/>
      <c r="K95" s="3">
        <f>IF($J95="","",J95-I95)</f>
      </c>
      <c r="L95" s="3">
        <f>IF($J95="","",K95*16.67%)</f>
      </c>
      <c r="M95" s="3">
        <f>IF($J95="","",J95*7%)</f>
      </c>
      <c r="N95" s="3">
        <f>IF($J95="","",M95*20%)</f>
      </c>
      <c r="O95" s="3"/>
      <c r="P95" s="3">
        <f>IF($J95="","",O95*20%)</f>
      </c>
      <c r="Q95" s="3">
        <v>1</v>
      </c>
      <c r="R95" s="3">
        <f>IF($J95="","",N95+P95)</f>
      </c>
      <c r="S95" s="3">
        <f>IF($J95="","",K95-L95-M95-N95-O95-P95-Q95)</f>
      </c>
      <c r="T95" s="3">
        <f>IF($J95="","",(S95-V95)/I95*100)</f>
      </c>
      <c r="U95" s="3">
        <f>IF($J95="","",L95-R95)</f>
      </c>
      <c r="W95" s="3">
        <f>IF($J95="","",S95-V95)</f>
      </c>
    </row>
    <row r="96" spans="1:23" x14ac:dyDescent="0.25">
      <c r="A96" s="1"/>
      <c r="D96" s="2"/>
      <c r="I96" s="3"/>
      <c r="J96" s="3"/>
      <c r="K96" s="3">
        <f>IF($J96="","",J96-I96)</f>
      </c>
      <c r="L96" s="3">
        <f>IF($J96="","",K96*16.67%)</f>
      </c>
      <c r="M96" s="3">
        <f>IF($J96="","",J96*7%)</f>
      </c>
      <c r="N96" s="3">
        <f>IF($J96="","",M96*20%)</f>
      </c>
      <c r="O96" s="3"/>
      <c r="P96" s="3">
        <f>IF($J96="","",O96*20%)</f>
      </c>
      <c r="Q96" s="3">
        <v>1</v>
      </c>
      <c r="R96" s="3">
        <f>IF($J96="","",N96+P96)</f>
      </c>
      <c r="S96" s="3">
        <f>IF($J96="","",K96-L96-M96-N96-O96-P96-Q96)</f>
      </c>
      <c r="T96" s="3">
        <f>IF($J96="","",(S96-V96)/I96*100)</f>
      </c>
      <c r="U96" s="3">
        <f>IF($J96="","",L96-R96)</f>
      </c>
      <c r="W96" s="3">
        <f>IF($J96="","",S96-V96)</f>
      </c>
    </row>
    <row r="97" spans="1:23" x14ac:dyDescent="0.25">
      <c r="A97" s="1"/>
      <c r="D97" s="2"/>
      <c r="I97" s="3"/>
      <c r="J97" s="3"/>
      <c r="K97" s="3">
        <f>IF($J97="","",J97-I97)</f>
      </c>
      <c r="L97" s="3">
        <f>IF($J97="","",K97*16.67%)</f>
      </c>
      <c r="M97" s="3">
        <f>IF($J97="","",J97*7%)</f>
      </c>
      <c r="N97" s="3">
        <f>IF($J97="","",M97*20%)</f>
      </c>
      <c r="O97" s="3"/>
      <c r="P97" s="3">
        <f>IF($J97="","",O97*20%)</f>
      </c>
      <c r="Q97" s="3">
        <v>1</v>
      </c>
      <c r="R97" s="3">
        <f>IF($J97="","",N97+P97)</f>
      </c>
      <c r="S97" s="3">
        <f>IF($J97="","",K97-L97-M97-N97-O97-P97-Q97)</f>
      </c>
      <c r="T97" s="3">
        <f>IF($J97="","",(S97-V97)/I97*100)</f>
      </c>
      <c r="U97" s="3">
        <f>IF($J97="","",L97-R97)</f>
      </c>
      <c r="W97" s="3">
        <f>IF($J97="","",S97-V97)</f>
      </c>
    </row>
    <row r="98" spans="1:23" x14ac:dyDescent="0.25">
      <c r="A98" s="1"/>
      <c r="D98" s="2"/>
      <c r="I98" s="3"/>
      <c r="J98" s="3"/>
      <c r="K98" s="3">
        <f>IF($J98="","",J98-I98)</f>
      </c>
      <c r="L98" s="3">
        <f>IF($J98="","",K98*16.67%)</f>
      </c>
      <c r="M98" s="3">
        <f>IF($J98="","",J98*7%)</f>
      </c>
      <c r="N98" s="3">
        <f>IF($J98="","",M98*20%)</f>
      </c>
      <c r="O98" s="3"/>
      <c r="P98" s="3">
        <f>IF($J98="","",O98*20%)</f>
      </c>
      <c r="Q98" s="3">
        <v>1</v>
      </c>
      <c r="R98" s="3">
        <f>IF($J98="","",N98+P98)</f>
      </c>
      <c r="S98" s="3">
        <f>IF($J98="","",K98-L98-M98-N98-O98-P98-Q98)</f>
      </c>
      <c r="T98" s="3">
        <f>IF($J98="","",(S98-V98)/I98*100)</f>
      </c>
      <c r="U98" s="3">
        <f>IF($J98="","",L98-R98)</f>
      </c>
      <c r="W98" s="3">
        <f>IF($J98="","",S98-V98)</f>
      </c>
    </row>
    <row r="99" spans="1:23" x14ac:dyDescent="0.25">
      <c r="A99" s="1"/>
      <c r="D99" s="2"/>
      <c r="I99" s="3"/>
      <c r="J99" s="3"/>
      <c r="K99" s="3">
        <f>IF($J99="","",J99-I99)</f>
      </c>
      <c r="L99" s="3">
        <f>IF($J99="","",K99*16.67%)</f>
      </c>
      <c r="M99" s="3">
        <f>IF($J99="","",J99*7%)</f>
      </c>
      <c r="N99" s="3">
        <f>IF($J99="","",M99*20%)</f>
      </c>
      <c r="O99" s="3"/>
      <c r="P99" s="3">
        <f>IF($J99="","",O99*20%)</f>
      </c>
      <c r="Q99" s="3">
        <v>1</v>
      </c>
      <c r="R99" s="3">
        <f>IF($J99="","",N99+P99)</f>
      </c>
      <c r="S99" s="3">
        <f>IF($J99="","",K99-L99-M99-N99-O99-P99-Q99)</f>
      </c>
      <c r="T99" s="3">
        <f>IF($J99="","",(S99-V99)/I99*100)</f>
      </c>
      <c r="U99" s="3">
        <f>IF($J99="","",L99-R99)</f>
      </c>
      <c r="W99" s="3">
        <f>IF($J99="","",S99-V99)</f>
      </c>
    </row>
    <row r="100" spans="1:23" x14ac:dyDescent="0.25">
      <c r="A100" s="1"/>
      <c r="D100" s="2"/>
      <c r="I100" s="3"/>
      <c r="J100" s="3"/>
      <c r="K100" s="3">
        <f>IF($J100="","",J100-I100)</f>
      </c>
      <c r="L100" s="3">
        <f>IF($J100="","",K100*16.67%)</f>
      </c>
      <c r="M100" s="3">
        <f>IF($J100="","",J100*7%)</f>
      </c>
      <c r="N100" s="3">
        <f>IF($J100="","",M100*20%)</f>
      </c>
      <c r="O100" s="3"/>
      <c r="P100" s="3">
        <f>IF($J100="","",O100*20%)</f>
      </c>
      <c r="Q100" s="3">
        <v>1</v>
      </c>
      <c r="R100" s="3">
        <f>IF($J100="","",N100+P100)</f>
      </c>
      <c r="S100" s="3">
        <f>IF($J100="","",K100-L100-M100-N100-O100-P100-Q100)</f>
      </c>
      <c r="T100" s="3">
        <f>IF($J100="","",(S100-V100)/I100*100)</f>
      </c>
      <c r="U100" s="3">
        <f>IF($J100="","",L100-R100)</f>
      </c>
      <c r="W100" s="3">
        <f>IF($J100="","",S100-V100)</f>
      </c>
    </row>
    <row r="101" spans="1:23" x14ac:dyDescent="0.25">
      <c r="A101" s="1"/>
      <c r="D101" s="2"/>
      <c r="I101" s="3"/>
      <c r="J101" s="3"/>
      <c r="K101" s="3">
        <f>IF($J101="","",J101-I101)</f>
      </c>
      <c r="L101" s="3">
        <f>IF($J101="","",K101*16.67%)</f>
      </c>
      <c r="M101" s="3">
        <f>IF($J101="","",J101*7%)</f>
      </c>
      <c r="N101" s="3">
        <f>IF($J101="","",M101*20%)</f>
      </c>
      <c r="O101" s="3"/>
      <c r="P101" s="3">
        <f>IF($J101="","",O101*20%)</f>
      </c>
      <c r="Q101" s="3">
        <v>1</v>
      </c>
      <c r="R101" s="3">
        <f>IF($J101="","",N101+P101)</f>
      </c>
      <c r="S101" s="3">
        <f>IF($J101="","",K101-L101-M101-N101-O101-P101-Q101)</f>
      </c>
      <c r="T101" s="3">
        <f>IF($J101="","",(S101-V101)/I101*100)</f>
      </c>
      <c r="U101" s="3">
        <f>IF($J101="","",L101-R101)</f>
      </c>
      <c r="W101" s="3">
        <f>IF($J101="","",S101-V101)</f>
      </c>
    </row>
    <row r="102" spans="1:23" x14ac:dyDescent="0.25">
      <c r="A102" s="1"/>
      <c r="D102" s="2"/>
      <c r="I102" s="3"/>
      <c r="J102" s="3"/>
      <c r="K102" s="3">
        <f>IF($J102="","",J102-I102)</f>
      </c>
      <c r="L102" s="3">
        <f>IF($J102="","",K102*16.67%)</f>
      </c>
      <c r="M102" s="3">
        <f>IF($J102="","",J102*7%)</f>
      </c>
      <c r="N102" s="3">
        <f>IF($J102="","",M102*20%)</f>
      </c>
      <c r="O102" s="3"/>
      <c r="P102" s="3">
        <f>IF($J102="","",O102*20%)</f>
      </c>
      <c r="Q102" s="3">
        <v>1</v>
      </c>
      <c r="R102" s="3">
        <f>IF($J102="","",N102+P102)</f>
      </c>
      <c r="S102" s="3">
        <f>IF($J102="","",K102-L102-M102-N102-O102-P102-Q102)</f>
      </c>
      <c r="T102" s="3">
        <f>IF($J102="","",(S102-V102)/I102*100)</f>
      </c>
      <c r="U102" s="3">
        <f>IF($J102="","",L102-R102)</f>
      </c>
      <c r="W102" s="3">
        <f>IF($J102="","",S102-V102)</f>
      </c>
    </row>
    <row r="103" spans="1:23" x14ac:dyDescent="0.25">
      <c r="A103" s="1"/>
      <c r="D103" s="2"/>
      <c r="I103" s="3"/>
      <c r="J103" s="3"/>
      <c r="K103" s="3">
        <f>IF($J103="","",J103-I103)</f>
      </c>
      <c r="L103" s="3">
        <f>IF($J103="","",K103*16.67%)</f>
      </c>
      <c r="M103" s="3">
        <f>IF($J103="","",J103*7%)</f>
      </c>
      <c r="N103" s="3">
        <f>IF($J103="","",M103*20%)</f>
      </c>
      <c r="O103" s="3"/>
      <c r="P103" s="3">
        <f>IF($J103="","",O103*20%)</f>
      </c>
      <c r="Q103" s="3">
        <v>1</v>
      </c>
      <c r="R103" s="3">
        <f>IF($J103="","",N103+P103)</f>
      </c>
      <c r="S103" s="3">
        <f>IF($J103="","",K103-L103-M103-N103-O103-P103-Q103)</f>
      </c>
      <c r="T103" s="3">
        <f>IF($J103="","",(S103-V103)/I103*100)</f>
      </c>
      <c r="U103" s="3">
        <f>IF($J103="","",L103-R103)</f>
      </c>
      <c r="W103" s="3">
        <f>IF($J103="","",S103-V103)</f>
      </c>
    </row>
    <row r="104" spans="1:23" x14ac:dyDescent="0.25">
      <c r="A104" s="1"/>
      <c r="D104" s="2"/>
      <c r="I104" s="3"/>
      <c r="J104" s="3"/>
      <c r="K104" s="3">
        <f>IF($J104="","",J104-I104)</f>
      </c>
      <c r="L104" s="3">
        <f>IF($J104="","",K104*16.67%)</f>
      </c>
      <c r="M104" s="3">
        <f>IF($J104="","",J104*7%)</f>
      </c>
      <c r="N104" s="3">
        <f>IF($J104="","",M104*20%)</f>
      </c>
      <c r="O104" s="3"/>
      <c r="P104" s="3">
        <f>IF($J104="","",O104*20%)</f>
      </c>
      <c r="Q104" s="3">
        <v>1</v>
      </c>
      <c r="R104" s="3">
        <f>IF($J104="","",N104+P104)</f>
      </c>
      <c r="S104" s="3">
        <f>IF($J104="","",K104-L104-M104-N104-O104-P104-Q104)</f>
      </c>
      <c r="T104" s="3">
        <f>IF($J104="","",(S104-V104)/I104*100)</f>
      </c>
      <c r="U104" s="3">
        <f>IF($J104="","",L104-R104)</f>
      </c>
      <c r="W104" s="3">
        <f>IF($J104="","",S104-V104)</f>
      </c>
    </row>
    <row r="105" spans="1:23" x14ac:dyDescent="0.25">
      <c r="A105" s="1"/>
      <c r="D105" s="2"/>
      <c r="I105" s="3"/>
      <c r="J105" s="3"/>
      <c r="K105" s="3">
        <f>IF($J105="","",J105-I105)</f>
      </c>
      <c r="L105" s="3">
        <f>IF($J105="","",K105*16.67%)</f>
      </c>
      <c r="M105" s="3">
        <f>IF($J105="","",J105*7%)</f>
      </c>
      <c r="N105" s="3">
        <f>IF($J105="","",M105*20%)</f>
      </c>
      <c r="O105" s="3"/>
      <c r="P105" s="3">
        <f>IF($J105="","",O105*20%)</f>
      </c>
      <c r="Q105" s="3">
        <v>1</v>
      </c>
      <c r="R105" s="3">
        <f>IF($J105="","",N105+P105)</f>
      </c>
      <c r="S105" s="3">
        <f>IF($J105="","",K105-L105-M105-N105-O105-P105-Q105)</f>
      </c>
      <c r="T105" s="3">
        <f>IF($J105="","",(S105-V105)/I105*100)</f>
      </c>
      <c r="U105" s="3">
        <f>IF($J105="","",L105-R105)</f>
      </c>
      <c r="W105" s="3">
        <f>IF($J105="","",S105-V105)</f>
      </c>
    </row>
    <row r="106" spans="1:23" x14ac:dyDescent="0.25">
      <c r="A106" s="1"/>
      <c r="D106" s="2"/>
      <c r="I106" s="3"/>
      <c r="J106" s="3"/>
      <c r="K106" s="3">
        <f>IF($J106="","",J106-I106)</f>
      </c>
      <c r="L106" s="3">
        <f>IF($J106="","",K106*16.67%)</f>
      </c>
      <c r="M106" s="3">
        <f>IF($J106="","",J106*7%)</f>
      </c>
      <c r="N106" s="3">
        <f>IF($J106="","",M106*20%)</f>
      </c>
      <c r="O106" s="3"/>
      <c r="P106" s="3">
        <f>IF($J106="","",O106*20%)</f>
      </c>
      <c r="Q106" s="3">
        <v>1</v>
      </c>
      <c r="R106" s="3">
        <f>IF($J106="","",N106+P106)</f>
      </c>
      <c r="S106" s="3">
        <f>IF($J106="","",K106-L106-M106-N106-O106-P106-Q106)</f>
      </c>
      <c r="T106" s="3">
        <f>IF($J106="","",(S106-V106)/I106*100)</f>
      </c>
      <c r="U106" s="3">
        <f>IF($J106="","",L106-R106)</f>
      </c>
      <c r="W106" s="3">
        <f>IF($J106="","",S106-V106)</f>
      </c>
    </row>
    <row r="107" spans="1:23" x14ac:dyDescent="0.25">
      <c r="A107" s="1"/>
      <c r="D107" s="2"/>
      <c r="I107" s="3"/>
      <c r="J107" s="3"/>
      <c r="K107" s="3">
        <f>IF($J107="","",J107-I107)</f>
      </c>
      <c r="L107" s="3">
        <f>IF($J107="","",K107*16.67%)</f>
      </c>
      <c r="M107" s="3">
        <f>IF($J107="","",J107*7%)</f>
      </c>
      <c r="N107" s="3">
        <f>IF($J107="","",M107*20%)</f>
      </c>
      <c r="O107" s="3"/>
      <c r="P107" s="3">
        <f>IF($J107="","",O107*20%)</f>
      </c>
      <c r="Q107" s="3">
        <v>1</v>
      </c>
      <c r="R107" s="3">
        <f>IF($J107="","",N107+P107)</f>
      </c>
      <c r="S107" s="3">
        <f>IF($J107="","",K107-L107-M107-N107-O107-P107-Q107)</f>
      </c>
      <c r="T107" s="3">
        <f>IF($J107="","",(S107-V107)/I107*100)</f>
      </c>
      <c r="U107" s="3">
        <f>IF($J107="","",L107-R107)</f>
      </c>
      <c r="W107" s="3">
        <f>IF($J107="","",S107-V107)</f>
      </c>
    </row>
    <row r="108" spans="1:23" x14ac:dyDescent="0.25">
      <c r="A108" s="1"/>
      <c r="D108" s="2"/>
      <c r="I108" s="3"/>
      <c r="J108" s="3"/>
      <c r="K108" s="3">
        <f>IF($J108="","",J108-I108)</f>
      </c>
      <c r="L108" s="3">
        <f>IF($J108="","",K108*16.67%)</f>
      </c>
      <c r="M108" s="3">
        <f>IF($J108="","",J108*7%)</f>
      </c>
      <c r="N108" s="3">
        <f>IF($J108="","",M108*20%)</f>
      </c>
      <c r="O108" s="3"/>
      <c r="P108" s="3">
        <f>IF($J108="","",O108*20%)</f>
      </c>
      <c r="Q108" s="3">
        <v>1</v>
      </c>
      <c r="R108" s="3">
        <f>IF($J108="","",N108+P108)</f>
      </c>
      <c r="S108" s="3">
        <f>IF($J108="","",K108-L108-M108-N108-O108-P108-Q108)</f>
      </c>
      <c r="T108" s="3">
        <f>IF($J108="","",(S108-V108)/I108*100)</f>
      </c>
      <c r="U108" s="3">
        <f>IF($J108="","",L108-R108)</f>
      </c>
      <c r="W108" s="3">
        <f>IF($J108="","",S108-V108)</f>
      </c>
    </row>
    <row r="109" spans="1:23" x14ac:dyDescent="0.25">
      <c r="A109" s="1"/>
      <c r="D109" s="2"/>
      <c r="I109" s="3"/>
      <c r="J109" s="3"/>
      <c r="K109" s="3">
        <f>IF($J109="","",J109-I109)</f>
      </c>
      <c r="L109" s="3">
        <f>IF($J109="","",K109*16.67%)</f>
      </c>
      <c r="M109" s="3">
        <f>IF($J109="","",J109*7%)</f>
      </c>
      <c r="N109" s="3">
        <f>IF($J109="","",M109*20%)</f>
      </c>
      <c r="O109" s="3"/>
      <c r="P109" s="3">
        <f>IF($J109="","",O109*20%)</f>
      </c>
      <c r="Q109" s="3">
        <v>1</v>
      </c>
      <c r="R109" s="3">
        <f>IF($J109="","",N109+P109)</f>
      </c>
      <c r="S109" s="3">
        <f>IF($J109="","",K109-L109-M109-N109-O109-P109-Q109)</f>
      </c>
      <c r="T109" s="3">
        <f>IF($J109="","",(S109-V109)/I109*100)</f>
      </c>
      <c r="U109" s="3">
        <f>IF($J109="","",L109-R109)</f>
      </c>
      <c r="W109" s="3">
        <f>IF($J109="","",S109-V109)</f>
      </c>
    </row>
    <row r="110" spans="1:23" x14ac:dyDescent="0.25">
      <c r="A110" s="1"/>
      <c r="D110" s="2"/>
      <c r="I110" s="3"/>
      <c r="J110" s="3"/>
      <c r="K110" s="3">
        <f>IF($J110="","",J110-I110)</f>
      </c>
      <c r="L110" s="3">
        <f>IF($J110="","",K110*16.67%)</f>
      </c>
      <c r="M110" s="3">
        <f>IF($J110="","",J110*7%)</f>
      </c>
      <c r="N110" s="3">
        <f>IF($J110="","",M110*20%)</f>
      </c>
      <c r="O110" s="3"/>
      <c r="P110" s="3">
        <f>IF($J110="","",O110*20%)</f>
      </c>
      <c r="Q110" s="3">
        <v>1</v>
      </c>
      <c r="R110" s="3">
        <f>IF($J110="","",N110+P110)</f>
      </c>
      <c r="S110" s="3">
        <f>IF($J110="","",K110-L110-M110-N110-O110-P110-Q110)</f>
      </c>
      <c r="T110" s="3">
        <f>IF($J110="","",(S110-V110)/I110*100)</f>
      </c>
      <c r="U110" s="3">
        <f>IF($J110="","",L110-R110)</f>
      </c>
      <c r="W110" s="3">
        <f>IF($J110="","",S110-V110)</f>
      </c>
    </row>
    <row r="111" spans="1:23" x14ac:dyDescent="0.25">
      <c r="A111" s="1"/>
      <c r="D111" s="2"/>
      <c r="I111" s="3"/>
      <c r="J111" s="3"/>
      <c r="K111" s="3">
        <f>IF($J111="","",J111-I111)</f>
      </c>
      <c r="L111" s="3">
        <f>IF($J111="","",K111*16.67%)</f>
      </c>
      <c r="M111" s="3">
        <f>IF($J111="","",J111*7%)</f>
      </c>
      <c r="N111" s="3">
        <f>IF($J111="","",M111*20%)</f>
      </c>
      <c r="O111" s="3"/>
      <c r="P111" s="3">
        <f>IF($J111="","",O111*20%)</f>
      </c>
      <c r="Q111" s="3">
        <v>1</v>
      </c>
      <c r="R111" s="3">
        <f>IF($J111="","",N111+P111)</f>
      </c>
      <c r="S111" s="3">
        <f>IF($J111="","",K111-L111-M111-N111-O111-P111-Q111)</f>
      </c>
      <c r="T111" s="3">
        <f>IF($J111="","",(S111-V111)/I111*100)</f>
      </c>
      <c r="U111" s="3">
        <f>IF($J111="","",L111-R111)</f>
      </c>
      <c r="W111" s="3">
        <f>IF($J111="","",S111-V111)</f>
      </c>
    </row>
    <row r="112" spans="1:23" x14ac:dyDescent="0.25">
      <c r="A112" s="1"/>
      <c r="D112" s="2"/>
      <c r="I112" s="3"/>
      <c r="J112" s="3"/>
      <c r="K112" s="3">
        <f>IF($J112="","",J112-I112)</f>
      </c>
      <c r="L112" s="3">
        <f>IF($J112="","",K112*16.67%)</f>
      </c>
      <c r="M112" s="3">
        <f>IF($J112="","",J112*7%)</f>
      </c>
      <c r="N112" s="3">
        <f>IF($J112="","",M112*20%)</f>
      </c>
      <c r="O112" s="3"/>
      <c r="P112" s="3">
        <f>IF($J112="","",O112*20%)</f>
      </c>
      <c r="Q112" s="3">
        <v>1</v>
      </c>
      <c r="R112" s="3">
        <f>IF($J112="","",N112+P112)</f>
      </c>
      <c r="S112" s="3">
        <f>IF($J112="","",K112-L112-M112-N112-O112-P112-Q112)</f>
      </c>
      <c r="T112" s="3">
        <f>IF($J112="","",(S112-V112)/I112*100)</f>
      </c>
      <c r="U112" s="3">
        <f>IF($J112="","",L112-R112)</f>
      </c>
      <c r="W112" s="3">
        <f>IF($J112="","",S112-V112)</f>
      </c>
    </row>
    <row r="113" spans="1:23" x14ac:dyDescent="0.25">
      <c r="A113" s="1"/>
      <c r="D113" s="2"/>
      <c r="I113" s="3"/>
      <c r="J113" s="3"/>
      <c r="K113" s="3">
        <f>IF($J113="","",J113-I113)</f>
      </c>
      <c r="L113" s="3">
        <f>IF($J113="","",K113*16.67%)</f>
      </c>
      <c r="M113" s="3">
        <f>IF($J113="","",J113*7%)</f>
      </c>
      <c r="N113" s="3">
        <f>IF($J113="","",M113*20%)</f>
      </c>
      <c r="O113" s="3"/>
      <c r="P113" s="3">
        <f>IF($J113="","",O113*20%)</f>
      </c>
      <c r="Q113" s="3">
        <v>1</v>
      </c>
      <c r="R113" s="3">
        <f>IF($J113="","",N113+P113)</f>
      </c>
      <c r="S113" s="3">
        <f>IF($J113="","",K113-L113-M113-N113-O113-P113-Q113)</f>
      </c>
      <c r="T113" s="3">
        <f>IF($J113="","",(S113-V113)/I113*100)</f>
      </c>
      <c r="U113" s="3">
        <f>IF($J113="","",L113-R113)</f>
      </c>
      <c r="W113" s="3">
        <f>IF($J113="","",S113-V113)</f>
      </c>
    </row>
    <row r="114" spans="1:23" x14ac:dyDescent="0.25">
      <c r="A114" s="1"/>
      <c r="D114" s="2"/>
      <c r="I114" s="3"/>
      <c r="J114" s="3"/>
      <c r="K114" s="3">
        <f>IF($J114="","",J114-I114)</f>
      </c>
      <c r="L114" s="3">
        <f>IF($J114="","",K114*16.67%)</f>
      </c>
      <c r="M114" s="3">
        <f>IF($J114="","",J114*7%)</f>
      </c>
      <c r="N114" s="3">
        <f>IF($J114="","",M114*20%)</f>
      </c>
      <c r="O114" s="3"/>
      <c r="P114" s="3">
        <f>IF($J114="","",O114*20%)</f>
      </c>
      <c r="Q114" s="3">
        <v>1</v>
      </c>
      <c r="R114" s="3">
        <f>IF($J114="","",N114+P114)</f>
      </c>
      <c r="S114" s="3">
        <f>IF($J114="","",K114-L114-M114-N114-O114-P114-Q114)</f>
      </c>
      <c r="T114" s="3">
        <f>IF($J114="","",(S114-V114)/I114*100)</f>
      </c>
      <c r="U114" s="3">
        <f>IF($J114="","",L114-R114)</f>
      </c>
      <c r="W114" s="3">
        <f>IF($J114="","",S114-V114)</f>
      </c>
    </row>
    <row r="115" spans="1:23" x14ac:dyDescent="0.25">
      <c r="A115" s="1"/>
      <c r="D115" s="2"/>
      <c r="I115" s="3"/>
      <c r="J115" s="3"/>
      <c r="K115" s="3">
        <f>IF($J115="","",J115-I115)</f>
      </c>
      <c r="L115" s="3">
        <f>IF($J115="","",K115*16.67%)</f>
      </c>
      <c r="M115" s="3">
        <f>IF($J115="","",J115*7%)</f>
      </c>
      <c r="N115" s="3">
        <f>IF($J115="","",M115*20%)</f>
      </c>
      <c r="O115" s="3"/>
      <c r="P115" s="3">
        <f>IF($J115="","",O115*20%)</f>
      </c>
      <c r="Q115" s="3">
        <v>1</v>
      </c>
      <c r="R115" s="3">
        <f>IF($J115="","",N115+P115)</f>
      </c>
      <c r="S115" s="3">
        <f>IF($J115="","",K115-L115-M115-N115-O115-P115-Q115)</f>
      </c>
      <c r="T115" s="3">
        <f>IF($J115="","",(S115-V115)/I115*100)</f>
      </c>
      <c r="U115" s="3">
        <f>IF($J115="","",L115-R115)</f>
      </c>
      <c r="W115" s="3">
        <f>IF($J115="","",S115-V115)</f>
      </c>
    </row>
    <row r="116" spans="1:23" x14ac:dyDescent="0.25">
      <c r="A116" s="1"/>
      <c r="D116" s="2"/>
      <c r="I116" s="3"/>
      <c r="J116" s="3"/>
      <c r="K116" s="3">
        <f>IF($J116="","",J116-I116)</f>
      </c>
      <c r="L116" s="3">
        <f>IF($J116="","",K116*16.67%)</f>
      </c>
      <c r="M116" s="3">
        <f>IF($J116="","",J116*7%)</f>
      </c>
      <c r="N116" s="3">
        <f>IF($J116="","",M116*20%)</f>
      </c>
      <c r="O116" s="3"/>
      <c r="P116" s="3">
        <f>IF($J116="","",O116*20%)</f>
      </c>
      <c r="Q116" s="3">
        <v>1</v>
      </c>
      <c r="R116" s="3">
        <f>IF($J116="","",N116+P116)</f>
      </c>
      <c r="S116" s="3">
        <f>IF($J116="","",K116-L116-M116-N116-O116-P116-Q116)</f>
      </c>
      <c r="T116" s="3">
        <f>IF($J116="","",(S116-V116)/I116*100)</f>
      </c>
      <c r="U116" s="3">
        <f>IF($J116="","",L116-R116)</f>
      </c>
      <c r="W116" s="3">
        <f>IF($J116="","",S116-V116)</f>
      </c>
    </row>
    <row r="117" spans="1:23" x14ac:dyDescent="0.25">
      <c r="A117" s="1"/>
      <c r="D117" s="2"/>
      <c r="I117" s="3"/>
      <c r="J117" s="3"/>
      <c r="K117" s="3">
        <f>IF($J117="","",J117-I117)</f>
      </c>
      <c r="L117" s="3">
        <f>IF($J117="","",K117*16.67%)</f>
      </c>
      <c r="M117" s="3">
        <f>IF($J117="","",J117*7%)</f>
      </c>
      <c r="N117" s="3">
        <f>IF($J117="","",M117*20%)</f>
      </c>
      <c r="O117" s="3"/>
      <c r="P117" s="3">
        <f>IF($J117="","",O117*20%)</f>
      </c>
      <c r="Q117" s="3">
        <v>1</v>
      </c>
      <c r="R117" s="3">
        <f>IF($J117="","",N117+P117)</f>
      </c>
      <c r="S117" s="3">
        <f>IF($J117="","",K117-L117-M117-N117-O117-P117-Q117)</f>
      </c>
      <c r="T117" s="3">
        <f>IF($J117="","",(S117-V117)/I117*100)</f>
      </c>
      <c r="U117" s="3">
        <f>IF($J117="","",L117-R117)</f>
      </c>
      <c r="W117" s="3">
        <f>IF($J117="","",S117-V117)</f>
      </c>
    </row>
    <row r="118" spans="1:23" x14ac:dyDescent="0.25">
      <c r="A118" s="1"/>
      <c r="D118" s="2"/>
      <c r="I118" s="3"/>
      <c r="J118" s="3"/>
      <c r="K118" s="3">
        <f>IF($J118="","",J118-I118)</f>
      </c>
      <c r="L118" s="3">
        <f>IF($J118="","",K118*16.67%)</f>
      </c>
      <c r="M118" s="3">
        <f>IF($J118="","",J118*7%)</f>
      </c>
      <c r="N118" s="3">
        <f>IF($J118="","",M118*20%)</f>
      </c>
      <c r="O118" s="3"/>
      <c r="P118" s="3">
        <f>IF($J118="","",O118*20%)</f>
      </c>
      <c r="Q118" s="3">
        <v>1</v>
      </c>
      <c r="R118" s="3">
        <f>IF($J118="","",N118+P118)</f>
      </c>
      <c r="S118" s="3">
        <f>IF($J118="","",K118-L118-M118-N118-O118-P118-Q118)</f>
      </c>
      <c r="T118" s="3">
        <f>IF($J118="","",(S118-V118)/I118*100)</f>
      </c>
      <c r="U118" s="3">
        <f>IF($J118="","",L118-R118)</f>
      </c>
      <c r="W118" s="3">
        <f>IF($J118="","",S118-V118)</f>
      </c>
    </row>
    <row r="119" spans="1:23" x14ac:dyDescent="0.25">
      <c r="A119" s="1"/>
      <c r="D119" s="2"/>
      <c r="I119" s="3"/>
      <c r="J119" s="3"/>
      <c r="K119" s="3">
        <f>IF($J119="","",J119-I119)</f>
      </c>
      <c r="L119" s="3">
        <f>IF($J119="","",K119*16.67%)</f>
      </c>
      <c r="M119" s="3">
        <f>IF($J119="","",J119*7%)</f>
      </c>
      <c r="N119" s="3">
        <f>IF($J119="","",M119*20%)</f>
      </c>
      <c r="O119" s="3"/>
      <c r="P119" s="3">
        <f>IF($J119="","",O119*20%)</f>
      </c>
      <c r="Q119" s="3">
        <v>1</v>
      </c>
      <c r="R119" s="3">
        <f>IF($J119="","",N119+P119)</f>
      </c>
      <c r="S119" s="3">
        <f>IF($J119="","",K119-L119-M119-N119-O119-P119-Q119)</f>
      </c>
      <c r="T119" s="3">
        <f>IF($J119="","",(S119-V119)/I119*100)</f>
      </c>
      <c r="U119" s="3">
        <f>IF($J119="","",L119-R119)</f>
      </c>
      <c r="W119" s="3">
        <f>IF($J119="","",S119-V119)</f>
      </c>
    </row>
    <row r="120" spans="1:23" x14ac:dyDescent="0.25">
      <c r="A120" s="1"/>
      <c r="D120" s="2"/>
      <c r="I120" s="3"/>
      <c r="J120" s="3"/>
      <c r="K120" s="3">
        <f>IF($J120="","",J120-I120)</f>
      </c>
      <c r="L120" s="3">
        <f>IF($J120="","",K120*16.67%)</f>
      </c>
      <c r="M120" s="3">
        <f>IF($J120="","",J120*7%)</f>
      </c>
      <c r="N120" s="3">
        <f>IF($J120="","",M120*20%)</f>
      </c>
      <c r="O120" s="3"/>
      <c r="P120" s="3">
        <f>IF($J120="","",O120*20%)</f>
      </c>
      <c r="Q120" s="3">
        <v>1</v>
      </c>
      <c r="R120" s="3">
        <f>IF($J120="","",N120+P120)</f>
      </c>
      <c r="S120" s="3">
        <f>IF($J120="","",K120-L120-M120-N120-O120-P120-Q120)</f>
      </c>
      <c r="T120" s="3">
        <f>IF($J120="","",(S120-V120)/I120*100)</f>
      </c>
      <c r="U120" s="3">
        <f>IF($J120="","",L120-R120)</f>
      </c>
      <c r="W120" s="3">
        <f>IF($J120="","",S120-V120)</f>
      </c>
    </row>
    <row r="121" spans="1:23" x14ac:dyDescent="0.25">
      <c r="A121" s="1"/>
      <c r="D121" s="2"/>
      <c r="I121" s="3"/>
      <c r="J121" s="3"/>
      <c r="K121" s="3">
        <f>IF($J121="","",J121-I121)</f>
      </c>
      <c r="L121" s="3">
        <f>IF($J121="","",K121*16.67%)</f>
      </c>
      <c r="M121" s="3">
        <f>IF($J121="","",J121*7%)</f>
      </c>
      <c r="N121" s="3">
        <f>IF($J121="","",M121*20%)</f>
      </c>
      <c r="O121" s="3"/>
      <c r="P121" s="3">
        <f>IF($J121="","",O121*20%)</f>
      </c>
      <c r="Q121" s="3">
        <v>1</v>
      </c>
      <c r="R121" s="3">
        <f>IF($J121="","",N121+P121)</f>
      </c>
      <c r="S121" s="3">
        <f>IF($J121="","",K121-L121-M121-N121-O121-P121-Q121)</f>
      </c>
      <c r="T121" s="3">
        <f>IF($J121="","",(S121-V121)/I121*100)</f>
      </c>
      <c r="U121" s="3">
        <f>IF($J121="","",L121-R121)</f>
      </c>
      <c r="W121" s="3">
        <f>IF($J121="","",S121-V121)</f>
      </c>
    </row>
    <row r="122" spans="1:23" x14ac:dyDescent="0.25">
      <c r="A122" s="1"/>
      <c r="D122" s="2"/>
      <c r="I122" s="3"/>
      <c r="J122" s="3"/>
      <c r="K122" s="3">
        <f>IF($J122="","",J122-I122)</f>
      </c>
      <c r="L122" s="3">
        <f>IF($J122="","",K122*16.67%)</f>
      </c>
      <c r="M122" s="3">
        <f>IF($J122="","",J122*7%)</f>
      </c>
      <c r="N122" s="3">
        <f>IF($J122="","",M122*20%)</f>
      </c>
      <c r="O122" s="3"/>
      <c r="P122" s="3">
        <f>IF($J122="","",O122*20%)</f>
      </c>
      <c r="Q122" s="3">
        <v>1</v>
      </c>
      <c r="R122" s="3">
        <f>IF($J122="","",N122+P122)</f>
      </c>
      <c r="S122" s="3">
        <f>IF($J122="","",K122-L122-M122-N122-O122-P122-Q122)</f>
      </c>
      <c r="T122" s="3">
        <f>IF($J122="","",(S122-V122)/I122*100)</f>
      </c>
      <c r="U122" s="3">
        <f>IF($J122="","",L122-R122)</f>
      </c>
      <c r="W122" s="3">
        <f>IF($J122="","",S122-V122)</f>
      </c>
    </row>
    <row r="123" spans="1:23" x14ac:dyDescent="0.25">
      <c r="A123" s="1"/>
      <c r="D123" s="2"/>
      <c r="I123" s="3"/>
      <c r="J123" s="3"/>
      <c r="K123" s="3">
        <f>IF($J123="","",J123-I123)</f>
      </c>
      <c r="L123" s="3">
        <f>IF($J123="","",K123*16.67%)</f>
      </c>
      <c r="M123" s="3">
        <f>IF($J123="","",J123*7%)</f>
      </c>
      <c r="N123" s="3">
        <f>IF($J123="","",M123*20%)</f>
      </c>
      <c r="O123" s="3"/>
      <c r="P123" s="3">
        <f>IF($J123="","",O123*20%)</f>
      </c>
      <c r="Q123" s="3">
        <v>1</v>
      </c>
      <c r="R123" s="3">
        <f>IF($J123="","",N123+P123)</f>
      </c>
      <c r="S123" s="3">
        <f>IF($J123="","",K123-L123-M123-N123-O123-P123-Q123)</f>
      </c>
      <c r="T123" s="3">
        <f>IF($J123="","",(S123-V123)/I123*100)</f>
      </c>
      <c r="U123" s="3">
        <f>IF($J123="","",L123-R123)</f>
      </c>
      <c r="W123" s="3">
        <f>IF($J123="","",S123-V123)</f>
      </c>
    </row>
    <row r="124" spans="1:23" x14ac:dyDescent="0.25">
      <c r="A124" s="1"/>
      <c r="D124" s="2"/>
      <c r="I124" s="3"/>
      <c r="J124" s="3"/>
      <c r="K124" s="3">
        <f>IF($J124="","",J124-I124)</f>
      </c>
      <c r="L124" s="3">
        <f>IF($J124="","",K124*16.67%)</f>
      </c>
      <c r="M124" s="3">
        <f>IF($J124="","",J124*7%)</f>
      </c>
      <c r="N124" s="3">
        <f>IF($J124="","",M124*20%)</f>
      </c>
      <c r="O124" s="3"/>
      <c r="P124" s="3">
        <f>IF($J124="","",O124*20%)</f>
      </c>
      <c r="Q124" s="3">
        <v>1</v>
      </c>
      <c r="R124" s="3">
        <f>IF($J124="","",N124+P124)</f>
      </c>
      <c r="S124" s="3">
        <f>IF($J124="","",K124-L124-M124-N124-O124-P124-Q124)</f>
      </c>
      <c r="T124" s="3">
        <f>IF($J124="","",(S124-V124)/I124*100)</f>
      </c>
      <c r="U124" s="3">
        <f>IF($J124="","",L124-R124)</f>
      </c>
      <c r="W124" s="3">
        <f>IF($J124="","",S124-V124)</f>
      </c>
    </row>
    <row r="125" spans="1:23" x14ac:dyDescent="0.25">
      <c r="A125" s="1"/>
      <c r="D125" s="2"/>
      <c r="I125" s="3"/>
      <c r="J125" s="3"/>
      <c r="K125" s="3">
        <f>IF($J125="","",J125-I125)</f>
      </c>
      <c r="L125" s="3">
        <f>IF($J125="","",K125*16.67%)</f>
      </c>
      <c r="M125" s="3">
        <f>IF($J125="","",J125*7%)</f>
      </c>
      <c r="N125" s="3">
        <f>IF($J125="","",M125*20%)</f>
      </c>
      <c r="O125" s="3"/>
      <c r="P125" s="3">
        <f>IF($J125="","",O125*20%)</f>
      </c>
      <c r="Q125" s="3">
        <v>1</v>
      </c>
      <c r="R125" s="3">
        <f>IF($J125="","",N125+P125)</f>
      </c>
      <c r="S125" s="3">
        <f>IF($J125="","",K125-L125-M125-N125-O125-P125-Q125)</f>
      </c>
      <c r="T125" s="3">
        <f>IF($J125="","",(S125-V125)/I125*100)</f>
      </c>
      <c r="U125" s="3">
        <f>IF($J125="","",L125-R125)</f>
      </c>
      <c r="W125" s="3">
        <f>IF($J125="","",S125-V125)</f>
      </c>
    </row>
    <row r="126" spans="1:23" x14ac:dyDescent="0.25">
      <c r="A126" s="1"/>
      <c r="D126" s="2"/>
      <c r="I126" s="3"/>
      <c r="J126" s="3"/>
      <c r="K126" s="3">
        <f>IF($J126="","",J126-I126)</f>
      </c>
      <c r="L126" s="3">
        <f>IF($J126="","",K126*16.67%)</f>
      </c>
      <c r="M126" s="3">
        <f>IF($J126="","",J126*7%)</f>
      </c>
      <c r="N126" s="3">
        <f>IF($J126="","",M126*20%)</f>
      </c>
      <c r="O126" s="3"/>
      <c r="P126" s="3">
        <f>IF($J126="","",O126*20%)</f>
      </c>
      <c r="Q126" s="3">
        <v>1</v>
      </c>
      <c r="R126" s="3">
        <f>IF($J126="","",N126+P126)</f>
      </c>
      <c r="S126" s="3">
        <f>IF($J126="","",K126-L126-M126-N126-O126-P126-Q126)</f>
      </c>
      <c r="T126" s="3">
        <f>IF($J126="","",(S126-V126)/I126*100)</f>
      </c>
      <c r="U126" s="3">
        <f>IF($J126="","",L126-R126)</f>
      </c>
      <c r="W126" s="3">
        <f>IF($J126="","",S126-V126)</f>
      </c>
    </row>
    <row r="127" spans="1:23" x14ac:dyDescent="0.25">
      <c r="A127" s="1"/>
      <c r="D127" s="2"/>
      <c r="I127" s="3"/>
      <c r="J127" s="3"/>
      <c r="K127" s="3">
        <f>IF($J127="","",J127-I127)</f>
      </c>
      <c r="L127" s="3">
        <f>IF($J127="","",K127*16.67%)</f>
      </c>
      <c r="M127" s="3">
        <f>IF($J127="","",J127*7%)</f>
      </c>
      <c r="N127" s="3">
        <f>IF($J127="","",M127*20%)</f>
      </c>
      <c r="O127" s="3"/>
      <c r="P127" s="3">
        <f>IF($J127="","",O127*20%)</f>
      </c>
      <c r="Q127" s="3">
        <v>1</v>
      </c>
      <c r="R127" s="3">
        <f>IF($J127="","",N127+P127)</f>
      </c>
      <c r="S127" s="3">
        <f>IF($J127="","",K127-L127-M127-N127-O127-P127-Q127)</f>
      </c>
      <c r="T127" s="3">
        <f>IF($J127="","",(S127-V127)/I127*100)</f>
      </c>
      <c r="U127" s="3">
        <f>IF($J127="","",L127-R127)</f>
      </c>
      <c r="W127" s="3">
        <f>IF($J127="","",S127-V127)</f>
      </c>
    </row>
    <row r="128" spans="1:23" x14ac:dyDescent="0.25">
      <c r="A128" s="1"/>
      <c r="D128" s="2"/>
      <c r="I128" s="3"/>
      <c r="J128" s="3"/>
      <c r="K128" s="3">
        <f>IF($J128="","",J128-I128)</f>
      </c>
      <c r="L128" s="3">
        <f>IF($J128="","",K128*16.67%)</f>
      </c>
      <c r="M128" s="3">
        <f>IF($J128="","",J128*7%)</f>
      </c>
      <c r="N128" s="3">
        <f>IF($J128="","",M128*20%)</f>
      </c>
      <c r="O128" s="3"/>
      <c r="P128" s="3">
        <f>IF($J128="","",O128*20%)</f>
      </c>
      <c r="Q128" s="3">
        <v>1</v>
      </c>
      <c r="R128" s="3">
        <f>IF($J128="","",N128+P128)</f>
      </c>
      <c r="S128" s="3">
        <f>IF($J128="","",K128-L128-M128-N128-O128-P128-Q128)</f>
      </c>
      <c r="T128" s="3">
        <f>IF($J128="","",(S128-V128)/I128*100)</f>
      </c>
      <c r="U128" s="3">
        <f>IF($J128="","",L128-R128)</f>
      </c>
      <c r="W128" s="3">
        <f>IF($J128="","",S128-V128)</f>
      </c>
    </row>
    <row r="129" spans="1:23" x14ac:dyDescent="0.25">
      <c r="A129" s="1"/>
      <c r="D129" s="2"/>
      <c r="I129" s="3"/>
      <c r="J129" s="3"/>
      <c r="K129" s="3">
        <f>IF($J129="","",J129-I129)</f>
      </c>
      <c r="L129" s="3">
        <f>IF($J129="","",K129*16.67%)</f>
      </c>
      <c r="M129" s="3">
        <f>IF($J129="","",J129*7%)</f>
      </c>
      <c r="N129" s="3">
        <f>IF($J129="","",M129*20%)</f>
      </c>
      <c r="O129" s="3"/>
      <c r="P129" s="3">
        <f>IF($J129="","",O129*20%)</f>
      </c>
      <c r="Q129" s="3">
        <v>1</v>
      </c>
      <c r="R129" s="3">
        <f>IF($J129="","",N129+P129)</f>
      </c>
      <c r="S129" s="3">
        <f>IF($J129="","",K129-L129-M129-N129-O129-P129-Q129)</f>
      </c>
      <c r="T129" s="3">
        <f>IF($J129="","",(S129-V129)/I129*100)</f>
      </c>
      <c r="U129" s="3">
        <f>IF($J129="","",L129-R129)</f>
      </c>
      <c r="W129" s="3">
        <f>IF($J129="","",S129-V129)</f>
      </c>
    </row>
    <row r="130" spans="1:23" x14ac:dyDescent="0.25">
      <c r="A130" s="1"/>
      <c r="D130" s="2"/>
      <c r="I130" s="3"/>
      <c r="J130" s="3"/>
      <c r="K130" s="3">
        <f>IF($J130="","",J130-I130)</f>
      </c>
      <c r="L130" s="3">
        <f>IF($J130="","",K130*16.67%)</f>
      </c>
      <c r="M130" s="3">
        <f>IF($J130="","",J130*7%)</f>
      </c>
      <c r="N130" s="3">
        <f>IF($J130="","",M130*20%)</f>
      </c>
      <c r="O130" s="3"/>
      <c r="P130" s="3">
        <f>IF($J130="","",O130*20%)</f>
      </c>
      <c r="Q130" s="3">
        <v>1</v>
      </c>
      <c r="R130" s="3">
        <f>IF($J130="","",N130+P130)</f>
      </c>
      <c r="S130" s="3">
        <f>IF($J130="","",K130-L130-M130-N130-O130-P130-Q130)</f>
      </c>
      <c r="T130" s="3">
        <f>IF($J130="","",(S130-V130)/I130*100)</f>
      </c>
      <c r="U130" s="3">
        <f>IF($J130="","",L130-R130)</f>
      </c>
      <c r="W130" s="3">
        <f>IF($J130="","",S130-V130)</f>
      </c>
    </row>
    <row r="131" spans="1:23" x14ac:dyDescent="0.25">
      <c r="A131" s="1"/>
      <c r="D131" s="2"/>
      <c r="I131" s="3"/>
      <c r="J131" s="3"/>
      <c r="K131" s="3">
        <f>IF($J131="","",J131-I131)</f>
      </c>
      <c r="L131" s="3">
        <f>IF($J131="","",K131*16.67%)</f>
      </c>
      <c r="M131" s="3">
        <f>IF($J131="","",J131*7%)</f>
      </c>
      <c r="N131" s="3">
        <f>IF($J131="","",M131*20%)</f>
      </c>
      <c r="O131" s="3"/>
      <c r="P131" s="3">
        <f>IF($J131="","",O131*20%)</f>
      </c>
      <c r="Q131" s="3">
        <v>1</v>
      </c>
      <c r="R131" s="3">
        <f>IF($J131="","",N131+P131)</f>
      </c>
      <c r="S131" s="3">
        <f>IF($J131="","",K131-L131-M131-N131-O131-P131-Q131)</f>
      </c>
      <c r="T131" s="3">
        <f>IF($J131="","",(S131-V131)/I131*100)</f>
      </c>
      <c r="U131" s="3">
        <f>IF($J131="","",L131-R131)</f>
      </c>
      <c r="W131" s="3">
        <f>IF($J131="","",S131-V131)</f>
      </c>
    </row>
    <row r="132" spans="1:23" x14ac:dyDescent="0.25">
      <c r="A132" s="1"/>
      <c r="D132" s="2"/>
      <c r="I132" s="3"/>
      <c r="J132" s="3"/>
      <c r="K132" s="3">
        <f>IF($J132="","",J132-I132)</f>
      </c>
      <c r="L132" s="3">
        <f>IF($J132="","",K132*16.67%)</f>
      </c>
      <c r="M132" s="3">
        <f>IF($J132="","",J132*7%)</f>
      </c>
      <c r="N132" s="3">
        <f>IF($J132="","",M132*20%)</f>
      </c>
      <c r="O132" s="3"/>
      <c r="P132" s="3">
        <f>IF($J132="","",O132*20%)</f>
      </c>
      <c r="Q132" s="3">
        <v>1</v>
      </c>
      <c r="R132" s="3">
        <f>IF($J132="","",N132+P132)</f>
      </c>
      <c r="S132" s="3">
        <f>IF($J132="","",K132-L132-M132-N132-O132-P132-Q132)</f>
      </c>
      <c r="T132" s="3">
        <f>IF($J132="","",(S132-V132)/I132*100)</f>
      </c>
      <c r="U132" s="3">
        <f>IF($J132="","",L132-R132)</f>
      </c>
      <c r="W132" s="3">
        <f>IF($J132="","",S132-V132)</f>
      </c>
    </row>
    <row r="133" spans="1:23" x14ac:dyDescent="0.25">
      <c r="A133" s="1"/>
      <c r="D133" s="2"/>
      <c r="I133" s="3"/>
      <c r="J133" s="3"/>
      <c r="K133" s="3">
        <f>IF($J133="","",J133-I133)</f>
      </c>
      <c r="L133" s="3">
        <f>IF($J133="","",K133*16.67%)</f>
      </c>
      <c r="M133" s="3">
        <f>IF($J133="","",J133*7%)</f>
      </c>
      <c r="N133" s="3">
        <f>IF($J133="","",M133*20%)</f>
      </c>
      <c r="O133" s="3"/>
      <c r="P133" s="3">
        <f>IF($J133="","",O133*20%)</f>
      </c>
      <c r="Q133" s="3">
        <v>1</v>
      </c>
      <c r="R133" s="3">
        <f>IF($J133="","",N133+P133)</f>
      </c>
      <c r="S133" s="3">
        <f>IF($J133="","",K133-L133-M133-N133-O133-P133-Q133)</f>
      </c>
      <c r="T133" s="3">
        <f>IF($J133="","",(S133-V133)/I133*100)</f>
      </c>
      <c r="U133" s="3">
        <f>IF($J133="","",L133-R133)</f>
      </c>
      <c r="W133" s="3">
        <f>IF($J133="","",S133-V133)</f>
      </c>
    </row>
    <row r="134" spans="1:23" x14ac:dyDescent="0.25">
      <c r="A134" s="1"/>
      <c r="D134" s="2"/>
      <c r="I134" s="3"/>
      <c r="J134" s="3"/>
      <c r="K134" s="3">
        <f>IF($J134="","",J134-I134)</f>
      </c>
      <c r="L134" s="3">
        <f>IF($J134="","",K134*16.67%)</f>
      </c>
      <c r="M134" s="3">
        <f>IF($J134="","",J134*7%)</f>
      </c>
      <c r="N134" s="3">
        <f>IF($J134="","",M134*20%)</f>
      </c>
      <c r="O134" s="3"/>
      <c r="P134" s="3">
        <f>IF($J134="","",O134*20%)</f>
      </c>
      <c r="Q134" s="3">
        <v>1</v>
      </c>
      <c r="R134" s="3">
        <f>IF($J134="","",N134+P134)</f>
      </c>
      <c r="S134" s="3">
        <f>IF($J134="","",K134-L134-M134-N134-O134-P134-Q134)</f>
      </c>
      <c r="T134" s="3">
        <f>IF($J134="","",(S134-V134)/I134*100)</f>
      </c>
      <c r="U134" s="3">
        <f>IF($J134="","",L134-R134)</f>
      </c>
      <c r="W134" s="3">
        <f>IF($J134="","",S134-V134)</f>
      </c>
    </row>
    <row r="135" spans="1:23" x14ac:dyDescent="0.25">
      <c r="A135" s="1"/>
      <c r="D135" s="2"/>
      <c r="I135" s="3"/>
      <c r="J135" s="3"/>
      <c r="K135" s="3">
        <f>IF($J135="","",J135-I135)</f>
      </c>
      <c r="L135" s="3">
        <f>IF($J135="","",K135*16.67%)</f>
      </c>
      <c r="M135" s="3">
        <f>IF($J135="","",J135*7%)</f>
      </c>
      <c r="N135" s="3">
        <f>IF($J135="","",M135*20%)</f>
      </c>
      <c r="O135" s="3"/>
      <c r="P135" s="3">
        <f>IF($J135="","",O135*20%)</f>
      </c>
      <c r="Q135" s="3">
        <v>1</v>
      </c>
      <c r="R135" s="3">
        <f>IF($J135="","",N135+P135)</f>
      </c>
      <c r="S135" s="3">
        <f>IF($J135="","",K135-L135-M135-N135-O135-P135-Q135)</f>
      </c>
      <c r="T135" s="3">
        <f>IF($J135="","",(S135-V135)/I135*100)</f>
      </c>
      <c r="U135" s="3">
        <f>IF($J135="","",L135-R135)</f>
      </c>
      <c r="W135" s="3">
        <f>IF($J135="","",S135-V135)</f>
      </c>
    </row>
    <row r="136" spans="1:23" x14ac:dyDescent="0.25">
      <c r="A136" s="1"/>
      <c r="D136" s="2"/>
      <c r="I136" s="3"/>
      <c r="J136" s="3"/>
      <c r="K136" s="3">
        <f>IF($J136="","",J136-I136)</f>
      </c>
      <c r="L136" s="3">
        <f>IF($J136="","",K136*16.67%)</f>
      </c>
      <c r="M136" s="3">
        <f>IF($J136="","",J136*7%)</f>
      </c>
      <c r="N136" s="3">
        <f>IF($J136="","",M136*20%)</f>
      </c>
      <c r="O136" s="3"/>
      <c r="P136" s="3">
        <f>IF($J136="","",O136*20%)</f>
      </c>
      <c r="Q136" s="3">
        <v>1</v>
      </c>
      <c r="R136" s="3">
        <f>IF($J136="","",N136+P136)</f>
      </c>
      <c r="S136" s="3">
        <f>IF($J136="","",K136-L136-M136-N136-O136-P136-Q136)</f>
      </c>
      <c r="T136" s="3">
        <f>IF($J136="","",(S136-V136)/I136*100)</f>
      </c>
      <c r="U136" s="3">
        <f>IF($J136="","",L136-R136)</f>
      </c>
      <c r="W136" s="3">
        <f>IF($J136="","",S136-V136)</f>
      </c>
    </row>
    <row r="137" spans="1:23" x14ac:dyDescent="0.25">
      <c r="A137" s="1"/>
      <c r="D137" s="2"/>
      <c r="I137" s="3"/>
      <c r="J137" s="3"/>
      <c r="K137" s="3">
        <f>IF($J137="","",J137-I137)</f>
      </c>
      <c r="L137" s="3">
        <f>IF($J137="","",K137*16.67%)</f>
      </c>
      <c r="M137" s="3">
        <f>IF($J137="","",J137*7%)</f>
      </c>
      <c r="N137" s="3">
        <f>IF($J137="","",M137*20%)</f>
      </c>
      <c r="O137" s="3"/>
      <c r="P137" s="3">
        <f>IF($J137="","",O137*20%)</f>
      </c>
      <c r="Q137" s="3">
        <v>1</v>
      </c>
      <c r="R137" s="3">
        <f>IF($J137="","",N137+P137)</f>
      </c>
      <c r="S137" s="3">
        <f>IF($J137="","",K137-L137-M137-N137-O137-P137-Q137)</f>
      </c>
      <c r="T137" s="3">
        <f>IF($J137="","",(S137-V137)/I137*100)</f>
      </c>
      <c r="U137" s="3">
        <f>IF($J137="","",L137-R137)</f>
      </c>
      <c r="W137" s="3">
        <f>IF($J137="","",S137-V137)</f>
      </c>
    </row>
    <row r="138" spans="1:23" x14ac:dyDescent="0.25">
      <c r="A138" s="1"/>
      <c r="D138" s="2"/>
      <c r="I138" s="3"/>
      <c r="J138" s="3"/>
      <c r="K138" s="3">
        <f>IF($J138="","",J138-I138)</f>
      </c>
      <c r="L138" s="3">
        <f>IF($J138="","",K138*16.67%)</f>
      </c>
      <c r="M138" s="3">
        <f>IF($J138="","",J138*7%)</f>
      </c>
      <c r="N138" s="3">
        <f>IF($J138="","",M138*20%)</f>
      </c>
      <c r="O138" s="3"/>
      <c r="P138" s="3">
        <f>IF($J138="","",O138*20%)</f>
      </c>
      <c r="Q138" s="3">
        <v>1</v>
      </c>
      <c r="R138" s="3">
        <f>IF($J138="","",N138+P138)</f>
      </c>
      <c r="S138" s="3">
        <f>IF($J138="","",K138-L138-M138-N138-O138-P138-Q138)</f>
      </c>
      <c r="T138" s="3">
        <f>IF($J138="","",(S138-V138)/I138*100)</f>
      </c>
      <c r="U138" s="3">
        <f>IF($J138="","",L138-R138)</f>
      </c>
      <c r="W138" s="3">
        <f>IF($J138="","",S138-V138)</f>
      </c>
    </row>
    <row r="139" spans="1:23" x14ac:dyDescent="0.25">
      <c r="A139" s="1"/>
      <c r="D139" s="2"/>
      <c r="I139" s="3"/>
      <c r="J139" s="3"/>
      <c r="K139" s="3">
        <f>IF($J139="","",J139-I139)</f>
      </c>
      <c r="L139" s="3">
        <f>IF($J139="","",K139*16.67%)</f>
      </c>
      <c r="M139" s="3">
        <f>IF($J139="","",J139*7%)</f>
      </c>
      <c r="N139" s="3">
        <f>IF($J139="","",M139*20%)</f>
      </c>
      <c r="O139" s="3"/>
      <c r="P139" s="3">
        <f>IF($J139="","",O139*20%)</f>
      </c>
      <c r="Q139" s="3">
        <v>1</v>
      </c>
      <c r="R139" s="3">
        <f>IF($J139="","",N139+P139)</f>
      </c>
      <c r="S139" s="3">
        <f>IF($J139="","",K139-L139-M139-N139-O139-P139-Q139)</f>
      </c>
      <c r="T139" s="3">
        <f>IF($J139="","",(S139-V139)/I139*100)</f>
      </c>
      <c r="U139" s="3">
        <f>IF($J139="","",L139-R139)</f>
      </c>
      <c r="W139" s="3">
        <f>IF($J139="","",S139-V139)</f>
      </c>
    </row>
    <row r="140" spans="1:23" x14ac:dyDescent="0.25">
      <c r="A140" s="1"/>
      <c r="D140" s="2"/>
      <c r="I140" s="3"/>
      <c r="J140" s="3"/>
      <c r="K140" s="3">
        <f>IF($J140="","",J140-I140)</f>
      </c>
      <c r="L140" s="3">
        <f>IF($J140="","",K140*16.67%)</f>
      </c>
      <c r="M140" s="3">
        <f>IF($J140="","",J140*7%)</f>
      </c>
      <c r="N140" s="3">
        <f>IF($J140="","",M140*20%)</f>
      </c>
      <c r="O140" s="3"/>
      <c r="P140" s="3">
        <f>IF($J140="","",O140*20%)</f>
      </c>
      <c r="Q140" s="3">
        <v>1</v>
      </c>
      <c r="R140" s="3">
        <f>IF($J140="","",N140+P140)</f>
      </c>
      <c r="S140" s="3">
        <f>IF($J140="","",K140-L140-M140-N140-O140-P140-Q140)</f>
      </c>
      <c r="T140" s="3">
        <f>IF($J140="","",(S140-V140)/I140*100)</f>
      </c>
      <c r="U140" s="3">
        <f>IF($J140="","",L140-R140)</f>
      </c>
      <c r="W140" s="3">
        <f>IF($J140="","",S140-V140)</f>
      </c>
    </row>
    <row r="141" spans="1:23" x14ac:dyDescent="0.25">
      <c r="A141" s="1"/>
      <c r="D141" s="2"/>
      <c r="I141" s="3"/>
      <c r="J141" s="3"/>
      <c r="K141" s="3">
        <f>IF($J141="","",J141-I141)</f>
      </c>
      <c r="L141" s="3">
        <f>IF($J141="","",K141*16.67%)</f>
      </c>
      <c r="M141" s="3">
        <f>IF($J141="","",J141*7%)</f>
      </c>
      <c r="N141" s="3">
        <f>IF($J141="","",M141*20%)</f>
      </c>
      <c r="O141" s="3"/>
      <c r="P141" s="3">
        <f>IF($J141="","",O141*20%)</f>
      </c>
      <c r="Q141" s="3">
        <v>1</v>
      </c>
      <c r="R141" s="3">
        <f>IF($J141="","",N141+P141)</f>
      </c>
      <c r="S141" s="3">
        <f>IF($J141="","",K141-L141-M141-N141-O141-P141-Q141)</f>
      </c>
      <c r="T141" s="3">
        <f>IF($J141="","",(S141-V141)/I141*100)</f>
      </c>
      <c r="U141" s="3">
        <f>IF($J141="","",L141-R141)</f>
      </c>
      <c r="W141" s="3">
        <f>IF($J141="","",S141-V141)</f>
      </c>
    </row>
    <row r="142" spans="1:23" x14ac:dyDescent="0.25">
      <c r="A142" s="1"/>
      <c r="D142" s="2"/>
      <c r="I142" s="3"/>
      <c r="J142" s="3"/>
      <c r="K142" s="3">
        <f>IF($J142="","",J142-I142)</f>
      </c>
      <c r="L142" s="3">
        <f>IF($J142="","",K142*16.67%)</f>
      </c>
      <c r="M142" s="3">
        <f>IF($J142="","",J142*7%)</f>
      </c>
      <c r="N142" s="3">
        <f>IF($J142="","",M142*20%)</f>
      </c>
      <c r="O142" s="3"/>
      <c r="P142" s="3">
        <f>IF($J142="","",O142*20%)</f>
      </c>
      <c r="Q142" s="3">
        <v>1</v>
      </c>
      <c r="R142" s="3">
        <f>IF($J142="","",N142+P142)</f>
      </c>
      <c r="S142" s="3">
        <f>IF($J142="","",K142-L142-M142-N142-O142-P142-Q142)</f>
      </c>
      <c r="T142" s="3">
        <f>IF($J142="","",(S142-V142)/I142*100)</f>
      </c>
      <c r="U142" s="3">
        <f>IF($J142="","",L142-R142)</f>
      </c>
      <c r="W142" s="3">
        <f>IF($J142="","",S142-V142)</f>
      </c>
    </row>
    <row r="143" spans="1:23" x14ac:dyDescent="0.25">
      <c r="A143" s="1"/>
      <c r="D143" s="2"/>
      <c r="I143" s="3"/>
      <c r="J143" s="3"/>
      <c r="K143" s="3">
        <f>IF($J143="","",J143-I143)</f>
      </c>
      <c r="L143" s="3">
        <f>IF($J143="","",K143*16.67%)</f>
      </c>
      <c r="M143" s="3">
        <f>IF($J143="","",J143*7%)</f>
      </c>
      <c r="N143" s="3">
        <f>IF($J143="","",M143*20%)</f>
      </c>
      <c r="O143" s="3"/>
      <c r="P143" s="3">
        <f>IF($J143="","",O143*20%)</f>
      </c>
      <c r="Q143" s="3">
        <v>1</v>
      </c>
      <c r="R143" s="3">
        <f>IF($J143="","",N143+P143)</f>
      </c>
      <c r="S143" s="3">
        <f>IF($J143="","",K143-L143-M143-N143-O143-P143-Q143)</f>
      </c>
      <c r="T143" s="3">
        <f>IF($J143="","",(S143-V143)/I143*100)</f>
      </c>
      <c r="U143" s="3">
        <f>IF($J143="","",L143-R143)</f>
      </c>
      <c r="W143" s="3">
        <f>IF($J143="","",S143-V143)</f>
      </c>
    </row>
    <row r="144" spans="1:23" x14ac:dyDescent="0.25">
      <c r="A144" s="1"/>
      <c r="D144" s="2"/>
      <c r="I144" s="3"/>
      <c r="J144" s="3"/>
      <c r="K144" s="3">
        <f>IF($J144="","",J144-I144)</f>
      </c>
      <c r="L144" s="3">
        <f>IF($J144="","",K144*16.67%)</f>
      </c>
      <c r="M144" s="3">
        <f>IF($J144="","",J144*7%)</f>
      </c>
      <c r="N144" s="3">
        <f>IF($J144="","",M144*20%)</f>
      </c>
      <c r="O144" s="3"/>
      <c r="P144" s="3">
        <f>IF($J144="","",O144*20%)</f>
      </c>
      <c r="Q144" s="3">
        <v>1</v>
      </c>
      <c r="R144" s="3">
        <f>IF($J144="","",N144+P144)</f>
      </c>
      <c r="S144" s="3">
        <f>IF($J144="","",K144-L144-M144-N144-O144-P144-Q144)</f>
      </c>
      <c r="T144" s="3">
        <f>IF($J144="","",(S144-V144)/I144*100)</f>
      </c>
      <c r="U144" s="3">
        <f>IF($J144="","",L144-R144)</f>
      </c>
      <c r="W144" s="3">
        <f>IF($J144="","",S144-V144)</f>
      </c>
    </row>
    <row r="145" spans="1:23" x14ac:dyDescent="0.25">
      <c r="A145" s="1"/>
      <c r="D145" s="2"/>
      <c r="I145" s="3"/>
      <c r="J145" s="3"/>
      <c r="K145" s="3">
        <f>IF($J145="","",J145-I145)</f>
      </c>
      <c r="L145" s="3">
        <f>IF($J145="","",K145*16.67%)</f>
      </c>
      <c r="M145" s="3">
        <f>IF($J145="","",J145*7%)</f>
      </c>
      <c r="N145" s="3">
        <f>IF($J145="","",M145*20%)</f>
      </c>
      <c r="O145" s="3"/>
      <c r="P145" s="3">
        <f>IF($J145="","",O145*20%)</f>
      </c>
      <c r="Q145" s="3">
        <v>1</v>
      </c>
      <c r="R145" s="3">
        <f>IF($J145="","",N145+P145)</f>
      </c>
      <c r="S145" s="3">
        <f>IF($J145="","",K145-L145-M145-N145-O145-P145-Q145)</f>
      </c>
      <c r="T145" s="3">
        <f>IF($J145="","",(S145-V145)/I145*100)</f>
      </c>
      <c r="U145" s="3">
        <f>IF($J145="","",L145-R145)</f>
      </c>
      <c r="W145" s="3">
        <f>IF($J145="","",S145-V145)</f>
      </c>
    </row>
    <row r="146" spans="1:23" x14ac:dyDescent="0.25">
      <c r="A146" s="1"/>
      <c r="D146" s="2"/>
      <c r="I146" s="3"/>
      <c r="J146" s="3"/>
      <c r="K146" s="3">
        <f>IF($J146="","",J146-I146)</f>
      </c>
      <c r="L146" s="3">
        <f>IF($J146="","",K146*16.67%)</f>
      </c>
      <c r="M146" s="3">
        <f>IF($J146="","",J146*7%)</f>
      </c>
      <c r="N146" s="3">
        <f>IF($J146="","",M146*20%)</f>
      </c>
      <c r="O146" s="3"/>
      <c r="P146" s="3">
        <f>IF($J146="","",O146*20%)</f>
      </c>
      <c r="Q146" s="3">
        <v>1</v>
      </c>
      <c r="R146" s="3">
        <f>IF($J146="","",N146+P146)</f>
      </c>
      <c r="S146" s="3">
        <f>IF($J146="","",K146-L146-M146-N146-O146-P146-Q146)</f>
      </c>
      <c r="T146" s="3">
        <f>IF($J146="","",(S146-V146)/I146*100)</f>
      </c>
      <c r="U146" s="3">
        <f>IF($J146="","",L146-R146)</f>
      </c>
      <c r="W146" s="3">
        <f>IF($J146="","",S146-V146)</f>
      </c>
    </row>
    <row r="147" spans="1:23" x14ac:dyDescent="0.25">
      <c r="A147" s="1"/>
      <c r="D147" s="2"/>
      <c r="I147" s="3"/>
      <c r="J147" s="3"/>
      <c r="K147" s="3">
        <f>IF($J147="","",J147-I147)</f>
      </c>
      <c r="L147" s="3">
        <f>IF($J147="","",K147*16.67%)</f>
      </c>
      <c r="M147" s="3">
        <f>IF($J147="","",J147*7%)</f>
      </c>
      <c r="N147" s="3">
        <f>IF($J147="","",M147*20%)</f>
      </c>
      <c r="O147" s="3"/>
      <c r="P147" s="3">
        <f>IF($J147="","",O147*20%)</f>
      </c>
      <c r="Q147" s="3">
        <v>1</v>
      </c>
      <c r="R147" s="3">
        <f>IF($J147="","",N147+P147)</f>
      </c>
      <c r="S147" s="3">
        <f>IF($J147="","",K147-L147-M147-N147-O147-P147-Q147)</f>
      </c>
      <c r="T147" s="3">
        <f>IF($J147="","",(S147-V147)/I147*100)</f>
      </c>
      <c r="U147" s="3">
        <f>IF($J147="","",L147-R147)</f>
      </c>
      <c r="W147" s="3">
        <f>IF($J147="","",S147-V147)</f>
      </c>
    </row>
    <row r="148" spans="1:23" x14ac:dyDescent="0.25">
      <c r="A148" s="1"/>
      <c r="D148" s="2"/>
      <c r="I148" s="3"/>
      <c r="J148" s="3"/>
      <c r="K148" s="3">
        <f>IF($J148="","",J148-I148)</f>
      </c>
      <c r="L148" s="3">
        <f>IF($J148="","",K148*16.67%)</f>
      </c>
      <c r="M148" s="3">
        <f>IF($J148="","",J148*7%)</f>
      </c>
      <c r="N148" s="3">
        <f>IF($J148="","",M148*20%)</f>
      </c>
      <c r="O148" s="3"/>
      <c r="P148" s="3">
        <f>IF($J148="","",O148*20%)</f>
      </c>
      <c r="Q148" s="3">
        <v>1</v>
      </c>
      <c r="R148" s="3">
        <f>IF($J148="","",N148+P148)</f>
      </c>
      <c r="S148" s="3">
        <f>IF($J148="","",K148-L148-M148-N148-O148-P148-Q148)</f>
      </c>
      <c r="T148" s="3">
        <f>IF($J148="","",(S148-V148)/I148*100)</f>
      </c>
      <c r="U148" s="3">
        <f>IF($J148="","",L148-R148)</f>
      </c>
      <c r="W148" s="3">
        <f>IF($J148="","",S148-V148)</f>
      </c>
    </row>
    <row r="149" spans="1:23" x14ac:dyDescent="0.25">
      <c r="A149" s="1"/>
      <c r="D149" s="2"/>
      <c r="I149" s="3"/>
      <c r="J149" s="3"/>
      <c r="K149" s="3">
        <f>IF($J149="","",J149-I149)</f>
      </c>
      <c r="L149" s="3">
        <f>IF($J149="","",K149*16.67%)</f>
      </c>
      <c r="M149" s="3">
        <f>IF($J149="","",J149*7%)</f>
      </c>
      <c r="N149" s="3">
        <f>IF($J149="","",M149*20%)</f>
      </c>
      <c r="O149" s="3"/>
      <c r="P149" s="3">
        <f>IF($J149="","",O149*20%)</f>
      </c>
      <c r="Q149" s="3">
        <v>1</v>
      </c>
      <c r="R149" s="3">
        <f>IF($J149="","",N149+P149)</f>
      </c>
      <c r="S149" s="3">
        <f>IF($J149="","",K149-L149-M149-N149-O149-P149-Q149)</f>
      </c>
      <c r="T149" s="3">
        <f>IF($J149="","",(S149-V149)/I149*100)</f>
      </c>
      <c r="U149" s="3">
        <f>IF($J149="","",L149-R149)</f>
      </c>
      <c r="W149" s="3">
        <f>IF($J149="","",S149-V149)</f>
      </c>
    </row>
    <row r="150" spans="1:23" x14ac:dyDescent="0.25">
      <c r="A150" s="1"/>
      <c r="D150" s="2"/>
      <c r="I150" s="3"/>
      <c r="J150" s="3"/>
      <c r="K150" s="3">
        <f>IF($J150="","",J150-I150)</f>
      </c>
      <c r="L150" s="3">
        <f>IF($J150="","",K150*16.67%)</f>
      </c>
      <c r="M150" s="3">
        <f>IF($J150="","",J150*7%)</f>
      </c>
      <c r="N150" s="3">
        <f>IF($J150="","",M150*20%)</f>
      </c>
      <c r="O150" s="3"/>
      <c r="P150" s="3">
        <f>IF($J150="","",O150*20%)</f>
      </c>
      <c r="Q150" s="3">
        <v>1</v>
      </c>
      <c r="R150" s="3">
        <f>IF($J150="","",N150+P150)</f>
      </c>
      <c r="S150" s="3">
        <f>IF($J150="","",K150-L150-M150-N150-O150-P150-Q150)</f>
      </c>
      <c r="T150" s="3">
        <f>IF($J150="","",(S150-V150)/I150*100)</f>
      </c>
      <c r="U150" s="3">
        <f>IF($J150="","",L150-R150)</f>
      </c>
      <c r="W150" s="3">
        <f>IF($J150="","",S150-V150)</f>
      </c>
    </row>
    <row r="151" spans="1:23" x14ac:dyDescent="0.25">
      <c r="A151" s="1"/>
      <c r="D151" s="2"/>
      <c r="I151" s="3"/>
      <c r="J151" s="3"/>
      <c r="K151" s="3">
        <f>IF($J151="","",J151-I151)</f>
      </c>
      <c r="L151" s="3">
        <f>IF($J151="","",K151*16.67%)</f>
      </c>
      <c r="M151" s="3">
        <f>IF($J151="","",J151*7%)</f>
      </c>
      <c r="N151" s="3">
        <f>IF($J151="","",M151*20%)</f>
      </c>
      <c r="O151" s="3"/>
      <c r="P151" s="3">
        <f>IF($J151="","",O151*20%)</f>
      </c>
      <c r="Q151" s="3">
        <v>1</v>
      </c>
      <c r="R151" s="3">
        <f>IF($J151="","",N151+P151)</f>
      </c>
      <c r="S151" s="3">
        <f>IF($J151="","",K151-L151-M151-N151-O151-P151-Q151)</f>
      </c>
      <c r="T151" s="3">
        <f>IF($J151="","",(S151-V151)/I151*100)</f>
      </c>
      <c r="U151" s="3">
        <f>IF($J151="","",L151-R151)</f>
      </c>
      <c r="W151" s="3">
        <f>IF($J151="","",S151-V151)</f>
      </c>
    </row>
    <row r="152" spans="1:23" x14ac:dyDescent="0.25">
      <c r="A152" s="1"/>
      <c r="D152" s="2"/>
      <c r="I152" s="3"/>
      <c r="J152" s="3"/>
      <c r="K152" s="3">
        <f>IF($J152="","",J152-I152)</f>
      </c>
      <c r="L152" s="3">
        <f>IF($J152="","",K152*16.67%)</f>
      </c>
      <c r="M152" s="3">
        <f>IF($J152="","",J152*7%)</f>
      </c>
      <c r="N152" s="3">
        <f>IF($J152="","",M152*20%)</f>
      </c>
      <c r="O152" s="3"/>
      <c r="P152" s="3">
        <f>IF($J152="","",O152*20%)</f>
      </c>
      <c r="Q152" s="3">
        <v>1</v>
      </c>
      <c r="R152" s="3">
        <f>IF($J152="","",N152+P152)</f>
      </c>
      <c r="S152" s="3">
        <f>IF($J152="","",K152-L152-M152-N152-O152-P152-Q152)</f>
      </c>
      <c r="T152" s="3">
        <f>IF($J152="","",(S152-V152)/I152*100)</f>
      </c>
      <c r="U152" s="3">
        <f>IF($J152="","",L152-R152)</f>
      </c>
      <c r="W152" s="3">
        <f>IF($J152="","",S152-V152)</f>
      </c>
    </row>
    <row r="153" spans="1:23" x14ac:dyDescent="0.25">
      <c r="A153" s="1"/>
      <c r="D153" s="2"/>
      <c r="I153" s="3"/>
      <c r="J153" s="3"/>
      <c r="K153" s="3">
        <f>IF($J153="","",J153-I153)</f>
      </c>
      <c r="L153" s="3">
        <f>IF($J153="","",K153*16.67%)</f>
      </c>
      <c r="M153" s="3">
        <f>IF($J153="","",J153*7%)</f>
      </c>
      <c r="N153" s="3">
        <f>IF($J153="","",M153*20%)</f>
      </c>
      <c r="O153" s="3"/>
      <c r="P153" s="3">
        <f>IF($J153="","",O153*20%)</f>
      </c>
      <c r="Q153" s="3">
        <v>1</v>
      </c>
      <c r="R153" s="3">
        <f>IF($J153="","",N153+P153)</f>
      </c>
      <c r="S153" s="3">
        <f>IF($J153="","",K153-L153-M153-N153-O153-P153-Q153)</f>
      </c>
      <c r="T153" s="3">
        <f>IF($J153="","",(S153-V153)/I153*100)</f>
      </c>
      <c r="U153" s="3">
        <f>IF($J153="","",L153-R153)</f>
      </c>
      <c r="W153" s="3">
        <f>IF($J153="","",S153-V153)</f>
      </c>
    </row>
    <row r="154" spans="1:23" x14ac:dyDescent="0.25">
      <c r="A154" s="1"/>
      <c r="D154" s="2"/>
      <c r="I154" s="3"/>
      <c r="J154" s="3"/>
      <c r="K154" s="3">
        <f>IF($J154="","",J154-I154)</f>
      </c>
      <c r="L154" s="3">
        <f>IF($J154="","",K154*16.67%)</f>
      </c>
      <c r="M154" s="3">
        <f>IF($J154="","",J154*7%)</f>
      </c>
      <c r="N154" s="3">
        <f>IF($J154="","",M154*20%)</f>
      </c>
      <c r="O154" s="3"/>
      <c r="P154" s="3">
        <f>IF($J154="","",O154*20%)</f>
      </c>
      <c r="Q154" s="3">
        <v>1</v>
      </c>
      <c r="R154" s="3">
        <f>IF($J154="","",N154+P154)</f>
      </c>
      <c r="S154" s="3">
        <f>IF($J154="","",K154-L154-M154-N154-O154-P154-Q154)</f>
      </c>
      <c r="T154" s="3">
        <f>IF($J154="","",(S154-V154)/I154*100)</f>
      </c>
      <c r="U154" s="3">
        <f>IF($J154="","",L154-R154)</f>
      </c>
      <c r="W154" s="3">
        <f>IF($J154="","",S154-V154)</f>
      </c>
    </row>
    <row r="155" spans="1:23" x14ac:dyDescent="0.25">
      <c r="A155" s="1"/>
      <c r="D155" s="2"/>
      <c r="I155" s="3"/>
      <c r="J155" s="3"/>
      <c r="K155" s="3">
        <f>IF($J155="","",J155-I155)</f>
      </c>
      <c r="L155" s="3">
        <f>IF($J155="","",K155*16.67%)</f>
      </c>
      <c r="M155" s="3">
        <f>IF($J155="","",J155*7%)</f>
      </c>
      <c r="N155" s="3">
        <f>IF($J155="","",M155*20%)</f>
      </c>
      <c r="O155" s="3"/>
      <c r="P155" s="3">
        <f>IF($J155="","",O155*20%)</f>
      </c>
      <c r="Q155" s="3">
        <v>1</v>
      </c>
      <c r="R155" s="3">
        <f>IF($J155="","",N155+P155)</f>
      </c>
      <c r="S155" s="3">
        <f>IF($J155="","",K155-L155-M155-N155-O155-P155-Q155)</f>
      </c>
      <c r="T155" s="3">
        <f>IF($J155="","",(S155-V155)/I155*100)</f>
      </c>
      <c r="U155" s="3">
        <f>IF($J155="","",L155-R155)</f>
      </c>
      <c r="W155" s="3">
        <f>IF($J155="","",S155-V155)</f>
      </c>
    </row>
    <row r="156" spans="1:23" x14ac:dyDescent="0.25">
      <c r="A156" s="1"/>
      <c r="D156" s="2"/>
      <c r="I156" s="3"/>
      <c r="J156" s="3"/>
      <c r="K156" s="3">
        <f>IF($J156="","",J156-I156)</f>
      </c>
      <c r="L156" s="3">
        <f>IF($J156="","",K156*16.67%)</f>
      </c>
      <c r="M156" s="3">
        <f>IF($J156="","",J156*7%)</f>
      </c>
      <c r="N156" s="3">
        <f>IF($J156="","",M156*20%)</f>
      </c>
      <c r="O156" s="3"/>
      <c r="P156" s="3">
        <f>IF($J156="","",O156*20%)</f>
      </c>
      <c r="Q156" s="3">
        <v>1</v>
      </c>
      <c r="R156" s="3">
        <f>IF($J156="","",N156+P156)</f>
      </c>
      <c r="S156" s="3">
        <f>IF($J156="","",K156-L156-M156-N156-O156-P156-Q156)</f>
      </c>
      <c r="T156" s="3">
        <f>IF($J156="","",(S156-V156)/I156*100)</f>
      </c>
      <c r="U156" s="3">
        <f>IF($J156="","",L156-R156)</f>
      </c>
      <c r="W156" s="3">
        <f>IF($J156="","",S156-V156)</f>
      </c>
    </row>
    <row r="157" spans="1:23" x14ac:dyDescent="0.25">
      <c r="A157" s="1"/>
      <c r="D157" s="2"/>
      <c r="I157" s="3"/>
      <c r="J157" s="3"/>
      <c r="K157" s="3">
        <f>IF($J157="","",J157-I157)</f>
      </c>
      <c r="L157" s="3">
        <f>IF($J157="","",K157*16.67%)</f>
      </c>
      <c r="M157" s="3">
        <f>IF($J157="","",J157*7%)</f>
      </c>
      <c r="N157" s="3">
        <f>IF($J157="","",M157*20%)</f>
      </c>
      <c r="O157" s="3"/>
      <c r="P157" s="3">
        <f>IF($J157="","",O157*20%)</f>
      </c>
      <c r="Q157" s="3">
        <v>1</v>
      </c>
      <c r="R157" s="3">
        <f>IF($J157="","",N157+P157)</f>
      </c>
      <c r="S157" s="3">
        <f>IF($J157="","",K157-L157-M157-N157-O157-P157-Q157)</f>
      </c>
      <c r="T157" s="3">
        <f>IF($J157="","",(S157-V157)/I157*100)</f>
      </c>
      <c r="U157" s="3">
        <f>IF($J157="","",L157-R157)</f>
      </c>
      <c r="W157" s="3">
        <f>IF($J157="","",S157-V157)</f>
      </c>
    </row>
    <row r="158" spans="1:23" x14ac:dyDescent="0.25">
      <c r="A158" s="1"/>
      <c r="D158" s="2"/>
      <c r="I158" s="3"/>
      <c r="J158" s="3"/>
      <c r="K158" s="3">
        <f>IF($J158="","",J158-I158)</f>
      </c>
      <c r="L158" s="3">
        <f>IF($J158="","",K158*16.67%)</f>
      </c>
      <c r="M158" s="3">
        <f>IF($J158="","",J158*7%)</f>
      </c>
      <c r="N158" s="3">
        <f>IF($J158="","",M158*20%)</f>
      </c>
      <c r="O158" s="3"/>
      <c r="P158" s="3">
        <f>IF($J158="","",O158*20%)</f>
      </c>
      <c r="Q158" s="3">
        <v>1</v>
      </c>
      <c r="R158" s="3">
        <f>IF($J158="","",N158+P158)</f>
      </c>
      <c r="S158" s="3">
        <f>IF($J158="","",K158-L158-M158-N158-O158-P158-Q158)</f>
      </c>
      <c r="T158" s="3">
        <f>IF($J158="","",(S158-V158)/I158*100)</f>
      </c>
      <c r="U158" s="3">
        <f>IF($J158="","",L158-R158)</f>
      </c>
      <c r="W158" s="3">
        <f>IF($J158="","",S158-V158)</f>
      </c>
    </row>
    <row r="159" spans="1:23" x14ac:dyDescent="0.25">
      <c r="A159" s="1"/>
      <c r="D159" s="2"/>
      <c r="I159" s="3"/>
      <c r="J159" s="3"/>
      <c r="K159" s="3">
        <f>IF($J159="","",J159-I159)</f>
      </c>
      <c r="L159" s="3">
        <f>IF($J159="","",K159*16.67%)</f>
      </c>
      <c r="M159" s="3">
        <f>IF($J159="","",J159*7%)</f>
      </c>
      <c r="N159" s="3">
        <f>IF($J159="","",M159*20%)</f>
      </c>
      <c r="O159" s="3"/>
      <c r="P159" s="3">
        <f>IF($J159="","",O159*20%)</f>
      </c>
      <c r="Q159" s="3">
        <v>1</v>
      </c>
      <c r="R159" s="3">
        <f>IF($J159="","",N159+P159)</f>
      </c>
      <c r="S159" s="3">
        <f>IF($J159="","",K159-L159-M159-N159-O159-P159-Q159)</f>
      </c>
      <c r="T159" s="3">
        <f>IF($J159="","",(S159-V159)/I159*100)</f>
      </c>
      <c r="U159" s="3">
        <f>IF($J159="","",L159-R159)</f>
      </c>
      <c r="W159" s="3">
        <f>IF($J159="","",S159-V159)</f>
      </c>
    </row>
    <row r="160" spans="1:23" x14ac:dyDescent="0.25">
      <c r="A160" s="1"/>
      <c r="D160" s="2"/>
      <c r="I160" s="3"/>
      <c r="J160" s="3"/>
      <c r="K160" s="3">
        <f>IF($J160="","",J160-I160)</f>
      </c>
      <c r="L160" s="3">
        <f>IF($J160="","",K160*16.67%)</f>
      </c>
      <c r="M160" s="3">
        <f>IF($J160="","",J160*7%)</f>
      </c>
      <c r="N160" s="3">
        <f>IF($J160="","",M160*20%)</f>
      </c>
      <c r="O160" s="3"/>
      <c r="P160" s="3">
        <f>IF($J160="","",O160*20%)</f>
      </c>
      <c r="Q160" s="3">
        <v>1</v>
      </c>
      <c r="R160" s="3">
        <f>IF($J160="","",N160+P160)</f>
      </c>
      <c r="S160" s="3">
        <f>IF($J160="","",K160-L160-M160-N160-O160-P160-Q160)</f>
      </c>
      <c r="T160" s="3">
        <f>IF($J160="","",(S160-V160)/I160*100)</f>
      </c>
      <c r="U160" s="3">
        <f>IF($J160="","",L160-R160)</f>
      </c>
      <c r="W160" s="3">
        <f>IF($J160="","",S160-V160)</f>
      </c>
    </row>
    <row r="161" spans="1:23" x14ac:dyDescent="0.25">
      <c r="A161" s="1"/>
      <c r="D161" s="2"/>
      <c r="I161" s="3"/>
      <c r="J161" s="3"/>
      <c r="K161" s="3">
        <f>IF($J161="","",J161-I161)</f>
      </c>
      <c r="L161" s="3">
        <f>IF($J161="","",K161*16.67%)</f>
      </c>
      <c r="M161" s="3">
        <f>IF($J161="","",J161*7%)</f>
      </c>
      <c r="N161" s="3">
        <f>IF($J161="","",M161*20%)</f>
      </c>
      <c r="O161" s="3"/>
      <c r="P161" s="3">
        <f>IF($J161="","",O161*20%)</f>
      </c>
      <c r="Q161" s="3">
        <v>1</v>
      </c>
      <c r="R161" s="3">
        <f>IF($J161="","",N161+P161)</f>
      </c>
      <c r="S161" s="3">
        <f>IF($J161="","",K161-L161-M161-N161-O161-P161-Q161)</f>
      </c>
      <c r="T161" s="3">
        <f>IF($J161="","",(S161-V161)/I161*100)</f>
      </c>
      <c r="U161" s="3">
        <f>IF($J161="","",L161-R161)</f>
      </c>
      <c r="W161" s="3">
        <f>IF($J161="","",S161-V161)</f>
      </c>
    </row>
    <row r="162" spans="1:23" x14ac:dyDescent="0.25">
      <c r="A162" s="1"/>
      <c r="D162" s="2"/>
      <c r="I162" s="3"/>
      <c r="J162" s="3"/>
      <c r="K162" s="3">
        <f>IF($J162="","",J162-I162)</f>
      </c>
      <c r="L162" s="3">
        <f>IF($J162="","",K162*16.67%)</f>
      </c>
      <c r="M162" s="3">
        <f>IF($J162="","",J162*7%)</f>
      </c>
      <c r="N162" s="3">
        <f>IF($J162="","",M162*20%)</f>
      </c>
      <c r="O162" s="3"/>
      <c r="P162" s="3">
        <f>IF($J162="","",O162*20%)</f>
      </c>
      <c r="Q162" s="3">
        <v>1</v>
      </c>
      <c r="R162" s="3">
        <f>IF($J162="","",N162+P162)</f>
      </c>
      <c r="S162" s="3">
        <f>IF($J162="","",K162-L162-M162-N162-O162-P162-Q162)</f>
      </c>
      <c r="T162" s="3">
        <f>IF($J162="","",(S162-V162)/I162*100)</f>
      </c>
      <c r="U162" s="3">
        <f>IF($J162="","",L162-R162)</f>
      </c>
      <c r="W162" s="3">
        <f>IF($J162="","",S162-V162)</f>
      </c>
    </row>
    <row r="163" spans="1:23" x14ac:dyDescent="0.25">
      <c r="A163" s="1"/>
      <c r="D163" s="2"/>
      <c r="I163" s="3"/>
      <c r="J163" s="3"/>
      <c r="K163" s="3">
        <f>IF($J163="","",J163-I163)</f>
      </c>
      <c r="L163" s="3">
        <f>IF($J163="","",K163*16.67%)</f>
      </c>
      <c r="M163" s="3">
        <f>IF($J163="","",J163*7%)</f>
      </c>
      <c r="N163" s="3">
        <f>IF($J163="","",M163*20%)</f>
      </c>
      <c r="O163" s="3"/>
      <c r="P163" s="3">
        <f>IF($J163="","",O163*20%)</f>
      </c>
      <c r="Q163" s="3">
        <v>1</v>
      </c>
      <c r="R163" s="3">
        <f>IF($J163="","",N163+P163)</f>
      </c>
      <c r="S163" s="3">
        <f>IF($J163="","",K163-L163-M163-N163-O163-P163-Q163)</f>
      </c>
      <c r="T163" s="3">
        <f>IF($J163="","",(S163-V163)/I163*100)</f>
      </c>
      <c r="U163" s="3">
        <f>IF($J163="","",L163-R163)</f>
      </c>
      <c r="W163" s="3">
        <f>IF($J163="","",S163-V163)</f>
      </c>
    </row>
    <row r="164" spans="1:23" x14ac:dyDescent="0.25">
      <c r="A164" s="1"/>
      <c r="D164" s="2"/>
      <c r="I164" s="3"/>
      <c r="J164" s="3"/>
      <c r="K164" s="3">
        <f>IF($J164="","",J164-I164)</f>
      </c>
      <c r="L164" s="3">
        <f>IF($J164="","",K164*16.67%)</f>
      </c>
      <c r="M164" s="3">
        <f>IF($J164="","",J164*7%)</f>
      </c>
      <c r="N164" s="3">
        <f>IF($J164="","",M164*20%)</f>
      </c>
      <c r="O164" s="3"/>
      <c r="P164" s="3">
        <f>IF($J164="","",O164*20%)</f>
      </c>
      <c r="Q164" s="3">
        <v>1</v>
      </c>
      <c r="R164" s="3">
        <f>IF($J164="","",N164+P164)</f>
      </c>
      <c r="S164" s="3">
        <f>IF($J164="","",K164-L164-M164-N164-O164-P164-Q164)</f>
      </c>
      <c r="T164" s="3">
        <f>IF($J164="","",(S164-V164)/I164*100)</f>
      </c>
      <c r="U164" s="3">
        <f>IF($J164="","",L164-R164)</f>
      </c>
      <c r="W164" s="3">
        <f>IF($J164="","",S164-V164)</f>
      </c>
    </row>
    <row r="165" spans="1:23" x14ac:dyDescent="0.25">
      <c r="A165" s="1"/>
      <c r="D165" s="2"/>
      <c r="I165" s="3"/>
      <c r="J165" s="3"/>
      <c r="K165" s="3">
        <f>IF($J165="","",J165-I165)</f>
      </c>
      <c r="L165" s="3">
        <f>IF($J165="","",K165*16.67%)</f>
      </c>
      <c r="M165" s="3">
        <f>IF($J165="","",J165*7%)</f>
      </c>
      <c r="N165" s="3">
        <f>IF($J165="","",M165*20%)</f>
      </c>
      <c r="O165" s="3"/>
      <c r="P165" s="3">
        <f>IF($J165="","",O165*20%)</f>
      </c>
      <c r="Q165" s="3">
        <v>1</v>
      </c>
      <c r="R165" s="3">
        <f>IF($J165="","",N165+P165)</f>
      </c>
      <c r="S165" s="3">
        <f>IF($J165="","",K165-L165-M165-N165-O165-P165-Q165)</f>
      </c>
      <c r="T165" s="3">
        <f>IF($J165="","",(S165-V165)/I165*100)</f>
      </c>
      <c r="U165" s="3">
        <f>IF($J165="","",L165-R165)</f>
      </c>
      <c r="W165" s="3">
        <f>IF($J165="","",S165-V165)</f>
      </c>
    </row>
    <row r="166" spans="1:23" x14ac:dyDescent="0.25">
      <c r="A166" s="1"/>
      <c r="D166" s="2"/>
      <c r="I166" s="3"/>
      <c r="J166" s="3"/>
      <c r="K166" s="3">
        <f>IF($J166="","",J166-I166)</f>
      </c>
      <c r="L166" s="3">
        <f>IF($J166="","",K166*16.67%)</f>
      </c>
      <c r="M166" s="3">
        <f>IF($J166="","",J166*7%)</f>
      </c>
      <c r="N166" s="3">
        <f>IF($J166="","",M166*20%)</f>
      </c>
      <c r="O166" s="3"/>
      <c r="P166" s="3">
        <f>IF($J166="","",O166*20%)</f>
      </c>
      <c r="Q166" s="3">
        <v>1</v>
      </c>
      <c r="R166" s="3">
        <f>IF($J166="","",N166+P166)</f>
      </c>
      <c r="S166" s="3">
        <f>IF($J166="","",K166-L166-M166-N166-O166-P166-Q166)</f>
      </c>
      <c r="T166" s="3">
        <f>IF($J166="","",(S166-V166)/I166*100)</f>
      </c>
      <c r="U166" s="3">
        <f>IF($J166="","",L166-R166)</f>
      </c>
      <c r="W166" s="3">
        <f>IF($J166="","",S166-V166)</f>
      </c>
    </row>
    <row r="167" spans="1:23" x14ac:dyDescent="0.25">
      <c r="A167" s="1"/>
      <c r="D167" s="2"/>
      <c r="I167" s="3"/>
      <c r="J167" s="3"/>
      <c r="K167" s="3">
        <f>IF($J167="","",J167-I167)</f>
      </c>
      <c r="L167" s="3">
        <f>IF($J167="","",K167*16.67%)</f>
      </c>
      <c r="M167" s="3">
        <f>IF($J167="","",J167*7%)</f>
      </c>
      <c r="N167" s="3">
        <f>IF($J167="","",M167*20%)</f>
      </c>
      <c r="O167" s="3"/>
      <c r="P167" s="3">
        <f>IF($J167="","",O167*20%)</f>
      </c>
      <c r="Q167" s="3">
        <v>1</v>
      </c>
      <c r="R167" s="3">
        <f>IF($J167="","",N167+P167)</f>
      </c>
      <c r="S167" s="3">
        <f>IF($J167="","",K167-L167-M167-N167-O167-P167-Q167)</f>
      </c>
      <c r="T167" s="3">
        <f>IF($J167="","",(S167-V167)/I167*100)</f>
      </c>
      <c r="U167" s="3">
        <f>IF($J167="","",L167-R167)</f>
      </c>
      <c r="W167" s="3">
        <f>IF($J167="","",S167-V167)</f>
      </c>
    </row>
    <row r="168" spans="1:23" x14ac:dyDescent="0.25">
      <c r="A168" s="1"/>
      <c r="D168" s="2"/>
      <c r="I168" s="3"/>
      <c r="J168" s="3"/>
      <c r="K168" s="3">
        <f>IF($J168="","",J168-I168)</f>
      </c>
      <c r="L168" s="3">
        <f>IF($J168="","",K168*16.67%)</f>
      </c>
      <c r="M168" s="3">
        <f>IF($J168="","",J168*7%)</f>
      </c>
      <c r="N168" s="3">
        <f>IF($J168="","",M168*20%)</f>
      </c>
      <c r="O168" s="3"/>
      <c r="P168" s="3">
        <f>IF($J168="","",O168*20%)</f>
      </c>
      <c r="Q168" s="3">
        <v>1</v>
      </c>
      <c r="R168" s="3">
        <f>IF($J168="","",N168+P168)</f>
      </c>
      <c r="S168" s="3">
        <f>IF($J168="","",K168-L168-M168-N168-O168-P168-Q168)</f>
      </c>
      <c r="T168" s="3">
        <f>IF($J168="","",(S168-V168)/I168*100)</f>
      </c>
      <c r="U168" s="3">
        <f>IF($J168="","",L168-R168)</f>
      </c>
      <c r="W168" s="3">
        <f>IF($J168="","",S168-V168)</f>
      </c>
    </row>
    <row r="169" spans="1:23" x14ac:dyDescent="0.25">
      <c r="A169" s="1"/>
      <c r="D169" s="2"/>
      <c r="I169" s="3"/>
      <c r="J169" s="3"/>
      <c r="K169" s="3">
        <f>IF($J169="","",J169-I169)</f>
      </c>
      <c r="L169" s="3">
        <f>IF($J169="","",K169*16.67%)</f>
      </c>
      <c r="M169" s="3">
        <f>IF($J169="","",J169*7%)</f>
      </c>
      <c r="N169" s="3">
        <f>IF($J169="","",M169*20%)</f>
      </c>
      <c r="O169" s="3"/>
      <c r="P169" s="3">
        <f>IF($J169="","",O169*20%)</f>
      </c>
      <c r="Q169" s="3">
        <v>1</v>
      </c>
      <c r="R169" s="3">
        <f>IF($J169="","",N169+P169)</f>
      </c>
      <c r="S169" s="3">
        <f>IF($J169="","",K169-L169-M169-N169-O169-P169-Q169)</f>
      </c>
      <c r="T169" s="3">
        <f>IF($J169="","",(S169-V169)/I169*100)</f>
      </c>
      <c r="U169" s="3">
        <f>IF($J169="","",L169-R169)</f>
      </c>
      <c r="W169" s="3">
        <f>IF($J169="","",S169-V169)</f>
      </c>
    </row>
    <row r="170" spans="1:23" x14ac:dyDescent="0.25">
      <c r="A170" s="1"/>
      <c r="D170" s="2"/>
      <c r="I170" s="3"/>
      <c r="J170" s="3"/>
      <c r="K170" s="3">
        <f>IF($J170="","",J170-I170)</f>
      </c>
      <c r="L170" s="3">
        <f>IF($J170="","",K170*16.67%)</f>
      </c>
      <c r="M170" s="3">
        <f>IF($J170="","",J170*7%)</f>
      </c>
      <c r="N170" s="3">
        <f>IF($J170="","",M170*20%)</f>
      </c>
      <c r="O170" s="3"/>
      <c r="P170" s="3">
        <f>IF($J170="","",O170*20%)</f>
      </c>
      <c r="Q170" s="3">
        <v>1</v>
      </c>
      <c r="R170" s="3">
        <f>IF($J170="","",N170+P170)</f>
      </c>
      <c r="S170" s="3">
        <f>IF($J170="","",K170-L170-M170-N170-O170-P170-Q170)</f>
      </c>
      <c r="T170" s="3">
        <f>IF($J170="","",(S170-V170)/I170*100)</f>
      </c>
      <c r="U170" s="3">
        <f>IF($J170="","",L170-R170)</f>
      </c>
      <c r="W170" s="3">
        <f>IF($J170="","",S170-V170)</f>
      </c>
    </row>
    <row r="171" spans="1:23" x14ac:dyDescent="0.25">
      <c r="A171" s="1"/>
      <c r="D171" s="2"/>
      <c r="I171" s="3"/>
      <c r="J171" s="3"/>
      <c r="K171" s="3">
        <f>IF($J171="","",J171-I171)</f>
      </c>
      <c r="L171" s="3">
        <f>IF($J171="","",K171*16.67%)</f>
      </c>
      <c r="M171" s="3">
        <f>IF($J171="","",J171*7%)</f>
      </c>
      <c r="N171" s="3">
        <f>IF($J171="","",M171*20%)</f>
      </c>
      <c r="O171" s="3"/>
      <c r="P171" s="3">
        <f>IF($J171="","",O171*20%)</f>
      </c>
      <c r="Q171" s="3">
        <v>1</v>
      </c>
      <c r="R171" s="3">
        <f>IF($J171="","",N171+P171)</f>
      </c>
      <c r="S171" s="3">
        <f>IF($J171="","",K171-L171-M171-N171-O171-P171-Q171)</f>
      </c>
      <c r="T171" s="3">
        <f>IF($J171="","",(S171-V171)/I171*100)</f>
      </c>
      <c r="U171" s="3">
        <f>IF($J171="","",L171-R171)</f>
      </c>
      <c r="W171" s="3">
        <f>IF($J171="","",S171-V171)</f>
      </c>
    </row>
    <row r="172" spans="1:23" x14ac:dyDescent="0.25">
      <c r="A172" s="1"/>
      <c r="D172" s="2"/>
      <c r="I172" s="3"/>
      <c r="J172" s="3"/>
      <c r="K172" s="3">
        <f>IF($J172="","",J172-I172)</f>
      </c>
      <c r="L172" s="3">
        <f>IF($J172="","",K172*16.67%)</f>
      </c>
      <c r="M172" s="3">
        <f>IF($J172="","",J172*7%)</f>
      </c>
      <c r="N172" s="3">
        <f>IF($J172="","",M172*20%)</f>
      </c>
      <c r="O172" s="3"/>
      <c r="P172" s="3">
        <f>IF($J172="","",O172*20%)</f>
      </c>
      <c r="Q172" s="3">
        <v>1</v>
      </c>
      <c r="R172" s="3">
        <f>IF($J172="","",N172+P172)</f>
      </c>
      <c r="S172" s="3">
        <f>IF($J172="","",K172-L172-M172-N172-O172-P172-Q172)</f>
      </c>
      <c r="T172" s="3">
        <f>IF($J172="","",(S172-V172)/I172*100)</f>
      </c>
      <c r="U172" s="3">
        <f>IF($J172="","",L172-R172)</f>
      </c>
      <c r="W172" s="3">
        <f>IF($J172="","",S172-V172)</f>
      </c>
    </row>
    <row r="173" spans="1:23" x14ac:dyDescent="0.25">
      <c r="A173" s="1"/>
      <c r="D173" s="2"/>
      <c r="I173" s="3"/>
      <c r="J173" s="3"/>
      <c r="K173" s="3">
        <f>IF($J173="","",J173-I173)</f>
      </c>
      <c r="L173" s="3">
        <f>IF($J173="","",K173*16.67%)</f>
      </c>
      <c r="M173" s="3">
        <f>IF($J173="","",J173*7%)</f>
      </c>
      <c r="N173" s="3">
        <f>IF($J173="","",M173*20%)</f>
      </c>
      <c r="O173" s="3"/>
      <c r="P173" s="3">
        <f>IF($J173="","",O173*20%)</f>
      </c>
      <c r="Q173" s="3">
        <v>1</v>
      </c>
      <c r="R173" s="3">
        <f>IF($J173="","",N173+P173)</f>
      </c>
      <c r="S173" s="3">
        <f>IF($J173="","",K173-L173-M173-N173-O173-P173-Q173)</f>
      </c>
      <c r="T173" s="3">
        <f>IF($J173="","",(S173-V173)/I173*100)</f>
      </c>
      <c r="U173" s="3">
        <f>IF($J173="","",L173-R173)</f>
      </c>
      <c r="W173" s="3">
        <f>IF($J173="","",S173-V173)</f>
      </c>
    </row>
    <row r="174" spans="1:23" x14ac:dyDescent="0.25">
      <c r="A174" s="1"/>
      <c r="D174" s="2"/>
      <c r="I174" s="3"/>
      <c r="J174" s="3"/>
      <c r="K174" s="3">
        <f>IF($J174="","",J174-I174)</f>
      </c>
      <c r="L174" s="3">
        <f>IF($J174="","",K174*16.67%)</f>
      </c>
      <c r="M174" s="3">
        <f>IF($J174="","",J174*7%)</f>
      </c>
      <c r="N174" s="3">
        <f>IF($J174="","",M174*20%)</f>
      </c>
      <c r="O174" s="3"/>
      <c r="P174" s="3">
        <f>IF($J174="","",O174*20%)</f>
      </c>
      <c r="Q174" s="3">
        <v>1</v>
      </c>
      <c r="R174" s="3">
        <f>IF($J174="","",N174+P174)</f>
      </c>
      <c r="S174" s="3">
        <f>IF($J174="","",K174-L174-M174-N174-O174-P174-Q174)</f>
      </c>
      <c r="T174" s="3">
        <f>IF($J174="","",(S174-V174)/I174*100)</f>
      </c>
      <c r="U174" s="3">
        <f>IF($J174="","",L174-R174)</f>
      </c>
      <c r="W174" s="3">
        <f>IF($J174="","",S174-V174)</f>
      </c>
    </row>
    <row r="175" spans="1:23" x14ac:dyDescent="0.25">
      <c r="A175" s="1"/>
      <c r="D175" s="2"/>
      <c r="I175" s="3"/>
      <c r="J175" s="3"/>
      <c r="K175" s="3">
        <f>IF($J175="","",J175-I175)</f>
      </c>
      <c r="L175" s="3">
        <f>IF($J175="","",K175*16.67%)</f>
      </c>
      <c r="M175" s="3">
        <f>IF($J175="","",J175*7%)</f>
      </c>
      <c r="N175" s="3">
        <f>IF($J175="","",M175*20%)</f>
      </c>
      <c r="O175" s="3"/>
      <c r="P175" s="3">
        <f>IF($J175="","",O175*20%)</f>
      </c>
      <c r="Q175" s="3">
        <v>1</v>
      </c>
      <c r="R175" s="3">
        <f>IF($J175="","",N175+P175)</f>
      </c>
      <c r="S175" s="3">
        <f>IF($J175="","",K175-L175-M175-N175-O175-P175-Q175)</f>
      </c>
      <c r="T175" s="3">
        <f>IF($J175="","",(S175-V175)/I175*100)</f>
      </c>
      <c r="U175" s="3">
        <f>IF($J175="","",L175-R175)</f>
      </c>
      <c r="W175" s="3">
        <f>IF($J175="","",S175-V175)</f>
      </c>
    </row>
    <row r="176" spans="1:23" x14ac:dyDescent="0.25">
      <c r="A176" s="1"/>
      <c r="D176" s="2"/>
      <c r="I176" s="3"/>
      <c r="J176" s="3"/>
      <c r="K176" s="3">
        <f>IF($J176="","",J176-I176)</f>
      </c>
      <c r="L176" s="3">
        <f>IF($J176="","",K176*16.67%)</f>
      </c>
      <c r="M176" s="3">
        <f>IF($J176="","",J176*7%)</f>
      </c>
      <c r="N176" s="3">
        <f>IF($J176="","",M176*20%)</f>
      </c>
      <c r="O176" s="3"/>
      <c r="P176" s="3">
        <f>IF($J176="","",O176*20%)</f>
      </c>
      <c r="Q176" s="3">
        <v>1</v>
      </c>
      <c r="R176" s="3">
        <f>IF($J176="","",N176+P176)</f>
      </c>
      <c r="S176" s="3">
        <f>IF($J176="","",K176-L176-M176-N176-O176-P176-Q176)</f>
      </c>
      <c r="T176" s="3">
        <f>IF($J176="","",(S176-V176)/I176*100)</f>
      </c>
      <c r="U176" s="3">
        <f>IF($J176="","",L176-R176)</f>
      </c>
      <c r="W176" s="3">
        <f>IF($J176="","",S176-V176)</f>
      </c>
    </row>
    <row r="177" spans="1:23" x14ac:dyDescent="0.25">
      <c r="A177" s="1"/>
      <c r="D177" s="2"/>
      <c r="I177" s="3"/>
      <c r="J177" s="3"/>
      <c r="K177" s="3">
        <f>IF($J177="","",J177-I177)</f>
      </c>
      <c r="L177" s="3">
        <f>IF($J177="","",K177*16.67%)</f>
      </c>
      <c r="M177" s="3">
        <f>IF($J177="","",J177*7%)</f>
      </c>
      <c r="N177" s="3">
        <f>IF($J177="","",M177*20%)</f>
      </c>
      <c r="O177" s="3"/>
      <c r="P177" s="3">
        <f>IF($J177="","",O177*20%)</f>
      </c>
      <c r="Q177" s="3">
        <v>1</v>
      </c>
      <c r="R177" s="3">
        <f>IF($J177="","",N177+P177)</f>
      </c>
      <c r="S177" s="3">
        <f>IF($J177="","",K177-L177-M177-N177-O177-P177-Q177)</f>
      </c>
      <c r="T177" s="3">
        <f>IF($J177="","",(S177-V177)/I177*100)</f>
      </c>
      <c r="U177" s="3">
        <f>IF($J177="","",L177-R177)</f>
      </c>
      <c r="W177" s="3">
        <f>IF($J177="","",S177-V177)</f>
      </c>
    </row>
    <row r="178" spans="1:23" x14ac:dyDescent="0.25">
      <c r="A178" s="1"/>
      <c r="D178" s="2"/>
      <c r="I178" s="3"/>
      <c r="J178" s="3"/>
      <c r="K178" s="3">
        <f>IF($J178="","",J178-I178)</f>
      </c>
      <c r="L178" s="3">
        <f>IF($J178="","",K178*16.67%)</f>
      </c>
      <c r="M178" s="3">
        <f>IF($J178="","",J178*7%)</f>
      </c>
      <c r="N178" s="3">
        <f>IF($J178="","",M178*20%)</f>
      </c>
      <c r="O178" s="3"/>
      <c r="P178" s="3">
        <f>IF($J178="","",O178*20%)</f>
      </c>
      <c r="Q178" s="3">
        <v>1</v>
      </c>
      <c r="R178" s="3">
        <f>IF($J178="","",N178+P178)</f>
      </c>
      <c r="S178" s="3">
        <f>IF($J178="","",K178-L178-M178-N178-O178-P178-Q178)</f>
      </c>
      <c r="T178" s="3">
        <f>IF($J178="","",(S178-V178)/I178*100)</f>
      </c>
      <c r="U178" s="3">
        <f>IF($J178="","",L178-R178)</f>
      </c>
      <c r="W178" s="3">
        <f>IF($J178="","",S178-V178)</f>
      </c>
    </row>
    <row r="179" spans="1:23" x14ac:dyDescent="0.25">
      <c r="A179" s="1"/>
      <c r="D179" s="2"/>
      <c r="I179" s="3"/>
      <c r="J179" s="3"/>
      <c r="K179" s="3">
        <f>IF($J179="","",J179-I179)</f>
      </c>
      <c r="L179" s="3">
        <f>IF($J179="","",K179*16.67%)</f>
      </c>
      <c r="M179" s="3">
        <f>IF($J179="","",J179*7%)</f>
      </c>
      <c r="N179" s="3">
        <f>IF($J179="","",M179*20%)</f>
      </c>
      <c r="O179" s="3"/>
      <c r="P179" s="3">
        <f>IF($J179="","",O179*20%)</f>
      </c>
      <c r="Q179" s="3">
        <v>1</v>
      </c>
      <c r="R179" s="3">
        <f>IF($J179="","",N179+P179)</f>
      </c>
      <c r="S179" s="3">
        <f>IF($J179="","",K179-L179-M179-N179-O179-P179-Q179)</f>
      </c>
      <c r="T179" s="3">
        <f>IF($J179="","",(S179-V179)/I179*100)</f>
      </c>
      <c r="U179" s="3">
        <f>IF($J179="","",L179-R179)</f>
      </c>
      <c r="W179" s="3">
        <f>IF($J179="","",S179-V179)</f>
      </c>
    </row>
    <row r="180" spans="1:23" x14ac:dyDescent="0.25">
      <c r="A180" s="1"/>
      <c r="D180" s="2"/>
      <c r="I180" s="3"/>
      <c r="J180" s="3"/>
      <c r="K180" s="3">
        <f>IF($J180="","",J180-I180)</f>
      </c>
      <c r="L180" s="3">
        <f>IF($J180="","",K180*16.67%)</f>
      </c>
      <c r="M180" s="3">
        <f>IF($J180="","",J180*7%)</f>
      </c>
      <c r="N180" s="3">
        <f>IF($J180="","",M180*20%)</f>
      </c>
      <c r="O180" s="3"/>
      <c r="P180" s="3">
        <f>IF($J180="","",O180*20%)</f>
      </c>
      <c r="Q180" s="3">
        <v>1</v>
      </c>
      <c r="R180" s="3">
        <f>IF($J180="","",N180+P180)</f>
      </c>
      <c r="S180" s="3">
        <f>IF($J180="","",K180-L180-M180-N180-O180-P180-Q180)</f>
      </c>
      <c r="T180" s="3">
        <f>IF($J180="","",(S180-V180)/I180*100)</f>
      </c>
      <c r="U180" s="3">
        <f>IF($J180="","",L180-R180)</f>
      </c>
      <c r="W180" s="3">
        <f>IF($J180="","",S180-V180)</f>
      </c>
    </row>
    <row r="181" spans="1:23" x14ac:dyDescent="0.25">
      <c r="A181" s="1"/>
      <c r="D181" s="2"/>
      <c r="I181" s="3"/>
      <c r="J181" s="3"/>
      <c r="K181" s="3">
        <f>IF($J181="","",J181-I181)</f>
      </c>
      <c r="L181" s="3">
        <f>IF($J181="","",K181*16.67%)</f>
      </c>
      <c r="M181" s="3">
        <f>IF($J181="","",J181*7%)</f>
      </c>
      <c r="N181" s="3">
        <f>IF($J181="","",M181*20%)</f>
      </c>
      <c r="O181" s="3"/>
      <c r="P181" s="3">
        <f>IF($J181="","",O181*20%)</f>
      </c>
      <c r="Q181" s="3">
        <v>1</v>
      </c>
      <c r="R181" s="3">
        <f>IF($J181="","",N181+P181)</f>
      </c>
      <c r="S181" s="3">
        <f>IF($J181="","",K181-L181-M181-N181-O181-P181-Q181)</f>
      </c>
      <c r="T181" s="3">
        <f>IF($J181="","",(S181-V181)/I181*100)</f>
      </c>
      <c r="U181" s="3">
        <f>IF($J181="","",L181-R181)</f>
      </c>
      <c r="W181" s="3">
        <f>IF($J181="","",S181-V181)</f>
      </c>
    </row>
    <row r="182" spans="1:23" x14ac:dyDescent="0.25">
      <c r="A182" s="1"/>
      <c r="D182" s="2"/>
      <c r="I182" s="3"/>
      <c r="J182" s="3"/>
      <c r="K182" s="3">
        <f>IF($J182="","",J182-I182)</f>
      </c>
      <c r="L182" s="3">
        <f>IF($J182="","",K182*16.67%)</f>
      </c>
      <c r="M182" s="3">
        <f>IF($J182="","",J182*7%)</f>
      </c>
      <c r="N182" s="3">
        <f>IF($J182="","",M182*20%)</f>
      </c>
      <c r="O182" s="3"/>
      <c r="P182" s="3">
        <f>IF($J182="","",O182*20%)</f>
      </c>
      <c r="Q182" s="3">
        <v>1</v>
      </c>
      <c r="R182" s="3">
        <f>IF($J182="","",N182+P182)</f>
      </c>
      <c r="S182" s="3">
        <f>IF($J182="","",K182-L182-M182-N182-O182-P182-Q182)</f>
      </c>
      <c r="T182" s="3">
        <f>IF($J182="","",(S182-V182)/I182*100)</f>
      </c>
      <c r="U182" s="3">
        <f>IF($J182="","",L182-R182)</f>
      </c>
      <c r="W182" s="3">
        <f>IF($J182="","",S182-V182)</f>
      </c>
    </row>
    <row r="183" spans="1:23" x14ac:dyDescent="0.25">
      <c r="A183" s="1"/>
      <c r="D183" s="2"/>
      <c r="I183" s="3"/>
      <c r="J183" s="3"/>
      <c r="K183" s="3">
        <f>IF($J183="","",J183-I183)</f>
      </c>
      <c r="L183" s="3">
        <f>IF($J183="","",K183*16.67%)</f>
      </c>
      <c r="M183" s="3">
        <f>IF($J183="","",J183*7%)</f>
      </c>
      <c r="N183" s="3">
        <f>IF($J183="","",M183*20%)</f>
      </c>
      <c r="O183" s="3"/>
      <c r="P183" s="3">
        <f>IF($J183="","",O183*20%)</f>
      </c>
      <c r="Q183" s="3">
        <v>1</v>
      </c>
      <c r="R183" s="3">
        <f>IF($J183="","",N183+P183)</f>
      </c>
      <c r="S183" s="3">
        <f>IF($J183="","",K183-L183-M183-N183-O183-P183-Q183)</f>
      </c>
      <c r="T183" s="3">
        <f>IF($J183="","",(S183-V183)/I183*100)</f>
      </c>
      <c r="U183" s="3">
        <f>IF($J183="","",L183-R183)</f>
      </c>
      <c r="W183" s="3">
        <f>IF($J183="","",S183-V183)</f>
      </c>
    </row>
    <row r="184" spans="1:23" x14ac:dyDescent="0.25">
      <c r="A184" s="1"/>
      <c r="D184" s="2"/>
      <c r="I184" s="3"/>
      <c r="J184" s="3"/>
      <c r="K184" s="3">
        <f>IF($J184="","",J184-I184)</f>
      </c>
      <c r="L184" s="3">
        <f>IF($J184="","",K184*16.67%)</f>
      </c>
      <c r="M184" s="3">
        <f>IF($J184="","",J184*7%)</f>
      </c>
      <c r="N184" s="3">
        <f>IF($J184="","",M184*20%)</f>
      </c>
      <c r="O184" s="3"/>
      <c r="P184" s="3">
        <f>IF($J184="","",O184*20%)</f>
      </c>
      <c r="Q184" s="3">
        <v>1</v>
      </c>
      <c r="R184" s="3">
        <f>IF($J184="","",N184+P184)</f>
      </c>
      <c r="S184" s="3">
        <f>IF($J184="","",K184-L184-M184-N184-O184-P184-Q184)</f>
      </c>
      <c r="T184" s="3">
        <f>IF($J184="","",(S184-V184)/I184*100)</f>
      </c>
      <c r="U184" s="3">
        <f>IF($J184="","",L184-R184)</f>
      </c>
      <c r="W184" s="3">
        <f>IF($J184="","",S184-V184)</f>
      </c>
    </row>
    <row r="185" spans="1:23" x14ac:dyDescent="0.25">
      <c r="A185" s="1"/>
      <c r="D185" s="2"/>
      <c r="I185" s="3"/>
      <c r="J185" s="3"/>
      <c r="K185" s="3">
        <f>IF($J185="","",J185-I185)</f>
      </c>
      <c r="L185" s="3">
        <f>IF($J185="","",K185*16.67%)</f>
      </c>
      <c r="M185" s="3">
        <f>IF($J185="","",J185*7%)</f>
      </c>
      <c r="N185" s="3">
        <f>IF($J185="","",M185*20%)</f>
      </c>
      <c r="O185" s="3"/>
      <c r="P185" s="3">
        <f>IF($J185="","",O185*20%)</f>
      </c>
      <c r="Q185" s="3">
        <v>1</v>
      </c>
      <c r="R185" s="3">
        <f>IF($J185="","",N185+P185)</f>
      </c>
      <c r="S185" s="3">
        <f>IF($J185="","",K185-L185-M185-N185-O185-P185-Q185)</f>
      </c>
      <c r="T185" s="3">
        <f>IF($J185="","",(S185-V185)/I185*100)</f>
      </c>
      <c r="U185" s="3">
        <f>IF($J185="","",L185-R185)</f>
      </c>
      <c r="W185" s="3">
        <f>IF($J185="","",S185-V185)</f>
      </c>
    </row>
    <row r="186" spans="1:23" x14ac:dyDescent="0.25">
      <c r="A186" s="1"/>
      <c r="D186" s="2"/>
      <c r="I186" s="3"/>
      <c r="J186" s="3"/>
      <c r="K186" s="3">
        <f>IF($J186="","",J186-I186)</f>
      </c>
      <c r="L186" s="3">
        <f>IF($J186="","",K186*16.67%)</f>
      </c>
      <c r="M186" s="3">
        <f>IF($J186="","",J186*7%)</f>
      </c>
      <c r="N186" s="3">
        <f>IF($J186="","",M186*20%)</f>
      </c>
      <c r="O186" s="3"/>
      <c r="P186" s="3">
        <f>IF($J186="","",O186*20%)</f>
      </c>
      <c r="Q186" s="3">
        <v>1</v>
      </c>
      <c r="R186" s="3">
        <f>IF($J186="","",N186+P186)</f>
      </c>
      <c r="S186" s="3">
        <f>IF($J186="","",K186-L186-M186-N186-O186-P186-Q186)</f>
      </c>
      <c r="T186" s="3">
        <f>IF($J186="","",(S186-V186)/I186*100)</f>
      </c>
      <c r="U186" s="3">
        <f>IF($J186="","",L186-R186)</f>
      </c>
      <c r="W186" s="3">
        <f>IF($J186="","",S186-V186)</f>
      </c>
    </row>
    <row r="187" spans="1:23" x14ac:dyDescent="0.25">
      <c r="A187" s="1"/>
      <c r="D187" s="2"/>
      <c r="I187" s="3"/>
      <c r="J187" s="3"/>
      <c r="K187" s="3">
        <f>IF($J187="","",J187-I187)</f>
      </c>
      <c r="L187" s="3">
        <f>IF($J187="","",K187*16.67%)</f>
      </c>
      <c r="M187" s="3">
        <f>IF($J187="","",J187*7%)</f>
      </c>
      <c r="N187" s="3">
        <f>IF($J187="","",M187*20%)</f>
      </c>
      <c r="O187" s="3"/>
      <c r="P187" s="3">
        <f>IF($J187="","",O187*20%)</f>
      </c>
      <c r="Q187" s="3">
        <v>1</v>
      </c>
      <c r="R187" s="3">
        <f>IF($J187="","",N187+P187)</f>
      </c>
      <c r="S187" s="3">
        <f>IF($J187="","",K187-L187-M187-N187-O187-P187-Q187)</f>
      </c>
      <c r="T187" s="3">
        <f>IF($J187="","",(S187-V187)/I187*100)</f>
      </c>
      <c r="U187" s="3">
        <f>IF($J187="","",L187-R187)</f>
      </c>
      <c r="W187" s="3">
        <f>IF($J187="","",S187-V187)</f>
      </c>
    </row>
    <row r="188" spans="1:23" x14ac:dyDescent="0.25">
      <c r="A188" s="1"/>
      <c r="D188" s="2"/>
      <c r="I188" s="3"/>
      <c r="J188" s="3"/>
      <c r="K188" s="3">
        <f>IF($J188="","",J188-I188)</f>
      </c>
      <c r="L188" s="3">
        <f>IF($J188="","",K188*16.67%)</f>
      </c>
      <c r="M188" s="3">
        <f>IF($J188="","",J188*7%)</f>
      </c>
      <c r="N188" s="3">
        <f>IF($J188="","",M188*20%)</f>
      </c>
      <c r="O188" s="3"/>
      <c r="P188" s="3">
        <f>IF($J188="","",O188*20%)</f>
      </c>
      <c r="Q188" s="3">
        <v>1</v>
      </c>
      <c r="R188" s="3">
        <f>IF($J188="","",N188+P188)</f>
      </c>
      <c r="S188" s="3">
        <f>IF($J188="","",K188-L188-M188-N188-O188-P188-Q188)</f>
      </c>
      <c r="T188" s="3">
        <f>IF($J188="","",(S188-V188)/I188*100)</f>
      </c>
      <c r="U188" s="3">
        <f>IF($J188="","",L188-R188)</f>
      </c>
      <c r="W188" s="3">
        <f>IF($J188="","",S188-V188)</f>
      </c>
    </row>
    <row r="189" spans="1:23" x14ac:dyDescent="0.25">
      <c r="A189" s="1"/>
      <c r="D189" s="2"/>
      <c r="I189" s="3"/>
      <c r="J189" s="3"/>
      <c r="K189" s="3">
        <f>IF($J189="","",J189-I189)</f>
      </c>
      <c r="L189" s="3">
        <f>IF($J189="","",K189*16.67%)</f>
      </c>
      <c r="M189" s="3">
        <f>IF($J189="","",J189*7%)</f>
      </c>
      <c r="N189" s="3">
        <f>IF($J189="","",M189*20%)</f>
      </c>
      <c r="O189" s="3"/>
      <c r="P189" s="3">
        <f>IF($J189="","",O189*20%)</f>
      </c>
      <c r="Q189" s="3">
        <v>1</v>
      </c>
      <c r="R189" s="3">
        <f>IF($J189="","",N189+P189)</f>
      </c>
      <c r="S189" s="3">
        <f>IF($J189="","",K189-L189-M189-N189-O189-P189-Q189)</f>
      </c>
      <c r="T189" s="3">
        <f>IF($J189="","",(S189-V189)/I189*100)</f>
      </c>
      <c r="U189" s="3">
        <f>IF($J189="","",L189-R189)</f>
      </c>
      <c r="W189" s="3">
        <f>IF($J189="","",S189-V189)</f>
      </c>
    </row>
    <row r="190" spans="1:23" x14ac:dyDescent="0.25">
      <c r="A190" s="1"/>
      <c r="D190" s="2"/>
      <c r="I190" s="3"/>
      <c r="J190" s="3"/>
      <c r="K190" s="3">
        <f>IF($J190="","",J190-I190)</f>
      </c>
      <c r="L190" s="3">
        <f>IF($J190="","",K190*16.67%)</f>
      </c>
      <c r="M190" s="3">
        <f>IF($J190="","",J190*7%)</f>
      </c>
      <c r="N190" s="3">
        <f>IF($J190="","",M190*20%)</f>
      </c>
      <c r="O190" s="3"/>
      <c r="P190" s="3">
        <f>IF($J190="","",O190*20%)</f>
      </c>
      <c r="Q190" s="3">
        <v>1</v>
      </c>
      <c r="R190" s="3">
        <f>IF($J190="","",N190+P190)</f>
      </c>
      <c r="S190" s="3">
        <f>IF($J190="","",K190-L190-M190-N190-O190-P190-Q190)</f>
      </c>
      <c r="T190" s="3">
        <f>IF($J190="","",(S190-V190)/I190*100)</f>
      </c>
      <c r="U190" s="3">
        <f>IF($J190="","",L190-R190)</f>
      </c>
      <c r="W190" s="3">
        <f>IF($J190="","",S190-V190)</f>
      </c>
    </row>
    <row r="191" spans="1:23" x14ac:dyDescent="0.25">
      <c r="A191" s="1"/>
      <c r="D191" s="2"/>
      <c r="I191" s="3"/>
      <c r="J191" s="3"/>
      <c r="K191" s="3">
        <f>IF($J191="","",J191-I191)</f>
      </c>
      <c r="L191" s="3">
        <f>IF($J191="","",K191*16.67%)</f>
      </c>
      <c r="M191" s="3">
        <f>IF($J191="","",J191*7%)</f>
      </c>
      <c r="N191" s="3">
        <f>IF($J191="","",M191*20%)</f>
      </c>
      <c r="O191" s="3"/>
      <c r="P191" s="3">
        <f>IF($J191="","",O191*20%)</f>
      </c>
      <c r="Q191" s="3">
        <v>1</v>
      </c>
      <c r="R191" s="3">
        <f>IF($J191="","",N191+P191)</f>
      </c>
      <c r="S191" s="3">
        <f>IF($J191="","",K191-L191-M191-N191-O191-P191-Q191)</f>
      </c>
      <c r="T191" s="3">
        <f>IF($J191="","",(S191-V191)/I191*100)</f>
      </c>
      <c r="U191" s="3">
        <f>IF($J191="","",L191-R191)</f>
      </c>
      <c r="W191" s="3">
        <f>IF($J191="","",S191-V191)</f>
      </c>
    </row>
    <row r="192" spans="1:23" x14ac:dyDescent="0.25">
      <c r="A192" s="1"/>
      <c r="D192" s="2"/>
      <c r="I192" s="3"/>
      <c r="J192" s="3"/>
      <c r="K192" s="3">
        <f>IF($J192="","",J192-I192)</f>
      </c>
      <c r="L192" s="3">
        <f>IF($J192="","",K192*16.67%)</f>
      </c>
      <c r="M192" s="3">
        <f>IF($J192="","",J192*7%)</f>
      </c>
      <c r="N192" s="3">
        <f>IF($J192="","",M192*20%)</f>
      </c>
      <c r="O192" s="3"/>
      <c r="P192" s="3">
        <f>IF($J192="","",O192*20%)</f>
      </c>
      <c r="Q192" s="3">
        <v>1</v>
      </c>
      <c r="R192" s="3">
        <f>IF($J192="","",N192+P192)</f>
      </c>
      <c r="S192" s="3">
        <f>IF($J192="","",K192-L192-M192-N192-O192-P192-Q192)</f>
      </c>
      <c r="T192" s="3">
        <f>IF($J192="","",(S192-V192)/I192*100)</f>
      </c>
      <c r="U192" s="3">
        <f>IF($J192="","",L192-R192)</f>
      </c>
      <c r="W192" s="3">
        <f>IF($J192="","",S192-V192)</f>
      </c>
    </row>
    <row r="193" spans="1:23" x14ac:dyDescent="0.25">
      <c r="A193" s="1"/>
      <c r="D193" s="2"/>
      <c r="I193" s="3"/>
      <c r="J193" s="3"/>
      <c r="K193" s="3">
        <f>IF($J193="","",J193-I193)</f>
      </c>
      <c r="L193" s="3">
        <f>IF($J193="","",K193*16.67%)</f>
      </c>
      <c r="M193" s="3">
        <f>IF($J193="","",J193*7%)</f>
      </c>
      <c r="N193" s="3">
        <f>IF($J193="","",M193*20%)</f>
      </c>
      <c r="O193" s="3"/>
      <c r="P193" s="3">
        <f>IF($J193="","",O193*20%)</f>
      </c>
      <c r="Q193" s="3">
        <v>1</v>
      </c>
      <c r="R193" s="3">
        <f>IF($J193="","",N193+P193)</f>
      </c>
      <c r="S193" s="3">
        <f>IF($J193="","",K193-L193-M193-N193-O193-P193-Q193)</f>
      </c>
      <c r="T193" s="3">
        <f>IF($J193="","",(S193-V193)/I193*100)</f>
      </c>
      <c r="U193" s="3">
        <f>IF($J193="","",L193-R193)</f>
      </c>
      <c r="W193" s="3">
        <f>IF($J193="","",S193-V193)</f>
      </c>
    </row>
    <row r="194" spans="1:23" x14ac:dyDescent="0.25">
      <c r="A194" s="1"/>
      <c r="D194" s="2"/>
      <c r="I194" s="3"/>
      <c r="J194" s="3"/>
      <c r="K194" s="3">
        <f>IF($J194="","",J194-I194)</f>
      </c>
      <c r="L194" s="3">
        <f>IF($J194="","",K194*16.67%)</f>
      </c>
      <c r="M194" s="3">
        <f>IF($J194="","",J194*7%)</f>
      </c>
      <c r="N194" s="3">
        <f>IF($J194="","",M194*20%)</f>
      </c>
      <c r="O194" s="3"/>
      <c r="P194" s="3">
        <f>IF($J194="","",O194*20%)</f>
      </c>
      <c r="Q194" s="3">
        <v>1</v>
      </c>
      <c r="R194" s="3">
        <f>IF($J194="","",N194+P194)</f>
      </c>
      <c r="S194" s="3">
        <f>IF($J194="","",K194-L194-M194-N194-O194-P194-Q194)</f>
      </c>
      <c r="T194" s="3">
        <f>IF($J194="","",(S194-V194)/I194*100)</f>
      </c>
      <c r="U194" s="3">
        <f>IF($J194="","",L194-R194)</f>
      </c>
      <c r="W194" s="3">
        <f>IF($J194="","",S194-V194)</f>
      </c>
    </row>
    <row r="195" spans="1:23" x14ac:dyDescent="0.25">
      <c r="A195" s="1"/>
      <c r="D195" s="2"/>
      <c r="I195" s="3"/>
      <c r="J195" s="3"/>
      <c r="K195" s="3">
        <f>IF($J195="","",J195-I195)</f>
      </c>
      <c r="L195" s="3">
        <f>IF($J195="","",K195*16.67%)</f>
      </c>
      <c r="M195" s="3">
        <f>IF($J195="","",J195*7%)</f>
      </c>
      <c r="N195" s="3">
        <f>IF($J195="","",M195*20%)</f>
      </c>
      <c r="O195" s="3"/>
      <c r="P195" s="3">
        <f>IF($J195="","",O195*20%)</f>
      </c>
      <c r="Q195" s="3">
        <v>1</v>
      </c>
      <c r="R195" s="3">
        <f>IF($J195="","",N195+P195)</f>
      </c>
      <c r="S195" s="3">
        <f>IF($J195="","",K195-L195-M195-N195-O195-P195-Q195)</f>
      </c>
      <c r="T195" s="3">
        <f>IF($J195="","",(S195-V195)/I195*100)</f>
      </c>
      <c r="U195" s="3">
        <f>IF($J195="","",L195-R195)</f>
      </c>
      <c r="W195" s="3">
        <f>IF($J195="","",S195-V195)</f>
      </c>
    </row>
    <row r="196" spans="1:23" x14ac:dyDescent="0.25">
      <c r="A196" s="1"/>
      <c r="D196" s="2"/>
      <c r="I196" s="3"/>
      <c r="J196" s="3"/>
      <c r="K196" s="3">
        <f>IF($J196="","",J196-I196)</f>
      </c>
      <c r="L196" s="3">
        <f>IF($J196="","",K196*16.67%)</f>
      </c>
      <c r="M196" s="3">
        <f>IF($J196="","",J196*7%)</f>
      </c>
      <c r="N196" s="3">
        <f>IF($J196="","",M196*20%)</f>
      </c>
      <c r="O196" s="3"/>
      <c r="P196" s="3">
        <f>IF($J196="","",O196*20%)</f>
      </c>
      <c r="Q196" s="3">
        <v>1</v>
      </c>
      <c r="R196" s="3">
        <f>IF($J196="","",N196+P196)</f>
      </c>
      <c r="S196" s="3">
        <f>IF($J196="","",K196-L196-M196-N196-O196-P196-Q196)</f>
      </c>
      <c r="T196" s="3">
        <f>IF($J196="","",(S196-V196)/I196*100)</f>
      </c>
      <c r="U196" s="3">
        <f>IF($J196="","",L196-R196)</f>
      </c>
      <c r="W196" s="3">
        <f>IF($J196="","",S196-V196)</f>
      </c>
    </row>
    <row r="197" spans="1:23" x14ac:dyDescent="0.25">
      <c r="A197" s="1"/>
      <c r="D197" s="2"/>
      <c r="I197" s="3"/>
      <c r="J197" s="3"/>
      <c r="K197" s="3">
        <f>IF($J197="","",J197-I197)</f>
      </c>
      <c r="L197" s="3">
        <f>IF($J197="","",K197*16.67%)</f>
      </c>
      <c r="M197" s="3">
        <f>IF($J197="","",J197*7%)</f>
      </c>
      <c r="N197" s="3">
        <f>IF($J197="","",M197*20%)</f>
      </c>
      <c r="O197" s="3"/>
      <c r="P197" s="3">
        <f>IF($J197="","",O197*20%)</f>
      </c>
      <c r="Q197" s="3">
        <v>1</v>
      </c>
      <c r="R197" s="3">
        <f>IF($J197="","",N197+P197)</f>
      </c>
      <c r="S197" s="3">
        <f>IF($J197="","",K197-L197-M197-N197-O197-P197-Q197)</f>
      </c>
      <c r="T197" s="3">
        <f>IF($J197="","",(S197-V197)/I197*100)</f>
      </c>
      <c r="U197" s="3">
        <f>IF($J197="","",L197-R197)</f>
      </c>
      <c r="W197" s="3">
        <f>IF($J197="","",S197-V197)</f>
      </c>
    </row>
    <row r="198" spans="1:23" x14ac:dyDescent="0.25">
      <c r="A198" s="1"/>
      <c r="D198" s="2"/>
      <c r="I198" s="3"/>
      <c r="J198" s="3"/>
      <c r="K198" s="3">
        <f>IF($J198="","",J198-I198)</f>
      </c>
      <c r="L198" s="3">
        <f>IF($J198="","",K198*16.67%)</f>
      </c>
      <c r="M198" s="3">
        <f>IF($J198="","",J198*7%)</f>
      </c>
      <c r="N198" s="3">
        <f>IF($J198="","",M198*20%)</f>
      </c>
      <c r="O198" s="3"/>
      <c r="P198" s="3">
        <f>IF($J198="","",O198*20%)</f>
      </c>
      <c r="Q198" s="3">
        <v>1</v>
      </c>
      <c r="R198" s="3">
        <f>IF($J198="","",N198+P198)</f>
      </c>
      <c r="S198" s="3">
        <f>IF($J198="","",K198-L198-M198-N198-O198-P198-Q198)</f>
      </c>
      <c r="T198" s="3">
        <f>IF($J198="","",(S198-V198)/I198*100)</f>
      </c>
      <c r="U198" s="3">
        <f>IF($J198="","",L198-R198)</f>
      </c>
      <c r="W198" s="3">
        <f>IF($J198="","",S198-V198)</f>
      </c>
    </row>
    <row r="199" spans="1:23" x14ac:dyDescent="0.25">
      <c r="A199" s="1"/>
      <c r="D199" s="2"/>
      <c r="I199" s="3"/>
      <c r="J199" s="3"/>
      <c r="K199" s="3">
        <f>IF($J199="","",J199-I199)</f>
      </c>
      <c r="L199" s="3">
        <f>IF($J199="","",K199*16.67%)</f>
      </c>
      <c r="M199" s="3">
        <f>IF($J199="","",J199*7%)</f>
      </c>
      <c r="N199" s="3">
        <f>IF($J199="","",M199*20%)</f>
      </c>
      <c r="O199" s="3"/>
      <c r="P199" s="3">
        <f>IF($J199="","",O199*20%)</f>
      </c>
      <c r="Q199" s="3">
        <v>1</v>
      </c>
      <c r="R199" s="3">
        <f>IF($J199="","",N199+P199)</f>
      </c>
      <c r="S199" s="3">
        <f>IF($J199="","",K199-L199-M199-N199-O199-P199-Q199)</f>
      </c>
      <c r="T199" s="3">
        <f>IF($J199="","",(S199-V199)/I199*100)</f>
      </c>
      <c r="U199" s="3">
        <f>IF($J199="","",L199-R199)</f>
      </c>
      <c r="W199" s="3">
        <f>IF($J199="","",S199-V199)</f>
      </c>
    </row>
    <row r="200" spans="1:23" x14ac:dyDescent="0.25">
      <c r="A200" s="1"/>
      <c r="D200" s="2"/>
      <c r="I200" s="3"/>
      <c r="J200" s="3"/>
      <c r="K200" s="3">
        <f>IF($J200="","",J200-I200)</f>
      </c>
      <c r="L200" s="3">
        <f>IF($J200="","",K200*16.67%)</f>
      </c>
      <c r="M200" s="3">
        <f>IF($J200="","",J200*7%)</f>
      </c>
      <c r="N200" s="3">
        <f>IF($J200="","",M200*20%)</f>
      </c>
      <c r="O200" s="3"/>
      <c r="P200" s="3">
        <f>IF($J200="","",O200*20%)</f>
      </c>
      <c r="Q200" s="3">
        <v>1</v>
      </c>
      <c r="R200" s="3">
        <f>IF($J200="","",N200+P200)</f>
      </c>
      <c r="S200" s="3">
        <f>IF($J200="","",K200-L200-M200-N200-O200-P200-Q200)</f>
      </c>
      <c r="T200" s="3">
        <f>IF($J200="","",(S200-V200)/I200*100)</f>
      </c>
      <c r="U200" s="3">
        <f>IF($J200="","",L200-R200)</f>
      </c>
      <c r="W200" s="3">
        <f>IF($J200="","",S200-V200)</f>
      </c>
    </row>
    <row r="201" spans="1:23" x14ac:dyDescent="0.25">
      <c r="A201" s="1"/>
      <c r="D201" s="2"/>
      <c r="I201" s="3"/>
      <c r="J201" s="3"/>
      <c r="K201" s="3">
        <f>IF($J201="","",J201-I201)</f>
      </c>
      <c r="L201" s="3">
        <f>IF($J201="","",K201*16.67%)</f>
      </c>
      <c r="M201" s="3">
        <f>IF($J201="","",J201*7%)</f>
      </c>
      <c r="N201" s="3">
        <f>IF($J201="","",M201*20%)</f>
      </c>
      <c r="O201" s="3"/>
      <c r="P201" s="3">
        <f>IF($J201="","",O201*20%)</f>
      </c>
      <c r="Q201" s="3">
        <v>1</v>
      </c>
      <c r="R201" s="3">
        <f>IF($J201="","",N201+P201)</f>
      </c>
      <c r="S201" s="3">
        <f>IF($J201="","",K201-L201-M201-N201-O201-P201-Q201)</f>
      </c>
      <c r="T201" s="3">
        <f>IF($J201="","",(S201-V201)/I201*100)</f>
      </c>
      <c r="U201" s="3">
        <f>IF($J201="","",L201-R201)</f>
      </c>
      <c r="W201" s="3">
        <f>IF($J201="","",S201-V201)</f>
      </c>
    </row>
    <row r="202" spans="1:23" x14ac:dyDescent="0.25">
      <c r="A202" s="1"/>
      <c r="D202" s="2"/>
      <c r="I202" s="3"/>
      <c r="J202" s="3"/>
      <c r="K202" s="3">
        <f>IF($J202="","",J202-I202)</f>
      </c>
      <c r="L202" s="3">
        <f>IF($J202="","",K202*16.67%)</f>
      </c>
      <c r="M202" s="3">
        <f>IF($J202="","",J202*7%)</f>
      </c>
      <c r="N202" s="3">
        <f>IF($J202="","",M202*20%)</f>
      </c>
      <c r="O202" s="3"/>
      <c r="P202" s="3">
        <f>IF($J202="","",O202*20%)</f>
      </c>
      <c r="Q202" s="3">
        <v>1</v>
      </c>
      <c r="R202" s="3">
        <f>IF($J202="","",N202+P202)</f>
      </c>
      <c r="S202" s="3">
        <f>IF($J202="","",K202-L202-M202-N202-O202-P202-Q202)</f>
      </c>
      <c r="T202" s="3">
        <f>IF($J202="","",(S202-V202)/I202*100)</f>
      </c>
      <c r="U202" s="3">
        <f>IF($J202="","",L202-R202)</f>
      </c>
      <c r="W202" s="3">
        <f>IF($J202="","",S202-V202)</f>
      </c>
    </row>
    <row r="203" spans="1:28" s="4" customFormat="1" x14ac:dyDescent="0.25">
      <c r="A203" s="5" t="s">
        <v>33</v>
      </c>
      <c r="B203" s="4"/>
      <c r="C203" s="4"/>
      <c r="D203" s="4"/>
      <c r="E203" s="4"/>
      <c r="F203" s="4"/>
      <c r="G203" s="4"/>
      <c r="H203" s="4"/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SUM(Q2:Q202)</f>
      </c>
      <c r="R203" s="6">
        <f>SUM(R2:R202)</f>
      </c>
      <c r="S203" s="6">
        <f>SUM(S2:S202)</f>
      </c>
      <c r="T203" s="6">
        <f>IFERROR((S203-V203)/I203*100,0)</f>
      </c>
      <c r="U203" s="6">
        <f>SUM(U2:U202)</f>
      </c>
      <c r="V203" s="6">
        <f>SUM(V2:V202)</f>
      </c>
      <c r="W203" s="6">
        <f>SUM(W2:W202)</f>
      </c>
      <c r="X203" s="4"/>
      <c r="Y203" s="4"/>
      <c r="Z203" s="4"/>
      <c r="AA203" s="4"/>
      <c r="AB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ONBUY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2026-08-07T11:07:29Z</dcterms:created>
  <dcterms:modified xsi:type="dcterms:W3CDTF">2026-08-07T11:07:29Z</dcterms:modified>
</cp:coreProperties>
</file>