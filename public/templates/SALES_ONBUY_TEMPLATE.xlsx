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5" name="ONBU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<sst xmlns="http://schemas.openxmlformats.org/spreadsheetml/2006/main" count="55" uniqueCount="51">
  <si>
    <t>Date</t>
  </si>
  <si>
    <t>Order Number</t>
  </si>
  <si>
    <t>SKU</t>
  </si>
  <si>
    <t>IMEI</t>
  </si>
  <si>
    <t>Supplier</t>
  </si>
  <si>
    <t>BP</t>
  </si>
  <si>
    <t>SP</t>
  </si>
  <si>
    <t>SP-BP</t>
  </si>
  <si>
    <t>Marginal Tax</t>
  </si>
  <si>
    <t>Commission</t>
  </si>
  <si>
    <t>VAT 20%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</si>
  <si>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</si>
  <si>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</si>
  <si>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</si>
  <si>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</si>
  <si>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</si>
  <si>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</si>
  <si>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</si>
  <si>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</si>
  <si>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</si>
  <si>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</si>
  <si>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</si>
  <si>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</si>
  <si>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</si>
  <si>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</si>
  <si>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</si>
  <si>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</si>
  <si>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</si>
  <si>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OB-9002</t>
  </si>
  <si>
    <t>PIX7-128-BLK</t>
  </si>
  <si>
    <t>350100000031676</t>
  </si>
  <si>
    <t>NORTHSIDE STOCK</t>
  </si>
  <si>
    <t/>
  </si>
  <si>
    <t>TOTAL</t>
  </si>
  <si>
    <t>SALES TEMPLATE — same columns as the Sales Report</t>
  </si>
  <si>
    <t>What this is</t>
  </si>
  <si>
    <t>One sheet per marketplace (ONBUY),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</si>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</sst>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34</v>
      </c>
      <c r="B1" t="s">
        <v>32</v>
      </c>
    </row>
    <row r="3" spans="1:2" x14ac:dyDescent="0.25">
      <c r="A3" s="4" t="s">
        <v>35</v>
      </c>
      <c r="B3" s="8" t="s">
        <v>36</v>
      </c>
    </row>
    <row r="4" spans="1:2" x14ac:dyDescent="0.25">
      <c r="A4" s="4" t="s">
        <v>37</v>
      </c>
      <c r="B4" s="8" t="s">
        <v>38</v>
      </c>
    </row>
    <row r="5" spans="1:2" x14ac:dyDescent="0.25">
      <c r="A5" s="4" t="s">
        <v>39</v>
      </c>
      <c r="B5" s="8" t="s">
        <v>40</v>
      </c>
    </row>
    <row r="6" spans="1:2" x14ac:dyDescent="0.25">
      <c r="A6" s="4" t="s">
        <v>41</v>
      </c>
      <c r="B6" s="8" t="s">
        <v>42</v>
      </c>
    </row>
    <row r="7" spans="1:2" x14ac:dyDescent="0.25">
      <c r="A7" s="4" t="s">
        <v>43</v>
      </c>
      <c r="B7" s="8" t="s">
        <v>44</v>
      </c>
    </row>
    <row r="8" spans="1:2" x14ac:dyDescent="0.25">
      <c r="A8" s="4" t="s">
        <v>45</v>
      </c>
      <c r="B8" s="8" t="s">
        <v>46</v>
      </c>
    </row>
    <row r="9" spans="1:2" x14ac:dyDescent="0.25">
      <c r="A9" s="4" t="s">
        <v>47</v>
      </c>
      <c r="B9" s="8" t="s">
        <v>48</v>
      </c>
    </row>
    <row r="10" spans="1:2" x14ac:dyDescent="0.25">
      <c r="A10" s="4" t="s">
        <v>49</v>
      </c>
      <c r="B10" s="8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 s="1">
        <v>46235.5</v>
      </c>
      <c r="B2" t="s">
        <v>28</v>
      </c>
      <c r="C2" t="s">
        <v>29</v>
      </c>
      <c r="D2" s="2" t="s">
        <v>30</v>
      </c>
      <c r="E2" t="s">
        <v>31</v>
      </c>
      <c r="F2" s="3">
        <v>275</v>
      </c>
      <c r="G2" s="3">
        <v>359</v>
      </c>
      <c r="H2" s="3">
        <f>G2-F2</f>
      </c>
      <c r="I2" s="3">
        <f>H2*16.67%</f>
      </c>
      <c r="J2" s="3">
        <f>G2*7%</f>
      </c>
      <c r="K2" s="3">
        <f>J2*20%</f>
      </c>
      <c r="L2" s="3">
        <v>8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(P2-Y2)/F2*100</f>
      </c>
      <c r="R2" s="3">
        <f>I2-O2</f>
      </c>
      <c r="S2" t="s">
        <v>32</v>
      </c>
      <c r="T2" t="s">
        <v>29</v>
      </c>
      <c r="Z2" s="3">
        <f>P2-Y2</f>
      </c>
      <c r="AA2" t="s">
        <v>32</v>
      </c>
      <c r="AB2" t="s">
        <v>32</v>
      </c>
    </row>
    <row r="3" spans="1:26" x14ac:dyDescent="0.25">
      <c r="A3" s="1"/>
      <c r="D3" s="2"/>
      <c r="F3" s="3"/>
      <c r="G3" s="3"/>
      <c r="H3" s="3">
        <f>IF($G3="","",G3-F3)</f>
      </c>
      <c r="I3" s="3">
        <f>IF($G3="","",H3*16.67%)</f>
      </c>
      <c r="J3" s="3">
        <f>IF($G3="","",G3*7%)</f>
      </c>
      <c r="K3" s="3">
        <f>IF($G3="","",J3*20%)</f>
      </c>
      <c r="L3" s="3"/>
      <c r="M3" s="3">
        <f>IF($G3="","",L3*20%)</f>
      </c>
      <c r="N3" s="3">
        <v>1</v>
      </c>
      <c r="O3" s="3">
        <f>IF($G3="","",K3+M3)</f>
      </c>
      <c r="P3" s="3">
        <f>IF($G3="","",H3-I3-J3-K3-L3-M3-N3)</f>
      </c>
      <c r="Q3" s="3">
        <f>IF($G3="","",(P3-Y3)/F3*100)</f>
      </c>
      <c r="R3" s="3">
        <f>IF($G3="","",I3-O3)</f>
      </c>
      <c r="Z3" s="3">
        <f>IF($G3="","",P3-Y3)</f>
      </c>
    </row>
    <row r="4" spans="1:26" x14ac:dyDescent="0.25">
      <c r="A4" s="1"/>
      <c r="D4" s="2"/>
      <c r="F4" s="3"/>
      <c r="G4" s="3"/>
      <c r="H4" s="3">
        <f>IF($G4="","",G4-F4)</f>
      </c>
      <c r="I4" s="3">
        <f>IF($G4="","",H4*16.67%)</f>
      </c>
      <c r="J4" s="3">
        <f>IF($G4="","",G4*7%)</f>
      </c>
      <c r="K4" s="3">
        <f>IF($G4="","",J4*20%)</f>
      </c>
      <c r="L4" s="3"/>
      <c r="M4" s="3">
        <f>IF($G4="","",L4*20%)</f>
      </c>
      <c r="N4" s="3">
        <v>1</v>
      </c>
      <c r="O4" s="3">
        <f>IF($G4="","",K4+M4)</f>
      </c>
      <c r="P4" s="3">
        <f>IF($G4="","",H4-I4-J4-K4-L4-M4-N4)</f>
      </c>
      <c r="Q4" s="3">
        <f>IF($G4="","",(P4-Y4)/F4*100)</f>
      </c>
      <c r="R4" s="3">
        <f>IF($G4="","",I4-O4)</f>
      </c>
      <c r="Z4" s="3">
        <f>IF($G4="","",P4-Y4)</f>
      </c>
    </row>
    <row r="5" spans="1:26" x14ac:dyDescent="0.25">
      <c r="A5" s="1"/>
      <c r="D5" s="2"/>
      <c r="F5" s="3"/>
      <c r="G5" s="3"/>
      <c r="H5" s="3">
        <f>IF($G5="","",G5-F5)</f>
      </c>
      <c r="I5" s="3">
        <f>IF($G5="","",H5*16.67%)</f>
      </c>
      <c r="J5" s="3">
        <f>IF($G5="","",G5*7%)</f>
      </c>
      <c r="K5" s="3">
        <f>IF($G5="","",J5*20%)</f>
      </c>
      <c r="L5" s="3"/>
      <c r="M5" s="3">
        <f>IF($G5="","",L5*20%)</f>
      </c>
      <c r="N5" s="3">
        <v>1</v>
      </c>
      <c r="O5" s="3">
        <f>IF($G5="","",K5+M5)</f>
      </c>
      <c r="P5" s="3">
        <f>IF($G5="","",H5-I5-J5-K5-L5-M5-N5)</f>
      </c>
      <c r="Q5" s="3">
        <f>IF($G5="","",(P5-Y5)/F5*100)</f>
      </c>
      <c r="R5" s="3">
        <f>IF($G5="","",I5-O5)</f>
      </c>
      <c r="Z5" s="3">
        <f>IF($G5="","",P5-Y5)</f>
      </c>
    </row>
    <row r="6" spans="1:26" x14ac:dyDescent="0.25">
      <c r="A6" s="1"/>
      <c r="D6" s="2"/>
      <c r="F6" s="3"/>
      <c r="G6" s="3"/>
      <c r="H6" s="3">
        <f>IF($G6="","",G6-F6)</f>
      </c>
      <c r="I6" s="3">
        <f>IF($G6="","",H6*16.67%)</f>
      </c>
      <c r="J6" s="3">
        <f>IF($G6="","",G6*7%)</f>
      </c>
      <c r="K6" s="3">
        <f>IF($G6="","",J6*20%)</f>
      </c>
      <c r="L6" s="3"/>
      <c r="M6" s="3">
        <f>IF($G6="","",L6*20%)</f>
      </c>
      <c r="N6" s="3">
        <v>1</v>
      </c>
      <c r="O6" s="3">
        <f>IF($G6="","",K6+M6)</f>
      </c>
      <c r="P6" s="3">
        <f>IF($G6="","",H6-I6-J6-K6-L6-M6-N6)</f>
      </c>
      <c r="Q6" s="3">
        <f>IF($G6="","",(P6-Y6)/F6*100)</f>
      </c>
      <c r="R6" s="3">
        <f>IF($G6="","",I6-O6)</f>
      </c>
      <c r="Z6" s="3">
        <f>IF($G6="","",P6-Y6)</f>
      </c>
    </row>
    <row r="7" spans="1:26" x14ac:dyDescent="0.25">
      <c r="A7" s="1"/>
      <c r="D7" s="2"/>
      <c r="F7" s="3"/>
      <c r="G7" s="3"/>
      <c r="H7" s="3">
        <f>IF($G7="","",G7-F7)</f>
      </c>
      <c r="I7" s="3">
        <f>IF($G7="","",H7*16.67%)</f>
      </c>
      <c r="J7" s="3">
        <f>IF($G7="","",G7*7%)</f>
      </c>
      <c r="K7" s="3">
        <f>IF($G7="","",J7*20%)</f>
      </c>
      <c r="L7" s="3"/>
      <c r="M7" s="3">
        <f>IF($G7="","",L7*20%)</f>
      </c>
      <c r="N7" s="3">
        <v>1</v>
      </c>
      <c r="O7" s="3">
        <f>IF($G7="","",K7+M7)</f>
      </c>
      <c r="P7" s="3">
        <f>IF($G7="","",H7-I7-J7-K7-L7-M7-N7)</f>
      </c>
      <c r="Q7" s="3">
        <f>IF($G7="","",(P7-Y7)/F7*100)</f>
      </c>
      <c r="R7" s="3">
        <f>IF($G7="","",I7-O7)</f>
      </c>
      <c r="Z7" s="3">
        <f>IF($G7="","",P7-Y7)</f>
      </c>
    </row>
    <row r="8" spans="1:26" x14ac:dyDescent="0.25">
      <c r="A8" s="1"/>
      <c r="D8" s="2"/>
      <c r="F8" s="3"/>
      <c r="G8" s="3"/>
      <c r="H8" s="3">
        <f>IF($G8="","",G8-F8)</f>
      </c>
      <c r="I8" s="3">
        <f>IF($G8="","",H8*16.67%)</f>
      </c>
      <c r="J8" s="3">
        <f>IF($G8="","",G8*7%)</f>
      </c>
      <c r="K8" s="3">
        <f>IF($G8="","",J8*20%)</f>
      </c>
      <c r="L8" s="3"/>
      <c r="M8" s="3">
        <f>IF($G8="","",L8*20%)</f>
      </c>
      <c r="N8" s="3">
        <v>1</v>
      </c>
      <c r="O8" s="3">
        <f>IF($G8="","",K8+M8)</f>
      </c>
      <c r="P8" s="3">
        <f>IF($G8="","",H8-I8-J8-K8-L8-M8-N8)</f>
      </c>
      <c r="Q8" s="3">
        <f>IF($G8="","",(P8-Y8)/F8*100)</f>
      </c>
      <c r="R8" s="3">
        <f>IF($G8="","",I8-O8)</f>
      </c>
      <c r="Z8" s="3">
        <f>IF($G8="","",P8-Y8)</f>
      </c>
    </row>
    <row r="9" spans="1:26" x14ac:dyDescent="0.25">
      <c r="A9" s="1"/>
      <c r="D9" s="2"/>
      <c r="F9" s="3"/>
      <c r="G9" s="3"/>
      <c r="H9" s="3">
        <f>IF($G9="","",G9-F9)</f>
      </c>
      <c r="I9" s="3">
        <f>IF($G9="","",H9*16.67%)</f>
      </c>
      <c r="J9" s="3">
        <f>IF($G9="","",G9*7%)</f>
      </c>
      <c r="K9" s="3">
        <f>IF($G9="","",J9*20%)</f>
      </c>
      <c r="L9" s="3"/>
      <c r="M9" s="3">
        <f>IF($G9="","",L9*20%)</f>
      </c>
      <c r="N9" s="3">
        <v>1</v>
      </c>
      <c r="O9" s="3">
        <f>IF($G9="","",K9+M9)</f>
      </c>
      <c r="P9" s="3">
        <f>IF($G9="","",H9-I9-J9-K9-L9-M9-N9)</f>
      </c>
      <c r="Q9" s="3">
        <f>IF($G9="","",(P9-Y9)/F9*100)</f>
      </c>
      <c r="R9" s="3">
        <f>IF($G9="","",I9-O9)</f>
      </c>
      <c r="Z9" s="3">
        <f>IF($G9="","",P9-Y9)</f>
      </c>
    </row>
    <row r="10" spans="1:26" x14ac:dyDescent="0.25">
      <c r="A10" s="1"/>
      <c r="D10" s="2"/>
      <c r="F10" s="3"/>
      <c r="G10" s="3"/>
      <c r="H10" s="3">
        <f>IF($G10="","",G10-F10)</f>
      </c>
      <c r="I10" s="3">
        <f>IF($G10="","",H10*16.67%)</f>
      </c>
      <c r="J10" s="3">
        <f>IF($G10="","",G10*7%)</f>
      </c>
      <c r="K10" s="3">
        <f>IF($G10="","",J10*20%)</f>
      </c>
      <c r="L10" s="3"/>
      <c r="M10" s="3">
        <f>IF($G10="","",L10*20%)</f>
      </c>
      <c r="N10" s="3">
        <v>1</v>
      </c>
      <c r="O10" s="3">
        <f>IF($G10="","",K10+M10)</f>
      </c>
      <c r="P10" s="3">
        <f>IF($G10="","",H10-I10-J10-K10-L10-M10-N10)</f>
      </c>
      <c r="Q10" s="3">
        <f>IF($G10="","",(P10-Y10)/F10*100)</f>
      </c>
      <c r="R10" s="3">
        <f>IF($G10="","",I10-O10)</f>
      </c>
      <c r="Z10" s="3">
        <f>IF($G10="","",P10-Y10)</f>
      </c>
    </row>
    <row r="11" spans="1:26" x14ac:dyDescent="0.25">
      <c r="A11" s="1"/>
      <c r="D11" s="2"/>
      <c r="F11" s="3"/>
      <c r="G11" s="3"/>
      <c r="H11" s="3">
        <f>IF($G11="","",G11-F11)</f>
      </c>
      <c r="I11" s="3">
        <f>IF($G11="","",H11*16.67%)</f>
      </c>
      <c r="J11" s="3">
        <f>IF($G11="","",G11*7%)</f>
      </c>
      <c r="K11" s="3">
        <f>IF($G11="","",J11*20%)</f>
      </c>
      <c r="L11" s="3"/>
      <c r="M11" s="3">
        <f>IF($G11="","",L11*20%)</f>
      </c>
      <c r="N11" s="3">
        <v>1</v>
      </c>
      <c r="O11" s="3">
        <f>IF($G11="","",K11+M11)</f>
      </c>
      <c r="P11" s="3">
        <f>IF($G11="","",H11-I11-J11-K11-L11-M11-N11)</f>
      </c>
      <c r="Q11" s="3">
        <f>IF($G11="","",(P11-Y11)/F11*100)</f>
      </c>
      <c r="R11" s="3">
        <f>IF($G11="","",I11-O11)</f>
      </c>
      <c r="Z11" s="3">
        <f>IF($G11="","",P11-Y11)</f>
      </c>
    </row>
    <row r="12" spans="1:26" x14ac:dyDescent="0.25">
      <c r="A12" s="1"/>
      <c r="D12" s="2"/>
      <c r="F12" s="3"/>
      <c r="G12" s="3"/>
      <c r="H12" s="3">
        <f>IF($G12="","",G12-F12)</f>
      </c>
      <c r="I12" s="3">
        <f>IF($G12="","",H12*16.67%)</f>
      </c>
      <c r="J12" s="3">
        <f>IF($G12="","",G12*7%)</f>
      </c>
      <c r="K12" s="3">
        <f>IF($G12="","",J12*20%)</f>
      </c>
      <c r="L12" s="3"/>
      <c r="M12" s="3">
        <f>IF($G12="","",L12*20%)</f>
      </c>
      <c r="N12" s="3">
        <v>1</v>
      </c>
      <c r="O12" s="3">
        <f>IF($G12="","",K12+M12)</f>
      </c>
      <c r="P12" s="3">
        <f>IF($G12="","",H12-I12-J12-K12-L12-M12-N12)</f>
      </c>
      <c r="Q12" s="3">
        <f>IF($G12="","",(P12-Y12)/F12*100)</f>
      </c>
      <c r="R12" s="3">
        <f>IF($G12="","",I12-O12)</f>
      </c>
      <c r="Z12" s="3">
        <f>IF($G12="","",P12-Y12)</f>
      </c>
    </row>
    <row r="13" spans="1:26" x14ac:dyDescent="0.25">
      <c r="A13" s="1"/>
      <c r="D13" s="2"/>
      <c r="F13" s="3"/>
      <c r="G13" s="3"/>
      <c r="H13" s="3">
        <f>IF($G13="","",G13-F13)</f>
      </c>
      <c r="I13" s="3">
        <f>IF($G13="","",H13*16.67%)</f>
      </c>
      <c r="J13" s="3">
        <f>IF($G13="","",G13*7%)</f>
      </c>
      <c r="K13" s="3">
        <f>IF($G13="","",J13*20%)</f>
      </c>
      <c r="L13" s="3"/>
      <c r="M13" s="3">
        <f>IF($G13="","",L13*20%)</f>
      </c>
      <c r="N13" s="3">
        <v>1</v>
      </c>
      <c r="O13" s="3">
        <f>IF($G13="","",K13+M13)</f>
      </c>
      <c r="P13" s="3">
        <f>IF($G13="","",H13-I13-J13-K13-L13-M13-N13)</f>
      </c>
      <c r="Q13" s="3">
        <f>IF($G13="","",(P13-Y13)/F13*100)</f>
      </c>
      <c r="R13" s="3">
        <f>IF($G13="","",I13-O13)</f>
      </c>
      <c r="Z13" s="3">
        <f>IF($G13="","",P13-Y13)</f>
      </c>
    </row>
    <row r="14" spans="1:26" x14ac:dyDescent="0.25">
      <c r="A14" s="1"/>
      <c r="D14" s="2"/>
      <c r="F14" s="3"/>
      <c r="G14" s="3"/>
      <c r="H14" s="3">
        <f>IF($G14="","",G14-F14)</f>
      </c>
      <c r="I14" s="3">
        <f>IF($G14="","",H14*16.67%)</f>
      </c>
      <c r="J14" s="3">
        <f>IF($G14="","",G14*7%)</f>
      </c>
      <c r="K14" s="3">
        <f>IF($G14="","",J14*20%)</f>
      </c>
      <c r="L14" s="3"/>
      <c r="M14" s="3">
        <f>IF($G14="","",L14*20%)</f>
      </c>
      <c r="N14" s="3">
        <v>1</v>
      </c>
      <c r="O14" s="3">
        <f>IF($G14="","",K14+M14)</f>
      </c>
      <c r="P14" s="3">
        <f>IF($G14="","",H14-I14-J14-K14-L14-M14-N14)</f>
      </c>
      <c r="Q14" s="3">
        <f>IF($G14="","",(P14-Y14)/F14*100)</f>
      </c>
      <c r="R14" s="3">
        <f>IF($G14="","",I14-O14)</f>
      </c>
      <c r="Z14" s="3">
        <f>IF($G14="","",P14-Y14)</f>
      </c>
    </row>
    <row r="15" spans="1:26" x14ac:dyDescent="0.25">
      <c r="A15" s="1"/>
      <c r="D15" s="2"/>
      <c r="F15" s="3"/>
      <c r="G15" s="3"/>
      <c r="H15" s="3">
        <f>IF($G15="","",G15-F15)</f>
      </c>
      <c r="I15" s="3">
        <f>IF($G15="","",H15*16.67%)</f>
      </c>
      <c r="J15" s="3">
        <f>IF($G15="","",G15*7%)</f>
      </c>
      <c r="K15" s="3">
        <f>IF($G15="","",J15*20%)</f>
      </c>
      <c r="L15" s="3"/>
      <c r="M15" s="3">
        <f>IF($G15="","",L15*20%)</f>
      </c>
      <c r="N15" s="3">
        <v>1</v>
      </c>
      <c r="O15" s="3">
        <f>IF($G15="","",K15+M15)</f>
      </c>
      <c r="P15" s="3">
        <f>IF($G15="","",H15-I15-J15-K15-L15-M15-N15)</f>
      </c>
      <c r="Q15" s="3">
        <f>IF($G15="","",(P15-Y15)/F15*100)</f>
      </c>
      <c r="R15" s="3">
        <f>IF($G15="","",I15-O15)</f>
      </c>
      <c r="Z15" s="3">
        <f>IF($G15="","",P15-Y15)</f>
      </c>
    </row>
    <row r="16" spans="1:26" x14ac:dyDescent="0.25">
      <c r="A16" s="1"/>
      <c r="D16" s="2"/>
      <c r="F16" s="3"/>
      <c r="G16" s="3"/>
      <c r="H16" s="3">
        <f>IF($G16="","",G16-F16)</f>
      </c>
      <c r="I16" s="3">
        <f>IF($G16="","",H16*16.67%)</f>
      </c>
      <c r="J16" s="3">
        <f>IF($G16="","",G16*7%)</f>
      </c>
      <c r="K16" s="3">
        <f>IF($G16="","",J16*20%)</f>
      </c>
      <c r="L16" s="3"/>
      <c r="M16" s="3">
        <f>IF($G16="","",L16*20%)</f>
      </c>
      <c r="N16" s="3">
        <v>1</v>
      </c>
      <c r="O16" s="3">
        <f>IF($G16="","",K16+M16)</f>
      </c>
      <c r="P16" s="3">
        <f>IF($G16="","",H16-I16-J16-K16-L16-M16-N16)</f>
      </c>
      <c r="Q16" s="3">
        <f>IF($G16="","",(P16-Y16)/F16*100)</f>
      </c>
      <c r="R16" s="3">
        <f>IF($G16="","",I16-O16)</f>
      </c>
      <c r="Z16" s="3">
        <f>IF($G16="","",P16-Y16)</f>
      </c>
    </row>
    <row r="17" spans="1:26" x14ac:dyDescent="0.25">
      <c r="A17" s="1"/>
      <c r="D17" s="2"/>
      <c r="F17" s="3"/>
      <c r="G17" s="3"/>
      <c r="H17" s="3">
        <f>IF($G17="","",G17-F17)</f>
      </c>
      <c r="I17" s="3">
        <f>IF($G17="","",H17*16.67%)</f>
      </c>
      <c r="J17" s="3">
        <f>IF($G17="","",G17*7%)</f>
      </c>
      <c r="K17" s="3">
        <f>IF($G17="","",J17*20%)</f>
      </c>
      <c r="L17" s="3"/>
      <c r="M17" s="3">
        <f>IF($G17="","",L17*20%)</f>
      </c>
      <c r="N17" s="3">
        <v>1</v>
      </c>
      <c r="O17" s="3">
        <f>IF($G17="","",K17+M17)</f>
      </c>
      <c r="P17" s="3">
        <f>IF($G17="","",H17-I17-J17-K17-L17-M17-N17)</f>
      </c>
      <c r="Q17" s="3">
        <f>IF($G17="","",(P17-Y17)/F17*100)</f>
      </c>
      <c r="R17" s="3">
        <f>IF($G17="","",I17-O17)</f>
      </c>
      <c r="Z17" s="3">
        <f>IF($G17="","",P17-Y17)</f>
      </c>
    </row>
    <row r="18" spans="1:26" x14ac:dyDescent="0.25">
      <c r="A18" s="1"/>
      <c r="D18" s="2"/>
      <c r="F18" s="3"/>
      <c r="G18" s="3"/>
      <c r="H18" s="3">
        <f>IF($G18="","",G18-F18)</f>
      </c>
      <c r="I18" s="3">
        <f>IF($G18="","",H18*16.67%)</f>
      </c>
      <c r="J18" s="3">
        <f>IF($G18="","",G18*7%)</f>
      </c>
      <c r="K18" s="3">
        <f>IF($G18="","",J18*20%)</f>
      </c>
      <c r="L18" s="3"/>
      <c r="M18" s="3">
        <f>IF($G18="","",L18*20%)</f>
      </c>
      <c r="N18" s="3">
        <v>1</v>
      </c>
      <c r="O18" s="3">
        <f>IF($G18="","",K18+M18)</f>
      </c>
      <c r="P18" s="3">
        <f>IF($G18="","",H18-I18-J18-K18-L18-M18-N18)</f>
      </c>
      <c r="Q18" s="3">
        <f>IF($G18="","",(P18-Y18)/F18*100)</f>
      </c>
      <c r="R18" s="3">
        <f>IF($G18="","",I18-O18)</f>
      </c>
      <c r="Z18" s="3">
        <f>IF($G18="","",P18-Y18)</f>
      </c>
    </row>
    <row r="19" spans="1:26" x14ac:dyDescent="0.25">
      <c r="A19" s="1"/>
      <c r="D19" s="2"/>
      <c r="F19" s="3"/>
      <c r="G19" s="3"/>
      <c r="H19" s="3">
        <f>IF($G19="","",G19-F19)</f>
      </c>
      <c r="I19" s="3">
        <f>IF($G19="","",H19*16.67%)</f>
      </c>
      <c r="J19" s="3">
        <f>IF($G19="","",G19*7%)</f>
      </c>
      <c r="K19" s="3">
        <f>IF($G19="","",J19*20%)</f>
      </c>
      <c r="L19" s="3"/>
      <c r="M19" s="3">
        <f>IF($G19="","",L19*20%)</f>
      </c>
      <c r="N19" s="3">
        <v>1</v>
      </c>
      <c r="O19" s="3">
        <f>IF($G19="","",K19+M19)</f>
      </c>
      <c r="P19" s="3">
        <f>IF($G19="","",H19-I19-J19-K19-L19-M19-N19)</f>
      </c>
      <c r="Q19" s="3">
        <f>IF($G19="","",(P19-Y19)/F19*100)</f>
      </c>
      <c r="R19" s="3">
        <f>IF($G19="","",I19-O19)</f>
      </c>
      <c r="Z19" s="3">
        <f>IF($G19="","",P19-Y19)</f>
      </c>
    </row>
    <row r="20" spans="1:26" x14ac:dyDescent="0.25">
      <c r="A20" s="1"/>
      <c r="D20" s="2"/>
      <c r="F20" s="3"/>
      <c r="G20" s="3"/>
      <c r="H20" s="3">
        <f>IF($G20="","",G20-F20)</f>
      </c>
      <c r="I20" s="3">
        <f>IF($G20="","",H20*16.67%)</f>
      </c>
      <c r="J20" s="3">
        <f>IF($G20="","",G20*7%)</f>
      </c>
      <c r="K20" s="3">
        <f>IF($G20="","",J20*20%)</f>
      </c>
      <c r="L20" s="3"/>
      <c r="M20" s="3">
        <f>IF($G20="","",L20*20%)</f>
      </c>
      <c r="N20" s="3">
        <v>1</v>
      </c>
      <c r="O20" s="3">
        <f>IF($G20="","",K20+M20)</f>
      </c>
      <c r="P20" s="3">
        <f>IF($G20="","",H20-I20-J20-K20-L20-M20-N20)</f>
      </c>
      <c r="Q20" s="3">
        <f>IF($G20="","",(P20-Y20)/F20*100)</f>
      </c>
      <c r="R20" s="3">
        <f>IF($G20="","",I20-O20)</f>
      </c>
      <c r="Z20" s="3">
        <f>IF($G20="","",P20-Y20)</f>
      </c>
    </row>
    <row r="21" spans="1:26" x14ac:dyDescent="0.25">
      <c r="A21" s="1"/>
      <c r="D21" s="2"/>
      <c r="F21" s="3"/>
      <c r="G21" s="3"/>
      <c r="H21" s="3">
        <f>IF($G21="","",G21-F21)</f>
      </c>
      <c r="I21" s="3">
        <f>IF($G21="","",H21*16.67%)</f>
      </c>
      <c r="J21" s="3">
        <f>IF($G21="","",G21*7%)</f>
      </c>
      <c r="K21" s="3">
        <f>IF($G21="","",J21*20%)</f>
      </c>
      <c r="L21" s="3"/>
      <c r="M21" s="3">
        <f>IF($G21="","",L21*20%)</f>
      </c>
      <c r="N21" s="3">
        <v>1</v>
      </c>
      <c r="O21" s="3">
        <f>IF($G21="","",K21+M21)</f>
      </c>
      <c r="P21" s="3">
        <f>IF($G21="","",H21-I21-J21-K21-L21-M21-N21)</f>
      </c>
      <c r="Q21" s="3">
        <f>IF($G21="","",(P21-Y21)/F21*100)</f>
      </c>
      <c r="R21" s="3">
        <f>IF($G21="","",I21-O21)</f>
      </c>
      <c r="Z21" s="3">
        <f>IF($G21="","",P21-Y21)</f>
      </c>
    </row>
    <row r="22" spans="1:26" x14ac:dyDescent="0.25">
      <c r="A22" s="1"/>
      <c r="D22" s="2"/>
      <c r="F22" s="3"/>
      <c r="G22" s="3"/>
      <c r="H22" s="3">
        <f>IF($G22="","",G22-F22)</f>
      </c>
      <c r="I22" s="3">
        <f>IF($G22="","",H22*16.67%)</f>
      </c>
      <c r="J22" s="3">
        <f>IF($G22="","",G22*7%)</f>
      </c>
      <c r="K22" s="3">
        <f>IF($G22="","",J22*20%)</f>
      </c>
      <c r="L22" s="3"/>
      <c r="M22" s="3">
        <f>IF($G22="","",L22*20%)</f>
      </c>
      <c r="N22" s="3">
        <v>1</v>
      </c>
      <c r="O22" s="3">
        <f>IF($G22="","",K22+M22)</f>
      </c>
      <c r="P22" s="3">
        <f>IF($G22="","",H22-I22-J22-K22-L22-M22-N22)</f>
      </c>
      <c r="Q22" s="3">
        <f>IF($G22="","",(P22-Y22)/F22*100)</f>
      </c>
      <c r="R22" s="3">
        <f>IF($G22="","",I22-O22)</f>
      </c>
      <c r="Z22" s="3">
        <f>IF($G22="","",P22-Y22)</f>
      </c>
    </row>
    <row r="23" spans="1:26" x14ac:dyDescent="0.25">
      <c r="A23" s="1"/>
      <c r="D23" s="2"/>
      <c r="F23" s="3"/>
      <c r="G23" s="3"/>
      <c r="H23" s="3">
        <f>IF($G23="","",G23-F23)</f>
      </c>
      <c r="I23" s="3">
        <f>IF($G23="","",H23*16.67%)</f>
      </c>
      <c r="J23" s="3">
        <f>IF($G23="","",G23*7%)</f>
      </c>
      <c r="K23" s="3">
        <f>IF($G23="","",J23*20%)</f>
      </c>
      <c r="L23" s="3"/>
      <c r="M23" s="3">
        <f>IF($G23="","",L23*20%)</f>
      </c>
      <c r="N23" s="3">
        <v>1</v>
      </c>
      <c r="O23" s="3">
        <f>IF($G23="","",K23+M23)</f>
      </c>
      <c r="P23" s="3">
        <f>IF($G23="","",H23-I23-J23-K23-L23-M23-N23)</f>
      </c>
      <c r="Q23" s="3">
        <f>IF($G23="","",(P23-Y23)/F23*100)</f>
      </c>
      <c r="R23" s="3">
        <f>IF($G23="","",I23-O23)</f>
      </c>
      <c r="Z23" s="3">
        <f>IF($G23="","",P23-Y23)</f>
      </c>
    </row>
    <row r="24" spans="1:26" x14ac:dyDescent="0.25">
      <c r="A24" s="1"/>
      <c r="D24" s="2"/>
      <c r="F24" s="3"/>
      <c r="G24" s="3"/>
      <c r="H24" s="3">
        <f>IF($G24="","",G24-F24)</f>
      </c>
      <c r="I24" s="3">
        <f>IF($G24="","",H24*16.67%)</f>
      </c>
      <c r="J24" s="3">
        <f>IF($G24="","",G24*7%)</f>
      </c>
      <c r="K24" s="3">
        <f>IF($G24="","",J24*20%)</f>
      </c>
      <c r="L24" s="3"/>
      <c r="M24" s="3">
        <f>IF($G24="","",L24*20%)</f>
      </c>
      <c r="N24" s="3">
        <v>1</v>
      </c>
      <c r="O24" s="3">
        <f>IF($G24="","",K24+M24)</f>
      </c>
      <c r="P24" s="3">
        <f>IF($G24="","",H24-I24-J24-K24-L24-M24-N24)</f>
      </c>
      <c r="Q24" s="3">
        <f>IF($G24="","",(P24-Y24)/F24*100)</f>
      </c>
      <c r="R24" s="3">
        <f>IF($G24="","",I24-O24)</f>
      </c>
      <c r="Z24" s="3">
        <f>IF($G24="","",P24-Y24)</f>
      </c>
    </row>
    <row r="25" spans="1:26" x14ac:dyDescent="0.25">
      <c r="A25" s="1"/>
      <c r="D25" s="2"/>
      <c r="F25" s="3"/>
      <c r="G25" s="3"/>
      <c r="H25" s="3">
        <f>IF($G25="","",G25-F25)</f>
      </c>
      <c r="I25" s="3">
        <f>IF($G25="","",H25*16.67%)</f>
      </c>
      <c r="J25" s="3">
        <f>IF($G25="","",G25*7%)</f>
      </c>
      <c r="K25" s="3">
        <f>IF($G25="","",J25*20%)</f>
      </c>
      <c r="L25" s="3"/>
      <c r="M25" s="3">
        <f>IF($G25="","",L25*20%)</f>
      </c>
      <c r="N25" s="3">
        <v>1</v>
      </c>
      <c r="O25" s="3">
        <f>IF($G25="","",K25+M25)</f>
      </c>
      <c r="P25" s="3">
        <f>IF($G25="","",H25-I25-J25-K25-L25-M25-N25)</f>
      </c>
      <c r="Q25" s="3">
        <f>IF($G25="","",(P25-Y25)/F25*100)</f>
      </c>
      <c r="R25" s="3">
        <f>IF($G25="","",I25-O25)</f>
      </c>
      <c r="Z25" s="3">
        <f>IF($G25="","",P25-Y25)</f>
      </c>
    </row>
    <row r="26" spans="1:26" x14ac:dyDescent="0.25">
      <c r="A26" s="1"/>
      <c r="D26" s="2"/>
      <c r="F26" s="3"/>
      <c r="G26" s="3"/>
      <c r="H26" s="3">
        <f>IF($G26="","",G26-F26)</f>
      </c>
      <c r="I26" s="3">
        <f>IF($G26="","",H26*16.67%)</f>
      </c>
      <c r="J26" s="3">
        <f>IF($G26="","",G26*7%)</f>
      </c>
      <c r="K26" s="3">
        <f>IF($G26="","",J26*20%)</f>
      </c>
      <c r="L26" s="3"/>
      <c r="M26" s="3">
        <f>IF($G26="","",L26*20%)</f>
      </c>
      <c r="N26" s="3">
        <v>1</v>
      </c>
      <c r="O26" s="3">
        <f>IF($G26="","",K26+M26)</f>
      </c>
      <c r="P26" s="3">
        <f>IF($G26="","",H26-I26-J26-K26-L26-M26-N26)</f>
      </c>
      <c r="Q26" s="3">
        <f>IF($G26="","",(P26-Y26)/F26*100)</f>
      </c>
      <c r="R26" s="3">
        <f>IF($G26="","",I26-O26)</f>
      </c>
      <c r="Z26" s="3">
        <f>IF($G26="","",P26-Y26)</f>
      </c>
    </row>
    <row r="27" spans="1:26" x14ac:dyDescent="0.25">
      <c r="A27" s="1"/>
      <c r="D27" s="2"/>
      <c r="F27" s="3"/>
      <c r="G27" s="3"/>
      <c r="H27" s="3">
        <f>IF($G27="","",G27-F27)</f>
      </c>
      <c r="I27" s="3">
        <f>IF($G27="","",H27*16.67%)</f>
      </c>
      <c r="J27" s="3">
        <f>IF($G27="","",G27*7%)</f>
      </c>
      <c r="K27" s="3">
        <f>IF($G27="","",J27*20%)</f>
      </c>
      <c r="L27" s="3"/>
      <c r="M27" s="3">
        <f>IF($G27="","",L27*20%)</f>
      </c>
      <c r="N27" s="3">
        <v>1</v>
      </c>
      <c r="O27" s="3">
        <f>IF($G27="","",K27+M27)</f>
      </c>
      <c r="P27" s="3">
        <f>IF($G27="","",H27-I27-J27-K27-L27-M27-N27)</f>
      </c>
      <c r="Q27" s="3">
        <f>IF($G27="","",(P27-Y27)/F27*100)</f>
      </c>
      <c r="R27" s="3">
        <f>IF($G27="","",I27-O27)</f>
      </c>
      <c r="Z27" s="3">
        <f>IF($G27="","",P27-Y27)</f>
      </c>
    </row>
    <row r="28" spans="1:26" x14ac:dyDescent="0.25">
      <c r="A28" s="1"/>
      <c r="D28" s="2"/>
      <c r="F28" s="3"/>
      <c r="G28" s="3"/>
      <c r="H28" s="3">
        <f>IF($G28="","",G28-F28)</f>
      </c>
      <c r="I28" s="3">
        <f>IF($G28="","",H28*16.67%)</f>
      </c>
      <c r="J28" s="3">
        <f>IF($G28="","",G28*7%)</f>
      </c>
      <c r="K28" s="3">
        <f>IF($G28="","",J28*20%)</f>
      </c>
      <c r="L28" s="3"/>
      <c r="M28" s="3">
        <f>IF($G28="","",L28*20%)</f>
      </c>
      <c r="N28" s="3">
        <v>1</v>
      </c>
      <c r="O28" s="3">
        <f>IF($G28="","",K28+M28)</f>
      </c>
      <c r="P28" s="3">
        <f>IF($G28="","",H28-I28-J28-K28-L28-M28-N28)</f>
      </c>
      <c r="Q28" s="3">
        <f>IF($G28="","",(P28-Y28)/F28*100)</f>
      </c>
      <c r="R28" s="3">
        <f>IF($G28="","",I28-O28)</f>
      </c>
      <c r="Z28" s="3">
        <f>IF($G28="","",P28-Y28)</f>
      </c>
    </row>
    <row r="29" spans="1:26" x14ac:dyDescent="0.25">
      <c r="A29" s="1"/>
      <c r="D29" s="2"/>
      <c r="F29" s="3"/>
      <c r="G29" s="3"/>
      <c r="H29" s="3">
        <f>IF($G29="","",G29-F29)</f>
      </c>
      <c r="I29" s="3">
        <f>IF($G29="","",H29*16.67%)</f>
      </c>
      <c r="J29" s="3">
        <f>IF($G29="","",G29*7%)</f>
      </c>
      <c r="K29" s="3">
        <f>IF($G29="","",J29*20%)</f>
      </c>
      <c r="L29" s="3"/>
      <c r="M29" s="3">
        <f>IF($G29="","",L29*20%)</f>
      </c>
      <c r="N29" s="3">
        <v>1</v>
      </c>
      <c r="O29" s="3">
        <f>IF($G29="","",K29+M29)</f>
      </c>
      <c r="P29" s="3">
        <f>IF($G29="","",H29-I29-J29-K29-L29-M29-N29)</f>
      </c>
      <c r="Q29" s="3">
        <f>IF($G29="","",(P29-Y29)/F29*100)</f>
      </c>
      <c r="R29" s="3">
        <f>IF($G29="","",I29-O29)</f>
      </c>
      <c r="Z29" s="3">
        <f>IF($G29="","",P29-Y29)</f>
      </c>
    </row>
    <row r="30" spans="1:26" x14ac:dyDescent="0.25">
      <c r="A30" s="1"/>
      <c r="D30" s="2"/>
      <c r="F30" s="3"/>
      <c r="G30" s="3"/>
      <c r="H30" s="3">
        <f>IF($G30="","",G30-F30)</f>
      </c>
      <c r="I30" s="3">
        <f>IF($G30="","",H30*16.67%)</f>
      </c>
      <c r="J30" s="3">
        <f>IF($G30="","",G30*7%)</f>
      </c>
      <c r="K30" s="3">
        <f>IF($G30="","",J30*20%)</f>
      </c>
      <c r="L30" s="3"/>
      <c r="M30" s="3">
        <f>IF($G30="","",L30*20%)</f>
      </c>
      <c r="N30" s="3">
        <v>1</v>
      </c>
      <c r="O30" s="3">
        <f>IF($G30="","",K30+M30)</f>
      </c>
      <c r="P30" s="3">
        <f>IF($G30="","",H30-I30-J30-K30-L30-M30-N30)</f>
      </c>
      <c r="Q30" s="3">
        <f>IF($G30="","",(P30-Y30)/F30*100)</f>
      </c>
      <c r="R30" s="3">
        <f>IF($G30="","",I30-O30)</f>
      </c>
      <c r="Z30" s="3">
        <f>IF($G30="","",P30-Y30)</f>
      </c>
    </row>
    <row r="31" spans="1:26" x14ac:dyDescent="0.25">
      <c r="A31" s="1"/>
      <c r="D31" s="2"/>
      <c r="F31" s="3"/>
      <c r="G31" s="3"/>
      <c r="H31" s="3">
        <f>IF($G31="","",G31-F31)</f>
      </c>
      <c r="I31" s="3">
        <f>IF($G31="","",H31*16.67%)</f>
      </c>
      <c r="J31" s="3">
        <f>IF($G31="","",G31*7%)</f>
      </c>
      <c r="K31" s="3">
        <f>IF($G31="","",J31*20%)</f>
      </c>
      <c r="L31" s="3"/>
      <c r="M31" s="3">
        <f>IF($G31="","",L31*20%)</f>
      </c>
      <c r="N31" s="3">
        <v>1</v>
      </c>
      <c r="O31" s="3">
        <f>IF($G31="","",K31+M31)</f>
      </c>
      <c r="P31" s="3">
        <f>IF($G31="","",H31-I31-J31-K31-L31-M31-N31)</f>
      </c>
      <c r="Q31" s="3">
        <f>IF($G31="","",(P31-Y31)/F31*100)</f>
      </c>
      <c r="R31" s="3">
        <f>IF($G31="","",I31-O31)</f>
      </c>
      <c r="Z31" s="3">
        <f>IF($G31="","",P31-Y31)</f>
      </c>
    </row>
    <row r="32" spans="1:26" x14ac:dyDescent="0.25">
      <c r="A32" s="1"/>
      <c r="D32" s="2"/>
      <c r="F32" s="3"/>
      <c r="G32" s="3"/>
      <c r="H32" s="3">
        <f>IF($G32="","",G32-F32)</f>
      </c>
      <c r="I32" s="3">
        <f>IF($G32="","",H32*16.67%)</f>
      </c>
      <c r="J32" s="3">
        <f>IF($G32="","",G32*7%)</f>
      </c>
      <c r="K32" s="3">
        <f>IF($G32="","",J32*20%)</f>
      </c>
      <c r="L32" s="3"/>
      <c r="M32" s="3">
        <f>IF($G32="","",L32*20%)</f>
      </c>
      <c r="N32" s="3">
        <v>1</v>
      </c>
      <c r="O32" s="3">
        <f>IF($G32="","",K32+M32)</f>
      </c>
      <c r="P32" s="3">
        <f>IF($G32="","",H32-I32-J32-K32-L32-M32-N32)</f>
      </c>
      <c r="Q32" s="3">
        <f>IF($G32="","",(P32-Y32)/F32*100)</f>
      </c>
      <c r="R32" s="3">
        <f>IF($G32="","",I32-O32)</f>
      </c>
      <c r="Z32" s="3">
        <f>IF($G32="","",P32-Y32)</f>
      </c>
    </row>
    <row r="33" spans="1:26" x14ac:dyDescent="0.25">
      <c r="A33" s="1"/>
      <c r="D33" s="2"/>
      <c r="F33" s="3"/>
      <c r="G33" s="3"/>
      <c r="H33" s="3">
        <f>IF($G33="","",G33-F33)</f>
      </c>
      <c r="I33" s="3">
        <f>IF($G33="","",H33*16.67%)</f>
      </c>
      <c r="J33" s="3">
        <f>IF($G33="","",G33*7%)</f>
      </c>
      <c r="K33" s="3">
        <f>IF($G33="","",J33*20%)</f>
      </c>
      <c r="L33" s="3"/>
      <c r="M33" s="3">
        <f>IF($G33="","",L33*20%)</f>
      </c>
      <c r="N33" s="3">
        <v>1</v>
      </c>
      <c r="O33" s="3">
        <f>IF($G33="","",K33+M33)</f>
      </c>
      <c r="P33" s="3">
        <f>IF($G33="","",H33-I33-J33-K33-L33-M33-N33)</f>
      </c>
      <c r="Q33" s="3">
        <f>IF($G33="","",(P33-Y33)/F33*100)</f>
      </c>
      <c r="R33" s="3">
        <f>IF($G33="","",I33-O33)</f>
      </c>
      <c r="Z33" s="3">
        <f>IF($G33="","",P33-Y33)</f>
      </c>
    </row>
    <row r="34" spans="1:26" x14ac:dyDescent="0.25">
      <c r="A34" s="1"/>
      <c r="D34" s="2"/>
      <c r="F34" s="3"/>
      <c r="G34" s="3"/>
      <c r="H34" s="3">
        <f>IF($G34="","",G34-F34)</f>
      </c>
      <c r="I34" s="3">
        <f>IF($G34="","",H34*16.67%)</f>
      </c>
      <c r="J34" s="3">
        <f>IF($G34="","",G34*7%)</f>
      </c>
      <c r="K34" s="3">
        <f>IF($G34="","",J34*20%)</f>
      </c>
      <c r="L34" s="3"/>
      <c r="M34" s="3">
        <f>IF($G34="","",L34*20%)</f>
      </c>
      <c r="N34" s="3">
        <v>1</v>
      </c>
      <c r="O34" s="3">
        <f>IF($G34="","",K34+M34)</f>
      </c>
      <c r="P34" s="3">
        <f>IF($G34="","",H34-I34-J34-K34-L34-M34-N34)</f>
      </c>
      <c r="Q34" s="3">
        <f>IF($G34="","",(P34-Y34)/F34*100)</f>
      </c>
      <c r="R34" s="3">
        <f>IF($G34="","",I34-O34)</f>
      </c>
      <c r="Z34" s="3">
        <f>IF($G34="","",P34-Y34)</f>
      </c>
    </row>
    <row r="35" spans="1:26" x14ac:dyDescent="0.25">
      <c r="A35" s="1"/>
      <c r="D35" s="2"/>
      <c r="F35" s="3"/>
      <c r="G35" s="3"/>
      <c r="H35" s="3">
        <f>IF($G35="","",G35-F35)</f>
      </c>
      <c r="I35" s="3">
        <f>IF($G35="","",H35*16.67%)</f>
      </c>
      <c r="J35" s="3">
        <f>IF($G35="","",G35*7%)</f>
      </c>
      <c r="K35" s="3">
        <f>IF($G35="","",J35*20%)</f>
      </c>
      <c r="L35" s="3"/>
      <c r="M35" s="3">
        <f>IF($G35="","",L35*20%)</f>
      </c>
      <c r="N35" s="3">
        <v>1</v>
      </c>
      <c r="O35" s="3">
        <f>IF($G35="","",K35+M35)</f>
      </c>
      <c r="P35" s="3">
        <f>IF($G35="","",H35-I35-J35-K35-L35-M35-N35)</f>
      </c>
      <c r="Q35" s="3">
        <f>IF($G35="","",(P35-Y35)/F35*100)</f>
      </c>
      <c r="R35" s="3">
        <f>IF($G35="","",I35-O35)</f>
      </c>
      <c r="Z35" s="3">
        <f>IF($G35="","",P35-Y35)</f>
      </c>
    </row>
    <row r="36" spans="1:26" x14ac:dyDescent="0.25">
      <c r="A36" s="1"/>
      <c r="D36" s="2"/>
      <c r="F36" s="3"/>
      <c r="G36" s="3"/>
      <c r="H36" s="3">
        <f>IF($G36="","",G36-F36)</f>
      </c>
      <c r="I36" s="3">
        <f>IF($G36="","",H36*16.67%)</f>
      </c>
      <c r="J36" s="3">
        <f>IF($G36="","",G36*7%)</f>
      </c>
      <c r="K36" s="3">
        <f>IF($G36="","",J36*20%)</f>
      </c>
      <c r="L36" s="3"/>
      <c r="M36" s="3">
        <f>IF($G36="","",L36*20%)</f>
      </c>
      <c r="N36" s="3">
        <v>1</v>
      </c>
      <c r="O36" s="3">
        <f>IF($G36="","",K36+M36)</f>
      </c>
      <c r="P36" s="3">
        <f>IF($G36="","",H36-I36-J36-K36-L36-M36-N36)</f>
      </c>
      <c r="Q36" s="3">
        <f>IF($G36="","",(P36-Y36)/F36*100)</f>
      </c>
      <c r="R36" s="3">
        <f>IF($G36="","",I36-O36)</f>
      </c>
      <c r="Z36" s="3">
        <f>IF($G36="","",P36-Y36)</f>
      </c>
    </row>
    <row r="37" spans="1:26" x14ac:dyDescent="0.25">
      <c r="A37" s="1"/>
      <c r="D37" s="2"/>
      <c r="F37" s="3"/>
      <c r="G37" s="3"/>
      <c r="H37" s="3">
        <f>IF($G37="","",G37-F37)</f>
      </c>
      <c r="I37" s="3">
        <f>IF($G37="","",H37*16.67%)</f>
      </c>
      <c r="J37" s="3">
        <f>IF($G37="","",G37*7%)</f>
      </c>
      <c r="K37" s="3">
        <f>IF($G37="","",J37*20%)</f>
      </c>
      <c r="L37" s="3"/>
      <c r="M37" s="3">
        <f>IF($G37="","",L37*20%)</f>
      </c>
      <c r="N37" s="3">
        <v>1</v>
      </c>
      <c r="O37" s="3">
        <f>IF($G37="","",K37+M37)</f>
      </c>
      <c r="P37" s="3">
        <f>IF($G37="","",H37-I37-J37-K37-L37-M37-N37)</f>
      </c>
      <c r="Q37" s="3">
        <f>IF($G37="","",(P37-Y37)/F37*100)</f>
      </c>
      <c r="R37" s="3">
        <f>IF($G37="","",I37-O37)</f>
      </c>
      <c r="Z37" s="3">
        <f>IF($G37="","",P37-Y37)</f>
      </c>
    </row>
    <row r="38" spans="1:26" x14ac:dyDescent="0.25">
      <c r="A38" s="1"/>
      <c r="D38" s="2"/>
      <c r="F38" s="3"/>
      <c r="G38" s="3"/>
      <c r="H38" s="3">
        <f>IF($G38="","",G38-F38)</f>
      </c>
      <c r="I38" s="3">
        <f>IF($G38="","",H38*16.67%)</f>
      </c>
      <c r="J38" s="3">
        <f>IF($G38="","",G38*7%)</f>
      </c>
      <c r="K38" s="3">
        <f>IF($G38="","",J38*20%)</f>
      </c>
      <c r="L38" s="3"/>
      <c r="M38" s="3">
        <f>IF($G38="","",L38*20%)</f>
      </c>
      <c r="N38" s="3">
        <v>1</v>
      </c>
      <c r="O38" s="3">
        <f>IF($G38="","",K38+M38)</f>
      </c>
      <c r="P38" s="3">
        <f>IF($G38="","",H38-I38-J38-K38-L38-M38-N38)</f>
      </c>
      <c r="Q38" s="3">
        <f>IF($G38="","",(P38-Y38)/F38*100)</f>
      </c>
      <c r="R38" s="3">
        <f>IF($G38="","",I38-O38)</f>
      </c>
      <c r="Z38" s="3">
        <f>IF($G38="","",P38-Y38)</f>
      </c>
    </row>
    <row r="39" spans="1:26" x14ac:dyDescent="0.25">
      <c r="A39" s="1"/>
      <c r="D39" s="2"/>
      <c r="F39" s="3"/>
      <c r="G39" s="3"/>
      <c r="H39" s="3">
        <f>IF($G39="","",G39-F39)</f>
      </c>
      <c r="I39" s="3">
        <f>IF($G39="","",H39*16.67%)</f>
      </c>
      <c r="J39" s="3">
        <f>IF($G39="","",G39*7%)</f>
      </c>
      <c r="K39" s="3">
        <f>IF($G39="","",J39*20%)</f>
      </c>
      <c r="L39" s="3"/>
      <c r="M39" s="3">
        <f>IF($G39="","",L39*20%)</f>
      </c>
      <c r="N39" s="3">
        <v>1</v>
      </c>
      <c r="O39" s="3">
        <f>IF($G39="","",K39+M39)</f>
      </c>
      <c r="P39" s="3">
        <f>IF($G39="","",H39-I39-J39-K39-L39-M39-N39)</f>
      </c>
      <c r="Q39" s="3">
        <f>IF($G39="","",(P39-Y39)/F39*100)</f>
      </c>
      <c r="R39" s="3">
        <f>IF($G39="","",I39-O39)</f>
      </c>
      <c r="Z39" s="3">
        <f>IF($G39="","",P39-Y39)</f>
      </c>
    </row>
    <row r="40" spans="1:26" x14ac:dyDescent="0.25">
      <c r="A40" s="1"/>
      <c r="D40" s="2"/>
      <c r="F40" s="3"/>
      <c r="G40" s="3"/>
      <c r="H40" s="3">
        <f>IF($G40="","",G40-F40)</f>
      </c>
      <c r="I40" s="3">
        <f>IF($G40="","",H40*16.67%)</f>
      </c>
      <c r="J40" s="3">
        <f>IF($G40="","",G40*7%)</f>
      </c>
      <c r="K40" s="3">
        <f>IF($G40="","",J40*20%)</f>
      </c>
      <c r="L40" s="3"/>
      <c r="M40" s="3">
        <f>IF($G40="","",L40*20%)</f>
      </c>
      <c r="N40" s="3">
        <v>1</v>
      </c>
      <c r="O40" s="3">
        <f>IF($G40="","",K40+M40)</f>
      </c>
      <c r="P40" s="3">
        <f>IF($G40="","",H40-I40-J40-K40-L40-M40-N40)</f>
      </c>
      <c r="Q40" s="3">
        <f>IF($G40="","",(P40-Y40)/F40*100)</f>
      </c>
      <c r="R40" s="3">
        <f>IF($G40="","",I40-O40)</f>
      </c>
      <c r="Z40" s="3">
        <f>IF($G40="","",P40-Y40)</f>
      </c>
    </row>
    <row r="41" spans="1:26" x14ac:dyDescent="0.25">
      <c r="A41" s="1"/>
      <c r="D41" s="2"/>
      <c r="F41" s="3"/>
      <c r="G41" s="3"/>
      <c r="H41" s="3">
        <f>IF($G41="","",G41-F41)</f>
      </c>
      <c r="I41" s="3">
        <f>IF($G41="","",H41*16.67%)</f>
      </c>
      <c r="J41" s="3">
        <f>IF($G41="","",G41*7%)</f>
      </c>
      <c r="K41" s="3">
        <f>IF($G41="","",J41*20%)</f>
      </c>
      <c r="L41" s="3"/>
      <c r="M41" s="3">
        <f>IF($G41="","",L41*20%)</f>
      </c>
      <c r="N41" s="3">
        <v>1</v>
      </c>
      <c r="O41" s="3">
        <f>IF($G41="","",K41+M41)</f>
      </c>
      <c r="P41" s="3">
        <f>IF($G41="","",H41-I41-J41-K41-L41-M41-N41)</f>
      </c>
      <c r="Q41" s="3">
        <f>IF($G41="","",(P41-Y41)/F41*100)</f>
      </c>
      <c r="R41" s="3">
        <f>IF($G41="","",I41-O41)</f>
      </c>
      <c r="Z41" s="3">
        <f>IF($G41="","",P41-Y41)</f>
      </c>
    </row>
    <row r="42" spans="1:26" x14ac:dyDescent="0.25">
      <c r="A42" s="1"/>
      <c r="D42" s="2"/>
      <c r="F42" s="3"/>
      <c r="G42" s="3"/>
      <c r="H42" s="3">
        <f>IF($G42="","",G42-F42)</f>
      </c>
      <c r="I42" s="3">
        <f>IF($G42="","",H42*16.67%)</f>
      </c>
      <c r="J42" s="3">
        <f>IF($G42="","",G42*7%)</f>
      </c>
      <c r="K42" s="3">
        <f>IF($G42="","",J42*20%)</f>
      </c>
      <c r="L42" s="3"/>
      <c r="M42" s="3">
        <f>IF($G42="","",L42*20%)</f>
      </c>
      <c r="N42" s="3">
        <v>1</v>
      </c>
      <c r="O42" s="3">
        <f>IF($G42="","",K42+M42)</f>
      </c>
      <c r="P42" s="3">
        <f>IF($G42="","",H42-I42-J42-K42-L42-M42-N42)</f>
      </c>
      <c r="Q42" s="3">
        <f>IF($G42="","",(P42-Y42)/F42*100)</f>
      </c>
      <c r="R42" s="3">
        <f>IF($G42="","",I42-O42)</f>
      </c>
      <c r="Z42" s="3">
        <f>IF($G42="","",P42-Y42)</f>
      </c>
    </row>
    <row r="43" spans="1:26" x14ac:dyDescent="0.25">
      <c r="A43" s="1"/>
      <c r="D43" s="2"/>
      <c r="F43" s="3"/>
      <c r="G43" s="3"/>
      <c r="H43" s="3">
        <f>IF($G43="","",G43-F43)</f>
      </c>
      <c r="I43" s="3">
        <f>IF($G43="","",H43*16.67%)</f>
      </c>
      <c r="J43" s="3">
        <f>IF($G43="","",G43*7%)</f>
      </c>
      <c r="K43" s="3">
        <f>IF($G43="","",J43*20%)</f>
      </c>
      <c r="L43" s="3"/>
      <c r="M43" s="3">
        <f>IF($G43="","",L43*20%)</f>
      </c>
      <c r="N43" s="3">
        <v>1</v>
      </c>
      <c r="O43" s="3">
        <f>IF($G43="","",K43+M43)</f>
      </c>
      <c r="P43" s="3">
        <f>IF($G43="","",H43-I43-J43-K43-L43-M43-N43)</f>
      </c>
      <c r="Q43" s="3">
        <f>IF($G43="","",(P43-Y43)/F43*100)</f>
      </c>
      <c r="R43" s="3">
        <f>IF($G43="","",I43-O43)</f>
      </c>
      <c r="Z43" s="3">
        <f>IF($G43="","",P43-Y43)</f>
      </c>
    </row>
    <row r="44" spans="1:26" x14ac:dyDescent="0.25">
      <c r="A44" s="1"/>
      <c r="D44" s="2"/>
      <c r="F44" s="3"/>
      <c r="G44" s="3"/>
      <c r="H44" s="3">
        <f>IF($G44="","",G44-F44)</f>
      </c>
      <c r="I44" s="3">
        <f>IF($G44="","",H44*16.67%)</f>
      </c>
      <c r="J44" s="3">
        <f>IF($G44="","",G44*7%)</f>
      </c>
      <c r="K44" s="3">
        <f>IF($G44="","",J44*20%)</f>
      </c>
      <c r="L44" s="3"/>
      <c r="M44" s="3">
        <f>IF($G44="","",L44*20%)</f>
      </c>
      <c r="N44" s="3">
        <v>1</v>
      </c>
      <c r="O44" s="3">
        <f>IF($G44="","",K44+M44)</f>
      </c>
      <c r="P44" s="3">
        <f>IF($G44="","",H44-I44-J44-K44-L44-M44-N44)</f>
      </c>
      <c r="Q44" s="3">
        <f>IF($G44="","",(P44-Y44)/F44*100)</f>
      </c>
      <c r="R44" s="3">
        <f>IF($G44="","",I44-O44)</f>
      </c>
      <c r="Z44" s="3">
        <f>IF($G44="","",P44-Y44)</f>
      </c>
    </row>
    <row r="45" spans="1:26" x14ac:dyDescent="0.25">
      <c r="A45" s="1"/>
      <c r="D45" s="2"/>
      <c r="F45" s="3"/>
      <c r="G45" s="3"/>
      <c r="H45" s="3">
        <f>IF($G45="","",G45-F45)</f>
      </c>
      <c r="I45" s="3">
        <f>IF($G45="","",H45*16.67%)</f>
      </c>
      <c r="J45" s="3">
        <f>IF($G45="","",G45*7%)</f>
      </c>
      <c r="K45" s="3">
        <f>IF($G45="","",J45*20%)</f>
      </c>
      <c r="L45" s="3"/>
      <c r="M45" s="3">
        <f>IF($G45="","",L45*20%)</f>
      </c>
      <c r="N45" s="3">
        <v>1</v>
      </c>
      <c r="O45" s="3">
        <f>IF($G45="","",K45+M45)</f>
      </c>
      <c r="P45" s="3">
        <f>IF($G45="","",H45-I45-J45-K45-L45-M45-N45)</f>
      </c>
      <c r="Q45" s="3">
        <f>IF($G45="","",(P45-Y45)/F45*100)</f>
      </c>
      <c r="R45" s="3">
        <f>IF($G45="","",I45-O45)</f>
      </c>
      <c r="Z45" s="3">
        <f>IF($G45="","",P45-Y45)</f>
      </c>
    </row>
    <row r="46" spans="1:26" x14ac:dyDescent="0.25">
      <c r="A46" s="1"/>
      <c r="D46" s="2"/>
      <c r="F46" s="3"/>
      <c r="G46" s="3"/>
      <c r="H46" s="3">
        <f>IF($G46="","",G46-F46)</f>
      </c>
      <c r="I46" s="3">
        <f>IF($G46="","",H46*16.67%)</f>
      </c>
      <c r="J46" s="3">
        <f>IF($G46="","",G46*7%)</f>
      </c>
      <c r="K46" s="3">
        <f>IF($G46="","",J46*20%)</f>
      </c>
      <c r="L46" s="3"/>
      <c r="M46" s="3">
        <f>IF($G46="","",L46*20%)</f>
      </c>
      <c r="N46" s="3">
        <v>1</v>
      </c>
      <c r="O46" s="3">
        <f>IF($G46="","",K46+M46)</f>
      </c>
      <c r="P46" s="3">
        <f>IF($G46="","",H46-I46-J46-K46-L46-M46-N46)</f>
      </c>
      <c r="Q46" s="3">
        <f>IF($G46="","",(P46-Y46)/F46*100)</f>
      </c>
      <c r="R46" s="3">
        <f>IF($G46="","",I46-O46)</f>
      </c>
      <c r="Z46" s="3">
        <f>IF($G46="","",P46-Y46)</f>
      </c>
    </row>
    <row r="47" spans="1:26" x14ac:dyDescent="0.25">
      <c r="A47" s="1"/>
      <c r="D47" s="2"/>
      <c r="F47" s="3"/>
      <c r="G47" s="3"/>
      <c r="H47" s="3">
        <f>IF($G47="","",G47-F47)</f>
      </c>
      <c r="I47" s="3">
        <f>IF($G47="","",H47*16.67%)</f>
      </c>
      <c r="J47" s="3">
        <f>IF($G47="","",G47*7%)</f>
      </c>
      <c r="K47" s="3">
        <f>IF($G47="","",J47*20%)</f>
      </c>
      <c r="L47" s="3"/>
      <c r="M47" s="3">
        <f>IF($G47="","",L47*20%)</f>
      </c>
      <c r="N47" s="3">
        <v>1</v>
      </c>
      <c r="O47" s="3">
        <f>IF($G47="","",K47+M47)</f>
      </c>
      <c r="P47" s="3">
        <f>IF($G47="","",H47-I47-J47-K47-L47-M47-N47)</f>
      </c>
      <c r="Q47" s="3">
        <f>IF($G47="","",(P47-Y47)/F47*100)</f>
      </c>
      <c r="R47" s="3">
        <f>IF($G47="","",I47-O47)</f>
      </c>
      <c r="Z47" s="3">
        <f>IF($G47="","",P47-Y47)</f>
      </c>
    </row>
    <row r="48" spans="1:26" x14ac:dyDescent="0.25">
      <c r="A48" s="1"/>
      <c r="D48" s="2"/>
      <c r="F48" s="3"/>
      <c r="G48" s="3"/>
      <c r="H48" s="3">
        <f>IF($G48="","",G48-F48)</f>
      </c>
      <c r="I48" s="3">
        <f>IF($G48="","",H48*16.67%)</f>
      </c>
      <c r="J48" s="3">
        <f>IF($G48="","",G48*7%)</f>
      </c>
      <c r="K48" s="3">
        <f>IF($G48="","",J48*20%)</f>
      </c>
      <c r="L48" s="3"/>
      <c r="M48" s="3">
        <f>IF($G48="","",L48*20%)</f>
      </c>
      <c r="N48" s="3">
        <v>1</v>
      </c>
      <c r="O48" s="3">
        <f>IF($G48="","",K48+M48)</f>
      </c>
      <c r="P48" s="3">
        <f>IF($G48="","",H48-I48-J48-K48-L48-M48-N48)</f>
      </c>
      <c r="Q48" s="3">
        <f>IF($G48="","",(P48-Y48)/F48*100)</f>
      </c>
      <c r="R48" s="3">
        <f>IF($G48="","",I48-O48)</f>
      </c>
      <c r="Z48" s="3">
        <f>IF($G48="","",P48-Y48)</f>
      </c>
    </row>
    <row r="49" spans="1:26" x14ac:dyDescent="0.25">
      <c r="A49" s="1"/>
      <c r="D49" s="2"/>
      <c r="F49" s="3"/>
      <c r="G49" s="3"/>
      <c r="H49" s="3">
        <f>IF($G49="","",G49-F49)</f>
      </c>
      <c r="I49" s="3">
        <f>IF($G49="","",H49*16.67%)</f>
      </c>
      <c r="J49" s="3">
        <f>IF($G49="","",G49*7%)</f>
      </c>
      <c r="K49" s="3">
        <f>IF($G49="","",J49*20%)</f>
      </c>
      <c r="L49" s="3"/>
      <c r="M49" s="3">
        <f>IF($G49="","",L49*20%)</f>
      </c>
      <c r="N49" s="3">
        <v>1</v>
      </c>
      <c r="O49" s="3">
        <f>IF($G49="","",K49+M49)</f>
      </c>
      <c r="P49" s="3">
        <f>IF($G49="","",H49-I49-J49-K49-L49-M49-N49)</f>
      </c>
      <c r="Q49" s="3">
        <f>IF($G49="","",(P49-Y49)/F49*100)</f>
      </c>
      <c r="R49" s="3">
        <f>IF($G49="","",I49-O49)</f>
      </c>
      <c r="Z49" s="3">
        <f>IF($G49="","",P49-Y49)</f>
      </c>
    </row>
    <row r="50" spans="1:26" x14ac:dyDescent="0.25">
      <c r="A50" s="1"/>
      <c r="D50" s="2"/>
      <c r="F50" s="3"/>
      <c r="G50" s="3"/>
      <c r="H50" s="3">
        <f>IF($G50="","",G50-F50)</f>
      </c>
      <c r="I50" s="3">
        <f>IF($G50="","",H50*16.67%)</f>
      </c>
      <c r="J50" s="3">
        <f>IF($G50="","",G50*7%)</f>
      </c>
      <c r="K50" s="3">
        <f>IF($G50="","",J50*20%)</f>
      </c>
      <c r="L50" s="3"/>
      <c r="M50" s="3">
        <f>IF($G50="","",L50*20%)</f>
      </c>
      <c r="N50" s="3">
        <v>1</v>
      </c>
      <c r="O50" s="3">
        <f>IF($G50="","",K50+M50)</f>
      </c>
      <c r="P50" s="3">
        <f>IF($G50="","",H50-I50-J50-K50-L50-M50-N50)</f>
      </c>
      <c r="Q50" s="3">
        <f>IF($G50="","",(P50-Y50)/F50*100)</f>
      </c>
      <c r="R50" s="3">
        <f>IF($G50="","",I50-O50)</f>
      </c>
      <c r="Z50" s="3">
        <f>IF($G50="","",P50-Y50)</f>
      </c>
    </row>
    <row r="51" spans="1:26" x14ac:dyDescent="0.25">
      <c r="A51" s="1"/>
      <c r="D51" s="2"/>
      <c r="F51" s="3"/>
      <c r="G51" s="3"/>
      <c r="H51" s="3">
        <f>IF($G51="","",G51-F51)</f>
      </c>
      <c r="I51" s="3">
        <f>IF($G51="","",H51*16.67%)</f>
      </c>
      <c r="J51" s="3">
        <f>IF($G51="","",G51*7%)</f>
      </c>
      <c r="K51" s="3">
        <f>IF($G51="","",J51*20%)</f>
      </c>
      <c r="L51" s="3"/>
      <c r="M51" s="3">
        <f>IF($G51="","",L51*20%)</f>
      </c>
      <c r="N51" s="3">
        <v>1</v>
      </c>
      <c r="O51" s="3">
        <f>IF($G51="","",K51+M51)</f>
      </c>
      <c r="P51" s="3">
        <f>IF($G51="","",H51-I51-J51-K51-L51-M51-N51)</f>
      </c>
      <c r="Q51" s="3">
        <f>IF($G51="","",(P51-Y51)/F51*100)</f>
      </c>
      <c r="R51" s="3">
        <f>IF($G51="","",I51-O51)</f>
      </c>
      <c r="Z51" s="3">
        <f>IF($G51="","",P51-Y51)</f>
      </c>
    </row>
    <row r="52" spans="1:26" x14ac:dyDescent="0.25">
      <c r="A52" s="1"/>
      <c r="D52" s="2"/>
      <c r="F52" s="3"/>
      <c r="G52" s="3"/>
      <c r="H52" s="3">
        <f>IF($G52="","",G52-F52)</f>
      </c>
      <c r="I52" s="3">
        <f>IF($G52="","",H52*16.67%)</f>
      </c>
      <c r="J52" s="3">
        <f>IF($G52="","",G52*7%)</f>
      </c>
      <c r="K52" s="3">
        <f>IF($G52="","",J52*20%)</f>
      </c>
      <c r="L52" s="3"/>
      <c r="M52" s="3">
        <f>IF($G52="","",L52*20%)</f>
      </c>
      <c r="N52" s="3">
        <v>1</v>
      </c>
      <c r="O52" s="3">
        <f>IF($G52="","",K52+M52)</f>
      </c>
      <c r="P52" s="3">
        <f>IF($G52="","",H52-I52-J52-K52-L52-M52-N52)</f>
      </c>
      <c r="Q52" s="3">
        <f>IF($G52="","",(P52-Y52)/F52*100)</f>
      </c>
      <c r="R52" s="3">
        <f>IF($G52="","",I52-O52)</f>
      </c>
      <c r="Z52" s="3">
        <f>IF($G52="","",P52-Y52)</f>
      </c>
    </row>
    <row r="53" spans="1:26" x14ac:dyDescent="0.25">
      <c r="A53" s="1"/>
      <c r="D53" s="2"/>
      <c r="F53" s="3"/>
      <c r="G53" s="3"/>
      <c r="H53" s="3">
        <f>IF($G53="","",G53-F53)</f>
      </c>
      <c r="I53" s="3">
        <f>IF($G53="","",H53*16.67%)</f>
      </c>
      <c r="J53" s="3">
        <f>IF($G53="","",G53*7%)</f>
      </c>
      <c r="K53" s="3">
        <f>IF($G53="","",J53*20%)</f>
      </c>
      <c r="L53" s="3"/>
      <c r="M53" s="3">
        <f>IF($G53="","",L53*20%)</f>
      </c>
      <c r="N53" s="3">
        <v>1</v>
      </c>
      <c r="O53" s="3">
        <f>IF($G53="","",K53+M53)</f>
      </c>
      <c r="P53" s="3">
        <f>IF($G53="","",H53-I53-J53-K53-L53-M53-N53)</f>
      </c>
      <c r="Q53" s="3">
        <f>IF($G53="","",(P53-Y53)/F53*100)</f>
      </c>
      <c r="R53" s="3">
        <f>IF($G53="","",I53-O53)</f>
      </c>
      <c r="Z53" s="3">
        <f>IF($G53="","",P53-Y53)</f>
      </c>
    </row>
    <row r="54" spans="1:26" x14ac:dyDescent="0.25">
      <c r="A54" s="1"/>
      <c r="D54" s="2"/>
      <c r="F54" s="3"/>
      <c r="G54" s="3"/>
      <c r="H54" s="3">
        <f>IF($G54="","",G54-F54)</f>
      </c>
      <c r="I54" s="3">
        <f>IF($G54="","",H54*16.67%)</f>
      </c>
      <c r="J54" s="3">
        <f>IF($G54="","",G54*7%)</f>
      </c>
      <c r="K54" s="3">
        <f>IF($G54="","",J54*20%)</f>
      </c>
      <c r="L54" s="3"/>
      <c r="M54" s="3">
        <f>IF($G54="","",L54*20%)</f>
      </c>
      <c r="N54" s="3">
        <v>1</v>
      </c>
      <c r="O54" s="3">
        <f>IF($G54="","",K54+M54)</f>
      </c>
      <c r="P54" s="3">
        <f>IF($G54="","",H54-I54-J54-K54-L54-M54-N54)</f>
      </c>
      <c r="Q54" s="3">
        <f>IF($G54="","",(P54-Y54)/F54*100)</f>
      </c>
      <c r="R54" s="3">
        <f>IF($G54="","",I54-O54)</f>
      </c>
      <c r="Z54" s="3">
        <f>IF($G54="","",P54-Y54)</f>
      </c>
    </row>
    <row r="55" spans="1:26" x14ac:dyDescent="0.25">
      <c r="A55" s="1"/>
      <c r="D55" s="2"/>
      <c r="F55" s="3"/>
      <c r="G55" s="3"/>
      <c r="H55" s="3">
        <f>IF($G55="","",G55-F55)</f>
      </c>
      <c r="I55" s="3">
        <f>IF($G55="","",H55*16.67%)</f>
      </c>
      <c r="J55" s="3">
        <f>IF($G55="","",G55*7%)</f>
      </c>
      <c r="K55" s="3">
        <f>IF($G55="","",J55*20%)</f>
      </c>
      <c r="L55" s="3"/>
      <c r="M55" s="3">
        <f>IF($G55="","",L55*20%)</f>
      </c>
      <c r="N55" s="3">
        <v>1</v>
      </c>
      <c r="O55" s="3">
        <f>IF($G55="","",K55+M55)</f>
      </c>
      <c r="P55" s="3">
        <f>IF($G55="","",H55-I55-J55-K55-L55-M55-N55)</f>
      </c>
      <c r="Q55" s="3">
        <f>IF($G55="","",(P55-Y55)/F55*100)</f>
      </c>
      <c r="R55" s="3">
        <f>IF($G55="","",I55-O55)</f>
      </c>
      <c r="Z55" s="3">
        <f>IF($G55="","",P55-Y55)</f>
      </c>
    </row>
    <row r="56" spans="1:26" x14ac:dyDescent="0.25">
      <c r="A56" s="1"/>
      <c r="D56" s="2"/>
      <c r="F56" s="3"/>
      <c r="G56" s="3"/>
      <c r="H56" s="3">
        <f>IF($G56="","",G56-F56)</f>
      </c>
      <c r="I56" s="3">
        <f>IF($G56="","",H56*16.67%)</f>
      </c>
      <c r="J56" s="3">
        <f>IF($G56="","",G56*7%)</f>
      </c>
      <c r="K56" s="3">
        <f>IF($G56="","",J56*20%)</f>
      </c>
      <c r="L56" s="3"/>
      <c r="M56" s="3">
        <f>IF($G56="","",L56*20%)</f>
      </c>
      <c r="N56" s="3">
        <v>1</v>
      </c>
      <c r="O56" s="3">
        <f>IF($G56="","",K56+M56)</f>
      </c>
      <c r="P56" s="3">
        <f>IF($G56="","",H56-I56-J56-K56-L56-M56-N56)</f>
      </c>
      <c r="Q56" s="3">
        <f>IF($G56="","",(P56-Y56)/F56*100)</f>
      </c>
      <c r="R56" s="3">
        <f>IF($G56="","",I56-O56)</f>
      </c>
      <c r="Z56" s="3">
        <f>IF($G56="","",P56-Y56)</f>
      </c>
    </row>
    <row r="57" spans="1:26" x14ac:dyDescent="0.25">
      <c r="A57" s="1"/>
      <c r="D57" s="2"/>
      <c r="F57" s="3"/>
      <c r="G57" s="3"/>
      <c r="H57" s="3">
        <f>IF($G57="","",G57-F57)</f>
      </c>
      <c r="I57" s="3">
        <f>IF($G57="","",H57*16.67%)</f>
      </c>
      <c r="J57" s="3">
        <f>IF($G57="","",G57*7%)</f>
      </c>
      <c r="K57" s="3">
        <f>IF($G57="","",J57*20%)</f>
      </c>
      <c r="L57" s="3"/>
      <c r="M57" s="3">
        <f>IF($G57="","",L57*20%)</f>
      </c>
      <c r="N57" s="3">
        <v>1</v>
      </c>
      <c r="O57" s="3">
        <f>IF($G57="","",K57+M57)</f>
      </c>
      <c r="P57" s="3">
        <f>IF($G57="","",H57-I57-J57-K57-L57-M57-N57)</f>
      </c>
      <c r="Q57" s="3">
        <f>IF($G57="","",(P57-Y57)/F57*100)</f>
      </c>
      <c r="R57" s="3">
        <f>IF($G57="","",I57-O57)</f>
      </c>
      <c r="Z57" s="3">
        <f>IF($G57="","",P57-Y57)</f>
      </c>
    </row>
    <row r="58" spans="1:26" x14ac:dyDescent="0.25">
      <c r="A58" s="1"/>
      <c r="D58" s="2"/>
      <c r="F58" s="3"/>
      <c r="G58" s="3"/>
      <c r="H58" s="3">
        <f>IF($G58="","",G58-F58)</f>
      </c>
      <c r="I58" s="3">
        <f>IF($G58="","",H58*16.67%)</f>
      </c>
      <c r="J58" s="3">
        <f>IF($G58="","",G58*7%)</f>
      </c>
      <c r="K58" s="3">
        <f>IF($G58="","",J58*20%)</f>
      </c>
      <c r="L58" s="3"/>
      <c r="M58" s="3">
        <f>IF($G58="","",L58*20%)</f>
      </c>
      <c r="N58" s="3">
        <v>1</v>
      </c>
      <c r="O58" s="3">
        <f>IF($G58="","",K58+M58)</f>
      </c>
      <c r="P58" s="3">
        <f>IF($G58="","",H58-I58-J58-K58-L58-M58-N58)</f>
      </c>
      <c r="Q58" s="3">
        <f>IF($G58="","",(P58-Y58)/F58*100)</f>
      </c>
      <c r="R58" s="3">
        <f>IF($G58="","",I58-O58)</f>
      </c>
      <c r="Z58" s="3">
        <f>IF($G58="","",P58-Y58)</f>
      </c>
    </row>
    <row r="59" spans="1:26" x14ac:dyDescent="0.25">
      <c r="A59" s="1"/>
      <c r="D59" s="2"/>
      <c r="F59" s="3"/>
      <c r="G59" s="3"/>
      <c r="H59" s="3">
        <f>IF($G59="","",G59-F59)</f>
      </c>
      <c r="I59" s="3">
        <f>IF($G59="","",H59*16.67%)</f>
      </c>
      <c r="J59" s="3">
        <f>IF($G59="","",G59*7%)</f>
      </c>
      <c r="K59" s="3">
        <f>IF($G59="","",J59*20%)</f>
      </c>
      <c r="L59" s="3"/>
      <c r="M59" s="3">
        <f>IF($G59="","",L59*20%)</f>
      </c>
      <c r="N59" s="3">
        <v>1</v>
      </c>
      <c r="O59" s="3">
        <f>IF($G59="","",K59+M59)</f>
      </c>
      <c r="P59" s="3">
        <f>IF($G59="","",H59-I59-J59-K59-L59-M59-N59)</f>
      </c>
      <c r="Q59" s="3">
        <f>IF($G59="","",(P59-Y59)/F59*100)</f>
      </c>
      <c r="R59" s="3">
        <f>IF($G59="","",I59-O59)</f>
      </c>
      <c r="Z59" s="3">
        <f>IF($G59="","",P59-Y59)</f>
      </c>
    </row>
    <row r="60" spans="1:26" x14ac:dyDescent="0.25">
      <c r="A60" s="1"/>
      <c r="D60" s="2"/>
      <c r="F60" s="3"/>
      <c r="G60" s="3"/>
      <c r="H60" s="3">
        <f>IF($G60="","",G60-F60)</f>
      </c>
      <c r="I60" s="3">
        <f>IF($G60="","",H60*16.67%)</f>
      </c>
      <c r="J60" s="3">
        <f>IF($G60="","",G60*7%)</f>
      </c>
      <c r="K60" s="3">
        <f>IF($G60="","",J60*20%)</f>
      </c>
      <c r="L60" s="3"/>
      <c r="M60" s="3">
        <f>IF($G60="","",L60*20%)</f>
      </c>
      <c r="N60" s="3">
        <v>1</v>
      </c>
      <c r="O60" s="3">
        <f>IF($G60="","",K60+M60)</f>
      </c>
      <c r="P60" s="3">
        <f>IF($G60="","",H60-I60-J60-K60-L60-M60-N60)</f>
      </c>
      <c r="Q60" s="3">
        <f>IF($G60="","",(P60-Y60)/F60*100)</f>
      </c>
      <c r="R60" s="3">
        <f>IF($G60="","",I60-O60)</f>
      </c>
      <c r="Z60" s="3">
        <f>IF($G60="","",P60-Y60)</f>
      </c>
    </row>
    <row r="61" spans="1:26" x14ac:dyDescent="0.25">
      <c r="A61" s="1"/>
      <c r="D61" s="2"/>
      <c r="F61" s="3"/>
      <c r="G61" s="3"/>
      <c r="H61" s="3">
        <f>IF($G61="","",G61-F61)</f>
      </c>
      <c r="I61" s="3">
        <f>IF($G61="","",H61*16.67%)</f>
      </c>
      <c r="J61" s="3">
        <f>IF($G61="","",G61*7%)</f>
      </c>
      <c r="K61" s="3">
        <f>IF($G61="","",J61*20%)</f>
      </c>
      <c r="L61" s="3"/>
      <c r="M61" s="3">
        <f>IF($G61="","",L61*20%)</f>
      </c>
      <c r="N61" s="3">
        <v>1</v>
      </c>
      <c r="O61" s="3">
        <f>IF($G61="","",K61+M61)</f>
      </c>
      <c r="P61" s="3">
        <f>IF($G61="","",H61-I61-J61-K61-L61-M61-N61)</f>
      </c>
      <c r="Q61" s="3">
        <f>IF($G61="","",(P61-Y61)/F61*100)</f>
      </c>
      <c r="R61" s="3">
        <f>IF($G61="","",I61-O61)</f>
      </c>
      <c r="Z61" s="3">
        <f>IF($G61="","",P61-Y61)</f>
      </c>
    </row>
    <row r="62" spans="1:26" x14ac:dyDescent="0.25">
      <c r="A62" s="1"/>
      <c r="D62" s="2"/>
      <c r="F62" s="3"/>
      <c r="G62" s="3"/>
      <c r="H62" s="3">
        <f>IF($G62="","",G62-F62)</f>
      </c>
      <c r="I62" s="3">
        <f>IF($G62="","",H62*16.67%)</f>
      </c>
      <c r="J62" s="3">
        <f>IF($G62="","",G62*7%)</f>
      </c>
      <c r="K62" s="3">
        <f>IF($G62="","",J62*20%)</f>
      </c>
      <c r="L62" s="3"/>
      <c r="M62" s="3">
        <f>IF($G62="","",L62*20%)</f>
      </c>
      <c r="N62" s="3">
        <v>1</v>
      </c>
      <c r="O62" s="3">
        <f>IF($G62="","",K62+M62)</f>
      </c>
      <c r="P62" s="3">
        <f>IF($G62="","",H62-I62-J62-K62-L62-M62-N62)</f>
      </c>
      <c r="Q62" s="3">
        <f>IF($G62="","",(P62-Y62)/F62*100)</f>
      </c>
      <c r="R62" s="3">
        <f>IF($G62="","",I62-O62)</f>
      </c>
      <c r="Z62" s="3">
        <f>IF($G62="","",P62-Y62)</f>
      </c>
    </row>
    <row r="63" spans="1:26" x14ac:dyDescent="0.25">
      <c r="A63" s="1"/>
      <c r="D63" s="2"/>
      <c r="F63" s="3"/>
      <c r="G63" s="3"/>
      <c r="H63" s="3">
        <f>IF($G63="","",G63-F63)</f>
      </c>
      <c r="I63" s="3">
        <f>IF($G63="","",H63*16.67%)</f>
      </c>
      <c r="J63" s="3">
        <f>IF($G63="","",G63*7%)</f>
      </c>
      <c r="K63" s="3">
        <f>IF($G63="","",J63*20%)</f>
      </c>
      <c r="L63" s="3"/>
      <c r="M63" s="3">
        <f>IF($G63="","",L63*20%)</f>
      </c>
      <c r="N63" s="3">
        <v>1</v>
      </c>
      <c r="O63" s="3">
        <f>IF($G63="","",K63+M63)</f>
      </c>
      <c r="P63" s="3">
        <f>IF($G63="","",H63-I63-J63-K63-L63-M63-N63)</f>
      </c>
      <c r="Q63" s="3">
        <f>IF($G63="","",(P63-Y63)/F63*100)</f>
      </c>
      <c r="R63" s="3">
        <f>IF($G63="","",I63-O63)</f>
      </c>
      <c r="Z63" s="3">
        <f>IF($G63="","",P63-Y63)</f>
      </c>
    </row>
    <row r="64" spans="1:26" x14ac:dyDescent="0.25">
      <c r="A64" s="1"/>
      <c r="D64" s="2"/>
      <c r="F64" s="3"/>
      <c r="G64" s="3"/>
      <c r="H64" s="3">
        <f>IF($G64="","",G64-F64)</f>
      </c>
      <c r="I64" s="3">
        <f>IF($G64="","",H64*16.67%)</f>
      </c>
      <c r="J64" s="3">
        <f>IF($G64="","",G64*7%)</f>
      </c>
      <c r="K64" s="3">
        <f>IF($G64="","",J64*20%)</f>
      </c>
      <c r="L64" s="3"/>
      <c r="M64" s="3">
        <f>IF($G64="","",L64*20%)</f>
      </c>
      <c r="N64" s="3">
        <v>1</v>
      </c>
      <c r="O64" s="3">
        <f>IF($G64="","",K64+M64)</f>
      </c>
      <c r="P64" s="3">
        <f>IF($G64="","",H64-I64-J64-K64-L64-M64-N64)</f>
      </c>
      <c r="Q64" s="3">
        <f>IF($G64="","",(P64-Y64)/F64*100)</f>
      </c>
      <c r="R64" s="3">
        <f>IF($G64="","",I64-O64)</f>
      </c>
      <c r="Z64" s="3">
        <f>IF($G64="","",P64-Y64)</f>
      </c>
    </row>
    <row r="65" spans="1:26" x14ac:dyDescent="0.25">
      <c r="A65" s="1"/>
      <c r="D65" s="2"/>
      <c r="F65" s="3"/>
      <c r="G65" s="3"/>
      <c r="H65" s="3">
        <f>IF($G65="","",G65-F65)</f>
      </c>
      <c r="I65" s="3">
        <f>IF($G65="","",H65*16.67%)</f>
      </c>
      <c r="J65" s="3">
        <f>IF($G65="","",G65*7%)</f>
      </c>
      <c r="K65" s="3">
        <f>IF($G65="","",J65*20%)</f>
      </c>
      <c r="L65" s="3"/>
      <c r="M65" s="3">
        <f>IF($G65="","",L65*20%)</f>
      </c>
      <c r="N65" s="3">
        <v>1</v>
      </c>
      <c r="O65" s="3">
        <f>IF($G65="","",K65+M65)</f>
      </c>
      <c r="P65" s="3">
        <f>IF($G65="","",H65-I65-J65-K65-L65-M65-N65)</f>
      </c>
      <c r="Q65" s="3">
        <f>IF($G65="","",(P65-Y65)/F65*100)</f>
      </c>
      <c r="R65" s="3">
        <f>IF($G65="","",I65-O65)</f>
      </c>
      <c r="Z65" s="3">
        <f>IF($G65="","",P65-Y65)</f>
      </c>
    </row>
    <row r="66" spans="1:26" x14ac:dyDescent="0.25">
      <c r="A66" s="1"/>
      <c r="D66" s="2"/>
      <c r="F66" s="3"/>
      <c r="G66" s="3"/>
      <c r="H66" s="3">
        <f>IF($G66="","",G66-F66)</f>
      </c>
      <c r="I66" s="3">
        <f>IF($G66="","",H66*16.67%)</f>
      </c>
      <c r="J66" s="3">
        <f>IF($G66="","",G66*7%)</f>
      </c>
      <c r="K66" s="3">
        <f>IF($G66="","",J66*20%)</f>
      </c>
      <c r="L66" s="3"/>
      <c r="M66" s="3">
        <f>IF($G66="","",L66*20%)</f>
      </c>
      <c r="N66" s="3">
        <v>1</v>
      </c>
      <c r="O66" s="3">
        <f>IF($G66="","",K66+M66)</f>
      </c>
      <c r="P66" s="3">
        <f>IF($G66="","",H66-I66-J66-K66-L66-M66-N66)</f>
      </c>
      <c r="Q66" s="3">
        <f>IF($G66="","",(P66-Y66)/F66*100)</f>
      </c>
      <c r="R66" s="3">
        <f>IF($G66="","",I66-O66)</f>
      </c>
      <c r="Z66" s="3">
        <f>IF($G66="","",P66-Y66)</f>
      </c>
    </row>
    <row r="67" spans="1:26" x14ac:dyDescent="0.25">
      <c r="A67" s="1"/>
      <c r="D67" s="2"/>
      <c r="F67" s="3"/>
      <c r="G67" s="3"/>
      <c r="H67" s="3">
        <f>IF($G67="","",G67-F67)</f>
      </c>
      <c r="I67" s="3">
        <f>IF($G67="","",H67*16.67%)</f>
      </c>
      <c r="J67" s="3">
        <f>IF($G67="","",G67*7%)</f>
      </c>
      <c r="K67" s="3">
        <f>IF($G67="","",J67*20%)</f>
      </c>
      <c r="L67" s="3"/>
      <c r="M67" s="3">
        <f>IF($G67="","",L67*20%)</f>
      </c>
      <c r="N67" s="3">
        <v>1</v>
      </c>
      <c r="O67" s="3">
        <f>IF($G67="","",K67+M67)</f>
      </c>
      <c r="P67" s="3">
        <f>IF($G67="","",H67-I67-J67-K67-L67-M67-N67)</f>
      </c>
      <c r="Q67" s="3">
        <f>IF($G67="","",(P67-Y67)/F67*100)</f>
      </c>
      <c r="R67" s="3">
        <f>IF($G67="","",I67-O67)</f>
      </c>
      <c r="Z67" s="3">
        <f>IF($G67="","",P67-Y67)</f>
      </c>
    </row>
    <row r="68" spans="1:26" x14ac:dyDescent="0.25">
      <c r="A68" s="1"/>
      <c r="D68" s="2"/>
      <c r="F68" s="3"/>
      <c r="G68" s="3"/>
      <c r="H68" s="3">
        <f>IF($G68="","",G68-F68)</f>
      </c>
      <c r="I68" s="3">
        <f>IF($G68="","",H68*16.67%)</f>
      </c>
      <c r="J68" s="3">
        <f>IF($G68="","",G68*7%)</f>
      </c>
      <c r="K68" s="3">
        <f>IF($G68="","",J68*20%)</f>
      </c>
      <c r="L68" s="3"/>
      <c r="M68" s="3">
        <f>IF($G68="","",L68*20%)</f>
      </c>
      <c r="N68" s="3">
        <v>1</v>
      </c>
      <c r="O68" s="3">
        <f>IF($G68="","",K68+M68)</f>
      </c>
      <c r="P68" s="3">
        <f>IF($G68="","",H68-I68-J68-K68-L68-M68-N68)</f>
      </c>
      <c r="Q68" s="3">
        <f>IF($G68="","",(P68-Y68)/F68*100)</f>
      </c>
      <c r="R68" s="3">
        <f>IF($G68="","",I68-O68)</f>
      </c>
      <c r="Z68" s="3">
        <f>IF($G68="","",P68-Y68)</f>
      </c>
    </row>
    <row r="69" spans="1:26" x14ac:dyDescent="0.25">
      <c r="A69" s="1"/>
      <c r="D69" s="2"/>
      <c r="F69" s="3"/>
      <c r="G69" s="3"/>
      <c r="H69" s="3">
        <f>IF($G69="","",G69-F69)</f>
      </c>
      <c r="I69" s="3">
        <f>IF($G69="","",H69*16.67%)</f>
      </c>
      <c r="J69" s="3">
        <f>IF($G69="","",G69*7%)</f>
      </c>
      <c r="K69" s="3">
        <f>IF($G69="","",J69*20%)</f>
      </c>
      <c r="L69" s="3"/>
      <c r="M69" s="3">
        <f>IF($G69="","",L69*20%)</f>
      </c>
      <c r="N69" s="3">
        <v>1</v>
      </c>
      <c r="O69" s="3">
        <f>IF($G69="","",K69+M69)</f>
      </c>
      <c r="P69" s="3">
        <f>IF($G69="","",H69-I69-J69-K69-L69-M69-N69)</f>
      </c>
      <c r="Q69" s="3">
        <f>IF($G69="","",(P69-Y69)/F69*100)</f>
      </c>
      <c r="R69" s="3">
        <f>IF($G69="","",I69-O69)</f>
      </c>
      <c r="Z69" s="3">
        <f>IF($G69="","",P69-Y69)</f>
      </c>
    </row>
    <row r="70" spans="1:26" x14ac:dyDescent="0.25">
      <c r="A70" s="1"/>
      <c r="D70" s="2"/>
      <c r="F70" s="3"/>
      <c r="G70" s="3"/>
      <c r="H70" s="3">
        <f>IF($G70="","",G70-F70)</f>
      </c>
      <c r="I70" s="3">
        <f>IF($G70="","",H70*16.67%)</f>
      </c>
      <c r="J70" s="3">
        <f>IF($G70="","",G70*7%)</f>
      </c>
      <c r="K70" s="3">
        <f>IF($G70="","",J70*20%)</f>
      </c>
      <c r="L70" s="3"/>
      <c r="M70" s="3">
        <f>IF($G70="","",L70*20%)</f>
      </c>
      <c r="N70" s="3">
        <v>1</v>
      </c>
      <c r="O70" s="3">
        <f>IF($G70="","",K70+M70)</f>
      </c>
      <c r="P70" s="3">
        <f>IF($G70="","",H70-I70-J70-K70-L70-M70-N70)</f>
      </c>
      <c r="Q70" s="3">
        <f>IF($G70="","",(P70-Y70)/F70*100)</f>
      </c>
      <c r="R70" s="3">
        <f>IF($G70="","",I70-O70)</f>
      </c>
      <c r="Z70" s="3">
        <f>IF($G70="","",P70-Y70)</f>
      </c>
    </row>
    <row r="71" spans="1:26" x14ac:dyDescent="0.25">
      <c r="A71" s="1"/>
      <c r="D71" s="2"/>
      <c r="F71" s="3"/>
      <c r="G71" s="3"/>
      <c r="H71" s="3">
        <f>IF($G71="","",G71-F71)</f>
      </c>
      <c r="I71" s="3">
        <f>IF($G71="","",H71*16.67%)</f>
      </c>
      <c r="J71" s="3">
        <f>IF($G71="","",G71*7%)</f>
      </c>
      <c r="K71" s="3">
        <f>IF($G71="","",J71*20%)</f>
      </c>
      <c r="L71" s="3"/>
      <c r="M71" s="3">
        <f>IF($G71="","",L71*20%)</f>
      </c>
      <c r="N71" s="3">
        <v>1</v>
      </c>
      <c r="O71" s="3">
        <f>IF($G71="","",K71+M71)</f>
      </c>
      <c r="P71" s="3">
        <f>IF($G71="","",H71-I71-J71-K71-L71-M71-N71)</f>
      </c>
      <c r="Q71" s="3">
        <f>IF($G71="","",(P71-Y71)/F71*100)</f>
      </c>
      <c r="R71" s="3">
        <f>IF($G71="","",I71-O71)</f>
      </c>
      <c r="Z71" s="3">
        <f>IF($G71="","",P71-Y71)</f>
      </c>
    </row>
    <row r="72" spans="1:26" x14ac:dyDescent="0.25">
      <c r="A72" s="1"/>
      <c r="D72" s="2"/>
      <c r="F72" s="3"/>
      <c r="G72" s="3"/>
      <c r="H72" s="3">
        <f>IF($G72="","",G72-F72)</f>
      </c>
      <c r="I72" s="3">
        <f>IF($G72="","",H72*16.67%)</f>
      </c>
      <c r="J72" s="3">
        <f>IF($G72="","",G72*7%)</f>
      </c>
      <c r="K72" s="3">
        <f>IF($G72="","",J72*20%)</f>
      </c>
      <c r="L72" s="3"/>
      <c r="M72" s="3">
        <f>IF($G72="","",L72*20%)</f>
      </c>
      <c r="N72" s="3">
        <v>1</v>
      </c>
      <c r="O72" s="3">
        <f>IF($G72="","",K72+M72)</f>
      </c>
      <c r="P72" s="3">
        <f>IF($G72="","",H72-I72-J72-K72-L72-M72-N72)</f>
      </c>
      <c r="Q72" s="3">
        <f>IF($G72="","",(P72-Y72)/F72*100)</f>
      </c>
      <c r="R72" s="3">
        <f>IF($G72="","",I72-O72)</f>
      </c>
      <c r="Z72" s="3">
        <f>IF($G72="","",P72-Y72)</f>
      </c>
    </row>
    <row r="73" spans="1:26" x14ac:dyDescent="0.25">
      <c r="A73" s="1"/>
      <c r="D73" s="2"/>
      <c r="F73" s="3"/>
      <c r="G73" s="3"/>
      <c r="H73" s="3">
        <f>IF($G73="","",G73-F73)</f>
      </c>
      <c r="I73" s="3">
        <f>IF($G73="","",H73*16.67%)</f>
      </c>
      <c r="J73" s="3">
        <f>IF($G73="","",G73*7%)</f>
      </c>
      <c r="K73" s="3">
        <f>IF($G73="","",J73*20%)</f>
      </c>
      <c r="L73" s="3"/>
      <c r="M73" s="3">
        <f>IF($G73="","",L73*20%)</f>
      </c>
      <c r="N73" s="3">
        <v>1</v>
      </c>
      <c r="O73" s="3">
        <f>IF($G73="","",K73+M73)</f>
      </c>
      <c r="P73" s="3">
        <f>IF($G73="","",H73-I73-J73-K73-L73-M73-N73)</f>
      </c>
      <c r="Q73" s="3">
        <f>IF($G73="","",(P73-Y73)/F73*100)</f>
      </c>
      <c r="R73" s="3">
        <f>IF($G73="","",I73-O73)</f>
      </c>
      <c r="Z73" s="3">
        <f>IF($G73="","",P73-Y73)</f>
      </c>
    </row>
    <row r="74" spans="1:26" x14ac:dyDescent="0.25">
      <c r="A74" s="1"/>
      <c r="D74" s="2"/>
      <c r="F74" s="3"/>
      <c r="G74" s="3"/>
      <c r="H74" s="3">
        <f>IF($G74="","",G74-F74)</f>
      </c>
      <c r="I74" s="3">
        <f>IF($G74="","",H74*16.67%)</f>
      </c>
      <c r="J74" s="3">
        <f>IF($G74="","",G74*7%)</f>
      </c>
      <c r="K74" s="3">
        <f>IF($G74="","",J74*20%)</f>
      </c>
      <c r="L74" s="3"/>
      <c r="M74" s="3">
        <f>IF($G74="","",L74*20%)</f>
      </c>
      <c r="N74" s="3">
        <v>1</v>
      </c>
      <c r="O74" s="3">
        <f>IF($G74="","",K74+M74)</f>
      </c>
      <c r="P74" s="3">
        <f>IF($G74="","",H74-I74-J74-K74-L74-M74-N74)</f>
      </c>
      <c r="Q74" s="3">
        <f>IF($G74="","",(P74-Y74)/F74*100)</f>
      </c>
      <c r="R74" s="3">
        <f>IF($G74="","",I74-O74)</f>
      </c>
      <c r="Z74" s="3">
        <f>IF($G74="","",P74-Y74)</f>
      </c>
    </row>
    <row r="75" spans="1:26" x14ac:dyDescent="0.25">
      <c r="A75" s="1"/>
      <c r="D75" s="2"/>
      <c r="F75" s="3"/>
      <c r="G75" s="3"/>
      <c r="H75" s="3">
        <f>IF($G75="","",G75-F75)</f>
      </c>
      <c r="I75" s="3">
        <f>IF($G75="","",H75*16.67%)</f>
      </c>
      <c r="J75" s="3">
        <f>IF($G75="","",G75*7%)</f>
      </c>
      <c r="K75" s="3">
        <f>IF($G75="","",J75*20%)</f>
      </c>
      <c r="L75" s="3"/>
      <c r="M75" s="3">
        <f>IF($G75="","",L75*20%)</f>
      </c>
      <c r="N75" s="3">
        <v>1</v>
      </c>
      <c r="O75" s="3">
        <f>IF($G75="","",K75+M75)</f>
      </c>
      <c r="P75" s="3">
        <f>IF($G75="","",H75-I75-J75-K75-L75-M75-N75)</f>
      </c>
      <c r="Q75" s="3">
        <f>IF($G75="","",(P75-Y75)/F75*100)</f>
      </c>
      <c r="R75" s="3">
        <f>IF($G75="","",I75-O75)</f>
      </c>
      <c r="Z75" s="3">
        <f>IF($G75="","",P75-Y75)</f>
      </c>
    </row>
    <row r="76" spans="1:26" x14ac:dyDescent="0.25">
      <c r="A76" s="1"/>
      <c r="D76" s="2"/>
      <c r="F76" s="3"/>
      <c r="G76" s="3"/>
      <c r="H76" s="3">
        <f>IF($G76="","",G76-F76)</f>
      </c>
      <c r="I76" s="3">
        <f>IF($G76="","",H76*16.67%)</f>
      </c>
      <c r="J76" s="3">
        <f>IF($G76="","",G76*7%)</f>
      </c>
      <c r="K76" s="3">
        <f>IF($G76="","",J76*20%)</f>
      </c>
      <c r="L76" s="3"/>
      <c r="M76" s="3">
        <f>IF($G76="","",L76*20%)</f>
      </c>
      <c r="N76" s="3">
        <v>1</v>
      </c>
      <c r="O76" s="3">
        <f>IF($G76="","",K76+M76)</f>
      </c>
      <c r="P76" s="3">
        <f>IF($G76="","",H76-I76-J76-K76-L76-M76-N76)</f>
      </c>
      <c r="Q76" s="3">
        <f>IF($G76="","",(P76-Y76)/F76*100)</f>
      </c>
      <c r="R76" s="3">
        <f>IF($G76="","",I76-O76)</f>
      </c>
      <c r="Z76" s="3">
        <f>IF($G76="","",P76-Y76)</f>
      </c>
    </row>
    <row r="77" spans="1:26" x14ac:dyDescent="0.25">
      <c r="A77" s="1"/>
      <c r="D77" s="2"/>
      <c r="F77" s="3"/>
      <c r="G77" s="3"/>
      <c r="H77" s="3">
        <f>IF($G77="","",G77-F77)</f>
      </c>
      <c r="I77" s="3">
        <f>IF($G77="","",H77*16.67%)</f>
      </c>
      <c r="J77" s="3">
        <f>IF($G77="","",G77*7%)</f>
      </c>
      <c r="K77" s="3">
        <f>IF($G77="","",J77*20%)</f>
      </c>
      <c r="L77" s="3"/>
      <c r="M77" s="3">
        <f>IF($G77="","",L77*20%)</f>
      </c>
      <c r="N77" s="3">
        <v>1</v>
      </c>
      <c r="O77" s="3">
        <f>IF($G77="","",K77+M77)</f>
      </c>
      <c r="P77" s="3">
        <f>IF($G77="","",H77-I77-J77-K77-L77-M77-N77)</f>
      </c>
      <c r="Q77" s="3">
        <f>IF($G77="","",(P77-Y77)/F77*100)</f>
      </c>
      <c r="R77" s="3">
        <f>IF($G77="","",I77-O77)</f>
      </c>
      <c r="Z77" s="3">
        <f>IF($G77="","",P77-Y77)</f>
      </c>
    </row>
    <row r="78" spans="1:26" x14ac:dyDescent="0.25">
      <c r="A78" s="1"/>
      <c r="D78" s="2"/>
      <c r="F78" s="3"/>
      <c r="G78" s="3"/>
      <c r="H78" s="3">
        <f>IF($G78="","",G78-F78)</f>
      </c>
      <c r="I78" s="3">
        <f>IF($G78="","",H78*16.67%)</f>
      </c>
      <c r="J78" s="3">
        <f>IF($G78="","",G78*7%)</f>
      </c>
      <c r="K78" s="3">
        <f>IF($G78="","",J78*20%)</f>
      </c>
      <c r="L78" s="3"/>
      <c r="M78" s="3">
        <f>IF($G78="","",L78*20%)</f>
      </c>
      <c r="N78" s="3">
        <v>1</v>
      </c>
      <c r="O78" s="3">
        <f>IF($G78="","",K78+M78)</f>
      </c>
      <c r="P78" s="3">
        <f>IF($G78="","",H78-I78-J78-K78-L78-M78-N78)</f>
      </c>
      <c r="Q78" s="3">
        <f>IF($G78="","",(P78-Y78)/F78*100)</f>
      </c>
      <c r="R78" s="3">
        <f>IF($G78="","",I78-O78)</f>
      </c>
      <c r="Z78" s="3">
        <f>IF($G78="","",P78-Y78)</f>
      </c>
    </row>
    <row r="79" spans="1:26" x14ac:dyDescent="0.25">
      <c r="A79" s="1"/>
      <c r="D79" s="2"/>
      <c r="F79" s="3"/>
      <c r="G79" s="3"/>
      <c r="H79" s="3">
        <f>IF($G79="","",G79-F79)</f>
      </c>
      <c r="I79" s="3">
        <f>IF($G79="","",H79*16.67%)</f>
      </c>
      <c r="J79" s="3">
        <f>IF($G79="","",G79*7%)</f>
      </c>
      <c r="K79" s="3">
        <f>IF($G79="","",J79*20%)</f>
      </c>
      <c r="L79" s="3"/>
      <c r="M79" s="3">
        <f>IF($G79="","",L79*20%)</f>
      </c>
      <c r="N79" s="3">
        <v>1</v>
      </c>
      <c r="O79" s="3">
        <f>IF($G79="","",K79+M79)</f>
      </c>
      <c r="P79" s="3">
        <f>IF($G79="","",H79-I79-J79-K79-L79-M79-N79)</f>
      </c>
      <c r="Q79" s="3">
        <f>IF($G79="","",(P79-Y79)/F79*100)</f>
      </c>
      <c r="R79" s="3">
        <f>IF($G79="","",I79-O79)</f>
      </c>
      <c r="Z79" s="3">
        <f>IF($G79="","",P79-Y79)</f>
      </c>
    </row>
    <row r="80" spans="1:26" x14ac:dyDescent="0.25">
      <c r="A80" s="1"/>
      <c r="D80" s="2"/>
      <c r="F80" s="3"/>
      <c r="G80" s="3"/>
      <c r="H80" s="3">
        <f>IF($G80="","",G80-F80)</f>
      </c>
      <c r="I80" s="3">
        <f>IF($G80="","",H80*16.67%)</f>
      </c>
      <c r="J80" s="3">
        <f>IF($G80="","",G80*7%)</f>
      </c>
      <c r="K80" s="3">
        <f>IF($G80="","",J80*20%)</f>
      </c>
      <c r="L80" s="3"/>
      <c r="M80" s="3">
        <f>IF($G80="","",L80*20%)</f>
      </c>
      <c r="N80" s="3">
        <v>1</v>
      </c>
      <c r="O80" s="3">
        <f>IF($G80="","",K80+M80)</f>
      </c>
      <c r="P80" s="3">
        <f>IF($G80="","",H80-I80-J80-K80-L80-M80-N80)</f>
      </c>
      <c r="Q80" s="3">
        <f>IF($G80="","",(P80-Y80)/F80*100)</f>
      </c>
      <c r="R80" s="3">
        <f>IF($G80="","",I80-O80)</f>
      </c>
      <c r="Z80" s="3">
        <f>IF($G80="","",P80-Y80)</f>
      </c>
    </row>
    <row r="81" spans="1:26" x14ac:dyDescent="0.25">
      <c r="A81" s="1"/>
      <c r="D81" s="2"/>
      <c r="F81" s="3"/>
      <c r="G81" s="3"/>
      <c r="H81" s="3">
        <f>IF($G81="","",G81-F81)</f>
      </c>
      <c r="I81" s="3">
        <f>IF($G81="","",H81*16.67%)</f>
      </c>
      <c r="J81" s="3">
        <f>IF($G81="","",G81*7%)</f>
      </c>
      <c r="K81" s="3">
        <f>IF($G81="","",J81*20%)</f>
      </c>
      <c r="L81" s="3"/>
      <c r="M81" s="3">
        <f>IF($G81="","",L81*20%)</f>
      </c>
      <c r="N81" s="3">
        <v>1</v>
      </c>
      <c r="O81" s="3">
        <f>IF($G81="","",K81+M81)</f>
      </c>
      <c r="P81" s="3">
        <f>IF($G81="","",H81-I81-J81-K81-L81-M81-N81)</f>
      </c>
      <c r="Q81" s="3">
        <f>IF($G81="","",(P81-Y81)/F81*100)</f>
      </c>
      <c r="R81" s="3">
        <f>IF($G81="","",I81-O81)</f>
      </c>
      <c r="Z81" s="3">
        <f>IF($G81="","",P81-Y81)</f>
      </c>
    </row>
    <row r="82" spans="1:26" x14ac:dyDescent="0.25">
      <c r="A82" s="1"/>
      <c r="D82" s="2"/>
      <c r="F82" s="3"/>
      <c r="G82" s="3"/>
      <c r="H82" s="3">
        <f>IF($G82="","",G82-F82)</f>
      </c>
      <c r="I82" s="3">
        <f>IF($G82="","",H82*16.67%)</f>
      </c>
      <c r="J82" s="3">
        <f>IF($G82="","",G82*7%)</f>
      </c>
      <c r="K82" s="3">
        <f>IF($G82="","",J82*20%)</f>
      </c>
      <c r="L82" s="3"/>
      <c r="M82" s="3">
        <f>IF($G82="","",L82*20%)</f>
      </c>
      <c r="N82" s="3">
        <v>1</v>
      </c>
      <c r="O82" s="3">
        <f>IF($G82="","",K82+M82)</f>
      </c>
      <c r="P82" s="3">
        <f>IF($G82="","",H82-I82-J82-K82-L82-M82-N82)</f>
      </c>
      <c r="Q82" s="3">
        <f>IF($G82="","",(P82-Y82)/F82*100)</f>
      </c>
      <c r="R82" s="3">
        <f>IF($G82="","",I82-O82)</f>
      </c>
      <c r="Z82" s="3">
        <f>IF($G82="","",P82-Y82)</f>
      </c>
    </row>
    <row r="83" spans="1:26" x14ac:dyDescent="0.25">
      <c r="A83" s="1"/>
      <c r="D83" s="2"/>
      <c r="F83" s="3"/>
      <c r="G83" s="3"/>
      <c r="H83" s="3">
        <f>IF($G83="","",G83-F83)</f>
      </c>
      <c r="I83" s="3">
        <f>IF($G83="","",H83*16.67%)</f>
      </c>
      <c r="J83" s="3">
        <f>IF($G83="","",G83*7%)</f>
      </c>
      <c r="K83" s="3">
        <f>IF($G83="","",J83*20%)</f>
      </c>
      <c r="L83" s="3"/>
      <c r="M83" s="3">
        <f>IF($G83="","",L83*20%)</f>
      </c>
      <c r="N83" s="3">
        <v>1</v>
      </c>
      <c r="O83" s="3">
        <f>IF($G83="","",K83+M83)</f>
      </c>
      <c r="P83" s="3">
        <f>IF($G83="","",H83-I83-J83-K83-L83-M83-N83)</f>
      </c>
      <c r="Q83" s="3">
        <f>IF($G83="","",(P83-Y83)/F83*100)</f>
      </c>
      <c r="R83" s="3">
        <f>IF($G83="","",I83-O83)</f>
      </c>
      <c r="Z83" s="3">
        <f>IF($G83="","",P83-Y83)</f>
      </c>
    </row>
    <row r="84" spans="1:26" x14ac:dyDescent="0.25">
      <c r="A84" s="1"/>
      <c r="D84" s="2"/>
      <c r="F84" s="3"/>
      <c r="G84" s="3"/>
      <c r="H84" s="3">
        <f>IF($G84="","",G84-F84)</f>
      </c>
      <c r="I84" s="3">
        <f>IF($G84="","",H84*16.67%)</f>
      </c>
      <c r="J84" s="3">
        <f>IF($G84="","",G84*7%)</f>
      </c>
      <c r="K84" s="3">
        <f>IF($G84="","",J84*20%)</f>
      </c>
      <c r="L84" s="3"/>
      <c r="M84" s="3">
        <f>IF($G84="","",L84*20%)</f>
      </c>
      <c r="N84" s="3">
        <v>1</v>
      </c>
      <c r="O84" s="3">
        <f>IF($G84="","",K84+M84)</f>
      </c>
      <c r="P84" s="3">
        <f>IF($G84="","",H84-I84-J84-K84-L84-M84-N84)</f>
      </c>
      <c r="Q84" s="3">
        <f>IF($G84="","",(P84-Y84)/F84*100)</f>
      </c>
      <c r="R84" s="3">
        <f>IF($G84="","",I84-O84)</f>
      </c>
      <c r="Z84" s="3">
        <f>IF($G84="","",P84-Y84)</f>
      </c>
    </row>
    <row r="85" spans="1:26" x14ac:dyDescent="0.25">
      <c r="A85" s="1"/>
      <c r="D85" s="2"/>
      <c r="F85" s="3"/>
      <c r="G85" s="3"/>
      <c r="H85" s="3">
        <f>IF($G85="","",G85-F85)</f>
      </c>
      <c r="I85" s="3">
        <f>IF($G85="","",H85*16.67%)</f>
      </c>
      <c r="J85" s="3">
        <f>IF($G85="","",G85*7%)</f>
      </c>
      <c r="K85" s="3">
        <f>IF($G85="","",J85*20%)</f>
      </c>
      <c r="L85" s="3"/>
      <c r="M85" s="3">
        <f>IF($G85="","",L85*20%)</f>
      </c>
      <c r="N85" s="3">
        <v>1</v>
      </c>
      <c r="O85" s="3">
        <f>IF($G85="","",K85+M85)</f>
      </c>
      <c r="P85" s="3">
        <f>IF($G85="","",H85-I85-J85-K85-L85-M85-N85)</f>
      </c>
      <c r="Q85" s="3">
        <f>IF($G85="","",(P85-Y85)/F85*100)</f>
      </c>
      <c r="R85" s="3">
        <f>IF($G85="","",I85-O85)</f>
      </c>
      <c r="Z85" s="3">
        <f>IF($G85="","",P85-Y85)</f>
      </c>
    </row>
    <row r="86" spans="1:26" x14ac:dyDescent="0.25">
      <c r="A86" s="1"/>
      <c r="D86" s="2"/>
      <c r="F86" s="3"/>
      <c r="G86" s="3"/>
      <c r="H86" s="3">
        <f>IF($G86="","",G86-F86)</f>
      </c>
      <c r="I86" s="3">
        <f>IF($G86="","",H86*16.67%)</f>
      </c>
      <c r="J86" s="3">
        <f>IF($G86="","",G86*7%)</f>
      </c>
      <c r="K86" s="3">
        <f>IF($G86="","",J86*20%)</f>
      </c>
      <c r="L86" s="3"/>
      <c r="M86" s="3">
        <f>IF($G86="","",L86*20%)</f>
      </c>
      <c r="N86" s="3">
        <v>1</v>
      </c>
      <c r="O86" s="3">
        <f>IF($G86="","",K86+M86)</f>
      </c>
      <c r="P86" s="3">
        <f>IF($G86="","",H86-I86-J86-K86-L86-M86-N86)</f>
      </c>
      <c r="Q86" s="3">
        <f>IF($G86="","",(P86-Y86)/F86*100)</f>
      </c>
      <c r="R86" s="3">
        <f>IF($G86="","",I86-O86)</f>
      </c>
      <c r="Z86" s="3">
        <f>IF($G86="","",P86-Y86)</f>
      </c>
    </row>
    <row r="87" spans="1:26" x14ac:dyDescent="0.25">
      <c r="A87" s="1"/>
      <c r="D87" s="2"/>
      <c r="F87" s="3"/>
      <c r="G87" s="3"/>
      <c r="H87" s="3">
        <f>IF($G87="","",G87-F87)</f>
      </c>
      <c r="I87" s="3">
        <f>IF($G87="","",H87*16.67%)</f>
      </c>
      <c r="J87" s="3">
        <f>IF($G87="","",G87*7%)</f>
      </c>
      <c r="K87" s="3">
        <f>IF($G87="","",J87*20%)</f>
      </c>
      <c r="L87" s="3"/>
      <c r="M87" s="3">
        <f>IF($G87="","",L87*20%)</f>
      </c>
      <c r="N87" s="3">
        <v>1</v>
      </c>
      <c r="O87" s="3">
        <f>IF($G87="","",K87+M87)</f>
      </c>
      <c r="P87" s="3">
        <f>IF($G87="","",H87-I87-J87-K87-L87-M87-N87)</f>
      </c>
      <c r="Q87" s="3">
        <f>IF($G87="","",(P87-Y87)/F87*100)</f>
      </c>
      <c r="R87" s="3">
        <f>IF($G87="","",I87-O87)</f>
      </c>
      <c r="Z87" s="3">
        <f>IF($G87="","",P87-Y87)</f>
      </c>
    </row>
    <row r="88" spans="1:26" x14ac:dyDescent="0.25">
      <c r="A88" s="1"/>
      <c r="D88" s="2"/>
      <c r="F88" s="3"/>
      <c r="G88" s="3"/>
      <c r="H88" s="3">
        <f>IF($G88="","",G88-F88)</f>
      </c>
      <c r="I88" s="3">
        <f>IF($G88="","",H88*16.67%)</f>
      </c>
      <c r="J88" s="3">
        <f>IF($G88="","",G88*7%)</f>
      </c>
      <c r="K88" s="3">
        <f>IF($G88="","",J88*20%)</f>
      </c>
      <c r="L88" s="3"/>
      <c r="M88" s="3">
        <f>IF($G88="","",L88*20%)</f>
      </c>
      <c r="N88" s="3">
        <v>1</v>
      </c>
      <c r="O88" s="3">
        <f>IF($G88="","",K88+M88)</f>
      </c>
      <c r="P88" s="3">
        <f>IF($G88="","",H88-I88-J88-K88-L88-M88-N88)</f>
      </c>
      <c r="Q88" s="3">
        <f>IF($G88="","",(P88-Y88)/F88*100)</f>
      </c>
      <c r="R88" s="3">
        <f>IF($G88="","",I88-O88)</f>
      </c>
      <c r="Z88" s="3">
        <f>IF($G88="","",P88-Y88)</f>
      </c>
    </row>
    <row r="89" spans="1:26" x14ac:dyDescent="0.25">
      <c r="A89" s="1"/>
      <c r="D89" s="2"/>
      <c r="F89" s="3"/>
      <c r="G89" s="3"/>
      <c r="H89" s="3">
        <f>IF($G89="","",G89-F89)</f>
      </c>
      <c r="I89" s="3">
        <f>IF($G89="","",H89*16.67%)</f>
      </c>
      <c r="J89" s="3">
        <f>IF($G89="","",G89*7%)</f>
      </c>
      <c r="K89" s="3">
        <f>IF($G89="","",J89*20%)</f>
      </c>
      <c r="L89" s="3"/>
      <c r="M89" s="3">
        <f>IF($G89="","",L89*20%)</f>
      </c>
      <c r="N89" s="3">
        <v>1</v>
      </c>
      <c r="O89" s="3">
        <f>IF($G89="","",K89+M89)</f>
      </c>
      <c r="P89" s="3">
        <f>IF($G89="","",H89-I89-J89-K89-L89-M89-N89)</f>
      </c>
      <c r="Q89" s="3">
        <f>IF($G89="","",(P89-Y89)/F89*100)</f>
      </c>
      <c r="R89" s="3">
        <f>IF($G89="","",I89-O89)</f>
      </c>
      <c r="Z89" s="3">
        <f>IF($G89="","",P89-Y89)</f>
      </c>
    </row>
    <row r="90" spans="1:26" x14ac:dyDescent="0.25">
      <c r="A90" s="1"/>
      <c r="D90" s="2"/>
      <c r="F90" s="3"/>
      <c r="G90" s="3"/>
      <c r="H90" s="3">
        <f>IF($G90="","",G90-F90)</f>
      </c>
      <c r="I90" s="3">
        <f>IF($G90="","",H90*16.67%)</f>
      </c>
      <c r="J90" s="3">
        <f>IF($G90="","",G90*7%)</f>
      </c>
      <c r="K90" s="3">
        <f>IF($G90="","",J90*20%)</f>
      </c>
      <c r="L90" s="3"/>
      <c r="M90" s="3">
        <f>IF($G90="","",L90*20%)</f>
      </c>
      <c r="N90" s="3">
        <v>1</v>
      </c>
      <c r="O90" s="3">
        <f>IF($G90="","",K90+M90)</f>
      </c>
      <c r="P90" s="3">
        <f>IF($G90="","",H90-I90-J90-K90-L90-M90-N90)</f>
      </c>
      <c r="Q90" s="3">
        <f>IF($G90="","",(P90-Y90)/F90*100)</f>
      </c>
      <c r="R90" s="3">
        <f>IF($G90="","",I90-O90)</f>
      </c>
      <c r="Z90" s="3">
        <f>IF($G90="","",P90-Y90)</f>
      </c>
    </row>
    <row r="91" spans="1:26" x14ac:dyDescent="0.25">
      <c r="A91" s="1"/>
      <c r="D91" s="2"/>
      <c r="F91" s="3"/>
      <c r="G91" s="3"/>
      <c r="H91" s="3">
        <f>IF($G91="","",G91-F91)</f>
      </c>
      <c r="I91" s="3">
        <f>IF($G91="","",H91*16.67%)</f>
      </c>
      <c r="J91" s="3">
        <f>IF($G91="","",G91*7%)</f>
      </c>
      <c r="K91" s="3">
        <f>IF($G91="","",J91*20%)</f>
      </c>
      <c r="L91" s="3"/>
      <c r="M91" s="3">
        <f>IF($G91="","",L91*20%)</f>
      </c>
      <c r="N91" s="3">
        <v>1</v>
      </c>
      <c r="O91" s="3">
        <f>IF($G91="","",K91+M91)</f>
      </c>
      <c r="P91" s="3">
        <f>IF($G91="","",H91-I91-J91-K91-L91-M91-N91)</f>
      </c>
      <c r="Q91" s="3">
        <f>IF($G91="","",(P91-Y91)/F91*100)</f>
      </c>
      <c r="R91" s="3">
        <f>IF($G91="","",I91-O91)</f>
      </c>
      <c r="Z91" s="3">
        <f>IF($G91="","",P91-Y91)</f>
      </c>
    </row>
    <row r="92" spans="1:26" x14ac:dyDescent="0.25">
      <c r="A92" s="1"/>
      <c r="D92" s="2"/>
      <c r="F92" s="3"/>
      <c r="G92" s="3"/>
      <c r="H92" s="3">
        <f>IF($G92="","",G92-F92)</f>
      </c>
      <c r="I92" s="3">
        <f>IF($G92="","",H92*16.67%)</f>
      </c>
      <c r="J92" s="3">
        <f>IF($G92="","",G92*7%)</f>
      </c>
      <c r="K92" s="3">
        <f>IF($G92="","",J92*20%)</f>
      </c>
      <c r="L92" s="3"/>
      <c r="M92" s="3">
        <f>IF($G92="","",L92*20%)</f>
      </c>
      <c r="N92" s="3">
        <v>1</v>
      </c>
      <c r="O92" s="3">
        <f>IF($G92="","",K92+M92)</f>
      </c>
      <c r="P92" s="3">
        <f>IF($G92="","",H92-I92-J92-K92-L92-M92-N92)</f>
      </c>
      <c r="Q92" s="3">
        <f>IF($G92="","",(P92-Y92)/F92*100)</f>
      </c>
      <c r="R92" s="3">
        <f>IF($G92="","",I92-O92)</f>
      </c>
      <c r="Z92" s="3">
        <f>IF($G92="","",P92-Y92)</f>
      </c>
    </row>
    <row r="93" spans="1:26" x14ac:dyDescent="0.25">
      <c r="A93" s="1"/>
      <c r="D93" s="2"/>
      <c r="F93" s="3"/>
      <c r="G93" s="3"/>
      <c r="H93" s="3">
        <f>IF($G93="","",G93-F93)</f>
      </c>
      <c r="I93" s="3">
        <f>IF($G93="","",H93*16.67%)</f>
      </c>
      <c r="J93" s="3">
        <f>IF($G93="","",G93*7%)</f>
      </c>
      <c r="K93" s="3">
        <f>IF($G93="","",J93*20%)</f>
      </c>
      <c r="L93" s="3"/>
      <c r="M93" s="3">
        <f>IF($G93="","",L93*20%)</f>
      </c>
      <c r="N93" s="3">
        <v>1</v>
      </c>
      <c r="O93" s="3">
        <f>IF($G93="","",K93+M93)</f>
      </c>
      <c r="P93" s="3">
        <f>IF($G93="","",H93-I93-J93-K93-L93-M93-N93)</f>
      </c>
      <c r="Q93" s="3">
        <f>IF($G93="","",(P93-Y93)/F93*100)</f>
      </c>
      <c r="R93" s="3">
        <f>IF($G93="","",I93-O93)</f>
      </c>
      <c r="Z93" s="3">
        <f>IF($G93="","",P93-Y93)</f>
      </c>
    </row>
    <row r="94" spans="1:26" x14ac:dyDescent="0.25">
      <c r="A94" s="1"/>
      <c r="D94" s="2"/>
      <c r="F94" s="3"/>
      <c r="G94" s="3"/>
      <c r="H94" s="3">
        <f>IF($G94="","",G94-F94)</f>
      </c>
      <c r="I94" s="3">
        <f>IF($G94="","",H94*16.67%)</f>
      </c>
      <c r="J94" s="3">
        <f>IF($G94="","",G94*7%)</f>
      </c>
      <c r="K94" s="3">
        <f>IF($G94="","",J94*20%)</f>
      </c>
      <c r="L94" s="3"/>
      <c r="M94" s="3">
        <f>IF($G94="","",L94*20%)</f>
      </c>
      <c r="N94" s="3">
        <v>1</v>
      </c>
      <c r="O94" s="3">
        <f>IF($G94="","",K94+M94)</f>
      </c>
      <c r="P94" s="3">
        <f>IF($G94="","",H94-I94-J94-K94-L94-M94-N94)</f>
      </c>
      <c r="Q94" s="3">
        <f>IF($G94="","",(P94-Y94)/F94*100)</f>
      </c>
      <c r="R94" s="3">
        <f>IF($G94="","",I94-O94)</f>
      </c>
      <c r="Z94" s="3">
        <f>IF($G94="","",P94-Y94)</f>
      </c>
    </row>
    <row r="95" spans="1:26" x14ac:dyDescent="0.25">
      <c r="A95" s="1"/>
      <c r="D95" s="2"/>
      <c r="F95" s="3"/>
      <c r="G95" s="3"/>
      <c r="H95" s="3">
        <f>IF($G95="","",G95-F95)</f>
      </c>
      <c r="I95" s="3">
        <f>IF($G95="","",H95*16.67%)</f>
      </c>
      <c r="J95" s="3">
        <f>IF($G95="","",G95*7%)</f>
      </c>
      <c r="K95" s="3">
        <f>IF($G95="","",J95*20%)</f>
      </c>
      <c r="L95" s="3"/>
      <c r="M95" s="3">
        <f>IF($G95="","",L95*20%)</f>
      </c>
      <c r="N95" s="3">
        <v>1</v>
      </c>
      <c r="O95" s="3">
        <f>IF($G95="","",K95+M95)</f>
      </c>
      <c r="P95" s="3">
        <f>IF($G95="","",H95-I95-J95-K95-L95-M95-N95)</f>
      </c>
      <c r="Q95" s="3">
        <f>IF($G95="","",(P95-Y95)/F95*100)</f>
      </c>
      <c r="R95" s="3">
        <f>IF($G95="","",I95-O95)</f>
      </c>
      <c r="Z95" s="3">
        <f>IF($G95="","",P95-Y95)</f>
      </c>
    </row>
    <row r="96" spans="1:26" x14ac:dyDescent="0.25">
      <c r="A96" s="1"/>
      <c r="D96" s="2"/>
      <c r="F96" s="3"/>
      <c r="G96" s="3"/>
      <c r="H96" s="3">
        <f>IF($G96="","",G96-F96)</f>
      </c>
      <c r="I96" s="3">
        <f>IF($G96="","",H96*16.67%)</f>
      </c>
      <c r="J96" s="3">
        <f>IF($G96="","",G96*7%)</f>
      </c>
      <c r="K96" s="3">
        <f>IF($G96="","",J96*20%)</f>
      </c>
      <c r="L96" s="3"/>
      <c r="M96" s="3">
        <f>IF($G96="","",L96*20%)</f>
      </c>
      <c r="N96" s="3">
        <v>1</v>
      </c>
      <c r="O96" s="3">
        <f>IF($G96="","",K96+M96)</f>
      </c>
      <c r="P96" s="3">
        <f>IF($G96="","",H96-I96-J96-K96-L96-M96-N96)</f>
      </c>
      <c r="Q96" s="3">
        <f>IF($G96="","",(P96-Y96)/F96*100)</f>
      </c>
      <c r="R96" s="3">
        <f>IF($G96="","",I96-O96)</f>
      </c>
      <c r="Z96" s="3">
        <f>IF($G96="","",P96-Y96)</f>
      </c>
    </row>
    <row r="97" spans="1:26" x14ac:dyDescent="0.25">
      <c r="A97" s="1"/>
      <c r="D97" s="2"/>
      <c r="F97" s="3"/>
      <c r="G97" s="3"/>
      <c r="H97" s="3">
        <f>IF($G97="","",G97-F97)</f>
      </c>
      <c r="I97" s="3">
        <f>IF($G97="","",H97*16.67%)</f>
      </c>
      <c r="J97" s="3">
        <f>IF($G97="","",G97*7%)</f>
      </c>
      <c r="K97" s="3">
        <f>IF($G97="","",J97*20%)</f>
      </c>
      <c r="L97" s="3"/>
      <c r="M97" s="3">
        <f>IF($G97="","",L97*20%)</f>
      </c>
      <c r="N97" s="3">
        <v>1</v>
      </c>
      <c r="O97" s="3">
        <f>IF($G97="","",K97+M97)</f>
      </c>
      <c r="P97" s="3">
        <f>IF($G97="","",H97-I97-J97-K97-L97-M97-N97)</f>
      </c>
      <c r="Q97" s="3">
        <f>IF($G97="","",(P97-Y97)/F97*100)</f>
      </c>
      <c r="R97" s="3">
        <f>IF($G97="","",I97-O97)</f>
      </c>
      <c r="Z97" s="3">
        <f>IF($G97="","",P97-Y97)</f>
      </c>
    </row>
    <row r="98" spans="1:26" x14ac:dyDescent="0.25">
      <c r="A98" s="1"/>
      <c r="D98" s="2"/>
      <c r="F98" s="3"/>
      <c r="G98" s="3"/>
      <c r="H98" s="3">
        <f>IF($G98="","",G98-F98)</f>
      </c>
      <c r="I98" s="3">
        <f>IF($G98="","",H98*16.67%)</f>
      </c>
      <c r="J98" s="3">
        <f>IF($G98="","",G98*7%)</f>
      </c>
      <c r="K98" s="3">
        <f>IF($G98="","",J98*20%)</f>
      </c>
      <c r="L98" s="3"/>
      <c r="M98" s="3">
        <f>IF($G98="","",L98*20%)</f>
      </c>
      <c r="N98" s="3">
        <v>1</v>
      </c>
      <c r="O98" s="3">
        <f>IF($G98="","",K98+M98)</f>
      </c>
      <c r="P98" s="3">
        <f>IF($G98="","",H98-I98-J98-K98-L98-M98-N98)</f>
      </c>
      <c r="Q98" s="3">
        <f>IF($G98="","",(P98-Y98)/F98*100)</f>
      </c>
      <c r="R98" s="3">
        <f>IF($G98="","",I98-O98)</f>
      </c>
      <c r="Z98" s="3">
        <f>IF($G98="","",P98-Y98)</f>
      </c>
    </row>
    <row r="99" spans="1:26" x14ac:dyDescent="0.25">
      <c r="A99" s="1"/>
      <c r="D99" s="2"/>
      <c r="F99" s="3"/>
      <c r="G99" s="3"/>
      <c r="H99" s="3">
        <f>IF($G99="","",G99-F99)</f>
      </c>
      <c r="I99" s="3">
        <f>IF($G99="","",H99*16.67%)</f>
      </c>
      <c r="J99" s="3">
        <f>IF($G99="","",G99*7%)</f>
      </c>
      <c r="K99" s="3">
        <f>IF($G99="","",J99*20%)</f>
      </c>
      <c r="L99" s="3"/>
      <c r="M99" s="3">
        <f>IF($G99="","",L99*20%)</f>
      </c>
      <c r="N99" s="3">
        <v>1</v>
      </c>
      <c r="O99" s="3">
        <f>IF($G99="","",K99+M99)</f>
      </c>
      <c r="P99" s="3">
        <f>IF($G99="","",H99-I99-J99-K99-L99-M99-N99)</f>
      </c>
      <c r="Q99" s="3">
        <f>IF($G99="","",(P99-Y99)/F99*100)</f>
      </c>
      <c r="R99" s="3">
        <f>IF($G99="","",I99-O99)</f>
      </c>
      <c r="Z99" s="3">
        <f>IF($G99="","",P99-Y99)</f>
      </c>
    </row>
    <row r="100" spans="1:26" x14ac:dyDescent="0.25">
      <c r="A100" s="1"/>
      <c r="D100" s="2"/>
      <c r="F100" s="3"/>
      <c r="G100" s="3"/>
      <c r="H100" s="3">
        <f>IF($G100="","",G100-F100)</f>
      </c>
      <c r="I100" s="3">
        <f>IF($G100="","",H100*16.67%)</f>
      </c>
      <c r="J100" s="3">
        <f>IF($G100="","",G100*7%)</f>
      </c>
      <c r="K100" s="3">
        <f>IF($G100="","",J100*20%)</f>
      </c>
      <c r="L100" s="3"/>
      <c r="M100" s="3">
        <f>IF($G100="","",L100*20%)</f>
      </c>
      <c r="N100" s="3">
        <v>1</v>
      </c>
      <c r="O100" s="3">
        <f>IF($G100="","",K100+M100)</f>
      </c>
      <c r="P100" s="3">
        <f>IF($G100="","",H100-I100-J100-K100-L100-M100-N100)</f>
      </c>
      <c r="Q100" s="3">
        <f>IF($G100="","",(P100-Y100)/F100*100)</f>
      </c>
      <c r="R100" s="3">
        <f>IF($G100="","",I100-O100)</f>
      </c>
      <c r="Z100" s="3">
        <f>IF($G100="","",P100-Y100)</f>
      </c>
    </row>
    <row r="101" spans="1:26" x14ac:dyDescent="0.25">
      <c r="A101" s="1"/>
      <c r="D101" s="2"/>
      <c r="F101" s="3"/>
      <c r="G101" s="3"/>
      <c r="H101" s="3">
        <f>IF($G101="","",G101-F101)</f>
      </c>
      <c r="I101" s="3">
        <f>IF($G101="","",H101*16.67%)</f>
      </c>
      <c r="J101" s="3">
        <f>IF($G101="","",G101*7%)</f>
      </c>
      <c r="K101" s="3">
        <f>IF($G101="","",J101*20%)</f>
      </c>
      <c r="L101" s="3"/>
      <c r="M101" s="3">
        <f>IF($G101="","",L101*20%)</f>
      </c>
      <c r="N101" s="3">
        <v>1</v>
      </c>
      <c r="O101" s="3">
        <f>IF($G101="","",K101+M101)</f>
      </c>
      <c r="P101" s="3">
        <f>IF($G101="","",H101-I101-J101-K101-L101-M101-N101)</f>
      </c>
      <c r="Q101" s="3">
        <f>IF($G101="","",(P101-Y101)/F101*100)</f>
      </c>
      <c r="R101" s="3">
        <f>IF($G101="","",I101-O101)</f>
      </c>
      <c r="Z101" s="3">
        <f>IF($G101="","",P101-Y101)</f>
      </c>
    </row>
    <row r="102" spans="1:26" x14ac:dyDescent="0.25">
      <c r="A102" s="1"/>
      <c r="D102" s="2"/>
      <c r="F102" s="3"/>
      <c r="G102" s="3"/>
      <c r="H102" s="3">
        <f>IF($G102="","",G102-F102)</f>
      </c>
      <c r="I102" s="3">
        <f>IF($G102="","",H102*16.67%)</f>
      </c>
      <c r="J102" s="3">
        <f>IF($G102="","",G102*7%)</f>
      </c>
      <c r="K102" s="3">
        <f>IF($G102="","",J102*20%)</f>
      </c>
      <c r="L102" s="3"/>
      <c r="M102" s="3">
        <f>IF($G102="","",L102*20%)</f>
      </c>
      <c r="N102" s="3">
        <v>1</v>
      </c>
      <c r="O102" s="3">
        <f>IF($G102="","",K102+M102)</f>
      </c>
      <c r="P102" s="3">
        <f>IF($G102="","",H102-I102-J102-K102-L102-M102-N102)</f>
      </c>
      <c r="Q102" s="3">
        <f>IF($G102="","",(P102-Y102)/F102*100)</f>
      </c>
      <c r="R102" s="3">
        <f>IF($G102="","",I102-O102)</f>
      </c>
      <c r="Z102" s="3">
        <f>IF($G102="","",P102-Y102)</f>
      </c>
    </row>
    <row r="103" spans="1:26" x14ac:dyDescent="0.25">
      <c r="A103" s="1"/>
      <c r="D103" s="2"/>
      <c r="F103" s="3"/>
      <c r="G103" s="3"/>
      <c r="H103" s="3">
        <f>IF($G103="","",G103-F103)</f>
      </c>
      <c r="I103" s="3">
        <f>IF($G103="","",H103*16.67%)</f>
      </c>
      <c r="J103" s="3">
        <f>IF($G103="","",G103*7%)</f>
      </c>
      <c r="K103" s="3">
        <f>IF($G103="","",J103*20%)</f>
      </c>
      <c r="L103" s="3"/>
      <c r="M103" s="3">
        <f>IF($G103="","",L103*20%)</f>
      </c>
      <c r="N103" s="3">
        <v>1</v>
      </c>
      <c r="O103" s="3">
        <f>IF($G103="","",K103+M103)</f>
      </c>
      <c r="P103" s="3">
        <f>IF($G103="","",H103-I103-J103-K103-L103-M103-N103)</f>
      </c>
      <c r="Q103" s="3">
        <f>IF($G103="","",(P103-Y103)/F103*100)</f>
      </c>
      <c r="R103" s="3">
        <f>IF($G103="","",I103-O103)</f>
      </c>
      <c r="Z103" s="3">
        <f>IF($G103="","",P103-Y103)</f>
      </c>
    </row>
    <row r="104" spans="1:26" x14ac:dyDescent="0.25">
      <c r="A104" s="1"/>
      <c r="D104" s="2"/>
      <c r="F104" s="3"/>
      <c r="G104" s="3"/>
      <c r="H104" s="3">
        <f>IF($G104="","",G104-F104)</f>
      </c>
      <c r="I104" s="3">
        <f>IF($G104="","",H104*16.67%)</f>
      </c>
      <c r="J104" s="3">
        <f>IF($G104="","",G104*7%)</f>
      </c>
      <c r="K104" s="3">
        <f>IF($G104="","",J104*20%)</f>
      </c>
      <c r="L104" s="3"/>
      <c r="M104" s="3">
        <f>IF($G104="","",L104*20%)</f>
      </c>
      <c r="N104" s="3">
        <v>1</v>
      </c>
      <c r="O104" s="3">
        <f>IF($G104="","",K104+M104)</f>
      </c>
      <c r="P104" s="3">
        <f>IF($G104="","",H104-I104-J104-K104-L104-M104-N104)</f>
      </c>
      <c r="Q104" s="3">
        <f>IF($G104="","",(P104-Y104)/F104*100)</f>
      </c>
      <c r="R104" s="3">
        <f>IF($G104="","",I104-O104)</f>
      </c>
      <c r="Z104" s="3">
        <f>IF($G104="","",P104-Y104)</f>
      </c>
    </row>
    <row r="105" spans="1:26" x14ac:dyDescent="0.25">
      <c r="A105" s="1"/>
      <c r="D105" s="2"/>
      <c r="F105" s="3"/>
      <c r="G105" s="3"/>
      <c r="H105" s="3">
        <f>IF($G105="","",G105-F105)</f>
      </c>
      <c r="I105" s="3">
        <f>IF($G105="","",H105*16.67%)</f>
      </c>
      <c r="J105" s="3">
        <f>IF($G105="","",G105*7%)</f>
      </c>
      <c r="K105" s="3">
        <f>IF($G105="","",J105*20%)</f>
      </c>
      <c r="L105" s="3"/>
      <c r="M105" s="3">
        <f>IF($G105="","",L105*20%)</f>
      </c>
      <c r="N105" s="3">
        <v>1</v>
      </c>
      <c r="O105" s="3">
        <f>IF($G105="","",K105+M105)</f>
      </c>
      <c r="P105" s="3">
        <f>IF($G105="","",H105-I105-J105-K105-L105-M105-N105)</f>
      </c>
      <c r="Q105" s="3">
        <f>IF($G105="","",(P105-Y105)/F105*100)</f>
      </c>
      <c r="R105" s="3">
        <f>IF($G105="","",I105-O105)</f>
      </c>
      <c r="Z105" s="3">
        <f>IF($G105="","",P105-Y105)</f>
      </c>
    </row>
    <row r="106" spans="1:26" x14ac:dyDescent="0.25">
      <c r="A106" s="1"/>
      <c r="D106" s="2"/>
      <c r="F106" s="3"/>
      <c r="G106" s="3"/>
      <c r="H106" s="3">
        <f>IF($G106="","",G106-F106)</f>
      </c>
      <c r="I106" s="3">
        <f>IF($G106="","",H106*16.67%)</f>
      </c>
      <c r="J106" s="3">
        <f>IF($G106="","",G106*7%)</f>
      </c>
      <c r="K106" s="3">
        <f>IF($G106="","",J106*20%)</f>
      </c>
      <c r="L106" s="3"/>
      <c r="M106" s="3">
        <f>IF($G106="","",L106*20%)</f>
      </c>
      <c r="N106" s="3">
        <v>1</v>
      </c>
      <c r="O106" s="3">
        <f>IF($G106="","",K106+M106)</f>
      </c>
      <c r="P106" s="3">
        <f>IF($G106="","",H106-I106-J106-K106-L106-M106-N106)</f>
      </c>
      <c r="Q106" s="3">
        <f>IF($G106="","",(P106-Y106)/F106*100)</f>
      </c>
      <c r="R106" s="3">
        <f>IF($G106="","",I106-O106)</f>
      </c>
      <c r="Z106" s="3">
        <f>IF($G106="","",P106-Y106)</f>
      </c>
    </row>
    <row r="107" spans="1:26" x14ac:dyDescent="0.25">
      <c r="A107" s="1"/>
      <c r="D107" s="2"/>
      <c r="F107" s="3"/>
      <c r="G107" s="3"/>
      <c r="H107" s="3">
        <f>IF($G107="","",G107-F107)</f>
      </c>
      <c r="I107" s="3">
        <f>IF($G107="","",H107*16.67%)</f>
      </c>
      <c r="J107" s="3">
        <f>IF($G107="","",G107*7%)</f>
      </c>
      <c r="K107" s="3">
        <f>IF($G107="","",J107*20%)</f>
      </c>
      <c r="L107" s="3"/>
      <c r="M107" s="3">
        <f>IF($G107="","",L107*20%)</f>
      </c>
      <c r="N107" s="3">
        <v>1</v>
      </c>
      <c r="O107" s="3">
        <f>IF($G107="","",K107+M107)</f>
      </c>
      <c r="P107" s="3">
        <f>IF($G107="","",H107-I107-J107-K107-L107-M107-N107)</f>
      </c>
      <c r="Q107" s="3">
        <f>IF($G107="","",(P107-Y107)/F107*100)</f>
      </c>
      <c r="R107" s="3">
        <f>IF($G107="","",I107-O107)</f>
      </c>
      <c r="Z107" s="3">
        <f>IF($G107="","",P107-Y107)</f>
      </c>
    </row>
    <row r="108" spans="1:26" x14ac:dyDescent="0.25">
      <c r="A108" s="1"/>
      <c r="D108" s="2"/>
      <c r="F108" s="3"/>
      <c r="G108" s="3"/>
      <c r="H108" s="3">
        <f>IF($G108="","",G108-F108)</f>
      </c>
      <c r="I108" s="3">
        <f>IF($G108="","",H108*16.67%)</f>
      </c>
      <c r="J108" s="3">
        <f>IF($G108="","",G108*7%)</f>
      </c>
      <c r="K108" s="3">
        <f>IF($G108="","",J108*20%)</f>
      </c>
      <c r="L108" s="3"/>
      <c r="M108" s="3">
        <f>IF($G108="","",L108*20%)</f>
      </c>
      <c r="N108" s="3">
        <v>1</v>
      </c>
      <c r="O108" s="3">
        <f>IF($G108="","",K108+M108)</f>
      </c>
      <c r="P108" s="3">
        <f>IF($G108="","",H108-I108-J108-K108-L108-M108-N108)</f>
      </c>
      <c r="Q108" s="3">
        <f>IF($G108="","",(P108-Y108)/F108*100)</f>
      </c>
      <c r="R108" s="3">
        <f>IF($G108="","",I108-O108)</f>
      </c>
      <c r="Z108" s="3">
        <f>IF($G108="","",P108-Y108)</f>
      </c>
    </row>
    <row r="109" spans="1:26" x14ac:dyDescent="0.25">
      <c r="A109" s="1"/>
      <c r="D109" s="2"/>
      <c r="F109" s="3"/>
      <c r="G109" s="3"/>
      <c r="H109" s="3">
        <f>IF($G109="","",G109-F109)</f>
      </c>
      <c r="I109" s="3">
        <f>IF($G109="","",H109*16.67%)</f>
      </c>
      <c r="J109" s="3">
        <f>IF($G109="","",G109*7%)</f>
      </c>
      <c r="K109" s="3">
        <f>IF($G109="","",J109*20%)</f>
      </c>
      <c r="L109" s="3"/>
      <c r="M109" s="3">
        <f>IF($G109="","",L109*20%)</f>
      </c>
      <c r="N109" s="3">
        <v>1</v>
      </c>
      <c r="O109" s="3">
        <f>IF($G109="","",K109+M109)</f>
      </c>
      <c r="P109" s="3">
        <f>IF($G109="","",H109-I109-J109-K109-L109-M109-N109)</f>
      </c>
      <c r="Q109" s="3">
        <f>IF($G109="","",(P109-Y109)/F109*100)</f>
      </c>
      <c r="R109" s="3">
        <f>IF($G109="","",I109-O109)</f>
      </c>
      <c r="Z109" s="3">
        <f>IF($G109="","",P109-Y109)</f>
      </c>
    </row>
    <row r="110" spans="1:26" x14ac:dyDescent="0.25">
      <c r="A110" s="1"/>
      <c r="D110" s="2"/>
      <c r="F110" s="3"/>
      <c r="G110" s="3"/>
      <c r="H110" s="3">
        <f>IF($G110="","",G110-F110)</f>
      </c>
      <c r="I110" s="3">
        <f>IF($G110="","",H110*16.67%)</f>
      </c>
      <c r="J110" s="3">
        <f>IF($G110="","",G110*7%)</f>
      </c>
      <c r="K110" s="3">
        <f>IF($G110="","",J110*20%)</f>
      </c>
      <c r="L110" s="3"/>
      <c r="M110" s="3">
        <f>IF($G110="","",L110*20%)</f>
      </c>
      <c r="N110" s="3">
        <v>1</v>
      </c>
      <c r="O110" s="3">
        <f>IF($G110="","",K110+M110)</f>
      </c>
      <c r="P110" s="3">
        <f>IF($G110="","",H110-I110-J110-K110-L110-M110-N110)</f>
      </c>
      <c r="Q110" s="3">
        <f>IF($G110="","",(P110-Y110)/F110*100)</f>
      </c>
      <c r="R110" s="3">
        <f>IF($G110="","",I110-O110)</f>
      </c>
      <c r="Z110" s="3">
        <f>IF($G110="","",P110-Y110)</f>
      </c>
    </row>
    <row r="111" spans="1:26" x14ac:dyDescent="0.25">
      <c r="A111" s="1"/>
      <c r="D111" s="2"/>
      <c r="F111" s="3"/>
      <c r="G111" s="3"/>
      <c r="H111" s="3">
        <f>IF($G111="","",G111-F111)</f>
      </c>
      <c r="I111" s="3">
        <f>IF($G111="","",H111*16.67%)</f>
      </c>
      <c r="J111" s="3">
        <f>IF($G111="","",G111*7%)</f>
      </c>
      <c r="K111" s="3">
        <f>IF($G111="","",J111*20%)</f>
      </c>
      <c r="L111" s="3"/>
      <c r="M111" s="3">
        <f>IF($G111="","",L111*20%)</f>
      </c>
      <c r="N111" s="3">
        <v>1</v>
      </c>
      <c r="O111" s="3">
        <f>IF($G111="","",K111+M111)</f>
      </c>
      <c r="P111" s="3">
        <f>IF($G111="","",H111-I111-J111-K111-L111-M111-N111)</f>
      </c>
      <c r="Q111" s="3">
        <f>IF($G111="","",(P111-Y111)/F111*100)</f>
      </c>
      <c r="R111" s="3">
        <f>IF($G111="","",I111-O111)</f>
      </c>
      <c r="Z111" s="3">
        <f>IF($G111="","",P111-Y111)</f>
      </c>
    </row>
    <row r="112" spans="1:26" x14ac:dyDescent="0.25">
      <c r="A112" s="1"/>
      <c r="D112" s="2"/>
      <c r="F112" s="3"/>
      <c r="G112" s="3"/>
      <c r="H112" s="3">
        <f>IF($G112="","",G112-F112)</f>
      </c>
      <c r="I112" s="3">
        <f>IF($G112="","",H112*16.67%)</f>
      </c>
      <c r="J112" s="3">
        <f>IF($G112="","",G112*7%)</f>
      </c>
      <c r="K112" s="3">
        <f>IF($G112="","",J112*20%)</f>
      </c>
      <c r="L112" s="3"/>
      <c r="M112" s="3">
        <f>IF($G112="","",L112*20%)</f>
      </c>
      <c r="N112" s="3">
        <v>1</v>
      </c>
      <c r="O112" s="3">
        <f>IF($G112="","",K112+M112)</f>
      </c>
      <c r="P112" s="3">
        <f>IF($G112="","",H112-I112-J112-K112-L112-M112-N112)</f>
      </c>
      <c r="Q112" s="3">
        <f>IF($G112="","",(P112-Y112)/F112*100)</f>
      </c>
      <c r="R112" s="3">
        <f>IF($G112="","",I112-O112)</f>
      </c>
      <c r="Z112" s="3">
        <f>IF($G112="","",P112-Y112)</f>
      </c>
    </row>
    <row r="113" spans="1:26" x14ac:dyDescent="0.25">
      <c r="A113" s="1"/>
      <c r="D113" s="2"/>
      <c r="F113" s="3"/>
      <c r="G113" s="3"/>
      <c r="H113" s="3">
        <f>IF($G113="","",G113-F113)</f>
      </c>
      <c r="I113" s="3">
        <f>IF($G113="","",H113*16.67%)</f>
      </c>
      <c r="J113" s="3">
        <f>IF($G113="","",G113*7%)</f>
      </c>
      <c r="K113" s="3">
        <f>IF($G113="","",J113*20%)</f>
      </c>
      <c r="L113" s="3"/>
      <c r="M113" s="3">
        <f>IF($G113="","",L113*20%)</f>
      </c>
      <c r="N113" s="3">
        <v>1</v>
      </c>
      <c r="O113" s="3">
        <f>IF($G113="","",K113+M113)</f>
      </c>
      <c r="P113" s="3">
        <f>IF($G113="","",H113-I113-J113-K113-L113-M113-N113)</f>
      </c>
      <c r="Q113" s="3">
        <f>IF($G113="","",(P113-Y113)/F113*100)</f>
      </c>
      <c r="R113" s="3">
        <f>IF($G113="","",I113-O113)</f>
      </c>
      <c r="Z113" s="3">
        <f>IF($G113="","",P113-Y113)</f>
      </c>
    </row>
    <row r="114" spans="1:26" x14ac:dyDescent="0.25">
      <c r="A114" s="1"/>
      <c r="D114" s="2"/>
      <c r="F114" s="3"/>
      <c r="G114" s="3"/>
      <c r="H114" s="3">
        <f>IF($G114="","",G114-F114)</f>
      </c>
      <c r="I114" s="3">
        <f>IF($G114="","",H114*16.67%)</f>
      </c>
      <c r="J114" s="3">
        <f>IF($G114="","",G114*7%)</f>
      </c>
      <c r="K114" s="3">
        <f>IF($G114="","",J114*20%)</f>
      </c>
      <c r="L114" s="3"/>
      <c r="M114" s="3">
        <f>IF($G114="","",L114*20%)</f>
      </c>
      <c r="N114" s="3">
        <v>1</v>
      </c>
      <c r="O114" s="3">
        <f>IF($G114="","",K114+M114)</f>
      </c>
      <c r="P114" s="3">
        <f>IF($G114="","",H114-I114-J114-K114-L114-M114-N114)</f>
      </c>
      <c r="Q114" s="3">
        <f>IF($G114="","",(P114-Y114)/F114*100)</f>
      </c>
      <c r="R114" s="3">
        <f>IF($G114="","",I114-O114)</f>
      </c>
      <c r="Z114" s="3">
        <f>IF($G114="","",P114-Y114)</f>
      </c>
    </row>
    <row r="115" spans="1:26" x14ac:dyDescent="0.25">
      <c r="A115" s="1"/>
      <c r="D115" s="2"/>
      <c r="F115" s="3"/>
      <c r="G115" s="3"/>
      <c r="H115" s="3">
        <f>IF($G115="","",G115-F115)</f>
      </c>
      <c r="I115" s="3">
        <f>IF($G115="","",H115*16.67%)</f>
      </c>
      <c r="J115" s="3">
        <f>IF($G115="","",G115*7%)</f>
      </c>
      <c r="K115" s="3">
        <f>IF($G115="","",J115*20%)</f>
      </c>
      <c r="L115" s="3"/>
      <c r="M115" s="3">
        <f>IF($G115="","",L115*20%)</f>
      </c>
      <c r="N115" s="3">
        <v>1</v>
      </c>
      <c r="O115" s="3">
        <f>IF($G115="","",K115+M115)</f>
      </c>
      <c r="P115" s="3">
        <f>IF($G115="","",H115-I115-J115-K115-L115-M115-N115)</f>
      </c>
      <c r="Q115" s="3">
        <f>IF($G115="","",(P115-Y115)/F115*100)</f>
      </c>
      <c r="R115" s="3">
        <f>IF($G115="","",I115-O115)</f>
      </c>
      <c r="Z115" s="3">
        <f>IF($G115="","",P115-Y115)</f>
      </c>
    </row>
    <row r="116" spans="1:26" x14ac:dyDescent="0.25">
      <c r="A116" s="1"/>
      <c r="D116" s="2"/>
      <c r="F116" s="3"/>
      <c r="G116" s="3"/>
      <c r="H116" s="3">
        <f>IF($G116="","",G116-F116)</f>
      </c>
      <c r="I116" s="3">
        <f>IF($G116="","",H116*16.67%)</f>
      </c>
      <c r="J116" s="3">
        <f>IF($G116="","",G116*7%)</f>
      </c>
      <c r="K116" s="3">
        <f>IF($G116="","",J116*20%)</f>
      </c>
      <c r="L116" s="3"/>
      <c r="M116" s="3">
        <f>IF($G116="","",L116*20%)</f>
      </c>
      <c r="N116" s="3">
        <v>1</v>
      </c>
      <c r="O116" s="3">
        <f>IF($G116="","",K116+M116)</f>
      </c>
      <c r="P116" s="3">
        <f>IF($G116="","",H116-I116-J116-K116-L116-M116-N116)</f>
      </c>
      <c r="Q116" s="3">
        <f>IF($G116="","",(P116-Y116)/F116*100)</f>
      </c>
      <c r="R116" s="3">
        <f>IF($G116="","",I116-O116)</f>
      </c>
      <c r="Z116" s="3">
        <f>IF($G116="","",P116-Y116)</f>
      </c>
    </row>
    <row r="117" spans="1:26" x14ac:dyDescent="0.25">
      <c r="A117" s="1"/>
      <c r="D117" s="2"/>
      <c r="F117" s="3"/>
      <c r="G117" s="3"/>
      <c r="H117" s="3">
        <f>IF($G117="","",G117-F117)</f>
      </c>
      <c r="I117" s="3">
        <f>IF($G117="","",H117*16.67%)</f>
      </c>
      <c r="J117" s="3">
        <f>IF($G117="","",G117*7%)</f>
      </c>
      <c r="K117" s="3">
        <f>IF($G117="","",J117*20%)</f>
      </c>
      <c r="L117" s="3"/>
      <c r="M117" s="3">
        <f>IF($G117="","",L117*20%)</f>
      </c>
      <c r="N117" s="3">
        <v>1</v>
      </c>
      <c r="O117" s="3">
        <f>IF($G117="","",K117+M117)</f>
      </c>
      <c r="P117" s="3">
        <f>IF($G117="","",H117-I117-J117-K117-L117-M117-N117)</f>
      </c>
      <c r="Q117" s="3">
        <f>IF($G117="","",(P117-Y117)/F117*100)</f>
      </c>
      <c r="R117" s="3">
        <f>IF($G117="","",I117-O117)</f>
      </c>
      <c r="Z117" s="3">
        <f>IF($G117="","",P117-Y117)</f>
      </c>
    </row>
    <row r="118" spans="1:26" x14ac:dyDescent="0.25">
      <c r="A118" s="1"/>
      <c r="D118" s="2"/>
      <c r="F118" s="3"/>
      <c r="G118" s="3"/>
      <c r="H118" s="3">
        <f>IF($G118="","",G118-F118)</f>
      </c>
      <c r="I118" s="3">
        <f>IF($G118="","",H118*16.67%)</f>
      </c>
      <c r="J118" s="3">
        <f>IF($G118="","",G118*7%)</f>
      </c>
      <c r="K118" s="3">
        <f>IF($G118="","",J118*20%)</f>
      </c>
      <c r="L118" s="3"/>
      <c r="M118" s="3">
        <f>IF($G118="","",L118*20%)</f>
      </c>
      <c r="N118" s="3">
        <v>1</v>
      </c>
      <c r="O118" s="3">
        <f>IF($G118="","",K118+M118)</f>
      </c>
      <c r="P118" s="3">
        <f>IF($G118="","",H118-I118-J118-K118-L118-M118-N118)</f>
      </c>
      <c r="Q118" s="3">
        <f>IF($G118="","",(P118-Y118)/F118*100)</f>
      </c>
      <c r="R118" s="3">
        <f>IF($G118="","",I118-O118)</f>
      </c>
      <c r="Z118" s="3">
        <f>IF($G118="","",P118-Y118)</f>
      </c>
    </row>
    <row r="119" spans="1:26" x14ac:dyDescent="0.25">
      <c r="A119" s="1"/>
      <c r="D119" s="2"/>
      <c r="F119" s="3"/>
      <c r="G119" s="3"/>
      <c r="H119" s="3">
        <f>IF($G119="","",G119-F119)</f>
      </c>
      <c r="I119" s="3">
        <f>IF($G119="","",H119*16.67%)</f>
      </c>
      <c r="J119" s="3">
        <f>IF($G119="","",G119*7%)</f>
      </c>
      <c r="K119" s="3">
        <f>IF($G119="","",J119*20%)</f>
      </c>
      <c r="L119" s="3"/>
      <c r="M119" s="3">
        <f>IF($G119="","",L119*20%)</f>
      </c>
      <c r="N119" s="3">
        <v>1</v>
      </c>
      <c r="O119" s="3">
        <f>IF($G119="","",K119+M119)</f>
      </c>
      <c r="P119" s="3">
        <f>IF($G119="","",H119-I119-J119-K119-L119-M119-N119)</f>
      </c>
      <c r="Q119" s="3">
        <f>IF($G119="","",(P119-Y119)/F119*100)</f>
      </c>
      <c r="R119" s="3">
        <f>IF($G119="","",I119-O119)</f>
      </c>
      <c r="Z119" s="3">
        <f>IF($G119="","",P119-Y119)</f>
      </c>
    </row>
    <row r="120" spans="1:26" x14ac:dyDescent="0.25">
      <c r="A120" s="1"/>
      <c r="D120" s="2"/>
      <c r="F120" s="3"/>
      <c r="G120" s="3"/>
      <c r="H120" s="3">
        <f>IF($G120="","",G120-F120)</f>
      </c>
      <c r="I120" s="3">
        <f>IF($G120="","",H120*16.67%)</f>
      </c>
      <c r="J120" s="3">
        <f>IF($G120="","",G120*7%)</f>
      </c>
      <c r="K120" s="3">
        <f>IF($G120="","",J120*20%)</f>
      </c>
      <c r="L120" s="3"/>
      <c r="M120" s="3">
        <f>IF($G120="","",L120*20%)</f>
      </c>
      <c r="N120" s="3">
        <v>1</v>
      </c>
      <c r="O120" s="3">
        <f>IF($G120="","",K120+M120)</f>
      </c>
      <c r="P120" s="3">
        <f>IF($G120="","",H120-I120-J120-K120-L120-M120-N120)</f>
      </c>
      <c r="Q120" s="3">
        <f>IF($G120="","",(P120-Y120)/F120*100)</f>
      </c>
      <c r="R120" s="3">
        <f>IF($G120="","",I120-O120)</f>
      </c>
      <c r="Z120" s="3">
        <f>IF($G120="","",P120-Y120)</f>
      </c>
    </row>
    <row r="121" spans="1:26" x14ac:dyDescent="0.25">
      <c r="A121" s="1"/>
      <c r="D121" s="2"/>
      <c r="F121" s="3"/>
      <c r="G121" s="3"/>
      <c r="H121" s="3">
        <f>IF($G121="","",G121-F121)</f>
      </c>
      <c r="I121" s="3">
        <f>IF($G121="","",H121*16.67%)</f>
      </c>
      <c r="J121" s="3">
        <f>IF($G121="","",G121*7%)</f>
      </c>
      <c r="K121" s="3">
        <f>IF($G121="","",J121*20%)</f>
      </c>
      <c r="L121" s="3"/>
      <c r="M121" s="3">
        <f>IF($G121="","",L121*20%)</f>
      </c>
      <c r="N121" s="3">
        <v>1</v>
      </c>
      <c r="O121" s="3">
        <f>IF($G121="","",K121+M121)</f>
      </c>
      <c r="P121" s="3">
        <f>IF($G121="","",H121-I121-J121-K121-L121-M121-N121)</f>
      </c>
      <c r="Q121" s="3">
        <f>IF($G121="","",(P121-Y121)/F121*100)</f>
      </c>
      <c r="R121" s="3">
        <f>IF($G121="","",I121-O121)</f>
      </c>
      <c r="Z121" s="3">
        <f>IF($G121="","",P121-Y121)</f>
      </c>
    </row>
    <row r="122" spans="1:26" x14ac:dyDescent="0.25">
      <c r="A122" s="1"/>
      <c r="D122" s="2"/>
      <c r="F122" s="3"/>
      <c r="G122" s="3"/>
      <c r="H122" s="3">
        <f>IF($G122="","",G122-F122)</f>
      </c>
      <c r="I122" s="3">
        <f>IF($G122="","",H122*16.67%)</f>
      </c>
      <c r="J122" s="3">
        <f>IF($G122="","",G122*7%)</f>
      </c>
      <c r="K122" s="3">
        <f>IF($G122="","",J122*20%)</f>
      </c>
      <c r="L122" s="3"/>
      <c r="M122" s="3">
        <f>IF($G122="","",L122*20%)</f>
      </c>
      <c r="N122" s="3">
        <v>1</v>
      </c>
      <c r="O122" s="3">
        <f>IF($G122="","",K122+M122)</f>
      </c>
      <c r="P122" s="3">
        <f>IF($G122="","",H122-I122-J122-K122-L122-M122-N122)</f>
      </c>
      <c r="Q122" s="3">
        <f>IF($G122="","",(P122-Y122)/F122*100)</f>
      </c>
      <c r="R122" s="3">
        <f>IF($G122="","",I122-O122)</f>
      </c>
      <c r="Z122" s="3">
        <f>IF($G122="","",P122-Y122)</f>
      </c>
    </row>
    <row r="123" spans="1:26" x14ac:dyDescent="0.25">
      <c r="A123" s="1"/>
      <c r="D123" s="2"/>
      <c r="F123" s="3"/>
      <c r="G123" s="3"/>
      <c r="H123" s="3">
        <f>IF($G123="","",G123-F123)</f>
      </c>
      <c r="I123" s="3">
        <f>IF($G123="","",H123*16.67%)</f>
      </c>
      <c r="J123" s="3">
        <f>IF($G123="","",G123*7%)</f>
      </c>
      <c r="K123" s="3">
        <f>IF($G123="","",J123*20%)</f>
      </c>
      <c r="L123" s="3"/>
      <c r="M123" s="3">
        <f>IF($G123="","",L123*20%)</f>
      </c>
      <c r="N123" s="3">
        <v>1</v>
      </c>
      <c r="O123" s="3">
        <f>IF($G123="","",K123+M123)</f>
      </c>
      <c r="P123" s="3">
        <f>IF($G123="","",H123-I123-J123-K123-L123-M123-N123)</f>
      </c>
      <c r="Q123" s="3">
        <f>IF($G123="","",(P123-Y123)/F123*100)</f>
      </c>
      <c r="R123" s="3">
        <f>IF($G123="","",I123-O123)</f>
      </c>
      <c r="Z123" s="3">
        <f>IF($G123="","",P123-Y123)</f>
      </c>
    </row>
    <row r="124" spans="1:26" x14ac:dyDescent="0.25">
      <c r="A124" s="1"/>
      <c r="D124" s="2"/>
      <c r="F124" s="3"/>
      <c r="G124" s="3"/>
      <c r="H124" s="3">
        <f>IF($G124="","",G124-F124)</f>
      </c>
      <c r="I124" s="3">
        <f>IF($G124="","",H124*16.67%)</f>
      </c>
      <c r="J124" s="3">
        <f>IF($G124="","",G124*7%)</f>
      </c>
      <c r="K124" s="3">
        <f>IF($G124="","",J124*20%)</f>
      </c>
      <c r="L124" s="3"/>
      <c r="M124" s="3">
        <f>IF($G124="","",L124*20%)</f>
      </c>
      <c r="N124" s="3">
        <v>1</v>
      </c>
      <c r="O124" s="3">
        <f>IF($G124="","",K124+M124)</f>
      </c>
      <c r="P124" s="3">
        <f>IF($G124="","",H124-I124-J124-K124-L124-M124-N124)</f>
      </c>
      <c r="Q124" s="3">
        <f>IF($G124="","",(P124-Y124)/F124*100)</f>
      </c>
      <c r="R124" s="3">
        <f>IF($G124="","",I124-O124)</f>
      </c>
      <c r="Z124" s="3">
        <f>IF($G124="","",P124-Y124)</f>
      </c>
    </row>
    <row r="125" spans="1:26" x14ac:dyDescent="0.25">
      <c r="A125" s="1"/>
      <c r="D125" s="2"/>
      <c r="F125" s="3"/>
      <c r="G125" s="3"/>
      <c r="H125" s="3">
        <f>IF($G125="","",G125-F125)</f>
      </c>
      <c r="I125" s="3">
        <f>IF($G125="","",H125*16.67%)</f>
      </c>
      <c r="J125" s="3">
        <f>IF($G125="","",G125*7%)</f>
      </c>
      <c r="K125" s="3">
        <f>IF($G125="","",J125*20%)</f>
      </c>
      <c r="L125" s="3"/>
      <c r="M125" s="3">
        <f>IF($G125="","",L125*20%)</f>
      </c>
      <c r="N125" s="3">
        <v>1</v>
      </c>
      <c r="O125" s="3">
        <f>IF($G125="","",K125+M125)</f>
      </c>
      <c r="P125" s="3">
        <f>IF($G125="","",H125-I125-J125-K125-L125-M125-N125)</f>
      </c>
      <c r="Q125" s="3">
        <f>IF($G125="","",(P125-Y125)/F125*100)</f>
      </c>
      <c r="R125" s="3">
        <f>IF($G125="","",I125-O125)</f>
      </c>
      <c r="Z125" s="3">
        <f>IF($G125="","",P125-Y125)</f>
      </c>
    </row>
    <row r="126" spans="1:26" x14ac:dyDescent="0.25">
      <c r="A126" s="1"/>
      <c r="D126" s="2"/>
      <c r="F126" s="3"/>
      <c r="G126" s="3"/>
      <c r="H126" s="3">
        <f>IF($G126="","",G126-F126)</f>
      </c>
      <c r="I126" s="3">
        <f>IF($G126="","",H126*16.67%)</f>
      </c>
      <c r="J126" s="3">
        <f>IF($G126="","",G126*7%)</f>
      </c>
      <c r="K126" s="3">
        <f>IF($G126="","",J126*20%)</f>
      </c>
      <c r="L126" s="3"/>
      <c r="M126" s="3">
        <f>IF($G126="","",L126*20%)</f>
      </c>
      <c r="N126" s="3">
        <v>1</v>
      </c>
      <c r="O126" s="3">
        <f>IF($G126="","",K126+M126)</f>
      </c>
      <c r="P126" s="3">
        <f>IF($G126="","",H126-I126-J126-K126-L126-M126-N126)</f>
      </c>
      <c r="Q126" s="3">
        <f>IF($G126="","",(P126-Y126)/F126*100)</f>
      </c>
      <c r="R126" s="3">
        <f>IF($G126="","",I126-O126)</f>
      </c>
      <c r="Z126" s="3">
        <f>IF($G126="","",P126-Y126)</f>
      </c>
    </row>
    <row r="127" spans="1:26" x14ac:dyDescent="0.25">
      <c r="A127" s="1"/>
      <c r="D127" s="2"/>
      <c r="F127" s="3"/>
      <c r="G127" s="3"/>
      <c r="H127" s="3">
        <f>IF($G127="","",G127-F127)</f>
      </c>
      <c r="I127" s="3">
        <f>IF($G127="","",H127*16.67%)</f>
      </c>
      <c r="J127" s="3">
        <f>IF($G127="","",G127*7%)</f>
      </c>
      <c r="K127" s="3">
        <f>IF($G127="","",J127*20%)</f>
      </c>
      <c r="L127" s="3"/>
      <c r="M127" s="3">
        <f>IF($G127="","",L127*20%)</f>
      </c>
      <c r="N127" s="3">
        <v>1</v>
      </c>
      <c r="O127" s="3">
        <f>IF($G127="","",K127+M127)</f>
      </c>
      <c r="P127" s="3">
        <f>IF($G127="","",H127-I127-J127-K127-L127-M127-N127)</f>
      </c>
      <c r="Q127" s="3">
        <f>IF($G127="","",(P127-Y127)/F127*100)</f>
      </c>
      <c r="R127" s="3">
        <f>IF($G127="","",I127-O127)</f>
      </c>
      <c r="Z127" s="3">
        <f>IF($G127="","",P127-Y127)</f>
      </c>
    </row>
    <row r="128" spans="1:26" x14ac:dyDescent="0.25">
      <c r="A128" s="1"/>
      <c r="D128" s="2"/>
      <c r="F128" s="3"/>
      <c r="G128" s="3"/>
      <c r="H128" s="3">
        <f>IF($G128="","",G128-F128)</f>
      </c>
      <c r="I128" s="3">
        <f>IF($G128="","",H128*16.67%)</f>
      </c>
      <c r="J128" s="3">
        <f>IF($G128="","",G128*7%)</f>
      </c>
      <c r="K128" s="3">
        <f>IF($G128="","",J128*20%)</f>
      </c>
      <c r="L128" s="3"/>
      <c r="M128" s="3">
        <f>IF($G128="","",L128*20%)</f>
      </c>
      <c r="N128" s="3">
        <v>1</v>
      </c>
      <c r="O128" s="3">
        <f>IF($G128="","",K128+M128)</f>
      </c>
      <c r="P128" s="3">
        <f>IF($G128="","",H128-I128-J128-K128-L128-M128-N128)</f>
      </c>
      <c r="Q128" s="3">
        <f>IF($G128="","",(P128-Y128)/F128*100)</f>
      </c>
      <c r="R128" s="3">
        <f>IF($G128="","",I128-O128)</f>
      </c>
      <c r="Z128" s="3">
        <f>IF($G128="","",P128-Y128)</f>
      </c>
    </row>
    <row r="129" spans="1:26" x14ac:dyDescent="0.25">
      <c r="A129" s="1"/>
      <c r="D129" s="2"/>
      <c r="F129" s="3"/>
      <c r="G129" s="3"/>
      <c r="H129" s="3">
        <f>IF($G129="","",G129-F129)</f>
      </c>
      <c r="I129" s="3">
        <f>IF($G129="","",H129*16.67%)</f>
      </c>
      <c r="J129" s="3">
        <f>IF($G129="","",G129*7%)</f>
      </c>
      <c r="K129" s="3">
        <f>IF($G129="","",J129*20%)</f>
      </c>
      <c r="L129" s="3"/>
      <c r="M129" s="3">
        <f>IF($G129="","",L129*20%)</f>
      </c>
      <c r="N129" s="3">
        <v>1</v>
      </c>
      <c r="O129" s="3">
        <f>IF($G129="","",K129+M129)</f>
      </c>
      <c r="P129" s="3">
        <f>IF($G129="","",H129-I129-J129-K129-L129-M129-N129)</f>
      </c>
      <c r="Q129" s="3">
        <f>IF($G129="","",(P129-Y129)/F129*100)</f>
      </c>
      <c r="R129" s="3">
        <f>IF($G129="","",I129-O129)</f>
      </c>
      <c r="Z129" s="3">
        <f>IF($G129="","",P129-Y129)</f>
      </c>
    </row>
    <row r="130" spans="1:26" x14ac:dyDescent="0.25">
      <c r="A130" s="1"/>
      <c r="D130" s="2"/>
      <c r="F130" s="3"/>
      <c r="G130" s="3"/>
      <c r="H130" s="3">
        <f>IF($G130="","",G130-F130)</f>
      </c>
      <c r="I130" s="3">
        <f>IF($G130="","",H130*16.67%)</f>
      </c>
      <c r="J130" s="3">
        <f>IF($G130="","",G130*7%)</f>
      </c>
      <c r="K130" s="3">
        <f>IF($G130="","",J130*20%)</f>
      </c>
      <c r="L130" s="3"/>
      <c r="M130" s="3">
        <f>IF($G130="","",L130*20%)</f>
      </c>
      <c r="N130" s="3">
        <v>1</v>
      </c>
      <c r="O130" s="3">
        <f>IF($G130="","",K130+M130)</f>
      </c>
      <c r="P130" s="3">
        <f>IF($G130="","",H130-I130-J130-K130-L130-M130-N130)</f>
      </c>
      <c r="Q130" s="3">
        <f>IF($G130="","",(P130-Y130)/F130*100)</f>
      </c>
      <c r="R130" s="3">
        <f>IF($G130="","",I130-O130)</f>
      </c>
      <c r="Z130" s="3">
        <f>IF($G130="","",P130-Y130)</f>
      </c>
    </row>
    <row r="131" spans="1:26" x14ac:dyDescent="0.25">
      <c r="A131" s="1"/>
      <c r="D131" s="2"/>
      <c r="F131" s="3"/>
      <c r="G131" s="3"/>
      <c r="H131" s="3">
        <f>IF($G131="","",G131-F131)</f>
      </c>
      <c r="I131" s="3">
        <f>IF($G131="","",H131*16.67%)</f>
      </c>
      <c r="J131" s="3">
        <f>IF($G131="","",G131*7%)</f>
      </c>
      <c r="K131" s="3">
        <f>IF($G131="","",J131*20%)</f>
      </c>
      <c r="L131" s="3"/>
      <c r="M131" s="3">
        <f>IF($G131="","",L131*20%)</f>
      </c>
      <c r="N131" s="3">
        <v>1</v>
      </c>
      <c r="O131" s="3">
        <f>IF($G131="","",K131+M131)</f>
      </c>
      <c r="P131" s="3">
        <f>IF($G131="","",H131-I131-J131-K131-L131-M131-N131)</f>
      </c>
      <c r="Q131" s="3">
        <f>IF($G131="","",(P131-Y131)/F131*100)</f>
      </c>
      <c r="R131" s="3">
        <f>IF($G131="","",I131-O131)</f>
      </c>
      <c r="Z131" s="3">
        <f>IF($G131="","",P131-Y131)</f>
      </c>
    </row>
    <row r="132" spans="1:26" x14ac:dyDescent="0.25">
      <c r="A132" s="1"/>
      <c r="D132" s="2"/>
      <c r="F132" s="3"/>
      <c r="G132" s="3"/>
      <c r="H132" s="3">
        <f>IF($G132="","",G132-F132)</f>
      </c>
      <c r="I132" s="3">
        <f>IF($G132="","",H132*16.67%)</f>
      </c>
      <c r="J132" s="3">
        <f>IF($G132="","",G132*7%)</f>
      </c>
      <c r="K132" s="3">
        <f>IF($G132="","",J132*20%)</f>
      </c>
      <c r="L132" s="3"/>
      <c r="M132" s="3">
        <f>IF($G132="","",L132*20%)</f>
      </c>
      <c r="N132" s="3">
        <v>1</v>
      </c>
      <c r="O132" s="3">
        <f>IF($G132="","",K132+M132)</f>
      </c>
      <c r="P132" s="3">
        <f>IF($G132="","",H132-I132-J132-K132-L132-M132-N132)</f>
      </c>
      <c r="Q132" s="3">
        <f>IF($G132="","",(P132-Y132)/F132*100)</f>
      </c>
      <c r="R132" s="3">
        <f>IF($G132="","",I132-O132)</f>
      </c>
      <c r="Z132" s="3">
        <f>IF($G132="","",P132-Y132)</f>
      </c>
    </row>
    <row r="133" spans="1:26" x14ac:dyDescent="0.25">
      <c r="A133" s="1"/>
      <c r="D133" s="2"/>
      <c r="F133" s="3"/>
      <c r="G133" s="3"/>
      <c r="H133" s="3">
        <f>IF($G133="","",G133-F133)</f>
      </c>
      <c r="I133" s="3">
        <f>IF($G133="","",H133*16.67%)</f>
      </c>
      <c r="J133" s="3">
        <f>IF($G133="","",G133*7%)</f>
      </c>
      <c r="K133" s="3">
        <f>IF($G133="","",J133*20%)</f>
      </c>
      <c r="L133" s="3"/>
      <c r="M133" s="3">
        <f>IF($G133="","",L133*20%)</f>
      </c>
      <c r="N133" s="3">
        <v>1</v>
      </c>
      <c r="O133" s="3">
        <f>IF($G133="","",K133+M133)</f>
      </c>
      <c r="P133" s="3">
        <f>IF($G133="","",H133-I133-J133-K133-L133-M133-N133)</f>
      </c>
      <c r="Q133" s="3">
        <f>IF($G133="","",(P133-Y133)/F133*100)</f>
      </c>
      <c r="R133" s="3">
        <f>IF($G133="","",I133-O133)</f>
      </c>
      <c r="Z133" s="3">
        <f>IF($G133="","",P133-Y133)</f>
      </c>
    </row>
    <row r="134" spans="1:26" x14ac:dyDescent="0.25">
      <c r="A134" s="1"/>
      <c r="D134" s="2"/>
      <c r="F134" s="3"/>
      <c r="G134" s="3"/>
      <c r="H134" s="3">
        <f>IF($G134="","",G134-F134)</f>
      </c>
      <c r="I134" s="3">
        <f>IF($G134="","",H134*16.67%)</f>
      </c>
      <c r="J134" s="3">
        <f>IF($G134="","",G134*7%)</f>
      </c>
      <c r="K134" s="3">
        <f>IF($G134="","",J134*20%)</f>
      </c>
      <c r="L134" s="3"/>
      <c r="M134" s="3">
        <f>IF($G134="","",L134*20%)</f>
      </c>
      <c r="N134" s="3">
        <v>1</v>
      </c>
      <c r="O134" s="3">
        <f>IF($G134="","",K134+M134)</f>
      </c>
      <c r="P134" s="3">
        <f>IF($G134="","",H134-I134-J134-K134-L134-M134-N134)</f>
      </c>
      <c r="Q134" s="3">
        <f>IF($G134="","",(P134-Y134)/F134*100)</f>
      </c>
      <c r="R134" s="3">
        <f>IF($G134="","",I134-O134)</f>
      </c>
      <c r="Z134" s="3">
        <f>IF($G134="","",P134-Y134)</f>
      </c>
    </row>
    <row r="135" spans="1:26" x14ac:dyDescent="0.25">
      <c r="A135" s="1"/>
      <c r="D135" s="2"/>
      <c r="F135" s="3"/>
      <c r="G135" s="3"/>
      <c r="H135" s="3">
        <f>IF($G135="","",G135-F135)</f>
      </c>
      <c r="I135" s="3">
        <f>IF($G135="","",H135*16.67%)</f>
      </c>
      <c r="J135" s="3">
        <f>IF($G135="","",G135*7%)</f>
      </c>
      <c r="K135" s="3">
        <f>IF($G135="","",J135*20%)</f>
      </c>
      <c r="L135" s="3"/>
      <c r="M135" s="3">
        <f>IF($G135="","",L135*20%)</f>
      </c>
      <c r="N135" s="3">
        <v>1</v>
      </c>
      <c r="O135" s="3">
        <f>IF($G135="","",K135+M135)</f>
      </c>
      <c r="P135" s="3">
        <f>IF($G135="","",H135-I135-J135-K135-L135-M135-N135)</f>
      </c>
      <c r="Q135" s="3">
        <f>IF($G135="","",(P135-Y135)/F135*100)</f>
      </c>
      <c r="R135" s="3">
        <f>IF($G135="","",I135-O135)</f>
      </c>
      <c r="Z135" s="3">
        <f>IF($G135="","",P135-Y135)</f>
      </c>
    </row>
    <row r="136" spans="1:26" x14ac:dyDescent="0.25">
      <c r="A136" s="1"/>
      <c r="D136" s="2"/>
      <c r="F136" s="3"/>
      <c r="G136" s="3"/>
      <c r="H136" s="3">
        <f>IF($G136="","",G136-F136)</f>
      </c>
      <c r="I136" s="3">
        <f>IF($G136="","",H136*16.67%)</f>
      </c>
      <c r="J136" s="3">
        <f>IF($G136="","",G136*7%)</f>
      </c>
      <c r="K136" s="3">
        <f>IF($G136="","",J136*20%)</f>
      </c>
      <c r="L136" s="3"/>
      <c r="M136" s="3">
        <f>IF($G136="","",L136*20%)</f>
      </c>
      <c r="N136" s="3">
        <v>1</v>
      </c>
      <c r="O136" s="3">
        <f>IF($G136="","",K136+M136)</f>
      </c>
      <c r="P136" s="3">
        <f>IF($G136="","",H136-I136-J136-K136-L136-M136-N136)</f>
      </c>
      <c r="Q136" s="3">
        <f>IF($G136="","",(P136-Y136)/F136*100)</f>
      </c>
      <c r="R136" s="3">
        <f>IF($G136="","",I136-O136)</f>
      </c>
      <c r="Z136" s="3">
        <f>IF($G136="","",P136-Y136)</f>
      </c>
    </row>
    <row r="137" spans="1:26" x14ac:dyDescent="0.25">
      <c r="A137" s="1"/>
      <c r="D137" s="2"/>
      <c r="F137" s="3"/>
      <c r="G137" s="3"/>
      <c r="H137" s="3">
        <f>IF($G137="","",G137-F137)</f>
      </c>
      <c r="I137" s="3">
        <f>IF($G137="","",H137*16.67%)</f>
      </c>
      <c r="J137" s="3">
        <f>IF($G137="","",G137*7%)</f>
      </c>
      <c r="K137" s="3">
        <f>IF($G137="","",J137*20%)</f>
      </c>
      <c r="L137" s="3"/>
      <c r="M137" s="3">
        <f>IF($G137="","",L137*20%)</f>
      </c>
      <c r="N137" s="3">
        <v>1</v>
      </c>
      <c r="O137" s="3">
        <f>IF($G137="","",K137+M137)</f>
      </c>
      <c r="P137" s="3">
        <f>IF($G137="","",H137-I137-J137-K137-L137-M137-N137)</f>
      </c>
      <c r="Q137" s="3">
        <f>IF($G137="","",(P137-Y137)/F137*100)</f>
      </c>
      <c r="R137" s="3">
        <f>IF($G137="","",I137-O137)</f>
      </c>
      <c r="Z137" s="3">
        <f>IF($G137="","",P137-Y137)</f>
      </c>
    </row>
    <row r="138" spans="1:26" x14ac:dyDescent="0.25">
      <c r="A138" s="1"/>
      <c r="D138" s="2"/>
      <c r="F138" s="3"/>
      <c r="G138" s="3"/>
      <c r="H138" s="3">
        <f>IF($G138="","",G138-F138)</f>
      </c>
      <c r="I138" s="3">
        <f>IF($G138="","",H138*16.67%)</f>
      </c>
      <c r="J138" s="3">
        <f>IF($G138="","",G138*7%)</f>
      </c>
      <c r="K138" s="3">
        <f>IF($G138="","",J138*20%)</f>
      </c>
      <c r="L138" s="3"/>
      <c r="M138" s="3">
        <f>IF($G138="","",L138*20%)</f>
      </c>
      <c r="N138" s="3">
        <v>1</v>
      </c>
      <c r="O138" s="3">
        <f>IF($G138="","",K138+M138)</f>
      </c>
      <c r="P138" s="3">
        <f>IF($G138="","",H138-I138-J138-K138-L138-M138-N138)</f>
      </c>
      <c r="Q138" s="3">
        <f>IF($G138="","",(P138-Y138)/F138*100)</f>
      </c>
      <c r="R138" s="3">
        <f>IF($G138="","",I138-O138)</f>
      </c>
      <c r="Z138" s="3">
        <f>IF($G138="","",P138-Y138)</f>
      </c>
    </row>
    <row r="139" spans="1:26" x14ac:dyDescent="0.25">
      <c r="A139" s="1"/>
      <c r="D139" s="2"/>
      <c r="F139" s="3"/>
      <c r="G139" s="3"/>
      <c r="H139" s="3">
        <f>IF($G139="","",G139-F139)</f>
      </c>
      <c r="I139" s="3">
        <f>IF($G139="","",H139*16.67%)</f>
      </c>
      <c r="J139" s="3">
        <f>IF($G139="","",G139*7%)</f>
      </c>
      <c r="K139" s="3">
        <f>IF($G139="","",J139*20%)</f>
      </c>
      <c r="L139" s="3"/>
      <c r="M139" s="3">
        <f>IF($G139="","",L139*20%)</f>
      </c>
      <c r="N139" s="3">
        <v>1</v>
      </c>
      <c r="O139" s="3">
        <f>IF($G139="","",K139+M139)</f>
      </c>
      <c r="P139" s="3">
        <f>IF($G139="","",H139-I139-J139-K139-L139-M139-N139)</f>
      </c>
      <c r="Q139" s="3">
        <f>IF($G139="","",(P139-Y139)/F139*100)</f>
      </c>
      <c r="R139" s="3">
        <f>IF($G139="","",I139-O139)</f>
      </c>
      <c r="Z139" s="3">
        <f>IF($G139="","",P139-Y139)</f>
      </c>
    </row>
    <row r="140" spans="1:26" x14ac:dyDescent="0.25">
      <c r="A140" s="1"/>
      <c r="D140" s="2"/>
      <c r="F140" s="3"/>
      <c r="G140" s="3"/>
      <c r="H140" s="3">
        <f>IF($G140="","",G140-F140)</f>
      </c>
      <c r="I140" s="3">
        <f>IF($G140="","",H140*16.67%)</f>
      </c>
      <c r="J140" s="3">
        <f>IF($G140="","",G140*7%)</f>
      </c>
      <c r="K140" s="3">
        <f>IF($G140="","",J140*20%)</f>
      </c>
      <c r="L140" s="3"/>
      <c r="M140" s="3">
        <f>IF($G140="","",L140*20%)</f>
      </c>
      <c r="N140" s="3">
        <v>1</v>
      </c>
      <c r="O140" s="3">
        <f>IF($G140="","",K140+M140)</f>
      </c>
      <c r="P140" s="3">
        <f>IF($G140="","",H140-I140-J140-K140-L140-M140-N140)</f>
      </c>
      <c r="Q140" s="3">
        <f>IF($G140="","",(P140-Y140)/F140*100)</f>
      </c>
      <c r="R140" s="3">
        <f>IF($G140="","",I140-O140)</f>
      </c>
      <c r="Z140" s="3">
        <f>IF($G140="","",P140-Y140)</f>
      </c>
    </row>
    <row r="141" spans="1:26" x14ac:dyDescent="0.25">
      <c r="A141" s="1"/>
      <c r="D141" s="2"/>
      <c r="F141" s="3"/>
      <c r="G141" s="3"/>
      <c r="H141" s="3">
        <f>IF($G141="","",G141-F141)</f>
      </c>
      <c r="I141" s="3">
        <f>IF($G141="","",H141*16.67%)</f>
      </c>
      <c r="J141" s="3">
        <f>IF($G141="","",G141*7%)</f>
      </c>
      <c r="K141" s="3">
        <f>IF($G141="","",J141*20%)</f>
      </c>
      <c r="L141" s="3"/>
      <c r="M141" s="3">
        <f>IF($G141="","",L141*20%)</f>
      </c>
      <c r="N141" s="3">
        <v>1</v>
      </c>
      <c r="O141" s="3">
        <f>IF($G141="","",K141+M141)</f>
      </c>
      <c r="P141" s="3">
        <f>IF($G141="","",H141-I141-J141-K141-L141-M141-N141)</f>
      </c>
      <c r="Q141" s="3">
        <f>IF($G141="","",(P141-Y141)/F141*100)</f>
      </c>
      <c r="R141" s="3">
        <f>IF($G141="","",I141-O141)</f>
      </c>
      <c r="Z141" s="3">
        <f>IF($G141="","",P141-Y141)</f>
      </c>
    </row>
    <row r="142" spans="1:26" x14ac:dyDescent="0.25">
      <c r="A142" s="1"/>
      <c r="D142" s="2"/>
      <c r="F142" s="3"/>
      <c r="G142" s="3"/>
      <c r="H142" s="3">
        <f>IF($G142="","",G142-F142)</f>
      </c>
      <c r="I142" s="3">
        <f>IF($G142="","",H142*16.67%)</f>
      </c>
      <c r="J142" s="3">
        <f>IF($G142="","",G142*7%)</f>
      </c>
      <c r="K142" s="3">
        <f>IF($G142="","",J142*20%)</f>
      </c>
      <c r="L142" s="3"/>
      <c r="M142" s="3">
        <f>IF($G142="","",L142*20%)</f>
      </c>
      <c r="N142" s="3">
        <v>1</v>
      </c>
      <c r="O142" s="3">
        <f>IF($G142="","",K142+M142)</f>
      </c>
      <c r="P142" s="3">
        <f>IF($G142="","",H142-I142-J142-K142-L142-M142-N142)</f>
      </c>
      <c r="Q142" s="3">
        <f>IF($G142="","",(P142-Y142)/F142*100)</f>
      </c>
      <c r="R142" s="3">
        <f>IF($G142="","",I142-O142)</f>
      </c>
      <c r="Z142" s="3">
        <f>IF($G142="","",P142-Y142)</f>
      </c>
    </row>
    <row r="143" spans="1:26" x14ac:dyDescent="0.25">
      <c r="A143" s="1"/>
      <c r="D143" s="2"/>
      <c r="F143" s="3"/>
      <c r="G143" s="3"/>
      <c r="H143" s="3">
        <f>IF($G143="","",G143-F143)</f>
      </c>
      <c r="I143" s="3">
        <f>IF($G143="","",H143*16.67%)</f>
      </c>
      <c r="J143" s="3">
        <f>IF($G143="","",G143*7%)</f>
      </c>
      <c r="K143" s="3">
        <f>IF($G143="","",J143*20%)</f>
      </c>
      <c r="L143" s="3"/>
      <c r="M143" s="3">
        <f>IF($G143="","",L143*20%)</f>
      </c>
      <c r="N143" s="3">
        <v>1</v>
      </c>
      <c r="O143" s="3">
        <f>IF($G143="","",K143+M143)</f>
      </c>
      <c r="P143" s="3">
        <f>IF($G143="","",H143-I143-J143-K143-L143-M143-N143)</f>
      </c>
      <c r="Q143" s="3">
        <f>IF($G143="","",(P143-Y143)/F143*100)</f>
      </c>
      <c r="R143" s="3">
        <f>IF($G143="","",I143-O143)</f>
      </c>
      <c r="Z143" s="3">
        <f>IF($G143="","",P143-Y143)</f>
      </c>
    </row>
    <row r="144" spans="1:26" x14ac:dyDescent="0.25">
      <c r="A144" s="1"/>
      <c r="D144" s="2"/>
      <c r="F144" s="3"/>
      <c r="G144" s="3"/>
      <c r="H144" s="3">
        <f>IF($G144="","",G144-F144)</f>
      </c>
      <c r="I144" s="3">
        <f>IF($G144="","",H144*16.67%)</f>
      </c>
      <c r="J144" s="3">
        <f>IF($G144="","",G144*7%)</f>
      </c>
      <c r="K144" s="3">
        <f>IF($G144="","",J144*20%)</f>
      </c>
      <c r="L144" s="3"/>
      <c r="M144" s="3">
        <f>IF($G144="","",L144*20%)</f>
      </c>
      <c r="N144" s="3">
        <v>1</v>
      </c>
      <c r="O144" s="3">
        <f>IF($G144="","",K144+M144)</f>
      </c>
      <c r="P144" s="3">
        <f>IF($G144="","",H144-I144-J144-K144-L144-M144-N144)</f>
      </c>
      <c r="Q144" s="3">
        <f>IF($G144="","",(P144-Y144)/F144*100)</f>
      </c>
      <c r="R144" s="3">
        <f>IF($G144="","",I144-O144)</f>
      </c>
      <c r="Z144" s="3">
        <f>IF($G144="","",P144-Y144)</f>
      </c>
    </row>
    <row r="145" spans="1:26" x14ac:dyDescent="0.25">
      <c r="A145" s="1"/>
      <c r="D145" s="2"/>
      <c r="F145" s="3"/>
      <c r="G145" s="3"/>
      <c r="H145" s="3">
        <f>IF($G145="","",G145-F145)</f>
      </c>
      <c r="I145" s="3">
        <f>IF($G145="","",H145*16.67%)</f>
      </c>
      <c r="J145" s="3">
        <f>IF($G145="","",G145*7%)</f>
      </c>
      <c r="K145" s="3">
        <f>IF($G145="","",J145*20%)</f>
      </c>
      <c r="L145" s="3"/>
      <c r="M145" s="3">
        <f>IF($G145="","",L145*20%)</f>
      </c>
      <c r="N145" s="3">
        <v>1</v>
      </c>
      <c r="O145" s="3">
        <f>IF($G145="","",K145+M145)</f>
      </c>
      <c r="P145" s="3">
        <f>IF($G145="","",H145-I145-J145-K145-L145-M145-N145)</f>
      </c>
      <c r="Q145" s="3">
        <f>IF($G145="","",(P145-Y145)/F145*100)</f>
      </c>
      <c r="R145" s="3">
        <f>IF($G145="","",I145-O145)</f>
      </c>
      <c r="Z145" s="3">
        <f>IF($G145="","",P145-Y145)</f>
      </c>
    </row>
    <row r="146" spans="1:26" x14ac:dyDescent="0.25">
      <c r="A146" s="1"/>
      <c r="D146" s="2"/>
      <c r="F146" s="3"/>
      <c r="G146" s="3"/>
      <c r="H146" s="3">
        <f>IF($G146="","",G146-F146)</f>
      </c>
      <c r="I146" s="3">
        <f>IF($G146="","",H146*16.67%)</f>
      </c>
      <c r="J146" s="3">
        <f>IF($G146="","",G146*7%)</f>
      </c>
      <c r="K146" s="3">
        <f>IF($G146="","",J146*20%)</f>
      </c>
      <c r="L146" s="3"/>
      <c r="M146" s="3">
        <f>IF($G146="","",L146*20%)</f>
      </c>
      <c r="N146" s="3">
        <v>1</v>
      </c>
      <c r="O146" s="3">
        <f>IF($G146="","",K146+M146)</f>
      </c>
      <c r="P146" s="3">
        <f>IF($G146="","",H146-I146-J146-K146-L146-M146-N146)</f>
      </c>
      <c r="Q146" s="3">
        <f>IF($G146="","",(P146-Y146)/F146*100)</f>
      </c>
      <c r="R146" s="3">
        <f>IF($G146="","",I146-O146)</f>
      </c>
      <c r="Z146" s="3">
        <f>IF($G146="","",P146-Y146)</f>
      </c>
    </row>
    <row r="147" spans="1:26" x14ac:dyDescent="0.25">
      <c r="A147" s="1"/>
      <c r="D147" s="2"/>
      <c r="F147" s="3"/>
      <c r="G147" s="3"/>
      <c r="H147" s="3">
        <f>IF($G147="","",G147-F147)</f>
      </c>
      <c r="I147" s="3">
        <f>IF($G147="","",H147*16.67%)</f>
      </c>
      <c r="J147" s="3">
        <f>IF($G147="","",G147*7%)</f>
      </c>
      <c r="K147" s="3">
        <f>IF($G147="","",J147*20%)</f>
      </c>
      <c r="L147" s="3"/>
      <c r="M147" s="3">
        <f>IF($G147="","",L147*20%)</f>
      </c>
      <c r="N147" s="3">
        <v>1</v>
      </c>
      <c r="O147" s="3">
        <f>IF($G147="","",K147+M147)</f>
      </c>
      <c r="P147" s="3">
        <f>IF($G147="","",H147-I147-J147-K147-L147-M147-N147)</f>
      </c>
      <c r="Q147" s="3">
        <f>IF($G147="","",(P147-Y147)/F147*100)</f>
      </c>
      <c r="R147" s="3">
        <f>IF($G147="","",I147-O147)</f>
      </c>
      <c r="Z147" s="3">
        <f>IF($G147="","",P147-Y147)</f>
      </c>
    </row>
    <row r="148" spans="1:26" x14ac:dyDescent="0.25">
      <c r="A148" s="1"/>
      <c r="D148" s="2"/>
      <c r="F148" s="3"/>
      <c r="G148" s="3"/>
      <c r="H148" s="3">
        <f>IF($G148="","",G148-F148)</f>
      </c>
      <c r="I148" s="3">
        <f>IF($G148="","",H148*16.67%)</f>
      </c>
      <c r="J148" s="3">
        <f>IF($G148="","",G148*7%)</f>
      </c>
      <c r="K148" s="3">
        <f>IF($G148="","",J148*20%)</f>
      </c>
      <c r="L148" s="3"/>
      <c r="M148" s="3">
        <f>IF($G148="","",L148*20%)</f>
      </c>
      <c r="N148" s="3">
        <v>1</v>
      </c>
      <c r="O148" s="3">
        <f>IF($G148="","",K148+M148)</f>
      </c>
      <c r="P148" s="3">
        <f>IF($G148="","",H148-I148-J148-K148-L148-M148-N148)</f>
      </c>
      <c r="Q148" s="3">
        <f>IF($G148="","",(P148-Y148)/F148*100)</f>
      </c>
      <c r="R148" s="3">
        <f>IF($G148="","",I148-O148)</f>
      </c>
      <c r="Z148" s="3">
        <f>IF($G148="","",P148-Y148)</f>
      </c>
    </row>
    <row r="149" spans="1:26" x14ac:dyDescent="0.25">
      <c r="A149" s="1"/>
      <c r="D149" s="2"/>
      <c r="F149" s="3"/>
      <c r="G149" s="3"/>
      <c r="H149" s="3">
        <f>IF($G149="","",G149-F149)</f>
      </c>
      <c r="I149" s="3">
        <f>IF($G149="","",H149*16.67%)</f>
      </c>
      <c r="J149" s="3">
        <f>IF($G149="","",G149*7%)</f>
      </c>
      <c r="K149" s="3">
        <f>IF($G149="","",J149*20%)</f>
      </c>
      <c r="L149" s="3"/>
      <c r="M149" s="3">
        <f>IF($G149="","",L149*20%)</f>
      </c>
      <c r="N149" s="3">
        <v>1</v>
      </c>
      <c r="O149" s="3">
        <f>IF($G149="","",K149+M149)</f>
      </c>
      <c r="P149" s="3">
        <f>IF($G149="","",H149-I149-J149-K149-L149-M149-N149)</f>
      </c>
      <c r="Q149" s="3">
        <f>IF($G149="","",(P149-Y149)/F149*100)</f>
      </c>
      <c r="R149" s="3">
        <f>IF($G149="","",I149-O149)</f>
      </c>
      <c r="Z149" s="3">
        <f>IF($G149="","",P149-Y149)</f>
      </c>
    </row>
    <row r="150" spans="1:26" x14ac:dyDescent="0.25">
      <c r="A150" s="1"/>
      <c r="D150" s="2"/>
      <c r="F150" s="3"/>
      <c r="G150" s="3"/>
      <c r="H150" s="3">
        <f>IF($G150="","",G150-F150)</f>
      </c>
      <c r="I150" s="3">
        <f>IF($G150="","",H150*16.67%)</f>
      </c>
      <c r="J150" s="3">
        <f>IF($G150="","",G150*7%)</f>
      </c>
      <c r="K150" s="3">
        <f>IF($G150="","",J150*20%)</f>
      </c>
      <c r="L150" s="3"/>
      <c r="M150" s="3">
        <f>IF($G150="","",L150*20%)</f>
      </c>
      <c r="N150" s="3">
        <v>1</v>
      </c>
      <c r="O150" s="3">
        <f>IF($G150="","",K150+M150)</f>
      </c>
      <c r="P150" s="3">
        <f>IF($G150="","",H150-I150-J150-K150-L150-M150-N150)</f>
      </c>
      <c r="Q150" s="3">
        <f>IF($G150="","",(P150-Y150)/F150*100)</f>
      </c>
      <c r="R150" s="3">
        <f>IF($G150="","",I150-O150)</f>
      </c>
      <c r="Z150" s="3">
        <f>IF($G150="","",P150-Y150)</f>
      </c>
    </row>
    <row r="151" spans="1:26" x14ac:dyDescent="0.25">
      <c r="A151" s="1"/>
      <c r="D151" s="2"/>
      <c r="F151" s="3"/>
      <c r="G151" s="3"/>
      <c r="H151" s="3">
        <f>IF($G151="","",G151-F151)</f>
      </c>
      <c r="I151" s="3">
        <f>IF($G151="","",H151*16.67%)</f>
      </c>
      <c r="J151" s="3">
        <f>IF($G151="","",G151*7%)</f>
      </c>
      <c r="K151" s="3">
        <f>IF($G151="","",J151*20%)</f>
      </c>
      <c r="L151" s="3"/>
      <c r="M151" s="3">
        <f>IF($G151="","",L151*20%)</f>
      </c>
      <c r="N151" s="3">
        <v>1</v>
      </c>
      <c r="O151" s="3">
        <f>IF($G151="","",K151+M151)</f>
      </c>
      <c r="P151" s="3">
        <f>IF($G151="","",H151-I151-J151-K151-L151-M151-N151)</f>
      </c>
      <c r="Q151" s="3">
        <f>IF($G151="","",(P151-Y151)/F151*100)</f>
      </c>
      <c r="R151" s="3">
        <f>IF($G151="","",I151-O151)</f>
      </c>
      <c r="Z151" s="3">
        <f>IF($G151="","",P151-Y151)</f>
      </c>
    </row>
    <row r="152" spans="1:26" x14ac:dyDescent="0.25">
      <c r="A152" s="1"/>
      <c r="D152" s="2"/>
      <c r="F152" s="3"/>
      <c r="G152" s="3"/>
      <c r="H152" s="3">
        <f>IF($G152="","",G152-F152)</f>
      </c>
      <c r="I152" s="3">
        <f>IF($G152="","",H152*16.67%)</f>
      </c>
      <c r="J152" s="3">
        <f>IF($G152="","",G152*7%)</f>
      </c>
      <c r="K152" s="3">
        <f>IF($G152="","",J152*20%)</f>
      </c>
      <c r="L152" s="3"/>
      <c r="M152" s="3">
        <f>IF($G152="","",L152*20%)</f>
      </c>
      <c r="N152" s="3">
        <v>1</v>
      </c>
      <c r="O152" s="3">
        <f>IF($G152="","",K152+M152)</f>
      </c>
      <c r="P152" s="3">
        <f>IF($G152="","",H152-I152-J152-K152-L152-M152-N152)</f>
      </c>
      <c r="Q152" s="3">
        <f>IF($G152="","",(P152-Y152)/F152*100)</f>
      </c>
      <c r="R152" s="3">
        <f>IF($G152="","",I152-O152)</f>
      </c>
      <c r="Z152" s="3">
        <f>IF($G152="","",P152-Y152)</f>
      </c>
    </row>
    <row r="153" spans="1:26" x14ac:dyDescent="0.25">
      <c r="A153" s="1"/>
      <c r="D153" s="2"/>
      <c r="F153" s="3"/>
      <c r="G153" s="3"/>
      <c r="H153" s="3">
        <f>IF($G153="","",G153-F153)</f>
      </c>
      <c r="I153" s="3">
        <f>IF($G153="","",H153*16.67%)</f>
      </c>
      <c r="J153" s="3">
        <f>IF($G153="","",G153*7%)</f>
      </c>
      <c r="K153" s="3">
        <f>IF($G153="","",J153*20%)</f>
      </c>
      <c r="L153" s="3"/>
      <c r="M153" s="3">
        <f>IF($G153="","",L153*20%)</f>
      </c>
      <c r="N153" s="3">
        <v>1</v>
      </c>
      <c r="O153" s="3">
        <f>IF($G153="","",K153+M153)</f>
      </c>
      <c r="P153" s="3">
        <f>IF($G153="","",H153-I153-J153-K153-L153-M153-N153)</f>
      </c>
      <c r="Q153" s="3">
        <f>IF($G153="","",(P153-Y153)/F153*100)</f>
      </c>
      <c r="R153" s="3">
        <f>IF($G153="","",I153-O153)</f>
      </c>
      <c r="Z153" s="3">
        <f>IF($G153="","",P153-Y153)</f>
      </c>
    </row>
    <row r="154" spans="1:26" x14ac:dyDescent="0.25">
      <c r="A154" s="1"/>
      <c r="D154" s="2"/>
      <c r="F154" s="3"/>
      <c r="G154" s="3"/>
      <c r="H154" s="3">
        <f>IF($G154="","",G154-F154)</f>
      </c>
      <c r="I154" s="3">
        <f>IF($G154="","",H154*16.67%)</f>
      </c>
      <c r="J154" s="3">
        <f>IF($G154="","",G154*7%)</f>
      </c>
      <c r="K154" s="3">
        <f>IF($G154="","",J154*20%)</f>
      </c>
      <c r="L154" s="3"/>
      <c r="M154" s="3">
        <f>IF($G154="","",L154*20%)</f>
      </c>
      <c r="N154" s="3">
        <v>1</v>
      </c>
      <c r="O154" s="3">
        <f>IF($G154="","",K154+M154)</f>
      </c>
      <c r="P154" s="3">
        <f>IF($G154="","",H154-I154-J154-K154-L154-M154-N154)</f>
      </c>
      <c r="Q154" s="3">
        <f>IF($G154="","",(P154-Y154)/F154*100)</f>
      </c>
      <c r="R154" s="3">
        <f>IF($G154="","",I154-O154)</f>
      </c>
      <c r="Z154" s="3">
        <f>IF($G154="","",P154-Y154)</f>
      </c>
    </row>
    <row r="155" spans="1:26" x14ac:dyDescent="0.25">
      <c r="A155" s="1"/>
      <c r="D155" s="2"/>
      <c r="F155" s="3"/>
      <c r="G155" s="3"/>
      <c r="H155" s="3">
        <f>IF($G155="","",G155-F155)</f>
      </c>
      <c r="I155" s="3">
        <f>IF($G155="","",H155*16.67%)</f>
      </c>
      <c r="J155" s="3">
        <f>IF($G155="","",G155*7%)</f>
      </c>
      <c r="K155" s="3">
        <f>IF($G155="","",J155*20%)</f>
      </c>
      <c r="L155" s="3"/>
      <c r="M155" s="3">
        <f>IF($G155="","",L155*20%)</f>
      </c>
      <c r="N155" s="3">
        <v>1</v>
      </c>
      <c r="O155" s="3">
        <f>IF($G155="","",K155+M155)</f>
      </c>
      <c r="P155" s="3">
        <f>IF($G155="","",H155-I155-J155-K155-L155-M155-N155)</f>
      </c>
      <c r="Q155" s="3">
        <f>IF($G155="","",(P155-Y155)/F155*100)</f>
      </c>
      <c r="R155" s="3">
        <f>IF($G155="","",I155-O155)</f>
      </c>
      <c r="Z155" s="3">
        <f>IF($G155="","",P155-Y155)</f>
      </c>
    </row>
    <row r="156" spans="1:26" x14ac:dyDescent="0.25">
      <c r="A156" s="1"/>
      <c r="D156" s="2"/>
      <c r="F156" s="3"/>
      <c r="G156" s="3"/>
      <c r="H156" s="3">
        <f>IF($G156="","",G156-F156)</f>
      </c>
      <c r="I156" s="3">
        <f>IF($G156="","",H156*16.67%)</f>
      </c>
      <c r="J156" s="3">
        <f>IF($G156="","",G156*7%)</f>
      </c>
      <c r="K156" s="3">
        <f>IF($G156="","",J156*20%)</f>
      </c>
      <c r="L156" s="3"/>
      <c r="M156" s="3">
        <f>IF($G156="","",L156*20%)</f>
      </c>
      <c r="N156" s="3">
        <v>1</v>
      </c>
      <c r="O156" s="3">
        <f>IF($G156="","",K156+M156)</f>
      </c>
      <c r="P156" s="3">
        <f>IF($G156="","",H156-I156-J156-K156-L156-M156-N156)</f>
      </c>
      <c r="Q156" s="3">
        <f>IF($G156="","",(P156-Y156)/F156*100)</f>
      </c>
      <c r="R156" s="3">
        <f>IF($G156="","",I156-O156)</f>
      </c>
      <c r="Z156" s="3">
        <f>IF($G156="","",P156-Y156)</f>
      </c>
    </row>
    <row r="157" spans="1:26" x14ac:dyDescent="0.25">
      <c r="A157" s="1"/>
      <c r="D157" s="2"/>
      <c r="F157" s="3"/>
      <c r="G157" s="3"/>
      <c r="H157" s="3">
        <f>IF($G157="","",G157-F157)</f>
      </c>
      <c r="I157" s="3">
        <f>IF($G157="","",H157*16.67%)</f>
      </c>
      <c r="J157" s="3">
        <f>IF($G157="","",G157*7%)</f>
      </c>
      <c r="K157" s="3">
        <f>IF($G157="","",J157*20%)</f>
      </c>
      <c r="L157" s="3"/>
      <c r="M157" s="3">
        <f>IF($G157="","",L157*20%)</f>
      </c>
      <c r="N157" s="3">
        <v>1</v>
      </c>
      <c r="O157" s="3">
        <f>IF($G157="","",K157+M157)</f>
      </c>
      <c r="P157" s="3">
        <f>IF($G157="","",H157-I157-J157-K157-L157-M157-N157)</f>
      </c>
      <c r="Q157" s="3">
        <f>IF($G157="","",(P157-Y157)/F157*100)</f>
      </c>
      <c r="R157" s="3">
        <f>IF($G157="","",I157-O157)</f>
      </c>
      <c r="Z157" s="3">
        <f>IF($G157="","",P157-Y157)</f>
      </c>
    </row>
    <row r="158" spans="1:26" x14ac:dyDescent="0.25">
      <c r="A158" s="1"/>
      <c r="D158" s="2"/>
      <c r="F158" s="3"/>
      <c r="G158" s="3"/>
      <c r="H158" s="3">
        <f>IF($G158="","",G158-F158)</f>
      </c>
      <c r="I158" s="3">
        <f>IF($G158="","",H158*16.67%)</f>
      </c>
      <c r="J158" s="3">
        <f>IF($G158="","",G158*7%)</f>
      </c>
      <c r="K158" s="3">
        <f>IF($G158="","",J158*20%)</f>
      </c>
      <c r="L158" s="3"/>
      <c r="M158" s="3">
        <f>IF($G158="","",L158*20%)</f>
      </c>
      <c r="N158" s="3">
        <v>1</v>
      </c>
      <c r="O158" s="3">
        <f>IF($G158="","",K158+M158)</f>
      </c>
      <c r="P158" s="3">
        <f>IF($G158="","",H158-I158-J158-K158-L158-M158-N158)</f>
      </c>
      <c r="Q158" s="3">
        <f>IF($G158="","",(P158-Y158)/F158*100)</f>
      </c>
      <c r="R158" s="3">
        <f>IF($G158="","",I158-O158)</f>
      </c>
      <c r="Z158" s="3">
        <f>IF($G158="","",P158-Y158)</f>
      </c>
    </row>
    <row r="159" spans="1:26" x14ac:dyDescent="0.25">
      <c r="A159" s="1"/>
      <c r="D159" s="2"/>
      <c r="F159" s="3"/>
      <c r="G159" s="3"/>
      <c r="H159" s="3">
        <f>IF($G159="","",G159-F159)</f>
      </c>
      <c r="I159" s="3">
        <f>IF($G159="","",H159*16.67%)</f>
      </c>
      <c r="J159" s="3">
        <f>IF($G159="","",G159*7%)</f>
      </c>
      <c r="K159" s="3">
        <f>IF($G159="","",J159*20%)</f>
      </c>
      <c r="L159" s="3"/>
      <c r="M159" s="3">
        <f>IF($G159="","",L159*20%)</f>
      </c>
      <c r="N159" s="3">
        <v>1</v>
      </c>
      <c r="O159" s="3">
        <f>IF($G159="","",K159+M159)</f>
      </c>
      <c r="P159" s="3">
        <f>IF($G159="","",H159-I159-J159-K159-L159-M159-N159)</f>
      </c>
      <c r="Q159" s="3">
        <f>IF($G159="","",(P159-Y159)/F159*100)</f>
      </c>
      <c r="R159" s="3">
        <f>IF($G159="","",I159-O159)</f>
      </c>
      <c r="Z159" s="3">
        <f>IF($G159="","",P159-Y159)</f>
      </c>
    </row>
    <row r="160" spans="1:26" x14ac:dyDescent="0.25">
      <c r="A160" s="1"/>
      <c r="D160" s="2"/>
      <c r="F160" s="3"/>
      <c r="G160" s="3"/>
      <c r="H160" s="3">
        <f>IF($G160="","",G160-F160)</f>
      </c>
      <c r="I160" s="3">
        <f>IF($G160="","",H160*16.67%)</f>
      </c>
      <c r="J160" s="3">
        <f>IF($G160="","",G160*7%)</f>
      </c>
      <c r="K160" s="3">
        <f>IF($G160="","",J160*20%)</f>
      </c>
      <c r="L160" s="3"/>
      <c r="M160" s="3">
        <f>IF($G160="","",L160*20%)</f>
      </c>
      <c r="N160" s="3">
        <v>1</v>
      </c>
      <c r="O160" s="3">
        <f>IF($G160="","",K160+M160)</f>
      </c>
      <c r="P160" s="3">
        <f>IF($G160="","",H160-I160-J160-K160-L160-M160-N160)</f>
      </c>
      <c r="Q160" s="3">
        <f>IF($G160="","",(P160-Y160)/F160*100)</f>
      </c>
      <c r="R160" s="3">
        <f>IF($G160="","",I160-O160)</f>
      </c>
      <c r="Z160" s="3">
        <f>IF($G160="","",P160-Y160)</f>
      </c>
    </row>
    <row r="161" spans="1:26" x14ac:dyDescent="0.25">
      <c r="A161" s="1"/>
      <c r="D161" s="2"/>
      <c r="F161" s="3"/>
      <c r="G161" s="3"/>
      <c r="H161" s="3">
        <f>IF($G161="","",G161-F161)</f>
      </c>
      <c r="I161" s="3">
        <f>IF($G161="","",H161*16.67%)</f>
      </c>
      <c r="J161" s="3">
        <f>IF($G161="","",G161*7%)</f>
      </c>
      <c r="K161" s="3">
        <f>IF($G161="","",J161*20%)</f>
      </c>
      <c r="L161" s="3"/>
      <c r="M161" s="3">
        <f>IF($G161="","",L161*20%)</f>
      </c>
      <c r="N161" s="3">
        <v>1</v>
      </c>
      <c r="O161" s="3">
        <f>IF($G161="","",K161+M161)</f>
      </c>
      <c r="P161" s="3">
        <f>IF($G161="","",H161-I161-J161-K161-L161-M161-N161)</f>
      </c>
      <c r="Q161" s="3">
        <f>IF($G161="","",(P161-Y161)/F161*100)</f>
      </c>
      <c r="R161" s="3">
        <f>IF($G161="","",I161-O161)</f>
      </c>
      <c r="Z161" s="3">
        <f>IF($G161="","",P161-Y161)</f>
      </c>
    </row>
    <row r="162" spans="1:26" x14ac:dyDescent="0.25">
      <c r="A162" s="1"/>
      <c r="D162" s="2"/>
      <c r="F162" s="3"/>
      <c r="G162" s="3"/>
      <c r="H162" s="3">
        <f>IF($G162="","",G162-F162)</f>
      </c>
      <c r="I162" s="3">
        <f>IF($G162="","",H162*16.67%)</f>
      </c>
      <c r="J162" s="3">
        <f>IF($G162="","",G162*7%)</f>
      </c>
      <c r="K162" s="3">
        <f>IF($G162="","",J162*20%)</f>
      </c>
      <c r="L162" s="3"/>
      <c r="M162" s="3">
        <f>IF($G162="","",L162*20%)</f>
      </c>
      <c r="N162" s="3">
        <v>1</v>
      </c>
      <c r="O162" s="3">
        <f>IF($G162="","",K162+M162)</f>
      </c>
      <c r="P162" s="3">
        <f>IF($G162="","",H162-I162-J162-K162-L162-M162-N162)</f>
      </c>
      <c r="Q162" s="3">
        <f>IF($G162="","",(P162-Y162)/F162*100)</f>
      </c>
      <c r="R162" s="3">
        <f>IF($G162="","",I162-O162)</f>
      </c>
      <c r="Z162" s="3">
        <f>IF($G162="","",P162-Y162)</f>
      </c>
    </row>
    <row r="163" spans="1:26" x14ac:dyDescent="0.25">
      <c r="A163" s="1"/>
      <c r="D163" s="2"/>
      <c r="F163" s="3"/>
      <c r="G163" s="3"/>
      <c r="H163" s="3">
        <f>IF($G163="","",G163-F163)</f>
      </c>
      <c r="I163" s="3">
        <f>IF($G163="","",H163*16.67%)</f>
      </c>
      <c r="J163" s="3">
        <f>IF($G163="","",G163*7%)</f>
      </c>
      <c r="K163" s="3">
        <f>IF($G163="","",J163*20%)</f>
      </c>
      <c r="L163" s="3"/>
      <c r="M163" s="3">
        <f>IF($G163="","",L163*20%)</f>
      </c>
      <c r="N163" s="3">
        <v>1</v>
      </c>
      <c r="O163" s="3">
        <f>IF($G163="","",K163+M163)</f>
      </c>
      <c r="P163" s="3">
        <f>IF($G163="","",H163-I163-J163-K163-L163-M163-N163)</f>
      </c>
      <c r="Q163" s="3">
        <f>IF($G163="","",(P163-Y163)/F163*100)</f>
      </c>
      <c r="R163" s="3">
        <f>IF($G163="","",I163-O163)</f>
      </c>
      <c r="Z163" s="3">
        <f>IF($G163="","",P163-Y163)</f>
      </c>
    </row>
    <row r="164" spans="1:26" x14ac:dyDescent="0.25">
      <c r="A164" s="1"/>
      <c r="D164" s="2"/>
      <c r="F164" s="3"/>
      <c r="G164" s="3"/>
      <c r="H164" s="3">
        <f>IF($G164="","",G164-F164)</f>
      </c>
      <c r="I164" s="3">
        <f>IF($G164="","",H164*16.67%)</f>
      </c>
      <c r="J164" s="3">
        <f>IF($G164="","",G164*7%)</f>
      </c>
      <c r="K164" s="3">
        <f>IF($G164="","",J164*20%)</f>
      </c>
      <c r="L164" s="3"/>
      <c r="M164" s="3">
        <f>IF($G164="","",L164*20%)</f>
      </c>
      <c r="N164" s="3">
        <v>1</v>
      </c>
      <c r="O164" s="3">
        <f>IF($G164="","",K164+M164)</f>
      </c>
      <c r="P164" s="3">
        <f>IF($G164="","",H164-I164-J164-K164-L164-M164-N164)</f>
      </c>
      <c r="Q164" s="3">
        <f>IF($G164="","",(P164-Y164)/F164*100)</f>
      </c>
      <c r="R164" s="3">
        <f>IF($G164="","",I164-O164)</f>
      </c>
      <c r="Z164" s="3">
        <f>IF($G164="","",P164-Y164)</f>
      </c>
    </row>
    <row r="165" spans="1:26" x14ac:dyDescent="0.25">
      <c r="A165" s="1"/>
      <c r="D165" s="2"/>
      <c r="F165" s="3"/>
      <c r="G165" s="3"/>
      <c r="H165" s="3">
        <f>IF($G165="","",G165-F165)</f>
      </c>
      <c r="I165" s="3">
        <f>IF($G165="","",H165*16.67%)</f>
      </c>
      <c r="J165" s="3">
        <f>IF($G165="","",G165*7%)</f>
      </c>
      <c r="K165" s="3">
        <f>IF($G165="","",J165*20%)</f>
      </c>
      <c r="L165" s="3"/>
      <c r="M165" s="3">
        <f>IF($G165="","",L165*20%)</f>
      </c>
      <c r="N165" s="3">
        <v>1</v>
      </c>
      <c r="O165" s="3">
        <f>IF($G165="","",K165+M165)</f>
      </c>
      <c r="P165" s="3">
        <f>IF($G165="","",H165-I165-J165-K165-L165-M165-N165)</f>
      </c>
      <c r="Q165" s="3">
        <f>IF($G165="","",(P165-Y165)/F165*100)</f>
      </c>
      <c r="R165" s="3">
        <f>IF($G165="","",I165-O165)</f>
      </c>
      <c r="Z165" s="3">
        <f>IF($G165="","",P165-Y165)</f>
      </c>
    </row>
    <row r="166" spans="1:26" x14ac:dyDescent="0.25">
      <c r="A166" s="1"/>
      <c r="D166" s="2"/>
      <c r="F166" s="3"/>
      <c r="G166" s="3"/>
      <c r="H166" s="3">
        <f>IF($G166="","",G166-F166)</f>
      </c>
      <c r="I166" s="3">
        <f>IF($G166="","",H166*16.67%)</f>
      </c>
      <c r="J166" s="3">
        <f>IF($G166="","",G166*7%)</f>
      </c>
      <c r="K166" s="3">
        <f>IF($G166="","",J166*20%)</f>
      </c>
      <c r="L166" s="3"/>
      <c r="M166" s="3">
        <f>IF($G166="","",L166*20%)</f>
      </c>
      <c r="N166" s="3">
        <v>1</v>
      </c>
      <c r="O166" s="3">
        <f>IF($G166="","",K166+M166)</f>
      </c>
      <c r="P166" s="3">
        <f>IF($G166="","",H166-I166-J166-K166-L166-M166-N166)</f>
      </c>
      <c r="Q166" s="3">
        <f>IF($G166="","",(P166-Y166)/F166*100)</f>
      </c>
      <c r="R166" s="3">
        <f>IF($G166="","",I166-O166)</f>
      </c>
      <c r="Z166" s="3">
        <f>IF($G166="","",P166-Y166)</f>
      </c>
    </row>
    <row r="167" spans="1:26" x14ac:dyDescent="0.25">
      <c r="A167" s="1"/>
      <c r="D167" s="2"/>
      <c r="F167" s="3"/>
      <c r="G167" s="3"/>
      <c r="H167" s="3">
        <f>IF($G167="","",G167-F167)</f>
      </c>
      <c r="I167" s="3">
        <f>IF($G167="","",H167*16.67%)</f>
      </c>
      <c r="J167" s="3">
        <f>IF($G167="","",G167*7%)</f>
      </c>
      <c r="K167" s="3">
        <f>IF($G167="","",J167*20%)</f>
      </c>
      <c r="L167" s="3"/>
      <c r="M167" s="3">
        <f>IF($G167="","",L167*20%)</f>
      </c>
      <c r="N167" s="3">
        <v>1</v>
      </c>
      <c r="O167" s="3">
        <f>IF($G167="","",K167+M167)</f>
      </c>
      <c r="P167" s="3">
        <f>IF($G167="","",H167-I167-J167-K167-L167-M167-N167)</f>
      </c>
      <c r="Q167" s="3">
        <f>IF($G167="","",(P167-Y167)/F167*100)</f>
      </c>
      <c r="R167" s="3">
        <f>IF($G167="","",I167-O167)</f>
      </c>
      <c r="Z167" s="3">
        <f>IF($G167="","",P167-Y167)</f>
      </c>
    </row>
    <row r="168" spans="1:26" x14ac:dyDescent="0.25">
      <c r="A168" s="1"/>
      <c r="D168" s="2"/>
      <c r="F168" s="3"/>
      <c r="G168" s="3"/>
      <c r="H168" s="3">
        <f>IF($G168="","",G168-F168)</f>
      </c>
      <c r="I168" s="3">
        <f>IF($G168="","",H168*16.67%)</f>
      </c>
      <c r="J168" s="3">
        <f>IF($G168="","",G168*7%)</f>
      </c>
      <c r="K168" s="3">
        <f>IF($G168="","",J168*20%)</f>
      </c>
      <c r="L168" s="3"/>
      <c r="M168" s="3">
        <f>IF($G168="","",L168*20%)</f>
      </c>
      <c r="N168" s="3">
        <v>1</v>
      </c>
      <c r="O168" s="3">
        <f>IF($G168="","",K168+M168)</f>
      </c>
      <c r="P168" s="3">
        <f>IF($G168="","",H168-I168-J168-K168-L168-M168-N168)</f>
      </c>
      <c r="Q168" s="3">
        <f>IF($G168="","",(P168-Y168)/F168*100)</f>
      </c>
      <c r="R168" s="3">
        <f>IF($G168="","",I168-O168)</f>
      </c>
      <c r="Z168" s="3">
        <f>IF($G168="","",P168-Y168)</f>
      </c>
    </row>
    <row r="169" spans="1:26" x14ac:dyDescent="0.25">
      <c r="A169" s="1"/>
      <c r="D169" s="2"/>
      <c r="F169" s="3"/>
      <c r="G169" s="3"/>
      <c r="H169" s="3">
        <f>IF($G169="","",G169-F169)</f>
      </c>
      <c r="I169" s="3">
        <f>IF($G169="","",H169*16.67%)</f>
      </c>
      <c r="J169" s="3">
        <f>IF($G169="","",G169*7%)</f>
      </c>
      <c r="K169" s="3">
        <f>IF($G169="","",J169*20%)</f>
      </c>
      <c r="L169" s="3"/>
      <c r="M169" s="3">
        <f>IF($G169="","",L169*20%)</f>
      </c>
      <c r="N169" s="3">
        <v>1</v>
      </c>
      <c r="O169" s="3">
        <f>IF($G169="","",K169+M169)</f>
      </c>
      <c r="P169" s="3">
        <f>IF($G169="","",H169-I169-J169-K169-L169-M169-N169)</f>
      </c>
      <c r="Q169" s="3">
        <f>IF($G169="","",(P169-Y169)/F169*100)</f>
      </c>
      <c r="R169" s="3">
        <f>IF($G169="","",I169-O169)</f>
      </c>
      <c r="Z169" s="3">
        <f>IF($G169="","",P169-Y169)</f>
      </c>
    </row>
    <row r="170" spans="1:26" x14ac:dyDescent="0.25">
      <c r="A170" s="1"/>
      <c r="D170" s="2"/>
      <c r="F170" s="3"/>
      <c r="G170" s="3"/>
      <c r="H170" s="3">
        <f>IF($G170="","",G170-F170)</f>
      </c>
      <c r="I170" s="3">
        <f>IF($G170="","",H170*16.67%)</f>
      </c>
      <c r="J170" s="3">
        <f>IF($G170="","",G170*7%)</f>
      </c>
      <c r="K170" s="3">
        <f>IF($G170="","",J170*20%)</f>
      </c>
      <c r="L170" s="3"/>
      <c r="M170" s="3">
        <f>IF($G170="","",L170*20%)</f>
      </c>
      <c r="N170" s="3">
        <v>1</v>
      </c>
      <c r="O170" s="3">
        <f>IF($G170="","",K170+M170)</f>
      </c>
      <c r="P170" s="3">
        <f>IF($G170="","",H170-I170-J170-K170-L170-M170-N170)</f>
      </c>
      <c r="Q170" s="3">
        <f>IF($G170="","",(P170-Y170)/F170*100)</f>
      </c>
      <c r="R170" s="3">
        <f>IF($G170="","",I170-O170)</f>
      </c>
      <c r="Z170" s="3">
        <f>IF($G170="","",P170-Y170)</f>
      </c>
    </row>
    <row r="171" spans="1:26" x14ac:dyDescent="0.25">
      <c r="A171" s="1"/>
      <c r="D171" s="2"/>
      <c r="F171" s="3"/>
      <c r="G171" s="3"/>
      <c r="H171" s="3">
        <f>IF($G171="","",G171-F171)</f>
      </c>
      <c r="I171" s="3">
        <f>IF($G171="","",H171*16.67%)</f>
      </c>
      <c r="J171" s="3">
        <f>IF($G171="","",G171*7%)</f>
      </c>
      <c r="K171" s="3">
        <f>IF($G171="","",J171*20%)</f>
      </c>
      <c r="L171" s="3"/>
      <c r="M171" s="3">
        <f>IF($G171="","",L171*20%)</f>
      </c>
      <c r="N171" s="3">
        <v>1</v>
      </c>
      <c r="O171" s="3">
        <f>IF($G171="","",K171+M171)</f>
      </c>
      <c r="P171" s="3">
        <f>IF($G171="","",H171-I171-J171-K171-L171-M171-N171)</f>
      </c>
      <c r="Q171" s="3">
        <f>IF($G171="","",(P171-Y171)/F171*100)</f>
      </c>
      <c r="R171" s="3">
        <f>IF($G171="","",I171-O171)</f>
      </c>
      <c r="Z171" s="3">
        <f>IF($G171="","",P171-Y171)</f>
      </c>
    </row>
    <row r="172" spans="1:26" x14ac:dyDescent="0.25">
      <c r="A172" s="1"/>
      <c r="D172" s="2"/>
      <c r="F172" s="3"/>
      <c r="G172" s="3"/>
      <c r="H172" s="3">
        <f>IF($G172="","",G172-F172)</f>
      </c>
      <c r="I172" s="3">
        <f>IF($G172="","",H172*16.67%)</f>
      </c>
      <c r="J172" s="3">
        <f>IF($G172="","",G172*7%)</f>
      </c>
      <c r="K172" s="3">
        <f>IF($G172="","",J172*20%)</f>
      </c>
      <c r="L172" s="3"/>
      <c r="M172" s="3">
        <f>IF($G172="","",L172*20%)</f>
      </c>
      <c r="N172" s="3">
        <v>1</v>
      </c>
      <c r="O172" s="3">
        <f>IF($G172="","",K172+M172)</f>
      </c>
      <c r="P172" s="3">
        <f>IF($G172="","",H172-I172-J172-K172-L172-M172-N172)</f>
      </c>
      <c r="Q172" s="3">
        <f>IF($G172="","",(P172-Y172)/F172*100)</f>
      </c>
      <c r="R172" s="3">
        <f>IF($G172="","",I172-O172)</f>
      </c>
      <c r="Z172" s="3">
        <f>IF($G172="","",P172-Y172)</f>
      </c>
    </row>
    <row r="173" spans="1:26" x14ac:dyDescent="0.25">
      <c r="A173" s="1"/>
      <c r="D173" s="2"/>
      <c r="F173" s="3"/>
      <c r="G173" s="3"/>
      <c r="H173" s="3">
        <f>IF($G173="","",G173-F173)</f>
      </c>
      <c r="I173" s="3">
        <f>IF($G173="","",H173*16.67%)</f>
      </c>
      <c r="J173" s="3">
        <f>IF($G173="","",G173*7%)</f>
      </c>
      <c r="K173" s="3">
        <f>IF($G173="","",J173*20%)</f>
      </c>
      <c r="L173" s="3"/>
      <c r="M173" s="3">
        <f>IF($G173="","",L173*20%)</f>
      </c>
      <c r="N173" s="3">
        <v>1</v>
      </c>
      <c r="O173" s="3">
        <f>IF($G173="","",K173+M173)</f>
      </c>
      <c r="P173" s="3">
        <f>IF($G173="","",H173-I173-J173-K173-L173-M173-N173)</f>
      </c>
      <c r="Q173" s="3">
        <f>IF($G173="","",(P173-Y173)/F173*100)</f>
      </c>
      <c r="R173" s="3">
        <f>IF($G173="","",I173-O173)</f>
      </c>
      <c r="Z173" s="3">
        <f>IF($G173="","",P173-Y173)</f>
      </c>
    </row>
    <row r="174" spans="1:26" x14ac:dyDescent="0.25">
      <c r="A174" s="1"/>
      <c r="D174" s="2"/>
      <c r="F174" s="3"/>
      <c r="G174" s="3"/>
      <c r="H174" s="3">
        <f>IF($G174="","",G174-F174)</f>
      </c>
      <c r="I174" s="3">
        <f>IF($G174="","",H174*16.67%)</f>
      </c>
      <c r="J174" s="3">
        <f>IF($G174="","",G174*7%)</f>
      </c>
      <c r="K174" s="3">
        <f>IF($G174="","",J174*20%)</f>
      </c>
      <c r="L174" s="3"/>
      <c r="M174" s="3">
        <f>IF($G174="","",L174*20%)</f>
      </c>
      <c r="N174" s="3">
        <v>1</v>
      </c>
      <c r="O174" s="3">
        <f>IF($G174="","",K174+M174)</f>
      </c>
      <c r="P174" s="3">
        <f>IF($G174="","",H174-I174-J174-K174-L174-M174-N174)</f>
      </c>
      <c r="Q174" s="3">
        <f>IF($G174="","",(P174-Y174)/F174*100)</f>
      </c>
      <c r="R174" s="3">
        <f>IF($G174="","",I174-O174)</f>
      </c>
      <c r="Z174" s="3">
        <f>IF($G174="","",P174-Y174)</f>
      </c>
    </row>
    <row r="175" spans="1:26" x14ac:dyDescent="0.25">
      <c r="A175" s="1"/>
      <c r="D175" s="2"/>
      <c r="F175" s="3"/>
      <c r="G175" s="3"/>
      <c r="H175" s="3">
        <f>IF($G175="","",G175-F175)</f>
      </c>
      <c r="I175" s="3">
        <f>IF($G175="","",H175*16.67%)</f>
      </c>
      <c r="J175" s="3">
        <f>IF($G175="","",G175*7%)</f>
      </c>
      <c r="K175" s="3">
        <f>IF($G175="","",J175*20%)</f>
      </c>
      <c r="L175" s="3"/>
      <c r="M175" s="3">
        <f>IF($G175="","",L175*20%)</f>
      </c>
      <c r="N175" s="3">
        <v>1</v>
      </c>
      <c r="O175" s="3">
        <f>IF($G175="","",K175+M175)</f>
      </c>
      <c r="P175" s="3">
        <f>IF($G175="","",H175-I175-J175-K175-L175-M175-N175)</f>
      </c>
      <c r="Q175" s="3">
        <f>IF($G175="","",(P175-Y175)/F175*100)</f>
      </c>
      <c r="R175" s="3">
        <f>IF($G175="","",I175-O175)</f>
      </c>
      <c r="Z175" s="3">
        <f>IF($G175="","",P175-Y175)</f>
      </c>
    </row>
    <row r="176" spans="1:26" x14ac:dyDescent="0.25">
      <c r="A176" s="1"/>
      <c r="D176" s="2"/>
      <c r="F176" s="3"/>
      <c r="G176" s="3"/>
      <c r="H176" s="3">
        <f>IF($G176="","",G176-F176)</f>
      </c>
      <c r="I176" s="3">
        <f>IF($G176="","",H176*16.67%)</f>
      </c>
      <c r="J176" s="3">
        <f>IF($G176="","",G176*7%)</f>
      </c>
      <c r="K176" s="3">
        <f>IF($G176="","",J176*20%)</f>
      </c>
      <c r="L176" s="3"/>
      <c r="M176" s="3">
        <f>IF($G176="","",L176*20%)</f>
      </c>
      <c r="N176" s="3">
        <v>1</v>
      </c>
      <c r="O176" s="3">
        <f>IF($G176="","",K176+M176)</f>
      </c>
      <c r="P176" s="3">
        <f>IF($G176="","",H176-I176-J176-K176-L176-M176-N176)</f>
      </c>
      <c r="Q176" s="3">
        <f>IF($G176="","",(P176-Y176)/F176*100)</f>
      </c>
      <c r="R176" s="3">
        <f>IF($G176="","",I176-O176)</f>
      </c>
      <c r="Z176" s="3">
        <f>IF($G176="","",P176-Y176)</f>
      </c>
    </row>
    <row r="177" spans="1:26" x14ac:dyDescent="0.25">
      <c r="A177" s="1"/>
      <c r="D177" s="2"/>
      <c r="F177" s="3"/>
      <c r="G177" s="3"/>
      <c r="H177" s="3">
        <f>IF($G177="","",G177-F177)</f>
      </c>
      <c r="I177" s="3">
        <f>IF($G177="","",H177*16.67%)</f>
      </c>
      <c r="J177" s="3">
        <f>IF($G177="","",G177*7%)</f>
      </c>
      <c r="K177" s="3">
        <f>IF($G177="","",J177*20%)</f>
      </c>
      <c r="L177" s="3"/>
      <c r="M177" s="3">
        <f>IF($G177="","",L177*20%)</f>
      </c>
      <c r="N177" s="3">
        <v>1</v>
      </c>
      <c r="O177" s="3">
        <f>IF($G177="","",K177+M177)</f>
      </c>
      <c r="P177" s="3">
        <f>IF($G177="","",H177-I177-J177-K177-L177-M177-N177)</f>
      </c>
      <c r="Q177" s="3">
        <f>IF($G177="","",(P177-Y177)/F177*100)</f>
      </c>
      <c r="R177" s="3">
        <f>IF($G177="","",I177-O177)</f>
      </c>
      <c r="Z177" s="3">
        <f>IF($G177="","",P177-Y177)</f>
      </c>
    </row>
    <row r="178" spans="1:26" x14ac:dyDescent="0.25">
      <c r="A178" s="1"/>
      <c r="D178" s="2"/>
      <c r="F178" s="3"/>
      <c r="G178" s="3"/>
      <c r="H178" s="3">
        <f>IF($G178="","",G178-F178)</f>
      </c>
      <c r="I178" s="3">
        <f>IF($G178="","",H178*16.67%)</f>
      </c>
      <c r="J178" s="3">
        <f>IF($G178="","",G178*7%)</f>
      </c>
      <c r="K178" s="3">
        <f>IF($G178="","",J178*20%)</f>
      </c>
      <c r="L178" s="3"/>
      <c r="M178" s="3">
        <f>IF($G178="","",L178*20%)</f>
      </c>
      <c r="N178" s="3">
        <v>1</v>
      </c>
      <c r="O178" s="3">
        <f>IF($G178="","",K178+M178)</f>
      </c>
      <c r="P178" s="3">
        <f>IF($G178="","",H178-I178-J178-K178-L178-M178-N178)</f>
      </c>
      <c r="Q178" s="3">
        <f>IF($G178="","",(P178-Y178)/F178*100)</f>
      </c>
      <c r="R178" s="3">
        <f>IF($G178="","",I178-O178)</f>
      </c>
      <c r="Z178" s="3">
        <f>IF($G178="","",P178-Y178)</f>
      </c>
    </row>
    <row r="179" spans="1:26" x14ac:dyDescent="0.25">
      <c r="A179" s="1"/>
      <c r="D179" s="2"/>
      <c r="F179" s="3"/>
      <c r="G179" s="3"/>
      <c r="H179" s="3">
        <f>IF($G179="","",G179-F179)</f>
      </c>
      <c r="I179" s="3">
        <f>IF($G179="","",H179*16.67%)</f>
      </c>
      <c r="J179" s="3">
        <f>IF($G179="","",G179*7%)</f>
      </c>
      <c r="K179" s="3">
        <f>IF($G179="","",J179*20%)</f>
      </c>
      <c r="L179" s="3"/>
      <c r="M179" s="3">
        <f>IF($G179="","",L179*20%)</f>
      </c>
      <c r="N179" s="3">
        <v>1</v>
      </c>
      <c r="O179" s="3">
        <f>IF($G179="","",K179+M179)</f>
      </c>
      <c r="P179" s="3">
        <f>IF($G179="","",H179-I179-J179-K179-L179-M179-N179)</f>
      </c>
      <c r="Q179" s="3">
        <f>IF($G179="","",(P179-Y179)/F179*100)</f>
      </c>
      <c r="R179" s="3">
        <f>IF($G179="","",I179-O179)</f>
      </c>
      <c r="Z179" s="3">
        <f>IF($G179="","",P179-Y179)</f>
      </c>
    </row>
    <row r="180" spans="1:26" x14ac:dyDescent="0.25">
      <c r="A180" s="1"/>
      <c r="D180" s="2"/>
      <c r="F180" s="3"/>
      <c r="G180" s="3"/>
      <c r="H180" s="3">
        <f>IF($G180="","",G180-F180)</f>
      </c>
      <c r="I180" s="3">
        <f>IF($G180="","",H180*16.67%)</f>
      </c>
      <c r="J180" s="3">
        <f>IF($G180="","",G180*7%)</f>
      </c>
      <c r="K180" s="3">
        <f>IF($G180="","",J180*20%)</f>
      </c>
      <c r="L180" s="3"/>
      <c r="M180" s="3">
        <f>IF($G180="","",L180*20%)</f>
      </c>
      <c r="N180" s="3">
        <v>1</v>
      </c>
      <c r="O180" s="3">
        <f>IF($G180="","",K180+M180)</f>
      </c>
      <c r="P180" s="3">
        <f>IF($G180="","",H180-I180-J180-K180-L180-M180-N180)</f>
      </c>
      <c r="Q180" s="3">
        <f>IF($G180="","",(P180-Y180)/F180*100)</f>
      </c>
      <c r="R180" s="3">
        <f>IF($G180="","",I180-O180)</f>
      </c>
      <c r="Z180" s="3">
        <f>IF($G180="","",P180-Y180)</f>
      </c>
    </row>
    <row r="181" spans="1:26" x14ac:dyDescent="0.25">
      <c r="A181" s="1"/>
      <c r="D181" s="2"/>
      <c r="F181" s="3"/>
      <c r="G181" s="3"/>
      <c r="H181" s="3">
        <f>IF($G181="","",G181-F181)</f>
      </c>
      <c r="I181" s="3">
        <f>IF($G181="","",H181*16.67%)</f>
      </c>
      <c r="J181" s="3">
        <f>IF($G181="","",G181*7%)</f>
      </c>
      <c r="K181" s="3">
        <f>IF($G181="","",J181*20%)</f>
      </c>
      <c r="L181" s="3"/>
      <c r="M181" s="3">
        <f>IF($G181="","",L181*20%)</f>
      </c>
      <c r="N181" s="3">
        <v>1</v>
      </c>
      <c r="O181" s="3">
        <f>IF($G181="","",K181+M181)</f>
      </c>
      <c r="P181" s="3">
        <f>IF($G181="","",H181-I181-J181-K181-L181-M181-N181)</f>
      </c>
      <c r="Q181" s="3">
        <f>IF($G181="","",(P181-Y181)/F181*100)</f>
      </c>
      <c r="R181" s="3">
        <f>IF($G181="","",I181-O181)</f>
      </c>
      <c r="Z181" s="3">
        <f>IF($G181="","",P181-Y181)</f>
      </c>
    </row>
    <row r="182" spans="1:26" x14ac:dyDescent="0.25">
      <c r="A182" s="1"/>
      <c r="D182" s="2"/>
      <c r="F182" s="3"/>
      <c r="G182" s="3"/>
      <c r="H182" s="3">
        <f>IF($G182="","",G182-F182)</f>
      </c>
      <c r="I182" s="3">
        <f>IF($G182="","",H182*16.67%)</f>
      </c>
      <c r="J182" s="3">
        <f>IF($G182="","",G182*7%)</f>
      </c>
      <c r="K182" s="3">
        <f>IF($G182="","",J182*20%)</f>
      </c>
      <c r="L182" s="3"/>
      <c r="M182" s="3">
        <f>IF($G182="","",L182*20%)</f>
      </c>
      <c r="N182" s="3">
        <v>1</v>
      </c>
      <c r="O182" s="3">
        <f>IF($G182="","",K182+M182)</f>
      </c>
      <c r="P182" s="3">
        <f>IF($G182="","",H182-I182-J182-K182-L182-M182-N182)</f>
      </c>
      <c r="Q182" s="3">
        <f>IF($G182="","",(P182-Y182)/F182*100)</f>
      </c>
      <c r="R182" s="3">
        <f>IF($G182="","",I182-O182)</f>
      </c>
      <c r="Z182" s="3">
        <f>IF($G182="","",P182-Y182)</f>
      </c>
    </row>
    <row r="183" spans="1:26" x14ac:dyDescent="0.25">
      <c r="A183" s="1"/>
      <c r="D183" s="2"/>
      <c r="F183" s="3"/>
      <c r="G183" s="3"/>
      <c r="H183" s="3">
        <f>IF($G183="","",G183-F183)</f>
      </c>
      <c r="I183" s="3">
        <f>IF($G183="","",H183*16.67%)</f>
      </c>
      <c r="J183" s="3">
        <f>IF($G183="","",G183*7%)</f>
      </c>
      <c r="K183" s="3">
        <f>IF($G183="","",J183*20%)</f>
      </c>
      <c r="L183" s="3"/>
      <c r="M183" s="3">
        <f>IF($G183="","",L183*20%)</f>
      </c>
      <c r="N183" s="3">
        <v>1</v>
      </c>
      <c r="O183" s="3">
        <f>IF($G183="","",K183+M183)</f>
      </c>
      <c r="P183" s="3">
        <f>IF($G183="","",H183-I183-J183-K183-L183-M183-N183)</f>
      </c>
      <c r="Q183" s="3">
        <f>IF($G183="","",(P183-Y183)/F183*100)</f>
      </c>
      <c r="R183" s="3">
        <f>IF($G183="","",I183-O183)</f>
      </c>
      <c r="Z183" s="3">
        <f>IF($G183="","",P183-Y183)</f>
      </c>
    </row>
    <row r="184" spans="1:26" x14ac:dyDescent="0.25">
      <c r="A184" s="1"/>
      <c r="D184" s="2"/>
      <c r="F184" s="3"/>
      <c r="G184" s="3"/>
      <c r="H184" s="3">
        <f>IF($G184="","",G184-F184)</f>
      </c>
      <c r="I184" s="3">
        <f>IF($G184="","",H184*16.67%)</f>
      </c>
      <c r="J184" s="3">
        <f>IF($G184="","",G184*7%)</f>
      </c>
      <c r="K184" s="3">
        <f>IF($G184="","",J184*20%)</f>
      </c>
      <c r="L184" s="3"/>
      <c r="M184" s="3">
        <f>IF($G184="","",L184*20%)</f>
      </c>
      <c r="N184" s="3">
        <v>1</v>
      </c>
      <c r="O184" s="3">
        <f>IF($G184="","",K184+M184)</f>
      </c>
      <c r="P184" s="3">
        <f>IF($G184="","",H184-I184-J184-K184-L184-M184-N184)</f>
      </c>
      <c r="Q184" s="3">
        <f>IF($G184="","",(P184-Y184)/F184*100)</f>
      </c>
      <c r="R184" s="3">
        <f>IF($G184="","",I184-O184)</f>
      </c>
      <c r="Z184" s="3">
        <f>IF($G184="","",P184-Y184)</f>
      </c>
    </row>
    <row r="185" spans="1:26" x14ac:dyDescent="0.25">
      <c r="A185" s="1"/>
      <c r="D185" s="2"/>
      <c r="F185" s="3"/>
      <c r="G185" s="3"/>
      <c r="H185" s="3">
        <f>IF($G185="","",G185-F185)</f>
      </c>
      <c r="I185" s="3">
        <f>IF($G185="","",H185*16.67%)</f>
      </c>
      <c r="J185" s="3">
        <f>IF($G185="","",G185*7%)</f>
      </c>
      <c r="K185" s="3">
        <f>IF($G185="","",J185*20%)</f>
      </c>
      <c r="L185" s="3"/>
      <c r="M185" s="3">
        <f>IF($G185="","",L185*20%)</f>
      </c>
      <c r="N185" s="3">
        <v>1</v>
      </c>
      <c r="O185" s="3">
        <f>IF($G185="","",K185+M185)</f>
      </c>
      <c r="P185" s="3">
        <f>IF($G185="","",H185-I185-J185-K185-L185-M185-N185)</f>
      </c>
      <c r="Q185" s="3">
        <f>IF($G185="","",(P185-Y185)/F185*100)</f>
      </c>
      <c r="R185" s="3">
        <f>IF($G185="","",I185-O185)</f>
      </c>
      <c r="Z185" s="3">
        <f>IF($G185="","",P185-Y185)</f>
      </c>
    </row>
    <row r="186" spans="1:26" x14ac:dyDescent="0.25">
      <c r="A186" s="1"/>
      <c r="D186" s="2"/>
      <c r="F186" s="3"/>
      <c r="G186" s="3"/>
      <c r="H186" s="3">
        <f>IF($G186="","",G186-F186)</f>
      </c>
      <c r="I186" s="3">
        <f>IF($G186="","",H186*16.67%)</f>
      </c>
      <c r="J186" s="3">
        <f>IF($G186="","",G186*7%)</f>
      </c>
      <c r="K186" s="3">
        <f>IF($G186="","",J186*20%)</f>
      </c>
      <c r="L186" s="3"/>
      <c r="M186" s="3">
        <f>IF($G186="","",L186*20%)</f>
      </c>
      <c r="N186" s="3">
        <v>1</v>
      </c>
      <c r="O186" s="3">
        <f>IF($G186="","",K186+M186)</f>
      </c>
      <c r="P186" s="3">
        <f>IF($G186="","",H186-I186-J186-K186-L186-M186-N186)</f>
      </c>
      <c r="Q186" s="3">
        <f>IF($G186="","",(P186-Y186)/F186*100)</f>
      </c>
      <c r="R186" s="3">
        <f>IF($G186="","",I186-O186)</f>
      </c>
      <c r="Z186" s="3">
        <f>IF($G186="","",P186-Y186)</f>
      </c>
    </row>
    <row r="187" spans="1:26" x14ac:dyDescent="0.25">
      <c r="A187" s="1"/>
      <c r="D187" s="2"/>
      <c r="F187" s="3"/>
      <c r="G187" s="3"/>
      <c r="H187" s="3">
        <f>IF($G187="","",G187-F187)</f>
      </c>
      <c r="I187" s="3">
        <f>IF($G187="","",H187*16.67%)</f>
      </c>
      <c r="J187" s="3">
        <f>IF($G187="","",G187*7%)</f>
      </c>
      <c r="K187" s="3">
        <f>IF($G187="","",J187*20%)</f>
      </c>
      <c r="L187" s="3"/>
      <c r="M187" s="3">
        <f>IF($G187="","",L187*20%)</f>
      </c>
      <c r="N187" s="3">
        <v>1</v>
      </c>
      <c r="O187" s="3">
        <f>IF($G187="","",K187+M187)</f>
      </c>
      <c r="P187" s="3">
        <f>IF($G187="","",H187-I187-J187-K187-L187-M187-N187)</f>
      </c>
      <c r="Q187" s="3">
        <f>IF($G187="","",(P187-Y187)/F187*100)</f>
      </c>
      <c r="R187" s="3">
        <f>IF($G187="","",I187-O187)</f>
      </c>
      <c r="Z187" s="3">
        <f>IF($G187="","",P187-Y187)</f>
      </c>
    </row>
    <row r="188" spans="1:26" x14ac:dyDescent="0.25">
      <c r="A188" s="1"/>
      <c r="D188" s="2"/>
      <c r="F188" s="3"/>
      <c r="G188" s="3"/>
      <c r="H188" s="3">
        <f>IF($G188="","",G188-F188)</f>
      </c>
      <c r="I188" s="3">
        <f>IF($G188="","",H188*16.67%)</f>
      </c>
      <c r="J188" s="3">
        <f>IF($G188="","",G188*7%)</f>
      </c>
      <c r="K188" s="3">
        <f>IF($G188="","",J188*20%)</f>
      </c>
      <c r="L188" s="3"/>
      <c r="M188" s="3">
        <f>IF($G188="","",L188*20%)</f>
      </c>
      <c r="N188" s="3">
        <v>1</v>
      </c>
      <c r="O188" s="3">
        <f>IF($G188="","",K188+M188)</f>
      </c>
      <c r="P188" s="3">
        <f>IF($G188="","",H188-I188-J188-K188-L188-M188-N188)</f>
      </c>
      <c r="Q188" s="3">
        <f>IF($G188="","",(P188-Y188)/F188*100)</f>
      </c>
      <c r="R188" s="3">
        <f>IF($G188="","",I188-O188)</f>
      </c>
      <c r="Z188" s="3">
        <f>IF($G188="","",P188-Y188)</f>
      </c>
    </row>
    <row r="189" spans="1:26" x14ac:dyDescent="0.25">
      <c r="A189" s="1"/>
      <c r="D189" s="2"/>
      <c r="F189" s="3"/>
      <c r="G189" s="3"/>
      <c r="H189" s="3">
        <f>IF($G189="","",G189-F189)</f>
      </c>
      <c r="I189" s="3">
        <f>IF($G189="","",H189*16.67%)</f>
      </c>
      <c r="J189" s="3">
        <f>IF($G189="","",G189*7%)</f>
      </c>
      <c r="K189" s="3">
        <f>IF($G189="","",J189*20%)</f>
      </c>
      <c r="L189" s="3"/>
      <c r="M189" s="3">
        <f>IF($G189="","",L189*20%)</f>
      </c>
      <c r="N189" s="3">
        <v>1</v>
      </c>
      <c r="O189" s="3">
        <f>IF($G189="","",K189+M189)</f>
      </c>
      <c r="P189" s="3">
        <f>IF($G189="","",H189-I189-J189-K189-L189-M189-N189)</f>
      </c>
      <c r="Q189" s="3">
        <f>IF($G189="","",(P189-Y189)/F189*100)</f>
      </c>
      <c r="R189" s="3">
        <f>IF($G189="","",I189-O189)</f>
      </c>
      <c r="Z189" s="3">
        <f>IF($G189="","",P189-Y189)</f>
      </c>
    </row>
    <row r="190" spans="1:26" x14ac:dyDescent="0.25">
      <c r="A190" s="1"/>
      <c r="D190" s="2"/>
      <c r="F190" s="3"/>
      <c r="G190" s="3"/>
      <c r="H190" s="3">
        <f>IF($G190="","",G190-F190)</f>
      </c>
      <c r="I190" s="3">
        <f>IF($G190="","",H190*16.67%)</f>
      </c>
      <c r="J190" s="3">
        <f>IF($G190="","",G190*7%)</f>
      </c>
      <c r="K190" s="3">
        <f>IF($G190="","",J190*20%)</f>
      </c>
      <c r="L190" s="3"/>
      <c r="M190" s="3">
        <f>IF($G190="","",L190*20%)</f>
      </c>
      <c r="N190" s="3">
        <v>1</v>
      </c>
      <c r="O190" s="3">
        <f>IF($G190="","",K190+M190)</f>
      </c>
      <c r="P190" s="3">
        <f>IF($G190="","",H190-I190-J190-K190-L190-M190-N190)</f>
      </c>
      <c r="Q190" s="3">
        <f>IF($G190="","",(P190-Y190)/F190*100)</f>
      </c>
      <c r="R190" s="3">
        <f>IF($G190="","",I190-O190)</f>
      </c>
      <c r="Z190" s="3">
        <f>IF($G190="","",P190-Y190)</f>
      </c>
    </row>
    <row r="191" spans="1:26" x14ac:dyDescent="0.25">
      <c r="A191" s="1"/>
      <c r="D191" s="2"/>
      <c r="F191" s="3"/>
      <c r="G191" s="3"/>
      <c r="H191" s="3">
        <f>IF($G191="","",G191-F191)</f>
      </c>
      <c r="I191" s="3">
        <f>IF($G191="","",H191*16.67%)</f>
      </c>
      <c r="J191" s="3">
        <f>IF($G191="","",G191*7%)</f>
      </c>
      <c r="K191" s="3">
        <f>IF($G191="","",J191*20%)</f>
      </c>
      <c r="L191" s="3"/>
      <c r="M191" s="3">
        <f>IF($G191="","",L191*20%)</f>
      </c>
      <c r="N191" s="3">
        <v>1</v>
      </c>
      <c r="O191" s="3">
        <f>IF($G191="","",K191+M191)</f>
      </c>
      <c r="P191" s="3">
        <f>IF($G191="","",H191-I191-J191-K191-L191-M191-N191)</f>
      </c>
      <c r="Q191" s="3">
        <f>IF($G191="","",(P191-Y191)/F191*100)</f>
      </c>
      <c r="R191" s="3">
        <f>IF($G191="","",I191-O191)</f>
      </c>
      <c r="Z191" s="3">
        <f>IF($G191="","",P191-Y191)</f>
      </c>
    </row>
    <row r="192" spans="1:26" x14ac:dyDescent="0.25">
      <c r="A192" s="1"/>
      <c r="D192" s="2"/>
      <c r="F192" s="3"/>
      <c r="G192" s="3"/>
      <c r="H192" s="3">
        <f>IF($G192="","",G192-F192)</f>
      </c>
      <c r="I192" s="3">
        <f>IF($G192="","",H192*16.67%)</f>
      </c>
      <c r="J192" s="3">
        <f>IF($G192="","",G192*7%)</f>
      </c>
      <c r="K192" s="3">
        <f>IF($G192="","",J192*20%)</f>
      </c>
      <c r="L192" s="3"/>
      <c r="M192" s="3">
        <f>IF($G192="","",L192*20%)</f>
      </c>
      <c r="N192" s="3">
        <v>1</v>
      </c>
      <c r="O192" s="3">
        <f>IF($G192="","",K192+M192)</f>
      </c>
      <c r="P192" s="3">
        <f>IF($G192="","",H192-I192-J192-K192-L192-M192-N192)</f>
      </c>
      <c r="Q192" s="3">
        <f>IF($G192="","",(P192-Y192)/F192*100)</f>
      </c>
      <c r="R192" s="3">
        <f>IF($G192="","",I192-O192)</f>
      </c>
      <c r="Z192" s="3">
        <f>IF($G192="","",P192-Y192)</f>
      </c>
    </row>
    <row r="193" spans="1:26" x14ac:dyDescent="0.25">
      <c r="A193" s="1"/>
      <c r="D193" s="2"/>
      <c r="F193" s="3"/>
      <c r="G193" s="3"/>
      <c r="H193" s="3">
        <f>IF($G193="","",G193-F193)</f>
      </c>
      <c r="I193" s="3">
        <f>IF($G193="","",H193*16.67%)</f>
      </c>
      <c r="J193" s="3">
        <f>IF($G193="","",G193*7%)</f>
      </c>
      <c r="K193" s="3">
        <f>IF($G193="","",J193*20%)</f>
      </c>
      <c r="L193" s="3"/>
      <c r="M193" s="3">
        <f>IF($G193="","",L193*20%)</f>
      </c>
      <c r="N193" s="3">
        <v>1</v>
      </c>
      <c r="O193" s="3">
        <f>IF($G193="","",K193+M193)</f>
      </c>
      <c r="P193" s="3">
        <f>IF($G193="","",H193-I193-J193-K193-L193-M193-N193)</f>
      </c>
      <c r="Q193" s="3">
        <f>IF($G193="","",(P193-Y193)/F193*100)</f>
      </c>
      <c r="R193" s="3">
        <f>IF($G193="","",I193-O193)</f>
      </c>
      <c r="Z193" s="3">
        <f>IF($G193="","",P193-Y193)</f>
      </c>
    </row>
    <row r="194" spans="1:26" x14ac:dyDescent="0.25">
      <c r="A194" s="1"/>
      <c r="D194" s="2"/>
      <c r="F194" s="3"/>
      <c r="G194" s="3"/>
      <c r="H194" s="3">
        <f>IF($G194="","",G194-F194)</f>
      </c>
      <c r="I194" s="3">
        <f>IF($G194="","",H194*16.67%)</f>
      </c>
      <c r="J194" s="3">
        <f>IF($G194="","",G194*7%)</f>
      </c>
      <c r="K194" s="3">
        <f>IF($G194="","",J194*20%)</f>
      </c>
      <c r="L194" s="3"/>
      <c r="M194" s="3">
        <f>IF($G194="","",L194*20%)</f>
      </c>
      <c r="N194" s="3">
        <v>1</v>
      </c>
      <c r="O194" s="3">
        <f>IF($G194="","",K194+M194)</f>
      </c>
      <c r="P194" s="3">
        <f>IF($G194="","",H194-I194-J194-K194-L194-M194-N194)</f>
      </c>
      <c r="Q194" s="3">
        <f>IF($G194="","",(P194-Y194)/F194*100)</f>
      </c>
      <c r="R194" s="3">
        <f>IF($G194="","",I194-O194)</f>
      </c>
      <c r="Z194" s="3">
        <f>IF($G194="","",P194-Y194)</f>
      </c>
    </row>
    <row r="195" spans="1:26" x14ac:dyDescent="0.25">
      <c r="A195" s="1"/>
      <c r="D195" s="2"/>
      <c r="F195" s="3"/>
      <c r="G195" s="3"/>
      <c r="H195" s="3">
        <f>IF($G195="","",G195-F195)</f>
      </c>
      <c r="I195" s="3">
        <f>IF($G195="","",H195*16.67%)</f>
      </c>
      <c r="J195" s="3">
        <f>IF($G195="","",G195*7%)</f>
      </c>
      <c r="K195" s="3">
        <f>IF($G195="","",J195*20%)</f>
      </c>
      <c r="L195" s="3"/>
      <c r="M195" s="3">
        <f>IF($G195="","",L195*20%)</f>
      </c>
      <c r="N195" s="3">
        <v>1</v>
      </c>
      <c r="O195" s="3">
        <f>IF($G195="","",K195+M195)</f>
      </c>
      <c r="P195" s="3">
        <f>IF($G195="","",H195-I195-J195-K195-L195-M195-N195)</f>
      </c>
      <c r="Q195" s="3">
        <f>IF($G195="","",(P195-Y195)/F195*100)</f>
      </c>
      <c r="R195" s="3">
        <f>IF($G195="","",I195-O195)</f>
      </c>
      <c r="Z195" s="3">
        <f>IF($G195="","",P195-Y195)</f>
      </c>
    </row>
    <row r="196" spans="1:26" x14ac:dyDescent="0.25">
      <c r="A196" s="1"/>
      <c r="D196" s="2"/>
      <c r="F196" s="3"/>
      <c r="G196" s="3"/>
      <c r="H196" s="3">
        <f>IF($G196="","",G196-F196)</f>
      </c>
      <c r="I196" s="3">
        <f>IF($G196="","",H196*16.67%)</f>
      </c>
      <c r="J196" s="3">
        <f>IF($G196="","",G196*7%)</f>
      </c>
      <c r="K196" s="3">
        <f>IF($G196="","",J196*20%)</f>
      </c>
      <c r="L196" s="3"/>
      <c r="M196" s="3">
        <f>IF($G196="","",L196*20%)</f>
      </c>
      <c r="N196" s="3">
        <v>1</v>
      </c>
      <c r="O196" s="3">
        <f>IF($G196="","",K196+M196)</f>
      </c>
      <c r="P196" s="3">
        <f>IF($G196="","",H196-I196-J196-K196-L196-M196-N196)</f>
      </c>
      <c r="Q196" s="3">
        <f>IF($G196="","",(P196-Y196)/F196*100)</f>
      </c>
      <c r="R196" s="3">
        <f>IF($G196="","",I196-O196)</f>
      </c>
      <c r="Z196" s="3">
        <f>IF($G196="","",P196-Y196)</f>
      </c>
    </row>
    <row r="197" spans="1:26" x14ac:dyDescent="0.25">
      <c r="A197" s="1"/>
      <c r="D197" s="2"/>
      <c r="F197" s="3"/>
      <c r="G197" s="3"/>
      <c r="H197" s="3">
        <f>IF($G197="","",G197-F197)</f>
      </c>
      <c r="I197" s="3">
        <f>IF($G197="","",H197*16.67%)</f>
      </c>
      <c r="J197" s="3">
        <f>IF($G197="","",G197*7%)</f>
      </c>
      <c r="K197" s="3">
        <f>IF($G197="","",J197*20%)</f>
      </c>
      <c r="L197" s="3"/>
      <c r="M197" s="3">
        <f>IF($G197="","",L197*20%)</f>
      </c>
      <c r="N197" s="3">
        <v>1</v>
      </c>
      <c r="O197" s="3">
        <f>IF($G197="","",K197+M197)</f>
      </c>
      <c r="P197" s="3">
        <f>IF($G197="","",H197-I197-J197-K197-L197-M197-N197)</f>
      </c>
      <c r="Q197" s="3">
        <f>IF($G197="","",(P197-Y197)/F197*100)</f>
      </c>
      <c r="R197" s="3">
        <f>IF($G197="","",I197-O197)</f>
      </c>
      <c r="Z197" s="3">
        <f>IF($G197="","",P197-Y197)</f>
      </c>
    </row>
    <row r="198" spans="1:26" x14ac:dyDescent="0.25">
      <c r="A198" s="1"/>
      <c r="D198" s="2"/>
      <c r="F198" s="3"/>
      <c r="G198" s="3"/>
      <c r="H198" s="3">
        <f>IF($G198="","",G198-F198)</f>
      </c>
      <c r="I198" s="3">
        <f>IF($G198="","",H198*16.67%)</f>
      </c>
      <c r="J198" s="3">
        <f>IF($G198="","",G198*7%)</f>
      </c>
      <c r="K198" s="3">
        <f>IF($G198="","",J198*20%)</f>
      </c>
      <c r="L198" s="3"/>
      <c r="M198" s="3">
        <f>IF($G198="","",L198*20%)</f>
      </c>
      <c r="N198" s="3">
        <v>1</v>
      </c>
      <c r="O198" s="3">
        <f>IF($G198="","",K198+M198)</f>
      </c>
      <c r="P198" s="3">
        <f>IF($G198="","",H198-I198-J198-K198-L198-M198-N198)</f>
      </c>
      <c r="Q198" s="3">
        <f>IF($G198="","",(P198-Y198)/F198*100)</f>
      </c>
      <c r="R198" s="3">
        <f>IF($G198="","",I198-O198)</f>
      </c>
      <c r="Z198" s="3">
        <f>IF($G198="","",P198-Y198)</f>
      </c>
    </row>
    <row r="199" spans="1:26" x14ac:dyDescent="0.25">
      <c r="A199" s="1"/>
      <c r="D199" s="2"/>
      <c r="F199" s="3"/>
      <c r="G199" s="3"/>
      <c r="H199" s="3">
        <f>IF($G199="","",G199-F199)</f>
      </c>
      <c r="I199" s="3">
        <f>IF($G199="","",H199*16.67%)</f>
      </c>
      <c r="J199" s="3">
        <f>IF($G199="","",G199*7%)</f>
      </c>
      <c r="K199" s="3">
        <f>IF($G199="","",J199*20%)</f>
      </c>
      <c r="L199" s="3"/>
      <c r="M199" s="3">
        <f>IF($G199="","",L199*20%)</f>
      </c>
      <c r="N199" s="3">
        <v>1</v>
      </c>
      <c r="O199" s="3">
        <f>IF($G199="","",K199+M199)</f>
      </c>
      <c r="P199" s="3">
        <f>IF($G199="","",H199-I199-J199-K199-L199-M199-N199)</f>
      </c>
      <c r="Q199" s="3">
        <f>IF($G199="","",(P199-Y199)/F199*100)</f>
      </c>
      <c r="R199" s="3">
        <f>IF($G199="","",I199-O199)</f>
      </c>
      <c r="Z199" s="3">
        <f>IF($G199="","",P199-Y199)</f>
      </c>
    </row>
    <row r="200" spans="1:26" x14ac:dyDescent="0.25">
      <c r="A200" s="1"/>
      <c r="D200" s="2"/>
      <c r="F200" s="3"/>
      <c r="G200" s="3"/>
      <c r="H200" s="3">
        <f>IF($G200="","",G200-F200)</f>
      </c>
      <c r="I200" s="3">
        <f>IF($G200="","",H200*16.67%)</f>
      </c>
      <c r="J200" s="3">
        <f>IF($G200="","",G200*7%)</f>
      </c>
      <c r="K200" s="3">
        <f>IF($G200="","",J200*20%)</f>
      </c>
      <c r="L200" s="3"/>
      <c r="M200" s="3">
        <f>IF($G200="","",L200*20%)</f>
      </c>
      <c r="N200" s="3">
        <v>1</v>
      </c>
      <c r="O200" s="3">
        <f>IF($G200="","",K200+M200)</f>
      </c>
      <c r="P200" s="3">
        <f>IF($G200="","",H200-I200-J200-K200-L200-M200-N200)</f>
      </c>
      <c r="Q200" s="3">
        <f>IF($G200="","",(P200-Y200)/F200*100)</f>
      </c>
      <c r="R200" s="3">
        <f>IF($G200="","",I200-O200)</f>
      </c>
      <c r="Z200" s="3">
        <f>IF($G200="","",P200-Y200)</f>
      </c>
    </row>
    <row r="201" spans="1:26" x14ac:dyDescent="0.25">
      <c r="A201" s="1"/>
      <c r="D201" s="2"/>
      <c r="F201" s="3"/>
      <c r="G201" s="3"/>
      <c r="H201" s="3">
        <f>IF($G201="","",G201-F201)</f>
      </c>
      <c r="I201" s="3">
        <f>IF($G201="","",H201*16.67%)</f>
      </c>
      <c r="J201" s="3">
        <f>IF($G201="","",G201*7%)</f>
      </c>
      <c r="K201" s="3">
        <f>IF($G201="","",J201*20%)</f>
      </c>
      <c r="L201" s="3"/>
      <c r="M201" s="3">
        <f>IF($G201="","",L201*20%)</f>
      </c>
      <c r="N201" s="3">
        <v>1</v>
      </c>
      <c r="O201" s="3">
        <f>IF($G201="","",K201+M201)</f>
      </c>
      <c r="P201" s="3">
        <f>IF($G201="","",H201-I201-J201-K201-L201-M201-N201)</f>
      </c>
      <c r="Q201" s="3">
        <f>IF($G201="","",(P201-Y201)/F201*100)</f>
      </c>
      <c r="R201" s="3">
        <f>IF($G201="","",I201-O201)</f>
      </c>
      <c r="Z201" s="3">
        <f>IF($G201="","",P201-Y201)</f>
      </c>
    </row>
    <row r="202" spans="1:26" x14ac:dyDescent="0.25">
      <c r="A202" s="1"/>
      <c r="D202" s="2"/>
      <c r="F202" s="3"/>
      <c r="G202" s="3"/>
      <c r="H202" s="3">
        <f>IF($G202="","",G202-F202)</f>
      </c>
      <c r="I202" s="3">
        <f>IF($G202="","",H202*16.67%)</f>
      </c>
      <c r="J202" s="3">
        <f>IF($G202="","",G202*7%)</f>
      </c>
      <c r="K202" s="3">
        <f>IF($G202="","",J202*20%)</f>
      </c>
      <c r="L202" s="3"/>
      <c r="M202" s="3">
        <f>IF($G202="","",L202*20%)</f>
      </c>
      <c r="N202" s="3">
        <v>1</v>
      </c>
      <c r="O202" s="3">
        <f>IF($G202="","",K202+M202)</f>
      </c>
      <c r="P202" s="3">
        <f>IF($G202="","",H202-I202-J202-K202-L202-M202-N202)</f>
      </c>
      <c r="Q202" s="3">
        <f>IF($G202="","",(P202-Y202)/F202*100)</f>
      </c>
      <c r="R202" s="3">
        <f>IF($G202="","",I202-O202)</f>
      </c>
      <c r="Z202" s="3">
        <f>IF($G202="","",P202-Y202)</f>
      </c>
    </row>
    <row r="203" spans="1:28" s="4" customFormat="1" x14ac:dyDescent="0.25">
      <c r="A203" s="5" t="s">
        <v>33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IFERROR((P203-Y203)/F203*100,0)</f>
      </c>
      <c r="R203" s="6">
        <f>SUM(R2:R202)</f>
      </c>
      <c r="S203" s="4"/>
      <c r="T203" s="4"/>
      <c r="U203" s="4"/>
      <c r="V203" s="4"/>
      <c r="W203" s="4"/>
      <c r="X203" s="4"/>
      <c r="Y203" s="6">
        <f>SUM(Y2:Y202)</f>
      </c>
      <c r="Z203" s="6">
        <f>SUM(Z2:Z202)</f>
      </c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ONBUY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2026-08-03T20:38:01Z</dcterms:created>
  <dcterms:modified xsi:type="dcterms:W3CDTF">2026-08-03T20:38:01Z</dcterms:modified>
</cp:coreProperties>
</file>