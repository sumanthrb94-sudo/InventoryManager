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4" name="EBA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<sst xmlns="http://schemas.openxmlformats.org/spreadsheetml/2006/main" count="65" uniqueCount="62">
  <si>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</si>
  <si>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</si>
  <si>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</si>
  <si>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</si>
  <si>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</si>
  <si>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</si>
  <si>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</si>
  <si>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</si>
  <si>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Units</t>
  </si>
  <si>
    <t>BP</t>
  </si>
  <si>
    <t>SP</t>
  </si>
  <si>
    <t>SP-BP</t>
  </si>
  <si>
    <t>Marginal Tax</t>
  </si>
  <si>
    <t>Commission</t>
  </si>
  <si>
    <t>ROF</t>
  </si>
  <si>
    <t>FVF</t>
  </si>
  <si>
    <t>VAT</t>
  </si>
  <si>
    <t>T.COM</t>
  </si>
  <si>
    <t>Postage</t>
  </si>
  <si>
    <t>P. VAT</t>
  </si>
  <si>
    <t>Marketing</t>
  </si>
  <si>
    <t>M.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</si>
  <si>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</si>
  <si>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</si>
  <si>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</si>
  <si>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</si>
  <si>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</si>
  <si>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</si>
  <si>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</si>
  <si>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</si>
  <si>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</si>
  <si>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</si>
  <si>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Net GP £</t>
  </si>
  <si>
    <t>Return Date</t>
  </si>
  <si>
    <t>Outcome</t>
  </si>
  <si>
    <t>Shipping Legs</t>
  </si>
  <si>
    <t>Return Reason</t>
  </si>
  <si>
    <t>Comments</t>
  </si>
  <si>
    <t>EB-3310</t>
  </si>
  <si>
    <t>IP13P-256-GRA</t>
  </si>
  <si>
    <t>350100000023757</t>
  </si>
  <si>
    <t>Apple iPhone 13P 256GB</t>
  </si>
  <si>
    <t/>
  </si>
  <si>
    <t>CELLHUB TRADING</t>
  </si>
  <si>
    <t>TOTAL</t>
  </si>
  <si>
    <t>SALES TEMPLATE — same columns as the Sales Report</t>
  </si>
  <si>
    <t>What this is</t>
  </si>
  <si>
    <t>One sheet per marketplace (EBAY),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</si>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</sst>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45</v>
      </c>
      <c r="B1" t="s">
        <v>42</v>
      </c>
    </row>
    <row r="3" spans="1:2" x14ac:dyDescent="0.25">
      <c r="A3" s="4" t="s">
        <v>46</v>
      </c>
      <c r="B3" s="8" t="s">
        <v>47</v>
      </c>
    </row>
    <row r="4" spans="1:2" x14ac:dyDescent="0.25">
      <c r="A4" s="4" t="s">
        <v>48</v>
      </c>
      <c r="B4" s="8" t="s">
        <v>49</v>
      </c>
    </row>
    <row r="5" spans="1:2" x14ac:dyDescent="0.25">
      <c r="A5" s="4" t="s">
        <v>50</v>
      </c>
      <c r="B5" s="8" t="s">
        <v>51</v>
      </c>
    </row>
    <row r="6" spans="1:2" x14ac:dyDescent="0.25">
      <c r="A6" s="4" t="s">
        <v>52</v>
      </c>
      <c r="B6" s="8" t="s">
        <v>53</v>
      </c>
    </row>
    <row r="7" spans="1:2" x14ac:dyDescent="0.25">
      <c r="A7" s="4" t="s">
        <v>54</v>
      </c>
      <c r="B7" s="8" t="s">
        <v>55</v>
      </c>
    </row>
    <row r="8" spans="1:2" x14ac:dyDescent="0.25">
      <c r="A8" s="4" t="s">
        <v>56</v>
      </c>
      <c r="B8" s="8" t="s">
        <v>57</v>
      </c>
    </row>
    <row r="9" spans="1:2" x14ac:dyDescent="0.25">
      <c r="A9" s="4" t="s">
        <v>58</v>
      </c>
      <c r="B9" s="8" t="s">
        <v>59</v>
      </c>
    </row>
    <row r="10" spans="1:2" x14ac:dyDescent="0.25">
      <c r="A10" s="4" t="s">
        <v>60</v>
      </c>
      <c r="B10" s="8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3"/>
  <sheetFormatPr defaultRowHeight="15" outlineLevelRow="0" outlineLevelCol="0" x14ac:dyDescent="55"/>
  <sheetData>
    <row r="1" spans="1:3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</row>
    <row r="2" spans="1:38" x14ac:dyDescent="0.25">
      <c r="A2" s="1">
        <v>46235.5</v>
      </c>
      <c r="B2" t="s">
        <v>38</v>
      </c>
      <c r="C2" t="s">
        <v>39</v>
      </c>
      <c r="D2" s="2" t="s">
        <v>40</v>
      </c>
      <c r="E2" t="s">
        <v>41</v>
      </c>
      <c r="F2" t="s">
        <v>42</v>
      </c>
      <c r="G2" t="s">
        <v>42</v>
      </c>
      <c r="H2" t="s">
        <v>43</v>
      </c>
      <c r="I2">
        <v>1</v>
      </c>
      <c r="J2" s="3">
        <v>520</v>
      </c>
      <c r="K2" s="3">
        <v>679</v>
      </c>
      <c r="L2" s="3">
        <f>K2-J2</f>
      </c>
      <c r="M2" s="3">
        <f>L2*16.67%</f>
      </c>
      <c r="N2" s="3">
        <f>(K2*6.9%)-(K2*6.9%)*10%</f>
      </c>
      <c r="O2" s="3">
        <f>K2*0.35%</f>
      </c>
      <c r="P2" s="3">
        <v>0.4</v>
      </c>
      <c r="Q2" s="3">
        <f>(N2+O2+P2)*20%</f>
      </c>
      <c r="R2" s="3">
        <f>N2+O2+P2+Q2</f>
      </c>
      <c r="S2" s="3">
        <v>8</v>
      </c>
      <c r="T2" s="3">
        <v>0</v>
      </c>
      <c r="U2" s="3">
        <v>0</v>
      </c>
      <c r="V2" s="3">
        <f>U2*20%</f>
      </c>
      <c r="W2" s="3">
        <v>1</v>
      </c>
      <c r="X2" s="3">
        <f>Q2+T2+V2</f>
      </c>
      <c r="Y2" s="3">
        <f>L2-M2-R2-S2-T2-U2-V2-W2</f>
      </c>
      <c r="Z2" s="3">
        <f>(Y2-AF2)/J2*100</f>
      </c>
      <c r="AA2" s="3">
        <f>M2-X2</f>
      </c>
      <c r="AG2" s="3">
        <f>Y2-AF2</f>
      </c>
      <c r="AL2" t="s">
        <v>42</v>
      </c>
    </row>
    <row r="3" spans="1:33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IF($K3="","",(K3*6.9%)-(K3*6.9%)*10%)</f>
      </c>
      <c r="O3" s="3">
        <f>IF($K3="","",K3*0.35%)</f>
      </c>
      <c r="P3" s="3">
        <v>0.4</v>
      </c>
      <c r="Q3" s="3">
        <f>IF($K3="","",(N3+O3+P3)*20%)</f>
      </c>
      <c r="R3" s="3">
        <f>IF($K3="","",N3+O3+P3+Q3)</f>
      </c>
      <c r="S3" s="3"/>
      <c r="T3" s="3"/>
      <c r="U3" s="3"/>
      <c r="V3" s="3">
        <f>IF($K3="","",U3*20%)</f>
      </c>
      <c r="W3" s="3">
        <v>1</v>
      </c>
      <c r="X3" s="3">
        <f>IF($K3="","",Q3+T3+V3)</f>
      </c>
      <c r="Y3" s="3">
        <f>IF($K3="","",L3-M3-R3-S3-T3-U3-V3-W3)</f>
      </c>
      <c r="Z3" s="3">
        <f>IF($K3="","",(Y3-AF3)/J3*100)</f>
      </c>
      <c r="AA3" s="3">
        <f>IF($K3="","",M3-X3)</f>
      </c>
      <c r="AG3" s="3">
        <f>IF($K3="","",Y3-AF3)</f>
      </c>
    </row>
    <row r="4" spans="1:33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IF($K4="","",(K4*6.9%)-(K4*6.9%)*10%)</f>
      </c>
      <c r="O4" s="3">
        <f>IF($K4="","",K4*0.35%)</f>
      </c>
      <c r="P4" s="3">
        <v>0.4</v>
      </c>
      <c r="Q4" s="3">
        <f>IF($K4="","",(N4+O4+P4)*20%)</f>
      </c>
      <c r="R4" s="3">
        <f>IF($K4="","",N4+O4+P4+Q4)</f>
      </c>
      <c r="S4" s="3"/>
      <c r="T4" s="3"/>
      <c r="U4" s="3"/>
      <c r="V4" s="3">
        <f>IF($K4="","",U4*20%)</f>
      </c>
      <c r="W4" s="3">
        <v>1</v>
      </c>
      <c r="X4" s="3">
        <f>IF($K4="","",Q4+T4+V4)</f>
      </c>
      <c r="Y4" s="3">
        <f>IF($K4="","",L4-M4-R4-S4-T4-U4-V4-W4)</f>
      </c>
      <c r="Z4" s="3">
        <f>IF($K4="","",(Y4-AF4)/J4*100)</f>
      </c>
      <c r="AA4" s="3">
        <f>IF($K4="","",M4-X4)</f>
      </c>
      <c r="AG4" s="3">
        <f>IF($K4="","",Y4-AF4)</f>
      </c>
    </row>
    <row r="5" spans="1:33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IF($K5="","",(K5*6.9%)-(K5*6.9%)*10%)</f>
      </c>
      <c r="O5" s="3">
        <f>IF($K5="","",K5*0.35%)</f>
      </c>
      <c r="P5" s="3">
        <v>0.4</v>
      </c>
      <c r="Q5" s="3">
        <f>IF($K5="","",(N5+O5+P5)*20%)</f>
      </c>
      <c r="R5" s="3">
        <f>IF($K5="","",N5+O5+P5+Q5)</f>
      </c>
      <c r="S5" s="3"/>
      <c r="T5" s="3"/>
      <c r="U5" s="3"/>
      <c r="V5" s="3">
        <f>IF($K5="","",U5*20%)</f>
      </c>
      <c r="W5" s="3">
        <v>1</v>
      </c>
      <c r="X5" s="3">
        <f>IF($K5="","",Q5+T5+V5)</f>
      </c>
      <c r="Y5" s="3">
        <f>IF($K5="","",L5-M5-R5-S5-T5-U5-V5-W5)</f>
      </c>
      <c r="Z5" s="3">
        <f>IF($K5="","",(Y5-AF5)/J5*100)</f>
      </c>
      <c r="AA5" s="3">
        <f>IF($K5="","",M5-X5)</f>
      </c>
      <c r="AG5" s="3">
        <f>IF($K5="","",Y5-AF5)</f>
      </c>
    </row>
    <row r="6" spans="1:33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IF($K6="","",(K6*6.9%)-(K6*6.9%)*10%)</f>
      </c>
      <c r="O6" s="3">
        <f>IF($K6="","",K6*0.35%)</f>
      </c>
      <c r="P6" s="3">
        <v>0.4</v>
      </c>
      <c r="Q6" s="3">
        <f>IF($K6="","",(N6+O6+P6)*20%)</f>
      </c>
      <c r="R6" s="3">
        <f>IF($K6="","",N6+O6+P6+Q6)</f>
      </c>
      <c r="S6" s="3"/>
      <c r="T6" s="3"/>
      <c r="U6" s="3"/>
      <c r="V6" s="3">
        <f>IF($K6="","",U6*20%)</f>
      </c>
      <c r="W6" s="3">
        <v>1</v>
      </c>
      <c r="X6" s="3">
        <f>IF($K6="","",Q6+T6+V6)</f>
      </c>
      <c r="Y6" s="3">
        <f>IF($K6="","",L6-M6-R6-S6-T6-U6-V6-W6)</f>
      </c>
      <c r="Z6" s="3">
        <f>IF($K6="","",(Y6-AF6)/J6*100)</f>
      </c>
      <c r="AA6" s="3">
        <f>IF($K6="","",M6-X6)</f>
      </c>
      <c r="AG6" s="3">
        <f>IF($K6="","",Y6-AF6)</f>
      </c>
    </row>
    <row r="7" spans="1:33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IF($K7="","",(K7*6.9%)-(K7*6.9%)*10%)</f>
      </c>
      <c r="O7" s="3">
        <f>IF($K7="","",K7*0.35%)</f>
      </c>
      <c r="P7" s="3">
        <v>0.4</v>
      </c>
      <c r="Q7" s="3">
        <f>IF($K7="","",(N7+O7+P7)*20%)</f>
      </c>
      <c r="R7" s="3">
        <f>IF($K7="","",N7+O7+P7+Q7)</f>
      </c>
      <c r="S7" s="3"/>
      <c r="T7" s="3"/>
      <c r="U7" s="3"/>
      <c r="V7" s="3">
        <f>IF($K7="","",U7*20%)</f>
      </c>
      <c r="W7" s="3">
        <v>1</v>
      </c>
      <c r="X7" s="3">
        <f>IF($K7="","",Q7+T7+V7)</f>
      </c>
      <c r="Y7" s="3">
        <f>IF($K7="","",L7-M7-R7-S7-T7-U7-V7-W7)</f>
      </c>
      <c r="Z7" s="3">
        <f>IF($K7="","",(Y7-AF7)/J7*100)</f>
      </c>
      <c r="AA7" s="3">
        <f>IF($K7="","",M7-X7)</f>
      </c>
      <c r="AG7" s="3">
        <f>IF($K7="","",Y7-AF7)</f>
      </c>
    </row>
    <row r="8" spans="1:33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IF($K8="","",(K8*6.9%)-(K8*6.9%)*10%)</f>
      </c>
      <c r="O8" s="3">
        <f>IF($K8="","",K8*0.35%)</f>
      </c>
      <c r="P8" s="3">
        <v>0.4</v>
      </c>
      <c r="Q8" s="3">
        <f>IF($K8="","",(N8+O8+P8)*20%)</f>
      </c>
      <c r="R8" s="3">
        <f>IF($K8="","",N8+O8+P8+Q8)</f>
      </c>
      <c r="S8" s="3"/>
      <c r="T8" s="3"/>
      <c r="U8" s="3"/>
      <c r="V8" s="3">
        <f>IF($K8="","",U8*20%)</f>
      </c>
      <c r="W8" s="3">
        <v>1</v>
      </c>
      <c r="X8" s="3">
        <f>IF($K8="","",Q8+T8+V8)</f>
      </c>
      <c r="Y8" s="3">
        <f>IF($K8="","",L8-M8-R8-S8-T8-U8-V8-W8)</f>
      </c>
      <c r="Z8" s="3">
        <f>IF($K8="","",(Y8-AF8)/J8*100)</f>
      </c>
      <c r="AA8" s="3">
        <f>IF($K8="","",M8-X8)</f>
      </c>
      <c r="AG8" s="3">
        <f>IF($K8="","",Y8-AF8)</f>
      </c>
    </row>
    <row r="9" spans="1:33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IF($K9="","",(K9*6.9%)-(K9*6.9%)*10%)</f>
      </c>
      <c r="O9" s="3">
        <f>IF($K9="","",K9*0.35%)</f>
      </c>
      <c r="P9" s="3">
        <v>0.4</v>
      </c>
      <c r="Q9" s="3">
        <f>IF($K9="","",(N9+O9+P9)*20%)</f>
      </c>
      <c r="R9" s="3">
        <f>IF($K9="","",N9+O9+P9+Q9)</f>
      </c>
      <c r="S9" s="3"/>
      <c r="T9" s="3"/>
      <c r="U9" s="3"/>
      <c r="V9" s="3">
        <f>IF($K9="","",U9*20%)</f>
      </c>
      <c r="W9" s="3">
        <v>1</v>
      </c>
      <c r="X9" s="3">
        <f>IF($K9="","",Q9+T9+V9)</f>
      </c>
      <c r="Y9" s="3">
        <f>IF($K9="","",L9-M9-R9-S9-T9-U9-V9-W9)</f>
      </c>
      <c r="Z9" s="3">
        <f>IF($K9="","",(Y9-AF9)/J9*100)</f>
      </c>
      <c r="AA9" s="3">
        <f>IF($K9="","",M9-X9)</f>
      </c>
      <c r="AG9" s="3">
        <f>IF($K9="","",Y9-AF9)</f>
      </c>
    </row>
    <row r="10" spans="1:33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IF($K10="","",(K10*6.9%)-(K10*6.9%)*10%)</f>
      </c>
      <c r="O10" s="3">
        <f>IF($K10="","",K10*0.35%)</f>
      </c>
      <c r="P10" s="3">
        <v>0.4</v>
      </c>
      <c r="Q10" s="3">
        <f>IF($K10="","",(N10+O10+P10)*20%)</f>
      </c>
      <c r="R10" s="3">
        <f>IF($K10="","",N10+O10+P10+Q10)</f>
      </c>
      <c r="S10" s="3"/>
      <c r="T10" s="3"/>
      <c r="U10" s="3"/>
      <c r="V10" s="3">
        <f>IF($K10="","",U10*20%)</f>
      </c>
      <c r="W10" s="3">
        <v>1</v>
      </c>
      <c r="X10" s="3">
        <f>IF($K10="","",Q10+T10+V10)</f>
      </c>
      <c r="Y10" s="3">
        <f>IF($K10="","",L10-M10-R10-S10-T10-U10-V10-W10)</f>
      </c>
      <c r="Z10" s="3">
        <f>IF($K10="","",(Y10-AF10)/J10*100)</f>
      </c>
      <c r="AA10" s="3">
        <f>IF($K10="","",M10-X10)</f>
      </c>
      <c r="AG10" s="3">
        <f>IF($K10="","",Y10-AF10)</f>
      </c>
    </row>
    <row r="11" spans="1:33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IF($K11="","",(K11*6.9%)-(K11*6.9%)*10%)</f>
      </c>
      <c r="O11" s="3">
        <f>IF($K11="","",K11*0.35%)</f>
      </c>
      <c r="P11" s="3">
        <v>0.4</v>
      </c>
      <c r="Q11" s="3">
        <f>IF($K11="","",(N11+O11+P11)*20%)</f>
      </c>
      <c r="R11" s="3">
        <f>IF($K11="","",N11+O11+P11+Q11)</f>
      </c>
      <c r="S11" s="3"/>
      <c r="T11" s="3"/>
      <c r="U11" s="3"/>
      <c r="V11" s="3">
        <f>IF($K11="","",U11*20%)</f>
      </c>
      <c r="W11" s="3">
        <v>1</v>
      </c>
      <c r="X11" s="3">
        <f>IF($K11="","",Q11+T11+V11)</f>
      </c>
      <c r="Y11" s="3">
        <f>IF($K11="","",L11-M11-R11-S11-T11-U11-V11-W11)</f>
      </c>
      <c r="Z11" s="3">
        <f>IF($K11="","",(Y11-AF11)/J11*100)</f>
      </c>
      <c r="AA11" s="3">
        <f>IF($K11="","",M11-X11)</f>
      </c>
      <c r="AG11" s="3">
        <f>IF($K11="","",Y11-AF11)</f>
      </c>
    </row>
    <row r="12" spans="1:33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IF($K12="","",(K12*6.9%)-(K12*6.9%)*10%)</f>
      </c>
      <c r="O12" s="3">
        <f>IF($K12="","",K12*0.35%)</f>
      </c>
      <c r="P12" s="3">
        <v>0.4</v>
      </c>
      <c r="Q12" s="3">
        <f>IF($K12="","",(N12+O12+P12)*20%)</f>
      </c>
      <c r="R12" s="3">
        <f>IF($K12="","",N12+O12+P12+Q12)</f>
      </c>
      <c r="S12" s="3"/>
      <c r="T12" s="3"/>
      <c r="U12" s="3"/>
      <c r="V12" s="3">
        <f>IF($K12="","",U12*20%)</f>
      </c>
      <c r="W12" s="3">
        <v>1</v>
      </c>
      <c r="X12" s="3">
        <f>IF($K12="","",Q12+T12+V12)</f>
      </c>
      <c r="Y12" s="3">
        <f>IF($K12="","",L12-M12-R12-S12-T12-U12-V12-W12)</f>
      </c>
      <c r="Z12" s="3">
        <f>IF($K12="","",(Y12-AF12)/J12*100)</f>
      </c>
      <c r="AA12" s="3">
        <f>IF($K12="","",M12-X12)</f>
      </c>
      <c r="AG12" s="3">
        <f>IF($K12="","",Y12-AF12)</f>
      </c>
    </row>
    <row r="13" spans="1:33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IF($K13="","",(K13*6.9%)-(K13*6.9%)*10%)</f>
      </c>
      <c r="O13" s="3">
        <f>IF($K13="","",K13*0.35%)</f>
      </c>
      <c r="P13" s="3">
        <v>0.4</v>
      </c>
      <c r="Q13" s="3">
        <f>IF($K13="","",(N13+O13+P13)*20%)</f>
      </c>
      <c r="R13" s="3">
        <f>IF($K13="","",N13+O13+P13+Q13)</f>
      </c>
      <c r="S13" s="3"/>
      <c r="T13" s="3"/>
      <c r="U13" s="3"/>
      <c r="V13" s="3">
        <f>IF($K13="","",U13*20%)</f>
      </c>
      <c r="W13" s="3">
        <v>1</v>
      </c>
      <c r="X13" s="3">
        <f>IF($K13="","",Q13+T13+V13)</f>
      </c>
      <c r="Y13" s="3">
        <f>IF($K13="","",L13-M13-R13-S13-T13-U13-V13-W13)</f>
      </c>
      <c r="Z13" s="3">
        <f>IF($K13="","",(Y13-AF13)/J13*100)</f>
      </c>
      <c r="AA13" s="3">
        <f>IF($K13="","",M13-X13)</f>
      </c>
      <c r="AG13" s="3">
        <f>IF($K13="","",Y13-AF13)</f>
      </c>
    </row>
    <row r="14" spans="1:33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IF($K14="","",(K14*6.9%)-(K14*6.9%)*10%)</f>
      </c>
      <c r="O14" s="3">
        <f>IF($K14="","",K14*0.35%)</f>
      </c>
      <c r="P14" s="3">
        <v>0.4</v>
      </c>
      <c r="Q14" s="3">
        <f>IF($K14="","",(N14+O14+P14)*20%)</f>
      </c>
      <c r="R14" s="3">
        <f>IF($K14="","",N14+O14+P14+Q14)</f>
      </c>
      <c r="S14" s="3"/>
      <c r="T14" s="3"/>
      <c r="U14" s="3"/>
      <c r="V14" s="3">
        <f>IF($K14="","",U14*20%)</f>
      </c>
      <c r="W14" s="3">
        <v>1</v>
      </c>
      <c r="X14" s="3">
        <f>IF($K14="","",Q14+T14+V14)</f>
      </c>
      <c r="Y14" s="3">
        <f>IF($K14="","",L14-M14-R14-S14-T14-U14-V14-W14)</f>
      </c>
      <c r="Z14" s="3">
        <f>IF($K14="","",(Y14-AF14)/J14*100)</f>
      </c>
      <c r="AA14" s="3">
        <f>IF($K14="","",M14-X14)</f>
      </c>
      <c r="AG14" s="3">
        <f>IF($K14="","",Y14-AF14)</f>
      </c>
    </row>
    <row r="15" spans="1:33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IF($K15="","",(K15*6.9%)-(K15*6.9%)*10%)</f>
      </c>
      <c r="O15" s="3">
        <f>IF($K15="","",K15*0.35%)</f>
      </c>
      <c r="P15" s="3">
        <v>0.4</v>
      </c>
      <c r="Q15" s="3">
        <f>IF($K15="","",(N15+O15+P15)*20%)</f>
      </c>
      <c r="R15" s="3">
        <f>IF($K15="","",N15+O15+P15+Q15)</f>
      </c>
      <c r="S15" s="3"/>
      <c r="T15" s="3"/>
      <c r="U15" s="3"/>
      <c r="V15" s="3">
        <f>IF($K15="","",U15*20%)</f>
      </c>
      <c r="W15" s="3">
        <v>1</v>
      </c>
      <c r="X15" s="3">
        <f>IF($K15="","",Q15+T15+V15)</f>
      </c>
      <c r="Y15" s="3">
        <f>IF($K15="","",L15-M15-R15-S15-T15-U15-V15-W15)</f>
      </c>
      <c r="Z15" s="3">
        <f>IF($K15="","",(Y15-AF15)/J15*100)</f>
      </c>
      <c r="AA15" s="3">
        <f>IF($K15="","",M15-X15)</f>
      </c>
      <c r="AG15" s="3">
        <f>IF($K15="","",Y15-AF15)</f>
      </c>
    </row>
    <row r="16" spans="1:33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IF($K16="","",(K16*6.9%)-(K16*6.9%)*10%)</f>
      </c>
      <c r="O16" s="3">
        <f>IF($K16="","",K16*0.35%)</f>
      </c>
      <c r="P16" s="3">
        <v>0.4</v>
      </c>
      <c r="Q16" s="3">
        <f>IF($K16="","",(N16+O16+P16)*20%)</f>
      </c>
      <c r="R16" s="3">
        <f>IF($K16="","",N16+O16+P16+Q16)</f>
      </c>
      <c r="S16" s="3"/>
      <c r="T16" s="3"/>
      <c r="U16" s="3"/>
      <c r="V16" s="3">
        <f>IF($K16="","",U16*20%)</f>
      </c>
      <c r="W16" s="3">
        <v>1</v>
      </c>
      <c r="X16" s="3">
        <f>IF($K16="","",Q16+T16+V16)</f>
      </c>
      <c r="Y16" s="3">
        <f>IF($K16="","",L16-M16-R16-S16-T16-U16-V16-W16)</f>
      </c>
      <c r="Z16" s="3">
        <f>IF($K16="","",(Y16-AF16)/J16*100)</f>
      </c>
      <c r="AA16" s="3">
        <f>IF($K16="","",M16-X16)</f>
      </c>
      <c r="AG16" s="3">
        <f>IF($K16="","",Y16-AF16)</f>
      </c>
    </row>
    <row r="17" spans="1:33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IF($K17="","",(K17*6.9%)-(K17*6.9%)*10%)</f>
      </c>
      <c r="O17" s="3">
        <f>IF($K17="","",K17*0.35%)</f>
      </c>
      <c r="P17" s="3">
        <v>0.4</v>
      </c>
      <c r="Q17" s="3">
        <f>IF($K17="","",(N17+O17+P17)*20%)</f>
      </c>
      <c r="R17" s="3">
        <f>IF($K17="","",N17+O17+P17+Q17)</f>
      </c>
      <c r="S17" s="3"/>
      <c r="T17" s="3"/>
      <c r="U17" s="3"/>
      <c r="V17" s="3">
        <f>IF($K17="","",U17*20%)</f>
      </c>
      <c r="W17" s="3">
        <v>1</v>
      </c>
      <c r="X17" s="3">
        <f>IF($K17="","",Q17+T17+V17)</f>
      </c>
      <c r="Y17" s="3">
        <f>IF($K17="","",L17-M17-R17-S17-T17-U17-V17-W17)</f>
      </c>
      <c r="Z17" s="3">
        <f>IF($K17="","",(Y17-AF17)/J17*100)</f>
      </c>
      <c r="AA17" s="3">
        <f>IF($K17="","",M17-X17)</f>
      </c>
      <c r="AG17" s="3">
        <f>IF($K17="","",Y17-AF17)</f>
      </c>
    </row>
    <row r="18" spans="1:33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IF($K18="","",(K18*6.9%)-(K18*6.9%)*10%)</f>
      </c>
      <c r="O18" s="3">
        <f>IF($K18="","",K18*0.35%)</f>
      </c>
      <c r="P18" s="3">
        <v>0.4</v>
      </c>
      <c r="Q18" s="3">
        <f>IF($K18="","",(N18+O18+P18)*20%)</f>
      </c>
      <c r="R18" s="3">
        <f>IF($K18="","",N18+O18+P18+Q18)</f>
      </c>
      <c r="S18" s="3"/>
      <c r="T18" s="3"/>
      <c r="U18" s="3"/>
      <c r="V18" s="3">
        <f>IF($K18="","",U18*20%)</f>
      </c>
      <c r="W18" s="3">
        <v>1</v>
      </c>
      <c r="X18" s="3">
        <f>IF($K18="","",Q18+T18+V18)</f>
      </c>
      <c r="Y18" s="3">
        <f>IF($K18="","",L18-M18-R18-S18-T18-U18-V18-W18)</f>
      </c>
      <c r="Z18" s="3">
        <f>IF($K18="","",(Y18-AF18)/J18*100)</f>
      </c>
      <c r="AA18" s="3">
        <f>IF($K18="","",M18-X18)</f>
      </c>
      <c r="AG18" s="3">
        <f>IF($K18="","",Y18-AF18)</f>
      </c>
    </row>
    <row r="19" spans="1:33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IF($K19="","",(K19*6.9%)-(K19*6.9%)*10%)</f>
      </c>
      <c r="O19" s="3">
        <f>IF($K19="","",K19*0.35%)</f>
      </c>
      <c r="P19" s="3">
        <v>0.4</v>
      </c>
      <c r="Q19" s="3">
        <f>IF($K19="","",(N19+O19+P19)*20%)</f>
      </c>
      <c r="R19" s="3">
        <f>IF($K19="","",N19+O19+P19+Q19)</f>
      </c>
      <c r="S19" s="3"/>
      <c r="T19" s="3"/>
      <c r="U19" s="3"/>
      <c r="V19" s="3">
        <f>IF($K19="","",U19*20%)</f>
      </c>
      <c r="W19" s="3">
        <v>1</v>
      </c>
      <c r="X19" s="3">
        <f>IF($K19="","",Q19+T19+V19)</f>
      </c>
      <c r="Y19" s="3">
        <f>IF($K19="","",L19-M19-R19-S19-T19-U19-V19-W19)</f>
      </c>
      <c r="Z19" s="3">
        <f>IF($K19="","",(Y19-AF19)/J19*100)</f>
      </c>
      <c r="AA19" s="3">
        <f>IF($K19="","",M19-X19)</f>
      </c>
      <c r="AG19" s="3">
        <f>IF($K19="","",Y19-AF19)</f>
      </c>
    </row>
    <row r="20" spans="1:33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IF($K20="","",(K20*6.9%)-(K20*6.9%)*10%)</f>
      </c>
      <c r="O20" s="3">
        <f>IF($K20="","",K20*0.35%)</f>
      </c>
      <c r="P20" s="3">
        <v>0.4</v>
      </c>
      <c r="Q20" s="3">
        <f>IF($K20="","",(N20+O20+P20)*20%)</f>
      </c>
      <c r="R20" s="3">
        <f>IF($K20="","",N20+O20+P20+Q20)</f>
      </c>
      <c r="S20" s="3"/>
      <c r="T20" s="3"/>
      <c r="U20" s="3"/>
      <c r="V20" s="3">
        <f>IF($K20="","",U20*20%)</f>
      </c>
      <c r="W20" s="3">
        <v>1</v>
      </c>
      <c r="X20" s="3">
        <f>IF($K20="","",Q20+T20+V20)</f>
      </c>
      <c r="Y20" s="3">
        <f>IF($K20="","",L20-M20-R20-S20-T20-U20-V20-W20)</f>
      </c>
      <c r="Z20" s="3">
        <f>IF($K20="","",(Y20-AF20)/J20*100)</f>
      </c>
      <c r="AA20" s="3">
        <f>IF($K20="","",M20-X20)</f>
      </c>
      <c r="AG20" s="3">
        <f>IF($K20="","",Y20-AF20)</f>
      </c>
    </row>
    <row r="21" spans="1:33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IF($K21="","",(K21*6.9%)-(K21*6.9%)*10%)</f>
      </c>
      <c r="O21" s="3">
        <f>IF($K21="","",K21*0.35%)</f>
      </c>
      <c r="P21" s="3">
        <v>0.4</v>
      </c>
      <c r="Q21" s="3">
        <f>IF($K21="","",(N21+O21+P21)*20%)</f>
      </c>
      <c r="R21" s="3">
        <f>IF($K21="","",N21+O21+P21+Q21)</f>
      </c>
      <c r="S21" s="3"/>
      <c r="T21" s="3"/>
      <c r="U21" s="3"/>
      <c r="V21" s="3">
        <f>IF($K21="","",U21*20%)</f>
      </c>
      <c r="W21" s="3">
        <v>1</v>
      </c>
      <c r="X21" s="3">
        <f>IF($K21="","",Q21+T21+V21)</f>
      </c>
      <c r="Y21" s="3">
        <f>IF($K21="","",L21-M21-R21-S21-T21-U21-V21-W21)</f>
      </c>
      <c r="Z21" s="3">
        <f>IF($K21="","",(Y21-AF21)/J21*100)</f>
      </c>
      <c r="AA21" s="3">
        <f>IF($K21="","",M21-X21)</f>
      </c>
      <c r="AG21" s="3">
        <f>IF($K21="","",Y21-AF21)</f>
      </c>
    </row>
    <row r="22" spans="1:33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IF($K22="","",(K22*6.9%)-(K22*6.9%)*10%)</f>
      </c>
      <c r="O22" s="3">
        <f>IF($K22="","",K22*0.35%)</f>
      </c>
      <c r="P22" s="3">
        <v>0.4</v>
      </c>
      <c r="Q22" s="3">
        <f>IF($K22="","",(N22+O22+P22)*20%)</f>
      </c>
      <c r="R22" s="3">
        <f>IF($K22="","",N22+O22+P22+Q22)</f>
      </c>
      <c r="S22" s="3"/>
      <c r="T22" s="3"/>
      <c r="U22" s="3"/>
      <c r="V22" s="3">
        <f>IF($K22="","",U22*20%)</f>
      </c>
      <c r="W22" s="3">
        <v>1</v>
      </c>
      <c r="X22" s="3">
        <f>IF($K22="","",Q22+T22+V22)</f>
      </c>
      <c r="Y22" s="3">
        <f>IF($K22="","",L22-M22-R22-S22-T22-U22-V22-W22)</f>
      </c>
      <c r="Z22" s="3">
        <f>IF($K22="","",(Y22-AF22)/J22*100)</f>
      </c>
      <c r="AA22" s="3">
        <f>IF($K22="","",M22-X22)</f>
      </c>
      <c r="AG22" s="3">
        <f>IF($K22="","",Y22-AF22)</f>
      </c>
    </row>
    <row r="23" spans="1:33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IF($K23="","",(K23*6.9%)-(K23*6.9%)*10%)</f>
      </c>
      <c r="O23" s="3">
        <f>IF($K23="","",K23*0.35%)</f>
      </c>
      <c r="P23" s="3">
        <v>0.4</v>
      </c>
      <c r="Q23" s="3">
        <f>IF($K23="","",(N23+O23+P23)*20%)</f>
      </c>
      <c r="R23" s="3">
        <f>IF($K23="","",N23+O23+P23+Q23)</f>
      </c>
      <c r="S23" s="3"/>
      <c r="T23" s="3"/>
      <c r="U23" s="3"/>
      <c r="V23" s="3">
        <f>IF($K23="","",U23*20%)</f>
      </c>
      <c r="W23" s="3">
        <v>1</v>
      </c>
      <c r="X23" s="3">
        <f>IF($K23="","",Q23+T23+V23)</f>
      </c>
      <c r="Y23" s="3">
        <f>IF($K23="","",L23-M23-R23-S23-T23-U23-V23-W23)</f>
      </c>
      <c r="Z23" s="3">
        <f>IF($K23="","",(Y23-AF23)/J23*100)</f>
      </c>
      <c r="AA23" s="3">
        <f>IF($K23="","",M23-X23)</f>
      </c>
      <c r="AG23" s="3">
        <f>IF($K23="","",Y23-AF23)</f>
      </c>
    </row>
    <row r="24" spans="1:33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IF($K24="","",(K24*6.9%)-(K24*6.9%)*10%)</f>
      </c>
      <c r="O24" s="3">
        <f>IF($K24="","",K24*0.35%)</f>
      </c>
      <c r="P24" s="3">
        <v>0.4</v>
      </c>
      <c r="Q24" s="3">
        <f>IF($K24="","",(N24+O24+P24)*20%)</f>
      </c>
      <c r="R24" s="3">
        <f>IF($K24="","",N24+O24+P24+Q24)</f>
      </c>
      <c r="S24" s="3"/>
      <c r="T24" s="3"/>
      <c r="U24" s="3"/>
      <c r="V24" s="3">
        <f>IF($K24="","",U24*20%)</f>
      </c>
      <c r="W24" s="3">
        <v>1</v>
      </c>
      <c r="X24" s="3">
        <f>IF($K24="","",Q24+T24+V24)</f>
      </c>
      <c r="Y24" s="3">
        <f>IF($K24="","",L24-M24-R24-S24-T24-U24-V24-W24)</f>
      </c>
      <c r="Z24" s="3">
        <f>IF($K24="","",(Y24-AF24)/J24*100)</f>
      </c>
      <c r="AA24" s="3">
        <f>IF($K24="","",M24-X24)</f>
      </c>
      <c r="AG24" s="3">
        <f>IF($K24="","",Y24-AF24)</f>
      </c>
    </row>
    <row r="25" spans="1:33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IF($K25="","",(K25*6.9%)-(K25*6.9%)*10%)</f>
      </c>
      <c r="O25" s="3">
        <f>IF($K25="","",K25*0.35%)</f>
      </c>
      <c r="P25" s="3">
        <v>0.4</v>
      </c>
      <c r="Q25" s="3">
        <f>IF($K25="","",(N25+O25+P25)*20%)</f>
      </c>
      <c r="R25" s="3">
        <f>IF($K25="","",N25+O25+P25+Q25)</f>
      </c>
      <c r="S25" s="3"/>
      <c r="T25" s="3"/>
      <c r="U25" s="3"/>
      <c r="V25" s="3">
        <f>IF($K25="","",U25*20%)</f>
      </c>
      <c r="W25" s="3">
        <v>1</v>
      </c>
      <c r="X25" s="3">
        <f>IF($K25="","",Q25+T25+V25)</f>
      </c>
      <c r="Y25" s="3">
        <f>IF($K25="","",L25-M25-R25-S25-T25-U25-V25-W25)</f>
      </c>
      <c r="Z25" s="3">
        <f>IF($K25="","",(Y25-AF25)/J25*100)</f>
      </c>
      <c r="AA25" s="3">
        <f>IF($K25="","",M25-X25)</f>
      </c>
      <c r="AG25" s="3">
        <f>IF($K25="","",Y25-AF25)</f>
      </c>
    </row>
    <row r="26" spans="1:33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IF($K26="","",(K26*6.9%)-(K26*6.9%)*10%)</f>
      </c>
      <c r="O26" s="3">
        <f>IF($K26="","",K26*0.35%)</f>
      </c>
      <c r="P26" s="3">
        <v>0.4</v>
      </c>
      <c r="Q26" s="3">
        <f>IF($K26="","",(N26+O26+P26)*20%)</f>
      </c>
      <c r="R26" s="3">
        <f>IF($K26="","",N26+O26+P26+Q26)</f>
      </c>
      <c r="S26" s="3"/>
      <c r="T26" s="3"/>
      <c r="U26" s="3"/>
      <c r="V26" s="3">
        <f>IF($K26="","",U26*20%)</f>
      </c>
      <c r="W26" s="3">
        <v>1</v>
      </c>
      <c r="X26" s="3">
        <f>IF($K26="","",Q26+T26+V26)</f>
      </c>
      <c r="Y26" s="3">
        <f>IF($K26="","",L26-M26-R26-S26-T26-U26-V26-W26)</f>
      </c>
      <c r="Z26" s="3">
        <f>IF($K26="","",(Y26-AF26)/J26*100)</f>
      </c>
      <c r="AA26" s="3">
        <f>IF($K26="","",M26-X26)</f>
      </c>
      <c r="AG26" s="3">
        <f>IF($K26="","",Y26-AF26)</f>
      </c>
    </row>
    <row r="27" spans="1:33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IF($K27="","",(K27*6.9%)-(K27*6.9%)*10%)</f>
      </c>
      <c r="O27" s="3">
        <f>IF($K27="","",K27*0.35%)</f>
      </c>
      <c r="P27" s="3">
        <v>0.4</v>
      </c>
      <c r="Q27" s="3">
        <f>IF($K27="","",(N27+O27+P27)*20%)</f>
      </c>
      <c r="R27" s="3">
        <f>IF($K27="","",N27+O27+P27+Q27)</f>
      </c>
      <c r="S27" s="3"/>
      <c r="T27" s="3"/>
      <c r="U27" s="3"/>
      <c r="V27" s="3">
        <f>IF($K27="","",U27*20%)</f>
      </c>
      <c r="W27" s="3">
        <v>1</v>
      </c>
      <c r="X27" s="3">
        <f>IF($K27="","",Q27+T27+V27)</f>
      </c>
      <c r="Y27" s="3">
        <f>IF($K27="","",L27-M27-R27-S27-T27-U27-V27-W27)</f>
      </c>
      <c r="Z27" s="3">
        <f>IF($K27="","",(Y27-AF27)/J27*100)</f>
      </c>
      <c r="AA27" s="3">
        <f>IF($K27="","",M27-X27)</f>
      </c>
      <c r="AG27" s="3">
        <f>IF($K27="","",Y27-AF27)</f>
      </c>
    </row>
    <row r="28" spans="1:33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IF($K28="","",(K28*6.9%)-(K28*6.9%)*10%)</f>
      </c>
      <c r="O28" s="3">
        <f>IF($K28="","",K28*0.35%)</f>
      </c>
      <c r="P28" s="3">
        <v>0.4</v>
      </c>
      <c r="Q28" s="3">
        <f>IF($K28="","",(N28+O28+P28)*20%)</f>
      </c>
      <c r="R28" s="3">
        <f>IF($K28="","",N28+O28+P28+Q28)</f>
      </c>
      <c r="S28" s="3"/>
      <c r="T28" s="3"/>
      <c r="U28" s="3"/>
      <c r="V28" s="3">
        <f>IF($K28="","",U28*20%)</f>
      </c>
      <c r="W28" s="3">
        <v>1</v>
      </c>
      <c r="X28" s="3">
        <f>IF($K28="","",Q28+T28+V28)</f>
      </c>
      <c r="Y28" s="3">
        <f>IF($K28="","",L28-M28-R28-S28-T28-U28-V28-W28)</f>
      </c>
      <c r="Z28" s="3">
        <f>IF($K28="","",(Y28-AF28)/J28*100)</f>
      </c>
      <c r="AA28" s="3">
        <f>IF($K28="","",M28-X28)</f>
      </c>
      <c r="AG28" s="3">
        <f>IF($K28="","",Y28-AF28)</f>
      </c>
    </row>
    <row r="29" spans="1:33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IF($K29="","",(K29*6.9%)-(K29*6.9%)*10%)</f>
      </c>
      <c r="O29" s="3">
        <f>IF($K29="","",K29*0.35%)</f>
      </c>
      <c r="P29" s="3">
        <v>0.4</v>
      </c>
      <c r="Q29" s="3">
        <f>IF($K29="","",(N29+O29+P29)*20%)</f>
      </c>
      <c r="R29" s="3">
        <f>IF($K29="","",N29+O29+P29+Q29)</f>
      </c>
      <c r="S29" s="3"/>
      <c r="T29" s="3"/>
      <c r="U29" s="3"/>
      <c r="V29" s="3">
        <f>IF($K29="","",U29*20%)</f>
      </c>
      <c r="W29" s="3">
        <v>1</v>
      </c>
      <c r="X29" s="3">
        <f>IF($K29="","",Q29+T29+V29)</f>
      </c>
      <c r="Y29" s="3">
        <f>IF($K29="","",L29-M29-R29-S29-T29-U29-V29-W29)</f>
      </c>
      <c r="Z29" s="3">
        <f>IF($K29="","",(Y29-AF29)/J29*100)</f>
      </c>
      <c r="AA29" s="3">
        <f>IF($K29="","",M29-X29)</f>
      </c>
      <c r="AG29" s="3">
        <f>IF($K29="","",Y29-AF29)</f>
      </c>
    </row>
    <row r="30" spans="1:33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IF($K30="","",(K30*6.9%)-(K30*6.9%)*10%)</f>
      </c>
      <c r="O30" s="3">
        <f>IF($K30="","",K30*0.35%)</f>
      </c>
      <c r="P30" s="3">
        <v>0.4</v>
      </c>
      <c r="Q30" s="3">
        <f>IF($K30="","",(N30+O30+P30)*20%)</f>
      </c>
      <c r="R30" s="3">
        <f>IF($K30="","",N30+O30+P30+Q30)</f>
      </c>
      <c r="S30" s="3"/>
      <c r="T30" s="3"/>
      <c r="U30" s="3"/>
      <c r="V30" s="3">
        <f>IF($K30="","",U30*20%)</f>
      </c>
      <c r="W30" s="3">
        <v>1</v>
      </c>
      <c r="X30" s="3">
        <f>IF($K30="","",Q30+T30+V30)</f>
      </c>
      <c r="Y30" s="3">
        <f>IF($K30="","",L30-M30-R30-S30-T30-U30-V30-W30)</f>
      </c>
      <c r="Z30" s="3">
        <f>IF($K30="","",(Y30-AF30)/J30*100)</f>
      </c>
      <c r="AA30" s="3">
        <f>IF($K30="","",M30-X30)</f>
      </c>
      <c r="AG30" s="3">
        <f>IF($K30="","",Y30-AF30)</f>
      </c>
    </row>
    <row r="31" spans="1:33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IF($K31="","",(K31*6.9%)-(K31*6.9%)*10%)</f>
      </c>
      <c r="O31" s="3">
        <f>IF($K31="","",K31*0.35%)</f>
      </c>
      <c r="P31" s="3">
        <v>0.4</v>
      </c>
      <c r="Q31" s="3">
        <f>IF($K31="","",(N31+O31+P31)*20%)</f>
      </c>
      <c r="R31" s="3">
        <f>IF($K31="","",N31+O31+P31+Q31)</f>
      </c>
      <c r="S31" s="3"/>
      <c r="T31" s="3"/>
      <c r="U31" s="3"/>
      <c r="V31" s="3">
        <f>IF($K31="","",U31*20%)</f>
      </c>
      <c r="W31" s="3">
        <v>1</v>
      </c>
      <c r="X31" s="3">
        <f>IF($K31="","",Q31+T31+V31)</f>
      </c>
      <c r="Y31" s="3">
        <f>IF($K31="","",L31-M31-R31-S31-T31-U31-V31-W31)</f>
      </c>
      <c r="Z31" s="3">
        <f>IF($K31="","",(Y31-AF31)/J31*100)</f>
      </c>
      <c r="AA31" s="3">
        <f>IF($K31="","",M31-X31)</f>
      </c>
      <c r="AG31" s="3">
        <f>IF($K31="","",Y31-AF31)</f>
      </c>
    </row>
    <row r="32" spans="1:33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IF($K32="","",(K32*6.9%)-(K32*6.9%)*10%)</f>
      </c>
      <c r="O32" s="3">
        <f>IF($K32="","",K32*0.35%)</f>
      </c>
      <c r="P32" s="3">
        <v>0.4</v>
      </c>
      <c r="Q32" s="3">
        <f>IF($K32="","",(N32+O32+P32)*20%)</f>
      </c>
      <c r="R32" s="3">
        <f>IF($K32="","",N32+O32+P32+Q32)</f>
      </c>
      <c r="S32" s="3"/>
      <c r="T32" s="3"/>
      <c r="U32" s="3"/>
      <c r="V32" s="3">
        <f>IF($K32="","",U32*20%)</f>
      </c>
      <c r="W32" s="3">
        <v>1</v>
      </c>
      <c r="X32" s="3">
        <f>IF($K32="","",Q32+T32+V32)</f>
      </c>
      <c r="Y32" s="3">
        <f>IF($K32="","",L32-M32-R32-S32-T32-U32-V32-W32)</f>
      </c>
      <c r="Z32" s="3">
        <f>IF($K32="","",(Y32-AF32)/J32*100)</f>
      </c>
      <c r="AA32" s="3">
        <f>IF($K32="","",M32-X32)</f>
      </c>
      <c r="AG32" s="3">
        <f>IF($K32="","",Y32-AF32)</f>
      </c>
    </row>
    <row r="33" spans="1:33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IF($K33="","",(K33*6.9%)-(K33*6.9%)*10%)</f>
      </c>
      <c r="O33" s="3">
        <f>IF($K33="","",K33*0.35%)</f>
      </c>
      <c r="P33" s="3">
        <v>0.4</v>
      </c>
      <c r="Q33" s="3">
        <f>IF($K33="","",(N33+O33+P33)*20%)</f>
      </c>
      <c r="R33" s="3">
        <f>IF($K33="","",N33+O33+P33+Q33)</f>
      </c>
      <c r="S33" s="3"/>
      <c r="T33" s="3"/>
      <c r="U33" s="3"/>
      <c r="V33" s="3">
        <f>IF($K33="","",U33*20%)</f>
      </c>
      <c r="W33" s="3">
        <v>1</v>
      </c>
      <c r="X33" s="3">
        <f>IF($K33="","",Q33+T33+V33)</f>
      </c>
      <c r="Y33" s="3">
        <f>IF($K33="","",L33-M33-R33-S33-T33-U33-V33-W33)</f>
      </c>
      <c r="Z33" s="3">
        <f>IF($K33="","",(Y33-AF33)/J33*100)</f>
      </c>
      <c r="AA33" s="3">
        <f>IF($K33="","",M33-X33)</f>
      </c>
      <c r="AG33" s="3">
        <f>IF($K33="","",Y33-AF33)</f>
      </c>
    </row>
    <row r="34" spans="1:33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IF($K34="","",(K34*6.9%)-(K34*6.9%)*10%)</f>
      </c>
      <c r="O34" s="3">
        <f>IF($K34="","",K34*0.35%)</f>
      </c>
      <c r="P34" s="3">
        <v>0.4</v>
      </c>
      <c r="Q34" s="3">
        <f>IF($K34="","",(N34+O34+P34)*20%)</f>
      </c>
      <c r="R34" s="3">
        <f>IF($K34="","",N34+O34+P34+Q34)</f>
      </c>
      <c r="S34" s="3"/>
      <c r="T34" s="3"/>
      <c r="U34" s="3"/>
      <c r="V34" s="3">
        <f>IF($K34="","",U34*20%)</f>
      </c>
      <c r="W34" s="3">
        <v>1</v>
      </c>
      <c r="X34" s="3">
        <f>IF($K34="","",Q34+T34+V34)</f>
      </c>
      <c r="Y34" s="3">
        <f>IF($K34="","",L34-M34-R34-S34-T34-U34-V34-W34)</f>
      </c>
      <c r="Z34" s="3">
        <f>IF($K34="","",(Y34-AF34)/J34*100)</f>
      </c>
      <c r="AA34" s="3">
        <f>IF($K34="","",M34-X34)</f>
      </c>
      <c r="AG34" s="3">
        <f>IF($K34="","",Y34-AF34)</f>
      </c>
    </row>
    <row r="35" spans="1:33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IF($K35="","",(K35*6.9%)-(K35*6.9%)*10%)</f>
      </c>
      <c r="O35" s="3">
        <f>IF($K35="","",K35*0.35%)</f>
      </c>
      <c r="P35" s="3">
        <v>0.4</v>
      </c>
      <c r="Q35" s="3">
        <f>IF($K35="","",(N35+O35+P35)*20%)</f>
      </c>
      <c r="R35" s="3">
        <f>IF($K35="","",N35+O35+P35+Q35)</f>
      </c>
      <c r="S35" s="3"/>
      <c r="T35" s="3"/>
      <c r="U35" s="3"/>
      <c r="V35" s="3">
        <f>IF($K35="","",U35*20%)</f>
      </c>
      <c r="W35" s="3">
        <v>1</v>
      </c>
      <c r="X35" s="3">
        <f>IF($K35="","",Q35+T35+V35)</f>
      </c>
      <c r="Y35" s="3">
        <f>IF($K35="","",L35-M35-R35-S35-T35-U35-V35-W35)</f>
      </c>
      <c r="Z35" s="3">
        <f>IF($K35="","",(Y35-AF35)/J35*100)</f>
      </c>
      <c r="AA35" s="3">
        <f>IF($K35="","",M35-X35)</f>
      </c>
      <c r="AG35" s="3">
        <f>IF($K35="","",Y35-AF35)</f>
      </c>
    </row>
    <row r="36" spans="1:33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IF($K36="","",(K36*6.9%)-(K36*6.9%)*10%)</f>
      </c>
      <c r="O36" s="3">
        <f>IF($K36="","",K36*0.35%)</f>
      </c>
      <c r="P36" s="3">
        <v>0.4</v>
      </c>
      <c r="Q36" s="3">
        <f>IF($K36="","",(N36+O36+P36)*20%)</f>
      </c>
      <c r="R36" s="3">
        <f>IF($K36="","",N36+O36+P36+Q36)</f>
      </c>
      <c r="S36" s="3"/>
      <c r="T36" s="3"/>
      <c r="U36" s="3"/>
      <c r="V36" s="3">
        <f>IF($K36="","",U36*20%)</f>
      </c>
      <c r="W36" s="3">
        <v>1</v>
      </c>
      <c r="X36" s="3">
        <f>IF($K36="","",Q36+T36+V36)</f>
      </c>
      <c r="Y36" s="3">
        <f>IF($K36="","",L36-M36-R36-S36-T36-U36-V36-W36)</f>
      </c>
      <c r="Z36" s="3">
        <f>IF($K36="","",(Y36-AF36)/J36*100)</f>
      </c>
      <c r="AA36" s="3">
        <f>IF($K36="","",M36-X36)</f>
      </c>
      <c r="AG36" s="3">
        <f>IF($K36="","",Y36-AF36)</f>
      </c>
    </row>
    <row r="37" spans="1:33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IF($K37="","",(K37*6.9%)-(K37*6.9%)*10%)</f>
      </c>
      <c r="O37" s="3">
        <f>IF($K37="","",K37*0.35%)</f>
      </c>
      <c r="P37" s="3">
        <v>0.4</v>
      </c>
      <c r="Q37" s="3">
        <f>IF($K37="","",(N37+O37+P37)*20%)</f>
      </c>
      <c r="R37" s="3">
        <f>IF($K37="","",N37+O37+P37+Q37)</f>
      </c>
      <c r="S37" s="3"/>
      <c r="T37" s="3"/>
      <c r="U37" s="3"/>
      <c r="V37" s="3">
        <f>IF($K37="","",U37*20%)</f>
      </c>
      <c r="W37" s="3">
        <v>1</v>
      </c>
      <c r="X37" s="3">
        <f>IF($K37="","",Q37+T37+V37)</f>
      </c>
      <c r="Y37" s="3">
        <f>IF($K37="","",L37-M37-R37-S37-T37-U37-V37-W37)</f>
      </c>
      <c r="Z37" s="3">
        <f>IF($K37="","",(Y37-AF37)/J37*100)</f>
      </c>
      <c r="AA37" s="3">
        <f>IF($K37="","",M37-X37)</f>
      </c>
      <c r="AG37" s="3">
        <f>IF($K37="","",Y37-AF37)</f>
      </c>
    </row>
    <row r="38" spans="1:33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IF($K38="","",(K38*6.9%)-(K38*6.9%)*10%)</f>
      </c>
      <c r="O38" s="3">
        <f>IF($K38="","",K38*0.35%)</f>
      </c>
      <c r="P38" s="3">
        <v>0.4</v>
      </c>
      <c r="Q38" s="3">
        <f>IF($K38="","",(N38+O38+P38)*20%)</f>
      </c>
      <c r="R38" s="3">
        <f>IF($K38="","",N38+O38+P38+Q38)</f>
      </c>
      <c r="S38" s="3"/>
      <c r="T38" s="3"/>
      <c r="U38" s="3"/>
      <c r="V38" s="3">
        <f>IF($K38="","",U38*20%)</f>
      </c>
      <c r="W38" s="3">
        <v>1</v>
      </c>
      <c r="X38" s="3">
        <f>IF($K38="","",Q38+T38+V38)</f>
      </c>
      <c r="Y38" s="3">
        <f>IF($K38="","",L38-M38-R38-S38-T38-U38-V38-W38)</f>
      </c>
      <c r="Z38" s="3">
        <f>IF($K38="","",(Y38-AF38)/J38*100)</f>
      </c>
      <c r="AA38" s="3">
        <f>IF($K38="","",M38-X38)</f>
      </c>
      <c r="AG38" s="3">
        <f>IF($K38="","",Y38-AF38)</f>
      </c>
    </row>
    <row r="39" spans="1:33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IF($K39="","",(K39*6.9%)-(K39*6.9%)*10%)</f>
      </c>
      <c r="O39" s="3">
        <f>IF($K39="","",K39*0.35%)</f>
      </c>
      <c r="P39" s="3">
        <v>0.4</v>
      </c>
      <c r="Q39" s="3">
        <f>IF($K39="","",(N39+O39+P39)*20%)</f>
      </c>
      <c r="R39" s="3">
        <f>IF($K39="","",N39+O39+P39+Q39)</f>
      </c>
      <c r="S39" s="3"/>
      <c r="T39" s="3"/>
      <c r="U39" s="3"/>
      <c r="V39" s="3">
        <f>IF($K39="","",U39*20%)</f>
      </c>
      <c r="W39" s="3">
        <v>1</v>
      </c>
      <c r="X39" s="3">
        <f>IF($K39="","",Q39+T39+V39)</f>
      </c>
      <c r="Y39" s="3">
        <f>IF($K39="","",L39-M39-R39-S39-T39-U39-V39-W39)</f>
      </c>
      <c r="Z39" s="3">
        <f>IF($K39="","",(Y39-AF39)/J39*100)</f>
      </c>
      <c r="AA39" s="3">
        <f>IF($K39="","",M39-X39)</f>
      </c>
      <c r="AG39" s="3">
        <f>IF($K39="","",Y39-AF39)</f>
      </c>
    </row>
    <row r="40" spans="1:33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IF($K40="","",(K40*6.9%)-(K40*6.9%)*10%)</f>
      </c>
      <c r="O40" s="3">
        <f>IF($K40="","",K40*0.35%)</f>
      </c>
      <c r="P40" s="3">
        <v>0.4</v>
      </c>
      <c r="Q40" s="3">
        <f>IF($K40="","",(N40+O40+P40)*20%)</f>
      </c>
      <c r="R40" s="3">
        <f>IF($K40="","",N40+O40+P40+Q40)</f>
      </c>
      <c r="S40" s="3"/>
      <c r="T40" s="3"/>
      <c r="U40" s="3"/>
      <c r="V40" s="3">
        <f>IF($K40="","",U40*20%)</f>
      </c>
      <c r="W40" s="3">
        <v>1</v>
      </c>
      <c r="X40" s="3">
        <f>IF($K40="","",Q40+T40+V40)</f>
      </c>
      <c r="Y40" s="3">
        <f>IF($K40="","",L40-M40-R40-S40-T40-U40-V40-W40)</f>
      </c>
      <c r="Z40" s="3">
        <f>IF($K40="","",(Y40-AF40)/J40*100)</f>
      </c>
      <c r="AA40" s="3">
        <f>IF($K40="","",M40-X40)</f>
      </c>
      <c r="AG40" s="3">
        <f>IF($K40="","",Y40-AF40)</f>
      </c>
    </row>
    <row r="41" spans="1:33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IF($K41="","",(K41*6.9%)-(K41*6.9%)*10%)</f>
      </c>
      <c r="O41" s="3">
        <f>IF($K41="","",K41*0.35%)</f>
      </c>
      <c r="P41" s="3">
        <v>0.4</v>
      </c>
      <c r="Q41" s="3">
        <f>IF($K41="","",(N41+O41+P41)*20%)</f>
      </c>
      <c r="R41" s="3">
        <f>IF($K41="","",N41+O41+P41+Q41)</f>
      </c>
      <c r="S41" s="3"/>
      <c r="T41" s="3"/>
      <c r="U41" s="3"/>
      <c r="V41" s="3">
        <f>IF($K41="","",U41*20%)</f>
      </c>
      <c r="W41" s="3">
        <v>1</v>
      </c>
      <c r="X41" s="3">
        <f>IF($K41="","",Q41+T41+V41)</f>
      </c>
      <c r="Y41" s="3">
        <f>IF($K41="","",L41-M41-R41-S41-T41-U41-V41-W41)</f>
      </c>
      <c r="Z41" s="3">
        <f>IF($K41="","",(Y41-AF41)/J41*100)</f>
      </c>
      <c r="AA41" s="3">
        <f>IF($K41="","",M41-X41)</f>
      </c>
      <c r="AG41" s="3">
        <f>IF($K41="","",Y41-AF41)</f>
      </c>
    </row>
    <row r="42" spans="1:33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IF($K42="","",(K42*6.9%)-(K42*6.9%)*10%)</f>
      </c>
      <c r="O42" s="3">
        <f>IF($K42="","",K42*0.35%)</f>
      </c>
      <c r="P42" s="3">
        <v>0.4</v>
      </c>
      <c r="Q42" s="3">
        <f>IF($K42="","",(N42+O42+P42)*20%)</f>
      </c>
      <c r="R42" s="3">
        <f>IF($K42="","",N42+O42+P42+Q42)</f>
      </c>
      <c r="S42" s="3"/>
      <c r="T42" s="3"/>
      <c r="U42" s="3"/>
      <c r="V42" s="3">
        <f>IF($K42="","",U42*20%)</f>
      </c>
      <c r="W42" s="3">
        <v>1</v>
      </c>
      <c r="X42" s="3">
        <f>IF($K42="","",Q42+T42+V42)</f>
      </c>
      <c r="Y42" s="3">
        <f>IF($K42="","",L42-M42-R42-S42-T42-U42-V42-W42)</f>
      </c>
      <c r="Z42" s="3">
        <f>IF($K42="","",(Y42-AF42)/J42*100)</f>
      </c>
      <c r="AA42" s="3">
        <f>IF($K42="","",M42-X42)</f>
      </c>
      <c r="AG42" s="3">
        <f>IF($K42="","",Y42-AF42)</f>
      </c>
    </row>
    <row r="43" spans="1:33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IF($K43="","",(K43*6.9%)-(K43*6.9%)*10%)</f>
      </c>
      <c r="O43" s="3">
        <f>IF($K43="","",K43*0.35%)</f>
      </c>
      <c r="P43" s="3">
        <v>0.4</v>
      </c>
      <c r="Q43" s="3">
        <f>IF($K43="","",(N43+O43+P43)*20%)</f>
      </c>
      <c r="R43" s="3">
        <f>IF($K43="","",N43+O43+P43+Q43)</f>
      </c>
      <c r="S43" s="3"/>
      <c r="T43" s="3"/>
      <c r="U43" s="3"/>
      <c r="V43" s="3">
        <f>IF($K43="","",U43*20%)</f>
      </c>
      <c r="W43" s="3">
        <v>1</v>
      </c>
      <c r="X43" s="3">
        <f>IF($K43="","",Q43+T43+V43)</f>
      </c>
      <c r="Y43" s="3">
        <f>IF($K43="","",L43-M43-R43-S43-T43-U43-V43-W43)</f>
      </c>
      <c r="Z43" s="3">
        <f>IF($K43="","",(Y43-AF43)/J43*100)</f>
      </c>
      <c r="AA43" s="3">
        <f>IF($K43="","",M43-X43)</f>
      </c>
      <c r="AG43" s="3">
        <f>IF($K43="","",Y43-AF43)</f>
      </c>
    </row>
    <row r="44" spans="1:33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IF($K44="","",(K44*6.9%)-(K44*6.9%)*10%)</f>
      </c>
      <c r="O44" s="3">
        <f>IF($K44="","",K44*0.35%)</f>
      </c>
      <c r="P44" s="3">
        <v>0.4</v>
      </c>
      <c r="Q44" s="3">
        <f>IF($K44="","",(N44+O44+P44)*20%)</f>
      </c>
      <c r="R44" s="3">
        <f>IF($K44="","",N44+O44+P44+Q44)</f>
      </c>
      <c r="S44" s="3"/>
      <c r="T44" s="3"/>
      <c r="U44" s="3"/>
      <c r="V44" s="3">
        <f>IF($K44="","",U44*20%)</f>
      </c>
      <c r="W44" s="3">
        <v>1</v>
      </c>
      <c r="X44" s="3">
        <f>IF($K44="","",Q44+T44+V44)</f>
      </c>
      <c r="Y44" s="3">
        <f>IF($K44="","",L44-M44-R44-S44-T44-U44-V44-W44)</f>
      </c>
      <c r="Z44" s="3">
        <f>IF($K44="","",(Y44-AF44)/J44*100)</f>
      </c>
      <c r="AA44" s="3">
        <f>IF($K44="","",M44-X44)</f>
      </c>
      <c r="AG44" s="3">
        <f>IF($K44="","",Y44-AF44)</f>
      </c>
    </row>
    <row r="45" spans="1:33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IF($K45="","",(K45*6.9%)-(K45*6.9%)*10%)</f>
      </c>
      <c r="O45" s="3">
        <f>IF($K45="","",K45*0.35%)</f>
      </c>
      <c r="P45" s="3">
        <v>0.4</v>
      </c>
      <c r="Q45" s="3">
        <f>IF($K45="","",(N45+O45+P45)*20%)</f>
      </c>
      <c r="R45" s="3">
        <f>IF($K45="","",N45+O45+P45+Q45)</f>
      </c>
      <c r="S45" s="3"/>
      <c r="T45" s="3"/>
      <c r="U45" s="3"/>
      <c r="V45" s="3">
        <f>IF($K45="","",U45*20%)</f>
      </c>
      <c r="W45" s="3">
        <v>1</v>
      </c>
      <c r="X45" s="3">
        <f>IF($K45="","",Q45+T45+V45)</f>
      </c>
      <c r="Y45" s="3">
        <f>IF($K45="","",L45-M45-R45-S45-T45-U45-V45-W45)</f>
      </c>
      <c r="Z45" s="3">
        <f>IF($K45="","",(Y45-AF45)/J45*100)</f>
      </c>
      <c r="AA45" s="3">
        <f>IF($K45="","",M45-X45)</f>
      </c>
      <c r="AG45" s="3">
        <f>IF($K45="","",Y45-AF45)</f>
      </c>
    </row>
    <row r="46" spans="1:33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IF($K46="","",(K46*6.9%)-(K46*6.9%)*10%)</f>
      </c>
      <c r="O46" s="3">
        <f>IF($K46="","",K46*0.35%)</f>
      </c>
      <c r="P46" s="3">
        <v>0.4</v>
      </c>
      <c r="Q46" s="3">
        <f>IF($K46="","",(N46+O46+P46)*20%)</f>
      </c>
      <c r="R46" s="3">
        <f>IF($K46="","",N46+O46+P46+Q46)</f>
      </c>
      <c r="S46" s="3"/>
      <c r="T46" s="3"/>
      <c r="U46" s="3"/>
      <c r="V46" s="3">
        <f>IF($K46="","",U46*20%)</f>
      </c>
      <c r="W46" s="3">
        <v>1</v>
      </c>
      <c r="X46" s="3">
        <f>IF($K46="","",Q46+T46+V46)</f>
      </c>
      <c r="Y46" s="3">
        <f>IF($K46="","",L46-M46-R46-S46-T46-U46-V46-W46)</f>
      </c>
      <c r="Z46" s="3">
        <f>IF($K46="","",(Y46-AF46)/J46*100)</f>
      </c>
      <c r="AA46" s="3">
        <f>IF($K46="","",M46-X46)</f>
      </c>
      <c r="AG46" s="3">
        <f>IF($K46="","",Y46-AF46)</f>
      </c>
    </row>
    <row r="47" spans="1:33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IF($K47="","",(K47*6.9%)-(K47*6.9%)*10%)</f>
      </c>
      <c r="O47" s="3">
        <f>IF($K47="","",K47*0.35%)</f>
      </c>
      <c r="P47" s="3">
        <v>0.4</v>
      </c>
      <c r="Q47" s="3">
        <f>IF($K47="","",(N47+O47+P47)*20%)</f>
      </c>
      <c r="R47" s="3">
        <f>IF($K47="","",N47+O47+P47+Q47)</f>
      </c>
      <c r="S47" s="3"/>
      <c r="T47" s="3"/>
      <c r="U47" s="3"/>
      <c r="V47" s="3">
        <f>IF($K47="","",U47*20%)</f>
      </c>
      <c r="W47" s="3">
        <v>1</v>
      </c>
      <c r="X47" s="3">
        <f>IF($K47="","",Q47+T47+V47)</f>
      </c>
      <c r="Y47" s="3">
        <f>IF($K47="","",L47-M47-R47-S47-T47-U47-V47-W47)</f>
      </c>
      <c r="Z47" s="3">
        <f>IF($K47="","",(Y47-AF47)/J47*100)</f>
      </c>
      <c r="AA47" s="3">
        <f>IF($K47="","",M47-X47)</f>
      </c>
      <c r="AG47" s="3">
        <f>IF($K47="","",Y47-AF47)</f>
      </c>
    </row>
    <row r="48" spans="1:33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IF($K48="","",(K48*6.9%)-(K48*6.9%)*10%)</f>
      </c>
      <c r="O48" s="3">
        <f>IF($K48="","",K48*0.35%)</f>
      </c>
      <c r="P48" s="3">
        <v>0.4</v>
      </c>
      <c r="Q48" s="3">
        <f>IF($K48="","",(N48+O48+P48)*20%)</f>
      </c>
      <c r="R48" s="3">
        <f>IF($K48="","",N48+O48+P48+Q48)</f>
      </c>
      <c r="S48" s="3"/>
      <c r="T48" s="3"/>
      <c r="U48" s="3"/>
      <c r="V48" s="3">
        <f>IF($K48="","",U48*20%)</f>
      </c>
      <c r="W48" s="3">
        <v>1</v>
      </c>
      <c r="X48" s="3">
        <f>IF($K48="","",Q48+T48+V48)</f>
      </c>
      <c r="Y48" s="3">
        <f>IF($K48="","",L48-M48-R48-S48-T48-U48-V48-W48)</f>
      </c>
      <c r="Z48" s="3">
        <f>IF($K48="","",(Y48-AF48)/J48*100)</f>
      </c>
      <c r="AA48" s="3">
        <f>IF($K48="","",M48-X48)</f>
      </c>
      <c r="AG48" s="3">
        <f>IF($K48="","",Y48-AF48)</f>
      </c>
    </row>
    <row r="49" spans="1:33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IF($K49="","",(K49*6.9%)-(K49*6.9%)*10%)</f>
      </c>
      <c r="O49" s="3">
        <f>IF($K49="","",K49*0.35%)</f>
      </c>
      <c r="P49" s="3">
        <v>0.4</v>
      </c>
      <c r="Q49" s="3">
        <f>IF($K49="","",(N49+O49+P49)*20%)</f>
      </c>
      <c r="R49" s="3">
        <f>IF($K49="","",N49+O49+P49+Q49)</f>
      </c>
      <c r="S49" s="3"/>
      <c r="T49" s="3"/>
      <c r="U49" s="3"/>
      <c r="V49" s="3">
        <f>IF($K49="","",U49*20%)</f>
      </c>
      <c r="W49" s="3">
        <v>1</v>
      </c>
      <c r="X49" s="3">
        <f>IF($K49="","",Q49+T49+V49)</f>
      </c>
      <c r="Y49" s="3">
        <f>IF($K49="","",L49-M49-R49-S49-T49-U49-V49-W49)</f>
      </c>
      <c r="Z49" s="3">
        <f>IF($K49="","",(Y49-AF49)/J49*100)</f>
      </c>
      <c r="AA49" s="3">
        <f>IF($K49="","",M49-X49)</f>
      </c>
      <c r="AG49" s="3">
        <f>IF($K49="","",Y49-AF49)</f>
      </c>
    </row>
    <row r="50" spans="1:33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IF($K50="","",(K50*6.9%)-(K50*6.9%)*10%)</f>
      </c>
      <c r="O50" s="3">
        <f>IF($K50="","",K50*0.35%)</f>
      </c>
      <c r="P50" s="3">
        <v>0.4</v>
      </c>
      <c r="Q50" s="3">
        <f>IF($K50="","",(N50+O50+P50)*20%)</f>
      </c>
      <c r="R50" s="3">
        <f>IF($K50="","",N50+O50+P50+Q50)</f>
      </c>
      <c r="S50" s="3"/>
      <c r="T50" s="3"/>
      <c r="U50" s="3"/>
      <c r="V50" s="3">
        <f>IF($K50="","",U50*20%)</f>
      </c>
      <c r="W50" s="3">
        <v>1</v>
      </c>
      <c r="X50" s="3">
        <f>IF($K50="","",Q50+T50+V50)</f>
      </c>
      <c r="Y50" s="3">
        <f>IF($K50="","",L50-M50-R50-S50-T50-U50-V50-W50)</f>
      </c>
      <c r="Z50" s="3">
        <f>IF($K50="","",(Y50-AF50)/J50*100)</f>
      </c>
      <c r="AA50" s="3">
        <f>IF($K50="","",M50-X50)</f>
      </c>
      <c r="AG50" s="3">
        <f>IF($K50="","",Y50-AF50)</f>
      </c>
    </row>
    <row r="51" spans="1:33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IF($K51="","",(K51*6.9%)-(K51*6.9%)*10%)</f>
      </c>
      <c r="O51" s="3">
        <f>IF($K51="","",K51*0.35%)</f>
      </c>
      <c r="P51" s="3">
        <v>0.4</v>
      </c>
      <c r="Q51" s="3">
        <f>IF($K51="","",(N51+O51+P51)*20%)</f>
      </c>
      <c r="R51" s="3">
        <f>IF($K51="","",N51+O51+P51+Q51)</f>
      </c>
      <c r="S51" s="3"/>
      <c r="T51" s="3"/>
      <c r="U51" s="3"/>
      <c r="V51" s="3">
        <f>IF($K51="","",U51*20%)</f>
      </c>
      <c r="W51" s="3">
        <v>1</v>
      </c>
      <c r="X51" s="3">
        <f>IF($K51="","",Q51+T51+V51)</f>
      </c>
      <c r="Y51" s="3">
        <f>IF($K51="","",L51-M51-R51-S51-T51-U51-V51-W51)</f>
      </c>
      <c r="Z51" s="3">
        <f>IF($K51="","",(Y51-AF51)/J51*100)</f>
      </c>
      <c r="AA51" s="3">
        <f>IF($K51="","",M51-X51)</f>
      </c>
      <c r="AG51" s="3">
        <f>IF($K51="","",Y51-AF51)</f>
      </c>
    </row>
    <row r="52" spans="1:33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IF($K52="","",(K52*6.9%)-(K52*6.9%)*10%)</f>
      </c>
      <c r="O52" s="3">
        <f>IF($K52="","",K52*0.35%)</f>
      </c>
      <c r="P52" s="3">
        <v>0.4</v>
      </c>
      <c r="Q52" s="3">
        <f>IF($K52="","",(N52+O52+P52)*20%)</f>
      </c>
      <c r="R52" s="3">
        <f>IF($K52="","",N52+O52+P52+Q52)</f>
      </c>
      <c r="S52" s="3"/>
      <c r="T52" s="3"/>
      <c r="U52" s="3"/>
      <c r="V52" s="3">
        <f>IF($K52="","",U52*20%)</f>
      </c>
      <c r="W52" s="3">
        <v>1</v>
      </c>
      <c r="X52" s="3">
        <f>IF($K52="","",Q52+T52+V52)</f>
      </c>
      <c r="Y52" s="3">
        <f>IF($K52="","",L52-M52-R52-S52-T52-U52-V52-W52)</f>
      </c>
      <c r="Z52" s="3">
        <f>IF($K52="","",(Y52-AF52)/J52*100)</f>
      </c>
      <c r="AA52" s="3">
        <f>IF($K52="","",M52-X52)</f>
      </c>
      <c r="AG52" s="3">
        <f>IF($K52="","",Y52-AF52)</f>
      </c>
    </row>
    <row r="53" spans="1:33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IF($K53="","",(K53*6.9%)-(K53*6.9%)*10%)</f>
      </c>
      <c r="O53" s="3">
        <f>IF($K53="","",K53*0.35%)</f>
      </c>
      <c r="P53" s="3">
        <v>0.4</v>
      </c>
      <c r="Q53" s="3">
        <f>IF($K53="","",(N53+O53+P53)*20%)</f>
      </c>
      <c r="R53" s="3">
        <f>IF($K53="","",N53+O53+P53+Q53)</f>
      </c>
      <c r="S53" s="3"/>
      <c r="T53" s="3"/>
      <c r="U53" s="3"/>
      <c r="V53" s="3">
        <f>IF($K53="","",U53*20%)</f>
      </c>
      <c r="W53" s="3">
        <v>1</v>
      </c>
      <c r="X53" s="3">
        <f>IF($K53="","",Q53+T53+V53)</f>
      </c>
      <c r="Y53" s="3">
        <f>IF($K53="","",L53-M53-R53-S53-T53-U53-V53-W53)</f>
      </c>
      <c r="Z53" s="3">
        <f>IF($K53="","",(Y53-AF53)/J53*100)</f>
      </c>
      <c r="AA53" s="3">
        <f>IF($K53="","",M53-X53)</f>
      </c>
      <c r="AG53" s="3">
        <f>IF($K53="","",Y53-AF53)</f>
      </c>
    </row>
    <row r="54" spans="1:33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IF($K54="","",(K54*6.9%)-(K54*6.9%)*10%)</f>
      </c>
      <c r="O54" s="3">
        <f>IF($K54="","",K54*0.35%)</f>
      </c>
      <c r="P54" s="3">
        <v>0.4</v>
      </c>
      <c r="Q54" s="3">
        <f>IF($K54="","",(N54+O54+P54)*20%)</f>
      </c>
      <c r="R54" s="3">
        <f>IF($K54="","",N54+O54+P54+Q54)</f>
      </c>
      <c r="S54" s="3"/>
      <c r="T54" s="3"/>
      <c r="U54" s="3"/>
      <c r="V54" s="3">
        <f>IF($K54="","",U54*20%)</f>
      </c>
      <c r="W54" s="3">
        <v>1</v>
      </c>
      <c r="X54" s="3">
        <f>IF($K54="","",Q54+T54+V54)</f>
      </c>
      <c r="Y54" s="3">
        <f>IF($K54="","",L54-M54-R54-S54-T54-U54-V54-W54)</f>
      </c>
      <c r="Z54" s="3">
        <f>IF($K54="","",(Y54-AF54)/J54*100)</f>
      </c>
      <c r="AA54" s="3">
        <f>IF($K54="","",M54-X54)</f>
      </c>
      <c r="AG54" s="3">
        <f>IF($K54="","",Y54-AF54)</f>
      </c>
    </row>
    <row r="55" spans="1:33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IF($K55="","",(K55*6.9%)-(K55*6.9%)*10%)</f>
      </c>
      <c r="O55" s="3">
        <f>IF($K55="","",K55*0.35%)</f>
      </c>
      <c r="P55" s="3">
        <v>0.4</v>
      </c>
      <c r="Q55" s="3">
        <f>IF($K55="","",(N55+O55+P55)*20%)</f>
      </c>
      <c r="R55" s="3">
        <f>IF($K55="","",N55+O55+P55+Q55)</f>
      </c>
      <c r="S55" s="3"/>
      <c r="T55" s="3"/>
      <c r="U55" s="3"/>
      <c r="V55" s="3">
        <f>IF($K55="","",U55*20%)</f>
      </c>
      <c r="W55" s="3">
        <v>1</v>
      </c>
      <c r="X55" s="3">
        <f>IF($K55="","",Q55+T55+V55)</f>
      </c>
      <c r="Y55" s="3">
        <f>IF($K55="","",L55-M55-R55-S55-T55-U55-V55-W55)</f>
      </c>
      <c r="Z55" s="3">
        <f>IF($K55="","",(Y55-AF55)/J55*100)</f>
      </c>
      <c r="AA55" s="3">
        <f>IF($K55="","",M55-X55)</f>
      </c>
      <c r="AG55" s="3">
        <f>IF($K55="","",Y55-AF55)</f>
      </c>
    </row>
    <row r="56" spans="1:33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IF($K56="","",(K56*6.9%)-(K56*6.9%)*10%)</f>
      </c>
      <c r="O56" s="3">
        <f>IF($K56="","",K56*0.35%)</f>
      </c>
      <c r="P56" s="3">
        <v>0.4</v>
      </c>
      <c r="Q56" s="3">
        <f>IF($K56="","",(N56+O56+P56)*20%)</f>
      </c>
      <c r="R56" s="3">
        <f>IF($K56="","",N56+O56+P56+Q56)</f>
      </c>
      <c r="S56" s="3"/>
      <c r="T56" s="3"/>
      <c r="U56" s="3"/>
      <c r="V56" s="3">
        <f>IF($K56="","",U56*20%)</f>
      </c>
      <c r="W56" s="3">
        <v>1</v>
      </c>
      <c r="X56" s="3">
        <f>IF($K56="","",Q56+T56+V56)</f>
      </c>
      <c r="Y56" s="3">
        <f>IF($K56="","",L56-M56-R56-S56-T56-U56-V56-W56)</f>
      </c>
      <c r="Z56" s="3">
        <f>IF($K56="","",(Y56-AF56)/J56*100)</f>
      </c>
      <c r="AA56" s="3">
        <f>IF($K56="","",M56-X56)</f>
      </c>
      <c r="AG56" s="3">
        <f>IF($K56="","",Y56-AF56)</f>
      </c>
    </row>
    <row r="57" spans="1:33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IF($K57="","",(K57*6.9%)-(K57*6.9%)*10%)</f>
      </c>
      <c r="O57" s="3">
        <f>IF($K57="","",K57*0.35%)</f>
      </c>
      <c r="P57" s="3">
        <v>0.4</v>
      </c>
      <c r="Q57" s="3">
        <f>IF($K57="","",(N57+O57+P57)*20%)</f>
      </c>
      <c r="R57" s="3">
        <f>IF($K57="","",N57+O57+P57+Q57)</f>
      </c>
      <c r="S57" s="3"/>
      <c r="T57" s="3"/>
      <c r="U57" s="3"/>
      <c r="V57" s="3">
        <f>IF($K57="","",U57*20%)</f>
      </c>
      <c r="W57" s="3">
        <v>1</v>
      </c>
      <c r="X57" s="3">
        <f>IF($K57="","",Q57+T57+V57)</f>
      </c>
      <c r="Y57" s="3">
        <f>IF($K57="","",L57-M57-R57-S57-T57-U57-V57-W57)</f>
      </c>
      <c r="Z57" s="3">
        <f>IF($K57="","",(Y57-AF57)/J57*100)</f>
      </c>
      <c r="AA57" s="3">
        <f>IF($K57="","",M57-X57)</f>
      </c>
      <c r="AG57" s="3">
        <f>IF($K57="","",Y57-AF57)</f>
      </c>
    </row>
    <row r="58" spans="1:33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IF($K58="","",(K58*6.9%)-(K58*6.9%)*10%)</f>
      </c>
      <c r="O58" s="3">
        <f>IF($K58="","",K58*0.35%)</f>
      </c>
      <c r="P58" s="3">
        <v>0.4</v>
      </c>
      <c r="Q58" s="3">
        <f>IF($K58="","",(N58+O58+P58)*20%)</f>
      </c>
      <c r="R58" s="3">
        <f>IF($K58="","",N58+O58+P58+Q58)</f>
      </c>
      <c r="S58" s="3"/>
      <c r="T58" s="3"/>
      <c r="U58" s="3"/>
      <c r="V58" s="3">
        <f>IF($K58="","",U58*20%)</f>
      </c>
      <c r="W58" s="3">
        <v>1</v>
      </c>
      <c r="X58" s="3">
        <f>IF($K58="","",Q58+T58+V58)</f>
      </c>
      <c r="Y58" s="3">
        <f>IF($K58="","",L58-M58-R58-S58-T58-U58-V58-W58)</f>
      </c>
      <c r="Z58" s="3">
        <f>IF($K58="","",(Y58-AF58)/J58*100)</f>
      </c>
      <c r="AA58" s="3">
        <f>IF($K58="","",M58-X58)</f>
      </c>
      <c r="AG58" s="3">
        <f>IF($K58="","",Y58-AF58)</f>
      </c>
    </row>
    <row r="59" spans="1:33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IF($K59="","",(K59*6.9%)-(K59*6.9%)*10%)</f>
      </c>
      <c r="O59" s="3">
        <f>IF($K59="","",K59*0.35%)</f>
      </c>
      <c r="P59" s="3">
        <v>0.4</v>
      </c>
      <c r="Q59" s="3">
        <f>IF($K59="","",(N59+O59+P59)*20%)</f>
      </c>
      <c r="R59" s="3">
        <f>IF($K59="","",N59+O59+P59+Q59)</f>
      </c>
      <c r="S59" s="3"/>
      <c r="T59" s="3"/>
      <c r="U59" s="3"/>
      <c r="V59" s="3">
        <f>IF($K59="","",U59*20%)</f>
      </c>
      <c r="W59" s="3">
        <v>1</v>
      </c>
      <c r="X59" s="3">
        <f>IF($K59="","",Q59+T59+V59)</f>
      </c>
      <c r="Y59" s="3">
        <f>IF($K59="","",L59-M59-R59-S59-T59-U59-V59-W59)</f>
      </c>
      <c r="Z59" s="3">
        <f>IF($K59="","",(Y59-AF59)/J59*100)</f>
      </c>
      <c r="AA59" s="3">
        <f>IF($K59="","",M59-X59)</f>
      </c>
      <c r="AG59" s="3">
        <f>IF($K59="","",Y59-AF59)</f>
      </c>
    </row>
    <row r="60" spans="1:33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IF($K60="","",(K60*6.9%)-(K60*6.9%)*10%)</f>
      </c>
      <c r="O60" s="3">
        <f>IF($K60="","",K60*0.35%)</f>
      </c>
      <c r="P60" s="3">
        <v>0.4</v>
      </c>
      <c r="Q60" s="3">
        <f>IF($K60="","",(N60+O60+P60)*20%)</f>
      </c>
      <c r="R60" s="3">
        <f>IF($K60="","",N60+O60+P60+Q60)</f>
      </c>
      <c r="S60" s="3"/>
      <c r="T60" s="3"/>
      <c r="U60" s="3"/>
      <c r="V60" s="3">
        <f>IF($K60="","",U60*20%)</f>
      </c>
      <c r="W60" s="3">
        <v>1</v>
      </c>
      <c r="X60" s="3">
        <f>IF($K60="","",Q60+T60+V60)</f>
      </c>
      <c r="Y60" s="3">
        <f>IF($K60="","",L60-M60-R60-S60-T60-U60-V60-W60)</f>
      </c>
      <c r="Z60" s="3">
        <f>IF($K60="","",(Y60-AF60)/J60*100)</f>
      </c>
      <c r="AA60" s="3">
        <f>IF($K60="","",M60-X60)</f>
      </c>
      <c r="AG60" s="3">
        <f>IF($K60="","",Y60-AF60)</f>
      </c>
    </row>
    <row r="61" spans="1:33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IF($K61="","",(K61*6.9%)-(K61*6.9%)*10%)</f>
      </c>
      <c r="O61" s="3">
        <f>IF($K61="","",K61*0.35%)</f>
      </c>
      <c r="P61" s="3">
        <v>0.4</v>
      </c>
      <c r="Q61" s="3">
        <f>IF($K61="","",(N61+O61+P61)*20%)</f>
      </c>
      <c r="R61" s="3">
        <f>IF($K61="","",N61+O61+P61+Q61)</f>
      </c>
      <c r="S61" s="3"/>
      <c r="T61" s="3"/>
      <c r="U61" s="3"/>
      <c r="V61" s="3">
        <f>IF($K61="","",U61*20%)</f>
      </c>
      <c r="W61" s="3">
        <v>1</v>
      </c>
      <c r="X61" s="3">
        <f>IF($K61="","",Q61+T61+V61)</f>
      </c>
      <c r="Y61" s="3">
        <f>IF($K61="","",L61-M61-R61-S61-T61-U61-V61-W61)</f>
      </c>
      <c r="Z61" s="3">
        <f>IF($K61="","",(Y61-AF61)/J61*100)</f>
      </c>
      <c r="AA61" s="3">
        <f>IF($K61="","",M61-X61)</f>
      </c>
      <c r="AG61" s="3">
        <f>IF($K61="","",Y61-AF61)</f>
      </c>
    </row>
    <row r="62" spans="1:33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IF($K62="","",(K62*6.9%)-(K62*6.9%)*10%)</f>
      </c>
      <c r="O62" s="3">
        <f>IF($K62="","",K62*0.35%)</f>
      </c>
      <c r="P62" s="3">
        <v>0.4</v>
      </c>
      <c r="Q62" s="3">
        <f>IF($K62="","",(N62+O62+P62)*20%)</f>
      </c>
      <c r="R62" s="3">
        <f>IF($K62="","",N62+O62+P62+Q62)</f>
      </c>
      <c r="S62" s="3"/>
      <c r="T62" s="3"/>
      <c r="U62" s="3"/>
      <c r="V62" s="3">
        <f>IF($K62="","",U62*20%)</f>
      </c>
      <c r="W62" s="3">
        <v>1</v>
      </c>
      <c r="X62" s="3">
        <f>IF($K62="","",Q62+T62+V62)</f>
      </c>
      <c r="Y62" s="3">
        <f>IF($K62="","",L62-M62-R62-S62-T62-U62-V62-W62)</f>
      </c>
      <c r="Z62" s="3">
        <f>IF($K62="","",(Y62-AF62)/J62*100)</f>
      </c>
      <c r="AA62" s="3">
        <f>IF($K62="","",M62-X62)</f>
      </c>
      <c r="AG62" s="3">
        <f>IF($K62="","",Y62-AF62)</f>
      </c>
    </row>
    <row r="63" spans="1:33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IF($K63="","",(K63*6.9%)-(K63*6.9%)*10%)</f>
      </c>
      <c r="O63" s="3">
        <f>IF($K63="","",K63*0.35%)</f>
      </c>
      <c r="P63" s="3">
        <v>0.4</v>
      </c>
      <c r="Q63" s="3">
        <f>IF($K63="","",(N63+O63+P63)*20%)</f>
      </c>
      <c r="R63" s="3">
        <f>IF($K63="","",N63+O63+P63+Q63)</f>
      </c>
      <c r="S63" s="3"/>
      <c r="T63" s="3"/>
      <c r="U63" s="3"/>
      <c r="V63" s="3">
        <f>IF($K63="","",U63*20%)</f>
      </c>
      <c r="W63" s="3">
        <v>1</v>
      </c>
      <c r="X63" s="3">
        <f>IF($K63="","",Q63+T63+V63)</f>
      </c>
      <c r="Y63" s="3">
        <f>IF($K63="","",L63-M63-R63-S63-T63-U63-V63-W63)</f>
      </c>
      <c r="Z63" s="3">
        <f>IF($K63="","",(Y63-AF63)/J63*100)</f>
      </c>
      <c r="AA63" s="3">
        <f>IF($K63="","",M63-X63)</f>
      </c>
      <c r="AG63" s="3">
        <f>IF($K63="","",Y63-AF63)</f>
      </c>
    </row>
    <row r="64" spans="1:33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IF($K64="","",(K64*6.9%)-(K64*6.9%)*10%)</f>
      </c>
      <c r="O64" s="3">
        <f>IF($K64="","",K64*0.35%)</f>
      </c>
      <c r="P64" s="3">
        <v>0.4</v>
      </c>
      <c r="Q64" s="3">
        <f>IF($K64="","",(N64+O64+P64)*20%)</f>
      </c>
      <c r="R64" s="3">
        <f>IF($K64="","",N64+O64+P64+Q64)</f>
      </c>
      <c r="S64" s="3"/>
      <c r="T64" s="3"/>
      <c r="U64" s="3"/>
      <c r="V64" s="3">
        <f>IF($K64="","",U64*20%)</f>
      </c>
      <c r="W64" s="3">
        <v>1</v>
      </c>
      <c r="X64" s="3">
        <f>IF($K64="","",Q64+T64+V64)</f>
      </c>
      <c r="Y64" s="3">
        <f>IF($K64="","",L64-M64-R64-S64-T64-U64-V64-W64)</f>
      </c>
      <c r="Z64" s="3">
        <f>IF($K64="","",(Y64-AF64)/J64*100)</f>
      </c>
      <c r="AA64" s="3">
        <f>IF($K64="","",M64-X64)</f>
      </c>
      <c r="AG64" s="3">
        <f>IF($K64="","",Y64-AF64)</f>
      </c>
    </row>
    <row r="65" spans="1:33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IF($K65="","",(K65*6.9%)-(K65*6.9%)*10%)</f>
      </c>
      <c r="O65" s="3">
        <f>IF($K65="","",K65*0.35%)</f>
      </c>
      <c r="P65" s="3">
        <v>0.4</v>
      </c>
      <c r="Q65" s="3">
        <f>IF($K65="","",(N65+O65+P65)*20%)</f>
      </c>
      <c r="R65" s="3">
        <f>IF($K65="","",N65+O65+P65+Q65)</f>
      </c>
      <c r="S65" s="3"/>
      <c r="T65" s="3"/>
      <c r="U65" s="3"/>
      <c r="V65" s="3">
        <f>IF($K65="","",U65*20%)</f>
      </c>
      <c r="W65" s="3">
        <v>1</v>
      </c>
      <c r="X65" s="3">
        <f>IF($K65="","",Q65+T65+V65)</f>
      </c>
      <c r="Y65" s="3">
        <f>IF($K65="","",L65-M65-R65-S65-T65-U65-V65-W65)</f>
      </c>
      <c r="Z65" s="3">
        <f>IF($K65="","",(Y65-AF65)/J65*100)</f>
      </c>
      <c r="AA65" s="3">
        <f>IF($K65="","",M65-X65)</f>
      </c>
      <c r="AG65" s="3">
        <f>IF($K65="","",Y65-AF65)</f>
      </c>
    </row>
    <row r="66" spans="1:33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IF($K66="","",(K66*6.9%)-(K66*6.9%)*10%)</f>
      </c>
      <c r="O66" s="3">
        <f>IF($K66="","",K66*0.35%)</f>
      </c>
      <c r="P66" s="3">
        <v>0.4</v>
      </c>
      <c r="Q66" s="3">
        <f>IF($K66="","",(N66+O66+P66)*20%)</f>
      </c>
      <c r="R66" s="3">
        <f>IF($K66="","",N66+O66+P66+Q66)</f>
      </c>
      <c r="S66" s="3"/>
      <c r="T66" s="3"/>
      <c r="U66" s="3"/>
      <c r="V66" s="3">
        <f>IF($K66="","",U66*20%)</f>
      </c>
      <c r="W66" s="3">
        <v>1</v>
      </c>
      <c r="X66" s="3">
        <f>IF($K66="","",Q66+T66+V66)</f>
      </c>
      <c r="Y66" s="3">
        <f>IF($K66="","",L66-M66-R66-S66-T66-U66-V66-W66)</f>
      </c>
      <c r="Z66" s="3">
        <f>IF($K66="","",(Y66-AF66)/J66*100)</f>
      </c>
      <c r="AA66" s="3">
        <f>IF($K66="","",M66-X66)</f>
      </c>
      <c r="AG66" s="3">
        <f>IF($K66="","",Y66-AF66)</f>
      </c>
    </row>
    <row r="67" spans="1:33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IF($K67="","",(K67*6.9%)-(K67*6.9%)*10%)</f>
      </c>
      <c r="O67" s="3">
        <f>IF($K67="","",K67*0.35%)</f>
      </c>
      <c r="P67" s="3">
        <v>0.4</v>
      </c>
      <c r="Q67" s="3">
        <f>IF($K67="","",(N67+O67+P67)*20%)</f>
      </c>
      <c r="R67" s="3">
        <f>IF($K67="","",N67+O67+P67+Q67)</f>
      </c>
      <c r="S67" s="3"/>
      <c r="T67" s="3"/>
      <c r="U67" s="3"/>
      <c r="V67" s="3">
        <f>IF($K67="","",U67*20%)</f>
      </c>
      <c r="W67" s="3">
        <v>1</v>
      </c>
      <c r="X67" s="3">
        <f>IF($K67="","",Q67+T67+V67)</f>
      </c>
      <c r="Y67" s="3">
        <f>IF($K67="","",L67-M67-R67-S67-T67-U67-V67-W67)</f>
      </c>
      <c r="Z67" s="3">
        <f>IF($K67="","",(Y67-AF67)/J67*100)</f>
      </c>
      <c r="AA67" s="3">
        <f>IF($K67="","",M67-X67)</f>
      </c>
      <c r="AG67" s="3">
        <f>IF($K67="","",Y67-AF67)</f>
      </c>
    </row>
    <row r="68" spans="1:33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IF($K68="","",(K68*6.9%)-(K68*6.9%)*10%)</f>
      </c>
      <c r="O68" s="3">
        <f>IF($K68="","",K68*0.35%)</f>
      </c>
      <c r="P68" s="3">
        <v>0.4</v>
      </c>
      <c r="Q68" s="3">
        <f>IF($K68="","",(N68+O68+P68)*20%)</f>
      </c>
      <c r="R68" s="3">
        <f>IF($K68="","",N68+O68+P68+Q68)</f>
      </c>
      <c r="S68" s="3"/>
      <c r="T68" s="3"/>
      <c r="U68" s="3"/>
      <c r="V68" s="3">
        <f>IF($K68="","",U68*20%)</f>
      </c>
      <c r="W68" s="3">
        <v>1</v>
      </c>
      <c r="X68" s="3">
        <f>IF($K68="","",Q68+T68+V68)</f>
      </c>
      <c r="Y68" s="3">
        <f>IF($K68="","",L68-M68-R68-S68-T68-U68-V68-W68)</f>
      </c>
      <c r="Z68" s="3">
        <f>IF($K68="","",(Y68-AF68)/J68*100)</f>
      </c>
      <c r="AA68" s="3">
        <f>IF($K68="","",M68-X68)</f>
      </c>
      <c r="AG68" s="3">
        <f>IF($K68="","",Y68-AF68)</f>
      </c>
    </row>
    <row r="69" spans="1:33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IF($K69="","",(K69*6.9%)-(K69*6.9%)*10%)</f>
      </c>
      <c r="O69" s="3">
        <f>IF($K69="","",K69*0.35%)</f>
      </c>
      <c r="P69" s="3">
        <v>0.4</v>
      </c>
      <c r="Q69" s="3">
        <f>IF($K69="","",(N69+O69+P69)*20%)</f>
      </c>
      <c r="R69" s="3">
        <f>IF($K69="","",N69+O69+P69+Q69)</f>
      </c>
      <c r="S69" s="3"/>
      <c r="T69" s="3"/>
      <c r="U69" s="3"/>
      <c r="V69" s="3">
        <f>IF($K69="","",U69*20%)</f>
      </c>
      <c r="W69" s="3">
        <v>1</v>
      </c>
      <c r="X69" s="3">
        <f>IF($K69="","",Q69+T69+V69)</f>
      </c>
      <c r="Y69" s="3">
        <f>IF($K69="","",L69-M69-R69-S69-T69-U69-V69-W69)</f>
      </c>
      <c r="Z69" s="3">
        <f>IF($K69="","",(Y69-AF69)/J69*100)</f>
      </c>
      <c r="AA69" s="3">
        <f>IF($K69="","",M69-X69)</f>
      </c>
      <c r="AG69" s="3">
        <f>IF($K69="","",Y69-AF69)</f>
      </c>
    </row>
    <row r="70" spans="1:33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IF($K70="","",(K70*6.9%)-(K70*6.9%)*10%)</f>
      </c>
      <c r="O70" s="3">
        <f>IF($K70="","",K70*0.35%)</f>
      </c>
      <c r="P70" s="3">
        <v>0.4</v>
      </c>
      <c r="Q70" s="3">
        <f>IF($K70="","",(N70+O70+P70)*20%)</f>
      </c>
      <c r="R70" s="3">
        <f>IF($K70="","",N70+O70+P70+Q70)</f>
      </c>
      <c r="S70" s="3"/>
      <c r="T70" s="3"/>
      <c r="U70" s="3"/>
      <c r="V70" s="3">
        <f>IF($K70="","",U70*20%)</f>
      </c>
      <c r="W70" s="3">
        <v>1</v>
      </c>
      <c r="X70" s="3">
        <f>IF($K70="","",Q70+T70+V70)</f>
      </c>
      <c r="Y70" s="3">
        <f>IF($K70="","",L70-M70-R70-S70-T70-U70-V70-W70)</f>
      </c>
      <c r="Z70" s="3">
        <f>IF($K70="","",(Y70-AF70)/J70*100)</f>
      </c>
      <c r="AA70" s="3">
        <f>IF($K70="","",M70-X70)</f>
      </c>
      <c r="AG70" s="3">
        <f>IF($K70="","",Y70-AF70)</f>
      </c>
    </row>
    <row r="71" spans="1:33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IF($K71="","",(K71*6.9%)-(K71*6.9%)*10%)</f>
      </c>
      <c r="O71" s="3">
        <f>IF($K71="","",K71*0.35%)</f>
      </c>
      <c r="P71" s="3">
        <v>0.4</v>
      </c>
      <c r="Q71" s="3">
        <f>IF($K71="","",(N71+O71+P71)*20%)</f>
      </c>
      <c r="R71" s="3">
        <f>IF($K71="","",N71+O71+P71+Q71)</f>
      </c>
      <c r="S71" s="3"/>
      <c r="T71" s="3"/>
      <c r="U71" s="3"/>
      <c r="V71" s="3">
        <f>IF($K71="","",U71*20%)</f>
      </c>
      <c r="W71" s="3">
        <v>1</v>
      </c>
      <c r="X71" s="3">
        <f>IF($K71="","",Q71+T71+V71)</f>
      </c>
      <c r="Y71" s="3">
        <f>IF($K71="","",L71-M71-R71-S71-T71-U71-V71-W71)</f>
      </c>
      <c r="Z71" s="3">
        <f>IF($K71="","",(Y71-AF71)/J71*100)</f>
      </c>
      <c r="AA71" s="3">
        <f>IF($K71="","",M71-X71)</f>
      </c>
      <c r="AG71" s="3">
        <f>IF($K71="","",Y71-AF71)</f>
      </c>
    </row>
    <row r="72" spans="1:33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IF($K72="","",(K72*6.9%)-(K72*6.9%)*10%)</f>
      </c>
      <c r="O72" s="3">
        <f>IF($K72="","",K72*0.35%)</f>
      </c>
      <c r="P72" s="3">
        <v>0.4</v>
      </c>
      <c r="Q72" s="3">
        <f>IF($K72="","",(N72+O72+P72)*20%)</f>
      </c>
      <c r="R72" s="3">
        <f>IF($K72="","",N72+O72+P72+Q72)</f>
      </c>
      <c r="S72" s="3"/>
      <c r="T72" s="3"/>
      <c r="U72" s="3"/>
      <c r="V72" s="3">
        <f>IF($K72="","",U72*20%)</f>
      </c>
      <c r="W72" s="3">
        <v>1</v>
      </c>
      <c r="X72" s="3">
        <f>IF($K72="","",Q72+T72+V72)</f>
      </c>
      <c r="Y72" s="3">
        <f>IF($K72="","",L72-M72-R72-S72-T72-U72-V72-W72)</f>
      </c>
      <c r="Z72" s="3">
        <f>IF($K72="","",(Y72-AF72)/J72*100)</f>
      </c>
      <c r="AA72" s="3">
        <f>IF($K72="","",M72-X72)</f>
      </c>
      <c r="AG72" s="3">
        <f>IF($K72="","",Y72-AF72)</f>
      </c>
    </row>
    <row r="73" spans="1:33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IF($K73="","",(K73*6.9%)-(K73*6.9%)*10%)</f>
      </c>
      <c r="O73" s="3">
        <f>IF($K73="","",K73*0.35%)</f>
      </c>
      <c r="P73" s="3">
        <v>0.4</v>
      </c>
      <c r="Q73" s="3">
        <f>IF($K73="","",(N73+O73+P73)*20%)</f>
      </c>
      <c r="R73" s="3">
        <f>IF($K73="","",N73+O73+P73+Q73)</f>
      </c>
      <c r="S73" s="3"/>
      <c r="T73" s="3"/>
      <c r="U73" s="3"/>
      <c r="V73" s="3">
        <f>IF($K73="","",U73*20%)</f>
      </c>
      <c r="W73" s="3">
        <v>1</v>
      </c>
      <c r="X73" s="3">
        <f>IF($K73="","",Q73+T73+V73)</f>
      </c>
      <c r="Y73" s="3">
        <f>IF($K73="","",L73-M73-R73-S73-T73-U73-V73-W73)</f>
      </c>
      <c r="Z73" s="3">
        <f>IF($K73="","",(Y73-AF73)/J73*100)</f>
      </c>
      <c r="AA73" s="3">
        <f>IF($K73="","",M73-X73)</f>
      </c>
      <c r="AG73" s="3">
        <f>IF($K73="","",Y73-AF73)</f>
      </c>
    </row>
    <row r="74" spans="1:33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IF($K74="","",(K74*6.9%)-(K74*6.9%)*10%)</f>
      </c>
      <c r="O74" s="3">
        <f>IF($K74="","",K74*0.35%)</f>
      </c>
      <c r="P74" s="3">
        <v>0.4</v>
      </c>
      <c r="Q74" s="3">
        <f>IF($K74="","",(N74+O74+P74)*20%)</f>
      </c>
      <c r="R74" s="3">
        <f>IF($K74="","",N74+O74+P74+Q74)</f>
      </c>
      <c r="S74" s="3"/>
      <c r="T74" s="3"/>
      <c r="U74" s="3"/>
      <c r="V74" s="3">
        <f>IF($K74="","",U74*20%)</f>
      </c>
      <c r="W74" s="3">
        <v>1</v>
      </c>
      <c r="X74" s="3">
        <f>IF($K74="","",Q74+T74+V74)</f>
      </c>
      <c r="Y74" s="3">
        <f>IF($K74="","",L74-M74-R74-S74-T74-U74-V74-W74)</f>
      </c>
      <c r="Z74" s="3">
        <f>IF($K74="","",(Y74-AF74)/J74*100)</f>
      </c>
      <c r="AA74" s="3">
        <f>IF($K74="","",M74-X74)</f>
      </c>
      <c r="AG74" s="3">
        <f>IF($K74="","",Y74-AF74)</f>
      </c>
    </row>
    <row r="75" spans="1:33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IF($K75="","",(K75*6.9%)-(K75*6.9%)*10%)</f>
      </c>
      <c r="O75" s="3">
        <f>IF($K75="","",K75*0.35%)</f>
      </c>
      <c r="P75" s="3">
        <v>0.4</v>
      </c>
      <c r="Q75" s="3">
        <f>IF($K75="","",(N75+O75+P75)*20%)</f>
      </c>
      <c r="R75" s="3">
        <f>IF($K75="","",N75+O75+P75+Q75)</f>
      </c>
      <c r="S75" s="3"/>
      <c r="T75" s="3"/>
      <c r="U75" s="3"/>
      <c r="V75" s="3">
        <f>IF($K75="","",U75*20%)</f>
      </c>
      <c r="W75" s="3">
        <v>1</v>
      </c>
      <c r="X75" s="3">
        <f>IF($K75="","",Q75+T75+V75)</f>
      </c>
      <c r="Y75" s="3">
        <f>IF($K75="","",L75-M75-R75-S75-T75-U75-V75-W75)</f>
      </c>
      <c r="Z75" s="3">
        <f>IF($K75="","",(Y75-AF75)/J75*100)</f>
      </c>
      <c r="AA75" s="3">
        <f>IF($K75="","",M75-X75)</f>
      </c>
      <c r="AG75" s="3">
        <f>IF($K75="","",Y75-AF75)</f>
      </c>
    </row>
    <row r="76" spans="1:33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IF($K76="","",(K76*6.9%)-(K76*6.9%)*10%)</f>
      </c>
      <c r="O76" s="3">
        <f>IF($K76="","",K76*0.35%)</f>
      </c>
      <c r="P76" s="3">
        <v>0.4</v>
      </c>
      <c r="Q76" s="3">
        <f>IF($K76="","",(N76+O76+P76)*20%)</f>
      </c>
      <c r="R76" s="3">
        <f>IF($K76="","",N76+O76+P76+Q76)</f>
      </c>
      <c r="S76" s="3"/>
      <c r="T76" s="3"/>
      <c r="U76" s="3"/>
      <c r="V76" s="3">
        <f>IF($K76="","",U76*20%)</f>
      </c>
      <c r="W76" s="3">
        <v>1</v>
      </c>
      <c r="X76" s="3">
        <f>IF($K76="","",Q76+T76+V76)</f>
      </c>
      <c r="Y76" s="3">
        <f>IF($K76="","",L76-M76-R76-S76-T76-U76-V76-W76)</f>
      </c>
      <c r="Z76" s="3">
        <f>IF($K76="","",(Y76-AF76)/J76*100)</f>
      </c>
      <c r="AA76" s="3">
        <f>IF($K76="","",M76-X76)</f>
      </c>
      <c r="AG76" s="3">
        <f>IF($K76="","",Y76-AF76)</f>
      </c>
    </row>
    <row r="77" spans="1:33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IF($K77="","",(K77*6.9%)-(K77*6.9%)*10%)</f>
      </c>
      <c r="O77" s="3">
        <f>IF($K77="","",K77*0.35%)</f>
      </c>
      <c r="P77" s="3">
        <v>0.4</v>
      </c>
      <c r="Q77" s="3">
        <f>IF($K77="","",(N77+O77+P77)*20%)</f>
      </c>
      <c r="R77" s="3">
        <f>IF($K77="","",N77+O77+P77+Q77)</f>
      </c>
      <c r="S77" s="3"/>
      <c r="T77" s="3"/>
      <c r="U77" s="3"/>
      <c r="V77" s="3">
        <f>IF($K77="","",U77*20%)</f>
      </c>
      <c r="W77" s="3">
        <v>1</v>
      </c>
      <c r="X77" s="3">
        <f>IF($K77="","",Q77+T77+V77)</f>
      </c>
      <c r="Y77" s="3">
        <f>IF($K77="","",L77-M77-R77-S77-T77-U77-V77-W77)</f>
      </c>
      <c r="Z77" s="3">
        <f>IF($K77="","",(Y77-AF77)/J77*100)</f>
      </c>
      <c r="AA77" s="3">
        <f>IF($K77="","",M77-X77)</f>
      </c>
      <c r="AG77" s="3">
        <f>IF($K77="","",Y77-AF77)</f>
      </c>
    </row>
    <row r="78" spans="1:33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IF($K78="","",(K78*6.9%)-(K78*6.9%)*10%)</f>
      </c>
      <c r="O78" s="3">
        <f>IF($K78="","",K78*0.35%)</f>
      </c>
      <c r="P78" s="3">
        <v>0.4</v>
      </c>
      <c r="Q78" s="3">
        <f>IF($K78="","",(N78+O78+P78)*20%)</f>
      </c>
      <c r="R78" s="3">
        <f>IF($K78="","",N78+O78+P78+Q78)</f>
      </c>
      <c r="S78" s="3"/>
      <c r="T78" s="3"/>
      <c r="U78" s="3"/>
      <c r="V78" s="3">
        <f>IF($K78="","",U78*20%)</f>
      </c>
      <c r="W78" s="3">
        <v>1</v>
      </c>
      <c r="X78" s="3">
        <f>IF($K78="","",Q78+T78+V78)</f>
      </c>
      <c r="Y78" s="3">
        <f>IF($K78="","",L78-M78-R78-S78-T78-U78-V78-W78)</f>
      </c>
      <c r="Z78" s="3">
        <f>IF($K78="","",(Y78-AF78)/J78*100)</f>
      </c>
      <c r="AA78" s="3">
        <f>IF($K78="","",M78-X78)</f>
      </c>
      <c r="AG78" s="3">
        <f>IF($K78="","",Y78-AF78)</f>
      </c>
    </row>
    <row r="79" spans="1:33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IF($K79="","",(K79*6.9%)-(K79*6.9%)*10%)</f>
      </c>
      <c r="O79" s="3">
        <f>IF($K79="","",K79*0.35%)</f>
      </c>
      <c r="P79" s="3">
        <v>0.4</v>
      </c>
      <c r="Q79" s="3">
        <f>IF($K79="","",(N79+O79+P79)*20%)</f>
      </c>
      <c r="R79" s="3">
        <f>IF($K79="","",N79+O79+P79+Q79)</f>
      </c>
      <c r="S79" s="3"/>
      <c r="T79" s="3"/>
      <c r="U79" s="3"/>
      <c r="V79" s="3">
        <f>IF($K79="","",U79*20%)</f>
      </c>
      <c r="W79" s="3">
        <v>1</v>
      </c>
      <c r="X79" s="3">
        <f>IF($K79="","",Q79+T79+V79)</f>
      </c>
      <c r="Y79" s="3">
        <f>IF($K79="","",L79-M79-R79-S79-T79-U79-V79-W79)</f>
      </c>
      <c r="Z79" s="3">
        <f>IF($K79="","",(Y79-AF79)/J79*100)</f>
      </c>
      <c r="AA79" s="3">
        <f>IF($K79="","",M79-X79)</f>
      </c>
      <c r="AG79" s="3">
        <f>IF($K79="","",Y79-AF79)</f>
      </c>
    </row>
    <row r="80" spans="1:33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IF($K80="","",(K80*6.9%)-(K80*6.9%)*10%)</f>
      </c>
      <c r="O80" s="3">
        <f>IF($K80="","",K80*0.35%)</f>
      </c>
      <c r="P80" s="3">
        <v>0.4</v>
      </c>
      <c r="Q80" s="3">
        <f>IF($K80="","",(N80+O80+P80)*20%)</f>
      </c>
      <c r="R80" s="3">
        <f>IF($K80="","",N80+O80+P80+Q80)</f>
      </c>
      <c r="S80" s="3"/>
      <c r="T80" s="3"/>
      <c r="U80" s="3"/>
      <c r="V80" s="3">
        <f>IF($K80="","",U80*20%)</f>
      </c>
      <c r="W80" s="3">
        <v>1</v>
      </c>
      <c r="X80" s="3">
        <f>IF($K80="","",Q80+T80+V80)</f>
      </c>
      <c r="Y80" s="3">
        <f>IF($K80="","",L80-M80-R80-S80-T80-U80-V80-W80)</f>
      </c>
      <c r="Z80" s="3">
        <f>IF($K80="","",(Y80-AF80)/J80*100)</f>
      </c>
      <c r="AA80" s="3">
        <f>IF($K80="","",M80-X80)</f>
      </c>
      <c r="AG80" s="3">
        <f>IF($K80="","",Y80-AF80)</f>
      </c>
    </row>
    <row r="81" spans="1:33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IF($K81="","",(K81*6.9%)-(K81*6.9%)*10%)</f>
      </c>
      <c r="O81" s="3">
        <f>IF($K81="","",K81*0.35%)</f>
      </c>
      <c r="P81" s="3">
        <v>0.4</v>
      </c>
      <c r="Q81" s="3">
        <f>IF($K81="","",(N81+O81+P81)*20%)</f>
      </c>
      <c r="R81" s="3">
        <f>IF($K81="","",N81+O81+P81+Q81)</f>
      </c>
      <c r="S81" s="3"/>
      <c r="T81" s="3"/>
      <c r="U81" s="3"/>
      <c r="V81" s="3">
        <f>IF($K81="","",U81*20%)</f>
      </c>
      <c r="W81" s="3">
        <v>1</v>
      </c>
      <c r="X81" s="3">
        <f>IF($K81="","",Q81+T81+V81)</f>
      </c>
      <c r="Y81" s="3">
        <f>IF($K81="","",L81-M81-R81-S81-T81-U81-V81-W81)</f>
      </c>
      <c r="Z81" s="3">
        <f>IF($K81="","",(Y81-AF81)/J81*100)</f>
      </c>
      <c r="AA81" s="3">
        <f>IF($K81="","",M81-X81)</f>
      </c>
      <c r="AG81" s="3">
        <f>IF($K81="","",Y81-AF81)</f>
      </c>
    </row>
    <row r="82" spans="1:33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IF($K82="","",(K82*6.9%)-(K82*6.9%)*10%)</f>
      </c>
      <c r="O82" s="3">
        <f>IF($K82="","",K82*0.35%)</f>
      </c>
      <c r="P82" s="3">
        <v>0.4</v>
      </c>
      <c r="Q82" s="3">
        <f>IF($K82="","",(N82+O82+P82)*20%)</f>
      </c>
      <c r="R82" s="3">
        <f>IF($K82="","",N82+O82+P82+Q82)</f>
      </c>
      <c r="S82" s="3"/>
      <c r="T82" s="3"/>
      <c r="U82" s="3"/>
      <c r="V82" s="3">
        <f>IF($K82="","",U82*20%)</f>
      </c>
      <c r="W82" s="3">
        <v>1</v>
      </c>
      <c r="X82" s="3">
        <f>IF($K82="","",Q82+T82+V82)</f>
      </c>
      <c r="Y82" s="3">
        <f>IF($K82="","",L82-M82-R82-S82-T82-U82-V82-W82)</f>
      </c>
      <c r="Z82" s="3">
        <f>IF($K82="","",(Y82-AF82)/J82*100)</f>
      </c>
      <c r="AA82" s="3">
        <f>IF($K82="","",M82-X82)</f>
      </c>
      <c r="AG82" s="3">
        <f>IF($K82="","",Y82-AF82)</f>
      </c>
    </row>
    <row r="83" spans="1:33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IF($K83="","",(K83*6.9%)-(K83*6.9%)*10%)</f>
      </c>
      <c r="O83" s="3">
        <f>IF($K83="","",K83*0.35%)</f>
      </c>
      <c r="P83" s="3">
        <v>0.4</v>
      </c>
      <c r="Q83" s="3">
        <f>IF($K83="","",(N83+O83+P83)*20%)</f>
      </c>
      <c r="R83" s="3">
        <f>IF($K83="","",N83+O83+P83+Q83)</f>
      </c>
      <c r="S83" s="3"/>
      <c r="T83" s="3"/>
      <c r="U83" s="3"/>
      <c r="V83" s="3">
        <f>IF($K83="","",U83*20%)</f>
      </c>
      <c r="W83" s="3">
        <v>1</v>
      </c>
      <c r="X83" s="3">
        <f>IF($K83="","",Q83+T83+V83)</f>
      </c>
      <c r="Y83" s="3">
        <f>IF($K83="","",L83-M83-R83-S83-T83-U83-V83-W83)</f>
      </c>
      <c r="Z83" s="3">
        <f>IF($K83="","",(Y83-AF83)/J83*100)</f>
      </c>
      <c r="AA83" s="3">
        <f>IF($K83="","",M83-X83)</f>
      </c>
      <c r="AG83" s="3">
        <f>IF($K83="","",Y83-AF83)</f>
      </c>
    </row>
    <row r="84" spans="1:33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IF($K84="","",(K84*6.9%)-(K84*6.9%)*10%)</f>
      </c>
      <c r="O84" s="3">
        <f>IF($K84="","",K84*0.35%)</f>
      </c>
      <c r="P84" s="3">
        <v>0.4</v>
      </c>
      <c r="Q84" s="3">
        <f>IF($K84="","",(N84+O84+P84)*20%)</f>
      </c>
      <c r="R84" s="3">
        <f>IF($K84="","",N84+O84+P84+Q84)</f>
      </c>
      <c r="S84" s="3"/>
      <c r="T84" s="3"/>
      <c r="U84" s="3"/>
      <c r="V84" s="3">
        <f>IF($K84="","",U84*20%)</f>
      </c>
      <c r="W84" s="3">
        <v>1</v>
      </c>
      <c r="X84" s="3">
        <f>IF($K84="","",Q84+T84+V84)</f>
      </c>
      <c r="Y84" s="3">
        <f>IF($K84="","",L84-M84-R84-S84-T84-U84-V84-W84)</f>
      </c>
      <c r="Z84" s="3">
        <f>IF($K84="","",(Y84-AF84)/J84*100)</f>
      </c>
      <c r="AA84" s="3">
        <f>IF($K84="","",M84-X84)</f>
      </c>
      <c r="AG84" s="3">
        <f>IF($K84="","",Y84-AF84)</f>
      </c>
    </row>
    <row r="85" spans="1:33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IF($K85="","",(K85*6.9%)-(K85*6.9%)*10%)</f>
      </c>
      <c r="O85" s="3">
        <f>IF($K85="","",K85*0.35%)</f>
      </c>
      <c r="P85" s="3">
        <v>0.4</v>
      </c>
      <c r="Q85" s="3">
        <f>IF($K85="","",(N85+O85+P85)*20%)</f>
      </c>
      <c r="R85" s="3">
        <f>IF($K85="","",N85+O85+P85+Q85)</f>
      </c>
      <c r="S85" s="3"/>
      <c r="T85" s="3"/>
      <c r="U85" s="3"/>
      <c r="V85" s="3">
        <f>IF($K85="","",U85*20%)</f>
      </c>
      <c r="W85" s="3">
        <v>1</v>
      </c>
      <c r="X85" s="3">
        <f>IF($K85="","",Q85+T85+V85)</f>
      </c>
      <c r="Y85" s="3">
        <f>IF($K85="","",L85-M85-R85-S85-T85-U85-V85-W85)</f>
      </c>
      <c r="Z85" s="3">
        <f>IF($K85="","",(Y85-AF85)/J85*100)</f>
      </c>
      <c r="AA85" s="3">
        <f>IF($K85="","",M85-X85)</f>
      </c>
      <c r="AG85" s="3">
        <f>IF($K85="","",Y85-AF85)</f>
      </c>
    </row>
    <row r="86" spans="1:33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IF($K86="","",(K86*6.9%)-(K86*6.9%)*10%)</f>
      </c>
      <c r="O86" s="3">
        <f>IF($K86="","",K86*0.35%)</f>
      </c>
      <c r="P86" s="3">
        <v>0.4</v>
      </c>
      <c r="Q86" s="3">
        <f>IF($K86="","",(N86+O86+P86)*20%)</f>
      </c>
      <c r="R86" s="3">
        <f>IF($K86="","",N86+O86+P86+Q86)</f>
      </c>
      <c r="S86" s="3"/>
      <c r="T86" s="3"/>
      <c r="U86" s="3"/>
      <c r="V86" s="3">
        <f>IF($K86="","",U86*20%)</f>
      </c>
      <c r="W86" s="3">
        <v>1</v>
      </c>
      <c r="X86" s="3">
        <f>IF($K86="","",Q86+T86+V86)</f>
      </c>
      <c r="Y86" s="3">
        <f>IF($K86="","",L86-M86-R86-S86-T86-U86-V86-W86)</f>
      </c>
      <c r="Z86" s="3">
        <f>IF($K86="","",(Y86-AF86)/J86*100)</f>
      </c>
      <c r="AA86" s="3">
        <f>IF($K86="","",M86-X86)</f>
      </c>
      <c r="AG86" s="3">
        <f>IF($K86="","",Y86-AF86)</f>
      </c>
    </row>
    <row r="87" spans="1:33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IF($K87="","",(K87*6.9%)-(K87*6.9%)*10%)</f>
      </c>
      <c r="O87" s="3">
        <f>IF($K87="","",K87*0.35%)</f>
      </c>
      <c r="P87" s="3">
        <v>0.4</v>
      </c>
      <c r="Q87" s="3">
        <f>IF($K87="","",(N87+O87+P87)*20%)</f>
      </c>
      <c r="R87" s="3">
        <f>IF($K87="","",N87+O87+P87+Q87)</f>
      </c>
      <c r="S87" s="3"/>
      <c r="T87" s="3"/>
      <c r="U87" s="3"/>
      <c r="V87" s="3">
        <f>IF($K87="","",U87*20%)</f>
      </c>
      <c r="W87" s="3">
        <v>1</v>
      </c>
      <c r="X87" s="3">
        <f>IF($K87="","",Q87+T87+V87)</f>
      </c>
      <c r="Y87" s="3">
        <f>IF($K87="","",L87-M87-R87-S87-T87-U87-V87-W87)</f>
      </c>
      <c r="Z87" s="3">
        <f>IF($K87="","",(Y87-AF87)/J87*100)</f>
      </c>
      <c r="AA87" s="3">
        <f>IF($K87="","",M87-X87)</f>
      </c>
      <c r="AG87" s="3">
        <f>IF($K87="","",Y87-AF87)</f>
      </c>
    </row>
    <row r="88" spans="1:33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IF($K88="","",(K88*6.9%)-(K88*6.9%)*10%)</f>
      </c>
      <c r="O88" s="3">
        <f>IF($K88="","",K88*0.35%)</f>
      </c>
      <c r="P88" s="3">
        <v>0.4</v>
      </c>
      <c r="Q88" s="3">
        <f>IF($K88="","",(N88+O88+P88)*20%)</f>
      </c>
      <c r="R88" s="3">
        <f>IF($K88="","",N88+O88+P88+Q88)</f>
      </c>
      <c r="S88" s="3"/>
      <c r="T88" s="3"/>
      <c r="U88" s="3"/>
      <c r="V88" s="3">
        <f>IF($K88="","",U88*20%)</f>
      </c>
      <c r="W88" s="3">
        <v>1</v>
      </c>
      <c r="X88" s="3">
        <f>IF($K88="","",Q88+T88+V88)</f>
      </c>
      <c r="Y88" s="3">
        <f>IF($K88="","",L88-M88-R88-S88-T88-U88-V88-W88)</f>
      </c>
      <c r="Z88" s="3">
        <f>IF($K88="","",(Y88-AF88)/J88*100)</f>
      </c>
      <c r="AA88" s="3">
        <f>IF($K88="","",M88-X88)</f>
      </c>
      <c r="AG88" s="3">
        <f>IF($K88="","",Y88-AF88)</f>
      </c>
    </row>
    <row r="89" spans="1:33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IF($K89="","",(K89*6.9%)-(K89*6.9%)*10%)</f>
      </c>
      <c r="O89" s="3">
        <f>IF($K89="","",K89*0.35%)</f>
      </c>
      <c r="P89" s="3">
        <v>0.4</v>
      </c>
      <c r="Q89" s="3">
        <f>IF($K89="","",(N89+O89+P89)*20%)</f>
      </c>
      <c r="R89" s="3">
        <f>IF($K89="","",N89+O89+P89+Q89)</f>
      </c>
      <c r="S89" s="3"/>
      <c r="T89" s="3"/>
      <c r="U89" s="3"/>
      <c r="V89" s="3">
        <f>IF($K89="","",U89*20%)</f>
      </c>
      <c r="W89" s="3">
        <v>1</v>
      </c>
      <c r="X89" s="3">
        <f>IF($K89="","",Q89+T89+V89)</f>
      </c>
      <c r="Y89" s="3">
        <f>IF($K89="","",L89-M89-R89-S89-T89-U89-V89-W89)</f>
      </c>
      <c r="Z89" s="3">
        <f>IF($K89="","",(Y89-AF89)/J89*100)</f>
      </c>
      <c r="AA89" s="3">
        <f>IF($K89="","",M89-X89)</f>
      </c>
      <c r="AG89" s="3">
        <f>IF($K89="","",Y89-AF89)</f>
      </c>
    </row>
    <row r="90" spans="1:33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IF($K90="","",(K90*6.9%)-(K90*6.9%)*10%)</f>
      </c>
      <c r="O90" s="3">
        <f>IF($K90="","",K90*0.35%)</f>
      </c>
      <c r="P90" s="3">
        <v>0.4</v>
      </c>
      <c r="Q90" s="3">
        <f>IF($K90="","",(N90+O90+P90)*20%)</f>
      </c>
      <c r="R90" s="3">
        <f>IF($K90="","",N90+O90+P90+Q90)</f>
      </c>
      <c r="S90" s="3"/>
      <c r="T90" s="3"/>
      <c r="U90" s="3"/>
      <c r="V90" s="3">
        <f>IF($K90="","",U90*20%)</f>
      </c>
      <c r="W90" s="3">
        <v>1</v>
      </c>
      <c r="X90" s="3">
        <f>IF($K90="","",Q90+T90+V90)</f>
      </c>
      <c r="Y90" s="3">
        <f>IF($K90="","",L90-M90-R90-S90-T90-U90-V90-W90)</f>
      </c>
      <c r="Z90" s="3">
        <f>IF($K90="","",(Y90-AF90)/J90*100)</f>
      </c>
      <c r="AA90" s="3">
        <f>IF($K90="","",M90-X90)</f>
      </c>
      <c r="AG90" s="3">
        <f>IF($K90="","",Y90-AF90)</f>
      </c>
    </row>
    <row r="91" spans="1:33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IF($K91="","",(K91*6.9%)-(K91*6.9%)*10%)</f>
      </c>
      <c r="O91" s="3">
        <f>IF($K91="","",K91*0.35%)</f>
      </c>
      <c r="P91" s="3">
        <v>0.4</v>
      </c>
      <c r="Q91" s="3">
        <f>IF($K91="","",(N91+O91+P91)*20%)</f>
      </c>
      <c r="R91" s="3">
        <f>IF($K91="","",N91+O91+P91+Q91)</f>
      </c>
      <c r="S91" s="3"/>
      <c r="T91" s="3"/>
      <c r="U91" s="3"/>
      <c r="V91" s="3">
        <f>IF($K91="","",U91*20%)</f>
      </c>
      <c r="W91" s="3">
        <v>1</v>
      </c>
      <c r="X91" s="3">
        <f>IF($K91="","",Q91+T91+V91)</f>
      </c>
      <c r="Y91" s="3">
        <f>IF($K91="","",L91-M91-R91-S91-T91-U91-V91-W91)</f>
      </c>
      <c r="Z91" s="3">
        <f>IF($K91="","",(Y91-AF91)/J91*100)</f>
      </c>
      <c r="AA91" s="3">
        <f>IF($K91="","",M91-X91)</f>
      </c>
      <c r="AG91" s="3">
        <f>IF($K91="","",Y91-AF91)</f>
      </c>
    </row>
    <row r="92" spans="1:33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IF($K92="","",(K92*6.9%)-(K92*6.9%)*10%)</f>
      </c>
      <c r="O92" s="3">
        <f>IF($K92="","",K92*0.35%)</f>
      </c>
      <c r="P92" s="3">
        <v>0.4</v>
      </c>
      <c r="Q92" s="3">
        <f>IF($K92="","",(N92+O92+P92)*20%)</f>
      </c>
      <c r="R92" s="3">
        <f>IF($K92="","",N92+O92+P92+Q92)</f>
      </c>
      <c r="S92" s="3"/>
      <c r="T92" s="3"/>
      <c r="U92" s="3"/>
      <c r="V92" s="3">
        <f>IF($K92="","",U92*20%)</f>
      </c>
      <c r="W92" s="3">
        <v>1</v>
      </c>
      <c r="X92" s="3">
        <f>IF($K92="","",Q92+T92+V92)</f>
      </c>
      <c r="Y92" s="3">
        <f>IF($K92="","",L92-M92-R92-S92-T92-U92-V92-W92)</f>
      </c>
      <c r="Z92" s="3">
        <f>IF($K92="","",(Y92-AF92)/J92*100)</f>
      </c>
      <c r="AA92" s="3">
        <f>IF($K92="","",M92-X92)</f>
      </c>
      <c r="AG92" s="3">
        <f>IF($K92="","",Y92-AF92)</f>
      </c>
    </row>
    <row r="93" spans="1:33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IF($K93="","",(K93*6.9%)-(K93*6.9%)*10%)</f>
      </c>
      <c r="O93" s="3">
        <f>IF($K93="","",K93*0.35%)</f>
      </c>
      <c r="P93" s="3">
        <v>0.4</v>
      </c>
      <c r="Q93" s="3">
        <f>IF($K93="","",(N93+O93+P93)*20%)</f>
      </c>
      <c r="R93" s="3">
        <f>IF($K93="","",N93+O93+P93+Q93)</f>
      </c>
      <c r="S93" s="3"/>
      <c r="T93" s="3"/>
      <c r="U93" s="3"/>
      <c r="V93" s="3">
        <f>IF($K93="","",U93*20%)</f>
      </c>
      <c r="W93" s="3">
        <v>1</v>
      </c>
      <c r="X93" s="3">
        <f>IF($K93="","",Q93+T93+V93)</f>
      </c>
      <c r="Y93" s="3">
        <f>IF($K93="","",L93-M93-R93-S93-T93-U93-V93-W93)</f>
      </c>
      <c r="Z93" s="3">
        <f>IF($K93="","",(Y93-AF93)/J93*100)</f>
      </c>
      <c r="AA93" s="3">
        <f>IF($K93="","",M93-X93)</f>
      </c>
      <c r="AG93" s="3">
        <f>IF($K93="","",Y93-AF93)</f>
      </c>
    </row>
    <row r="94" spans="1:33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IF($K94="","",(K94*6.9%)-(K94*6.9%)*10%)</f>
      </c>
      <c r="O94" s="3">
        <f>IF($K94="","",K94*0.35%)</f>
      </c>
      <c r="P94" s="3">
        <v>0.4</v>
      </c>
      <c r="Q94" s="3">
        <f>IF($K94="","",(N94+O94+P94)*20%)</f>
      </c>
      <c r="R94" s="3">
        <f>IF($K94="","",N94+O94+P94+Q94)</f>
      </c>
      <c r="S94" s="3"/>
      <c r="T94" s="3"/>
      <c r="U94" s="3"/>
      <c r="V94" s="3">
        <f>IF($K94="","",U94*20%)</f>
      </c>
      <c r="W94" s="3">
        <v>1</v>
      </c>
      <c r="X94" s="3">
        <f>IF($K94="","",Q94+T94+V94)</f>
      </c>
      <c r="Y94" s="3">
        <f>IF($K94="","",L94-M94-R94-S94-T94-U94-V94-W94)</f>
      </c>
      <c r="Z94" s="3">
        <f>IF($K94="","",(Y94-AF94)/J94*100)</f>
      </c>
      <c r="AA94" s="3">
        <f>IF($K94="","",M94-X94)</f>
      </c>
      <c r="AG94" s="3">
        <f>IF($K94="","",Y94-AF94)</f>
      </c>
    </row>
    <row r="95" spans="1:33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IF($K95="","",(K95*6.9%)-(K95*6.9%)*10%)</f>
      </c>
      <c r="O95" s="3">
        <f>IF($K95="","",K95*0.35%)</f>
      </c>
      <c r="P95" s="3">
        <v>0.4</v>
      </c>
      <c r="Q95" s="3">
        <f>IF($K95="","",(N95+O95+P95)*20%)</f>
      </c>
      <c r="R95" s="3">
        <f>IF($K95="","",N95+O95+P95+Q95)</f>
      </c>
      <c r="S95" s="3"/>
      <c r="T95" s="3"/>
      <c r="U95" s="3"/>
      <c r="V95" s="3">
        <f>IF($K95="","",U95*20%)</f>
      </c>
      <c r="W95" s="3">
        <v>1</v>
      </c>
      <c r="X95" s="3">
        <f>IF($K95="","",Q95+T95+V95)</f>
      </c>
      <c r="Y95" s="3">
        <f>IF($K95="","",L95-M95-R95-S95-T95-U95-V95-W95)</f>
      </c>
      <c r="Z95" s="3">
        <f>IF($K95="","",(Y95-AF95)/J95*100)</f>
      </c>
      <c r="AA95" s="3">
        <f>IF($K95="","",M95-X95)</f>
      </c>
      <c r="AG95" s="3">
        <f>IF($K95="","",Y95-AF95)</f>
      </c>
    </row>
    <row r="96" spans="1:33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IF($K96="","",(K96*6.9%)-(K96*6.9%)*10%)</f>
      </c>
      <c r="O96" s="3">
        <f>IF($K96="","",K96*0.35%)</f>
      </c>
      <c r="P96" s="3">
        <v>0.4</v>
      </c>
      <c r="Q96" s="3">
        <f>IF($K96="","",(N96+O96+P96)*20%)</f>
      </c>
      <c r="R96" s="3">
        <f>IF($K96="","",N96+O96+P96+Q96)</f>
      </c>
      <c r="S96" s="3"/>
      <c r="T96" s="3"/>
      <c r="U96" s="3"/>
      <c r="V96" s="3">
        <f>IF($K96="","",U96*20%)</f>
      </c>
      <c r="W96" s="3">
        <v>1</v>
      </c>
      <c r="X96" s="3">
        <f>IF($K96="","",Q96+T96+V96)</f>
      </c>
      <c r="Y96" s="3">
        <f>IF($K96="","",L96-M96-R96-S96-T96-U96-V96-W96)</f>
      </c>
      <c r="Z96" s="3">
        <f>IF($K96="","",(Y96-AF96)/J96*100)</f>
      </c>
      <c r="AA96" s="3">
        <f>IF($K96="","",M96-X96)</f>
      </c>
      <c r="AG96" s="3">
        <f>IF($K96="","",Y96-AF96)</f>
      </c>
    </row>
    <row r="97" spans="1:33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IF($K97="","",(K97*6.9%)-(K97*6.9%)*10%)</f>
      </c>
      <c r="O97" s="3">
        <f>IF($K97="","",K97*0.35%)</f>
      </c>
      <c r="P97" s="3">
        <v>0.4</v>
      </c>
      <c r="Q97" s="3">
        <f>IF($K97="","",(N97+O97+P97)*20%)</f>
      </c>
      <c r="R97" s="3">
        <f>IF($K97="","",N97+O97+P97+Q97)</f>
      </c>
      <c r="S97" s="3"/>
      <c r="T97" s="3"/>
      <c r="U97" s="3"/>
      <c r="V97" s="3">
        <f>IF($K97="","",U97*20%)</f>
      </c>
      <c r="W97" s="3">
        <v>1</v>
      </c>
      <c r="X97" s="3">
        <f>IF($K97="","",Q97+T97+V97)</f>
      </c>
      <c r="Y97" s="3">
        <f>IF($K97="","",L97-M97-R97-S97-T97-U97-V97-W97)</f>
      </c>
      <c r="Z97" s="3">
        <f>IF($K97="","",(Y97-AF97)/J97*100)</f>
      </c>
      <c r="AA97" s="3">
        <f>IF($K97="","",M97-X97)</f>
      </c>
      <c r="AG97" s="3">
        <f>IF($K97="","",Y97-AF97)</f>
      </c>
    </row>
    <row r="98" spans="1:33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IF($K98="","",(K98*6.9%)-(K98*6.9%)*10%)</f>
      </c>
      <c r="O98" s="3">
        <f>IF($K98="","",K98*0.35%)</f>
      </c>
      <c r="P98" s="3">
        <v>0.4</v>
      </c>
      <c r="Q98" s="3">
        <f>IF($K98="","",(N98+O98+P98)*20%)</f>
      </c>
      <c r="R98" s="3">
        <f>IF($K98="","",N98+O98+P98+Q98)</f>
      </c>
      <c r="S98" s="3"/>
      <c r="T98" s="3"/>
      <c r="U98" s="3"/>
      <c r="V98" s="3">
        <f>IF($K98="","",U98*20%)</f>
      </c>
      <c r="W98" s="3">
        <v>1</v>
      </c>
      <c r="X98" s="3">
        <f>IF($K98="","",Q98+T98+V98)</f>
      </c>
      <c r="Y98" s="3">
        <f>IF($K98="","",L98-M98-R98-S98-T98-U98-V98-W98)</f>
      </c>
      <c r="Z98" s="3">
        <f>IF($K98="","",(Y98-AF98)/J98*100)</f>
      </c>
      <c r="AA98" s="3">
        <f>IF($K98="","",M98-X98)</f>
      </c>
      <c r="AG98" s="3">
        <f>IF($K98="","",Y98-AF98)</f>
      </c>
    </row>
    <row r="99" spans="1:33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IF($K99="","",(K99*6.9%)-(K99*6.9%)*10%)</f>
      </c>
      <c r="O99" s="3">
        <f>IF($K99="","",K99*0.35%)</f>
      </c>
      <c r="P99" s="3">
        <v>0.4</v>
      </c>
      <c r="Q99" s="3">
        <f>IF($K99="","",(N99+O99+P99)*20%)</f>
      </c>
      <c r="R99" s="3">
        <f>IF($K99="","",N99+O99+P99+Q99)</f>
      </c>
      <c r="S99" s="3"/>
      <c r="T99" s="3"/>
      <c r="U99" s="3"/>
      <c r="V99" s="3">
        <f>IF($K99="","",U99*20%)</f>
      </c>
      <c r="W99" s="3">
        <v>1</v>
      </c>
      <c r="X99" s="3">
        <f>IF($K99="","",Q99+T99+V99)</f>
      </c>
      <c r="Y99" s="3">
        <f>IF($K99="","",L99-M99-R99-S99-T99-U99-V99-W99)</f>
      </c>
      <c r="Z99" s="3">
        <f>IF($K99="","",(Y99-AF99)/J99*100)</f>
      </c>
      <c r="AA99" s="3">
        <f>IF($K99="","",M99-X99)</f>
      </c>
      <c r="AG99" s="3">
        <f>IF($K99="","",Y99-AF99)</f>
      </c>
    </row>
    <row r="100" spans="1:33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IF($K100="","",(K100*6.9%)-(K100*6.9%)*10%)</f>
      </c>
      <c r="O100" s="3">
        <f>IF($K100="","",K100*0.35%)</f>
      </c>
      <c r="P100" s="3">
        <v>0.4</v>
      </c>
      <c r="Q100" s="3">
        <f>IF($K100="","",(N100+O100+P100)*20%)</f>
      </c>
      <c r="R100" s="3">
        <f>IF($K100="","",N100+O100+P100+Q100)</f>
      </c>
      <c r="S100" s="3"/>
      <c r="T100" s="3"/>
      <c r="U100" s="3"/>
      <c r="V100" s="3">
        <f>IF($K100="","",U100*20%)</f>
      </c>
      <c r="W100" s="3">
        <v>1</v>
      </c>
      <c r="X100" s="3">
        <f>IF($K100="","",Q100+T100+V100)</f>
      </c>
      <c r="Y100" s="3">
        <f>IF($K100="","",L100-M100-R100-S100-T100-U100-V100-W100)</f>
      </c>
      <c r="Z100" s="3">
        <f>IF($K100="","",(Y100-AF100)/J100*100)</f>
      </c>
      <c r="AA100" s="3">
        <f>IF($K100="","",M100-X100)</f>
      </c>
      <c r="AG100" s="3">
        <f>IF($K100="","",Y100-AF100)</f>
      </c>
    </row>
    <row r="101" spans="1:33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IF($K101="","",(K101*6.9%)-(K101*6.9%)*10%)</f>
      </c>
      <c r="O101" s="3">
        <f>IF($K101="","",K101*0.35%)</f>
      </c>
      <c r="P101" s="3">
        <v>0.4</v>
      </c>
      <c r="Q101" s="3">
        <f>IF($K101="","",(N101+O101+P101)*20%)</f>
      </c>
      <c r="R101" s="3">
        <f>IF($K101="","",N101+O101+P101+Q101)</f>
      </c>
      <c r="S101" s="3"/>
      <c r="T101" s="3"/>
      <c r="U101" s="3"/>
      <c r="V101" s="3">
        <f>IF($K101="","",U101*20%)</f>
      </c>
      <c r="W101" s="3">
        <v>1</v>
      </c>
      <c r="X101" s="3">
        <f>IF($K101="","",Q101+T101+V101)</f>
      </c>
      <c r="Y101" s="3">
        <f>IF($K101="","",L101-M101-R101-S101-T101-U101-V101-W101)</f>
      </c>
      <c r="Z101" s="3">
        <f>IF($K101="","",(Y101-AF101)/J101*100)</f>
      </c>
      <c r="AA101" s="3">
        <f>IF($K101="","",M101-X101)</f>
      </c>
      <c r="AG101" s="3">
        <f>IF($K101="","",Y101-AF101)</f>
      </c>
    </row>
    <row r="102" spans="1:33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IF($K102="","",(K102*6.9%)-(K102*6.9%)*10%)</f>
      </c>
      <c r="O102" s="3">
        <f>IF($K102="","",K102*0.35%)</f>
      </c>
      <c r="P102" s="3">
        <v>0.4</v>
      </c>
      <c r="Q102" s="3">
        <f>IF($K102="","",(N102+O102+P102)*20%)</f>
      </c>
      <c r="R102" s="3">
        <f>IF($K102="","",N102+O102+P102+Q102)</f>
      </c>
      <c r="S102" s="3"/>
      <c r="T102" s="3"/>
      <c r="U102" s="3"/>
      <c r="V102" s="3">
        <f>IF($K102="","",U102*20%)</f>
      </c>
      <c r="W102" s="3">
        <v>1</v>
      </c>
      <c r="X102" s="3">
        <f>IF($K102="","",Q102+T102+V102)</f>
      </c>
      <c r="Y102" s="3">
        <f>IF($K102="","",L102-M102-R102-S102-T102-U102-V102-W102)</f>
      </c>
      <c r="Z102" s="3">
        <f>IF($K102="","",(Y102-AF102)/J102*100)</f>
      </c>
      <c r="AA102" s="3">
        <f>IF($K102="","",M102-X102)</f>
      </c>
      <c r="AG102" s="3">
        <f>IF($K102="","",Y102-AF102)</f>
      </c>
    </row>
    <row r="103" spans="1:33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IF($K103="","",(K103*6.9%)-(K103*6.9%)*10%)</f>
      </c>
      <c r="O103" s="3">
        <f>IF($K103="","",K103*0.35%)</f>
      </c>
      <c r="P103" s="3">
        <v>0.4</v>
      </c>
      <c r="Q103" s="3">
        <f>IF($K103="","",(N103+O103+P103)*20%)</f>
      </c>
      <c r="R103" s="3">
        <f>IF($K103="","",N103+O103+P103+Q103)</f>
      </c>
      <c r="S103" s="3"/>
      <c r="T103" s="3"/>
      <c r="U103" s="3"/>
      <c r="V103" s="3">
        <f>IF($K103="","",U103*20%)</f>
      </c>
      <c r="W103" s="3">
        <v>1</v>
      </c>
      <c r="X103" s="3">
        <f>IF($K103="","",Q103+T103+V103)</f>
      </c>
      <c r="Y103" s="3">
        <f>IF($K103="","",L103-M103-R103-S103-T103-U103-V103-W103)</f>
      </c>
      <c r="Z103" s="3">
        <f>IF($K103="","",(Y103-AF103)/J103*100)</f>
      </c>
      <c r="AA103" s="3">
        <f>IF($K103="","",M103-X103)</f>
      </c>
      <c r="AG103" s="3">
        <f>IF($K103="","",Y103-AF103)</f>
      </c>
    </row>
    <row r="104" spans="1:33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IF($K104="","",(K104*6.9%)-(K104*6.9%)*10%)</f>
      </c>
      <c r="O104" s="3">
        <f>IF($K104="","",K104*0.35%)</f>
      </c>
      <c r="P104" s="3">
        <v>0.4</v>
      </c>
      <c r="Q104" s="3">
        <f>IF($K104="","",(N104+O104+P104)*20%)</f>
      </c>
      <c r="R104" s="3">
        <f>IF($K104="","",N104+O104+P104+Q104)</f>
      </c>
      <c r="S104" s="3"/>
      <c r="T104" s="3"/>
      <c r="U104" s="3"/>
      <c r="V104" s="3">
        <f>IF($K104="","",U104*20%)</f>
      </c>
      <c r="W104" s="3">
        <v>1</v>
      </c>
      <c r="X104" s="3">
        <f>IF($K104="","",Q104+T104+V104)</f>
      </c>
      <c r="Y104" s="3">
        <f>IF($K104="","",L104-M104-R104-S104-T104-U104-V104-W104)</f>
      </c>
      <c r="Z104" s="3">
        <f>IF($K104="","",(Y104-AF104)/J104*100)</f>
      </c>
      <c r="AA104" s="3">
        <f>IF($K104="","",M104-X104)</f>
      </c>
      <c r="AG104" s="3">
        <f>IF($K104="","",Y104-AF104)</f>
      </c>
    </row>
    <row r="105" spans="1:33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IF($K105="","",(K105*6.9%)-(K105*6.9%)*10%)</f>
      </c>
      <c r="O105" s="3">
        <f>IF($K105="","",K105*0.35%)</f>
      </c>
      <c r="P105" s="3">
        <v>0.4</v>
      </c>
      <c r="Q105" s="3">
        <f>IF($K105="","",(N105+O105+P105)*20%)</f>
      </c>
      <c r="R105" s="3">
        <f>IF($K105="","",N105+O105+P105+Q105)</f>
      </c>
      <c r="S105" s="3"/>
      <c r="T105" s="3"/>
      <c r="U105" s="3"/>
      <c r="V105" s="3">
        <f>IF($K105="","",U105*20%)</f>
      </c>
      <c r="W105" s="3">
        <v>1</v>
      </c>
      <c r="X105" s="3">
        <f>IF($K105="","",Q105+T105+V105)</f>
      </c>
      <c r="Y105" s="3">
        <f>IF($K105="","",L105-M105-R105-S105-T105-U105-V105-W105)</f>
      </c>
      <c r="Z105" s="3">
        <f>IF($K105="","",(Y105-AF105)/J105*100)</f>
      </c>
      <c r="AA105" s="3">
        <f>IF($K105="","",M105-X105)</f>
      </c>
      <c r="AG105" s="3">
        <f>IF($K105="","",Y105-AF105)</f>
      </c>
    </row>
    <row r="106" spans="1:33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IF($K106="","",(K106*6.9%)-(K106*6.9%)*10%)</f>
      </c>
      <c r="O106" s="3">
        <f>IF($K106="","",K106*0.35%)</f>
      </c>
      <c r="P106" s="3">
        <v>0.4</v>
      </c>
      <c r="Q106" s="3">
        <f>IF($K106="","",(N106+O106+P106)*20%)</f>
      </c>
      <c r="R106" s="3">
        <f>IF($K106="","",N106+O106+P106+Q106)</f>
      </c>
      <c r="S106" s="3"/>
      <c r="T106" s="3"/>
      <c r="U106" s="3"/>
      <c r="V106" s="3">
        <f>IF($K106="","",U106*20%)</f>
      </c>
      <c r="W106" s="3">
        <v>1</v>
      </c>
      <c r="X106" s="3">
        <f>IF($K106="","",Q106+T106+V106)</f>
      </c>
      <c r="Y106" s="3">
        <f>IF($K106="","",L106-M106-R106-S106-T106-U106-V106-W106)</f>
      </c>
      <c r="Z106" s="3">
        <f>IF($K106="","",(Y106-AF106)/J106*100)</f>
      </c>
      <c r="AA106" s="3">
        <f>IF($K106="","",M106-X106)</f>
      </c>
      <c r="AG106" s="3">
        <f>IF($K106="","",Y106-AF106)</f>
      </c>
    </row>
    <row r="107" spans="1:33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IF($K107="","",(K107*6.9%)-(K107*6.9%)*10%)</f>
      </c>
      <c r="O107" s="3">
        <f>IF($K107="","",K107*0.35%)</f>
      </c>
      <c r="P107" s="3">
        <v>0.4</v>
      </c>
      <c r="Q107" s="3">
        <f>IF($K107="","",(N107+O107+P107)*20%)</f>
      </c>
      <c r="R107" s="3">
        <f>IF($K107="","",N107+O107+P107+Q107)</f>
      </c>
      <c r="S107" s="3"/>
      <c r="T107" s="3"/>
      <c r="U107" s="3"/>
      <c r="V107" s="3">
        <f>IF($K107="","",U107*20%)</f>
      </c>
      <c r="W107" s="3">
        <v>1</v>
      </c>
      <c r="X107" s="3">
        <f>IF($K107="","",Q107+T107+V107)</f>
      </c>
      <c r="Y107" s="3">
        <f>IF($K107="","",L107-M107-R107-S107-T107-U107-V107-W107)</f>
      </c>
      <c r="Z107" s="3">
        <f>IF($K107="","",(Y107-AF107)/J107*100)</f>
      </c>
      <c r="AA107" s="3">
        <f>IF($K107="","",M107-X107)</f>
      </c>
      <c r="AG107" s="3">
        <f>IF($K107="","",Y107-AF107)</f>
      </c>
    </row>
    <row r="108" spans="1:33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IF($K108="","",(K108*6.9%)-(K108*6.9%)*10%)</f>
      </c>
      <c r="O108" s="3">
        <f>IF($K108="","",K108*0.35%)</f>
      </c>
      <c r="P108" s="3">
        <v>0.4</v>
      </c>
      <c r="Q108" s="3">
        <f>IF($K108="","",(N108+O108+P108)*20%)</f>
      </c>
      <c r="R108" s="3">
        <f>IF($K108="","",N108+O108+P108+Q108)</f>
      </c>
      <c r="S108" s="3"/>
      <c r="T108" s="3"/>
      <c r="U108" s="3"/>
      <c r="V108" s="3">
        <f>IF($K108="","",U108*20%)</f>
      </c>
      <c r="W108" s="3">
        <v>1</v>
      </c>
      <c r="X108" s="3">
        <f>IF($K108="","",Q108+T108+V108)</f>
      </c>
      <c r="Y108" s="3">
        <f>IF($K108="","",L108-M108-R108-S108-T108-U108-V108-W108)</f>
      </c>
      <c r="Z108" s="3">
        <f>IF($K108="","",(Y108-AF108)/J108*100)</f>
      </c>
      <c r="AA108" s="3">
        <f>IF($K108="","",M108-X108)</f>
      </c>
      <c r="AG108" s="3">
        <f>IF($K108="","",Y108-AF108)</f>
      </c>
    </row>
    <row r="109" spans="1:33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IF($K109="","",(K109*6.9%)-(K109*6.9%)*10%)</f>
      </c>
      <c r="O109" s="3">
        <f>IF($K109="","",K109*0.35%)</f>
      </c>
      <c r="P109" s="3">
        <v>0.4</v>
      </c>
      <c r="Q109" s="3">
        <f>IF($K109="","",(N109+O109+P109)*20%)</f>
      </c>
      <c r="R109" s="3">
        <f>IF($K109="","",N109+O109+P109+Q109)</f>
      </c>
      <c r="S109" s="3"/>
      <c r="T109" s="3"/>
      <c r="U109" s="3"/>
      <c r="V109" s="3">
        <f>IF($K109="","",U109*20%)</f>
      </c>
      <c r="W109" s="3">
        <v>1</v>
      </c>
      <c r="X109" s="3">
        <f>IF($K109="","",Q109+T109+V109)</f>
      </c>
      <c r="Y109" s="3">
        <f>IF($K109="","",L109-M109-R109-S109-T109-U109-V109-W109)</f>
      </c>
      <c r="Z109" s="3">
        <f>IF($K109="","",(Y109-AF109)/J109*100)</f>
      </c>
      <c r="AA109" s="3">
        <f>IF($K109="","",M109-X109)</f>
      </c>
      <c r="AG109" s="3">
        <f>IF($K109="","",Y109-AF109)</f>
      </c>
    </row>
    <row r="110" spans="1:33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IF($K110="","",(K110*6.9%)-(K110*6.9%)*10%)</f>
      </c>
      <c r="O110" s="3">
        <f>IF($K110="","",K110*0.35%)</f>
      </c>
      <c r="P110" s="3">
        <v>0.4</v>
      </c>
      <c r="Q110" s="3">
        <f>IF($K110="","",(N110+O110+P110)*20%)</f>
      </c>
      <c r="R110" s="3">
        <f>IF($K110="","",N110+O110+P110+Q110)</f>
      </c>
      <c r="S110" s="3"/>
      <c r="T110" s="3"/>
      <c r="U110" s="3"/>
      <c r="V110" s="3">
        <f>IF($K110="","",U110*20%)</f>
      </c>
      <c r="W110" s="3">
        <v>1</v>
      </c>
      <c r="X110" s="3">
        <f>IF($K110="","",Q110+T110+V110)</f>
      </c>
      <c r="Y110" s="3">
        <f>IF($K110="","",L110-M110-R110-S110-T110-U110-V110-W110)</f>
      </c>
      <c r="Z110" s="3">
        <f>IF($K110="","",(Y110-AF110)/J110*100)</f>
      </c>
      <c r="AA110" s="3">
        <f>IF($K110="","",M110-X110)</f>
      </c>
      <c r="AG110" s="3">
        <f>IF($K110="","",Y110-AF110)</f>
      </c>
    </row>
    <row r="111" spans="1:33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IF($K111="","",(K111*6.9%)-(K111*6.9%)*10%)</f>
      </c>
      <c r="O111" s="3">
        <f>IF($K111="","",K111*0.35%)</f>
      </c>
      <c r="P111" s="3">
        <v>0.4</v>
      </c>
      <c r="Q111" s="3">
        <f>IF($K111="","",(N111+O111+P111)*20%)</f>
      </c>
      <c r="R111" s="3">
        <f>IF($K111="","",N111+O111+P111+Q111)</f>
      </c>
      <c r="S111" s="3"/>
      <c r="T111" s="3"/>
      <c r="U111" s="3"/>
      <c r="V111" s="3">
        <f>IF($K111="","",U111*20%)</f>
      </c>
      <c r="W111" s="3">
        <v>1</v>
      </c>
      <c r="X111" s="3">
        <f>IF($K111="","",Q111+T111+V111)</f>
      </c>
      <c r="Y111" s="3">
        <f>IF($K111="","",L111-M111-R111-S111-T111-U111-V111-W111)</f>
      </c>
      <c r="Z111" s="3">
        <f>IF($K111="","",(Y111-AF111)/J111*100)</f>
      </c>
      <c r="AA111" s="3">
        <f>IF($K111="","",M111-X111)</f>
      </c>
      <c r="AG111" s="3">
        <f>IF($K111="","",Y111-AF111)</f>
      </c>
    </row>
    <row r="112" spans="1:33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IF($K112="","",(K112*6.9%)-(K112*6.9%)*10%)</f>
      </c>
      <c r="O112" s="3">
        <f>IF($K112="","",K112*0.35%)</f>
      </c>
      <c r="P112" s="3">
        <v>0.4</v>
      </c>
      <c r="Q112" s="3">
        <f>IF($K112="","",(N112+O112+P112)*20%)</f>
      </c>
      <c r="R112" s="3">
        <f>IF($K112="","",N112+O112+P112+Q112)</f>
      </c>
      <c r="S112" s="3"/>
      <c r="T112" s="3"/>
      <c r="U112" s="3"/>
      <c r="V112" s="3">
        <f>IF($K112="","",U112*20%)</f>
      </c>
      <c r="W112" s="3">
        <v>1</v>
      </c>
      <c r="X112" s="3">
        <f>IF($K112="","",Q112+T112+V112)</f>
      </c>
      <c r="Y112" s="3">
        <f>IF($K112="","",L112-M112-R112-S112-T112-U112-V112-W112)</f>
      </c>
      <c r="Z112" s="3">
        <f>IF($K112="","",(Y112-AF112)/J112*100)</f>
      </c>
      <c r="AA112" s="3">
        <f>IF($K112="","",M112-X112)</f>
      </c>
      <c r="AG112" s="3">
        <f>IF($K112="","",Y112-AF112)</f>
      </c>
    </row>
    <row r="113" spans="1:33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IF($K113="","",(K113*6.9%)-(K113*6.9%)*10%)</f>
      </c>
      <c r="O113" s="3">
        <f>IF($K113="","",K113*0.35%)</f>
      </c>
      <c r="P113" s="3">
        <v>0.4</v>
      </c>
      <c r="Q113" s="3">
        <f>IF($K113="","",(N113+O113+P113)*20%)</f>
      </c>
      <c r="R113" s="3">
        <f>IF($K113="","",N113+O113+P113+Q113)</f>
      </c>
      <c r="S113" s="3"/>
      <c r="T113" s="3"/>
      <c r="U113" s="3"/>
      <c r="V113" s="3">
        <f>IF($K113="","",U113*20%)</f>
      </c>
      <c r="W113" s="3">
        <v>1</v>
      </c>
      <c r="X113" s="3">
        <f>IF($K113="","",Q113+T113+V113)</f>
      </c>
      <c r="Y113" s="3">
        <f>IF($K113="","",L113-M113-R113-S113-T113-U113-V113-W113)</f>
      </c>
      <c r="Z113" s="3">
        <f>IF($K113="","",(Y113-AF113)/J113*100)</f>
      </c>
      <c r="AA113" s="3">
        <f>IF($K113="","",M113-X113)</f>
      </c>
      <c r="AG113" s="3">
        <f>IF($K113="","",Y113-AF113)</f>
      </c>
    </row>
    <row r="114" spans="1:33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IF($K114="","",(K114*6.9%)-(K114*6.9%)*10%)</f>
      </c>
      <c r="O114" s="3">
        <f>IF($K114="","",K114*0.35%)</f>
      </c>
      <c r="P114" s="3">
        <v>0.4</v>
      </c>
      <c r="Q114" s="3">
        <f>IF($K114="","",(N114+O114+P114)*20%)</f>
      </c>
      <c r="R114" s="3">
        <f>IF($K114="","",N114+O114+P114+Q114)</f>
      </c>
      <c r="S114" s="3"/>
      <c r="T114" s="3"/>
      <c r="U114" s="3"/>
      <c r="V114" s="3">
        <f>IF($K114="","",U114*20%)</f>
      </c>
      <c r="W114" s="3">
        <v>1</v>
      </c>
      <c r="X114" s="3">
        <f>IF($K114="","",Q114+T114+V114)</f>
      </c>
      <c r="Y114" s="3">
        <f>IF($K114="","",L114-M114-R114-S114-T114-U114-V114-W114)</f>
      </c>
      <c r="Z114" s="3">
        <f>IF($K114="","",(Y114-AF114)/J114*100)</f>
      </c>
      <c r="AA114" s="3">
        <f>IF($K114="","",M114-X114)</f>
      </c>
      <c r="AG114" s="3">
        <f>IF($K114="","",Y114-AF114)</f>
      </c>
    </row>
    <row r="115" spans="1:33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IF($K115="","",(K115*6.9%)-(K115*6.9%)*10%)</f>
      </c>
      <c r="O115" s="3">
        <f>IF($K115="","",K115*0.35%)</f>
      </c>
      <c r="P115" s="3">
        <v>0.4</v>
      </c>
      <c r="Q115" s="3">
        <f>IF($K115="","",(N115+O115+P115)*20%)</f>
      </c>
      <c r="R115" s="3">
        <f>IF($K115="","",N115+O115+P115+Q115)</f>
      </c>
      <c r="S115" s="3"/>
      <c r="T115" s="3"/>
      <c r="U115" s="3"/>
      <c r="V115" s="3">
        <f>IF($K115="","",U115*20%)</f>
      </c>
      <c r="W115" s="3">
        <v>1</v>
      </c>
      <c r="X115" s="3">
        <f>IF($K115="","",Q115+T115+V115)</f>
      </c>
      <c r="Y115" s="3">
        <f>IF($K115="","",L115-M115-R115-S115-T115-U115-V115-W115)</f>
      </c>
      <c r="Z115" s="3">
        <f>IF($K115="","",(Y115-AF115)/J115*100)</f>
      </c>
      <c r="AA115" s="3">
        <f>IF($K115="","",M115-X115)</f>
      </c>
      <c r="AG115" s="3">
        <f>IF($K115="","",Y115-AF115)</f>
      </c>
    </row>
    <row r="116" spans="1:33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IF($K116="","",(K116*6.9%)-(K116*6.9%)*10%)</f>
      </c>
      <c r="O116" s="3">
        <f>IF($K116="","",K116*0.35%)</f>
      </c>
      <c r="P116" s="3">
        <v>0.4</v>
      </c>
      <c r="Q116" s="3">
        <f>IF($K116="","",(N116+O116+P116)*20%)</f>
      </c>
      <c r="R116" s="3">
        <f>IF($K116="","",N116+O116+P116+Q116)</f>
      </c>
      <c r="S116" s="3"/>
      <c r="T116" s="3"/>
      <c r="U116" s="3"/>
      <c r="V116" s="3">
        <f>IF($K116="","",U116*20%)</f>
      </c>
      <c r="W116" s="3">
        <v>1</v>
      </c>
      <c r="X116" s="3">
        <f>IF($K116="","",Q116+T116+V116)</f>
      </c>
      <c r="Y116" s="3">
        <f>IF($K116="","",L116-M116-R116-S116-T116-U116-V116-W116)</f>
      </c>
      <c r="Z116" s="3">
        <f>IF($K116="","",(Y116-AF116)/J116*100)</f>
      </c>
      <c r="AA116" s="3">
        <f>IF($K116="","",M116-X116)</f>
      </c>
      <c r="AG116" s="3">
        <f>IF($K116="","",Y116-AF116)</f>
      </c>
    </row>
    <row r="117" spans="1:33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IF($K117="","",(K117*6.9%)-(K117*6.9%)*10%)</f>
      </c>
      <c r="O117" s="3">
        <f>IF($K117="","",K117*0.35%)</f>
      </c>
      <c r="P117" s="3">
        <v>0.4</v>
      </c>
      <c r="Q117" s="3">
        <f>IF($K117="","",(N117+O117+P117)*20%)</f>
      </c>
      <c r="R117" s="3">
        <f>IF($K117="","",N117+O117+P117+Q117)</f>
      </c>
      <c r="S117" s="3"/>
      <c r="T117" s="3"/>
      <c r="U117" s="3"/>
      <c r="V117" s="3">
        <f>IF($K117="","",U117*20%)</f>
      </c>
      <c r="W117" s="3">
        <v>1</v>
      </c>
      <c r="X117" s="3">
        <f>IF($K117="","",Q117+T117+V117)</f>
      </c>
      <c r="Y117" s="3">
        <f>IF($K117="","",L117-M117-R117-S117-T117-U117-V117-W117)</f>
      </c>
      <c r="Z117" s="3">
        <f>IF($K117="","",(Y117-AF117)/J117*100)</f>
      </c>
      <c r="AA117" s="3">
        <f>IF($K117="","",M117-X117)</f>
      </c>
      <c r="AG117" s="3">
        <f>IF($K117="","",Y117-AF117)</f>
      </c>
    </row>
    <row r="118" spans="1:33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IF($K118="","",(K118*6.9%)-(K118*6.9%)*10%)</f>
      </c>
      <c r="O118" s="3">
        <f>IF($K118="","",K118*0.35%)</f>
      </c>
      <c r="P118" s="3">
        <v>0.4</v>
      </c>
      <c r="Q118" s="3">
        <f>IF($K118="","",(N118+O118+P118)*20%)</f>
      </c>
      <c r="R118" s="3">
        <f>IF($K118="","",N118+O118+P118+Q118)</f>
      </c>
      <c r="S118" s="3"/>
      <c r="T118" s="3"/>
      <c r="U118" s="3"/>
      <c r="V118" s="3">
        <f>IF($K118="","",U118*20%)</f>
      </c>
      <c r="W118" s="3">
        <v>1</v>
      </c>
      <c r="X118" s="3">
        <f>IF($K118="","",Q118+T118+V118)</f>
      </c>
      <c r="Y118" s="3">
        <f>IF($K118="","",L118-M118-R118-S118-T118-U118-V118-W118)</f>
      </c>
      <c r="Z118" s="3">
        <f>IF($K118="","",(Y118-AF118)/J118*100)</f>
      </c>
      <c r="AA118" s="3">
        <f>IF($K118="","",M118-X118)</f>
      </c>
      <c r="AG118" s="3">
        <f>IF($K118="","",Y118-AF118)</f>
      </c>
    </row>
    <row r="119" spans="1:33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IF($K119="","",(K119*6.9%)-(K119*6.9%)*10%)</f>
      </c>
      <c r="O119" s="3">
        <f>IF($K119="","",K119*0.35%)</f>
      </c>
      <c r="P119" s="3">
        <v>0.4</v>
      </c>
      <c r="Q119" s="3">
        <f>IF($K119="","",(N119+O119+P119)*20%)</f>
      </c>
      <c r="R119" s="3">
        <f>IF($K119="","",N119+O119+P119+Q119)</f>
      </c>
      <c r="S119" s="3"/>
      <c r="T119" s="3"/>
      <c r="U119" s="3"/>
      <c r="V119" s="3">
        <f>IF($K119="","",U119*20%)</f>
      </c>
      <c r="W119" s="3">
        <v>1</v>
      </c>
      <c r="X119" s="3">
        <f>IF($K119="","",Q119+T119+V119)</f>
      </c>
      <c r="Y119" s="3">
        <f>IF($K119="","",L119-M119-R119-S119-T119-U119-V119-W119)</f>
      </c>
      <c r="Z119" s="3">
        <f>IF($K119="","",(Y119-AF119)/J119*100)</f>
      </c>
      <c r="AA119" s="3">
        <f>IF($K119="","",M119-X119)</f>
      </c>
      <c r="AG119" s="3">
        <f>IF($K119="","",Y119-AF119)</f>
      </c>
    </row>
    <row r="120" spans="1:33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IF($K120="","",(K120*6.9%)-(K120*6.9%)*10%)</f>
      </c>
      <c r="O120" s="3">
        <f>IF($K120="","",K120*0.35%)</f>
      </c>
      <c r="P120" s="3">
        <v>0.4</v>
      </c>
      <c r="Q120" s="3">
        <f>IF($K120="","",(N120+O120+P120)*20%)</f>
      </c>
      <c r="R120" s="3">
        <f>IF($K120="","",N120+O120+P120+Q120)</f>
      </c>
      <c r="S120" s="3"/>
      <c r="T120" s="3"/>
      <c r="U120" s="3"/>
      <c r="V120" s="3">
        <f>IF($K120="","",U120*20%)</f>
      </c>
      <c r="W120" s="3">
        <v>1</v>
      </c>
      <c r="X120" s="3">
        <f>IF($K120="","",Q120+T120+V120)</f>
      </c>
      <c r="Y120" s="3">
        <f>IF($K120="","",L120-M120-R120-S120-T120-U120-V120-W120)</f>
      </c>
      <c r="Z120" s="3">
        <f>IF($K120="","",(Y120-AF120)/J120*100)</f>
      </c>
      <c r="AA120" s="3">
        <f>IF($K120="","",M120-X120)</f>
      </c>
      <c r="AG120" s="3">
        <f>IF($K120="","",Y120-AF120)</f>
      </c>
    </row>
    <row r="121" spans="1:33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IF($K121="","",(K121*6.9%)-(K121*6.9%)*10%)</f>
      </c>
      <c r="O121" s="3">
        <f>IF($K121="","",K121*0.35%)</f>
      </c>
      <c r="P121" s="3">
        <v>0.4</v>
      </c>
      <c r="Q121" s="3">
        <f>IF($K121="","",(N121+O121+P121)*20%)</f>
      </c>
      <c r="R121" s="3">
        <f>IF($K121="","",N121+O121+P121+Q121)</f>
      </c>
      <c r="S121" s="3"/>
      <c r="T121" s="3"/>
      <c r="U121" s="3"/>
      <c r="V121" s="3">
        <f>IF($K121="","",U121*20%)</f>
      </c>
      <c r="W121" s="3">
        <v>1</v>
      </c>
      <c r="X121" s="3">
        <f>IF($K121="","",Q121+T121+V121)</f>
      </c>
      <c r="Y121" s="3">
        <f>IF($K121="","",L121-M121-R121-S121-T121-U121-V121-W121)</f>
      </c>
      <c r="Z121" s="3">
        <f>IF($K121="","",(Y121-AF121)/J121*100)</f>
      </c>
      <c r="AA121" s="3">
        <f>IF($K121="","",M121-X121)</f>
      </c>
      <c r="AG121" s="3">
        <f>IF($K121="","",Y121-AF121)</f>
      </c>
    </row>
    <row r="122" spans="1:33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IF($K122="","",(K122*6.9%)-(K122*6.9%)*10%)</f>
      </c>
      <c r="O122" s="3">
        <f>IF($K122="","",K122*0.35%)</f>
      </c>
      <c r="P122" s="3">
        <v>0.4</v>
      </c>
      <c r="Q122" s="3">
        <f>IF($K122="","",(N122+O122+P122)*20%)</f>
      </c>
      <c r="R122" s="3">
        <f>IF($K122="","",N122+O122+P122+Q122)</f>
      </c>
      <c r="S122" s="3"/>
      <c r="T122" s="3"/>
      <c r="U122" s="3"/>
      <c r="V122" s="3">
        <f>IF($K122="","",U122*20%)</f>
      </c>
      <c r="W122" s="3">
        <v>1</v>
      </c>
      <c r="X122" s="3">
        <f>IF($K122="","",Q122+T122+V122)</f>
      </c>
      <c r="Y122" s="3">
        <f>IF($K122="","",L122-M122-R122-S122-T122-U122-V122-W122)</f>
      </c>
      <c r="Z122" s="3">
        <f>IF($K122="","",(Y122-AF122)/J122*100)</f>
      </c>
      <c r="AA122" s="3">
        <f>IF($K122="","",M122-X122)</f>
      </c>
      <c r="AG122" s="3">
        <f>IF($K122="","",Y122-AF122)</f>
      </c>
    </row>
    <row r="123" spans="1:33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IF($K123="","",(K123*6.9%)-(K123*6.9%)*10%)</f>
      </c>
      <c r="O123" s="3">
        <f>IF($K123="","",K123*0.35%)</f>
      </c>
      <c r="P123" s="3">
        <v>0.4</v>
      </c>
      <c r="Q123" s="3">
        <f>IF($K123="","",(N123+O123+P123)*20%)</f>
      </c>
      <c r="R123" s="3">
        <f>IF($K123="","",N123+O123+P123+Q123)</f>
      </c>
      <c r="S123" s="3"/>
      <c r="T123" s="3"/>
      <c r="U123" s="3"/>
      <c r="V123" s="3">
        <f>IF($K123="","",U123*20%)</f>
      </c>
      <c r="W123" s="3">
        <v>1</v>
      </c>
      <c r="X123" s="3">
        <f>IF($K123="","",Q123+T123+V123)</f>
      </c>
      <c r="Y123" s="3">
        <f>IF($K123="","",L123-M123-R123-S123-T123-U123-V123-W123)</f>
      </c>
      <c r="Z123" s="3">
        <f>IF($K123="","",(Y123-AF123)/J123*100)</f>
      </c>
      <c r="AA123" s="3">
        <f>IF($K123="","",M123-X123)</f>
      </c>
      <c r="AG123" s="3">
        <f>IF($K123="","",Y123-AF123)</f>
      </c>
    </row>
    <row r="124" spans="1:33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IF($K124="","",(K124*6.9%)-(K124*6.9%)*10%)</f>
      </c>
      <c r="O124" s="3">
        <f>IF($K124="","",K124*0.35%)</f>
      </c>
      <c r="P124" s="3">
        <v>0.4</v>
      </c>
      <c r="Q124" s="3">
        <f>IF($K124="","",(N124+O124+P124)*20%)</f>
      </c>
      <c r="R124" s="3">
        <f>IF($K124="","",N124+O124+P124+Q124)</f>
      </c>
      <c r="S124" s="3"/>
      <c r="T124" s="3"/>
      <c r="U124" s="3"/>
      <c r="V124" s="3">
        <f>IF($K124="","",U124*20%)</f>
      </c>
      <c r="W124" s="3">
        <v>1</v>
      </c>
      <c r="X124" s="3">
        <f>IF($K124="","",Q124+T124+V124)</f>
      </c>
      <c r="Y124" s="3">
        <f>IF($K124="","",L124-M124-R124-S124-T124-U124-V124-W124)</f>
      </c>
      <c r="Z124" s="3">
        <f>IF($K124="","",(Y124-AF124)/J124*100)</f>
      </c>
      <c r="AA124" s="3">
        <f>IF($K124="","",M124-X124)</f>
      </c>
      <c r="AG124" s="3">
        <f>IF($K124="","",Y124-AF124)</f>
      </c>
    </row>
    <row r="125" spans="1:33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IF($K125="","",(K125*6.9%)-(K125*6.9%)*10%)</f>
      </c>
      <c r="O125" s="3">
        <f>IF($K125="","",K125*0.35%)</f>
      </c>
      <c r="P125" s="3">
        <v>0.4</v>
      </c>
      <c r="Q125" s="3">
        <f>IF($K125="","",(N125+O125+P125)*20%)</f>
      </c>
      <c r="R125" s="3">
        <f>IF($K125="","",N125+O125+P125+Q125)</f>
      </c>
      <c r="S125" s="3"/>
      <c r="T125" s="3"/>
      <c r="U125" s="3"/>
      <c r="V125" s="3">
        <f>IF($K125="","",U125*20%)</f>
      </c>
      <c r="W125" s="3">
        <v>1</v>
      </c>
      <c r="X125" s="3">
        <f>IF($K125="","",Q125+T125+V125)</f>
      </c>
      <c r="Y125" s="3">
        <f>IF($K125="","",L125-M125-R125-S125-T125-U125-V125-W125)</f>
      </c>
      <c r="Z125" s="3">
        <f>IF($K125="","",(Y125-AF125)/J125*100)</f>
      </c>
      <c r="AA125" s="3">
        <f>IF($K125="","",M125-X125)</f>
      </c>
      <c r="AG125" s="3">
        <f>IF($K125="","",Y125-AF125)</f>
      </c>
    </row>
    <row r="126" spans="1:33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IF($K126="","",(K126*6.9%)-(K126*6.9%)*10%)</f>
      </c>
      <c r="O126" s="3">
        <f>IF($K126="","",K126*0.35%)</f>
      </c>
      <c r="P126" s="3">
        <v>0.4</v>
      </c>
      <c r="Q126" s="3">
        <f>IF($K126="","",(N126+O126+P126)*20%)</f>
      </c>
      <c r="R126" s="3">
        <f>IF($K126="","",N126+O126+P126+Q126)</f>
      </c>
      <c r="S126" s="3"/>
      <c r="T126" s="3"/>
      <c r="U126" s="3"/>
      <c r="V126" s="3">
        <f>IF($K126="","",U126*20%)</f>
      </c>
      <c r="W126" s="3">
        <v>1</v>
      </c>
      <c r="X126" s="3">
        <f>IF($K126="","",Q126+T126+V126)</f>
      </c>
      <c r="Y126" s="3">
        <f>IF($K126="","",L126-M126-R126-S126-T126-U126-V126-W126)</f>
      </c>
      <c r="Z126" s="3">
        <f>IF($K126="","",(Y126-AF126)/J126*100)</f>
      </c>
      <c r="AA126" s="3">
        <f>IF($K126="","",M126-X126)</f>
      </c>
      <c r="AG126" s="3">
        <f>IF($K126="","",Y126-AF126)</f>
      </c>
    </row>
    <row r="127" spans="1:33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IF($K127="","",(K127*6.9%)-(K127*6.9%)*10%)</f>
      </c>
      <c r="O127" s="3">
        <f>IF($K127="","",K127*0.35%)</f>
      </c>
      <c r="P127" s="3">
        <v>0.4</v>
      </c>
      <c r="Q127" s="3">
        <f>IF($K127="","",(N127+O127+P127)*20%)</f>
      </c>
      <c r="R127" s="3">
        <f>IF($K127="","",N127+O127+P127+Q127)</f>
      </c>
      <c r="S127" s="3"/>
      <c r="T127" s="3"/>
      <c r="U127" s="3"/>
      <c r="V127" s="3">
        <f>IF($K127="","",U127*20%)</f>
      </c>
      <c r="W127" s="3">
        <v>1</v>
      </c>
      <c r="X127" s="3">
        <f>IF($K127="","",Q127+T127+V127)</f>
      </c>
      <c r="Y127" s="3">
        <f>IF($K127="","",L127-M127-R127-S127-T127-U127-V127-W127)</f>
      </c>
      <c r="Z127" s="3">
        <f>IF($K127="","",(Y127-AF127)/J127*100)</f>
      </c>
      <c r="AA127" s="3">
        <f>IF($K127="","",M127-X127)</f>
      </c>
      <c r="AG127" s="3">
        <f>IF($K127="","",Y127-AF127)</f>
      </c>
    </row>
    <row r="128" spans="1:33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IF($K128="","",(K128*6.9%)-(K128*6.9%)*10%)</f>
      </c>
      <c r="O128" s="3">
        <f>IF($K128="","",K128*0.35%)</f>
      </c>
      <c r="P128" s="3">
        <v>0.4</v>
      </c>
      <c r="Q128" s="3">
        <f>IF($K128="","",(N128+O128+P128)*20%)</f>
      </c>
      <c r="R128" s="3">
        <f>IF($K128="","",N128+O128+P128+Q128)</f>
      </c>
      <c r="S128" s="3"/>
      <c r="T128" s="3"/>
      <c r="U128" s="3"/>
      <c r="V128" s="3">
        <f>IF($K128="","",U128*20%)</f>
      </c>
      <c r="W128" s="3">
        <v>1</v>
      </c>
      <c r="X128" s="3">
        <f>IF($K128="","",Q128+T128+V128)</f>
      </c>
      <c r="Y128" s="3">
        <f>IF($K128="","",L128-M128-R128-S128-T128-U128-V128-W128)</f>
      </c>
      <c r="Z128" s="3">
        <f>IF($K128="","",(Y128-AF128)/J128*100)</f>
      </c>
      <c r="AA128" s="3">
        <f>IF($K128="","",M128-X128)</f>
      </c>
      <c r="AG128" s="3">
        <f>IF($K128="","",Y128-AF128)</f>
      </c>
    </row>
    <row r="129" spans="1:33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IF($K129="","",(K129*6.9%)-(K129*6.9%)*10%)</f>
      </c>
      <c r="O129" s="3">
        <f>IF($K129="","",K129*0.35%)</f>
      </c>
      <c r="P129" s="3">
        <v>0.4</v>
      </c>
      <c r="Q129" s="3">
        <f>IF($K129="","",(N129+O129+P129)*20%)</f>
      </c>
      <c r="R129" s="3">
        <f>IF($K129="","",N129+O129+P129+Q129)</f>
      </c>
      <c r="S129" s="3"/>
      <c r="T129" s="3"/>
      <c r="U129" s="3"/>
      <c r="V129" s="3">
        <f>IF($K129="","",U129*20%)</f>
      </c>
      <c r="W129" s="3">
        <v>1</v>
      </c>
      <c r="X129" s="3">
        <f>IF($K129="","",Q129+T129+V129)</f>
      </c>
      <c r="Y129" s="3">
        <f>IF($K129="","",L129-M129-R129-S129-T129-U129-V129-W129)</f>
      </c>
      <c r="Z129" s="3">
        <f>IF($K129="","",(Y129-AF129)/J129*100)</f>
      </c>
      <c r="AA129" s="3">
        <f>IF($K129="","",M129-X129)</f>
      </c>
      <c r="AG129" s="3">
        <f>IF($K129="","",Y129-AF129)</f>
      </c>
    </row>
    <row r="130" spans="1:33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IF($K130="","",(K130*6.9%)-(K130*6.9%)*10%)</f>
      </c>
      <c r="O130" s="3">
        <f>IF($K130="","",K130*0.35%)</f>
      </c>
      <c r="P130" s="3">
        <v>0.4</v>
      </c>
      <c r="Q130" s="3">
        <f>IF($K130="","",(N130+O130+P130)*20%)</f>
      </c>
      <c r="R130" s="3">
        <f>IF($K130="","",N130+O130+P130+Q130)</f>
      </c>
      <c r="S130" s="3"/>
      <c r="T130" s="3"/>
      <c r="U130" s="3"/>
      <c r="V130" s="3">
        <f>IF($K130="","",U130*20%)</f>
      </c>
      <c r="W130" s="3">
        <v>1</v>
      </c>
      <c r="X130" s="3">
        <f>IF($K130="","",Q130+T130+V130)</f>
      </c>
      <c r="Y130" s="3">
        <f>IF($K130="","",L130-M130-R130-S130-T130-U130-V130-W130)</f>
      </c>
      <c r="Z130" s="3">
        <f>IF($K130="","",(Y130-AF130)/J130*100)</f>
      </c>
      <c r="AA130" s="3">
        <f>IF($K130="","",M130-X130)</f>
      </c>
      <c r="AG130" s="3">
        <f>IF($K130="","",Y130-AF130)</f>
      </c>
    </row>
    <row r="131" spans="1:33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IF($K131="","",(K131*6.9%)-(K131*6.9%)*10%)</f>
      </c>
      <c r="O131" s="3">
        <f>IF($K131="","",K131*0.35%)</f>
      </c>
      <c r="P131" s="3">
        <v>0.4</v>
      </c>
      <c r="Q131" s="3">
        <f>IF($K131="","",(N131+O131+P131)*20%)</f>
      </c>
      <c r="R131" s="3">
        <f>IF($K131="","",N131+O131+P131+Q131)</f>
      </c>
      <c r="S131" s="3"/>
      <c r="T131" s="3"/>
      <c r="U131" s="3"/>
      <c r="V131" s="3">
        <f>IF($K131="","",U131*20%)</f>
      </c>
      <c r="W131" s="3">
        <v>1</v>
      </c>
      <c r="X131" s="3">
        <f>IF($K131="","",Q131+T131+V131)</f>
      </c>
      <c r="Y131" s="3">
        <f>IF($K131="","",L131-M131-R131-S131-T131-U131-V131-W131)</f>
      </c>
      <c r="Z131" s="3">
        <f>IF($K131="","",(Y131-AF131)/J131*100)</f>
      </c>
      <c r="AA131" s="3">
        <f>IF($K131="","",M131-X131)</f>
      </c>
      <c r="AG131" s="3">
        <f>IF($K131="","",Y131-AF131)</f>
      </c>
    </row>
    <row r="132" spans="1:33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IF($K132="","",(K132*6.9%)-(K132*6.9%)*10%)</f>
      </c>
      <c r="O132" s="3">
        <f>IF($K132="","",K132*0.35%)</f>
      </c>
      <c r="P132" s="3">
        <v>0.4</v>
      </c>
      <c r="Q132" s="3">
        <f>IF($K132="","",(N132+O132+P132)*20%)</f>
      </c>
      <c r="R132" s="3">
        <f>IF($K132="","",N132+O132+P132+Q132)</f>
      </c>
      <c r="S132" s="3"/>
      <c r="T132" s="3"/>
      <c r="U132" s="3"/>
      <c r="V132" s="3">
        <f>IF($K132="","",U132*20%)</f>
      </c>
      <c r="W132" s="3">
        <v>1</v>
      </c>
      <c r="X132" s="3">
        <f>IF($K132="","",Q132+T132+V132)</f>
      </c>
      <c r="Y132" s="3">
        <f>IF($K132="","",L132-M132-R132-S132-T132-U132-V132-W132)</f>
      </c>
      <c r="Z132" s="3">
        <f>IF($K132="","",(Y132-AF132)/J132*100)</f>
      </c>
      <c r="AA132" s="3">
        <f>IF($K132="","",M132-X132)</f>
      </c>
      <c r="AG132" s="3">
        <f>IF($K132="","",Y132-AF132)</f>
      </c>
    </row>
    <row r="133" spans="1:33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IF($K133="","",(K133*6.9%)-(K133*6.9%)*10%)</f>
      </c>
      <c r="O133" s="3">
        <f>IF($K133="","",K133*0.35%)</f>
      </c>
      <c r="P133" s="3">
        <v>0.4</v>
      </c>
      <c r="Q133" s="3">
        <f>IF($K133="","",(N133+O133+P133)*20%)</f>
      </c>
      <c r="R133" s="3">
        <f>IF($K133="","",N133+O133+P133+Q133)</f>
      </c>
      <c r="S133" s="3"/>
      <c r="T133" s="3"/>
      <c r="U133" s="3"/>
      <c r="V133" s="3">
        <f>IF($K133="","",U133*20%)</f>
      </c>
      <c r="W133" s="3">
        <v>1</v>
      </c>
      <c r="X133" s="3">
        <f>IF($K133="","",Q133+T133+V133)</f>
      </c>
      <c r="Y133" s="3">
        <f>IF($K133="","",L133-M133-R133-S133-T133-U133-V133-W133)</f>
      </c>
      <c r="Z133" s="3">
        <f>IF($K133="","",(Y133-AF133)/J133*100)</f>
      </c>
      <c r="AA133" s="3">
        <f>IF($K133="","",M133-X133)</f>
      </c>
      <c r="AG133" s="3">
        <f>IF($K133="","",Y133-AF133)</f>
      </c>
    </row>
    <row r="134" spans="1:33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IF($K134="","",(K134*6.9%)-(K134*6.9%)*10%)</f>
      </c>
      <c r="O134" s="3">
        <f>IF($K134="","",K134*0.35%)</f>
      </c>
      <c r="P134" s="3">
        <v>0.4</v>
      </c>
      <c r="Q134" s="3">
        <f>IF($K134="","",(N134+O134+P134)*20%)</f>
      </c>
      <c r="R134" s="3">
        <f>IF($K134="","",N134+O134+P134+Q134)</f>
      </c>
      <c r="S134" s="3"/>
      <c r="T134" s="3"/>
      <c r="U134" s="3"/>
      <c r="V134" s="3">
        <f>IF($K134="","",U134*20%)</f>
      </c>
      <c r="W134" s="3">
        <v>1</v>
      </c>
      <c r="X134" s="3">
        <f>IF($K134="","",Q134+T134+V134)</f>
      </c>
      <c r="Y134" s="3">
        <f>IF($K134="","",L134-M134-R134-S134-T134-U134-V134-W134)</f>
      </c>
      <c r="Z134" s="3">
        <f>IF($K134="","",(Y134-AF134)/J134*100)</f>
      </c>
      <c r="AA134" s="3">
        <f>IF($K134="","",M134-X134)</f>
      </c>
      <c r="AG134" s="3">
        <f>IF($K134="","",Y134-AF134)</f>
      </c>
    </row>
    <row r="135" spans="1:33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IF($K135="","",(K135*6.9%)-(K135*6.9%)*10%)</f>
      </c>
      <c r="O135" s="3">
        <f>IF($K135="","",K135*0.35%)</f>
      </c>
      <c r="P135" s="3">
        <v>0.4</v>
      </c>
      <c r="Q135" s="3">
        <f>IF($K135="","",(N135+O135+P135)*20%)</f>
      </c>
      <c r="R135" s="3">
        <f>IF($K135="","",N135+O135+P135+Q135)</f>
      </c>
      <c r="S135" s="3"/>
      <c r="T135" s="3"/>
      <c r="U135" s="3"/>
      <c r="V135" s="3">
        <f>IF($K135="","",U135*20%)</f>
      </c>
      <c r="W135" s="3">
        <v>1</v>
      </c>
      <c r="X135" s="3">
        <f>IF($K135="","",Q135+T135+V135)</f>
      </c>
      <c r="Y135" s="3">
        <f>IF($K135="","",L135-M135-R135-S135-T135-U135-V135-W135)</f>
      </c>
      <c r="Z135" s="3">
        <f>IF($K135="","",(Y135-AF135)/J135*100)</f>
      </c>
      <c r="AA135" s="3">
        <f>IF($K135="","",M135-X135)</f>
      </c>
      <c r="AG135" s="3">
        <f>IF($K135="","",Y135-AF135)</f>
      </c>
    </row>
    <row r="136" spans="1:33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IF($K136="","",(K136*6.9%)-(K136*6.9%)*10%)</f>
      </c>
      <c r="O136" s="3">
        <f>IF($K136="","",K136*0.35%)</f>
      </c>
      <c r="P136" s="3">
        <v>0.4</v>
      </c>
      <c r="Q136" s="3">
        <f>IF($K136="","",(N136+O136+P136)*20%)</f>
      </c>
      <c r="R136" s="3">
        <f>IF($K136="","",N136+O136+P136+Q136)</f>
      </c>
      <c r="S136" s="3"/>
      <c r="T136" s="3"/>
      <c r="U136" s="3"/>
      <c r="V136" s="3">
        <f>IF($K136="","",U136*20%)</f>
      </c>
      <c r="W136" s="3">
        <v>1</v>
      </c>
      <c r="X136" s="3">
        <f>IF($K136="","",Q136+T136+V136)</f>
      </c>
      <c r="Y136" s="3">
        <f>IF($K136="","",L136-M136-R136-S136-T136-U136-V136-W136)</f>
      </c>
      <c r="Z136" s="3">
        <f>IF($K136="","",(Y136-AF136)/J136*100)</f>
      </c>
      <c r="AA136" s="3">
        <f>IF($K136="","",M136-X136)</f>
      </c>
      <c r="AG136" s="3">
        <f>IF($K136="","",Y136-AF136)</f>
      </c>
    </row>
    <row r="137" spans="1:33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IF($K137="","",(K137*6.9%)-(K137*6.9%)*10%)</f>
      </c>
      <c r="O137" s="3">
        <f>IF($K137="","",K137*0.35%)</f>
      </c>
      <c r="P137" s="3">
        <v>0.4</v>
      </c>
      <c r="Q137" s="3">
        <f>IF($K137="","",(N137+O137+P137)*20%)</f>
      </c>
      <c r="R137" s="3">
        <f>IF($K137="","",N137+O137+P137+Q137)</f>
      </c>
      <c r="S137" s="3"/>
      <c r="T137" s="3"/>
      <c r="U137" s="3"/>
      <c r="V137" s="3">
        <f>IF($K137="","",U137*20%)</f>
      </c>
      <c r="W137" s="3">
        <v>1</v>
      </c>
      <c r="X137" s="3">
        <f>IF($K137="","",Q137+T137+V137)</f>
      </c>
      <c r="Y137" s="3">
        <f>IF($K137="","",L137-M137-R137-S137-T137-U137-V137-W137)</f>
      </c>
      <c r="Z137" s="3">
        <f>IF($K137="","",(Y137-AF137)/J137*100)</f>
      </c>
      <c r="AA137" s="3">
        <f>IF($K137="","",M137-X137)</f>
      </c>
      <c r="AG137" s="3">
        <f>IF($K137="","",Y137-AF137)</f>
      </c>
    </row>
    <row r="138" spans="1:33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IF($K138="","",(K138*6.9%)-(K138*6.9%)*10%)</f>
      </c>
      <c r="O138" s="3">
        <f>IF($K138="","",K138*0.35%)</f>
      </c>
      <c r="P138" s="3">
        <v>0.4</v>
      </c>
      <c r="Q138" s="3">
        <f>IF($K138="","",(N138+O138+P138)*20%)</f>
      </c>
      <c r="R138" s="3">
        <f>IF($K138="","",N138+O138+P138+Q138)</f>
      </c>
      <c r="S138" s="3"/>
      <c r="T138" s="3"/>
      <c r="U138" s="3"/>
      <c r="V138" s="3">
        <f>IF($K138="","",U138*20%)</f>
      </c>
      <c r="W138" s="3">
        <v>1</v>
      </c>
      <c r="X138" s="3">
        <f>IF($K138="","",Q138+T138+V138)</f>
      </c>
      <c r="Y138" s="3">
        <f>IF($K138="","",L138-M138-R138-S138-T138-U138-V138-W138)</f>
      </c>
      <c r="Z138" s="3">
        <f>IF($K138="","",(Y138-AF138)/J138*100)</f>
      </c>
      <c r="AA138" s="3">
        <f>IF($K138="","",M138-X138)</f>
      </c>
      <c r="AG138" s="3">
        <f>IF($K138="","",Y138-AF138)</f>
      </c>
    </row>
    <row r="139" spans="1:33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IF($K139="","",(K139*6.9%)-(K139*6.9%)*10%)</f>
      </c>
      <c r="O139" s="3">
        <f>IF($K139="","",K139*0.35%)</f>
      </c>
      <c r="P139" s="3">
        <v>0.4</v>
      </c>
      <c r="Q139" s="3">
        <f>IF($K139="","",(N139+O139+P139)*20%)</f>
      </c>
      <c r="R139" s="3">
        <f>IF($K139="","",N139+O139+P139+Q139)</f>
      </c>
      <c r="S139" s="3"/>
      <c r="T139" s="3"/>
      <c r="U139" s="3"/>
      <c r="V139" s="3">
        <f>IF($K139="","",U139*20%)</f>
      </c>
      <c r="W139" s="3">
        <v>1</v>
      </c>
      <c r="X139" s="3">
        <f>IF($K139="","",Q139+T139+V139)</f>
      </c>
      <c r="Y139" s="3">
        <f>IF($K139="","",L139-M139-R139-S139-T139-U139-V139-W139)</f>
      </c>
      <c r="Z139" s="3">
        <f>IF($K139="","",(Y139-AF139)/J139*100)</f>
      </c>
      <c r="AA139" s="3">
        <f>IF($K139="","",M139-X139)</f>
      </c>
      <c r="AG139" s="3">
        <f>IF($K139="","",Y139-AF139)</f>
      </c>
    </row>
    <row r="140" spans="1:33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IF($K140="","",(K140*6.9%)-(K140*6.9%)*10%)</f>
      </c>
      <c r="O140" s="3">
        <f>IF($K140="","",K140*0.35%)</f>
      </c>
      <c r="P140" s="3">
        <v>0.4</v>
      </c>
      <c r="Q140" s="3">
        <f>IF($K140="","",(N140+O140+P140)*20%)</f>
      </c>
      <c r="R140" s="3">
        <f>IF($K140="","",N140+O140+P140+Q140)</f>
      </c>
      <c r="S140" s="3"/>
      <c r="T140" s="3"/>
      <c r="U140" s="3"/>
      <c r="V140" s="3">
        <f>IF($K140="","",U140*20%)</f>
      </c>
      <c r="W140" s="3">
        <v>1</v>
      </c>
      <c r="X140" s="3">
        <f>IF($K140="","",Q140+T140+V140)</f>
      </c>
      <c r="Y140" s="3">
        <f>IF($K140="","",L140-M140-R140-S140-T140-U140-V140-W140)</f>
      </c>
      <c r="Z140" s="3">
        <f>IF($K140="","",(Y140-AF140)/J140*100)</f>
      </c>
      <c r="AA140" s="3">
        <f>IF($K140="","",M140-X140)</f>
      </c>
      <c r="AG140" s="3">
        <f>IF($K140="","",Y140-AF140)</f>
      </c>
    </row>
    <row r="141" spans="1:33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IF($K141="","",(K141*6.9%)-(K141*6.9%)*10%)</f>
      </c>
      <c r="O141" s="3">
        <f>IF($K141="","",K141*0.35%)</f>
      </c>
      <c r="P141" s="3">
        <v>0.4</v>
      </c>
      <c r="Q141" s="3">
        <f>IF($K141="","",(N141+O141+P141)*20%)</f>
      </c>
      <c r="R141" s="3">
        <f>IF($K141="","",N141+O141+P141+Q141)</f>
      </c>
      <c r="S141" s="3"/>
      <c r="T141" s="3"/>
      <c r="U141" s="3"/>
      <c r="V141" s="3">
        <f>IF($K141="","",U141*20%)</f>
      </c>
      <c r="W141" s="3">
        <v>1</v>
      </c>
      <c r="X141" s="3">
        <f>IF($K141="","",Q141+T141+V141)</f>
      </c>
      <c r="Y141" s="3">
        <f>IF($K141="","",L141-M141-R141-S141-T141-U141-V141-W141)</f>
      </c>
      <c r="Z141" s="3">
        <f>IF($K141="","",(Y141-AF141)/J141*100)</f>
      </c>
      <c r="AA141" s="3">
        <f>IF($K141="","",M141-X141)</f>
      </c>
      <c r="AG141" s="3">
        <f>IF($K141="","",Y141-AF141)</f>
      </c>
    </row>
    <row r="142" spans="1:33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IF($K142="","",(K142*6.9%)-(K142*6.9%)*10%)</f>
      </c>
      <c r="O142" s="3">
        <f>IF($K142="","",K142*0.35%)</f>
      </c>
      <c r="P142" s="3">
        <v>0.4</v>
      </c>
      <c r="Q142" s="3">
        <f>IF($K142="","",(N142+O142+P142)*20%)</f>
      </c>
      <c r="R142" s="3">
        <f>IF($K142="","",N142+O142+P142+Q142)</f>
      </c>
      <c r="S142" s="3"/>
      <c r="T142" s="3"/>
      <c r="U142" s="3"/>
      <c r="V142" s="3">
        <f>IF($K142="","",U142*20%)</f>
      </c>
      <c r="W142" s="3">
        <v>1</v>
      </c>
      <c r="X142" s="3">
        <f>IF($K142="","",Q142+T142+V142)</f>
      </c>
      <c r="Y142" s="3">
        <f>IF($K142="","",L142-M142-R142-S142-T142-U142-V142-W142)</f>
      </c>
      <c r="Z142" s="3">
        <f>IF($K142="","",(Y142-AF142)/J142*100)</f>
      </c>
      <c r="AA142" s="3">
        <f>IF($K142="","",M142-X142)</f>
      </c>
      <c r="AG142" s="3">
        <f>IF($K142="","",Y142-AF142)</f>
      </c>
    </row>
    <row r="143" spans="1:33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IF($K143="","",(K143*6.9%)-(K143*6.9%)*10%)</f>
      </c>
      <c r="O143" s="3">
        <f>IF($K143="","",K143*0.35%)</f>
      </c>
      <c r="P143" s="3">
        <v>0.4</v>
      </c>
      <c r="Q143" s="3">
        <f>IF($K143="","",(N143+O143+P143)*20%)</f>
      </c>
      <c r="R143" s="3">
        <f>IF($K143="","",N143+O143+P143+Q143)</f>
      </c>
      <c r="S143" s="3"/>
      <c r="T143" s="3"/>
      <c r="U143" s="3"/>
      <c r="V143" s="3">
        <f>IF($K143="","",U143*20%)</f>
      </c>
      <c r="W143" s="3">
        <v>1</v>
      </c>
      <c r="X143" s="3">
        <f>IF($K143="","",Q143+T143+V143)</f>
      </c>
      <c r="Y143" s="3">
        <f>IF($K143="","",L143-M143-R143-S143-T143-U143-V143-W143)</f>
      </c>
      <c r="Z143" s="3">
        <f>IF($K143="","",(Y143-AF143)/J143*100)</f>
      </c>
      <c r="AA143" s="3">
        <f>IF($K143="","",M143-X143)</f>
      </c>
      <c r="AG143" s="3">
        <f>IF($K143="","",Y143-AF143)</f>
      </c>
    </row>
    <row r="144" spans="1:33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IF($K144="","",(K144*6.9%)-(K144*6.9%)*10%)</f>
      </c>
      <c r="O144" s="3">
        <f>IF($K144="","",K144*0.35%)</f>
      </c>
      <c r="P144" s="3">
        <v>0.4</v>
      </c>
      <c r="Q144" s="3">
        <f>IF($K144="","",(N144+O144+P144)*20%)</f>
      </c>
      <c r="R144" s="3">
        <f>IF($K144="","",N144+O144+P144+Q144)</f>
      </c>
      <c r="S144" s="3"/>
      <c r="T144" s="3"/>
      <c r="U144" s="3"/>
      <c r="V144" s="3">
        <f>IF($K144="","",U144*20%)</f>
      </c>
      <c r="W144" s="3">
        <v>1</v>
      </c>
      <c r="X144" s="3">
        <f>IF($K144="","",Q144+T144+V144)</f>
      </c>
      <c r="Y144" s="3">
        <f>IF($K144="","",L144-M144-R144-S144-T144-U144-V144-W144)</f>
      </c>
      <c r="Z144" s="3">
        <f>IF($K144="","",(Y144-AF144)/J144*100)</f>
      </c>
      <c r="AA144" s="3">
        <f>IF($K144="","",M144-X144)</f>
      </c>
      <c r="AG144" s="3">
        <f>IF($K144="","",Y144-AF144)</f>
      </c>
    </row>
    <row r="145" spans="1:33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IF($K145="","",(K145*6.9%)-(K145*6.9%)*10%)</f>
      </c>
      <c r="O145" s="3">
        <f>IF($K145="","",K145*0.35%)</f>
      </c>
      <c r="P145" s="3">
        <v>0.4</v>
      </c>
      <c r="Q145" s="3">
        <f>IF($K145="","",(N145+O145+P145)*20%)</f>
      </c>
      <c r="R145" s="3">
        <f>IF($K145="","",N145+O145+P145+Q145)</f>
      </c>
      <c r="S145" s="3"/>
      <c r="T145" s="3"/>
      <c r="U145" s="3"/>
      <c r="V145" s="3">
        <f>IF($K145="","",U145*20%)</f>
      </c>
      <c r="W145" s="3">
        <v>1</v>
      </c>
      <c r="X145" s="3">
        <f>IF($K145="","",Q145+T145+V145)</f>
      </c>
      <c r="Y145" s="3">
        <f>IF($K145="","",L145-M145-R145-S145-T145-U145-V145-W145)</f>
      </c>
      <c r="Z145" s="3">
        <f>IF($K145="","",(Y145-AF145)/J145*100)</f>
      </c>
      <c r="AA145" s="3">
        <f>IF($K145="","",M145-X145)</f>
      </c>
      <c r="AG145" s="3">
        <f>IF($K145="","",Y145-AF145)</f>
      </c>
    </row>
    <row r="146" spans="1:33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IF($K146="","",(K146*6.9%)-(K146*6.9%)*10%)</f>
      </c>
      <c r="O146" s="3">
        <f>IF($K146="","",K146*0.35%)</f>
      </c>
      <c r="P146" s="3">
        <v>0.4</v>
      </c>
      <c r="Q146" s="3">
        <f>IF($K146="","",(N146+O146+P146)*20%)</f>
      </c>
      <c r="R146" s="3">
        <f>IF($K146="","",N146+O146+P146+Q146)</f>
      </c>
      <c r="S146" s="3"/>
      <c r="T146" s="3"/>
      <c r="U146" s="3"/>
      <c r="V146" s="3">
        <f>IF($K146="","",U146*20%)</f>
      </c>
      <c r="W146" s="3">
        <v>1</v>
      </c>
      <c r="X146" s="3">
        <f>IF($K146="","",Q146+T146+V146)</f>
      </c>
      <c r="Y146" s="3">
        <f>IF($K146="","",L146-M146-R146-S146-T146-U146-V146-W146)</f>
      </c>
      <c r="Z146" s="3">
        <f>IF($K146="","",(Y146-AF146)/J146*100)</f>
      </c>
      <c r="AA146" s="3">
        <f>IF($K146="","",M146-X146)</f>
      </c>
      <c r="AG146" s="3">
        <f>IF($K146="","",Y146-AF146)</f>
      </c>
    </row>
    <row r="147" spans="1:33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IF($K147="","",(K147*6.9%)-(K147*6.9%)*10%)</f>
      </c>
      <c r="O147" s="3">
        <f>IF($K147="","",K147*0.35%)</f>
      </c>
      <c r="P147" s="3">
        <v>0.4</v>
      </c>
      <c r="Q147" s="3">
        <f>IF($K147="","",(N147+O147+P147)*20%)</f>
      </c>
      <c r="R147" s="3">
        <f>IF($K147="","",N147+O147+P147+Q147)</f>
      </c>
      <c r="S147" s="3"/>
      <c r="T147" s="3"/>
      <c r="U147" s="3"/>
      <c r="V147" s="3">
        <f>IF($K147="","",U147*20%)</f>
      </c>
      <c r="W147" s="3">
        <v>1</v>
      </c>
      <c r="X147" s="3">
        <f>IF($K147="","",Q147+T147+V147)</f>
      </c>
      <c r="Y147" s="3">
        <f>IF($K147="","",L147-M147-R147-S147-T147-U147-V147-W147)</f>
      </c>
      <c r="Z147" s="3">
        <f>IF($K147="","",(Y147-AF147)/J147*100)</f>
      </c>
      <c r="AA147" s="3">
        <f>IF($K147="","",M147-X147)</f>
      </c>
      <c r="AG147" s="3">
        <f>IF($K147="","",Y147-AF147)</f>
      </c>
    </row>
    <row r="148" spans="1:33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IF($K148="","",(K148*6.9%)-(K148*6.9%)*10%)</f>
      </c>
      <c r="O148" s="3">
        <f>IF($K148="","",K148*0.35%)</f>
      </c>
      <c r="P148" s="3">
        <v>0.4</v>
      </c>
      <c r="Q148" s="3">
        <f>IF($K148="","",(N148+O148+P148)*20%)</f>
      </c>
      <c r="R148" s="3">
        <f>IF($K148="","",N148+O148+P148+Q148)</f>
      </c>
      <c r="S148" s="3"/>
      <c r="T148" s="3"/>
      <c r="U148" s="3"/>
      <c r="V148" s="3">
        <f>IF($K148="","",U148*20%)</f>
      </c>
      <c r="W148" s="3">
        <v>1</v>
      </c>
      <c r="X148" s="3">
        <f>IF($K148="","",Q148+T148+V148)</f>
      </c>
      <c r="Y148" s="3">
        <f>IF($K148="","",L148-M148-R148-S148-T148-U148-V148-W148)</f>
      </c>
      <c r="Z148" s="3">
        <f>IF($K148="","",(Y148-AF148)/J148*100)</f>
      </c>
      <c r="AA148" s="3">
        <f>IF($K148="","",M148-X148)</f>
      </c>
      <c r="AG148" s="3">
        <f>IF($K148="","",Y148-AF148)</f>
      </c>
    </row>
    <row r="149" spans="1:33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IF($K149="","",(K149*6.9%)-(K149*6.9%)*10%)</f>
      </c>
      <c r="O149" s="3">
        <f>IF($K149="","",K149*0.35%)</f>
      </c>
      <c r="P149" s="3">
        <v>0.4</v>
      </c>
      <c r="Q149" s="3">
        <f>IF($K149="","",(N149+O149+P149)*20%)</f>
      </c>
      <c r="R149" s="3">
        <f>IF($K149="","",N149+O149+P149+Q149)</f>
      </c>
      <c r="S149" s="3"/>
      <c r="T149" s="3"/>
      <c r="U149" s="3"/>
      <c r="V149" s="3">
        <f>IF($K149="","",U149*20%)</f>
      </c>
      <c r="W149" s="3">
        <v>1</v>
      </c>
      <c r="X149" s="3">
        <f>IF($K149="","",Q149+T149+V149)</f>
      </c>
      <c r="Y149" s="3">
        <f>IF($K149="","",L149-M149-R149-S149-T149-U149-V149-W149)</f>
      </c>
      <c r="Z149" s="3">
        <f>IF($K149="","",(Y149-AF149)/J149*100)</f>
      </c>
      <c r="AA149" s="3">
        <f>IF($K149="","",M149-X149)</f>
      </c>
      <c r="AG149" s="3">
        <f>IF($K149="","",Y149-AF149)</f>
      </c>
    </row>
    <row r="150" spans="1:33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IF($K150="","",(K150*6.9%)-(K150*6.9%)*10%)</f>
      </c>
      <c r="O150" s="3">
        <f>IF($K150="","",K150*0.35%)</f>
      </c>
      <c r="P150" s="3">
        <v>0.4</v>
      </c>
      <c r="Q150" s="3">
        <f>IF($K150="","",(N150+O150+P150)*20%)</f>
      </c>
      <c r="R150" s="3">
        <f>IF($K150="","",N150+O150+P150+Q150)</f>
      </c>
      <c r="S150" s="3"/>
      <c r="T150" s="3"/>
      <c r="U150" s="3"/>
      <c r="V150" s="3">
        <f>IF($K150="","",U150*20%)</f>
      </c>
      <c r="W150" s="3">
        <v>1</v>
      </c>
      <c r="X150" s="3">
        <f>IF($K150="","",Q150+T150+V150)</f>
      </c>
      <c r="Y150" s="3">
        <f>IF($K150="","",L150-M150-R150-S150-T150-U150-V150-W150)</f>
      </c>
      <c r="Z150" s="3">
        <f>IF($K150="","",(Y150-AF150)/J150*100)</f>
      </c>
      <c r="AA150" s="3">
        <f>IF($K150="","",M150-X150)</f>
      </c>
      <c r="AG150" s="3">
        <f>IF($K150="","",Y150-AF150)</f>
      </c>
    </row>
    <row r="151" spans="1:33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IF($K151="","",(K151*6.9%)-(K151*6.9%)*10%)</f>
      </c>
      <c r="O151" s="3">
        <f>IF($K151="","",K151*0.35%)</f>
      </c>
      <c r="P151" s="3">
        <v>0.4</v>
      </c>
      <c r="Q151" s="3">
        <f>IF($K151="","",(N151+O151+P151)*20%)</f>
      </c>
      <c r="R151" s="3">
        <f>IF($K151="","",N151+O151+P151+Q151)</f>
      </c>
      <c r="S151" s="3"/>
      <c r="T151" s="3"/>
      <c r="U151" s="3"/>
      <c r="V151" s="3">
        <f>IF($K151="","",U151*20%)</f>
      </c>
      <c r="W151" s="3">
        <v>1</v>
      </c>
      <c r="X151" s="3">
        <f>IF($K151="","",Q151+T151+V151)</f>
      </c>
      <c r="Y151" s="3">
        <f>IF($K151="","",L151-M151-R151-S151-T151-U151-V151-W151)</f>
      </c>
      <c r="Z151" s="3">
        <f>IF($K151="","",(Y151-AF151)/J151*100)</f>
      </c>
      <c r="AA151" s="3">
        <f>IF($K151="","",M151-X151)</f>
      </c>
      <c r="AG151" s="3">
        <f>IF($K151="","",Y151-AF151)</f>
      </c>
    </row>
    <row r="152" spans="1:33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IF($K152="","",(K152*6.9%)-(K152*6.9%)*10%)</f>
      </c>
      <c r="O152" s="3">
        <f>IF($K152="","",K152*0.35%)</f>
      </c>
      <c r="P152" s="3">
        <v>0.4</v>
      </c>
      <c r="Q152" s="3">
        <f>IF($K152="","",(N152+O152+P152)*20%)</f>
      </c>
      <c r="R152" s="3">
        <f>IF($K152="","",N152+O152+P152+Q152)</f>
      </c>
      <c r="S152" s="3"/>
      <c r="T152" s="3"/>
      <c r="U152" s="3"/>
      <c r="V152" s="3">
        <f>IF($K152="","",U152*20%)</f>
      </c>
      <c r="W152" s="3">
        <v>1</v>
      </c>
      <c r="X152" s="3">
        <f>IF($K152="","",Q152+T152+V152)</f>
      </c>
      <c r="Y152" s="3">
        <f>IF($K152="","",L152-M152-R152-S152-T152-U152-V152-W152)</f>
      </c>
      <c r="Z152" s="3">
        <f>IF($K152="","",(Y152-AF152)/J152*100)</f>
      </c>
      <c r="AA152" s="3">
        <f>IF($K152="","",M152-X152)</f>
      </c>
      <c r="AG152" s="3">
        <f>IF($K152="","",Y152-AF152)</f>
      </c>
    </row>
    <row r="153" spans="1:33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IF($K153="","",(K153*6.9%)-(K153*6.9%)*10%)</f>
      </c>
      <c r="O153" s="3">
        <f>IF($K153="","",K153*0.35%)</f>
      </c>
      <c r="P153" s="3">
        <v>0.4</v>
      </c>
      <c r="Q153" s="3">
        <f>IF($K153="","",(N153+O153+P153)*20%)</f>
      </c>
      <c r="R153" s="3">
        <f>IF($K153="","",N153+O153+P153+Q153)</f>
      </c>
      <c r="S153" s="3"/>
      <c r="T153" s="3"/>
      <c r="U153" s="3"/>
      <c r="V153" s="3">
        <f>IF($K153="","",U153*20%)</f>
      </c>
      <c r="W153" s="3">
        <v>1</v>
      </c>
      <c r="X153" s="3">
        <f>IF($K153="","",Q153+T153+V153)</f>
      </c>
      <c r="Y153" s="3">
        <f>IF($K153="","",L153-M153-R153-S153-T153-U153-V153-W153)</f>
      </c>
      <c r="Z153" s="3">
        <f>IF($K153="","",(Y153-AF153)/J153*100)</f>
      </c>
      <c r="AA153" s="3">
        <f>IF($K153="","",M153-X153)</f>
      </c>
      <c r="AG153" s="3">
        <f>IF($K153="","",Y153-AF153)</f>
      </c>
    </row>
    <row r="154" spans="1:33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IF($K154="","",(K154*6.9%)-(K154*6.9%)*10%)</f>
      </c>
      <c r="O154" s="3">
        <f>IF($K154="","",K154*0.35%)</f>
      </c>
      <c r="P154" s="3">
        <v>0.4</v>
      </c>
      <c r="Q154" s="3">
        <f>IF($K154="","",(N154+O154+P154)*20%)</f>
      </c>
      <c r="R154" s="3">
        <f>IF($K154="","",N154+O154+P154+Q154)</f>
      </c>
      <c r="S154" s="3"/>
      <c r="T154" s="3"/>
      <c r="U154" s="3"/>
      <c r="V154" s="3">
        <f>IF($K154="","",U154*20%)</f>
      </c>
      <c r="W154" s="3">
        <v>1</v>
      </c>
      <c r="X154" s="3">
        <f>IF($K154="","",Q154+T154+V154)</f>
      </c>
      <c r="Y154" s="3">
        <f>IF($K154="","",L154-M154-R154-S154-T154-U154-V154-W154)</f>
      </c>
      <c r="Z154" s="3">
        <f>IF($K154="","",(Y154-AF154)/J154*100)</f>
      </c>
      <c r="AA154" s="3">
        <f>IF($K154="","",M154-X154)</f>
      </c>
      <c r="AG154" s="3">
        <f>IF($K154="","",Y154-AF154)</f>
      </c>
    </row>
    <row r="155" spans="1:33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IF($K155="","",(K155*6.9%)-(K155*6.9%)*10%)</f>
      </c>
      <c r="O155" s="3">
        <f>IF($K155="","",K155*0.35%)</f>
      </c>
      <c r="P155" s="3">
        <v>0.4</v>
      </c>
      <c r="Q155" s="3">
        <f>IF($K155="","",(N155+O155+P155)*20%)</f>
      </c>
      <c r="R155" s="3">
        <f>IF($K155="","",N155+O155+P155+Q155)</f>
      </c>
      <c r="S155" s="3"/>
      <c r="T155" s="3"/>
      <c r="U155" s="3"/>
      <c r="V155" s="3">
        <f>IF($K155="","",U155*20%)</f>
      </c>
      <c r="W155" s="3">
        <v>1</v>
      </c>
      <c r="X155" s="3">
        <f>IF($K155="","",Q155+T155+V155)</f>
      </c>
      <c r="Y155" s="3">
        <f>IF($K155="","",L155-M155-R155-S155-T155-U155-V155-W155)</f>
      </c>
      <c r="Z155" s="3">
        <f>IF($K155="","",(Y155-AF155)/J155*100)</f>
      </c>
      <c r="AA155" s="3">
        <f>IF($K155="","",M155-X155)</f>
      </c>
      <c r="AG155" s="3">
        <f>IF($K155="","",Y155-AF155)</f>
      </c>
    </row>
    <row r="156" spans="1:33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IF($K156="","",(K156*6.9%)-(K156*6.9%)*10%)</f>
      </c>
      <c r="O156" s="3">
        <f>IF($K156="","",K156*0.35%)</f>
      </c>
      <c r="P156" s="3">
        <v>0.4</v>
      </c>
      <c r="Q156" s="3">
        <f>IF($K156="","",(N156+O156+P156)*20%)</f>
      </c>
      <c r="R156" s="3">
        <f>IF($K156="","",N156+O156+P156+Q156)</f>
      </c>
      <c r="S156" s="3"/>
      <c r="T156" s="3"/>
      <c r="U156" s="3"/>
      <c r="V156" s="3">
        <f>IF($K156="","",U156*20%)</f>
      </c>
      <c r="W156" s="3">
        <v>1</v>
      </c>
      <c r="X156" s="3">
        <f>IF($K156="","",Q156+T156+V156)</f>
      </c>
      <c r="Y156" s="3">
        <f>IF($K156="","",L156-M156-R156-S156-T156-U156-V156-W156)</f>
      </c>
      <c r="Z156" s="3">
        <f>IF($K156="","",(Y156-AF156)/J156*100)</f>
      </c>
      <c r="AA156" s="3">
        <f>IF($K156="","",M156-X156)</f>
      </c>
      <c r="AG156" s="3">
        <f>IF($K156="","",Y156-AF156)</f>
      </c>
    </row>
    <row r="157" spans="1:33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IF($K157="","",(K157*6.9%)-(K157*6.9%)*10%)</f>
      </c>
      <c r="O157" s="3">
        <f>IF($K157="","",K157*0.35%)</f>
      </c>
      <c r="P157" s="3">
        <v>0.4</v>
      </c>
      <c r="Q157" s="3">
        <f>IF($K157="","",(N157+O157+P157)*20%)</f>
      </c>
      <c r="R157" s="3">
        <f>IF($K157="","",N157+O157+P157+Q157)</f>
      </c>
      <c r="S157" s="3"/>
      <c r="T157" s="3"/>
      <c r="U157" s="3"/>
      <c r="V157" s="3">
        <f>IF($K157="","",U157*20%)</f>
      </c>
      <c r="W157" s="3">
        <v>1</v>
      </c>
      <c r="X157" s="3">
        <f>IF($K157="","",Q157+T157+V157)</f>
      </c>
      <c r="Y157" s="3">
        <f>IF($K157="","",L157-M157-R157-S157-T157-U157-V157-W157)</f>
      </c>
      <c r="Z157" s="3">
        <f>IF($K157="","",(Y157-AF157)/J157*100)</f>
      </c>
      <c r="AA157" s="3">
        <f>IF($K157="","",M157-X157)</f>
      </c>
      <c r="AG157" s="3">
        <f>IF($K157="","",Y157-AF157)</f>
      </c>
    </row>
    <row r="158" spans="1:33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IF($K158="","",(K158*6.9%)-(K158*6.9%)*10%)</f>
      </c>
      <c r="O158" s="3">
        <f>IF($K158="","",K158*0.35%)</f>
      </c>
      <c r="P158" s="3">
        <v>0.4</v>
      </c>
      <c r="Q158" s="3">
        <f>IF($K158="","",(N158+O158+P158)*20%)</f>
      </c>
      <c r="R158" s="3">
        <f>IF($K158="","",N158+O158+P158+Q158)</f>
      </c>
      <c r="S158" s="3"/>
      <c r="T158" s="3"/>
      <c r="U158" s="3"/>
      <c r="V158" s="3">
        <f>IF($K158="","",U158*20%)</f>
      </c>
      <c r="W158" s="3">
        <v>1</v>
      </c>
      <c r="X158" s="3">
        <f>IF($K158="","",Q158+T158+V158)</f>
      </c>
      <c r="Y158" s="3">
        <f>IF($K158="","",L158-M158-R158-S158-T158-U158-V158-W158)</f>
      </c>
      <c r="Z158" s="3">
        <f>IF($K158="","",(Y158-AF158)/J158*100)</f>
      </c>
      <c r="AA158" s="3">
        <f>IF($K158="","",M158-X158)</f>
      </c>
      <c r="AG158" s="3">
        <f>IF($K158="","",Y158-AF158)</f>
      </c>
    </row>
    <row r="159" spans="1:33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IF($K159="","",(K159*6.9%)-(K159*6.9%)*10%)</f>
      </c>
      <c r="O159" s="3">
        <f>IF($K159="","",K159*0.35%)</f>
      </c>
      <c r="P159" s="3">
        <v>0.4</v>
      </c>
      <c r="Q159" s="3">
        <f>IF($K159="","",(N159+O159+P159)*20%)</f>
      </c>
      <c r="R159" s="3">
        <f>IF($K159="","",N159+O159+P159+Q159)</f>
      </c>
      <c r="S159" s="3"/>
      <c r="T159" s="3"/>
      <c r="U159" s="3"/>
      <c r="V159" s="3">
        <f>IF($K159="","",U159*20%)</f>
      </c>
      <c r="W159" s="3">
        <v>1</v>
      </c>
      <c r="X159" s="3">
        <f>IF($K159="","",Q159+T159+V159)</f>
      </c>
      <c r="Y159" s="3">
        <f>IF($K159="","",L159-M159-R159-S159-T159-U159-V159-W159)</f>
      </c>
      <c r="Z159" s="3">
        <f>IF($K159="","",(Y159-AF159)/J159*100)</f>
      </c>
      <c r="AA159" s="3">
        <f>IF($K159="","",M159-X159)</f>
      </c>
      <c r="AG159" s="3">
        <f>IF($K159="","",Y159-AF159)</f>
      </c>
    </row>
    <row r="160" spans="1:33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IF($K160="","",(K160*6.9%)-(K160*6.9%)*10%)</f>
      </c>
      <c r="O160" s="3">
        <f>IF($K160="","",K160*0.35%)</f>
      </c>
      <c r="P160" s="3">
        <v>0.4</v>
      </c>
      <c r="Q160" s="3">
        <f>IF($K160="","",(N160+O160+P160)*20%)</f>
      </c>
      <c r="R160" s="3">
        <f>IF($K160="","",N160+O160+P160+Q160)</f>
      </c>
      <c r="S160" s="3"/>
      <c r="T160" s="3"/>
      <c r="U160" s="3"/>
      <c r="V160" s="3">
        <f>IF($K160="","",U160*20%)</f>
      </c>
      <c r="W160" s="3">
        <v>1</v>
      </c>
      <c r="X160" s="3">
        <f>IF($K160="","",Q160+T160+V160)</f>
      </c>
      <c r="Y160" s="3">
        <f>IF($K160="","",L160-M160-R160-S160-T160-U160-V160-W160)</f>
      </c>
      <c r="Z160" s="3">
        <f>IF($K160="","",(Y160-AF160)/J160*100)</f>
      </c>
      <c r="AA160" s="3">
        <f>IF($K160="","",M160-X160)</f>
      </c>
      <c r="AG160" s="3">
        <f>IF($K160="","",Y160-AF160)</f>
      </c>
    </row>
    <row r="161" spans="1:33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IF($K161="","",(K161*6.9%)-(K161*6.9%)*10%)</f>
      </c>
      <c r="O161" s="3">
        <f>IF($K161="","",K161*0.35%)</f>
      </c>
      <c r="P161" s="3">
        <v>0.4</v>
      </c>
      <c r="Q161" s="3">
        <f>IF($K161="","",(N161+O161+P161)*20%)</f>
      </c>
      <c r="R161" s="3">
        <f>IF($K161="","",N161+O161+P161+Q161)</f>
      </c>
      <c r="S161" s="3"/>
      <c r="T161" s="3"/>
      <c r="U161" s="3"/>
      <c r="V161" s="3">
        <f>IF($K161="","",U161*20%)</f>
      </c>
      <c r="W161" s="3">
        <v>1</v>
      </c>
      <c r="X161" s="3">
        <f>IF($K161="","",Q161+T161+V161)</f>
      </c>
      <c r="Y161" s="3">
        <f>IF($K161="","",L161-M161-R161-S161-T161-U161-V161-W161)</f>
      </c>
      <c r="Z161" s="3">
        <f>IF($K161="","",(Y161-AF161)/J161*100)</f>
      </c>
      <c r="AA161" s="3">
        <f>IF($K161="","",M161-X161)</f>
      </c>
      <c r="AG161" s="3">
        <f>IF($K161="","",Y161-AF161)</f>
      </c>
    </row>
    <row r="162" spans="1:33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IF($K162="","",(K162*6.9%)-(K162*6.9%)*10%)</f>
      </c>
      <c r="O162" s="3">
        <f>IF($K162="","",K162*0.35%)</f>
      </c>
      <c r="P162" s="3">
        <v>0.4</v>
      </c>
      <c r="Q162" s="3">
        <f>IF($K162="","",(N162+O162+P162)*20%)</f>
      </c>
      <c r="R162" s="3">
        <f>IF($K162="","",N162+O162+P162+Q162)</f>
      </c>
      <c r="S162" s="3"/>
      <c r="T162" s="3"/>
      <c r="U162" s="3"/>
      <c r="V162" s="3">
        <f>IF($K162="","",U162*20%)</f>
      </c>
      <c r="W162" s="3">
        <v>1</v>
      </c>
      <c r="X162" s="3">
        <f>IF($K162="","",Q162+T162+V162)</f>
      </c>
      <c r="Y162" s="3">
        <f>IF($K162="","",L162-M162-R162-S162-T162-U162-V162-W162)</f>
      </c>
      <c r="Z162" s="3">
        <f>IF($K162="","",(Y162-AF162)/J162*100)</f>
      </c>
      <c r="AA162" s="3">
        <f>IF($K162="","",M162-X162)</f>
      </c>
      <c r="AG162" s="3">
        <f>IF($K162="","",Y162-AF162)</f>
      </c>
    </row>
    <row r="163" spans="1:33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IF($K163="","",(K163*6.9%)-(K163*6.9%)*10%)</f>
      </c>
      <c r="O163" s="3">
        <f>IF($K163="","",K163*0.35%)</f>
      </c>
      <c r="P163" s="3">
        <v>0.4</v>
      </c>
      <c r="Q163" s="3">
        <f>IF($K163="","",(N163+O163+P163)*20%)</f>
      </c>
      <c r="R163" s="3">
        <f>IF($K163="","",N163+O163+P163+Q163)</f>
      </c>
      <c r="S163" s="3"/>
      <c r="T163" s="3"/>
      <c r="U163" s="3"/>
      <c r="V163" s="3">
        <f>IF($K163="","",U163*20%)</f>
      </c>
      <c r="W163" s="3">
        <v>1</v>
      </c>
      <c r="X163" s="3">
        <f>IF($K163="","",Q163+T163+V163)</f>
      </c>
      <c r="Y163" s="3">
        <f>IF($K163="","",L163-M163-R163-S163-T163-U163-V163-W163)</f>
      </c>
      <c r="Z163" s="3">
        <f>IF($K163="","",(Y163-AF163)/J163*100)</f>
      </c>
      <c r="AA163" s="3">
        <f>IF($K163="","",M163-X163)</f>
      </c>
      <c r="AG163" s="3">
        <f>IF($K163="","",Y163-AF163)</f>
      </c>
    </row>
    <row r="164" spans="1:33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IF($K164="","",(K164*6.9%)-(K164*6.9%)*10%)</f>
      </c>
      <c r="O164" s="3">
        <f>IF($K164="","",K164*0.35%)</f>
      </c>
      <c r="P164" s="3">
        <v>0.4</v>
      </c>
      <c r="Q164" s="3">
        <f>IF($K164="","",(N164+O164+P164)*20%)</f>
      </c>
      <c r="R164" s="3">
        <f>IF($K164="","",N164+O164+P164+Q164)</f>
      </c>
      <c r="S164" s="3"/>
      <c r="T164" s="3"/>
      <c r="U164" s="3"/>
      <c r="V164" s="3">
        <f>IF($K164="","",U164*20%)</f>
      </c>
      <c r="W164" s="3">
        <v>1</v>
      </c>
      <c r="X164" s="3">
        <f>IF($K164="","",Q164+T164+V164)</f>
      </c>
      <c r="Y164" s="3">
        <f>IF($K164="","",L164-M164-R164-S164-T164-U164-V164-W164)</f>
      </c>
      <c r="Z164" s="3">
        <f>IF($K164="","",(Y164-AF164)/J164*100)</f>
      </c>
      <c r="AA164" s="3">
        <f>IF($K164="","",M164-X164)</f>
      </c>
      <c r="AG164" s="3">
        <f>IF($K164="","",Y164-AF164)</f>
      </c>
    </row>
    <row r="165" spans="1:33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IF($K165="","",(K165*6.9%)-(K165*6.9%)*10%)</f>
      </c>
      <c r="O165" s="3">
        <f>IF($K165="","",K165*0.35%)</f>
      </c>
      <c r="P165" s="3">
        <v>0.4</v>
      </c>
      <c r="Q165" s="3">
        <f>IF($K165="","",(N165+O165+P165)*20%)</f>
      </c>
      <c r="R165" s="3">
        <f>IF($K165="","",N165+O165+P165+Q165)</f>
      </c>
      <c r="S165" s="3"/>
      <c r="T165" s="3"/>
      <c r="U165" s="3"/>
      <c r="V165" s="3">
        <f>IF($K165="","",U165*20%)</f>
      </c>
      <c r="W165" s="3">
        <v>1</v>
      </c>
      <c r="X165" s="3">
        <f>IF($K165="","",Q165+T165+V165)</f>
      </c>
      <c r="Y165" s="3">
        <f>IF($K165="","",L165-M165-R165-S165-T165-U165-V165-W165)</f>
      </c>
      <c r="Z165" s="3">
        <f>IF($K165="","",(Y165-AF165)/J165*100)</f>
      </c>
      <c r="AA165" s="3">
        <f>IF($K165="","",M165-X165)</f>
      </c>
      <c r="AG165" s="3">
        <f>IF($K165="","",Y165-AF165)</f>
      </c>
    </row>
    <row r="166" spans="1:33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IF($K166="","",(K166*6.9%)-(K166*6.9%)*10%)</f>
      </c>
      <c r="O166" s="3">
        <f>IF($K166="","",K166*0.35%)</f>
      </c>
      <c r="P166" s="3">
        <v>0.4</v>
      </c>
      <c r="Q166" s="3">
        <f>IF($K166="","",(N166+O166+P166)*20%)</f>
      </c>
      <c r="R166" s="3">
        <f>IF($K166="","",N166+O166+P166+Q166)</f>
      </c>
      <c r="S166" s="3"/>
      <c r="T166" s="3"/>
      <c r="U166" s="3"/>
      <c r="V166" s="3">
        <f>IF($K166="","",U166*20%)</f>
      </c>
      <c r="W166" s="3">
        <v>1</v>
      </c>
      <c r="X166" s="3">
        <f>IF($K166="","",Q166+T166+V166)</f>
      </c>
      <c r="Y166" s="3">
        <f>IF($K166="","",L166-M166-R166-S166-T166-U166-V166-W166)</f>
      </c>
      <c r="Z166" s="3">
        <f>IF($K166="","",(Y166-AF166)/J166*100)</f>
      </c>
      <c r="AA166" s="3">
        <f>IF($K166="","",M166-X166)</f>
      </c>
      <c r="AG166" s="3">
        <f>IF($K166="","",Y166-AF166)</f>
      </c>
    </row>
    <row r="167" spans="1:33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IF($K167="","",(K167*6.9%)-(K167*6.9%)*10%)</f>
      </c>
      <c r="O167" s="3">
        <f>IF($K167="","",K167*0.35%)</f>
      </c>
      <c r="P167" s="3">
        <v>0.4</v>
      </c>
      <c r="Q167" s="3">
        <f>IF($K167="","",(N167+O167+P167)*20%)</f>
      </c>
      <c r="R167" s="3">
        <f>IF($K167="","",N167+O167+P167+Q167)</f>
      </c>
      <c r="S167" s="3"/>
      <c r="T167" s="3"/>
      <c r="U167" s="3"/>
      <c r="V167" s="3">
        <f>IF($K167="","",U167*20%)</f>
      </c>
      <c r="W167" s="3">
        <v>1</v>
      </c>
      <c r="X167" s="3">
        <f>IF($K167="","",Q167+T167+V167)</f>
      </c>
      <c r="Y167" s="3">
        <f>IF($K167="","",L167-M167-R167-S167-T167-U167-V167-W167)</f>
      </c>
      <c r="Z167" s="3">
        <f>IF($K167="","",(Y167-AF167)/J167*100)</f>
      </c>
      <c r="AA167" s="3">
        <f>IF($K167="","",M167-X167)</f>
      </c>
      <c r="AG167" s="3">
        <f>IF($K167="","",Y167-AF167)</f>
      </c>
    </row>
    <row r="168" spans="1:33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IF($K168="","",(K168*6.9%)-(K168*6.9%)*10%)</f>
      </c>
      <c r="O168" s="3">
        <f>IF($K168="","",K168*0.35%)</f>
      </c>
      <c r="P168" s="3">
        <v>0.4</v>
      </c>
      <c r="Q168" s="3">
        <f>IF($K168="","",(N168+O168+P168)*20%)</f>
      </c>
      <c r="R168" s="3">
        <f>IF($K168="","",N168+O168+P168+Q168)</f>
      </c>
      <c r="S168" s="3"/>
      <c r="T168" s="3"/>
      <c r="U168" s="3"/>
      <c r="V168" s="3">
        <f>IF($K168="","",U168*20%)</f>
      </c>
      <c r="W168" s="3">
        <v>1</v>
      </c>
      <c r="X168" s="3">
        <f>IF($K168="","",Q168+T168+V168)</f>
      </c>
      <c r="Y168" s="3">
        <f>IF($K168="","",L168-M168-R168-S168-T168-U168-V168-W168)</f>
      </c>
      <c r="Z168" s="3">
        <f>IF($K168="","",(Y168-AF168)/J168*100)</f>
      </c>
      <c r="AA168" s="3">
        <f>IF($K168="","",M168-X168)</f>
      </c>
      <c r="AG168" s="3">
        <f>IF($K168="","",Y168-AF168)</f>
      </c>
    </row>
    <row r="169" spans="1:33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IF($K169="","",(K169*6.9%)-(K169*6.9%)*10%)</f>
      </c>
      <c r="O169" s="3">
        <f>IF($K169="","",K169*0.35%)</f>
      </c>
      <c r="P169" s="3">
        <v>0.4</v>
      </c>
      <c r="Q169" s="3">
        <f>IF($K169="","",(N169+O169+P169)*20%)</f>
      </c>
      <c r="R169" s="3">
        <f>IF($K169="","",N169+O169+P169+Q169)</f>
      </c>
      <c r="S169" s="3"/>
      <c r="T169" s="3"/>
      <c r="U169" s="3"/>
      <c r="V169" s="3">
        <f>IF($K169="","",U169*20%)</f>
      </c>
      <c r="W169" s="3">
        <v>1</v>
      </c>
      <c r="X169" s="3">
        <f>IF($K169="","",Q169+T169+V169)</f>
      </c>
      <c r="Y169" s="3">
        <f>IF($K169="","",L169-M169-R169-S169-T169-U169-V169-W169)</f>
      </c>
      <c r="Z169" s="3">
        <f>IF($K169="","",(Y169-AF169)/J169*100)</f>
      </c>
      <c r="AA169" s="3">
        <f>IF($K169="","",M169-X169)</f>
      </c>
      <c r="AG169" s="3">
        <f>IF($K169="","",Y169-AF169)</f>
      </c>
    </row>
    <row r="170" spans="1:33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IF($K170="","",(K170*6.9%)-(K170*6.9%)*10%)</f>
      </c>
      <c r="O170" s="3">
        <f>IF($K170="","",K170*0.35%)</f>
      </c>
      <c r="P170" s="3">
        <v>0.4</v>
      </c>
      <c r="Q170" s="3">
        <f>IF($K170="","",(N170+O170+P170)*20%)</f>
      </c>
      <c r="R170" s="3">
        <f>IF($K170="","",N170+O170+P170+Q170)</f>
      </c>
      <c r="S170" s="3"/>
      <c r="T170" s="3"/>
      <c r="U170" s="3"/>
      <c r="V170" s="3">
        <f>IF($K170="","",U170*20%)</f>
      </c>
      <c r="W170" s="3">
        <v>1</v>
      </c>
      <c r="X170" s="3">
        <f>IF($K170="","",Q170+T170+V170)</f>
      </c>
      <c r="Y170" s="3">
        <f>IF($K170="","",L170-M170-R170-S170-T170-U170-V170-W170)</f>
      </c>
      <c r="Z170" s="3">
        <f>IF($K170="","",(Y170-AF170)/J170*100)</f>
      </c>
      <c r="AA170" s="3">
        <f>IF($K170="","",M170-X170)</f>
      </c>
      <c r="AG170" s="3">
        <f>IF($K170="","",Y170-AF170)</f>
      </c>
    </row>
    <row r="171" spans="1:33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IF($K171="","",(K171*6.9%)-(K171*6.9%)*10%)</f>
      </c>
      <c r="O171" s="3">
        <f>IF($K171="","",K171*0.35%)</f>
      </c>
      <c r="P171" s="3">
        <v>0.4</v>
      </c>
      <c r="Q171" s="3">
        <f>IF($K171="","",(N171+O171+P171)*20%)</f>
      </c>
      <c r="R171" s="3">
        <f>IF($K171="","",N171+O171+P171+Q171)</f>
      </c>
      <c r="S171" s="3"/>
      <c r="T171" s="3"/>
      <c r="U171" s="3"/>
      <c r="V171" s="3">
        <f>IF($K171="","",U171*20%)</f>
      </c>
      <c r="W171" s="3">
        <v>1</v>
      </c>
      <c r="X171" s="3">
        <f>IF($K171="","",Q171+T171+V171)</f>
      </c>
      <c r="Y171" s="3">
        <f>IF($K171="","",L171-M171-R171-S171-T171-U171-V171-W171)</f>
      </c>
      <c r="Z171" s="3">
        <f>IF($K171="","",(Y171-AF171)/J171*100)</f>
      </c>
      <c r="AA171" s="3">
        <f>IF($K171="","",M171-X171)</f>
      </c>
      <c r="AG171" s="3">
        <f>IF($K171="","",Y171-AF171)</f>
      </c>
    </row>
    <row r="172" spans="1:33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IF($K172="","",(K172*6.9%)-(K172*6.9%)*10%)</f>
      </c>
      <c r="O172" s="3">
        <f>IF($K172="","",K172*0.35%)</f>
      </c>
      <c r="P172" s="3">
        <v>0.4</v>
      </c>
      <c r="Q172" s="3">
        <f>IF($K172="","",(N172+O172+P172)*20%)</f>
      </c>
      <c r="R172" s="3">
        <f>IF($K172="","",N172+O172+P172+Q172)</f>
      </c>
      <c r="S172" s="3"/>
      <c r="T172" s="3"/>
      <c r="U172" s="3"/>
      <c r="V172" s="3">
        <f>IF($K172="","",U172*20%)</f>
      </c>
      <c r="W172" s="3">
        <v>1</v>
      </c>
      <c r="X172" s="3">
        <f>IF($K172="","",Q172+T172+V172)</f>
      </c>
      <c r="Y172" s="3">
        <f>IF($K172="","",L172-M172-R172-S172-T172-U172-V172-W172)</f>
      </c>
      <c r="Z172" s="3">
        <f>IF($K172="","",(Y172-AF172)/J172*100)</f>
      </c>
      <c r="AA172" s="3">
        <f>IF($K172="","",M172-X172)</f>
      </c>
      <c r="AG172" s="3">
        <f>IF($K172="","",Y172-AF172)</f>
      </c>
    </row>
    <row r="173" spans="1:33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IF($K173="","",(K173*6.9%)-(K173*6.9%)*10%)</f>
      </c>
      <c r="O173" s="3">
        <f>IF($K173="","",K173*0.35%)</f>
      </c>
      <c r="P173" s="3">
        <v>0.4</v>
      </c>
      <c r="Q173" s="3">
        <f>IF($K173="","",(N173+O173+P173)*20%)</f>
      </c>
      <c r="R173" s="3">
        <f>IF($K173="","",N173+O173+P173+Q173)</f>
      </c>
      <c r="S173" s="3"/>
      <c r="T173" s="3"/>
      <c r="U173" s="3"/>
      <c r="V173" s="3">
        <f>IF($K173="","",U173*20%)</f>
      </c>
      <c r="W173" s="3">
        <v>1</v>
      </c>
      <c r="X173" s="3">
        <f>IF($K173="","",Q173+T173+V173)</f>
      </c>
      <c r="Y173" s="3">
        <f>IF($K173="","",L173-M173-R173-S173-T173-U173-V173-W173)</f>
      </c>
      <c r="Z173" s="3">
        <f>IF($K173="","",(Y173-AF173)/J173*100)</f>
      </c>
      <c r="AA173" s="3">
        <f>IF($K173="","",M173-X173)</f>
      </c>
      <c r="AG173" s="3">
        <f>IF($K173="","",Y173-AF173)</f>
      </c>
    </row>
    <row r="174" spans="1:33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IF($K174="","",(K174*6.9%)-(K174*6.9%)*10%)</f>
      </c>
      <c r="O174" s="3">
        <f>IF($K174="","",K174*0.35%)</f>
      </c>
      <c r="P174" s="3">
        <v>0.4</v>
      </c>
      <c r="Q174" s="3">
        <f>IF($K174="","",(N174+O174+P174)*20%)</f>
      </c>
      <c r="R174" s="3">
        <f>IF($K174="","",N174+O174+P174+Q174)</f>
      </c>
      <c r="S174" s="3"/>
      <c r="T174" s="3"/>
      <c r="U174" s="3"/>
      <c r="V174" s="3">
        <f>IF($K174="","",U174*20%)</f>
      </c>
      <c r="W174" s="3">
        <v>1</v>
      </c>
      <c r="X174" s="3">
        <f>IF($K174="","",Q174+T174+V174)</f>
      </c>
      <c r="Y174" s="3">
        <f>IF($K174="","",L174-M174-R174-S174-T174-U174-V174-W174)</f>
      </c>
      <c r="Z174" s="3">
        <f>IF($K174="","",(Y174-AF174)/J174*100)</f>
      </c>
      <c r="AA174" s="3">
        <f>IF($K174="","",M174-X174)</f>
      </c>
      <c r="AG174" s="3">
        <f>IF($K174="","",Y174-AF174)</f>
      </c>
    </row>
    <row r="175" spans="1:33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IF($K175="","",(K175*6.9%)-(K175*6.9%)*10%)</f>
      </c>
      <c r="O175" s="3">
        <f>IF($K175="","",K175*0.35%)</f>
      </c>
      <c r="P175" s="3">
        <v>0.4</v>
      </c>
      <c r="Q175" s="3">
        <f>IF($K175="","",(N175+O175+P175)*20%)</f>
      </c>
      <c r="R175" s="3">
        <f>IF($K175="","",N175+O175+P175+Q175)</f>
      </c>
      <c r="S175" s="3"/>
      <c r="T175" s="3"/>
      <c r="U175" s="3"/>
      <c r="V175" s="3">
        <f>IF($K175="","",U175*20%)</f>
      </c>
      <c r="W175" s="3">
        <v>1</v>
      </c>
      <c r="X175" s="3">
        <f>IF($K175="","",Q175+T175+V175)</f>
      </c>
      <c r="Y175" s="3">
        <f>IF($K175="","",L175-M175-R175-S175-T175-U175-V175-W175)</f>
      </c>
      <c r="Z175" s="3">
        <f>IF($K175="","",(Y175-AF175)/J175*100)</f>
      </c>
      <c r="AA175" s="3">
        <f>IF($K175="","",M175-X175)</f>
      </c>
      <c r="AG175" s="3">
        <f>IF($K175="","",Y175-AF175)</f>
      </c>
    </row>
    <row r="176" spans="1:33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IF($K176="","",(K176*6.9%)-(K176*6.9%)*10%)</f>
      </c>
      <c r="O176" s="3">
        <f>IF($K176="","",K176*0.35%)</f>
      </c>
      <c r="P176" s="3">
        <v>0.4</v>
      </c>
      <c r="Q176" s="3">
        <f>IF($K176="","",(N176+O176+P176)*20%)</f>
      </c>
      <c r="R176" s="3">
        <f>IF($K176="","",N176+O176+P176+Q176)</f>
      </c>
      <c r="S176" s="3"/>
      <c r="T176" s="3"/>
      <c r="U176" s="3"/>
      <c r="V176" s="3">
        <f>IF($K176="","",U176*20%)</f>
      </c>
      <c r="W176" s="3">
        <v>1</v>
      </c>
      <c r="X176" s="3">
        <f>IF($K176="","",Q176+T176+V176)</f>
      </c>
      <c r="Y176" s="3">
        <f>IF($K176="","",L176-M176-R176-S176-T176-U176-V176-W176)</f>
      </c>
      <c r="Z176" s="3">
        <f>IF($K176="","",(Y176-AF176)/J176*100)</f>
      </c>
      <c r="AA176" s="3">
        <f>IF($K176="","",M176-X176)</f>
      </c>
      <c r="AG176" s="3">
        <f>IF($K176="","",Y176-AF176)</f>
      </c>
    </row>
    <row r="177" spans="1:33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IF($K177="","",(K177*6.9%)-(K177*6.9%)*10%)</f>
      </c>
      <c r="O177" s="3">
        <f>IF($K177="","",K177*0.35%)</f>
      </c>
      <c r="P177" s="3">
        <v>0.4</v>
      </c>
      <c r="Q177" s="3">
        <f>IF($K177="","",(N177+O177+P177)*20%)</f>
      </c>
      <c r="R177" s="3">
        <f>IF($K177="","",N177+O177+P177+Q177)</f>
      </c>
      <c r="S177" s="3"/>
      <c r="T177" s="3"/>
      <c r="U177" s="3"/>
      <c r="V177" s="3">
        <f>IF($K177="","",U177*20%)</f>
      </c>
      <c r="W177" s="3">
        <v>1</v>
      </c>
      <c r="X177" s="3">
        <f>IF($K177="","",Q177+T177+V177)</f>
      </c>
      <c r="Y177" s="3">
        <f>IF($K177="","",L177-M177-R177-S177-T177-U177-V177-W177)</f>
      </c>
      <c r="Z177" s="3">
        <f>IF($K177="","",(Y177-AF177)/J177*100)</f>
      </c>
      <c r="AA177" s="3">
        <f>IF($K177="","",M177-X177)</f>
      </c>
      <c r="AG177" s="3">
        <f>IF($K177="","",Y177-AF177)</f>
      </c>
    </row>
    <row r="178" spans="1:33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IF($K178="","",(K178*6.9%)-(K178*6.9%)*10%)</f>
      </c>
      <c r="O178" s="3">
        <f>IF($K178="","",K178*0.35%)</f>
      </c>
      <c r="P178" s="3">
        <v>0.4</v>
      </c>
      <c r="Q178" s="3">
        <f>IF($K178="","",(N178+O178+P178)*20%)</f>
      </c>
      <c r="R178" s="3">
        <f>IF($K178="","",N178+O178+P178+Q178)</f>
      </c>
      <c r="S178" s="3"/>
      <c r="T178" s="3"/>
      <c r="U178" s="3"/>
      <c r="V178" s="3">
        <f>IF($K178="","",U178*20%)</f>
      </c>
      <c r="W178" s="3">
        <v>1</v>
      </c>
      <c r="X178" s="3">
        <f>IF($K178="","",Q178+T178+V178)</f>
      </c>
      <c r="Y178" s="3">
        <f>IF($K178="","",L178-M178-R178-S178-T178-U178-V178-W178)</f>
      </c>
      <c r="Z178" s="3">
        <f>IF($K178="","",(Y178-AF178)/J178*100)</f>
      </c>
      <c r="AA178" s="3">
        <f>IF($K178="","",M178-X178)</f>
      </c>
      <c r="AG178" s="3">
        <f>IF($K178="","",Y178-AF178)</f>
      </c>
    </row>
    <row r="179" spans="1:33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IF($K179="","",(K179*6.9%)-(K179*6.9%)*10%)</f>
      </c>
      <c r="O179" s="3">
        <f>IF($K179="","",K179*0.35%)</f>
      </c>
      <c r="P179" s="3">
        <v>0.4</v>
      </c>
      <c r="Q179" s="3">
        <f>IF($K179="","",(N179+O179+P179)*20%)</f>
      </c>
      <c r="R179" s="3">
        <f>IF($K179="","",N179+O179+P179+Q179)</f>
      </c>
      <c r="S179" s="3"/>
      <c r="T179" s="3"/>
      <c r="U179" s="3"/>
      <c r="V179" s="3">
        <f>IF($K179="","",U179*20%)</f>
      </c>
      <c r="W179" s="3">
        <v>1</v>
      </c>
      <c r="X179" s="3">
        <f>IF($K179="","",Q179+T179+V179)</f>
      </c>
      <c r="Y179" s="3">
        <f>IF($K179="","",L179-M179-R179-S179-T179-U179-V179-W179)</f>
      </c>
      <c r="Z179" s="3">
        <f>IF($K179="","",(Y179-AF179)/J179*100)</f>
      </c>
      <c r="AA179" s="3">
        <f>IF($K179="","",M179-X179)</f>
      </c>
      <c r="AG179" s="3">
        <f>IF($K179="","",Y179-AF179)</f>
      </c>
    </row>
    <row r="180" spans="1:33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IF($K180="","",(K180*6.9%)-(K180*6.9%)*10%)</f>
      </c>
      <c r="O180" s="3">
        <f>IF($K180="","",K180*0.35%)</f>
      </c>
      <c r="P180" s="3">
        <v>0.4</v>
      </c>
      <c r="Q180" s="3">
        <f>IF($K180="","",(N180+O180+P180)*20%)</f>
      </c>
      <c r="R180" s="3">
        <f>IF($K180="","",N180+O180+P180+Q180)</f>
      </c>
      <c r="S180" s="3"/>
      <c r="T180" s="3"/>
      <c r="U180" s="3"/>
      <c r="V180" s="3">
        <f>IF($K180="","",U180*20%)</f>
      </c>
      <c r="W180" s="3">
        <v>1</v>
      </c>
      <c r="X180" s="3">
        <f>IF($K180="","",Q180+T180+V180)</f>
      </c>
      <c r="Y180" s="3">
        <f>IF($K180="","",L180-M180-R180-S180-T180-U180-V180-W180)</f>
      </c>
      <c r="Z180" s="3">
        <f>IF($K180="","",(Y180-AF180)/J180*100)</f>
      </c>
      <c r="AA180" s="3">
        <f>IF($K180="","",M180-X180)</f>
      </c>
      <c r="AG180" s="3">
        <f>IF($K180="","",Y180-AF180)</f>
      </c>
    </row>
    <row r="181" spans="1:33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IF($K181="","",(K181*6.9%)-(K181*6.9%)*10%)</f>
      </c>
      <c r="O181" s="3">
        <f>IF($K181="","",K181*0.35%)</f>
      </c>
      <c r="P181" s="3">
        <v>0.4</v>
      </c>
      <c r="Q181" s="3">
        <f>IF($K181="","",(N181+O181+P181)*20%)</f>
      </c>
      <c r="R181" s="3">
        <f>IF($K181="","",N181+O181+P181+Q181)</f>
      </c>
      <c r="S181" s="3"/>
      <c r="T181" s="3"/>
      <c r="U181" s="3"/>
      <c r="V181" s="3">
        <f>IF($K181="","",U181*20%)</f>
      </c>
      <c r="W181" s="3">
        <v>1</v>
      </c>
      <c r="X181" s="3">
        <f>IF($K181="","",Q181+T181+V181)</f>
      </c>
      <c r="Y181" s="3">
        <f>IF($K181="","",L181-M181-R181-S181-T181-U181-V181-W181)</f>
      </c>
      <c r="Z181" s="3">
        <f>IF($K181="","",(Y181-AF181)/J181*100)</f>
      </c>
      <c r="AA181" s="3">
        <f>IF($K181="","",M181-X181)</f>
      </c>
      <c r="AG181" s="3">
        <f>IF($K181="","",Y181-AF181)</f>
      </c>
    </row>
    <row r="182" spans="1:33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IF($K182="","",(K182*6.9%)-(K182*6.9%)*10%)</f>
      </c>
      <c r="O182" s="3">
        <f>IF($K182="","",K182*0.35%)</f>
      </c>
      <c r="P182" s="3">
        <v>0.4</v>
      </c>
      <c r="Q182" s="3">
        <f>IF($K182="","",(N182+O182+P182)*20%)</f>
      </c>
      <c r="R182" s="3">
        <f>IF($K182="","",N182+O182+P182+Q182)</f>
      </c>
      <c r="S182" s="3"/>
      <c r="T182" s="3"/>
      <c r="U182" s="3"/>
      <c r="V182" s="3">
        <f>IF($K182="","",U182*20%)</f>
      </c>
      <c r="W182" s="3">
        <v>1</v>
      </c>
      <c r="X182" s="3">
        <f>IF($K182="","",Q182+T182+V182)</f>
      </c>
      <c r="Y182" s="3">
        <f>IF($K182="","",L182-M182-R182-S182-T182-U182-V182-W182)</f>
      </c>
      <c r="Z182" s="3">
        <f>IF($K182="","",(Y182-AF182)/J182*100)</f>
      </c>
      <c r="AA182" s="3">
        <f>IF($K182="","",M182-X182)</f>
      </c>
      <c r="AG182" s="3">
        <f>IF($K182="","",Y182-AF182)</f>
      </c>
    </row>
    <row r="183" spans="1:33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IF($K183="","",(K183*6.9%)-(K183*6.9%)*10%)</f>
      </c>
      <c r="O183" s="3">
        <f>IF($K183="","",K183*0.35%)</f>
      </c>
      <c r="P183" s="3">
        <v>0.4</v>
      </c>
      <c r="Q183" s="3">
        <f>IF($K183="","",(N183+O183+P183)*20%)</f>
      </c>
      <c r="R183" s="3">
        <f>IF($K183="","",N183+O183+P183+Q183)</f>
      </c>
      <c r="S183" s="3"/>
      <c r="T183" s="3"/>
      <c r="U183" s="3"/>
      <c r="V183" s="3">
        <f>IF($K183="","",U183*20%)</f>
      </c>
      <c r="W183" s="3">
        <v>1</v>
      </c>
      <c r="X183" s="3">
        <f>IF($K183="","",Q183+T183+V183)</f>
      </c>
      <c r="Y183" s="3">
        <f>IF($K183="","",L183-M183-R183-S183-T183-U183-V183-W183)</f>
      </c>
      <c r="Z183" s="3">
        <f>IF($K183="","",(Y183-AF183)/J183*100)</f>
      </c>
      <c r="AA183" s="3">
        <f>IF($K183="","",M183-X183)</f>
      </c>
      <c r="AG183" s="3">
        <f>IF($K183="","",Y183-AF183)</f>
      </c>
    </row>
    <row r="184" spans="1:33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IF($K184="","",(K184*6.9%)-(K184*6.9%)*10%)</f>
      </c>
      <c r="O184" s="3">
        <f>IF($K184="","",K184*0.35%)</f>
      </c>
      <c r="P184" s="3">
        <v>0.4</v>
      </c>
      <c r="Q184" s="3">
        <f>IF($K184="","",(N184+O184+P184)*20%)</f>
      </c>
      <c r="R184" s="3">
        <f>IF($K184="","",N184+O184+P184+Q184)</f>
      </c>
      <c r="S184" s="3"/>
      <c r="T184" s="3"/>
      <c r="U184" s="3"/>
      <c r="V184" s="3">
        <f>IF($K184="","",U184*20%)</f>
      </c>
      <c r="W184" s="3">
        <v>1</v>
      </c>
      <c r="X184" s="3">
        <f>IF($K184="","",Q184+T184+V184)</f>
      </c>
      <c r="Y184" s="3">
        <f>IF($K184="","",L184-M184-R184-S184-T184-U184-V184-W184)</f>
      </c>
      <c r="Z184" s="3">
        <f>IF($K184="","",(Y184-AF184)/J184*100)</f>
      </c>
      <c r="AA184" s="3">
        <f>IF($K184="","",M184-X184)</f>
      </c>
      <c r="AG184" s="3">
        <f>IF($K184="","",Y184-AF184)</f>
      </c>
    </row>
    <row r="185" spans="1:33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IF($K185="","",(K185*6.9%)-(K185*6.9%)*10%)</f>
      </c>
      <c r="O185" s="3">
        <f>IF($K185="","",K185*0.35%)</f>
      </c>
      <c r="P185" s="3">
        <v>0.4</v>
      </c>
      <c r="Q185" s="3">
        <f>IF($K185="","",(N185+O185+P185)*20%)</f>
      </c>
      <c r="R185" s="3">
        <f>IF($K185="","",N185+O185+P185+Q185)</f>
      </c>
      <c r="S185" s="3"/>
      <c r="T185" s="3"/>
      <c r="U185" s="3"/>
      <c r="V185" s="3">
        <f>IF($K185="","",U185*20%)</f>
      </c>
      <c r="W185" s="3">
        <v>1</v>
      </c>
      <c r="X185" s="3">
        <f>IF($K185="","",Q185+T185+V185)</f>
      </c>
      <c r="Y185" s="3">
        <f>IF($K185="","",L185-M185-R185-S185-T185-U185-V185-W185)</f>
      </c>
      <c r="Z185" s="3">
        <f>IF($K185="","",(Y185-AF185)/J185*100)</f>
      </c>
      <c r="AA185" s="3">
        <f>IF($K185="","",M185-X185)</f>
      </c>
      <c r="AG185" s="3">
        <f>IF($K185="","",Y185-AF185)</f>
      </c>
    </row>
    <row r="186" spans="1:33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IF($K186="","",(K186*6.9%)-(K186*6.9%)*10%)</f>
      </c>
      <c r="O186" s="3">
        <f>IF($K186="","",K186*0.35%)</f>
      </c>
      <c r="P186" s="3">
        <v>0.4</v>
      </c>
      <c r="Q186" s="3">
        <f>IF($K186="","",(N186+O186+P186)*20%)</f>
      </c>
      <c r="R186" s="3">
        <f>IF($K186="","",N186+O186+P186+Q186)</f>
      </c>
      <c r="S186" s="3"/>
      <c r="T186" s="3"/>
      <c r="U186" s="3"/>
      <c r="V186" s="3">
        <f>IF($K186="","",U186*20%)</f>
      </c>
      <c r="W186" s="3">
        <v>1</v>
      </c>
      <c r="X186" s="3">
        <f>IF($K186="","",Q186+T186+V186)</f>
      </c>
      <c r="Y186" s="3">
        <f>IF($K186="","",L186-M186-R186-S186-T186-U186-V186-W186)</f>
      </c>
      <c r="Z186" s="3">
        <f>IF($K186="","",(Y186-AF186)/J186*100)</f>
      </c>
      <c r="AA186" s="3">
        <f>IF($K186="","",M186-X186)</f>
      </c>
      <c r="AG186" s="3">
        <f>IF($K186="","",Y186-AF186)</f>
      </c>
    </row>
    <row r="187" spans="1:33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IF($K187="","",(K187*6.9%)-(K187*6.9%)*10%)</f>
      </c>
      <c r="O187" s="3">
        <f>IF($K187="","",K187*0.35%)</f>
      </c>
      <c r="P187" s="3">
        <v>0.4</v>
      </c>
      <c r="Q187" s="3">
        <f>IF($K187="","",(N187+O187+P187)*20%)</f>
      </c>
      <c r="R187" s="3">
        <f>IF($K187="","",N187+O187+P187+Q187)</f>
      </c>
      <c r="S187" s="3"/>
      <c r="T187" s="3"/>
      <c r="U187" s="3"/>
      <c r="V187" s="3">
        <f>IF($K187="","",U187*20%)</f>
      </c>
      <c r="W187" s="3">
        <v>1</v>
      </c>
      <c r="X187" s="3">
        <f>IF($K187="","",Q187+T187+V187)</f>
      </c>
      <c r="Y187" s="3">
        <f>IF($K187="","",L187-M187-R187-S187-T187-U187-V187-W187)</f>
      </c>
      <c r="Z187" s="3">
        <f>IF($K187="","",(Y187-AF187)/J187*100)</f>
      </c>
      <c r="AA187" s="3">
        <f>IF($K187="","",M187-X187)</f>
      </c>
      <c r="AG187" s="3">
        <f>IF($K187="","",Y187-AF187)</f>
      </c>
    </row>
    <row r="188" spans="1:33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IF($K188="","",(K188*6.9%)-(K188*6.9%)*10%)</f>
      </c>
      <c r="O188" s="3">
        <f>IF($K188="","",K188*0.35%)</f>
      </c>
      <c r="P188" s="3">
        <v>0.4</v>
      </c>
      <c r="Q188" s="3">
        <f>IF($K188="","",(N188+O188+P188)*20%)</f>
      </c>
      <c r="R188" s="3">
        <f>IF($K188="","",N188+O188+P188+Q188)</f>
      </c>
      <c r="S188" s="3"/>
      <c r="T188" s="3"/>
      <c r="U188" s="3"/>
      <c r="V188" s="3">
        <f>IF($K188="","",U188*20%)</f>
      </c>
      <c r="W188" s="3">
        <v>1</v>
      </c>
      <c r="X188" s="3">
        <f>IF($K188="","",Q188+T188+V188)</f>
      </c>
      <c r="Y188" s="3">
        <f>IF($K188="","",L188-M188-R188-S188-T188-U188-V188-W188)</f>
      </c>
      <c r="Z188" s="3">
        <f>IF($K188="","",(Y188-AF188)/J188*100)</f>
      </c>
      <c r="AA188" s="3">
        <f>IF($K188="","",M188-X188)</f>
      </c>
      <c r="AG188" s="3">
        <f>IF($K188="","",Y188-AF188)</f>
      </c>
    </row>
    <row r="189" spans="1:33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IF($K189="","",(K189*6.9%)-(K189*6.9%)*10%)</f>
      </c>
      <c r="O189" s="3">
        <f>IF($K189="","",K189*0.35%)</f>
      </c>
      <c r="P189" s="3">
        <v>0.4</v>
      </c>
      <c r="Q189" s="3">
        <f>IF($K189="","",(N189+O189+P189)*20%)</f>
      </c>
      <c r="R189" s="3">
        <f>IF($K189="","",N189+O189+P189+Q189)</f>
      </c>
      <c r="S189" s="3"/>
      <c r="T189" s="3"/>
      <c r="U189" s="3"/>
      <c r="V189" s="3">
        <f>IF($K189="","",U189*20%)</f>
      </c>
      <c r="W189" s="3">
        <v>1</v>
      </c>
      <c r="X189" s="3">
        <f>IF($K189="","",Q189+T189+V189)</f>
      </c>
      <c r="Y189" s="3">
        <f>IF($K189="","",L189-M189-R189-S189-T189-U189-V189-W189)</f>
      </c>
      <c r="Z189" s="3">
        <f>IF($K189="","",(Y189-AF189)/J189*100)</f>
      </c>
      <c r="AA189" s="3">
        <f>IF($K189="","",M189-X189)</f>
      </c>
      <c r="AG189" s="3">
        <f>IF($K189="","",Y189-AF189)</f>
      </c>
    </row>
    <row r="190" spans="1:33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IF($K190="","",(K190*6.9%)-(K190*6.9%)*10%)</f>
      </c>
      <c r="O190" s="3">
        <f>IF($K190="","",K190*0.35%)</f>
      </c>
      <c r="P190" s="3">
        <v>0.4</v>
      </c>
      <c r="Q190" s="3">
        <f>IF($K190="","",(N190+O190+P190)*20%)</f>
      </c>
      <c r="R190" s="3">
        <f>IF($K190="","",N190+O190+P190+Q190)</f>
      </c>
      <c r="S190" s="3"/>
      <c r="T190" s="3"/>
      <c r="U190" s="3"/>
      <c r="V190" s="3">
        <f>IF($K190="","",U190*20%)</f>
      </c>
      <c r="W190" s="3">
        <v>1</v>
      </c>
      <c r="X190" s="3">
        <f>IF($K190="","",Q190+T190+V190)</f>
      </c>
      <c r="Y190" s="3">
        <f>IF($K190="","",L190-M190-R190-S190-T190-U190-V190-W190)</f>
      </c>
      <c r="Z190" s="3">
        <f>IF($K190="","",(Y190-AF190)/J190*100)</f>
      </c>
      <c r="AA190" s="3">
        <f>IF($K190="","",M190-X190)</f>
      </c>
      <c r="AG190" s="3">
        <f>IF($K190="","",Y190-AF190)</f>
      </c>
    </row>
    <row r="191" spans="1:33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IF($K191="","",(K191*6.9%)-(K191*6.9%)*10%)</f>
      </c>
      <c r="O191" s="3">
        <f>IF($K191="","",K191*0.35%)</f>
      </c>
      <c r="P191" s="3">
        <v>0.4</v>
      </c>
      <c r="Q191" s="3">
        <f>IF($K191="","",(N191+O191+P191)*20%)</f>
      </c>
      <c r="R191" s="3">
        <f>IF($K191="","",N191+O191+P191+Q191)</f>
      </c>
      <c r="S191" s="3"/>
      <c r="T191" s="3"/>
      <c r="U191" s="3"/>
      <c r="V191" s="3">
        <f>IF($K191="","",U191*20%)</f>
      </c>
      <c r="W191" s="3">
        <v>1</v>
      </c>
      <c r="X191" s="3">
        <f>IF($K191="","",Q191+T191+V191)</f>
      </c>
      <c r="Y191" s="3">
        <f>IF($K191="","",L191-M191-R191-S191-T191-U191-V191-W191)</f>
      </c>
      <c r="Z191" s="3">
        <f>IF($K191="","",(Y191-AF191)/J191*100)</f>
      </c>
      <c r="AA191" s="3">
        <f>IF($K191="","",M191-X191)</f>
      </c>
      <c r="AG191" s="3">
        <f>IF($K191="","",Y191-AF191)</f>
      </c>
    </row>
    <row r="192" spans="1:33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IF($K192="","",(K192*6.9%)-(K192*6.9%)*10%)</f>
      </c>
      <c r="O192" s="3">
        <f>IF($K192="","",K192*0.35%)</f>
      </c>
      <c r="P192" s="3">
        <v>0.4</v>
      </c>
      <c r="Q192" s="3">
        <f>IF($K192="","",(N192+O192+P192)*20%)</f>
      </c>
      <c r="R192" s="3">
        <f>IF($K192="","",N192+O192+P192+Q192)</f>
      </c>
      <c r="S192" s="3"/>
      <c r="T192" s="3"/>
      <c r="U192" s="3"/>
      <c r="V192" s="3">
        <f>IF($K192="","",U192*20%)</f>
      </c>
      <c r="W192" s="3">
        <v>1</v>
      </c>
      <c r="X192" s="3">
        <f>IF($K192="","",Q192+T192+V192)</f>
      </c>
      <c r="Y192" s="3">
        <f>IF($K192="","",L192-M192-R192-S192-T192-U192-V192-W192)</f>
      </c>
      <c r="Z192" s="3">
        <f>IF($K192="","",(Y192-AF192)/J192*100)</f>
      </c>
      <c r="AA192" s="3">
        <f>IF($K192="","",M192-X192)</f>
      </c>
      <c r="AG192" s="3">
        <f>IF($K192="","",Y192-AF192)</f>
      </c>
    </row>
    <row r="193" spans="1:33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IF($K193="","",(K193*6.9%)-(K193*6.9%)*10%)</f>
      </c>
      <c r="O193" s="3">
        <f>IF($K193="","",K193*0.35%)</f>
      </c>
      <c r="P193" s="3">
        <v>0.4</v>
      </c>
      <c r="Q193" s="3">
        <f>IF($K193="","",(N193+O193+P193)*20%)</f>
      </c>
      <c r="R193" s="3">
        <f>IF($K193="","",N193+O193+P193+Q193)</f>
      </c>
      <c r="S193" s="3"/>
      <c r="T193" s="3"/>
      <c r="U193" s="3"/>
      <c r="V193" s="3">
        <f>IF($K193="","",U193*20%)</f>
      </c>
      <c r="W193" s="3">
        <v>1</v>
      </c>
      <c r="X193" s="3">
        <f>IF($K193="","",Q193+T193+V193)</f>
      </c>
      <c r="Y193" s="3">
        <f>IF($K193="","",L193-M193-R193-S193-T193-U193-V193-W193)</f>
      </c>
      <c r="Z193" s="3">
        <f>IF($K193="","",(Y193-AF193)/J193*100)</f>
      </c>
      <c r="AA193" s="3">
        <f>IF($K193="","",M193-X193)</f>
      </c>
      <c r="AG193" s="3">
        <f>IF($K193="","",Y193-AF193)</f>
      </c>
    </row>
    <row r="194" spans="1:33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IF($K194="","",(K194*6.9%)-(K194*6.9%)*10%)</f>
      </c>
      <c r="O194" s="3">
        <f>IF($K194="","",K194*0.35%)</f>
      </c>
      <c r="P194" s="3">
        <v>0.4</v>
      </c>
      <c r="Q194" s="3">
        <f>IF($K194="","",(N194+O194+P194)*20%)</f>
      </c>
      <c r="R194" s="3">
        <f>IF($K194="","",N194+O194+P194+Q194)</f>
      </c>
      <c r="S194" s="3"/>
      <c r="T194" s="3"/>
      <c r="U194" s="3"/>
      <c r="V194" s="3">
        <f>IF($K194="","",U194*20%)</f>
      </c>
      <c r="W194" s="3">
        <v>1</v>
      </c>
      <c r="X194" s="3">
        <f>IF($K194="","",Q194+T194+V194)</f>
      </c>
      <c r="Y194" s="3">
        <f>IF($K194="","",L194-M194-R194-S194-T194-U194-V194-W194)</f>
      </c>
      <c r="Z194" s="3">
        <f>IF($K194="","",(Y194-AF194)/J194*100)</f>
      </c>
      <c r="AA194" s="3">
        <f>IF($K194="","",M194-X194)</f>
      </c>
      <c r="AG194" s="3">
        <f>IF($K194="","",Y194-AF194)</f>
      </c>
    </row>
    <row r="195" spans="1:33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IF($K195="","",(K195*6.9%)-(K195*6.9%)*10%)</f>
      </c>
      <c r="O195" s="3">
        <f>IF($K195="","",K195*0.35%)</f>
      </c>
      <c r="P195" s="3">
        <v>0.4</v>
      </c>
      <c r="Q195" s="3">
        <f>IF($K195="","",(N195+O195+P195)*20%)</f>
      </c>
      <c r="R195" s="3">
        <f>IF($K195="","",N195+O195+P195+Q195)</f>
      </c>
      <c r="S195" s="3"/>
      <c r="T195" s="3"/>
      <c r="U195" s="3"/>
      <c r="V195" s="3">
        <f>IF($K195="","",U195*20%)</f>
      </c>
      <c r="W195" s="3">
        <v>1</v>
      </c>
      <c r="X195" s="3">
        <f>IF($K195="","",Q195+T195+V195)</f>
      </c>
      <c r="Y195" s="3">
        <f>IF($K195="","",L195-M195-R195-S195-T195-U195-V195-W195)</f>
      </c>
      <c r="Z195" s="3">
        <f>IF($K195="","",(Y195-AF195)/J195*100)</f>
      </c>
      <c r="AA195" s="3">
        <f>IF($K195="","",M195-X195)</f>
      </c>
      <c r="AG195" s="3">
        <f>IF($K195="","",Y195-AF195)</f>
      </c>
    </row>
    <row r="196" spans="1:33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IF($K196="","",(K196*6.9%)-(K196*6.9%)*10%)</f>
      </c>
      <c r="O196" s="3">
        <f>IF($K196="","",K196*0.35%)</f>
      </c>
      <c r="P196" s="3">
        <v>0.4</v>
      </c>
      <c r="Q196" s="3">
        <f>IF($K196="","",(N196+O196+P196)*20%)</f>
      </c>
      <c r="R196" s="3">
        <f>IF($K196="","",N196+O196+P196+Q196)</f>
      </c>
      <c r="S196" s="3"/>
      <c r="T196" s="3"/>
      <c r="U196" s="3"/>
      <c r="V196" s="3">
        <f>IF($K196="","",U196*20%)</f>
      </c>
      <c r="W196" s="3">
        <v>1</v>
      </c>
      <c r="X196" s="3">
        <f>IF($K196="","",Q196+T196+V196)</f>
      </c>
      <c r="Y196" s="3">
        <f>IF($K196="","",L196-M196-R196-S196-T196-U196-V196-W196)</f>
      </c>
      <c r="Z196" s="3">
        <f>IF($K196="","",(Y196-AF196)/J196*100)</f>
      </c>
      <c r="AA196" s="3">
        <f>IF($K196="","",M196-X196)</f>
      </c>
      <c r="AG196" s="3">
        <f>IF($K196="","",Y196-AF196)</f>
      </c>
    </row>
    <row r="197" spans="1:33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IF($K197="","",(K197*6.9%)-(K197*6.9%)*10%)</f>
      </c>
      <c r="O197" s="3">
        <f>IF($K197="","",K197*0.35%)</f>
      </c>
      <c r="P197" s="3">
        <v>0.4</v>
      </c>
      <c r="Q197" s="3">
        <f>IF($K197="","",(N197+O197+P197)*20%)</f>
      </c>
      <c r="R197" s="3">
        <f>IF($K197="","",N197+O197+P197+Q197)</f>
      </c>
      <c r="S197" s="3"/>
      <c r="T197" s="3"/>
      <c r="U197" s="3"/>
      <c r="V197" s="3">
        <f>IF($K197="","",U197*20%)</f>
      </c>
      <c r="W197" s="3">
        <v>1</v>
      </c>
      <c r="X197" s="3">
        <f>IF($K197="","",Q197+T197+V197)</f>
      </c>
      <c r="Y197" s="3">
        <f>IF($K197="","",L197-M197-R197-S197-T197-U197-V197-W197)</f>
      </c>
      <c r="Z197" s="3">
        <f>IF($K197="","",(Y197-AF197)/J197*100)</f>
      </c>
      <c r="AA197" s="3">
        <f>IF($K197="","",M197-X197)</f>
      </c>
      <c r="AG197" s="3">
        <f>IF($K197="","",Y197-AF197)</f>
      </c>
    </row>
    <row r="198" spans="1:33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IF($K198="","",(K198*6.9%)-(K198*6.9%)*10%)</f>
      </c>
      <c r="O198" s="3">
        <f>IF($K198="","",K198*0.35%)</f>
      </c>
      <c r="P198" s="3">
        <v>0.4</v>
      </c>
      <c r="Q198" s="3">
        <f>IF($K198="","",(N198+O198+P198)*20%)</f>
      </c>
      <c r="R198" s="3">
        <f>IF($K198="","",N198+O198+P198+Q198)</f>
      </c>
      <c r="S198" s="3"/>
      <c r="T198" s="3"/>
      <c r="U198" s="3"/>
      <c r="V198" s="3">
        <f>IF($K198="","",U198*20%)</f>
      </c>
      <c r="W198" s="3">
        <v>1</v>
      </c>
      <c r="X198" s="3">
        <f>IF($K198="","",Q198+T198+V198)</f>
      </c>
      <c r="Y198" s="3">
        <f>IF($K198="","",L198-M198-R198-S198-T198-U198-V198-W198)</f>
      </c>
      <c r="Z198" s="3">
        <f>IF($K198="","",(Y198-AF198)/J198*100)</f>
      </c>
      <c r="AA198" s="3">
        <f>IF($K198="","",M198-X198)</f>
      </c>
      <c r="AG198" s="3">
        <f>IF($K198="","",Y198-AF198)</f>
      </c>
    </row>
    <row r="199" spans="1:33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IF($K199="","",(K199*6.9%)-(K199*6.9%)*10%)</f>
      </c>
      <c r="O199" s="3">
        <f>IF($K199="","",K199*0.35%)</f>
      </c>
      <c r="P199" s="3">
        <v>0.4</v>
      </c>
      <c r="Q199" s="3">
        <f>IF($K199="","",(N199+O199+P199)*20%)</f>
      </c>
      <c r="R199" s="3">
        <f>IF($K199="","",N199+O199+P199+Q199)</f>
      </c>
      <c r="S199" s="3"/>
      <c r="T199" s="3"/>
      <c r="U199" s="3"/>
      <c r="V199" s="3">
        <f>IF($K199="","",U199*20%)</f>
      </c>
      <c r="W199" s="3">
        <v>1</v>
      </c>
      <c r="X199" s="3">
        <f>IF($K199="","",Q199+T199+V199)</f>
      </c>
      <c r="Y199" s="3">
        <f>IF($K199="","",L199-M199-R199-S199-T199-U199-V199-W199)</f>
      </c>
      <c r="Z199" s="3">
        <f>IF($K199="","",(Y199-AF199)/J199*100)</f>
      </c>
      <c r="AA199" s="3">
        <f>IF($K199="","",M199-X199)</f>
      </c>
      <c r="AG199" s="3">
        <f>IF($K199="","",Y199-AF199)</f>
      </c>
    </row>
    <row r="200" spans="1:33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IF($K200="","",(K200*6.9%)-(K200*6.9%)*10%)</f>
      </c>
      <c r="O200" s="3">
        <f>IF($K200="","",K200*0.35%)</f>
      </c>
      <c r="P200" s="3">
        <v>0.4</v>
      </c>
      <c r="Q200" s="3">
        <f>IF($K200="","",(N200+O200+P200)*20%)</f>
      </c>
      <c r="R200" s="3">
        <f>IF($K200="","",N200+O200+P200+Q200)</f>
      </c>
      <c r="S200" s="3"/>
      <c r="T200" s="3"/>
      <c r="U200" s="3"/>
      <c r="V200" s="3">
        <f>IF($K200="","",U200*20%)</f>
      </c>
      <c r="W200" s="3">
        <v>1</v>
      </c>
      <c r="X200" s="3">
        <f>IF($K200="","",Q200+T200+V200)</f>
      </c>
      <c r="Y200" s="3">
        <f>IF($K200="","",L200-M200-R200-S200-T200-U200-V200-W200)</f>
      </c>
      <c r="Z200" s="3">
        <f>IF($K200="","",(Y200-AF200)/J200*100)</f>
      </c>
      <c r="AA200" s="3">
        <f>IF($K200="","",M200-X200)</f>
      </c>
      <c r="AG200" s="3">
        <f>IF($K200="","",Y200-AF200)</f>
      </c>
    </row>
    <row r="201" spans="1:33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IF($K201="","",(K201*6.9%)-(K201*6.9%)*10%)</f>
      </c>
      <c r="O201" s="3">
        <f>IF($K201="","",K201*0.35%)</f>
      </c>
      <c r="P201" s="3">
        <v>0.4</v>
      </c>
      <c r="Q201" s="3">
        <f>IF($K201="","",(N201+O201+P201)*20%)</f>
      </c>
      <c r="R201" s="3">
        <f>IF($K201="","",N201+O201+P201+Q201)</f>
      </c>
      <c r="S201" s="3"/>
      <c r="T201" s="3"/>
      <c r="U201" s="3"/>
      <c r="V201" s="3">
        <f>IF($K201="","",U201*20%)</f>
      </c>
      <c r="W201" s="3">
        <v>1</v>
      </c>
      <c r="X201" s="3">
        <f>IF($K201="","",Q201+T201+V201)</f>
      </c>
      <c r="Y201" s="3">
        <f>IF($K201="","",L201-M201-R201-S201-T201-U201-V201-W201)</f>
      </c>
      <c r="Z201" s="3">
        <f>IF($K201="","",(Y201-AF201)/J201*100)</f>
      </c>
      <c r="AA201" s="3">
        <f>IF($K201="","",M201-X201)</f>
      </c>
      <c r="AG201" s="3">
        <f>IF($K201="","",Y201-AF201)</f>
      </c>
    </row>
    <row r="202" spans="1:33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IF($K202="","",(K202*6.9%)-(K202*6.9%)*10%)</f>
      </c>
      <c r="O202" s="3">
        <f>IF($K202="","",K202*0.35%)</f>
      </c>
      <c r="P202" s="3">
        <v>0.4</v>
      </c>
      <c r="Q202" s="3">
        <f>IF($K202="","",(N202+O202+P202)*20%)</f>
      </c>
      <c r="R202" s="3">
        <f>IF($K202="","",N202+O202+P202+Q202)</f>
      </c>
      <c r="S202" s="3"/>
      <c r="T202" s="3"/>
      <c r="U202" s="3"/>
      <c r="V202" s="3">
        <f>IF($K202="","",U202*20%)</f>
      </c>
      <c r="W202" s="3">
        <v>1</v>
      </c>
      <c r="X202" s="3">
        <f>IF($K202="","",Q202+T202+V202)</f>
      </c>
      <c r="Y202" s="3">
        <f>IF($K202="","",L202-M202-R202-S202-T202-U202-V202-W202)</f>
      </c>
      <c r="Z202" s="3">
        <f>IF($K202="","",(Y202-AF202)/J202*100)</f>
      </c>
      <c r="AA202" s="3">
        <f>IF($K202="","",M202-X202)</f>
      </c>
      <c r="AG202" s="3">
        <f>IF($K202="","",Y202-AF202)</f>
      </c>
    </row>
    <row r="203" spans="1:38" s="4" customFormat="1" x14ac:dyDescent="0.25">
      <c r="A203" s="5" t="s">
        <v>44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SUM(W2:W202)</f>
      </c>
      <c r="X203" s="6">
        <f>SUM(X2:X202)</f>
      </c>
      <c r="Y203" s="6">
        <f>SUM(Y2:Y202)</f>
      </c>
      <c r="Z203" s="6">
        <f>IFERROR((Y203-AF203)/K203*100,0)</f>
      </c>
      <c r="AA203" s="6">
        <f>SUM(AA2:AA202)</f>
      </c>
      <c r="AB203" s="6">
        <f>SUM(AB2:AB202)</f>
      </c>
      <c r="AC203" s="6">
        <f>SUM(AC2:AC202)</f>
      </c>
      <c r="AD203" s="6">
        <f>SUM(AD2:AD202)</f>
      </c>
      <c r="AE203" s="6">
        <f>SUM(AE2:AE202)</f>
      </c>
      <c r="AF203" s="6">
        <f>SUM(AF2:AF202)</f>
      </c>
      <c r="AG203" s="6">
        <f>SUM(AG2:AG202)</f>
      </c>
      <c r="AH203" s="4"/>
      <c r="AI203" s="4"/>
      <c r="AJ203" s="4"/>
      <c r="AK203" s="4"/>
      <c r="AL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EBAY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2026-08-29T07:04:46Z</dcterms:created>
  <dcterms:modified xsi:type="dcterms:W3CDTF">2026-08-29T07:04:46Z</dcterms:modified>
</cp:coreProperties>
</file>