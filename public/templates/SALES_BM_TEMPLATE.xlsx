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3" name="BM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<sst xmlns="http://schemas.openxmlformats.org/spreadsheetml/2006/main" count="58" uniqueCount="54">
  <si>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</si>
  <si>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</si>
  <si>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</si>
  <si>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</si>
  <si>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</si>
  <si>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</si>
  <si>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</si>
  <si>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</si>
  <si>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</si>
  <si>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Payment Mode</t>
  </si>
  <si>
    <t>BP</t>
  </si>
  <si>
    <t>SP</t>
  </si>
  <si>
    <t>SP-BP</t>
  </si>
  <si>
    <t>Marginal Tax</t>
  </si>
  <si>
    <t>Commission</t>
  </si>
  <si>
    <t>Customer Care Fees</t>
  </si>
  <si>
    <t>PSF</t>
  </si>
  <si>
    <t>Postage</t>
  </si>
  <si>
    <t>P. VAT</t>
  </si>
  <si>
    <t>Acc</t>
  </si>
  <si>
    <t>GP</t>
  </si>
  <si>
    <t>GP %</t>
  </si>
  <si>
    <t>Total VAT NTP</t>
  </si>
  <si>
    <t>Postage Loss</t>
  </si>
  <si>
    <t>Net GP £</t>
  </si>
  <si>
    <t>Return Date</t>
  </si>
  <si>
    <t>Outcome</t>
  </si>
  <si>
    <t>Shipping Legs</t>
  </si>
  <si>
    <t>Return Reason</t>
  </si>
  <si>
    <t>Comments</t>
  </si>
  <si>
    <t>BM-7781</t>
  </si>
  <si>
    <t>S22-128-GRN</t>
  </si>
  <si>
    <t>350100000015838</t>
  </si>
  <si>
    <t/>
  </si>
  <si>
    <t>PHONEBOX DIRECT</t>
  </si>
  <si>
    <t>Paypal</t>
  </si>
  <si>
    <t>TOTAL</t>
  </si>
  <si>
    <t>SALES TEMPLATE — same columns as the Sales Report</t>
  </si>
  <si>
    <t>What this is</t>
  </si>
  <si>
    <t>One sheet per marketplace (BM),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</si>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</sst>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37</v>
      </c>
      <c r="B1" t="s">
        <v>33</v>
      </c>
    </row>
    <row r="3" spans="1:2" x14ac:dyDescent="0.25">
      <c r="A3" s="4" t="s">
        <v>38</v>
      </c>
      <c r="B3" s="8" t="s">
        <v>39</v>
      </c>
    </row>
    <row r="4" spans="1:2" x14ac:dyDescent="0.25">
      <c r="A4" s="4" t="s">
        <v>40</v>
      </c>
      <c r="B4" s="8" t="s">
        <v>41</v>
      </c>
    </row>
    <row r="5" spans="1:2" x14ac:dyDescent="0.25">
      <c r="A5" s="4" t="s">
        <v>42</v>
      </c>
      <c r="B5" s="8" t="s">
        <v>43</v>
      </c>
    </row>
    <row r="6" spans="1:2" x14ac:dyDescent="0.25">
      <c r="A6" s="4" t="s">
        <v>44</v>
      </c>
      <c r="B6" s="8" t="s">
        <v>45</v>
      </c>
    </row>
    <row r="7" spans="1:2" x14ac:dyDescent="0.25">
      <c r="A7" s="4" t="s">
        <v>46</v>
      </c>
      <c r="B7" s="8" t="s">
        <v>47</v>
      </c>
    </row>
    <row r="8" spans="1:2" x14ac:dyDescent="0.25">
      <c r="A8" s="4" t="s">
        <v>48</v>
      </c>
      <c r="B8" s="8" t="s">
        <v>49</v>
      </c>
    </row>
    <row r="9" spans="1:2" x14ac:dyDescent="0.25">
      <c r="A9" s="4" t="s">
        <v>50</v>
      </c>
      <c r="B9" s="8" t="s">
        <v>51</v>
      </c>
    </row>
    <row r="10" spans="1:2" x14ac:dyDescent="0.25">
      <c r="A10" s="4" t="s">
        <v>52</v>
      </c>
      <c r="B10" s="8" t="s">
        <v>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03"/>
  <sheetFormatPr defaultRowHeight="15" outlineLevelRow="0" outlineLevelCol="0" x14ac:dyDescent="55"/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0" x14ac:dyDescent="0.25">
      <c r="A2" s="1">
        <v>46235.5</v>
      </c>
      <c r="B2" t="s">
        <v>30</v>
      </c>
      <c r="C2" t="s">
        <v>31</v>
      </c>
      <c r="D2" s="2" t="s">
        <v>32</v>
      </c>
      <c r="E2" t="s">
        <v>31</v>
      </c>
      <c r="F2" t="s">
        <v>33</v>
      </c>
      <c r="G2" t="s">
        <v>33</v>
      </c>
      <c r="H2" t="s">
        <v>34</v>
      </c>
      <c r="I2">
        <v>1</v>
      </c>
      <c r="J2" t="s">
        <v>35</v>
      </c>
      <c r="K2" s="3">
        <v>240</v>
      </c>
      <c r="L2" s="3">
        <v>329</v>
      </c>
      <c r="M2" s="3">
        <f>L2-K2</f>
      </c>
      <c r="N2" s="3">
        <f>M2*16.67%</f>
      </c>
      <c r="O2" s="3">
        <f>L2/100*11</f>
      </c>
      <c r="P2" s="3">
        <v>8.99</v>
      </c>
      <c r="Q2" s="3">
        <f>L2*1%</f>
      </c>
      <c r="R2" s="3">
        <v>8</v>
      </c>
      <c r="S2" s="3">
        <f>R2*20%</f>
      </c>
      <c r="T2" s="3">
        <v>1</v>
      </c>
      <c r="U2" s="3">
        <f>M2-N2-O2-P2-Q2-R2-S2-T2</f>
      </c>
      <c r="V2" s="3">
        <f>(U2-X2)/K2*100</f>
      </c>
      <c r="W2" s="3">
        <f>N2-S2</f>
      </c>
      <c r="Y2" s="3">
        <f>U2-X2</f>
      </c>
      <c r="AD2" t="s">
        <v>33</v>
      </c>
    </row>
    <row r="3" spans="1:25" x14ac:dyDescent="0.25">
      <c r="A3" s="1"/>
      <c r="D3" s="2"/>
      <c r="K3" s="3"/>
      <c r="L3" s="3"/>
      <c r="M3" s="3">
        <f>IF($L3="","",L3-K3)</f>
      </c>
      <c r="N3" s="3">
        <f>IF($L3="","",M3*16.67%)</f>
      </c>
      <c r="O3" s="3">
        <f>IF($L3="","",L3/100*11)</f>
      </c>
      <c r="P3" s="3">
        <v>8.99</v>
      </c>
      <c r="Q3" s="3">
        <f>IF($L3="","",L3*1%)</f>
      </c>
      <c r="R3" s="3"/>
      <c r="S3" s="3">
        <f>IF($L3="","",R3*20%)</f>
      </c>
      <c r="T3" s="3">
        <v>1</v>
      </c>
      <c r="U3" s="3">
        <f>IF($L3="","",M3-N3-O3-P3-Q3-R3-S3-T3)</f>
      </c>
      <c r="V3" s="3">
        <f>IF($L3="","",(U3-X3)/K3*100)</f>
      </c>
      <c r="W3" s="3">
        <f>IF($L3="","",N3-S3)</f>
      </c>
      <c r="Y3" s="3">
        <f>IF($L3="","",U3-X3)</f>
      </c>
    </row>
    <row r="4" spans="1:25" x14ac:dyDescent="0.25">
      <c r="A4" s="1"/>
      <c r="D4" s="2"/>
      <c r="K4" s="3"/>
      <c r="L4" s="3"/>
      <c r="M4" s="3">
        <f>IF($L4="","",L4-K4)</f>
      </c>
      <c r="N4" s="3">
        <f>IF($L4="","",M4*16.67%)</f>
      </c>
      <c r="O4" s="3">
        <f>IF($L4="","",L4/100*11)</f>
      </c>
      <c r="P4" s="3">
        <v>8.99</v>
      </c>
      <c r="Q4" s="3">
        <f>IF($L4="","",L4*1%)</f>
      </c>
      <c r="R4" s="3"/>
      <c r="S4" s="3">
        <f>IF($L4="","",R4*20%)</f>
      </c>
      <c r="T4" s="3">
        <v>1</v>
      </c>
      <c r="U4" s="3">
        <f>IF($L4="","",M4-N4-O4-P4-Q4-R4-S4-T4)</f>
      </c>
      <c r="V4" s="3">
        <f>IF($L4="","",(U4-X4)/K4*100)</f>
      </c>
      <c r="W4" s="3">
        <f>IF($L4="","",N4-S4)</f>
      </c>
      <c r="Y4" s="3">
        <f>IF($L4="","",U4-X4)</f>
      </c>
    </row>
    <row r="5" spans="1:25" x14ac:dyDescent="0.25">
      <c r="A5" s="1"/>
      <c r="D5" s="2"/>
      <c r="K5" s="3"/>
      <c r="L5" s="3"/>
      <c r="M5" s="3">
        <f>IF($L5="","",L5-K5)</f>
      </c>
      <c r="N5" s="3">
        <f>IF($L5="","",M5*16.67%)</f>
      </c>
      <c r="O5" s="3">
        <f>IF($L5="","",L5/100*11)</f>
      </c>
      <c r="P5" s="3">
        <v>8.99</v>
      </c>
      <c r="Q5" s="3">
        <f>IF($L5="","",L5*1%)</f>
      </c>
      <c r="R5" s="3"/>
      <c r="S5" s="3">
        <f>IF($L5="","",R5*20%)</f>
      </c>
      <c r="T5" s="3">
        <v>1</v>
      </c>
      <c r="U5" s="3">
        <f>IF($L5="","",M5-N5-O5-P5-Q5-R5-S5-T5)</f>
      </c>
      <c r="V5" s="3">
        <f>IF($L5="","",(U5-X5)/K5*100)</f>
      </c>
      <c r="W5" s="3">
        <f>IF($L5="","",N5-S5)</f>
      </c>
      <c r="Y5" s="3">
        <f>IF($L5="","",U5-X5)</f>
      </c>
    </row>
    <row r="6" spans="1:25" x14ac:dyDescent="0.25">
      <c r="A6" s="1"/>
      <c r="D6" s="2"/>
      <c r="K6" s="3"/>
      <c r="L6" s="3"/>
      <c r="M6" s="3">
        <f>IF($L6="","",L6-K6)</f>
      </c>
      <c r="N6" s="3">
        <f>IF($L6="","",M6*16.67%)</f>
      </c>
      <c r="O6" s="3">
        <f>IF($L6="","",L6/100*11)</f>
      </c>
      <c r="P6" s="3">
        <v>8.99</v>
      </c>
      <c r="Q6" s="3">
        <f>IF($L6="","",L6*1%)</f>
      </c>
      <c r="R6" s="3"/>
      <c r="S6" s="3">
        <f>IF($L6="","",R6*20%)</f>
      </c>
      <c r="T6" s="3">
        <v>1</v>
      </c>
      <c r="U6" s="3">
        <f>IF($L6="","",M6-N6-O6-P6-Q6-R6-S6-T6)</f>
      </c>
      <c r="V6" s="3">
        <f>IF($L6="","",(U6-X6)/K6*100)</f>
      </c>
      <c r="W6" s="3">
        <f>IF($L6="","",N6-S6)</f>
      </c>
      <c r="Y6" s="3">
        <f>IF($L6="","",U6-X6)</f>
      </c>
    </row>
    <row r="7" spans="1:25" x14ac:dyDescent="0.25">
      <c r="A7" s="1"/>
      <c r="D7" s="2"/>
      <c r="K7" s="3"/>
      <c r="L7" s="3"/>
      <c r="M7" s="3">
        <f>IF($L7="","",L7-K7)</f>
      </c>
      <c r="N7" s="3">
        <f>IF($L7="","",M7*16.67%)</f>
      </c>
      <c r="O7" s="3">
        <f>IF($L7="","",L7/100*11)</f>
      </c>
      <c r="P7" s="3">
        <v>8.99</v>
      </c>
      <c r="Q7" s="3">
        <f>IF($L7="","",L7*1%)</f>
      </c>
      <c r="R7" s="3"/>
      <c r="S7" s="3">
        <f>IF($L7="","",R7*20%)</f>
      </c>
      <c r="T7" s="3">
        <v>1</v>
      </c>
      <c r="U7" s="3">
        <f>IF($L7="","",M7-N7-O7-P7-Q7-R7-S7-T7)</f>
      </c>
      <c r="V7" s="3">
        <f>IF($L7="","",(U7-X7)/K7*100)</f>
      </c>
      <c r="W7" s="3">
        <f>IF($L7="","",N7-S7)</f>
      </c>
      <c r="Y7" s="3">
        <f>IF($L7="","",U7-X7)</f>
      </c>
    </row>
    <row r="8" spans="1:25" x14ac:dyDescent="0.25">
      <c r="A8" s="1"/>
      <c r="D8" s="2"/>
      <c r="K8" s="3"/>
      <c r="L8" s="3"/>
      <c r="M8" s="3">
        <f>IF($L8="","",L8-K8)</f>
      </c>
      <c r="N8" s="3">
        <f>IF($L8="","",M8*16.67%)</f>
      </c>
      <c r="O8" s="3">
        <f>IF($L8="","",L8/100*11)</f>
      </c>
      <c r="P8" s="3">
        <v>8.99</v>
      </c>
      <c r="Q8" s="3">
        <f>IF($L8="","",L8*1%)</f>
      </c>
      <c r="R8" s="3"/>
      <c r="S8" s="3">
        <f>IF($L8="","",R8*20%)</f>
      </c>
      <c r="T8" s="3">
        <v>1</v>
      </c>
      <c r="U8" s="3">
        <f>IF($L8="","",M8-N8-O8-P8-Q8-R8-S8-T8)</f>
      </c>
      <c r="V8" s="3">
        <f>IF($L8="","",(U8-X8)/K8*100)</f>
      </c>
      <c r="W8" s="3">
        <f>IF($L8="","",N8-S8)</f>
      </c>
      <c r="Y8" s="3">
        <f>IF($L8="","",U8-X8)</f>
      </c>
    </row>
    <row r="9" spans="1:25" x14ac:dyDescent="0.25">
      <c r="A9" s="1"/>
      <c r="D9" s="2"/>
      <c r="K9" s="3"/>
      <c r="L9" s="3"/>
      <c r="M9" s="3">
        <f>IF($L9="","",L9-K9)</f>
      </c>
      <c r="N9" s="3">
        <f>IF($L9="","",M9*16.67%)</f>
      </c>
      <c r="O9" s="3">
        <f>IF($L9="","",L9/100*11)</f>
      </c>
      <c r="P9" s="3">
        <v>8.99</v>
      </c>
      <c r="Q9" s="3">
        <f>IF($L9="","",L9*1%)</f>
      </c>
      <c r="R9" s="3"/>
      <c r="S9" s="3">
        <f>IF($L9="","",R9*20%)</f>
      </c>
      <c r="T9" s="3">
        <v>1</v>
      </c>
      <c r="U9" s="3">
        <f>IF($L9="","",M9-N9-O9-P9-Q9-R9-S9-T9)</f>
      </c>
      <c r="V9" s="3">
        <f>IF($L9="","",(U9-X9)/K9*100)</f>
      </c>
      <c r="W9" s="3">
        <f>IF($L9="","",N9-S9)</f>
      </c>
      <c r="Y9" s="3">
        <f>IF($L9="","",U9-X9)</f>
      </c>
    </row>
    <row r="10" spans="1:25" x14ac:dyDescent="0.25">
      <c r="A10" s="1"/>
      <c r="D10" s="2"/>
      <c r="K10" s="3"/>
      <c r="L10" s="3"/>
      <c r="M10" s="3">
        <f>IF($L10="","",L10-K10)</f>
      </c>
      <c r="N10" s="3">
        <f>IF($L10="","",M10*16.67%)</f>
      </c>
      <c r="O10" s="3">
        <f>IF($L10="","",L10/100*11)</f>
      </c>
      <c r="P10" s="3">
        <v>8.99</v>
      </c>
      <c r="Q10" s="3">
        <f>IF($L10="","",L10*1%)</f>
      </c>
      <c r="R10" s="3"/>
      <c r="S10" s="3">
        <f>IF($L10="","",R10*20%)</f>
      </c>
      <c r="T10" s="3">
        <v>1</v>
      </c>
      <c r="U10" s="3">
        <f>IF($L10="","",M10-N10-O10-P10-Q10-R10-S10-T10)</f>
      </c>
      <c r="V10" s="3">
        <f>IF($L10="","",(U10-X10)/K10*100)</f>
      </c>
      <c r="W10" s="3">
        <f>IF($L10="","",N10-S10)</f>
      </c>
      <c r="Y10" s="3">
        <f>IF($L10="","",U10-X10)</f>
      </c>
    </row>
    <row r="11" spans="1:25" x14ac:dyDescent="0.25">
      <c r="A11" s="1"/>
      <c r="D11" s="2"/>
      <c r="K11" s="3"/>
      <c r="L11" s="3"/>
      <c r="M11" s="3">
        <f>IF($L11="","",L11-K11)</f>
      </c>
      <c r="N11" s="3">
        <f>IF($L11="","",M11*16.67%)</f>
      </c>
      <c r="O11" s="3">
        <f>IF($L11="","",L11/100*11)</f>
      </c>
      <c r="P11" s="3">
        <v>8.99</v>
      </c>
      <c r="Q11" s="3">
        <f>IF($L11="","",L11*1%)</f>
      </c>
      <c r="R11" s="3"/>
      <c r="S11" s="3">
        <f>IF($L11="","",R11*20%)</f>
      </c>
      <c r="T11" s="3">
        <v>1</v>
      </c>
      <c r="U11" s="3">
        <f>IF($L11="","",M11-N11-O11-P11-Q11-R11-S11-T11)</f>
      </c>
      <c r="V11" s="3">
        <f>IF($L11="","",(U11-X11)/K11*100)</f>
      </c>
      <c r="W11" s="3">
        <f>IF($L11="","",N11-S11)</f>
      </c>
      <c r="Y11" s="3">
        <f>IF($L11="","",U11-X11)</f>
      </c>
    </row>
    <row r="12" spans="1:25" x14ac:dyDescent="0.25">
      <c r="A12" s="1"/>
      <c r="D12" s="2"/>
      <c r="K12" s="3"/>
      <c r="L12" s="3"/>
      <c r="M12" s="3">
        <f>IF($L12="","",L12-K12)</f>
      </c>
      <c r="N12" s="3">
        <f>IF($L12="","",M12*16.67%)</f>
      </c>
      <c r="O12" s="3">
        <f>IF($L12="","",L12/100*11)</f>
      </c>
      <c r="P12" s="3">
        <v>8.99</v>
      </c>
      <c r="Q12" s="3">
        <f>IF($L12="","",L12*1%)</f>
      </c>
      <c r="R12" s="3"/>
      <c r="S12" s="3">
        <f>IF($L12="","",R12*20%)</f>
      </c>
      <c r="T12" s="3">
        <v>1</v>
      </c>
      <c r="U12" s="3">
        <f>IF($L12="","",M12-N12-O12-P12-Q12-R12-S12-T12)</f>
      </c>
      <c r="V12" s="3">
        <f>IF($L12="","",(U12-X12)/K12*100)</f>
      </c>
      <c r="W12" s="3">
        <f>IF($L12="","",N12-S12)</f>
      </c>
      <c r="Y12" s="3">
        <f>IF($L12="","",U12-X12)</f>
      </c>
    </row>
    <row r="13" spans="1:25" x14ac:dyDescent="0.25">
      <c r="A13" s="1"/>
      <c r="D13" s="2"/>
      <c r="K13" s="3"/>
      <c r="L13" s="3"/>
      <c r="M13" s="3">
        <f>IF($L13="","",L13-K13)</f>
      </c>
      <c r="N13" s="3">
        <f>IF($L13="","",M13*16.67%)</f>
      </c>
      <c r="O13" s="3">
        <f>IF($L13="","",L13/100*11)</f>
      </c>
      <c r="P13" s="3">
        <v>8.99</v>
      </c>
      <c r="Q13" s="3">
        <f>IF($L13="","",L13*1%)</f>
      </c>
      <c r="R13" s="3"/>
      <c r="S13" s="3">
        <f>IF($L13="","",R13*20%)</f>
      </c>
      <c r="T13" s="3">
        <v>1</v>
      </c>
      <c r="U13" s="3">
        <f>IF($L13="","",M13-N13-O13-P13-Q13-R13-S13-T13)</f>
      </c>
      <c r="V13" s="3">
        <f>IF($L13="","",(U13-X13)/K13*100)</f>
      </c>
      <c r="W13" s="3">
        <f>IF($L13="","",N13-S13)</f>
      </c>
      <c r="Y13" s="3">
        <f>IF($L13="","",U13-X13)</f>
      </c>
    </row>
    <row r="14" spans="1:25" x14ac:dyDescent="0.25">
      <c r="A14" s="1"/>
      <c r="D14" s="2"/>
      <c r="K14" s="3"/>
      <c r="L14" s="3"/>
      <c r="M14" s="3">
        <f>IF($L14="","",L14-K14)</f>
      </c>
      <c r="N14" s="3">
        <f>IF($L14="","",M14*16.67%)</f>
      </c>
      <c r="O14" s="3">
        <f>IF($L14="","",L14/100*11)</f>
      </c>
      <c r="P14" s="3">
        <v>8.99</v>
      </c>
      <c r="Q14" s="3">
        <f>IF($L14="","",L14*1%)</f>
      </c>
      <c r="R14" s="3"/>
      <c r="S14" s="3">
        <f>IF($L14="","",R14*20%)</f>
      </c>
      <c r="T14" s="3">
        <v>1</v>
      </c>
      <c r="U14" s="3">
        <f>IF($L14="","",M14-N14-O14-P14-Q14-R14-S14-T14)</f>
      </c>
      <c r="V14" s="3">
        <f>IF($L14="","",(U14-X14)/K14*100)</f>
      </c>
      <c r="W14" s="3">
        <f>IF($L14="","",N14-S14)</f>
      </c>
      <c r="Y14" s="3">
        <f>IF($L14="","",U14-X14)</f>
      </c>
    </row>
    <row r="15" spans="1:25" x14ac:dyDescent="0.25">
      <c r="A15" s="1"/>
      <c r="D15" s="2"/>
      <c r="K15" s="3"/>
      <c r="L15" s="3"/>
      <c r="M15" s="3">
        <f>IF($L15="","",L15-K15)</f>
      </c>
      <c r="N15" s="3">
        <f>IF($L15="","",M15*16.67%)</f>
      </c>
      <c r="O15" s="3">
        <f>IF($L15="","",L15/100*11)</f>
      </c>
      <c r="P15" s="3">
        <v>8.99</v>
      </c>
      <c r="Q15" s="3">
        <f>IF($L15="","",L15*1%)</f>
      </c>
      <c r="R15" s="3"/>
      <c r="S15" s="3">
        <f>IF($L15="","",R15*20%)</f>
      </c>
      <c r="T15" s="3">
        <v>1</v>
      </c>
      <c r="U15" s="3">
        <f>IF($L15="","",M15-N15-O15-P15-Q15-R15-S15-T15)</f>
      </c>
      <c r="V15" s="3">
        <f>IF($L15="","",(U15-X15)/K15*100)</f>
      </c>
      <c r="W15" s="3">
        <f>IF($L15="","",N15-S15)</f>
      </c>
      <c r="Y15" s="3">
        <f>IF($L15="","",U15-X15)</f>
      </c>
    </row>
    <row r="16" spans="1:25" x14ac:dyDescent="0.25">
      <c r="A16" s="1"/>
      <c r="D16" s="2"/>
      <c r="K16" s="3"/>
      <c r="L16" s="3"/>
      <c r="M16" s="3">
        <f>IF($L16="","",L16-K16)</f>
      </c>
      <c r="N16" s="3">
        <f>IF($L16="","",M16*16.67%)</f>
      </c>
      <c r="O16" s="3">
        <f>IF($L16="","",L16/100*11)</f>
      </c>
      <c r="P16" s="3">
        <v>8.99</v>
      </c>
      <c r="Q16" s="3">
        <f>IF($L16="","",L16*1%)</f>
      </c>
      <c r="R16" s="3"/>
      <c r="S16" s="3">
        <f>IF($L16="","",R16*20%)</f>
      </c>
      <c r="T16" s="3">
        <v>1</v>
      </c>
      <c r="U16" s="3">
        <f>IF($L16="","",M16-N16-O16-P16-Q16-R16-S16-T16)</f>
      </c>
      <c r="V16" s="3">
        <f>IF($L16="","",(U16-X16)/K16*100)</f>
      </c>
      <c r="W16" s="3">
        <f>IF($L16="","",N16-S16)</f>
      </c>
      <c r="Y16" s="3">
        <f>IF($L16="","",U16-X16)</f>
      </c>
    </row>
    <row r="17" spans="1:25" x14ac:dyDescent="0.25">
      <c r="A17" s="1"/>
      <c r="D17" s="2"/>
      <c r="K17" s="3"/>
      <c r="L17" s="3"/>
      <c r="M17" s="3">
        <f>IF($L17="","",L17-K17)</f>
      </c>
      <c r="N17" s="3">
        <f>IF($L17="","",M17*16.67%)</f>
      </c>
      <c r="O17" s="3">
        <f>IF($L17="","",L17/100*11)</f>
      </c>
      <c r="P17" s="3">
        <v>8.99</v>
      </c>
      <c r="Q17" s="3">
        <f>IF($L17="","",L17*1%)</f>
      </c>
      <c r="R17" s="3"/>
      <c r="S17" s="3">
        <f>IF($L17="","",R17*20%)</f>
      </c>
      <c r="T17" s="3">
        <v>1</v>
      </c>
      <c r="U17" s="3">
        <f>IF($L17="","",M17-N17-O17-P17-Q17-R17-S17-T17)</f>
      </c>
      <c r="V17" s="3">
        <f>IF($L17="","",(U17-X17)/K17*100)</f>
      </c>
      <c r="W17" s="3">
        <f>IF($L17="","",N17-S17)</f>
      </c>
      <c r="Y17" s="3">
        <f>IF($L17="","",U17-X17)</f>
      </c>
    </row>
    <row r="18" spans="1:25" x14ac:dyDescent="0.25">
      <c r="A18" s="1"/>
      <c r="D18" s="2"/>
      <c r="K18" s="3"/>
      <c r="L18" s="3"/>
      <c r="M18" s="3">
        <f>IF($L18="","",L18-K18)</f>
      </c>
      <c r="N18" s="3">
        <f>IF($L18="","",M18*16.67%)</f>
      </c>
      <c r="O18" s="3">
        <f>IF($L18="","",L18/100*11)</f>
      </c>
      <c r="P18" s="3">
        <v>8.99</v>
      </c>
      <c r="Q18" s="3">
        <f>IF($L18="","",L18*1%)</f>
      </c>
      <c r="R18" s="3"/>
      <c r="S18" s="3">
        <f>IF($L18="","",R18*20%)</f>
      </c>
      <c r="T18" s="3">
        <v>1</v>
      </c>
      <c r="U18" s="3">
        <f>IF($L18="","",M18-N18-O18-P18-Q18-R18-S18-T18)</f>
      </c>
      <c r="V18" s="3">
        <f>IF($L18="","",(U18-X18)/K18*100)</f>
      </c>
      <c r="W18" s="3">
        <f>IF($L18="","",N18-S18)</f>
      </c>
      <c r="Y18" s="3">
        <f>IF($L18="","",U18-X18)</f>
      </c>
    </row>
    <row r="19" spans="1:25" x14ac:dyDescent="0.25">
      <c r="A19" s="1"/>
      <c r="D19" s="2"/>
      <c r="K19" s="3"/>
      <c r="L19" s="3"/>
      <c r="M19" s="3">
        <f>IF($L19="","",L19-K19)</f>
      </c>
      <c r="N19" s="3">
        <f>IF($L19="","",M19*16.67%)</f>
      </c>
      <c r="O19" s="3">
        <f>IF($L19="","",L19/100*11)</f>
      </c>
      <c r="P19" s="3">
        <v>8.99</v>
      </c>
      <c r="Q19" s="3">
        <f>IF($L19="","",L19*1%)</f>
      </c>
      <c r="R19" s="3"/>
      <c r="S19" s="3">
        <f>IF($L19="","",R19*20%)</f>
      </c>
      <c r="T19" s="3">
        <v>1</v>
      </c>
      <c r="U19" s="3">
        <f>IF($L19="","",M19-N19-O19-P19-Q19-R19-S19-T19)</f>
      </c>
      <c r="V19" s="3">
        <f>IF($L19="","",(U19-X19)/K19*100)</f>
      </c>
      <c r="W19" s="3">
        <f>IF($L19="","",N19-S19)</f>
      </c>
      <c r="Y19" s="3">
        <f>IF($L19="","",U19-X19)</f>
      </c>
    </row>
    <row r="20" spans="1:25" x14ac:dyDescent="0.25">
      <c r="A20" s="1"/>
      <c r="D20" s="2"/>
      <c r="K20" s="3"/>
      <c r="L20" s="3"/>
      <c r="M20" s="3">
        <f>IF($L20="","",L20-K20)</f>
      </c>
      <c r="N20" s="3">
        <f>IF($L20="","",M20*16.67%)</f>
      </c>
      <c r="O20" s="3">
        <f>IF($L20="","",L20/100*11)</f>
      </c>
      <c r="P20" s="3">
        <v>8.99</v>
      </c>
      <c r="Q20" s="3">
        <f>IF($L20="","",L20*1%)</f>
      </c>
      <c r="R20" s="3"/>
      <c r="S20" s="3">
        <f>IF($L20="","",R20*20%)</f>
      </c>
      <c r="T20" s="3">
        <v>1</v>
      </c>
      <c r="U20" s="3">
        <f>IF($L20="","",M20-N20-O20-P20-Q20-R20-S20-T20)</f>
      </c>
      <c r="V20" s="3">
        <f>IF($L20="","",(U20-X20)/K20*100)</f>
      </c>
      <c r="W20" s="3">
        <f>IF($L20="","",N20-S20)</f>
      </c>
      <c r="Y20" s="3">
        <f>IF($L20="","",U20-X20)</f>
      </c>
    </row>
    <row r="21" spans="1:25" x14ac:dyDescent="0.25">
      <c r="A21" s="1"/>
      <c r="D21" s="2"/>
      <c r="K21" s="3"/>
      <c r="L21" s="3"/>
      <c r="M21" s="3">
        <f>IF($L21="","",L21-K21)</f>
      </c>
      <c r="N21" s="3">
        <f>IF($L21="","",M21*16.67%)</f>
      </c>
      <c r="O21" s="3">
        <f>IF($L21="","",L21/100*11)</f>
      </c>
      <c r="P21" s="3">
        <v>8.99</v>
      </c>
      <c r="Q21" s="3">
        <f>IF($L21="","",L21*1%)</f>
      </c>
      <c r="R21" s="3"/>
      <c r="S21" s="3">
        <f>IF($L21="","",R21*20%)</f>
      </c>
      <c r="T21" s="3">
        <v>1</v>
      </c>
      <c r="U21" s="3">
        <f>IF($L21="","",M21-N21-O21-P21-Q21-R21-S21-T21)</f>
      </c>
      <c r="V21" s="3">
        <f>IF($L21="","",(U21-X21)/K21*100)</f>
      </c>
      <c r="W21" s="3">
        <f>IF($L21="","",N21-S21)</f>
      </c>
      <c r="Y21" s="3">
        <f>IF($L21="","",U21-X21)</f>
      </c>
    </row>
    <row r="22" spans="1:25" x14ac:dyDescent="0.25">
      <c r="A22" s="1"/>
      <c r="D22" s="2"/>
      <c r="K22" s="3"/>
      <c r="L22" s="3"/>
      <c r="M22" s="3">
        <f>IF($L22="","",L22-K22)</f>
      </c>
      <c r="N22" s="3">
        <f>IF($L22="","",M22*16.67%)</f>
      </c>
      <c r="O22" s="3">
        <f>IF($L22="","",L22/100*11)</f>
      </c>
      <c r="P22" s="3">
        <v>8.99</v>
      </c>
      <c r="Q22" s="3">
        <f>IF($L22="","",L22*1%)</f>
      </c>
      <c r="R22" s="3"/>
      <c r="S22" s="3">
        <f>IF($L22="","",R22*20%)</f>
      </c>
      <c r="T22" s="3">
        <v>1</v>
      </c>
      <c r="U22" s="3">
        <f>IF($L22="","",M22-N22-O22-P22-Q22-R22-S22-T22)</f>
      </c>
      <c r="V22" s="3">
        <f>IF($L22="","",(U22-X22)/K22*100)</f>
      </c>
      <c r="W22" s="3">
        <f>IF($L22="","",N22-S22)</f>
      </c>
      <c r="Y22" s="3">
        <f>IF($L22="","",U22-X22)</f>
      </c>
    </row>
    <row r="23" spans="1:25" x14ac:dyDescent="0.25">
      <c r="A23" s="1"/>
      <c r="D23" s="2"/>
      <c r="K23" s="3"/>
      <c r="L23" s="3"/>
      <c r="M23" s="3">
        <f>IF($L23="","",L23-K23)</f>
      </c>
      <c r="N23" s="3">
        <f>IF($L23="","",M23*16.67%)</f>
      </c>
      <c r="O23" s="3">
        <f>IF($L23="","",L23/100*11)</f>
      </c>
      <c r="P23" s="3">
        <v>8.99</v>
      </c>
      <c r="Q23" s="3">
        <f>IF($L23="","",L23*1%)</f>
      </c>
      <c r="R23" s="3"/>
      <c r="S23" s="3">
        <f>IF($L23="","",R23*20%)</f>
      </c>
      <c r="T23" s="3">
        <v>1</v>
      </c>
      <c r="U23" s="3">
        <f>IF($L23="","",M23-N23-O23-P23-Q23-R23-S23-T23)</f>
      </c>
      <c r="V23" s="3">
        <f>IF($L23="","",(U23-X23)/K23*100)</f>
      </c>
      <c r="W23" s="3">
        <f>IF($L23="","",N23-S23)</f>
      </c>
      <c r="Y23" s="3">
        <f>IF($L23="","",U23-X23)</f>
      </c>
    </row>
    <row r="24" spans="1:25" x14ac:dyDescent="0.25">
      <c r="A24" s="1"/>
      <c r="D24" s="2"/>
      <c r="K24" s="3"/>
      <c r="L24" s="3"/>
      <c r="M24" s="3">
        <f>IF($L24="","",L24-K24)</f>
      </c>
      <c r="N24" s="3">
        <f>IF($L24="","",M24*16.67%)</f>
      </c>
      <c r="O24" s="3">
        <f>IF($L24="","",L24/100*11)</f>
      </c>
      <c r="P24" s="3">
        <v>8.99</v>
      </c>
      <c r="Q24" s="3">
        <f>IF($L24="","",L24*1%)</f>
      </c>
      <c r="R24" s="3"/>
      <c r="S24" s="3">
        <f>IF($L24="","",R24*20%)</f>
      </c>
      <c r="T24" s="3">
        <v>1</v>
      </c>
      <c r="U24" s="3">
        <f>IF($L24="","",M24-N24-O24-P24-Q24-R24-S24-T24)</f>
      </c>
      <c r="V24" s="3">
        <f>IF($L24="","",(U24-X24)/K24*100)</f>
      </c>
      <c r="W24" s="3">
        <f>IF($L24="","",N24-S24)</f>
      </c>
      <c r="Y24" s="3">
        <f>IF($L24="","",U24-X24)</f>
      </c>
    </row>
    <row r="25" spans="1:25" x14ac:dyDescent="0.25">
      <c r="A25" s="1"/>
      <c r="D25" s="2"/>
      <c r="K25" s="3"/>
      <c r="L25" s="3"/>
      <c r="M25" s="3">
        <f>IF($L25="","",L25-K25)</f>
      </c>
      <c r="N25" s="3">
        <f>IF($L25="","",M25*16.67%)</f>
      </c>
      <c r="O25" s="3">
        <f>IF($L25="","",L25/100*11)</f>
      </c>
      <c r="P25" s="3">
        <v>8.99</v>
      </c>
      <c r="Q25" s="3">
        <f>IF($L25="","",L25*1%)</f>
      </c>
      <c r="R25" s="3"/>
      <c r="S25" s="3">
        <f>IF($L25="","",R25*20%)</f>
      </c>
      <c r="T25" s="3">
        <v>1</v>
      </c>
      <c r="U25" s="3">
        <f>IF($L25="","",M25-N25-O25-P25-Q25-R25-S25-T25)</f>
      </c>
      <c r="V25" s="3">
        <f>IF($L25="","",(U25-X25)/K25*100)</f>
      </c>
      <c r="W25" s="3">
        <f>IF($L25="","",N25-S25)</f>
      </c>
      <c r="Y25" s="3">
        <f>IF($L25="","",U25-X25)</f>
      </c>
    </row>
    <row r="26" spans="1:25" x14ac:dyDescent="0.25">
      <c r="A26" s="1"/>
      <c r="D26" s="2"/>
      <c r="K26" s="3"/>
      <c r="L26" s="3"/>
      <c r="M26" s="3">
        <f>IF($L26="","",L26-K26)</f>
      </c>
      <c r="N26" s="3">
        <f>IF($L26="","",M26*16.67%)</f>
      </c>
      <c r="O26" s="3">
        <f>IF($L26="","",L26/100*11)</f>
      </c>
      <c r="P26" s="3">
        <v>8.99</v>
      </c>
      <c r="Q26" s="3">
        <f>IF($L26="","",L26*1%)</f>
      </c>
      <c r="R26" s="3"/>
      <c r="S26" s="3">
        <f>IF($L26="","",R26*20%)</f>
      </c>
      <c r="T26" s="3">
        <v>1</v>
      </c>
      <c r="U26" s="3">
        <f>IF($L26="","",M26-N26-O26-P26-Q26-R26-S26-T26)</f>
      </c>
      <c r="V26" s="3">
        <f>IF($L26="","",(U26-X26)/K26*100)</f>
      </c>
      <c r="W26" s="3">
        <f>IF($L26="","",N26-S26)</f>
      </c>
      <c r="Y26" s="3">
        <f>IF($L26="","",U26-X26)</f>
      </c>
    </row>
    <row r="27" spans="1:25" x14ac:dyDescent="0.25">
      <c r="A27" s="1"/>
      <c r="D27" s="2"/>
      <c r="K27" s="3"/>
      <c r="L27" s="3"/>
      <c r="M27" s="3">
        <f>IF($L27="","",L27-K27)</f>
      </c>
      <c r="N27" s="3">
        <f>IF($L27="","",M27*16.67%)</f>
      </c>
      <c r="O27" s="3">
        <f>IF($L27="","",L27/100*11)</f>
      </c>
      <c r="P27" s="3">
        <v>8.99</v>
      </c>
      <c r="Q27" s="3">
        <f>IF($L27="","",L27*1%)</f>
      </c>
      <c r="R27" s="3"/>
      <c r="S27" s="3">
        <f>IF($L27="","",R27*20%)</f>
      </c>
      <c r="T27" s="3">
        <v>1</v>
      </c>
      <c r="U27" s="3">
        <f>IF($L27="","",M27-N27-O27-P27-Q27-R27-S27-T27)</f>
      </c>
      <c r="V27" s="3">
        <f>IF($L27="","",(U27-X27)/K27*100)</f>
      </c>
      <c r="W27" s="3">
        <f>IF($L27="","",N27-S27)</f>
      </c>
      <c r="Y27" s="3">
        <f>IF($L27="","",U27-X27)</f>
      </c>
    </row>
    <row r="28" spans="1:25" x14ac:dyDescent="0.25">
      <c r="A28" s="1"/>
      <c r="D28" s="2"/>
      <c r="K28" s="3"/>
      <c r="L28" s="3"/>
      <c r="M28" s="3">
        <f>IF($L28="","",L28-K28)</f>
      </c>
      <c r="N28" s="3">
        <f>IF($L28="","",M28*16.67%)</f>
      </c>
      <c r="O28" s="3">
        <f>IF($L28="","",L28/100*11)</f>
      </c>
      <c r="P28" s="3">
        <v>8.99</v>
      </c>
      <c r="Q28" s="3">
        <f>IF($L28="","",L28*1%)</f>
      </c>
      <c r="R28" s="3"/>
      <c r="S28" s="3">
        <f>IF($L28="","",R28*20%)</f>
      </c>
      <c r="T28" s="3">
        <v>1</v>
      </c>
      <c r="U28" s="3">
        <f>IF($L28="","",M28-N28-O28-P28-Q28-R28-S28-T28)</f>
      </c>
      <c r="V28" s="3">
        <f>IF($L28="","",(U28-X28)/K28*100)</f>
      </c>
      <c r="W28" s="3">
        <f>IF($L28="","",N28-S28)</f>
      </c>
      <c r="Y28" s="3">
        <f>IF($L28="","",U28-X28)</f>
      </c>
    </row>
    <row r="29" spans="1:25" x14ac:dyDescent="0.25">
      <c r="A29" s="1"/>
      <c r="D29" s="2"/>
      <c r="K29" s="3"/>
      <c r="L29" s="3"/>
      <c r="M29" s="3">
        <f>IF($L29="","",L29-K29)</f>
      </c>
      <c r="N29" s="3">
        <f>IF($L29="","",M29*16.67%)</f>
      </c>
      <c r="O29" s="3">
        <f>IF($L29="","",L29/100*11)</f>
      </c>
      <c r="P29" s="3">
        <v>8.99</v>
      </c>
      <c r="Q29" s="3">
        <f>IF($L29="","",L29*1%)</f>
      </c>
      <c r="R29" s="3"/>
      <c r="S29" s="3">
        <f>IF($L29="","",R29*20%)</f>
      </c>
      <c r="T29" s="3">
        <v>1</v>
      </c>
      <c r="U29" s="3">
        <f>IF($L29="","",M29-N29-O29-P29-Q29-R29-S29-T29)</f>
      </c>
      <c r="V29" s="3">
        <f>IF($L29="","",(U29-X29)/K29*100)</f>
      </c>
      <c r="W29" s="3">
        <f>IF($L29="","",N29-S29)</f>
      </c>
      <c r="Y29" s="3">
        <f>IF($L29="","",U29-X29)</f>
      </c>
    </row>
    <row r="30" spans="1:25" x14ac:dyDescent="0.25">
      <c r="A30" s="1"/>
      <c r="D30" s="2"/>
      <c r="K30" s="3"/>
      <c r="L30" s="3"/>
      <c r="M30" s="3">
        <f>IF($L30="","",L30-K30)</f>
      </c>
      <c r="N30" s="3">
        <f>IF($L30="","",M30*16.67%)</f>
      </c>
      <c r="O30" s="3">
        <f>IF($L30="","",L30/100*11)</f>
      </c>
      <c r="P30" s="3">
        <v>8.99</v>
      </c>
      <c r="Q30" s="3">
        <f>IF($L30="","",L30*1%)</f>
      </c>
      <c r="R30" s="3"/>
      <c r="S30" s="3">
        <f>IF($L30="","",R30*20%)</f>
      </c>
      <c r="T30" s="3">
        <v>1</v>
      </c>
      <c r="U30" s="3">
        <f>IF($L30="","",M30-N30-O30-P30-Q30-R30-S30-T30)</f>
      </c>
      <c r="V30" s="3">
        <f>IF($L30="","",(U30-X30)/K30*100)</f>
      </c>
      <c r="W30" s="3">
        <f>IF($L30="","",N30-S30)</f>
      </c>
      <c r="Y30" s="3">
        <f>IF($L30="","",U30-X30)</f>
      </c>
    </row>
    <row r="31" spans="1:25" x14ac:dyDescent="0.25">
      <c r="A31" s="1"/>
      <c r="D31" s="2"/>
      <c r="K31" s="3"/>
      <c r="L31" s="3"/>
      <c r="M31" s="3">
        <f>IF($L31="","",L31-K31)</f>
      </c>
      <c r="N31" s="3">
        <f>IF($L31="","",M31*16.67%)</f>
      </c>
      <c r="O31" s="3">
        <f>IF($L31="","",L31/100*11)</f>
      </c>
      <c r="P31" s="3">
        <v>8.99</v>
      </c>
      <c r="Q31" s="3">
        <f>IF($L31="","",L31*1%)</f>
      </c>
      <c r="R31" s="3"/>
      <c r="S31" s="3">
        <f>IF($L31="","",R31*20%)</f>
      </c>
      <c r="T31" s="3">
        <v>1</v>
      </c>
      <c r="U31" s="3">
        <f>IF($L31="","",M31-N31-O31-P31-Q31-R31-S31-T31)</f>
      </c>
      <c r="V31" s="3">
        <f>IF($L31="","",(U31-X31)/K31*100)</f>
      </c>
      <c r="W31" s="3">
        <f>IF($L31="","",N31-S31)</f>
      </c>
      <c r="Y31" s="3">
        <f>IF($L31="","",U31-X31)</f>
      </c>
    </row>
    <row r="32" spans="1:25" x14ac:dyDescent="0.25">
      <c r="A32" s="1"/>
      <c r="D32" s="2"/>
      <c r="K32" s="3"/>
      <c r="L32" s="3"/>
      <c r="M32" s="3">
        <f>IF($L32="","",L32-K32)</f>
      </c>
      <c r="N32" s="3">
        <f>IF($L32="","",M32*16.67%)</f>
      </c>
      <c r="O32" s="3">
        <f>IF($L32="","",L32/100*11)</f>
      </c>
      <c r="P32" s="3">
        <v>8.99</v>
      </c>
      <c r="Q32" s="3">
        <f>IF($L32="","",L32*1%)</f>
      </c>
      <c r="R32" s="3"/>
      <c r="S32" s="3">
        <f>IF($L32="","",R32*20%)</f>
      </c>
      <c r="T32" s="3">
        <v>1</v>
      </c>
      <c r="U32" s="3">
        <f>IF($L32="","",M32-N32-O32-P32-Q32-R32-S32-T32)</f>
      </c>
      <c r="V32" s="3">
        <f>IF($L32="","",(U32-X32)/K32*100)</f>
      </c>
      <c r="W32" s="3">
        <f>IF($L32="","",N32-S32)</f>
      </c>
      <c r="Y32" s="3">
        <f>IF($L32="","",U32-X32)</f>
      </c>
    </row>
    <row r="33" spans="1:25" x14ac:dyDescent="0.25">
      <c r="A33" s="1"/>
      <c r="D33" s="2"/>
      <c r="K33" s="3"/>
      <c r="L33" s="3"/>
      <c r="M33" s="3">
        <f>IF($L33="","",L33-K33)</f>
      </c>
      <c r="N33" s="3">
        <f>IF($L33="","",M33*16.67%)</f>
      </c>
      <c r="O33" s="3">
        <f>IF($L33="","",L33/100*11)</f>
      </c>
      <c r="P33" s="3">
        <v>8.99</v>
      </c>
      <c r="Q33" s="3">
        <f>IF($L33="","",L33*1%)</f>
      </c>
      <c r="R33" s="3"/>
      <c r="S33" s="3">
        <f>IF($L33="","",R33*20%)</f>
      </c>
      <c r="T33" s="3">
        <v>1</v>
      </c>
      <c r="U33" s="3">
        <f>IF($L33="","",M33-N33-O33-P33-Q33-R33-S33-T33)</f>
      </c>
      <c r="V33" s="3">
        <f>IF($L33="","",(U33-X33)/K33*100)</f>
      </c>
      <c r="W33" s="3">
        <f>IF($L33="","",N33-S33)</f>
      </c>
      <c r="Y33" s="3">
        <f>IF($L33="","",U33-X33)</f>
      </c>
    </row>
    <row r="34" spans="1:25" x14ac:dyDescent="0.25">
      <c r="A34" s="1"/>
      <c r="D34" s="2"/>
      <c r="K34" s="3"/>
      <c r="L34" s="3"/>
      <c r="M34" s="3">
        <f>IF($L34="","",L34-K34)</f>
      </c>
      <c r="N34" s="3">
        <f>IF($L34="","",M34*16.67%)</f>
      </c>
      <c r="O34" s="3">
        <f>IF($L34="","",L34/100*11)</f>
      </c>
      <c r="P34" s="3">
        <v>8.99</v>
      </c>
      <c r="Q34" s="3">
        <f>IF($L34="","",L34*1%)</f>
      </c>
      <c r="R34" s="3"/>
      <c r="S34" s="3">
        <f>IF($L34="","",R34*20%)</f>
      </c>
      <c r="T34" s="3">
        <v>1</v>
      </c>
      <c r="U34" s="3">
        <f>IF($L34="","",M34-N34-O34-P34-Q34-R34-S34-T34)</f>
      </c>
      <c r="V34" s="3">
        <f>IF($L34="","",(U34-X34)/K34*100)</f>
      </c>
      <c r="W34" s="3">
        <f>IF($L34="","",N34-S34)</f>
      </c>
      <c r="Y34" s="3">
        <f>IF($L34="","",U34-X34)</f>
      </c>
    </row>
    <row r="35" spans="1:25" x14ac:dyDescent="0.25">
      <c r="A35" s="1"/>
      <c r="D35" s="2"/>
      <c r="K35" s="3"/>
      <c r="L35" s="3"/>
      <c r="M35" s="3">
        <f>IF($L35="","",L35-K35)</f>
      </c>
      <c r="N35" s="3">
        <f>IF($L35="","",M35*16.67%)</f>
      </c>
      <c r="O35" s="3">
        <f>IF($L35="","",L35/100*11)</f>
      </c>
      <c r="P35" s="3">
        <v>8.99</v>
      </c>
      <c r="Q35" s="3">
        <f>IF($L35="","",L35*1%)</f>
      </c>
      <c r="R35" s="3"/>
      <c r="S35" s="3">
        <f>IF($L35="","",R35*20%)</f>
      </c>
      <c r="T35" s="3">
        <v>1</v>
      </c>
      <c r="U35" s="3">
        <f>IF($L35="","",M35-N35-O35-P35-Q35-R35-S35-T35)</f>
      </c>
      <c r="V35" s="3">
        <f>IF($L35="","",(U35-X35)/K35*100)</f>
      </c>
      <c r="W35" s="3">
        <f>IF($L35="","",N35-S35)</f>
      </c>
      <c r="Y35" s="3">
        <f>IF($L35="","",U35-X35)</f>
      </c>
    </row>
    <row r="36" spans="1:25" x14ac:dyDescent="0.25">
      <c r="A36" s="1"/>
      <c r="D36" s="2"/>
      <c r="K36" s="3"/>
      <c r="L36" s="3"/>
      <c r="M36" s="3">
        <f>IF($L36="","",L36-K36)</f>
      </c>
      <c r="N36" s="3">
        <f>IF($L36="","",M36*16.67%)</f>
      </c>
      <c r="O36" s="3">
        <f>IF($L36="","",L36/100*11)</f>
      </c>
      <c r="P36" s="3">
        <v>8.99</v>
      </c>
      <c r="Q36" s="3">
        <f>IF($L36="","",L36*1%)</f>
      </c>
      <c r="R36" s="3"/>
      <c r="S36" s="3">
        <f>IF($L36="","",R36*20%)</f>
      </c>
      <c r="T36" s="3">
        <v>1</v>
      </c>
      <c r="U36" s="3">
        <f>IF($L36="","",M36-N36-O36-P36-Q36-R36-S36-T36)</f>
      </c>
      <c r="V36" s="3">
        <f>IF($L36="","",(U36-X36)/K36*100)</f>
      </c>
      <c r="W36" s="3">
        <f>IF($L36="","",N36-S36)</f>
      </c>
      <c r="Y36" s="3">
        <f>IF($L36="","",U36-X36)</f>
      </c>
    </row>
    <row r="37" spans="1:25" x14ac:dyDescent="0.25">
      <c r="A37" s="1"/>
      <c r="D37" s="2"/>
      <c r="K37" s="3"/>
      <c r="L37" s="3"/>
      <c r="M37" s="3">
        <f>IF($L37="","",L37-K37)</f>
      </c>
      <c r="N37" s="3">
        <f>IF($L37="","",M37*16.67%)</f>
      </c>
      <c r="O37" s="3">
        <f>IF($L37="","",L37/100*11)</f>
      </c>
      <c r="P37" s="3">
        <v>8.99</v>
      </c>
      <c r="Q37" s="3">
        <f>IF($L37="","",L37*1%)</f>
      </c>
      <c r="R37" s="3"/>
      <c r="S37" s="3">
        <f>IF($L37="","",R37*20%)</f>
      </c>
      <c r="T37" s="3">
        <v>1</v>
      </c>
      <c r="U37" s="3">
        <f>IF($L37="","",M37-N37-O37-P37-Q37-R37-S37-T37)</f>
      </c>
      <c r="V37" s="3">
        <f>IF($L37="","",(U37-X37)/K37*100)</f>
      </c>
      <c r="W37" s="3">
        <f>IF($L37="","",N37-S37)</f>
      </c>
      <c r="Y37" s="3">
        <f>IF($L37="","",U37-X37)</f>
      </c>
    </row>
    <row r="38" spans="1:25" x14ac:dyDescent="0.25">
      <c r="A38" s="1"/>
      <c r="D38" s="2"/>
      <c r="K38" s="3"/>
      <c r="L38" s="3"/>
      <c r="M38" s="3">
        <f>IF($L38="","",L38-K38)</f>
      </c>
      <c r="N38" s="3">
        <f>IF($L38="","",M38*16.67%)</f>
      </c>
      <c r="O38" s="3">
        <f>IF($L38="","",L38/100*11)</f>
      </c>
      <c r="P38" s="3">
        <v>8.99</v>
      </c>
      <c r="Q38" s="3">
        <f>IF($L38="","",L38*1%)</f>
      </c>
      <c r="R38" s="3"/>
      <c r="S38" s="3">
        <f>IF($L38="","",R38*20%)</f>
      </c>
      <c r="T38" s="3">
        <v>1</v>
      </c>
      <c r="U38" s="3">
        <f>IF($L38="","",M38-N38-O38-P38-Q38-R38-S38-T38)</f>
      </c>
      <c r="V38" s="3">
        <f>IF($L38="","",(U38-X38)/K38*100)</f>
      </c>
      <c r="W38" s="3">
        <f>IF($L38="","",N38-S38)</f>
      </c>
      <c r="Y38" s="3">
        <f>IF($L38="","",U38-X38)</f>
      </c>
    </row>
    <row r="39" spans="1:25" x14ac:dyDescent="0.25">
      <c r="A39" s="1"/>
      <c r="D39" s="2"/>
      <c r="K39" s="3"/>
      <c r="L39" s="3"/>
      <c r="M39" s="3">
        <f>IF($L39="","",L39-K39)</f>
      </c>
      <c r="N39" s="3">
        <f>IF($L39="","",M39*16.67%)</f>
      </c>
      <c r="O39" s="3">
        <f>IF($L39="","",L39/100*11)</f>
      </c>
      <c r="P39" s="3">
        <v>8.99</v>
      </c>
      <c r="Q39" s="3">
        <f>IF($L39="","",L39*1%)</f>
      </c>
      <c r="R39" s="3"/>
      <c r="S39" s="3">
        <f>IF($L39="","",R39*20%)</f>
      </c>
      <c r="T39" s="3">
        <v>1</v>
      </c>
      <c r="U39" s="3">
        <f>IF($L39="","",M39-N39-O39-P39-Q39-R39-S39-T39)</f>
      </c>
      <c r="V39" s="3">
        <f>IF($L39="","",(U39-X39)/K39*100)</f>
      </c>
      <c r="W39" s="3">
        <f>IF($L39="","",N39-S39)</f>
      </c>
      <c r="Y39" s="3">
        <f>IF($L39="","",U39-X39)</f>
      </c>
    </row>
    <row r="40" spans="1:25" x14ac:dyDescent="0.25">
      <c r="A40" s="1"/>
      <c r="D40" s="2"/>
      <c r="K40" s="3"/>
      <c r="L40" s="3"/>
      <c r="M40" s="3">
        <f>IF($L40="","",L40-K40)</f>
      </c>
      <c r="N40" s="3">
        <f>IF($L40="","",M40*16.67%)</f>
      </c>
      <c r="O40" s="3">
        <f>IF($L40="","",L40/100*11)</f>
      </c>
      <c r="P40" s="3">
        <v>8.99</v>
      </c>
      <c r="Q40" s="3">
        <f>IF($L40="","",L40*1%)</f>
      </c>
      <c r="R40" s="3"/>
      <c r="S40" s="3">
        <f>IF($L40="","",R40*20%)</f>
      </c>
      <c r="T40" s="3">
        <v>1</v>
      </c>
      <c r="U40" s="3">
        <f>IF($L40="","",M40-N40-O40-P40-Q40-R40-S40-T40)</f>
      </c>
      <c r="V40" s="3">
        <f>IF($L40="","",(U40-X40)/K40*100)</f>
      </c>
      <c r="W40" s="3">
        <f>IF($L40="","",N40-S40)</f>
      </c>
      <c r="Y40" s="3">
        <f>IF($L40="","",U40-X40)</f>
      </c>
    </row>
    <row r="41" spans="1:25" x14ac:dyDescent="0.25">
      <c r="A41" s="1"/>
      <c r="D41" s="2"/>
      <c r="K41" s="3"/>
      <c r="L41" s="3"/>
      <c r="M41" s="3">
        <f>IF($L41="","",L41-K41)</f>
      </c>
      <c r="N41" s="3">
        <f>IF($L41="","",M41*16.67%)</f>
      </c>
      <c r="O41" s="3">
        <f>IF($L41="","",L41/100*11)</f>
      </c>
      <c r="P41" s="3">
        <v>8.99</v>
      </c>
      <c r="Q41" s="3">
        <f>IF($L41="","",L41*1%)</f>
      </c>
      <c r="R41" s="3"/>
      <c r="S41" s="3">
        <f>IF($L41="","",R41*20%)</f>
      </c>
      <c r="T41" s="3">
        <v>1</v>
      </c>
      <c r="U41" s="3">
        <f>IF($L41="","",M41-N41-O41-P41-Q41-R41-S41-T41)</f>
      </c>
      <c r="V41" s="3">
        <f>IF($L41="","",(U41-X41)/K41*100)</f>
      </c>
      <c r="W41" s="3">
        <f>IF($L41="","",N41-S41)</f>
      </c>
      <c r="Y41" s="3">
        <f>IF($L41="","",U41-X41)</f>
      </c>
    </row>
    <row r="42" spans="1:25" x14ac:dyDescent="0.25">
      <c r="A42" s="1"/>
      <c r="D42" s="2"/>
      <c r="K42" s="3"/>
      <c r="L42" s="3"/>
      <c r="M42" s="3">
        <f>IF($L42="","",L42-K42)</f>
      </c>
      <c r="N42" s="3">
        <f>IF($L42="","",M42*16.67%)</f>
      </c>
      <c r="O42" s="3">
        <f>IF($L42="","",L42/100*11)</f>
      </c>
      <c r="P42" s="3">
        <v>8.99</v>
      </c>
      <c r="Q42" s="3">
        <f>IF($L42="","",L42*1%)</f>
      </c>
      <c r="R42" s="3"/>
      <c r="S42" s="3">
        <f>IF($L42="","",R42*20%)</f>
      </c>
      <c r="T42" s="3">
        <v>1</v>
      </c>
      <c r="U42" s="3">
        <f>IF($L42="","",M42-N42-O42-P42-Q42-R42-S42-T42)</f>
      </c>
      <c r="V42" s="3">
        <f>IF($L42="","",(U42-X42)/K42*100)</f>
      </c>
      <c r="W42" s="3">
        <f>IF($L42="","",N42-S42)</f>
      </c>
      <c r="Y42" s="3">
        <f>IF($L42="","",U42-X42)</f>
      </c>
    </row>
    <row r="43" spans="1:25" x14ac:dyDescent="0.25">
      <c r="A43" s="1"/>
      <c r="D43" s="2"/>
      <c r="K43" s="3"/>
      <c r="L43" s="3"/>
      <c r="M43" s="3">
        <f>IF($L43="","",L43-K43)</f>
      </c>
      <c r="N43" s="3">
        <f>IF($L43="","",M43*16.67%)</f>
      </c>
      <c r="O43" s="3">
        <f>IF($L43="","",L43/100*11)</f>
      </c>
      <c r="P43" s="3">
        <v>8.99</v>
      </c>
      <c r="Q43" s="3">
        <f>IF($L43="","",L43*1%)</f>
      </c>
      <c r="R43" s="3"/>
      <c r="S43" s="3">
        <f>IF($L43="","",R43*20%)</f>
      </c>
      <c r="T43" s="3">
        <v>1</v>
      </c>
      <c r="U43" s="3">
        <f>IF($L43="","",M43-N43-O43-P43-Q43-R43-S43-T43)</f>
      </c>
      <c r="V43" s="3">
        <f>IF($L43="","",(U43-X43)/K43*100)</f>
      </c>
      <c r="W43" s="3">
        <f>IF($L43="","",N43-S43)</f>
      </c>
      <c r="Y43" s="3">
        <f>IF($L43="","",U43-X43)</f>
      </c>
    </row>
    <row r="44" spans="1:25" x14ac:dyDescent="0.25">
      <c r="A44" s="1"/>
      <c r="D44" s="2"/>
      <c r="K44" s="3"/>
      <c r="L44" s="3"/>
      <c r="M44" s="3">
        <f>IF($L44="","",L44-K44)</f>
      </c>
      <c r="N44" s="3">
        <f>IF($L44="","",M44*16.67%)</f>
      </c>
      <c r="O44" s="3">
        <f>IF($L44="","",L44/100*11)</f>
      </c>
      <c r="P44" s="3">
        <v>8.99</v>
      </c>
      <c r="Q44" s="3">
        <f>IF($L44="","",L44*1%)</f>
      </c>
      <c r="R44" s="3"/>
      <c r="S44" s="3">
        <f>IF($L44="","",R44*20%)</f>
      </c>
      <c r="T44" s="3">
        <v>1</v>
      </c>
      <c r="U44" s="3">
        <f>IF($L44="","",M44-N44-O44-P44-Q44-R44-S44-T44)</f>
      </c>
      <c r="V44" s="3">
        <f>IF($L44="","",(U44-X44)/K44*100)</f>
      </c>
      <c r="W44" s="3">
        <f>IF($L44="","",N44-S44)</f>
      </c>
      <c r="Y44" s="3">
        <f>IF($L44="","",U44-X44)</f>
      </c>
    </row>
    <row r="45" spans="1:25" x14ac:dyDescent="0.25">
      <c r="A45" s="1"/>
      <c r="D45" s="2"/>
      <c r="K45" s="3"/>
      <c r="L45" s="3"/>
      <c r="M45" s="3">
        <f>IF($L45="","",L45-K45)</f>
      </c>
      <c r="N45" s="3">
        <f>IF($L45="","",M45*16.67%)</f>
      </c>
      <c r="O45" s="3">
        <f>IF($L45="","",L45/100*11)</f>
      </c>
      <c r="P45" s="3">
        <v>8.99</v>
      </c>
      <c r="Q45" s="3">
        <f>IF($L45="","",L45*1%)</f>
      </c>
      <c r="R45" s="3"/>
      <c r="S45" s="3">
        <f>IF($L45="","",R45*20%)</f>
      </c>
      <c r="T45" s="3">
        <v>1</v>
      </c>
      <c r="U45" s="3">
        <f>IF($L45="","",M45-N45-O45-P45-Q45-R45-S45-T45)</f>
      </c>
      <c r="V45" s="3">
        <f>IF($L45="","",(U45-X45)/K45*100)</f>
      </c>
      <c r="W45" s="3">
        <f>IF($L45="","",N45-S45)</f>
      </c>
      <c r="Y45" s="3">
        <f>IF($L45="","",U45-X45)</f>
      </c>
    </row>
    <row r="46" spans="1:25" x14ac:dyDescent="0.25">
      <c r="A46" s="1"/>
      <c r="D46" s="2"/>
      <c r="K46" s="3"/>
      <c r="L46" s="3"/>
      <c r="M46" s="3">
        <f>IF($L46="","",L46-K46)</f>
      </c>
      <c r="N46" s="3">
        <f>IF($L46="","",M46*16.67%)</f>
      </c>
      <c r="O46" s="3">
        <f>IF($L46="","",L46/100*11)</f>
      </c>
      <c r="P46" s="3">
        <v>8.99</v>
      </c>
      <c r="Q46" s="3">
        <f>IF($L46="","",L46*1%)</f>
      </c>
      <c r="R46" s="3"/>
      <c r="S46" s="3">
        <f>IF($L46="","",R46*20%)</f>
      </c>
      <c r="T46" s="3">
        <v>1</v>
      </c>
      <c r="U46" s="3">
        <f>IF($L46="","",M46-N46-O46-P46-Q46-R46-S46-T46)</f>
      </c>
      <c r="V46" s="3">
        <f>IF($L46="","",(U46-X46)/K46*100)</f>
      </c>
      <c r="W46" s="3">
        <f>IF($L46="","",N46-S46)</f>
      </c>
      <c r="Y46" s="3">
        <f>IF($L46="","",U46-X46)</f>
      </c>
    </row>
    <row r="47" spans="1:25" x14ac:dyDescent="0.25">
      <c r="A47" s="1"/>
      <c r="D47" s="2"/>
      <c r="K47" s="3"/>
      <c r="L47" s="3"/>
      <c r="M47" s="3">
        <f>IF($L47="","",L47-K47)</f>
      </c>
      <c r="N47" s="3">
        <f>IF($L47="","",M47*16.67%)</f>
      </c>
      <c r="O47" s="3">
        <f>IF($L47="","",L47/100*11)</f>
      </c>
      <c r="P47" s="3">
        <v>8.99</v>
      </c>
      <c r="Q47" s="3">
        <f>IF($L47="","",L47*1%)</f>
      </c>
      <c r="R47" s="3"/>
      <c r="S47" s="3">
        <f>IF($L47="","",R47*20%)</f>
      </c>
      <c r="T47" s="3">
        <v>1</v>
      </c>
      <c r="U47" s="3">
        <f>IF($L47="","",M47-N47-O47-P47-Q47-R47-S47-T47)</f>
      </c>
      <c r="V47" s="3">
        <f>IF($L47="","",(U47-X47)/K47*100)</f>
      </c>
      <c r="W47" s="3">
        <f>IF($L47="","",N47-S47)</f>
      </c>
      <c r="Y47" s="3">
        <f>IF($L47="","",U47-X47)</f>
      </c>
    </row>
    <row r="48" spans="1:25" x14ac:dyDescent="0.25">
      <c r="A48" s="1"/>
      <c r="D48" s="2"/>
      <c r="K48" s="3"/>
      <c r="L48" s="3"/>
      <c r="M48" s="3">
        <f>IF($L48="","",L48-K48)</f>
      </c>
      <c r="N48" s="3">
        <f>IF($L48="","",M48*16.67%)</f>
      </c>
      <c r="O48" s="3">
        <f>IF($L48="","",L48/100*11)</f>
      </c>
      <c r="P48" s="3">
        <v>8.99</v>
      </c>
      <c r="Q48" s="3">
        <f>IF($L48="","",L48*1%)</f>
      </c>
      <c r="R48" s="3"/>
      <c r="S48" s="3">
        <f>IF($L48="","",R48*20%)</f>
      </c>
      <c r="T48" s="3">
        <v>1</v>
      </c>
      <c r="U48" s="3">
        <f>IF($L48="","",M48-N48-O48-P48-Q48-R48-S48-T48)</f>
      </c>
      <c r="V48" s="3">
        <f>IF($L48="","",(U48-X48)/K48*100)</f>
      </c>
      <c r="W48" s="3">
        <f>IF($L48="","",N48-S48)</f>
      </c>
      <c r="Y48" s="3">
        <f>IF($L48="","",U48-X48)</f>
      </c>
    </row>
    <row r="49" spans="1:25" x14ac:dyDescent="0.25">
      <c r="A49" s="1"/>
      <c r="D49" s="2"/>
      <c r="K49" s="3"/>
      <c r="L49" s="3"/>
      <c r="M49" s="3">
        <f>IF($L49="","",L49-K49)</f>
      </c>
      <c r="N49" s="3">
        <f>IF($L49="","",M49*16.67%)</f>
      </c>
      <c r="O49" s="3">
        <f>IF($L49="","",L49/100*11)</f>
      </c>
      <c r="P49" s="3">
        <v>8.99</v>
      </c>
      <c r="Q49" s="3">
        <f>IF($L49="","",L49*1%)</f>
      </c>
      <c r="R49" s="3"/>
      <c r="S49" s="3">
        <f>IF($L49="","",R49*20%)</f>
      </c>
      <c r="T49" s="3">
        <v>1</v>
      </c>
      <c r="U49" s="3">
        <f>IF($L49="","",M49-N49-O49-P49-Q49-R49-S49-T49)</f>
      </c>
      <c r="V49" s="3">
        <f>IF($L49="","",(U49-X49)/K49*100)</f>
      </c>
      <c r="W49" s="3">
        <f>IF($L49="","",N49-S49)</f>
      </c>
      <c r="Y49" s="3">
        <f>IF($L49="","",U49-X49)</f>
      </c>
    </row>
    <row r="50" spans="1:25" x14ac:dyDescent="0.25">
      <c r="A50" s="1"/>
      <c r="D50" s="2"/>
      <c r="K50" s="3"/>
      <c r="L50" s="3"/>
      <c r="M50" s="3">
        <f>IF($L50="","",L50-K50)</f>
      </c>
      <c r="N50" s="3">
        <f>IF($L50="","",M50*16.67%)</f>
      </c>
      <c r="O50" s="3">
        <f>IF($L50="","",L50/100*11)</f>
      </c>
      <c r="P50" s="3">
        <v>8.99</v>
      </c>
      <c r="Q50" s="3">
        <f>IF($L50="","",L50*1%)</f>
      </c>
      <c r="R50" s="3"/>
      <c r="S50" s="3">
        <f>IF($L50="","",R50*20%)</f>
      </c>
      <c r="T50" s="3">
        <v>1</v>
      </c>
      <c r="U50" s="3">
        <f>IF($L50="","",M50-N50-O50-P50-Q50-R50-S50-T50)</f>
      </c>
      <c r="V50" s="3">
        <f>IF($L50="","",(U50-X50)/K50*100)</f>
      </c>
      <c r="W50" s="3">
        <f>IF($L50="","",N50-S50)</f>
      </c>
      <c r="Y50" s="3">
        <f>IF($L50="","",U50-X50)</f>
      </c>
    </row>
    <row r="51" spans="1:25" x14ac:dyDescent="0.25">
      <c r="A51" s="1"/>
      <c r="D51" s="2"/>
      <c r="K51" s="3"/>
      <c r="L51" s="3"/>
      <c r="M51" s="3">
        <f>IF($L51="","",L51-K51)</f>
      </c>
      <c r="N51" s="3">
        <f>IF($L51="","",M51*16.67%)</f>
      </c>
      <c r="O51" s="3">
        <f>IF($L51="","",L51/100*11)</f>
      </c>
      <c r="P51" s="3">
        <v>8.99</v>
      </c>
      <c r="Q51" s="3">
        <f>IF($L51="","",L51*1%)</f>
      </c>
      <c r="R51" s="3"/>
      <c r="S51" s="3">
        <f>IF($L51="","",R51*20%)</f>
      </c>
      <c r="T51" s="3">
        <v>1</v>
      </c>
      <c r="U51" s="3">
        <f>IF($L51="","",M51-N51-O51-P51-Q51-R51-S51-T51)</f>
      </c>
      <c r="V51" s="3">
        <f>IF($L51="","",(U51-X51)/K51*100)</f>
      </c>
      <c r="W51" s="3">
        <f>IF($L51="","",N51-S51)</f>
      </c>
      <c r="Y51" s="3">
        <f>IF($L51="","",U51-X51)</f>
      </c>
    </row>
    <row r="52" spans="1:25" x14ac:dyDescent="0.25">
      <c r="A52" s="1"/>
      <c r="D52" s="2"/>
      <c r="K52" s="3"/>
      <c r="L52" s="3"/>
      <c r="M52" s="3">
        <f>IF($L52="","",L52-K52)</f>
      </c>
      <c r="N52" s="3">
        <f>IF($L52="","",M52*16.67%)</f>
      </c>
      <c r="O52" s="3">
        <f>IF($L52="","",L52/100*11)</f>
      </c>
      <c r="P52" s="3">
        <v>8.99</v>
      </c>
      <c r="Q52" s="3">
        <f>IF($L52="","",L52*1%)</f>
      </c>
      <c r="R52" s="3"/>
      <c r="S52" s="3">
        <f>IF($L52="","",R52*20%)</f>
      </c>
      <c r="T52" s="3">
        <v>1</v>
      </c>
      <c r="U52" s="3">
        <f>IF($L52="","",M52-N52-O52-P52-Q52-R52-S52-T52)</f>
      </c>
      <c r="V52" s="3">
        <f>IF($L52="","",(U52-X52)/K52*100)</f>
      </c>
      <c r="W52" s="3">
        <f>IF($L52="","",N52-S52)</f>
      </c>
      <c r="Y52" s="3">
        <f>IF($L52="","",U52-X52)</f>
      </c>
    </row>
    <row r="53" spans="1:25" x14ac:dyDescent="0.25">
      <c r="A53" s="1"/>
      <c r="D53" s="2"/>
      <c r="K53" s="3"/>
      <c r="L53" s="3"/>
      <c r="M53" s="3">
        <f>IF($L53="","",L53-K53)</f>
      </c>
      <c r="N53" s="3">
        <f>IF($L53="","",M53*16.67%)</f>
      </c>
      <c r="O53" s="3">
        <f>IF($L53="","",L53/100*11)</f>
      </c>
      <c r="P53" s="3">
        <v>8.99</v>
      </c>
      <c r="Q53" s="3">
        <f>IF($L53="","",L53*1%)</f>
      </c>
      <c r="R53" s="3"/>
      <c r="S53" s="3">
        <f>IF($L53="","",R53*20%)</f>
      </c>
      <c r="T53" s="3">
        <v>1</v>
      </c>
      <c r="U53" s="3">
        <f>IF($L53="","",M53-N53-O53-P53-Q53-R53-S53-T53)</f>
      </c>
      <c r="V53" s="3">
        <f>IF($L53="","",(U53-X53)/K53*100)</f>
      </c>
      <c r="W53" s="3">
        <f>IF($L53="","",N53-S53)</f>
      </c>
      <c r="Y53" s="3">
        <f>IF($L53="","",U53-X53)</f>
      </c>
    </row>
    <row r="54" spans="1:25" x14ac:dyDescent="0.25">
      <c r="A54" s="1"/>
      <c r="D54" s="2"/>
      <c r="K54" s="3"/>
      <c r="L54" s="3"/>
      <c r="M54" s="3">
        <f>IF($L54="","",L54-K54)</f>
      </c>
      <c r="N54" s="3">
        <f>IF($L54="","",M54*16.67%)</f>
      </c>
      <c r="O54" s="3">
        <f>IF($L54="","",L54/100*11)</f>
      </c>
      <c r="P54" s="3">
        <v>8.99</v>
      </c>
      <c r="Q54" s="3">
        <f>IF($L54="","",L54*1%)</f>
      </c>
      <c r="R54" s="3"/>
      <c r="S54" s="3">
        <f>IF($L54="","",R54*20%)</f>
      </c>
      <c r="T54" s="3">
        <v>1</v>
      </c>
      <c r="U54" s="3">
        <f>IF($L54="","",M54-N54-O54-P54-Q54-R54-S54-T54)</f>
      </c>
      <c r="V54" s="3">
        <f>IF($L54="","",(U54-X54)/K54*100)</f>
      </c>
      <c r="W54" s="3">
        <f>IF($L54="","",N54-S54)</f>
      </c>
      <c r="Y54" s="3">
        <f>IF($L54="","",U54-X54)</f>
      </c>
    </row>
    <row r="55" spans="1:25" x14ac:dyDescent="0.25">
      <c r="A55" s="1"/>
      <c r="D55" s="2"/>
      <c r="K55" s="3"/>
      <c r="L55" s="3"/>
      <c r="M55" s="3">
        <f>IF($L55="","",L55-K55)</f>
      </c>
      <c r="N55" s="3">
        <f>IF($L55="","",M55*16.67%)</f>
      </c>
      <c r="O55" s="3">
        <f>IF($L55="","",L55/100*11)</f>
      </c>
      <c r="P55" s="3">
        <v>8.99</v>
      </c>
      <c r="Q55" s="3">
        <f>IF($L55="","",L55*1%)</f>
      </c>
      <c r="R55" s="3"/>
      <c r="S55" s="3">
        <f>IF($L55="","",R55*20%)</f>
      </c>
      <c r="T55" s="3">
        <v>1</v>
      </c>
      <c r="U55" s="3">
        <f>IF($L55="","",M55-N55-O55-P55-Q55-R55-S55-T55)</f>
      </c>
      <c r="V55" s="3">
        <f>IF($L55="","",(U55-X55)/K55*100)</f>
      </c>
      <c r="W55" s="3">
        <f>IF($L55="","",N55-S55)</f>
      </c>
      <c r="Y55" s="3">
        <f>IF($L55="","",U55-X55)</f>
      </c>
    </row>
    <row r="56" spans="1:25" x14ac:dyDescent="0.25">
      <c r="A56" s="1"/>
      <c r="D56" s="2"/>
      <c r="K56" s="3"/>
      <c r="L56" s="3"/>
      <c r="M56" s="3">
        <f>IF($L56="","",L56-K56)</f>
      </c>
      <c r="N56" s="3">
        <f>IF($L56="","",M56*16.67%)</f>
      </c>
      <c r="O56" s="3">
        <f>IF($L56="","",L56/100*11)</f>
      </c>
      <c r="P56" s="3">
        <v>8.99</v>
      </c>
      <c r="Q56" s="3">
        <f>IF($L56="","",L56*1%)</f>
      </c>
      <c r="R56" s="3"/>
      <c r="S56" s="3">
        <f>IF($L56="","",R56*20%)</f>
      </c>
      <c r="T56" s="3">
        <v>1</v>
      </c>
      <c r="U56" s="3">
        <f>IF($L56="","",M56-N56-O56-P56-Q56-R56-S56-T56)</f>
      </c>
      <c r="V56" s="3">
        <f>IF($L56="","",(U56-X56)/K56*100)</f>
      </c>
      <c r="W56" s="3">
        <f>IF($L56="","",N56-S56)</f>
      </c>
      <c r="Y56" s="3">
        <f>IF($L56="","",U56-X56)</f>
      </c>
    </row>
    <row r="57" spans="1:25" x14ac:dyDescent="0.25">
      <c r="A57" s="1"/>
      <c r="D57" s="2"/>
      <c r="K57" s="3"/>
      <c r="L57" s="3"/>
      <c r="M57" s="3">
        <f>IF($L57="","",L57-K57)</f>
      </c>
      <c r="N57" s="3">
        <f>IF($L57="","",M57*16.67%)</f>
      </c>
      <c r="O57" s="3">
        <f>IF($L57="","",L57/100*11)</f>
      </c>
      <c r="P57" s="3">
        <v>8.99</v>
      </c>
      <c r="Q57" s="3">
        <f>IF($L57="","",L57*1%)</f>
      </c>
      <c r="R57" s="3"/>
      <c r="S57" s="3">
        <f>IF($L57="","",R57*20%)</f>
      </c>
      <c r="T57" s="3">
        <v>1</v>
      </c>
      <c r="U57" s="3">
        <f>IF($L57="","",M57-N57-O57-P57-Q57-R57-S57-T57)</f>
      </c>
      <c r="V57" s="3">
        <f>IF($L57="","",(U57-X57)/K57*100)</f>
      </c>
      <c r="W57" s="3">
        <f>IF($L57="","",N57-S57)</f>
      </c>
      <c r="Y57" s="3">
        <f>IF($L57="","",U57-X57)</f>
      </c>
    </row>
    <row r="58" spans="1:25" x14ac:dyDescent="0.25">
      <c r="A58" s="1"/>
      <c r="D58" s="2"/>
      <c r="K58" s="3"/>
      <c r="L58" s="3"/>
      <c r="M58" s="3">
        <f>IF($L58="","",L58-K58)</f>
      </c>
      <c r="N58" s="3">
        <f>IF($L58="","",M58*16.67%)</f>
      </c>
      <c r="O58" s="3">
        <f>IF($L58="","",L58/100*11)</f>
      </c>
      <c r="P58" s="3">
        <v>8.99</v>
      </c>
      <c r="Q58" s="3">
        <f>IF($L58="","",L58*1%)</f>
      </c>
      <c r="R58" s="3"/>
      <c r="S58" s="3">
        <f>IF($L58="","",R58*20%)</f>
      </c>
      <c r="T58" s="3">
        <v>1</v>
      </c>
      <c r="U58" s="3">
        <f>IF($L58="","",M58-N58-O58-P58-Q58-R58-S58-T58)</f>
      </c>
      <c r="V58" s="3">
        <f>IF($L58="","",(U58-X58)/K58*100)</f>
      </c>
      <c r="W58" s="3">
        <f>IF($L58="","",N58-S58)</f>
      </c>
      <c r="Y58" s="3">
        <f>IF($L58="","",U58-X58)</f>
      </c>
    </row>
    <row r="59" spans="1:25" x14ac:dyDescent="0.25">
      <c r="A59" s="1"/>
      <c r="D59" s="2"/>
      <c r="K59" s="3"/>
      <c r="L59" s="3"/>
      <c r="M59" s="3">
        <f>IF($L59="","",L59-K59)</f>
      </c>
      <c r="N59" s="3">
        <f>IF($L59="","",M59*16.67%)</f>
      </c>
      <c r="O59" s="3">
        <f>IF($L59="","",L59/100*11)</f>
      </c>
      <c r="P59" s="3">
        <v>8.99</v>
      </c>
      <c r="Q59" s="3">
        <f>IF($L59="","",L59*1%)</f>
      </c>
      <c r="R59" s="3"/>
      <c r="S59" s="3">
        <f>IF($L59="","",R59*20%)</f>
      </c>
      <c r="T59" s="3">
        <v>1</v>
      </c>
      <c r="U59" s="3">
        <f>IF($L59="","",M59-N59-O59-P59-Q59-R59-S59-T59)</f>
      </c>
      <c r="V59" s="3">
        <f>IF($L59="","",(U59-X59)/K59*100)</f>
      </c>
      <c r="W59" s="3">
        <f>IF($L59="","",N59-S59)</f>
      </c>
      <c r="Y59" s="3">
        <f>IF($L59="","",U59-X59)</f>
      </c>
    </row>
    <row r="60" spans="1:25" x14ac:dyDescent="0.25">
      <c r="A60" s="1"/>
      <c r="D60" s="2"/>
      <c r="K60" s="3"/>
      <c r="L60" s="3"/>
      <c r="M60" s="3">
        <f>IF($L60="","",L60-K60)</f>
      </c>
      <c r="N60" s="3">
        <f>IF($L60="","",M60*16.67%)</f>
      </c>
      <c r="O60" s="3">
        <f>IF($L60="","",L60/100*11)</f>
      </c>
      <c r="P60" s="3">
        <v>8.99</v>
      </c>
      <c r="Q60" s="3">
        <f>IF($L60="","",L60*1%)</f>
      </c>
      <c r="R60" s="3"/>
      <c r="S60" s="3">
        <f>IF($L60="","",R60*20%)</f>
      </c>
      <c r="T60" s="3">
        <v>1</v>
      </c>
      <c r="U60" s="3">
        <f>IF($L60="","",M60-N60-O60-P60-Q60-R60-S60-T60)</f>
      </c>
      <c r="V60" s="3">
        <f>IF($L60="","",(U60-X60)/K60*100)</f>
      </c>
      <c r="W60" s="3">
        <f>IF($L60="","",N60-S60)</f>
      </c>
      <c r="Y60" s="3">
        <f>IF($L60="","",U60-X60)</f>
      </c>
    </row>
    <row r="61" spans="1:25" x14ac:dyDescent="0.25">
      <c r="A61" s="1"/>
      <c r="D61" s="2"/>
      <c r="K61" s="3"/>
      <c r="L61" s="3"/>
      <c r="M61" s="3">
        <f>IF($L61="","",L61-K61)</f>
      </c>
      <c r="N61" s="3">
        <f>IF($L61="","",M61*16.67%)</f>
      </c>
      <c r="O61" s="3">
        <f>IF($L61="","",L61/100*11)</f>
      </c>
      <c r="P61" s="3">
        <v>8.99</v>
      </c>
      <c r="Q61" s="3">
        <f>IF($L61="","",L61*1%)</f>
      </c>
      <c r="R61" s="3"/>
      <c r="S61" s="3">
        <f>IF($L61="","",R61*20%)</f>
      </c>
      <c r="T61" s="3">
        <v>1</v>
      </c>
      <c r="U61" s="3">
        <f>IF($L61="","",M61-N61-O61-P61-Q61-R61-S61-T61)</f>
      </c>
      <c r="V61" s="3">
        <f>IF($L61="","",(U61-X61)/K61*100)</f>
      </c>
      <c r="W61" s="3">
        <f>IF($L61="","",N61-S61)</f>
      </c>
      <c r="Y61" s="3">
        <f>IF($L61="","",U61-X61)</f>
      </c>
    </row>
    <row r="62" spans="1:25" x14ac:dyDescent="0.25">
      <c r="A62" s="1"/>
      <c r="D62" s="2"/>
      <c r="K62" s="3"/>
      <c r="L62" s="3"/>
      <c r="M62" s="3">
        <f>IF($L62="","",L62-K62)</f>
      </c>
      <c r="N62" s="3">
        <f>IF($L62="","",M62*16.67%)</f>
      </c>
      <c r="O62" s="3">
        <f>IF($L62="","",L62/100*11)</f>
      </c>
      <c r="P62" s="3">
        <v>8.99</v>
      </c>
      <c r="Q62" s="3">
        <f>IF($L62="","",L62*1%)</f>
      </c>
      <c r="R62" s="3"/>
      <c r="S62" s="3">
        <f>IF($L62="","",R62*20%)</f>
      </c>
      <c r="T62" s="3">
        <v>1</v>
      </c>
      <c r="U62" s="3">
        <f>IF($L62="","",M62-N62-O62-P62-Q62-R62-S62-T62)</f>
      </c>
      <c r="V62" s="3">
        <f>IF($L62="","",(U62-X62)/K62*100)</f>
      </c>
      <c r="W62" s="3">
        <f>IF($L62="","",N62-S62)</f>
      </c>
      <c r="Y62" s="3">
        <f>IF($L62="","",U62-X62)</f>
      </c>
    </row>
    <row r="63" spans="1:25" x14ac:dyDescent="0.25">
      <c r="A63" s="1"/>
      <c r="D63" s="2"/>
      <c r="K63" s="3"/>
      <c r="L63" s="3"/>
      <c r="M63" s="3">
        <f>IF($L63="","",L63-K63)</f>
      </c>
      <c r="N63" s="3">
        <f>IF($L63="","",M63*16.67%)</f>
      </c>
      <c r="O63" s="3">
        <f>IF($L63="","",L63/100*11)</f>
      </c>
      <c r="P63" s="3">
        <v>8.99</v>
      </c>
      <c r="Q63" s="3">
        <f>IF($L63="","",L63*1%)</f>
      </c>
      <c r="R63" s="3"/>
      <c r="S63" s="3">
        <f>IF($L63="","",R63*20%)</f>
      </c>
      <c r="T63" s="3">
        <v>1</v>
      </c>
      <c r="U63" s="3">
        <f>IF($L63="","",M63-N63-O63-P63-Q63-R63-S63-T63)</f>
      </c>
      <c r="V63" s="3">
        <f>IF($L63="","",(U63-X63)/K63*100)</f>
      </c>
      <c r="W63" s="3">
        <f>IF($L63="","",N63-S63)</f>
      </c>
      <c r="Y63" s="3">
        <f>IF($L63="","",U63-X63)</f>
      </c>
    </row>
    <row r="64" spans="1:25" x14ac:dyDescent="0.25">
      <c r="A64" s="1"/>
      <c r="D64" s="2"/>
      <c r="K64" s="3"/>
      <c r="L64" s="3"/>
      <c r="M64" s="3">
        <f>IF($L64="","",L64-K64)</f>
      </c>
      <c r="N64" s="3">
        <f>IF($L64="","",M64*16.67%)</f>
      </c>
      <c r="O64" s="3">
        <f>IF($L64="","",L64/100*11)</f>
      </c>
      <c r="P64" s="3">
        <v>8.99</v>
      </c>
      <c r="Q64" s="3">
        <f>IF($L64="","",L64*1%)</f>
      </c>
      <c r="R64" s="3"/>
      <c r="S64" s="3">
        <f>IF($L64="","",R64*20%)</f>
      </c>
      <c r="T64" s="3">
        <v>1</v>
      </c>
      <c r="U64" s="3">
        <f>IF($L64="","",M64-N64-O64-P64-Q64-R64-S64-T64)</f>
      </c>
      <c r="V64" s="3">
        <f>IF($L64="","",(U64-X64)/K64*100)</f>
      </c>
      <c r="W64" s="3">
        <f>IF($L64="","",N64-S64)</f>
      </c>
      <c r="Y64" s="3">
        <f>IF($L64="","",U64-X64)</f>
      </c>
    </row>
    <row r="65" spans="1:25" x14ac:dyDescent="0.25">
      <c r="A65" s="1"/>
      <c r="D65" s="2"/>
      <c r="K65" s="3"/>
      <c r="L65" s="3"/>
      <c r="M65" s="3">
        <f>IF($L65="","",L65-K65)</f>
      </c>
      <c r="N65" s="3">
        <f>IF($L65="","",M65*16.67%)</f>
      </c>
      <c r="O65" s="3">
        <f>IF($L65="","",L65/100*11)</f>
      </c>
      <c r="P65" s="3">
        <v>8.99</v>
      </c>
      <c r="Q65" s="3">
        <f>IF($L65="","",L65*1%)</f>
      </c>
      <c r="R65" s="3"/>
      <c r="S65" s="3">
        <f>IF($L65="","",R65*20%)</f>
      </c>
      <c r="T65" s="3">
        <v>1</v>
      </c>
      <c r="U65" s="3">
        <f>IF($L65="","",M65-N65-O65-P65-Q65-R65-S65-T65)</f>
      </c>
      <c r="V65" s="3">
        <f>IF($L65="","",(U65-X65)/K65*100)</f>
      </c>
      <c r="W65" s="3">
        <f>IF($L65="","",N65-S65)</f>
      </c>
      <c r="Y65" s="3">
        <f>IF($L65="","",U65-X65)</f>
      </c>
    </row>
    <row r="66" spans="1:25" x14ac:dyDescent="0.25">
      <c r="A66" s="1"/>
      <c r="D66" s="2"/>
      <c r="K66" s="3"/>
      <c r="L66" s="3"/>
      <c r="M66" s="3">
        <f>IF($L66="","",L66-K66)</f>
      </c>
      <c r="N66" s="3">
        <f>IF($L66="","",M66*16.67%)</f>
      </c>
      <c r="O66" s="3">
        <f>IF($L66="","",L66/100*11)</f>
      </c>
      <c r="P66" s="3">
        <v>8.99</v>
      </c>
      <c r="Q66" s="3">
        <f>IF($L66="","",L66*1%)</f>
      </c>
      <c r="R66" s="3"/>
      <c r="S66" s="3">
        <f>IF($L66="","",R66*20%)</f>
      </c>
      <c r="T66" s="3">
        <v>1</v>
      </c>
      <c r="U66" s="3">
        <f>IF($L66="","",M66-N66-O66-P66-Q66-R66-S66-T66)</f>
      </c>
      <c r="V66" s="3">
        <f>IF($L66="","",(U66-X66)/K66*100)</f>
      </c>
      <c r="W66" s="3">
        <f>IF($L66="","",N66-S66)</f>
      </c>
      <c r="Y66" s="3">
        <f>IF($L66="","",U66-X66)</f>
      </c>
    </row>
    <row r="67" spans="1:25" x14ac:dyDescent="0.25">
      <c r="A67" s="1"/>
      <c r="D67" s="2"/>
      <c r="K67" s="3"/>
      <c r="L67" s="3"/>
      <c r="M67" s="3">
        <f>IF($L67="","",L67-K67)</f>
      </c>
      <c r="N67" s="3">
        <f>IF($L67="","",M67*16.67%)</f>
      </c>
      <c r="O67" s="3">
        <f>IF($L67="","",L67/100*11)</f>
      </c>
      <c r="P67" s="3">
        <v>8.99</v>
      </c>
      <c r="Q67" s="3">
        <f>IF($L67="","",L67*1%)</f>
      </c>
      <c r="R67" s="3"/>
      <c r="S67" s="3">
        <f>IF($L67="","",R67*20%)</f>
      </c>
      <c r="T67" s="3">
        <v>1</v>
      </c>
      <c r="U67" s="3">
        <f>IF($L67="","",M67-N67-O67-P67-Q67-R67-S67-T67)</f>
      </c>
      <c r="V67" s="3">
        <f>IF($L67="","",(U67-X67)/K67*100)</f>
      </c>
      <c r="W67" s="3">
        <f>IF($L67="","",N67-S67)</f>
      </c>
      <c r="Y67" s="3">
        <f>IF($L67="","",U67-X67)</f>
      </c>
    </row>
    <row r="68" spans="1:25" x14ac:dyDescent="0.25">
      <c r="A68" s="1"/>
      <c r="D68" s="2"/>
      <c r="K68" s="3"/>
      <c r="L68" s="3"/>
      <c r="M68" s="3">
        <f>IF($L68="","",L68-K68)</f>
      </c>
      <c r="N68" s="3">
        <f>IF($L68="","",M68*16.67%)</f>
      </c>
      <c r="O68" s="3">
        <f>IF($L68="","",L68/100*11)</f>
      </c>
      <c r="P68" s="3">
        <v>8.99</v>
      </c>
      <c r="Q68" s="3">
        <f>IF($L68="","",L68*1%)</f>
      </c>
      <c r="R68" s="3"/>
      <c r="S68" s="3">
        <f>IF($L68="","",R68*20%)</f>
      </c>
      <c r="T68" s="3">
        <v>1</v>
      </c>
      <c r="U68" s="3">
        <f>IF($L68="","",M68-N68-O68-P68-Q68-R68-S68-T68)</f>
      </c>
      <c r="V68" s="3">
        <f>IF($L68="","",(U68-X68)/K68*100)</f>
      </c>
      <c r="W68" s="3">
        <f>IF($L68="","",N68-S68)</f>
      </c>
      <c r="Y68" s="3">
        <f>IF($L68="","",U68-X68)</f>
      </c>
    </row>
    <row r="69" spans="1:25" x14ac:dyDescent="0.25">
      <c r="A69" s="1"/>
      <c r="D69" s="2"/>
      <c r="K69" s="3"/>
      <c r="L69" s="3"/>
      <c r="M69" s="3">
        <f>IF($L69="","",L69-K69)</f>
      </c>
      <c r="N69" s="3">
        <f>IF($L69="","",M69*16.67%)</f>
      </c>
      <c r="O69" s="3">
        <f>IF($L69="","",L69/100*11)</f>
      </c>
      <c r="P69" s="3">
        <v>8.99</v>
      </c>
      <c r="Q69" s="3">
        <f>IF($L69="","",L69*1%)</f>
      </c>
      <c r="R69" s="3"/>
      <c r="S69" s="3">
        <f>IF($L69="","",R69*20%)</f>
      </c>
      <c r="T69" s="3">
        <v>1</v>
      </c>
      <c r="U69" s="3">
        <f>IF($L69="","",M69-N69-O69-P69-Q69-R69-S69-T69)</f>
      </c>
      <c r="V69" s="3">
        <f>IF($L69="","",(U69-X69)/K69*100)</f>
      </c>
      <c r="W69" s="3">
        <f>IF($L69="","",N69-S69)</f>
      </c>
      <c r="Y69" s="3">
        <f>IF($L69="","",U69-X69)</f>
      </c>
    </row>
    <row r="70" spans="1:25" x14ac:dyDescent="0.25">
      <c r="A70" s="1"/>
      <c r="D70" s="2"/>
      <c r="K70" s="3"/>
      <c r="L70" s="3"/>
      <c r="M70" s="3">
        <f>IF($L70="","",L70-K70)</f>
      </c>
      <c r="N70" s="3">
        <f>IF($L70="","",M70*16.67%)</f>
      </c>
      <c r="O70" s="3">
        <f>IF($L70="","",L70/100*11)</f>
      </c>
      <c r="P70" s="3">
        <v>8.99</v>
      </c>
      <c r="Q70" s="3">
        <f>IF($L70="","",L70*1%)</f>
      </c>
      <c r="R70" s="3"/>
      <c r="S70" s="3">
        <f>IF($L70="","",R70*20%)</f>
      </c>
      <c r="T70" s="3">
        <v>1</v>
      </c>
      <c r="U70" s="3">
        <f>IF($L70="","",M70-N70-O70-P70-Q70-R70-S70-T70)</f>
      </c>
      <c r="V70" s="3">
        <f>IF($L70="","",(U70-X70)/K70*100)</f>
      </c>
      <c r="W70" s="3">
        <f>IF($L70="","",N70-S70)</f>
      </c>
      <c r="Y70" s="3">
        <f>IF($L70="","",U70-X70)</f>
      </c>
    </row>
    <row r="71" spans="1:25" x14ac:dyDescent="0.25">
      <c r="A71" s="1"/>
      <c r="D71" s="2"/>
      <c r="K71" s="3"/>
      <c r="L71" s="3"/>
      <c r="M71" s="3">
        <f>IF($L71="","",L71-K71)</f>
      </c>
      <c r="N71" s="3">
        <f>IF($L71="","",M71*16.67%)</f>
      </c>
      <c r="O71" s="3">
        <f>IF($L71="","",L71/100*11)</f>
      </c>
      <c r="P71" s="3">
        <v>8.99</v>
      </c>
      <c r="Q71" s="3">
        <f>IF($L71="","",L71*1%)</f>
      </c>
      <c r="R71" s="3"/>
      <c r="S71" s="3">
        <f>IF($L71="","",R71*20%)</f>
      </c>
      <c r="T71" s="3">
        <v>1</v>
      </c>
      <c r="U71" s="3">
        <f>IF($L71="","",M71-N71-O71-P71-Q71-R71-S71-T71)</f>
      </c>
      <c r="V71" s="3">
        <f>IF($L71="","",(U71-X71)/K71*100)</f>
      </c>
      <c r="W71" s="3">
        <f>IF($L71="","",N71-S71)</f>
      </c>
      <c r="Y71" s="3">
        <f>IF($L71="","",U71-X71)</f>
      </c>
    </row>
    <row r="72" spans="1:25" x14ac:dyDescent="0.25">
      <c r="A72" s="1"/>
      <c r="D72" s="2"/>
      <c r="K72" s="3"/>
      <c r="L72" s="3"/>
      <c r="M72" s="3">
        <f>IF($L72="","",L72-K72)</f>
      </c>
      <c r="N72" s="3">
        <f>IF($L72="","",M72*16.67%)</f>
      </c>
      <c r="O72" s="3">
        <f>IF($L72="","",L72/100*11)</f>
      </c>
      <c r="P72" s="3">
        <v>8.99</v>
      </c>
      <c r="Q72" s="3">
        <f>IF($L72="","",L72*1%)</f>
      </c>
      <c r="R72" s="3"/>
      <c r="S72" s="3">
        <f>IF($L72="","",R72*20%)</f>
      </c>
      <c r="T72" s="3">
        <v>1</v>
      </c>
      <c r="U72" s="3">
        <f>IF($L72="","",M72-N72-O72-P72-Q72-R72-S72-T72)</f>
      </c>
      <c r="V72" s="3">
        <f>IF($L72="","",(U72-X72)/K72*100)</f>
      </c>
      <c r="W72" s="3">
        <f>IF($L72="","",N72-S72)</f>
      </c>
      <c r="Y72" s="3">
        <f>IF($L72="","",U72-X72)</f>
      </c>
    </row>
    <row r="73" spans="1:25" x14ac:dyDescent="0.25">
      <c r="A73" s="1"/>
      <c r="D73" s="2"/>
      <c r="K73" s="3"/>
      <c r="L73" s="3"/>
      <c r="M73" s="3">
        <f>IF($L73="","",L73-K73)</f>
      </c>
      <c r="N73" s="3">
        <f>IF($L73="","",M73*16.67%)</f>
      </c>
      <c r="O73" s="3">
        <f>IF($L73="","",L73/100*11)</f>
      </c>
      <c r="P73" s="3">
        <v>8.99</v>
      </c>
      <c r="Q73" s="3">
        <f>IF($L73="","",L73*1%)</f>
      </c>
      <c r="R73" s="3"/>
      <c r="S73" s="3">
        <f>IF($L73="","",R73*20%)</f>
      </c>
      <c r="T73" s="3">
        <v>1</v>
      </c>
      <c r="U73" s="3">
        <f>IF($L73="","",M73-N73-O73-P73-Q73-R73-S73-T73)</f>
      </c>
      <c r="V73" s="3">
        <f>IF($L73="","",(U73-X73)/K73*100)</f>
      </c>
      <c r="W73" s="3">
        <f>IF($L73="","",N73-S73)</f>
      </c>
      <c r="Y73" s="3">
        <f>IF($L73="","",U73-X73)</f>
      </c>
    </row>
    <row r="74" spans="1:25" x14ac:dyDescent="0.25">
      <c r="A74" s="1"/>
      <c r="D74" s="2"/>
      <c r="K74" s="3"/>
      <c r="L74" s="3"/>
      <c r="M74" s="3">
        <f>IF($L74="","",L74-K74)</f>
      </c>
      <c r="N74" s="3">
        <f>IF($L74="","",M74*16.67%)</f>
      </c>
      <c r="O74" s="3">
        <f>IF($L74="","",L74/100*11)</f>
      </c>
      <c r="P74" s="3">
        <v>8.99</v>
      </c>
      <c r="Q74" s="3">
        <f>IF($L74="","",L74*1%)</f>
      </c>
      <c r="R74" s="3"/>
      <c r="S74" s="3">
        <f>IF($L74="","",R74*20%)</f>
      </c>
      <c r="T74" s="3">
        <v>1</v>
      </c>
      <c r="U74" s="3">
        <f>IF($L74="","",M74-N74-O74-P74-Q74-R74-S74-T74)</f>
      </c>
      <c r="V74" s="3">
        <f>IF($L74="","",(U74-X74)/K74*100)</f>
      </c>
      <c r="W74" s="3">
        <f>IF($L74="","",N74-S74)</f>
      </c>
      <c r="Y74" s="3">
        <f>IF($L74="","",U74-X74)</f>
      </c>
    </row>
    <row r="75" spans="1:25" x14ac:dyDescent="0.25">
      <c r="A75" s="1"/>
      <c r="D75" s="2"/>
      <c r="K75" s="3"/>
      <c r="L75" s="3"/>
      <c r="M75" s="3">
        <f>IF($L75="","",L75-K75)</f>
      </c>
      <c r="N75" s="3">
        <f>IF($L75="","",M75*16.67%)</f>
      </c>
      <c r="O75" s="3">
        <f>IF($L75="","",L75/100*11)</f>
      </c>
      <c r="P75" s="3">
        <v>8.99</v>
      </c>
      <c r="Q75" s="3">
        <f>IF($L75="","",L75*1%)</f>
      </c>
      <c r="R75" s="3"/>
      <c r="S75" s="3">
        <f>IF($L75="","",R75*20%)</f>
      </c>
      <c r="T75" s="3">
        <v>1</v>
      </c>
      <c r="U75" s="3">
        <f>IF($L75="","",M75-N75-O75-P75-Q75-R75-S75-T75)</f>
      </c>
      <c r="V75" s="3">
        <f>IF($L75="","",(U75-X75)/K75*100)</f>
      </c>
      <c r="W75" s="3">
        <f>IF($L75="","",N75-S75)</f>
      </c>
      <c r="Y75" s="3">
        <f>IF($L75="","",U75-X75)</f>
      </c>
    </row>
    <row r="76" spans="1:25" x14ac:dyDescent="0.25">
      <c r="A76" s="1"/>
      <c r="D76" s="2"/>
      <c r="K76" s="3"/>
      <c r="L76" s="3"/>
      <c r="M76" s="3">
        <f>IF($L76="","",L76-K76)</f>
      </c>
      <c r="N76" s="3">
        <f>IF($L76="","",M76*16.67%)</f>
      </c>
      <c r="O76" s="3">
        <f>IF($L76="","",L76/100*11)</f>
      </c>
      <c r="P76" s="3">
        <v>8.99</v>
      </c>
      <c r="Q76" s="3">
        <f>IF($L76="","",L76*1%)</f>
      </c>
      <c r="R76" s="3"/>
      <c r="S76" s="3">
        <f>IF($L76="","",R76*20%)</f>
      </c>
      <c r="T76" s="3">
        <v>1</v>
      </c>
      <c r="U76" s="3">
        <f>IF($L76="","",M76-N76-O76-P76-Q76-R76-S76-T76)</f>
      </c>
      <c r="V76" s="3">
        <f>IF($L76="","",(U76-X76)/K76*100)</f>
      </c>
      <c r="W76" s="3">
        <f>IF($L76="","",N76-S76)</f>
      </c>
      <c r="Y76" s="3">
        <f>IF($L76="","",U76-X76)</f>
      </c>
    </row>
    <row r="77" spans="1:25" x14ac:dyDescent="0.25">
      <c r="A77" s="1"/>
      <c r="D77" s="2"/>
      <c r="K77" s="3"/>
      <c r="L77" s="3"/>
      <c r="M77" s="3">
        <f>IF($L77="","",L77-K77)</f>
      </c>
      <c r="N77" s="3">
        <f>IF($L77="","",M77*16.67%)</f>
      </c>
      <c r="O77" s="3">
        <f>IF($L77="","",L77/100*11)</f>
      </c>
      <c r="P77" s="3">
        <v>8.99</v>
      </c>
      <c r="Q77" s="3">
        <f>IF($L77="","",L77*1%)</f>
      </c>
      <c r="R77" s="3"/>
      <c r="S77" s="3">
        <f>IF($L77="","",R77*20%)</f>
      </c>
      <c r="T77" s="3">
        <v>1</v>
      </c>
      <c r="U77" s="3">
        <f>IF($L77="","",M77-N77-O77-P77-Q77-R77-S77-T77)</f>
      </c>
      <c r="V77" s="3">
        <f>IF($L77="","",(U77-X77)/K77*100)</f>
      </c>
      <c r="W77" s="3">
        <f>IF($L77="","",N77-S77)</f>
      </c>
      <c r="Y77" s="3">
        <f>IF($L77="","",U77-X77)</f>
      </c>
    </row>
    <row r="78" spans="1:25" x14ac:dyDescent="0.25">
      <c r="A78" s="1"/>
      <c r="D78" s="2"/>
      <c r="K78" s="3"/>
      <c r="L78" s="3"/>
      <c r="M78" s="3">
        <f>IF($L78="","",L78-K78)</f>
      </c>
      <c r="N78" s="3">
        <f>IF($L78="","",M78*16.67%)</f>
      </c>
      <c r="O78" s="3">
        <f>IF($L78="","",L78/100*11)</f>
      </c>
      <c r="P78" s="3">
        <v>8.99</v>
      </c>
      <c r="Q78" s="3">
        <f>IF($L78="","",L78*1%)</f>
      </c>
      <c r="R78" s="3"/>
      <c r="S78" s="3">
        <f>IF($L78="","",R78*20%)</f>
      </c>
      <c r="T78" s="3">
        <v>1</v>
      </c>
      <c r="U78" s="3">
        <f>IF($L78="","",M78-N78-O78-P78-Q78-R78-S78-T78)</f>
      </c>
      <c r="V78" s="3">
        <f>IF($L78="","",(U78-X78)/K78*100)</f>
      </c>
      <c r="W78" s="3">
        <f>IF($L78="","",N78-S78)</f>
      </c>
      <c r="Y78" s="3">
        <f>IF($L78="","",U78-X78)</f>
      </c>
    </row>
    <row r="79" spans="1:25" x14ac:dyDescent="0.25">
      <c r="A79" s="1"/>
      <c r="D79" s="2"/>
      <c r="K79" s="3"/>
      <c r="L79" s="3"/>
      <c r="M79" s="3">
        <f>IF($L79="","",L79-K79)</f>
      </c>
      <c r="N79" s="3">
        <f>IF($L79="","",M79*16.67%)</f>
      </c>
      <c r="O79" s="3">
        <f>IF($L79="","",L79/100*11)</f>
      </c>
      <c r="P79" s="3">
        <v>8.99</v>
      </c>
      <c r="Q79" s="3">
        <f>IF($L79="","",L79*1%)</f>
      </c>
      <c r="R79" s="3"/>
      <c r="S79" s="3">
        <f>IF($L79="","",R79*20%)</f>
      </c>
      <c r="T79" s="3">
        <v>1</v>
      </c>
      <c r="U79" s="3">
        <f>IF($L79="","",M79-N79-O79-P79-Q79-R79-S79-T79)</f>
      </c>
      <c r="V79" s="3">
        <f>IF($L79="","",(U79-X79)/K79*100)</f>
      </c>
      <c r="W79" s="3">
        <f>IF($L79="","",N79-S79)</f>
      </c>
      <c r="Y79" s="3">
        <f>IF($L79="","",U79-X79)</f>
      </c>
    </row>
    <row r="80" spans="1:25" x14ac:dyDescent="0.25">
      <c r="A80" s="1"/>
      <c r="D80" s="2"/>
      <c r="K80" s="3"/>
      <c r="L80" s="3"/>
      <c r="M80" s="3">
        <f>IF($L80="","",L80-K80)</f>
      </c>
      <c r="N80" s="3">
        <f>IF($L80="","",M80*16.67%)</f>
      </c>
      <c r="O80" s="3">
        <f>IF($L80="","",L80/100*11)</f>
      </c>
      <c r="P80" s="3">
        <v>8.99</v>
      </c>
      <c r="Q80" s="3">
        <f>IF($L80="","",L80*1%)</f>
      </c>
      <c r="R80" s="3"/>
      <c r="S80" s="3">
        <f>IF($L80="","",R80*20%)</f>
      </c>
      <c r="T80" s="3">
        <v>1</v>
      </c>
      <c r="U80" s="3">
        <f>IF($L80="","",M80-N80-O80-P80-Q80-R80-S80-T80)</f>
      </c>
      <c r="V80" s="3">
        <f>IF($L80="","",(U80-X80)/K80*100)</f>
      </c>
      <c r="W80" s="3">
        <f>IF($L80="","",N80-S80)</f>
      </c>
      <c r="Y80" s="3">
        <f>IF($L80="","",U80-X80)</f>
      </c>
    </row>
    <row r="81" spans="1:25" x14ac:dyDescent="0.25">
      <c r="A81" s="1"/>
      <c r="D81" s="2"/>
      <c r="K81" s="3"/>
      <c r="L81" s="3"/>
      <c r="M81" s="3">
        <f>IF($L81="","",L81-K81)</f>
      </c>
      <c r="N81" s="3">
        <f>IF($L81="","",M81*16.67%)</f>
      </c>
      <c r="O81" s="3">
        <f>IF($L81="","",L81/100*11)</f>
      </c>
      <c r="P81" s="3">
        <v>8.99</v>
      </c>
      <c r="Q81" s="3">
        <f>IF($L81="","",L81*1%)</f>
      </c>
      <c r="R81" s="3"/>
      <c r="S81" s="3">
        <f>IF($L81="","",R81*20%)</f>
      </c>
      <c r="T81" s="3">
        <v>1</v>
      </c>
      <c r="U81" s="3">
        <f>IF($L81="","",M81-N81-O81-P81-Q81-R81-S81-T81)</f>
      </c>
      <c r="V81" s="3">
        <f>IF($L81="","",(U81-X81)/K81*100)</f>
      </c>
      <c r="W81" s="3">
        <f>IF($L81="","",N81-S81)</f>
      </c>
      <c r="Y81" s="3">
        <f>IF($L81="","",U81-X81)</f>
      </c>
    </row>
    <row r="82" spans="1:25" x14ac:dyDescent="0.25">
      <c r="A82" s="1"/>
      <c r="D82" s="2"/>
      <c r="K82" s="3"/>
      <c r="L82" s="3"/>
      <c r="M82" s="3">
        <f>IF($L82="","",L82-K82)</f>
      </c>
      <c r="N82" s="3">
        <f>IF($L82="","",M82*16.67%)</f>
      </c>
      <c r="O82" s="3">
        <f>IF($L82="","",L82/100*11)</f>
      </c>
      <c r="P82" s="3">
        <v>8.99</v>
      </c>
      <c r="Q82" s="3">
        <f>IF($L82="","",L82*1%)</f>
      </c>
      <c r="R82" s="3"/>
      <c r="S82" s="3">
        <f>IF($L82="","",R82*20%)</f>
      </c>
      <c r="T82" s="3">
        <v>1</v>
      </c>
      <c r="U82" s="3">
        <f>IF($L82="","",M82-N82-O82-P82-Q82-R82-S82-T82)</f>
      </c>
      <c r="V82" s="3">
        <f>IF($L82="","",(U82-X82)/K82*100)</f>
      </c>
      <c r="W82" s="3">
        <f>IF($L82="","",N82-S82)</f>
      </c>
      <c r="Y82" s="3">
        <f>IF($L82="","",U82-X82)</f>
      </c>
    </row>
    <row r="83" spans="1:25" x14ac:dyDescent="0.25">
      <c r="A83" s="1"/>
      <c r="D83" s="2"/>
      <c r="K83" s="3"/>
      <c r="L83" s="3"/>
      <c r="M83" s="3">
        <f>IF($L83="","",L83-K83)</f>
      </c>
      <c r="N83" s="3">
        <f>IF($L83="","",M83*16.67%)</f>
      </c>
      <c r="O83" s="3">
        <f>IF($L83="","",L83/100*11)</f>
      </c>
      <c r="P83" s="3">
        <v>8.99</v>
      </c>
      <c r="Q83" s="3">
        <f>IF($L83="","",L83*1%)</f>
      </c>
      <c r="R83" s="3"/>
      <c r="S83" s="3">
        <f>IF($L83="","",R83*20%)</f>
      </c>
      <c r="T83" s="3">
        <v>1</v>
      </c>
      <c r="U83" s="3">
        <f>IF($L83="","",M83-N83-O83-P83-Q83-R83-S83-T83)</f>
      </c>
      <c r="V83" s="3">
        <f>IF($L83="","",(U83-X83)/K83*100)</f>
      </c>
      <c r="W83" s="3">
        <f>IF($L83="","",N83-S83)</f>
      </c>
      <c r="Y83" s="3">
        <f>IF($L83="","",U83-X83)</f>
      </c>
    </row>
    <row r="84" spans="1:25" x14ac:dyDescent="0.25">
      <c r="A84" s="1"/>
      <c r="D84" s="2"/>
      <c r="K84" s="3"/>
      <c r="L84" s="3"/>
      <c r="M84" s="3">
        <f>IF($L84="","",L84-K84)</f>
      </c>
      <c r="N84" s="3">
        <f>IF($L84="","",M84*16.67%)</f>
      </c>
      <c r="O84" s="3">
        <f>IF($L84="","",L84/100*11)</f>
      </c>
      <c r="P84" s="3">
        <v>8.99</v>
      </c>
      <c r="Q84" s="3">
        <f>IF($L84="","",L84*1%)</f>
      </c>
      <c r="R84" s="3"/>
      <c r="S84" s="3">
        <f>IF($L84="","",R84*20%)</f>
      </c>
      <c r="T84" s="3">
        <v>1</v>
      </c>
      <c r="U84" s="3">
        <f>IF($L84="","",M84-N84-O84-P84-Q84-R84-S84-T84)</f>
      </c>
      <c r="V84" s="3">
        <f>IF($L84="","",(U84-X84)/K84*100)</f>
      </c>
      <c r="W84" s="3">
        <f>IF($L84="","",N84-S84)</f>
      </c>
      <c r="Y84" s="3">
        <f>IF($L84="","",U84-X84)</f>
      </c>
    </row>
    <row r="85" spans="1:25" x14ac:dyDescent="0.25">
      <c r="A85" s="1"/>
      <c r="D85" s="2"/>
      <c r="K85" s="3"/>
      <c r="L85" s="3"/>
      <c r="M85" s="3">
        <f>IF($L85="","",L85-K85)</f>
      </c>
      <c r="N85" s="3">
        <f>IF($L85="","",M85*16.67%)</f>
      </c>
      <c r="O85" s="3">
        <f>IF($L85="","",L85/100*11)</f>
      </c>
      <c r="P85" s="3">
        <v>8.99</v>
      </c>
      <c r="Q85" s="3">
        <f>IF($L85="","",L85*1%)</f>
      </c>
      <c r="R85" s="3"/>
      <c r="S85" s="3">
        <f>IF($L85="","",R85*20%)</f>
      </c>
      <c r="T85" s="3">
        <v>1</v>
      </c>
      <c r="U85" s="3">
        <f>IF($L85="","",M85-N85-O85-P85-Q85-R85-S85-T85)</f>
      </c>
      <c r="V85" s="3">
        <f>IF($L85="","",(U85-X85)/K85*100)</f>
      </c>
      <c r="W85" s="3">
        <f>IF($L85="","",N85-S85)</f>
      </c>
      <c r="Y85" s="3">
        <f>IF($L85="","",U85-X85)</f>
      </c>
    </row>
    <row r="86" spans="1:25" x14ac:dyDescent="0.25">
      <c r="A86" s="1"/>
      <c r="D86" s="2"/>
      <c r="K86" s="3"/>
      <c r="L86" s="3"/>
      <c r="M86" s="3">
        <f>IF($L86="","",L86-K86)</f>
      </c>
      <c r="N86" s="3">
        <f>IF($L86="","",M86*16.67%)</f>
      </c>
      <c r="O86" s="3">
        <f>IF($L86="","",L86/100*11)</f>
      </c>
      <c r="P86" s="3">
        <v>8.99</v>
      </c>
      <c r="Q86" s="3">
        <f>IF($L86="","",L86*1%)</f>
      </c>
      <c r="R86" s="3"/>
      <c r="S86" s="3">
        <f>IF($L86="","",R86*20%)</f>
      </c>
      <c r="T86" s="3">
        <v>1</v>
      </c>
      <c r="U86" s="3">
        <f>IF($L86="","",M86-N86-O86-P86-Q86-R86-S86-T86)</f>
      </c>
      <c r="V86" s="3">
        <f>IF($L86="","",(U86-X86)/K86*100)</f>
      </c>
      <c r="W86" s="3">
        <f>IF($L86="","",N86-S86)</f>
      </c>
      <c r="Y86" s="3">
        <f>IF($L86="","",U86-X86)</f>
      </c>
    </row>
    <row r="87" spans="1:25" x14ac:dyDescent="0.25">
      <c r="A87" s="1"/>
      <c r="D87" s="2"/>
      <c r="K87" s="3"/>
      <c r="L87" s="3"/>
      <c r="M87" s="3">
        <f>IF($L87="","",L87-K87)</f>
      </c>
      <c r="N87" s="3">
        <f>IF($L87="","",M87*16.67%)</f>
      </c>
      <c r="O87" s="3">
        <f>IF($L87="","",L87/100*11)</f>
      </c>
      <c r="P87" s="3">
        <v>8.99</v>
      </c>
      <c r="Q87" s="3">
        <f>IF($L87="","",L87*1%)</f>
      </c>
      <c r="R87" s="3"/>
      <c r="S87" s="3">
        <f>IF($L87="","",R87*20%)</f>
      </c>
      <c r="T87" s="3">
        <v>1</v>
      </c>
      <c r="U87" s="3">
        <f>IF($L87="","",M87-N87-O87-P87-Q87-R87-S87-T87)</f>
      </c>
      <c r="V87" s="3">
        <f>IF($L87="","",(U87-X87)/K87*100)</f>
      </c>
      <c r="W87" s="3">
        <f>IF($L87="","",N87-S87)</f>
      </c>
      <c r="Y87" s="3">
        <f>IF($L87="","",U87-X87)</f>
      </c>
    </row>
    <row r="88" spans="1:25" x14ac:dyDescent="0.25">
      <c r="A88" s="1"/>
      <c r="D88" s="2"/>
      <c r="K88" s="3"/>
      <c r="L88" s="3"/>
      <c r="M88" s="3">
        <f>IF($L88="","",L88-K88)</f>
      </c>
      <c r="N88" s="3">
        <f>IF($L88="","",M88*16.67%)</f>
      </c>
      <c r="O88" s="3">
        <f>IF($L88="","",L88/100*11)</f>
      </c>
      <c r="P88" s="3">
        <v>8.99</v>
      </c>
      <c r="Q88" s="3">
        <f>IF($L88="","",L88*1%)</f>
      </c>
      <c r="R88" s="3"/>
      <c r="S88" s="3">
        <f>IF($L88="","",R88*20%)</f>
      </c>
      <c r="T88" s="3">
        <v>1</v>
      </c>
      <c r="U88" s="3">
        <f>IF($L88="","",M88-N88-O88-P88-Q88-R88-S88-T88)</f>
      </c>
      <c r="V88" s="3">
        <f>IF($L88="","",(U88-X88)/K88*100)</f>
      </c>
      <c r="W88" s="3">
        <f>IF($L88="","",N88-S88)</f>
      </c>
      <c r="Y88" s="3">
        <f>IF($L88="","",U88-X88)</f>
      </c>
    </row>
    <row r="89" spans="1:25" x14ac:dyDescent="0.25">
      <c r="A89" s="1"/>
      <c r="D89" s="2"/>
      <c r="K89" s="3"/>
      <c r="L89" s="3"/>
      <c r="M89" s="3">
        <f>IF($L89="","",L89-K89)</f>
      </c>
      <c r="N89" s="3">
        <f>IF($L89="","",M89*16.67%)</f>
      </c>
      <c r="O89" s="3">
        <f>IF($L89="","",L89/100*11)</f>
      </c>
      <c r="P89" s="3">
        <v>8.99</v>
      </c>
      <c r="Q89" s="3">
        <f>IF($L89="","",L89*1%)</f>
      </c>
      <c r="R89" s="3"/>
      <c r="S89" s="3">
        <f>IF($L89="","",R89*20%)</f>
      </c>
      <c r="T89" s="3">
        <v>1</v>
      </c>
      <c r="U89" s="3">
        <f>IF($L89="","",M89-N89-O89-P89-Q89-R89-S89-T89)</f>
      </c>
      <c r="V89" s="3">
        <f>IF($L89="","",(U89-X89)/K89*100)</f>
      </c>
      <c r="W89" s="3">
        <f>IF($L89="","",N89-S89)</f>
      </c>
      <c r="Y89" s="3">
        <f>IF($L89="","",U89-X89)</f>
      </c>
    </row>
    <row r="90" spans="1:25" x14ac:dyDescent="0.25">
      <c r="A90" s="1"/>
      <c r="D90" s="2"/>
      <c r="K90" s="3"/>
      <c r="L90" s="3"/>
      <c r="M90" s="3">
        <f>IF($L90="","",L90-K90)</f>
      </c>
      <c r="N90" s="3">
        <f>IF($L90="","",M90*16.67%)</f>
      </c>
      <c r="O90" s="3">
        <f>IF($L90="","",L90/100*11)</f>
      </c>
      <c r="P90" s="3">
        <v>8.99</v>
      </c>
      <c r="Q90" s="3">
        <f>IF($L90="","",L90*1%)</f>
      </c>
      <c r="R90" s="3"/>
      <c r="S90" s="3">
        <f>IF($L90="","",R90*20%)</f>
      </c>
      <c r="T90" s="3">
        <v>1</v>
      </c>
      <c r="U90" s="3">
        <f>IF($L90="","",M90-N90-O90-P90-Q90-R90-S90-T90)</f>
      </c>
      <c r="V90" s="3">
        <f>IF($L90="","",(U90-X90)/K90*100)</f>
      </c>
      <c r="W90" s="3">
        <f>IF($L90="","",N90-S90)</f>
      </c>
      <c r="Y90" s="3">
        <f>IF($L90="","",U90-X90)</f>
      </c>
    </row>
    <row r="91" spans="1:25" x14ac:dyDescent="0.25">
      <c r="A91" s="1"/>
      <c r="D91" s="2"/>
      <c r="K91" s="3"/>
      <c r="L91" s="3"/>
      <c r="M91" s="3">
        <f>IF($L91="","",L91-K91)</f>
      </c>
      <c r="N91" s="3">
        <f>IF($L91="","",M91*16.67%)</f>
      </c>
      <c r="O91" s="3">
        <f>IF($L91="","",L91/100*11)</f>
      </c>
      <c r="P91" s="3">
        <v>8.99</v>
      </c>
      <c r="Q91" s="3">
        <f>IF($L91="","",L91*1%)</f>
      </c>
      <c r="R91" s="3"/>
      <c r="S91" s="3">
        <f>IF($L91="","",R91*20%)</f>
      </c>
      <c r="T91" s="3">
        <v>1</v>
      </c>
      <c r="U91" s="3">
        <f>IF($L91="","",M91-N91-O91-P91-Q91-R91-S91-T91)</f>
      </c>
      <c r="V91" s="3">
        <f>IF($L91="","",(U91-X91)/K91*100)</f>
      </c>
      <c r="W91" s="3">
        <f>IF($L91="","",N91-S91)</f>
      </c>
      <c r="Y91" s="3">
        <f>IF($L91="","",U91-X91)</f>
      </c>
    </row>
    <row r="92" spans="1:25" x14ac:dyDescent="0.25">
      <c r="A92" s="1"/>
      <c r="D92" s="2"/>
      <c r="K92" s="3"/>
      <c r="L92" s="3"/>
      <c r="M92" s="3">
        <f>IF($L92="","",L92-K92)</f>
      </c>
      <c r="N92" s="3">
        <f>IF($L92="","",M92*16.67%)</f>
      </c>
      <c r="O92" s="3">
        <f>IF($L92="","",L92/100*11)</f>
      </c>
      <c r="P92" s="3">
        <v>8.99</v>
      </c>
      <c r="Q92" s="3">
        <f>IF($L92="","",L92*1%)</f>
      </c>
      <c r="R92" s="3"/>
      <c r="S92" s="3">
        <f>IF($L92="","",R92*20%)</f>
      </c>
      <c r="T92" s="3">
        <v>1</v>
      </c>
      <c r="U92" s="3">
        <f>IF($L92="","",M92-N92-O92-P92-Q92-R92-S92-T92)</f>
      </c>
      <c r="V92" s="3">
        <f>IF($L92="","",(U92-X92)/K92*100)</f>
      </c>
      <c r="W92" s="3">
        <f>IF($L92="","",N92-S92)</f>
      </c>
      <c r="Y92" s="3">
        <f>IF($L92="","",U92-X92)</f>
      </c>
    </row>
    <row r="93" spans="1:25" x14ac:dyDescent="0.25">
      <c r="A93" s="1"/>
      <c r="D93" s="2"/>
      <c r="K93" s="3"/>
      <c r="L93" s="3"/>
      <c r="M93" s="3">
        <f>IF($L93="","",L93-K93)</f>
      </c>
      <c r="N93" s="3">
        <f>IF($L93="","",M93*16.67%)</f>
      </c>
      <c r="O93" s="3">
        <f>IF($L93="","",L93/100*11)</f>
      </c>
      <c r="P93" s="3">
        <v>8.99</v>
      </c>
      <c r="Q93" s="3">
        <f>IF($L93="","",L93*1%)</f>
      </c>
      <c r="R93" s="3"/>
      <c r="S93" s="3">
        <f>IF($L93="","",R93*20%)</f>
      </c>
      <c r="T93" s="3">
        <v>1</v>
      </c>
      <c r="U93" s="3">
        <f>IF($L93="","",M93-N93-O93-P93-Q93-R93-S93-T93)</f>
      </c>
      <c r="V93" s="3">
        <f>IF($L93="","",(U93-X93)/K93*100)</f>
      </c>
      <c r="W93" s="3">
        <f>IF($L93="","",N93-S93)</f>
      </c>
      <c r="Y93" s="3">
        <f>IF($L93="","",U93-X93)</f>
      </c>
    </row>
    <row r="94" spans="1:25" x14ac:dyDescent="0.25">
      <c r="A94" s="1"/>
      <c r="D94" s="2"/>
      <c r="K94" s="3"/>
      <c r="L94" s="3"/>
      <c r="M94" s="3">
        <f>IF($L94="","",L94-K94)</f>
      </c>
      <c r="N94" s="3">
        <f>IF($L94="","",M94*16.67%)</f>
      </c>
      <c r="O94" s="3">
        <f>IF($L94="","",L94/100*11)</f>
      </c>
      <c r="P94" s="3">
        <v>8.99</v>
      </c>
      <c r="Q94" s="3">
        <f>IF($L94="","",L94*1%)</f>
      </c>
      <c r="R94" s="3"/>
      <c r="S94" s="3">
        <f>IF($L94="","",R94*20%)</f>
      </c>
      <c r="T94" s="3">
        <v>1</v>
      </c>
      <c r="U94" s="3">
        <f>IF($L94="","",M94-N94-O94-P94-Q94-R94-S94-T94)</f>
      </c>
      <c r="V94" s="3">
        <f>IF($L94="","",(U94-X94)/K94*100)</f>
      </c>
      <c r="W94" s="3">
        <f>IF($L94="","",N94-S94)</f>
      </c>
      <c r="Y94" s="3">
        <f>IF($L94="","",U94-X94)</f>
      </c>
    </row>
    <row r="95" spans="1:25" x14ac:dyDescent="0.25">
      <c r="A95" s="1"/>
      <c r="D95" s="2"/>
      <c r="K95" s="3"/>
      <c r="L95" s="3"/>
      <c r="M95" s="3">
        <f>IF($L95="","",L95-K95)</f>
      </c>
      <c r="N95" s="3">
        <f>IF($L95="","",M95*16.67%)</f>
      </c>
      <c r="O95" s="3">
        <f>IF($L95="","",L95/100*11)</f>
      </c>
      <c r="P95" s="3">
        <v>8.99</v>
      </c>
      <c r="Q95" s="3">
        <f>IF($L95="","",L95*1%)</f>
      </c>
      <c r="R95" s="3"/>
      <c r="S95" s="3">
        <f>IF($L95="","",R95*20%)</f>
      </c>
      <c r="T95" s="3">
        <v>1</v>
      </c>
      <c r="U95" s="3">
        <f>IF($L95="","",M95-N95-O95-P95-Q95-R95-S95-T95)</f>
      </c>
      <c r="V95" s="3">
        <f>IF($L95="","",(U95-X95)/K95*100)</f>
      </c>
      <c r="W95" s="3">
        <f>IF($L95="","",N95-S95)</f>
      </c>
      <c r="Y95" s="3">
        <f>IF($L95="","",U95-X95)</f>
      </c>
    </row>
    <row r="96" spans="1:25" x14ac:dyDescent="0.25">
      <c r="A96" s="1"/>
      <c r="D96" s="2"/>
      <c r="K96" s="3"/>
      <c r="L96" s="3"/>
      <c r="M96" s="3">
        <f>IF($L96="","",L96-K96)</f>
      </c>
      <c r="N96" s="3">
        <f>IF($L96="","",M96*16.67%)</f>
      </c>
      <c r="O96" s="3">
        <f>IF($L96="","",L96/100*11)</f>
      </c>
      <c r="P96" s="3">
        <v>8.99</v>
      </c>
      <c r="Q96" s="3">
        <f>IF($L96="","",L96*1%)</f>
      </c>
      <c r="R96" s="3"/>
      <c r="S96" s="3">
        <f>IF($L96="","",R96*20%)</f>
      </c>
      <c r="T96" s="3">
        <v>1</v>
      </c>
      <c r="U96" s="3">
        <f>IF($L96="","",M96-N96-O96-P96-Q96-R96-S96-T96)</f>
      </c>
      <c r="V96" s="3">
        <f>IF($L96="","",(U96-X96)/K96*100)</f>
      </c>
      <c r="W96" s="3">
        <f>IF($L96="","",N96-S96)</f>
      </c>
      <c r="Y96" s="3">
        <f>IF($L96="","",U96-X96)</f>
      </c>
    </row>
    <row r="97" spans="1:25" x14ac:dyDescent="0.25">
      <c r="A97" s="1"/>
      <c r="D97" s="2"/>
      <c r="K97" s="3"/>
      <c r="L97" s="3"/>
      <c r="M97" s="3">
        <f>IF($L97="","",L97-K97)</f>
      </c>
      <c r="N97" s="3">
        <f>IF($L97="","",M97*16.67%)</f>
      </c>
      <c r="O97" s="3">
        <f>IF($L97="","",L97/100*11)</f>
      </c>
      <c r="P97" s="3">
        <v>8.99</v>
      </c>
      <c r="Q97" s="3">
        <f>IF($L97="","",L97*1%)</f>
      </c>
      <c r="R97" s="3"/>
      <c r="S97" s="3">
        <f>IF($L97="","",R97*20%)</f>
      </c>
      <c r="T97" s="3">
        <v>1</v>
      </c>
      <c r="U97" s="3">
        <f>IF($L97="","",M97-N97-O97-P97-Q97-R97-S97-T97)</f>
      </c>
      <c r="V97" s="3">
        <f>IF($L97="","",(U97-X97)/K97*100)</f>
      </c>
      <c r="W97" s="3">
        <f>IF($L97="","",N97-S97)</f>
      </c>
      <c r="Y97" s="3">
        <f>IF($L97="","",U97-X97)</f>
      </c>
    </row>
    <row r="98" spans="1:25" x14ac:dyDescent="0.25">
      <c r="A98" s="1"/>
      <c r="D98" s="2"/>
      <c r="K98" s="3"/>
      <c r="L98" s="3"/>
      <c r="M98" s="3">
        <f>IF($L98="","",L98-K98)</f>
      </c>
      <c r="N98" s="3">
        <f>IF($L98="","",M98*16.67%)</f>
      </c>
      <c r="O98" s="3">
        <f>IF($L98="","",L98/100*11)</f>
      </c>
      <c r="P98" s="3">
        <v>8.99</v>
      </c>
      <c r="Q98" s="3">
        <f>IF($L98="","",L98*1%)</f>
      </c>
      <c r="R98" s="3"/>
      <c r="S98" s="3">
        <f>IF($L98="","",R98*20%)</f>
      </c>
      <c r="T98" s="3">
        <v>1</v>
      </c>
      <c r="U98" s="3">
        <f>IF($L98="","",M98-N98-O98-P98-Q98-R98-S98-T98)</f>
      </c>
      <c r="V98" s="3">
        <f>IF($L98="","",(U98-X98)/K98*100)</f>
      </c>
      <c r="W98" s="3">
        <f>IF($L98="","",N98-S98)</f>
      </c>
      <c r="Y98" s="3">
        <f>IF($L98="","",U98-X98)</f>
      </c>
    </row>
    <row r="99" spans="1:25" x14ac:dyDescent="0.25">
      <c r="A99" s="1"/>
      <c r="D99" s="2"/>
      <c r="K99" s="3"/>
      <c r="L99" s="3"/>
      <c r="M99" s="3">
        <f>IF($L99="","",L99-K99)</f>
      </c>
      <c r="N99" s="3">
        <f>IF($L99="","",M99*16.67%)</f>
      </c>
      <c r="O99" s="3">
        <f>IF($L99="","",L99/100*11)</f>
      </c>
      <c r="P99" s="3">
        <v>8.99</v>
      </c>
      <c r="Q99" s="3">
        <f>IF($L99="","",L99*1%)</f>
      </c>
      <c r="R99" s="3"/>
      <c r="S99" s="3">
        <f>IF($L99="","",R99*20%)</f>
      </c>
      <c r="T99" s="3">
        <v>1</v>
      </c>
      <c r="U99" s="3">
        <f>IF($L99="","",M99-N99-O99-P99-Q99-R99-S99-T99)</f>
      </c>
      <c r="V99" s="3">
        <f>IF($L99="","",(U99-X99)/K99*100)</f>
      </c>
      <c r="W99" s="3">
        <f>IF($L99="","",N99-S99)</f>
      </c>
      <c r="Y99" s="3">
        <f>IF($L99="","",U99-X99)</f>
      </c>
    </row>
    <row r="100" spans="1:25" x14ac:dyDescent="0.25">
      <c r="A100" s="1"/>
      <c r="D100" s="2"/>
      <c r="K100" s="3"/>
      <c r="L100" s="3"/>
      <c r="M100" s="3">
        <f>IF($L100="","",L100-K100)</f>
      </c>
      <c r="N100" s="3">
        <f>IF($L100="","",M100*16.67%)</f>
      </c>
      <c r="O100" s="3">
        <f>IF($L100="","",L100/100*11)</f>
      </c>
      <c r="P100" s="3">
        <v>8.99</v>
      </c>
      <c r="Q100" s="3">
        <f>IF($L100="","",L100*1%)</f>
      </c>
      <c r="R100" s="3"/>
      <c r="S100" s="3">
        <f>IF($L100="","",R100*20%)</f>
      </c>
      <c r="T100" s="3">
        <v>1</v>
      </c>
      <c r="U100" s="3">
        <f>IF($L100="","",M100-N100-O100-P100-Q100-R100-S100-T100)</f>
      </c>
      <c r="V100" s="3">
        <f>IF($L100="","",(U100-X100)/K100*100)</f>
      </c>
      <c r="W100" s="3">
        <f>IF($L100="","",N100-S100)</f>
      </c>
      <c r="Y100" s="3">
        <f>IF($L100="","",U100-X100)</f>
      </c>
    </row>
    <row r="101" spans="1:25" x14ac:dyDescent="0.25">
      <c r="A101" s="1"/>
      <c r="D101" s="2"/>
      <c r="K101" s="3"/>
      <c r="L101" s="3"/>
      <c r="M101" s="3">
        <f>IF($L101="","",L101-K101)</f>
      </c>
      <c r="N101" s="3">
        <f>IF($L101="","",M101*16.67%)</f>
      </c>
      <c r="O101" s="3">
        <f>IF($L101="","",L101/100*11)</f>
      </c>
      <c r="P101" s="3">
        <v>8.99</v>
      </c>
      <c r="Q101" s="3">
        <f>IF($L101="","",L101*1%)</f>
      </c>
      <c r="R101" s="3"/>
      <c r="S101" s="3">
        <f>IF($L101="","",R101*20%)</f>
      </c>
      <c r="T101" s="3">
        <v>1</v>
      </c>
      <c r="U101" s="3">
        <f>IF($L101="","",M101-N101-O101-P101-Q101-R101-S101-T101)</f>
      </c>
      <c r="V101" s="3">
        <f>IF($L101="","",(U101-X101)/K101*100)</f>
      </c>
      <c r="W101" s="3">
        <f>IF($L101="","",N101-S101)</f>
      </c>
      <c r="Y101" s="3">
        <f>IF($L101="","",U101-X101)</f>
      </c>
    </row>
    <row r="102" spans="1:25" x14ac:dyDescent="0.25">
      <c r="A102" s="1"/>
      <c r="D102" s="2"/>
      <c r="K102" s="3"/>
      <c r="L102" s="3"/>
      <c r="M102" s="3">
        <f>IF($L102="","",L102-K102)</f>
      </c>
      <c r="N102" s="3">
        <f>IF($L102="","",M102*16.67%)</f>
      </c>
      <c r="O102" s="3">
        <f>IF($L102="","",L102/100*11)</f>
      </c>
      <c r="P102" s="3">
        <v>8.99</v>
      </c>
      <c r="Q102" s="3">
        <f>IF($L102="","",L102*1%)</f>
      </c>
      <c r="R102" s="3"/>
      <c r="S102" s="3">
        <f>IF($L102="","",R102*20%)</f>
      </c>
      <c r="T102" s="3">
        <v>1</v>
      </c>
      <c r="U102" s="3">
        <f>IF($L102="","",M102-N102-O102-P102-Q102-R102-S102-T102)</f>
      </c>
      <c r="V102" s="3">
        <f>IF($L102="","",(U102-X102)/K102*100)</f>
      </c>
      <c r="W102" s="3">
        <f>IF($L102="","",N102-S102)</f>
      </c>
      <c r="Y102" s="3">
        <f>IF($L102="","",U102-X102)</f>
      </c>
    </row>
    <row r="103" spans="1:25" x14ac:dyDescent="0.25">
      <c r="A103" s="1"/>
      <c r="D103" s="2"/>
      <c r="K103" s="3"/>
      <c r="L103" s="3"/>
      <c r="M103" s="3">
        <f>IF($L103="","",L103-K103)</f>
      </c>
      <c r="N103" s="3">
        <f>IF($L103="","",M103*16.67%)</f>
      </c>
      <c r="O103" s="3">
        <f>IF($L103="","",L103/100*11)</f>
      </c>
      <c r="P103" s="3">
        <v>8.99</v>
      </c>
      <c r="Q103" s="3">
        <f>IF($L103="","",L103*1%)</f>
      </c>
      <c r="R103" s="3"/>
      <c r="S103" s="3">
        <f>IF($L103="","",R103*20%)</f>
      </c>
      <c r="T103" s="3">
        <v>1</v>
      </c>
      <c r="U103" s="3">
        <f>IF($L103="","",M103-N103-O103-P103-Q103-R103-S103-T103)</f>
      </c>
      <c r="V103" s="3">
        <f>IF($L103="","",(U103-X103)/K103*100)</f>
      </c>
      <c r="W103" s="3">
        <f>IF($L103="","",N103-S103)</f>
      </c>
      <c r="Y103" s="3">
        <f>IF($L103="","",U103-X103)</f>
      </c>
    </row>
    <row r="104" spans="1:25" x14ac:dyDescent="0.25">
      <c r="A104" s="1"/>
      <c r="D104" s="2"/>
      <c r="K104" s="3"/>
      <c r="L104" s="3"/>
      <c r="M104" s="3">
        <f>IF($L104="","",L104-K104)</f>
      </c>
      <c r="N104" s="3">
        <f>IF($L104="","",M104*16.67%)</f>
      </c>
      <c r="O104" s="3">
        <f>IF($L104="","",L104/100*11)</f>
      </c>
      <c r="P104" s="3">
        <v>8.99</v>
      </c>
      <c r="Q104" s="3">
        <f>IF($L104="","",L104*1%)</f>
      </c>
      <c r="R104" s="3"/>
      <c r="S104" s="3">
        <f>IF($L104="","",R104*20%)</f>
      </c>
      <c r="T104" s="3">
        <v>1</v>
      </c>
      <c r="U104" s="3">
        <f>IF($L104="","",M104-N104-O104-P104-Q104-R104-S104-T104)</f>
      </c>
      <c r="V104" s="3">
        <f>IF($L104="","",(U104-X104)/K104*100)</f>
      </c>
      <c r="W104" s="3">
        <f>IF($L104="","",N104-S104)</f>
      </c>
      <c r="Y104" s="3">
        <f>IF($L104="","",U104-X104)</f>
      </c>
    </row>
    <row r="105" spans="1:25" x14ac:dyDescent="0.25">
      <c r="A105" s="1"/>
      <c r="D105" s="2"/>
      <c r="K105" s="3"/>
      <c r="L105" s="3"/>
      <c r="M105" s="3">
        <f>IF($L105="","",L105-K105)</f>
      </c>
      <c r="N105" s="3">
        <f>IF($L105="","",M105*16.67%)</f>
      </c>
      <c r="O105" s="3">
        <f>IF($L105="","",L105/100*11)</f>
      </c>
      <c r="P105" s="3">
        <v>8.99</v>
      </c>
      <c r="Q105" s="3">
        <f>IF($L105="","",L105*1%)</f>
      </c>
      <c r="R105" s="3"/>
      <c r="S105" s="3">
        <f>IF($L105="","",R105*20%)</f>
      </c>
      <c r="T105" s="3">
        <v>1</v>
      </c>
      <c r="U105" s="3">
        <f>IF($L105="","",M105-N105-O105-P105-Q105-R105-S105-T105)</f>
      </c>
      <c r="V105" s="3">
        <f>IF($L105="","",(U105-X105)/K105*100)</f>
      </c>
      <c r="W105" s="3">
        <f>IF($L105="","",N105-S105)</f>
      </c>
      <c r="Y105" s="3">
        <f>IF($L105="","",U105-X105)</f>
      </c>
    </row>
    <row r="106" spans="1:25" x14ac:dyDescent="0.25">
      <c r="A106" s="1"/>
      <c r="D106" s="2"/>
      <c r="K106" s="3"/>
      <c r="L106" s="3"/>
      <c r="M106" s="3">
        <f>IF($L106="","",L106-K106)</f>
      </c>
      <c r="N106" s="3">
        <f>IF($L106="","",M106*16.67%)</f>
      </c>
      <c r="O106" s="3">
        <f>IF($L106="","",L106/100*11)</f>
      </c>
      <c r="P106" s="3">
        <v>8.99</v>
      </c>
      <c r="Q106" s="3">
        <f>IF($L106="","",L106*1%)</f>
      </c>
      <c r="R106" s="3"/>
      <c r="S106" s="3">
        <f>IF($L106="","",R106*20%)</f>
      </c>
      <c r="T106" s="3">
        <v>1</v>
      </c>
      <c r="U106" s="3">
        <f>IF($L106="","",M106-N106-O106-P106-Q106-R106-S106-T106)</f>
      </c>
      <c r="V106" s="3">
        <f>IF($L106="","",(U106-X106)/K106*100)</f>
      </c>
      <c r="W106" s="3">
        <f>IF($L106="","",N106-S106)</f>
      </c>
      <c r="Y106" s="3">
        <f>IF($L106="","",U106-X106)</f>
      </c>
    </row>
    <row r="107" spans="1:25" x14ac:dyDescent="0.25">
      <c r="A107" s="1"/>
      <c r="D107" s="2"/>
      <c r="K107" s="3"/>
      <c r="L107" s="3"/>
      <c r="M107" s="3">
        <f>IF($L107="","",L107-K107)</f>
      </c>
      <c r="N107" s="3">
        <f>IF($L107="","",M107*16.67%)</f>
      </c>
      <c r="O107" s="3">
        <f>IF($L107="","",L107/100*11)</f>
      </c>
      <c r="P107" s="3">
        <v>8.99</v>
      </c>
      <c r="Q107" s="3">
        <f>IF($L107="","",L107*1%)</f>
      </c>
      <c r="R107" s="3"/>
      <c r="S107" s="3">
        <f>IF($L107="","",R107*20%)</f>
      </c>
      <c r="T107" s="3">
        <v>1</v>
      </c>
      <c r="U107" s="3">
        <f>IF($L107="","",M107-N107-O107-P107-Q107-R107-S107-T107)</f>
      </c>
      <c r="V107" s="3">
        <f>IF($L107="","",(U107-X107)/K107*100)</f>
      </c>
      <c r="W107" s="3">
        <f>IF($L107="","",N107-S107)</f>
      </c>
      <c r="Y107" s="3">
        <f>IF($L107="","",U107-X107)</f>
      </c>
    </row>
    <row r="108" spans="1:25" x14ac:dyDescent="0.25">
      <c r="A108" s="1"/>
      <c r="D108" s="2"/>
      <c r="K108" s="3"/>
      <c r="L108" s="3"/>
      <c r="M108" s="3">
        <f>IF($L108="","",L108-K108)</f>
      </c>
      <c r="N108" s="3">
        <f>IF($L108="","",M108*16.67%)</f>
      </c>
      <c r="O108" s="3">
        <f>IF($L108="","",L108/100*11)</f>
      </c>
      <c r="P108" s="3">
        <v>8.99</v>
      </c>
      <c r="Q108" s="3">
        <f>IF($L108="","",L108*1%)</f>
      </c>
      <c r="R108" s="3"/>
      <c r="S108" s="3">
        <f>IF($L108="","",R108*20%)</f>
      </c>
      <c r="T108" s="3">
        <v>1</v>
      </c>
      <c r="U108" s="3">
        <f>IF($L108="","",M108-N108-O108-P108-Q108-R108-S108-T108)</f>
      </c>
      <c r="V108" s="3">
        <f>IF($L108="","",(U108-X108)/K108*100)</f>
      </c>
      <c r="W108" s="3">
        <f>IF($L108="","",N108-S108)</f>
      </c>
      <c r="Y108" s="3">
        <f>IF($L108="","",U108-X108)</f>
      </c>
    </row>
    <row r="109" spans="1:25" x14ac:dyDescent="0.25">
      <c r="A109" s="1"/>
      <c r="D109" s="2"/>
      <c r="K109" s="3"/>
      <c r="L109" s="3"/>
      <c r="M109" s="3">
        <f>IF($L109="","",L109-K109)</f>
      </c>
      <c r="N109" s="3">
        <f>IF($L109="","",M109*16.67%)</f>
      </c>
      <c r="O109" s="3">
        <f>IF($L109="","",L109/100*11)</f>
      </c>
      <c r="P109" s="3">
        <v>8.99</v>
      </c>
      <c r="Q109" s="3">
        <f>IF($L109="","",L109*1%)</f>
      </c>
      <c r="R109" s="3"/>
      <c r="S109" s="3">
        <f>IF($L109="","",R109*20%)</f>
      </c>
      <c r="T109" s="3">
        <v>1</v>
      </c>
      <c r="U109" s="3">
        <f>IF($L109="","",M109-N109-O109-P109-Q109-R109-S109-T109)</f>
      </c>
      <c r="V109" s="3">
        <f>IF($L109="","",(U109-X109)/K109*100)</f>
      </c>
      <c r="W109" s="3">
        <f>IF($L109="","",N109-S109)</f>
      </c>
      <c r="Y109" s="3">
        <f>IF($L109="","",U109-X109)</f>
      </c>
    </row>
    <row r="110" spans="1:25" x14ac:dyDescent="0.25">
      <c r="A110" s="1"/>
      <c r="D110" s="2"/>
      <c r="K110" s="3"/>
      <c r="L110" s="3"/>
      <c r="M110" s="3">
        <f>IF($L110="","",L110-K110)</f>
      </c>
      <c r="N110" s="3">
        <f>IF($L110="","",M110*16.67%)</f>
      </c>
      <c r="O110" s="3">
        <f>IF($L110="","",L110/100*11)</f>
      </c>
      <c r="P110" s="3">
        <v>8.99</v>
      </c>
      <c r="Q110" s="3">
        <f>IF($L110="","",L110*1%)</f>
      </c>
      <c r="R110" s="3"/>
      <c r="S110" s="3">
        <f>IF($L110="","",R110*20%)</f>
      </c>
      <c r="T110" s="3">
        <v>1</v>
      </c>
      <c r="U110" s="3">
        <f>IF($L110="","",M110-N110-O110-P110-Q110-R110-S110-T110)</f>
      </c>
      <c r="V110" s="3">
        <f>IF($L110="","",(U110-X110)/K110*100)</f>
      </c>
      <c r="W110" s="3">
        <f>IF($L110="","",N110-S110)</f>
      </c>
      <c r="Y110" s="3">
        <f>IF($L110="","",U110-X110)</f>
      </c>
    </row>
    <row r="111" spans="1:25" x14ac:dyDescent="0.25">
      <c r="A111" s="1"/>
      <c r="D111" s="2"/>
      <c r="K111" s="3"/>
      <c r="L111" s="3"/>
      <c r="M111" s="3">
        <f>IF($L111="","",L111-K111)</f>
      </c>
      <c r="N111" s="3">
        <f>IF($L111="","",M111*16.67%)</f>
      </c>
      <c r="O111" s="3">
        <f>IF($L111="","",L111/100*11)</f>
      </c>
      <c r="P111" s="3">
        <v>8.99</v>
      </c>
      <c r="Q111" s="3">
        <f>IF($L111="","",L111*1%)</f>
      </c>
      <c r="R111" s="3"/>
      <c r="S111" s="3">
        <f>IF($L111="","",R111*20%)</f>
      </c>
      <c r="T111" s="3">
        <v>1</v>
      </c>
      <c r="U111" s="3">
        <f>IF($L111="","",M111-N111-O111-P111-Q111-R111-S111-T111)</f>
      </c>
      <c r="V111" s="3">
        <f>IF($L111="","",(U111-X111)/K111*100)</f>
      </c>
      <c r="W111" s="3">
        <f>IF($L111="","",N111-S111)</f>
      </c>
      <c r="Y111" s="3">
        <f>IF($L111="","",U111-X111)</f>
      </c>
    </row>
    <row r="112" spans="1:25" x14ac:dyDescent="0.25">
      <c r="A112" s="1"/>
      <c r="D112" s="2"/>
      <c r="K112" s="3"/>
      <c r="L112" s="3"/>
      <c r="M112" s="3">
        <f>IF($L112="","",L112-K112)</f>
      </c>
      <c r="N112" s="3">
        <f>IF($L112="","",M112*16.67%)</f>
      </c>
      <c r="O112" s="3">
        <f>IF($L112="","",L112/100*11)</f>
      </c>
      <c r="P112" s="3">
        <v>8.99</v>
      </c>
      <c r="Q112" s="3">
        <f>IF($L112="","",L112*1%)</f>
      </c>
      <c r="R112" s="3"/>
      <c r="S112" s="3">
        <f>IF($L112="","",R112*20%)</f>
      </c>
      <c r="T112" s="3">
        <v>1</v>
      </c>
      <c r="U112" s="3">
        <f>IF($L112="","",M112-N112-O112-P112-Q112-R112-S112-T112)</f>
      </c>
      <c r="V112" s="3">
        <f>IF($L112="","",(U112-X112)/K112*100)</f>
      </c>
      <c r="W112" s="3">
        <f>IF($L112="","",N112-S112)</f>
      </c>
      <c r="Y112" s="3">
        <f>IF($L112="","",U112-X112)</f>
      </c>
    </row>
    <row r="113" spans="1:25" x14ac:dyDescent="0.25">
      <c r="A113" s="1"/>
      <c r="D113" s="2"/>
      <c r="K113" s="3"/>
      <c r="L113" s="3"/>
      <c r="M113" s="3">
        <f>IF($L113="","",L113-K113)</f>
      </c>
      <c r="N113" s="3">
        <f>IF($L113="","",M113*16.67%)</f>
      </c>
      <c r="O113" s="3">
        <f>IF($L113="","",L113/100*11)</f>
      </c>
      <c r="P113" s="3">
        <v>8.99</v>
      </c>
      <c r="Q113" s="3">
        <f>IF($L113="","",L113*1%)</f>
      </c>
      <c r="R113" s="3"/>
      <c r="S113" s="3">
        <f>IF($L113="","",R113*20%)</f>
      </c>
      <c r="T113" s="3">
        <v>1</v>
      </c>
      <c r="U113" s="3">
        <f>IF($L113="","",M113-N113-O113-P113-Q113-R113-S113-T113)</f>
      </c>
      <c r="V113" s="3">
        <f>IF($L113="","",(U113-X113)/K113*100)</f>
      </c>
      <c r="W113" s="3">
        <f>IF($L113="","",N113-S113)</f>
      </c>
      <c r="Y113" s="3">
        <f>IF($L113="","",U113-X113)</f>
      </c>
    </row>
    <row r="114" spans="1:25" x14ac:dyDescent="0.25">
      <c r="A114" s="1"/>
      <c r="D114" s="2"/>
      <c r="K114" s="3"/>
      <c r="L114" s="3"/>
      <c r="M114" s="3">
        <f>IF($L114="","",L114-K114)</f>
      </c>
      <c r="N114" s="3">
        <f>IF($L114="","",M114*16.67%)</f>
      </c>
      <c r="O114" s="3">
        <f>IF($L114="","",L114/100*11)</f>
      </c>
      <c r="P114" s="3">
        <v>8.99</v>
      </c>
      <c r="Q114" s="3">
        <f>IF($L114="","",L114*1%)</f>
      </c>
      <c r="R114" s="3"/>
      <c r="S114" s="3">
        <f>IF($L114="","",R114*20%)</f>
      </c>
      <c r="T114" s="3">
        <v>1</v>
      </c>
      <c r="U114" s="3">
        <f>IF($L114="","",M114-N114-O114-P114-Q114-R114-S114-T114)</f>
      </c>
      <c r="V114" s="3">
        <f>IF($L114="","",(U114-X114)/K114*100)</f>
      </c>
      <c r="W114" s="3">
        <f>IF($L114="","",N114-S114)</f>
      </c>
      <c r="Y114" s="3">
        <f>IF($L114="","",U114-X114)</f>
      </c>
    </row>
    <row r="115" spans="1:25" x14ac:dyDescent="0.25">
      <c r="A115" s="1"/>
      <c r="D115" s="2"/>
      <c r="K115" s="3"/>
      <c r="L115" s="3"/>
      <c r="M115" s="3">
        <f>IF($L115="","",L115-K115)</f>
      </c>
      <c r="N115" s="3">
        <f>IF($L115="","",M115*16.67%)</f>
      </c>
      <c r="O115" s="3">
        <f>IF($L115="","",L115/100*11)</f>
      </c>
      <c r="P115" s="3">
        <v>8.99</v>
      </c>
      <c r="Q115" s="3">
        <f>IF($L115="","",L115*1%)</f>
      </c>
      <c r="R115" s="3"/>
      <c r="S115" s="3">
        <f>IF($L115="","",R115*20%)</f>
      </c>
      <c r="T115" s="3">
        <v>1</v>
      </c>
      <c r="U115" s="3">
        <f>IF($L115="","",M115-N115-O115-P115-Q115-R115-S115-T115)</f>
      </c>
      <c r="V115" s="3">
        <f>IF($L115="","",(U115-X115)/K115*100)</f>
      </c>
      <c r="W115" s="3">
        <f>IF($L115="","",N115-S115)</f>
      </c>
      <c r="Y115" s="3">
        <f>IF($L115="","",U115-X115)</f>
      </c>
    </row>
    <row r="116" spans="1:25" x14ac:dyDescent="0.25">
      <c r="A116" s="1"/>
      <c r="D116" s="2"/>
      <c r="K116" s="3"/>
      <c r="L116" s="3"/>
      <c r="M116" s="3">
        <f>IF($L116="","",L116-K116)</f>
      </c>
      <c r="N116" s="3">
        <f>IF($L116="","",M116*16.67%)</f>
      </c>
      <c r="O116" s="3">
        <f>IF($L116="","",L116/100*11)</f>
      </c>
      <c r="P116" s="3">
        <v>8.99</v>
      </c>
      <c r="Q116" s="3">
        <f>IF($L116="","",L116*1%)</f>
      </c>
      <c r="R116" s="3"/>
      <c r="S116" s="3">
        <f>IF($L116="","",R116*20%)</f>
      </c>
      <c r="T116" s="3">
        <v>1</v>
      </c>
      <c r="U116" s="3">
        <f>IF($L116="","",M116-N116-O116-P116-Q116-R116-S116-T116)</f>
      </c>
      <c r="V116" s="3">
        <f>IF($L116="","",(U116-X116)/K116*100)</f>
      </c>
      <c r="W116" s="3">
        <f>IF($L116="","",N116-S116)</f>
      </c>
      <c r="Y116" s="3">
        <f>IF($L116="","",U116-X116)</f>
      </c>
    </row>
    <row r="117" spans="1:25" x14ac:dyDescent="0.25">
      <c r="A117" s="1"/>
      <c r="D117" s="2"/>
      <c r="K117" s="3"/>
      <c r="L117" s="3"/>
      <c r="M117" s="3">
        <f>IF($L117="","",L117-K117)</f>
      </c>
      <c r="N117" s="3">
        <f>IF($L117="","",M117*16.67%)</f>
      </c>
      <c r="O117" s="3">
        <f>IF($L117="","",L117/100*11)</f>
      </c>
      <c r="P117" s="3">
        <v>8.99</v>
      </c>
      <c r="Q117" s="3">
        <f>IF($L117="","",L117*1%)</f>
      </c>
      <c r="R117" s="3"/>
      <c r="S117" s="3">
        <f>IF($L117="","",R117*20%)</f>
      </c>
      <c r="T117" s="3">
        <v>1</v>
      </c>
      <c r="U117" s="3">
        <f>IF($L117="","",M117-N117-O117-P117-Q117-R117-S117-T117)</f>
      </c>
      <c r="V117" s="3">
        <f>IF($L117="","",(U117-X117)/K117*100)</f>
      </c>
      <c r="W117" s="3">
        <f>IF($L117="","",N117-S117)</f>
      </c>
      <c r="Y117" s="3">
        <f>IF($L117="","",U117-X117)</f>
      </c>
    </row>
    <row r="118" spans="1:25" x14ac:dyDescent="0.25">
      <c r="A118" s="1"/>
      <c r="D118" s="2"/>
      <c r="K118" s="3"/>
      <c r="L118" s="3"/>
      <c r="M118" s="3">
        <f>IF($L118="","",L118-K118)</f>
      </c>
      <c r="N118" s="3">
        <f>IF($L118="","",M118*16.67%)</f>
      </c>
      <c r="O118" s="3">
        <f>IF($L118="","",L118/100*11)</f>
      </c>
      <c r="P118" s="3">
        <v>8.99</v>
      </c>
      <c r="Q118" s="3">
        <f>IF($L118="","",L118*1%)</f>
      </c>
      <c r="R118" s="3"/>
      <c r="S118" s="3">
        <f>IF($L118="","",R118*20%)</f>
      </c>
      <c r="T118" s="3">
        <v>1</v>
      </c>
      <c r="U118" s="3">
        <f>IF($L118="","",M118-N118-O118-P118-Q118-R118-S118-T118)</f>
      </c>
      <c r="V118" s="3">
        <f>IF($L118="","",(U118-X118)/K118*100)</f>
      </c>
      <c r="W118" s="3">
        <f>IF($L118="","",N118-S118)</f>
      </c>
      <c r="Y118" s="3">
        <f>IF($L118="","",U118-X118)</f>
      </c>
    </row>
    <row r="119" spans="1:25" x14ac:dyDescent="0.25">
      <c r="A119" s="1"/>
      <c r="D119" s="2"/>
      <c r="K119" s="3"/>
      <c r="L119" s="3"/>
      <c r="M119" s="3">
        <f>IF($L119="","",L119-K119)</f>
      </c>
      <c r="N119" s="3">
        <f>IF($L119="","",M119*16.67%)</f>
      </c>
      <c r="O119" s="3">
        <f>IF($L119="","",L119/100*11)</f>
      </c>
      <c r="P119" s="3">
        <v>8.99</v>
      </c>
      <c r="Q119" s="3">
        <f>IF($L119="","",L119*1%)</f>
      </c>
      <c r="R119" s="3"/>
      <c r="S119" s="3">
        <f>IF($L119="","",R119*20%)</f>
      </c>
      <c r="T119" s="3">
        <v>1</v>
      </c>
      <c r="U119" s="3">
        <f>IF($L119="","",M119-N119-O119-P119-Q119-R119-S119-T119)</f>
      </c>
      <c r="V119" s="3">
        <f>IF($L119="","",(U119-X119)/K119*100)</f>
      </c>
      <c r="W119" s="3">
        <f>IF($L119="","",N119-S119)</f>
      </c>
      <c r="Y119" s="3">
        <f>IF($L119="","",U119-X119)</f>
      </c>
    </row>
    <row r="120" spans="1:25" x14ac:dyDescent="0.25">
      <c r="A120" s="1"/>
      <c r="D120" s="2"/>
      <c r="K120" s="3"/>
      <c r="L120" s="3"/>
      <c r="M120" s="3">
        <f>IF($L120="","",L120-K120)</f>
      </c>
      <c r="N120" s="3">
        <f>IF($L120="","",M120*16.67%)</f>
      </c>
      <c r="O120" s="3">
        <f>IF($L120="","",L120/100*11)</f>
      </c>
      <c r="P120" s="3">
        <v>8.99</v>
      </c>
      <c r="Q120" s="3">
        <f>IF($L120="","",L120*1%)</f>
      </c>
      <c r="R120" s="3"/>
      <c r="S120" s="3">
        <f>IF($L120="","",R120*20%)</f>
      </c>
      <c r="T120" s="3">
        <v>1</v>
      </c>
      <c r="U120" s="3">
        <f>IF($L120="","",M120-N120-O120-P120-Q120-R120-S120-T120)</f>
      </c>
      <c r="V120" s="3">
        <f>IF($L120="","",(U120-X120)/K120*100)</f>
      </c>
      <c r="W120" s="3">
        <f>IF($L120="","",N120-S120)</f>
      </c>
      <c r="Y120" s="3">
        <f>IF($L120="","",U120-X120)</f>
      </c>
    </row>
    <row r="121" spans="1:25" x14ac:dyDescent="0.25">
      <c r="A121" s="1"/>
      <c r="D121" s="2"/>
      <c r="K121" s="3"/>
      <c r="L121" s="3"/>
      <c r="M121" s="3">
        <f>IF($L121="","",L121-K121)</f>
      </c>
      <c r="N121" s="3">
        <f>IF($L121="","",M121*16.67%)</f>
      </c>
      <c r="O121" s="3">
        <f>IF($L121="","",L121/100*11)</f>
      </c>
      <c r="P121" s="3">
        <v>8.99</v>
      </c>
      <c r="Q121" s="3">
        <f>IF($L121="","",L121*1%)</f>
      </c>
      <c r="R121" s="3"/>
      <c r="S121" s="3">
        <f>IF($L121="","",R121*20%)</f>
      </c>
      <c r="T121" s="3">
        <v>1</v>
      </c>
      <c r="U121" s="3">
        <f>IF($L121="","",M121-N121-O121-P121-Q121-R121-S121-T121)</f>
      </c>
      <c r="V121" s="3">
        <f>IF($L121="","",(U121-X121)/K121*100)</f>
      </c>
      <c r="W121" s="3">
        <f>IF($L121="","",N121-S121)</f>
      </c>
      <c r="Y121" s="3">
        <f>IF($L121="","",U121-X121)</f>
      </c>
    </row>
    <row r="122" spans="1:25" x14ac:dyDescent="0.25">
      <c r="A122" s="1"/>
      <c r="D122" s="2"/>
      <c r="K122" s="3"/>
      <c r="L122" s="3"/>
      <c r="M122" s="3">
        <f>IF($L122="","",L122-K122)</f>
      </c>
      <c r="N122" s="3">
        <f>IF($L122="","",M122*16.67%)</f>
      </c>
      <c r="O122" s="3">
        <f>IF($L122="","",L122/100*11)</f>
      </c>
      <c r="P122" s="3">
        <v>8.99</v>
      </c>
      <c r="Q122" s="3">
        <f>IF($L122="","",L122*1%)</f>
      </c>
      <c r="R122" s="3"/>
      <c r="S122" s="3">
        <f>IF($L122="","",R122*20%)</f>
      </c>
      <c r="T122" s="3">
        <v>1</v>
      </c>
      <c r="U122" s="3">
        <f>IF($L122="","",M122-N122-O122-P122-Q122-R122-S122-T122)</f>
      </c>
      <c r="V122" s="3">
        <f>IF($L122="","",(U122-X122)/K122*100)</f>
      </c>
      <c r="W122" s="3">
        <f>IF($L122="","",N122-S122)</f>
      </c>
      <c r="Y122" s="3">
        <f>IF($L122="","",U122-X122)</f>
      </c>
    </row>
    <row r="123" spans="1:25" x14ac:dyDescent="0.25">
      <c r="A123" s="1"/>
      <c r="D123" s="2"/>
      <c r="K123" s="3"/>
      <c r="L123" s="3"/>
      <c r="M123" s="3">
        <f>IF($L123="","",L123-K123)</f>
      </c>
      <c r="N123" s="3">
        <f>IF($L123="","",M123*16.67%)</f>
      </c>
      <c r="O123" s="3">
        <f>IF($L123="","",L123/100*11)</f>
      </c>
      <c r="P123" s="3">
        <v>8.99</v>
      </c>
      <c r="Q123" s="3">
        <f>IF($L123="","",L123*1%)</f>
      </c>
      <c r="R123" s="3"/>
      <c r="S123" s="3">
        <f>IF($L123="","",R123*20%)</f>
      </c>
      <c r="T123" s="3">
        <v>1</v>
      </c>
      <c r="U123" s="3">
        <f>IF($L123="","",M123-N123-O123-P123-Q123-R123-S123-T123)</f>
      </c>
      <c r="V123" s="3">
        <f>IF($L123="","",(U123-X123)/K123*100)</f>
      </c>
      <c r="W123" s="3">
        <f>IF($L123="","",N123-S123)</f>
      </c>
      <c r="Y123" s="3">
        <f>IF($L123="","",U123-X123)</f>
      </c>
    </row>
    <row r="124" spans="1:25" x14ac:dyDescent="0.25">
      <c r="A124" s="1"/>
      <c r="D124" s="2"/>
      <c r="K124" s="3"/>
      <c r="L124" s="3"/>
      <c r="M124" s="3">
        <f>IF($L124="","",L124-K124)</f>
      </c>
      <c r="N124" s="3">
        <f>IF($L124="","",M124*16.67%)</f>
      </c>
      <c r="O124" s="3">
        <f>IF($L124="","",L124/100*11)</f>
      </c>
      <c r="P124" s="3">
        <v>8.99</v>
      </c>
      <c r="Q124" s="3">
        <f>IF($L124="","",L124*1%)</f>
      </c>
      <c r="R124" s="3"/>
      <c r="S124" s="3">
        <f>IF($L124="","",R124*20%)</f>
      </c>
      <c r="T124" s="3">
        <v>1</v>
      </c>
      <c r="U124" s="3">
        <f>IF($L124="","",M124-N124-O124-P124-Q124-R124-S124-T124)</f>
      </c>
      <c r="V124" s="3">
        <f>IF($L124="","",(U124-X124)/K124*100)</f>
      </c>
      <c r="W124" s="3">
        <f>IF($L124="","",N124-S124)</f>
      </c>
      <c r="Y124" s="3">
        <f>IF($L124="","",U124-X124)</f>
      </c>
    </row>
    <row r="125" spans="1:25" x14ac:dyDescent="0.25">
      <c r="A125" s="1"/>
      <c r="D125" s="2"/>
      <c r="K125" s="3"/>
      <c r="L125" s="3"/>
      <c r="M125" s="3">
        <f>IF($L125="","",L125-K125)</f>
      </c>
      <c r="N125" s="3">
        <f>IF($L125="","",M125*16.67%)</f>
      </c>
      <c r="O125" s="3">
        <f>IF($L125="","",L125/100*11)</f>
      </c>
      <c r="P125" s="3">
        <v>8.99</v>
      </c>
      <c r="Q125" s="3">
        <f>IF($L125="","",L125*1%)</f>
      </c>
      <c r="R125" s="3"/>
      <c r="S125" s="3">
        <f>IF($L125="","",R125*20%)</f>
      </c>
      <c r="T125" s="3">
        <v>1</v>
      </c>
      <c r="U125" s="3">
        <f>IF($L125="","",M125-N125-O125-P125-Q125-R125-S125-T125)</f>
      </c>
      <c r="V125" s="3">
        <f>IF($L125="","",(U125-X125)/K125*100)</f>
      </c>
      <c r="W125" s="3">
        <f>IF($L125="","",N125-S125)</f>
      </c>
      <c r="Y125" s="3">
        <f>IF($L125="","",U125-X125)</f>
      </c>
    </row>
    <row r="126" spans="1:25" x14ac:dyDescent="0.25">
      <c r="A126" s="1"/>
      <c r="D126" s="2"/>
      <c r="K126" s="3"/>
      <c r="L126" s="3"/>
      <c r="M126" s="3">
        <f>IF($L126="","",L126-K126)</f>
      </c>
      <c r="N126" s="3">
        <f>IF($L126="","",M126*16.67%)</f>
      </c>
      <c r="O126" s="3">
        <f>IF($L126="","",L126/100*11)</f>
      </c>
      <c r="P126" s="3">
        <v>8.99</v>
      </c>
      <c r="Q126" s="3">
        <f>IF($L126="","",L126*1%)</f>
      </c>
      <c r="R126" s="3"/>
      <c r="S126" s="3">
        <f>IF($L126="","",R126*20%)</f>
      </c>
      <c r="T126" s="3">
        <v>1</v>
      </c>
      <c r="U126" s="3">
        <f>IF($L126="","",M126-N126-O126-P126-Q126-R126-S126-T126)</f>
      </c>
      <c r="V126" s="3">
        <f>IF($L126="","",(U126-X126)/K126*100)</f>
      </c>
      <c r="W126" s="3">
        <f>IF($L126="","",N126-S126)</f>
      </c>
      <c r="Y126" s="3">
        <f>IF($L126="","",U126-X126)</f>
      </c>
    </row>
    <row r="127" spans="1:25" x14ac:dyDescent="0.25">
      <c r="A127" s="1"/>
      <c r="D127" s="2"/>
      <c r="K127" s="3"/>
      <c r="L127" s="3"/>
      <c r="M127" s="3">
        <f>IF($L127="","",L127-K127)</f>
      </c>
      <c r="N127" s="3">
        <f>IF($L127="","",M127*16.67%)</f>
      </c>
      <c r="O127" s="3">
        <f>IF($L127="","",L127/100*11)</f>
      </c>
      <c r="P127" s="3">
        <v>8.99</v>
      </c>
      <c r="Q127" s="3">
        <f>IF($L127="","",L127*1%)</f>
      </c>
      <c r="R127" s="3"/>
      <c r="S127" s="3">
        <f>IF($L127="","",R127*20%)</f>
      </c>
      <c r="T127" s="3">
        <v>1</v>
      </c>
      <c r="U127" s="3">
        <f>IF($L127="","",M127-N127-O127-P127-Q127-R127-S127-T127)</f>
      </c>
      <c r="V127" s="3">
        <f>IF($L127="","",(U127-X127)/K127*100)</f>
      </c>
      <c r="W127" s="3">
        <f>IF($L127="","",N127-S127)</f>
      </c>
      <c r="Y127" s="3">
        <f>IF($L127="","",U127-X127)</f>
      </c>
    </row>
    <row r="128" spans="1:25" x14ac:dyDescent="0.25">
      <c r="A128" s="1"/>
      <c r="D128" s="2"/>
      <c r="K128" s="3"/>
      <c r="L128" s="3"/>
      <c r="M128" s="3">
        <f>IF($L128="","",L128-K128)</f>
      </c>
      <c r="N128" s="3">
        <f>IF($L128="","",M128*16.67%)</f>
      </c>
      <c r="O128" s="3">
        <f>IF($L128="","",L128/100*11)</f>
      </c>
      <c r="P128" s="3">
        <v>8.99</v>
      </c>
      <c r="Q128" s="3">
        <f>IF($L128="","",L128*1%)</f>
      </c>
      <c r="R128" s="3"/>
      <c r="S128" s="3">
        <f>IF($L128="","",R128*20%)</f>
      </c>
      <c r="T128" s="3">
        <v>1</v>
      </c>
      <c r="U128" s="3">
        <f>IF($L128="","",M128-N128-O128-P128-Q128-R128-S128-T128)</f>
      </c>
      <c r="V128" s="3">
        <f>IF($L128="","",(U128-X128)/K128*100)</f>
      </c>
      <c r="W128" s="3">
        <f>IF($L128="","",N128-S128)</f>
      </c>
      <c r="Y128" s="3">
        <f>IF($L128="","",U128-X128)</f>
      </c>
    </row>
    <row r="129" spans="1:25" x14ac:dyDescent="0.25">
      <c r="A129" s="1"/>
      <c r="D129" s="2"/>
      <c r="K129" s="3"/>
      <c r="L129" s="3"/>
      <c r="M129" s="3">
        <f>IF($L129="","",L129-K129)</f>
      </c>
      <c r="N129" s="3">
        <f>IF($L129="","",M129*16.67%)</f>
      </c>
      <c r="O129" s="3">
        <f>IF($L129="","",L129/100*11)</f>
      </c>
      <c r="P129" s="3">
        <v>8.99</v>
      </c>
      <c r="Q129" s="3">
        <f>IF($L129="","",L129*1%)</f>
      </c>
      <c r="R129" s="3"/>
      <c r="S129" s="3">
        <f>IF($L129="","",R129*20%)</f>
      </c>
      <c r="T129" s="3">
        <v>1</v>
      </c>
      <c r="U129" s="3">
        <f>IF($L129="","",M129-N129-O129-P129-Q129-R129-S129-T129)</f>
      </c>
      <c r="V129" s="3">
        <f>IF($L129="","",(U129-X129)/K129*100)</f>
      </c>
      <c r="W129" s="3">
        <f>IF($L129="","",N129-S129)</f>
      </c>
      <c r="Y129" s="3">
        <f>IF($L129="","",U129-X129)</f>
      </c>
    </row>
    <row r="130" spans="1:25" x14ac:dyDescent="0.25">
      <c r="A130" s="1"/>
      <c r="D130" s="2"/>
      <c r="K130" s="3"/>
      <c r="L130" s="3"/>
      <c r="M130" s="3">
        <f>IF($L130="","",L130-K130)</f>
      </c>
      <c r="N130" s="3">
        <f>IF($L130="","",M130*16.67%)</f>
      </c>
      <c r="O130" s="3">
        <f>IF($L130="","",L130/100*11)</f>
      </c>
      <c r="P130" s="3">
        <v>8.99</v>
      </c>
      <c r="Q130" s="3">
        <f>IF($L130="","",L130*1%)</f>
      </c>
      <c r="R130" s="3"/>
      <c r="S130" s="3">
        <f>IF($L130="","",R130*20%)</f>
      </c>
      <c r="T130" s="3">
        <v>1</v>
      </c>
      <c r="U130" s="3">
        <f>IF($L130="","",M130-N130-O130-P130-Q130-R130-S130-T130)</f>
      </c>
      <c r="V130" s="3">
        <f>IF($L130="","",(U130-X130)/K130*100)</f>
      </c>
      <c r="W130" s="3">
        <f>IF($L130="","",N130-S130)</f>
      </c>
      <c r="Y130" s="3">
        <f>IF($L130="","",U130-X130)</f>
      </c>
    </row>
    <row r="131" spans="1:25" x14ac:dyDescent="0.25">
      <c r="A131" s="1"/>
      <c r="D131" s="2"/>
      <c r="K131" s="3"/>
      <c r="L131" s="3"/>
      <c r="M131" s="3">
        <f>IF($L131="","",L131-K131)</f>
      </c>
      <c r="N131" s="3">
        <f>IF($L131="","",M131*16.67%)</f>
      </c>
      <c r="O131" s="3">
        <f>IF($L131="","",L131/100*11)</f>
      </c>
      <c r="P131" s="3">
        <v>8.99</v>
      </c>
      <c r="Q131" s="3">
        <f>IF($L131="","",L131*1%)</f>
      </c>
      <c r="R131" s="3"/>
      <c r="S131" s="3">
        <f>IF($L131="","",R131*20%)</f>
      </c>
      <c r="T131" s="3">
        <v>1</v>
      </c>
      <c r="U131" s="3">
        <f>IF($L131="","",M131-N131-O131-P131-Q131-R131-S131-T131)</f>
      </c>
      <c r="V131" s="3">
        <f>IF($L131="","",(U131-X131)/K131*100)</f>
      </c>
      <c r="W131" s="3">
        <f>IF($L131="","",N131-S131)</f>
      </c>
      <c r="Y131" s="3">
        <f>IF($L131="","",U131-X131)</f>
      </c>
    </row>
    <row r="132" spans="1:25" x14ac:dyDescent="0.25">
      <c r="A132" s="1"/>
      <c r="D132" s="2"/>
      <c r="K132" s="3"/>
      <c r="L132" s="3"/>
      <c r="M132" s="3">
        <f>IF($L132="","",L132-K132)</f>
      </c>
      <c r="N132" s="3">
        <f>IF($L132="","",M132*16.67%)</f>
      </c>
      <c r="O132" s="3">
        <f>IF($L132="","",L132/100*11)</f>
      </c>
      <c r="P132" s="3">
        <v>8.99</v>
      </c>
      <c r="Q132" s="3">
        <f>IF($L132="","",L132*1%)</f>
      </c>
      <c r="R132" s="3"/>
      <c r="S132" s="3">
        <f>IF($L132="","",R132*20%)</f>
      </c>
      <c r="T132" s="3">
        <v>1</v>
      </c>
      <c r="U132" s="3">
        <f>IF($L132="","",M132-N132-O132-P132-Q132-R132-S132-T132)</f>
      </c>
      <c r="V132" s="3">
        <f>IF($L132="","",(U132-X132)/K132*100)</f>
      </c>
      <c r="W132" s="3">
        <f>IF($L132="","",N132-S132)</f>
      </c>
      <c r="Y132" s="3">
        <f>IF($L132="","",U132-X132)</f>
      </c>
    </row>
    <row r="133" spans="1:25" x14ac:dyDescent="0.25">
      <c r="A133" s="1"/>
      <c r="D133" s="2"/>
      <c r="K133" s="3"/>
      <c r="L133" s="3"/>
      <c r="M133" s="3">
        <f>IF($L133="","",L133-K133)</f>
      </c>
      <c r="N133" s="3">
        <f>IF($L133="","",M133*16.67%)</f>
      </c>
      <c r="O133" s="3">
        <f>IF($L133="","",L133/100*11)</f>
      </c>
      <c r="P133" s="3">
        <v>8.99</v>
      </c>
      <c r="Q133" s="3">
        <f>IF($L133="","",L133*1%)</f>
      </c>
      <c r="R133" s="3"/>
      <c r="S133" s="3">
        <f>IF($L133="","",R133*20%)</f>
      </c>
      <c r="T133" s="3">
        <v>1</v>
      </c>
      <c r="U133" s="3">
        <f>IF($L133="","",M133-N133-O133-P133-Q133-R133-S133-T133)</f>
      </c>
      <c r="V133" s="3">
        <f>IF($L133="","",(U133-X133)/K133*100)</f>
      </c>
      <c r="W133" s="3">
        <f>IF($L133="","",N133-S133)</f>
      </c>
      <c r="Y133" s="3">
        <f>IF($L133="","",U133-X133)</f>
      </c>
    </row>
    <row r="134" spans="1:25" x14ac:dyDescent="0.25">
      <c r="A134" s="1"/>
      <c r="D134" s="2"/>
      <c r="K134" s="3"/>
      <c r="L134" s="3"/>
      <c r="M134" s="3">
        <f>IF($L134="","",L134-K134)</f>
      </c>
      <c r="N134" s="3">
        <f>IF($L134="","",M134*16.67%)</f>
      </c>
      <c r="O134" s="3">
        <f>IF($L134="","",L134/100*11)</f>
      </c>
      <c r="P134" s="3">
        <v>8.99</v>
      </c>
      <c r="Q134" s="3">
        <f>IF($L134="","",L134*1%)</f>
      </c>
      <c r="R134" s="3"/>
      <c r="S134" s="3">
        <f>IF($L134="","",R134*20%)</f>
      </c>
      <c r="T134" s="3">
        <v>1</v>
      </c>
      <c r="U134" s="3">
        <f>IF($L134="","",M134-N134-O134-P134-Q134-R134-S134-T134)</f>
      </c>
      <c r="V134" s="3">
        <f>IF($L134="","",(U134-X134)/K134*100)</f>
      </c>
      <c r="W134" s="3">
        <f>IF($L134="","",N134-S134)</f>
      </c>
      <c r="Y134" s="3">
        <f>IF($L134="","",U134-X134)</f>
      </c>
    </row>
    <row r="135" spans="1:25" x14ac:dyDescent="0.25">
      <c r="A135" s="1"/>
      <c r="D135" s="2"/>
      <c r="K135" s="3"/>
      <c r="L135" s="3"/>
      <c r="M135" s="3">
        <f>IF($L135="","",L135-K135)</f>
      </c>
      <c r="N135" s="3">
        <f>IF($L135="","",M135*16.67%)</f>
      </c>
      <c r="O135" s="3">
        <f>IF($L135="","",L135/100*11)</f>
      </c>
      <c r="P135" s="3">
        <v>8.99</v>
      </c>
      <c r="Q135" s="3">
        <f>IF($L135="","",L135*1%)</f>
      </c>
      <c r="R135" s="3"/>
      <c r="S135" s="3">
        <f>IF($L135="","",R135*20%)</f>
      </c>
      <c r="T135" s="3">
        <v>1</v>
      </c>
      <c r="U135" s="3">
        <f>IF($L135="","",M135-N135-O135-P135-Q135-R135-S135-T135)</f>
      </c>
      <c r="V135" s="3">
        <f>IF($L135="","",(U135-X135)/K135*100)</f>
      </c>
      <c r="W135" s="3">
        <f>IF($L135="","",N135-S135)</f>
      </c>
      <c r="Y135" s="3">
        <f>IF($L135="","",U135-X135)</f>
      </c>
    </row>
    <row r="136" spans="1:25" x14ac:dyDescent="0.25">
      <c r="A136" s="1"/>
      <c r="D136" s="2"/>
      <c r="K136" s="3"/>
      <c r="L136" s="3"/>
      <c r="M136" s="3">
        <f>IF($L136="","",L136-K136)</f>
      </c>
      <c r="N136" s="3">
        <f>IF($L136="","",M136*16.67%)</f>
      </c>
      <c r="O136" s="3">
        <f>IF($L136="","",L136/100*11)</f>
      </c>
      <c r="P136" s="3">
        <v>8.99</v>
      </c>
      <c r="Q136" s="3">
        <f>IF($L136="","",L136*1%)</f>
      </c>
      <c r="R136" s="3"/>
      <c r="S136" s="3">
        <f>IF($L136="","",R136*20%)</f>
      </c>
      <c r="T136" s="3">
        <v>1</v>
      </c>
      <c r="U136" s="3">
        <f>IF($L136="","",M136-N136-O136-P136-Q136-R136-S136-T136)</f>
      </c>
      <c r="V136" s="3">
        <f>IF($L136="","",(U136-X136)/K136*100)</f>
      </c>
      <c r="W136" s="3">
        <f>IF($L136="","",N136-S136)</f>
      </c>
      <c r="Y136" s="3">
        <f>IF($L136="","",U136-X136)</f>
      </c>
    </row>
    <row r="137" spans="1:25" x14ac:dyDescent="0.25">
      <c r="A137" s="1"/>
      <c r="D137" s="2"/>
      <c r="K137" s="3"/>
      <c r="L137" s="3"/>
      <c r="M137" s="3">
        <f>IF($L137="","",L137-K137)</f>
      </c>
      <c r="N137" s="3">
        <f>IF($L137="","",M137*16.67%)</f>
      </c>
      <c r="O137" s="3">
        <f>IF($L137="","",L137/100*11)</f>
      </c>
      <c r="P137" s="3">
        <v>8.99</v>
      </c>
      <c r="Q137" s="3">
        <f>IF($L137="","",L137*1%)</f>
      </c>
      <c r="R137" s="3"/>
      <c r="S137" s="3">
        <f>IF($L137="","",R137*20%)</f>
      </c>
      <c r="T137" s="3">
        <v>1</v>
      </c>
      <c r="U137" s="3">
        <f>IF($L137="","",M137-N137-O137-P137-Q137-R137-S137-T137)</f>
      </c>
      <c r="V137" s="3">
        <f>IF($L137="","",(U137-X137)/K137*100)</f>
      </c>
      <c r="W137" s="3">
        <f>IF($L137="","",N137-S137)</f>
      </c>
      <c r="Y137" s="3">
        <f>IF($L137="","",U137-X137)</f>
      </c>
    </row>
    <row r="138" spans="1:25" x14ac:dyDescent="0.25">
      <c r="A138" s="1"/>
      <c r="D138" s="2"/>
      <c r="K138" s="3"/>
      <c r="L138" s="3"/>
      <c r="M138" s="3">
        <f>IF($L138="","",L138-K138)</f>
      </c>
      <c r="N138" s="3">
        <f>IF($L138="","",M138*16.67%)</f>
      </c>
      <c r="O138" s="3">
        <f>IF($L138="","",L138/100*11)</f>
      </c>
      <c r="P138" s="3">
        <v>8.99</v>
      </c>
      <c r="Q138" s="3">
        <f>IF($L138="","",L138*1%)</f>
      </c>
      <c r="R138" s="3"/>
      <c r="S138" s="3">
        <f>IF($L138="","",R138*20%)</f>
      </c>
      <c r="T138" s="3">
        <v>1</v>
      </c>
      <c r="U138" s="3">
        <f>IF($L138="","",M138-N138-O138-P138-Q138-R138-S138-T138)</f>
      </c>
      <c r="V138" s="3">
        <f>IF($L138="","",(U138-X138)/K138*100)</f>
      </c>
      <c r="W138" s="3">
        <f>IF($L138="","",N138-S138)</f>
      </c>
      <c r="Y138" s="3">
        <f>IF($L138="","",U138-X138)</f>
      </c>
    </row>
    <row r="139" spans="1:25" x14ac:dyDescent="0.25">
      <c r="A139" s="1"/>
      <c r="D139" s="2"/>
      <c r="K139" s="3"/>
      <c r="L139" s="3"/>
      <c r="M139" s="3">
        <f>IF($L139="","",L139-K139)</f>
      </c>
      <c r="N139" s="3">
        <f>IF($L139="","",M139*16.67%)</f>
      </c>
      <c r="O139" s="3">
        <f>IF($L139="","",L139/100*11)</f>
      </c>
      <c r="P139" s="3">
        <v>8.99</v>
      </c>
      <c r="Q139" s="3">
        <f>IF($L139="","",L139*1%)</f>
      </c>
      <c r="R139" s="3"/>
      <c r="S139" s="3">
        <f>IF($L139="","",R139*20%)</f>
      </c>
      <c r="T139" s="3">
        <v>1</v>
      </c>
      <c r="U139" s="3">
        <f>IF($L139="","",M139-N139-O139-P139-Q139-R139-S139-T139)</f>
      </c>
      <c r="V139" s="3">
        <f>IF($L139="","",(U139-X139)/K139*100)</f>
      </c>
      <c r="W139" s="3">
        <f>IF($L139="","",N139-S139)</f>
      </c>
      <c r="Y139" s="3">
        <f>IF($L139="","",U139-X139)</f>
      </c>
    </row>
    <row r="140" spans="1:25" x14ac:dyDescent="0.25">
      <c r="A140" s="1"/>
      <c r="D140" s="2"/>
      <c r="K140" s="3"/>
      <c r="L140" s="3"/>
      <c r="M140" s="3">
        <f>IF($L140="","",L140-K140)</f>
      </c>
      <c r="N140" s="3">
        <f>IF($L140="","",M140*16.67%)</f>
      </c>
      <c r="O140" s="3">
        <f>IF($L140="","",L140/100*11)</f>
      </c>
      <c r="P140" s="3">
        <v>8.99</v>
      </c>
      <c r="Q140" s="3">
        <f>IF($L140="","",L140*1%)</f>
      </c>
      <c r="R140" s="3"/>
      <c r="S140" s="3">
        <f>IF($L140="","",R140*20%)</f>
      </c>
      <c r="T140" s="3">
        <v>1</v>
      </c>
      <c r="U140" s="3">
        <f>IF($L140="","",M140-N140-O140-P140-Q140-R140-S140-T140)</f>
      </c>
      <c r="V140" s="3">
        <f>IF($L140="","",(U140-X140)/K140*100)</f>
      </c>
      <c r="W140" s="3">
        <f>IF($L140="","",N140-S140)</f>
      </c>
      <c r="Y140" s="3">
        <f>IF($L140="","",U140-X140)</f>
      </c>
    </row>
    <row r="141" spans="1:25" x14ac:dyDescent="0.25">
      <c r="A141" s="1"/>
      <c r="D141" s="2"/>
      <c r="K141" s="3"/>
      <c r="L141" s="3"/>
      <c r="M141" s="3">
        <f>IF($L141="","",L141-K141)</f>
      </c>
      <c r="N141" s="3">
        <f>IF($L141="","",M141*16.67%)</f>
      </c>
      <c r="O141" s="3">
        <f>IF($L141="","",L141/100*11)</f>
      </c>
      <c r="P141" s="3">
        <v>8.99</v>
      </c>
      <c r="Q141" s="3">
        <f>IF($L141="","",L141*1%)</f>
      </c>
      <c r="R141" s="3"/>
      <c r="S141" s="3">
        <f>IF($L141="","",R141*20%)</f>
      </c>
      <c r="T141" s="3">
        <v>1</v>
      </c>
      <c r="U141" s="3">
        <f>IF($L141="","",M141-N141-O141-P141-Q141-R141-S141-T141)</f>
      </c>
      <c r="V141" s="3">
        <f>IF($L141="","",(U141-X141)/K141*100)</f>
      </c>
      <c r="W141" s="3">
        <f>IF($L141="","",N141-S141)</f>
      </c>
      <c r="Y141" s="3">
        <f>IF($L141="","",U141-X141)</f>
      </c>
    </row>
    <row r="142" spans="1:25" x14ac:dyDescent="0.25">
      <c r="A142" s="1"/>
      <c r="D142" s="2"/>
      <c r="K142" s="3"/>
      <c r="L142" s="3"/>
      <c r="M142" s="3">
        <f>IF($L142="","",L142-K142)</f>
      </c>
      <c r="N142" s="3">
        <f>IF($L142="","",M142*16.67%)</f>
      </c>
      <c r="O142" s="3">
        <f>IF($L142="","",L142/100*11)</f>
      </c>
      <c r="P142" s="3">
        <v>8.99</v>
      </c>
      <c r="Q142" s="3">
        <f>IF($L142="","",L142*1%)</f>
      </c>
      <c r="R142" s="3"/>
      <c r="S142" s="3">
        <f>IF($L142="","",R142*20%)</f>
      </c>
      <c r="T142" s="3">
        <v>1</v>
      </c>
      <c r="U142" s="3">
        <f>IF($L142="","",M142-N142-O142-P142-Q142-R142-S142-T142)</f>
      </c>
      <c r="V142" s="3">
        <f>IF($L142="","",(U142-X142)/K142*100)</f>
      </c>
      <c r="W142" s="3">
        <f>IF($L142="","",N142-S142)</f>
      </c>
      <c r="Y142" s="3">
        <f>IF($L142="","",U142-X142)</f>
      </c>
    </row>
    <row r="143" spans="1:25" x14ac:dyDescent="0.25">
      <c r="A143" s="1"/>
      <c r="D143" s="2"/>
      <c r="K143" s="3"/>
      <c r="L143" s="3"/>
      <c r="M143" s="3">
        <f>IF($L143="","",L143-K143)</f>
      </c>
      <c r="N143" s="3">
        <f>IF($L143="","",M143*16.67%)</f>
      </c>
      <c r="O143" s="3">
        <f>IF($L143="","",L143/100*11)</f>
      </c>
      <c r="P143" s="3">
        <v>8.99</v>
      </c>
      <c r="Q143" s="3">
        <f>IF($L143="","",L143*1%)</f>
      </c>
      <c r="R143" s="3"/>
      <c r="S143" s="3">
        <f>IF($L143="","",R143*20%)</f>
      </c>
      <c r="T143" s="3">
        <v>1</v>
      </c>
      <c r="U143" s="3">
        <f>IF($L143="","",M143-N143-O143-P143-Q143-R143-S143-T143)</f>
      </c>
      <c r="V143" s="3">
        <f>IF($L143="","",(U143-X143)/K143*100)</f>
      </c>
      <c r="W143" s="3">
        <f>IF($L143="","",N143-S143)</f>
      </c>
      <c r="Y143" s="3">
        <f>IF($L143="","",U143-X143)</f>
      </c>
    </row>
    <row r="144" spans="1:25" x14ac:dyDescent="0.25">
      <c r="A144" s="1"/>
      <c r="D144" s="2"/>
      <c r="K144" s="3"/>
      <c r="L144" s="3"/>
      <c r="M144" s="3">
        <f>IF($L144="","",L144-K144)</f>
      </c>
      <c r="N144" s="3">
        <f>IF($L144="","",M144*16.67%)</f>
      </c>
      <c r="O144" s="3">
        <f>IF($L144="","",L144/100*11)</f>
      </c>
      <c r="P144" s="3">
        <v>8.99</v>
      </c>
      <c r="Q144" s="3">
        <f>IF($L144="","",L144*1%)</f>
      </c>
      <c r="R144" s="3"/>
      <c r="S144" s="3">
        <f>IF($L144="","",R144*20%)</f>
      </c>
      <c r="T144" s="3">
        <v>1</v>
      </c>
      <c r="U144" s="3">
        <f>IF($L144="","",M144-N144-O144-P144-Q144-R144-S144-T144)</f>
      </c>
      <c r="V144" s="3">
        <f>IF($L144="","",(U144-X144)/K144*100)</f>
      </c>
      <c r="W144" s="3">
        <f>IF($L144="","",N144-S144)</f>
      </c>
      <c r="Y144" s="3">
        <f>IF($L144="","",U144-X144)</f>
      </c>
    </row>
    <row r="145" spans="1:25" x14ac:dyDescent="0.25">
      <c r="A145" s="1"/>
      <c r="D145" s="2"/>
      <c r="K145" s="3"/>
      <c r="L145" s="3"/>
      <c r="M145" s="3">
        <f>IF($L145="","",L145-K145)</f>
      </c>
      <c r="N145" s="3">
        <f>IF($L145="","",M145*16.67%)</f>
      </c>
      <c r="O145" s="3">
        <f>IF($L145="","",L145/100*11)</f>
      </c>
      <c r="P145" s="3">
        <v>8.99</v>
      </c>
      <c r="Q145" s="3">
        <f>IF($L145="","",L145*1%)</f>
      </c>
      <c r="R145" s="3"/>
      <c r="S145" s="3">
        <f>IF($L145="","",R145*20%)</f>
      </c>
      <c r="T145" s="3">
        <v>1</v>
      </c>
      <c r="U145" s="3">
        <f>IF($L145="","",M145-N145-O145-P145-Q145-R145-S145-T145)</f>
      </c>
      <c r="V145" s="3">
        <f>IF($L145="","",(U145-X145)/K145*100)</f>
      </c>
      <c r="W145" s="3">
        <f>IF($L145="","",N145-S145)</f>
      </c>
      <c r="Y145" s="3">
        <f>IF($L145="","",U145-X145)</f>
      </c>
    </row>
    <row r="146" spans="1:25" x14ac:dyDescent="0.25">
      <c r="A146" s="1"/>
      <c r="D146" s="2"/>
      <c r="K146" s="3"/>
      <c r="L146" s="3"/>
      <c r="M146" s="3">
        <f>IF($L146="","",L146-K146)</f>
      </c>
      <c r="N146" s="3">
        <f>IF($L146="","",M146*16.67%)</f>
      </c>
      <c r="O146" s="3">
        <f>IF($L146="","",L146/100*11)</f>
      </c>
      <c r="P146" s="3">
        <v>8.99</v>
      </c>
      <c r="Q146" s="3">
        <f>IF($L146="","",L146*1%)</f>
      </c>
      <c r="R146" s="3"/>
      <c r="S146" s="3">
        <f>IF($L146="","",R146*20%)</f>
      </c>
      <c r="T146" s="3">
        <v>1</v>
      </c>
      <c r="U146" s="3">
        <f>IF($L146="","",M146-N146-O146-P146-Q146-R146-S146-T146)</f>
      </c>
      <c r="V146" s="3">
        <f>IF($L146="","",(U146-X146)/K146*100)</f>
      </c>
      <c r="W146" s="3">
        <f>IF($L146="","",N146-S146)</f>
      </c>
      <c r="Y146" s="3">
        <f>IF($L146="","",U146-X146)</f>
      </c>
    </row>
    <row r="147" spans="1:25" x14ac:dyDescent="0.25">
      <c r="A147" s="1"/>
      <c r="D147" s="2"/>
      <c r="K147" s="3"/>
      <c r="L147" s="3"/>
      <c r="M147" s="3">
        <f>IF($L147="","",L147-K147)</f>
      </c>
      <c r="N147" s="3">
        <f>IF($L147="","",M147*16.67%)</f>
      </c>
      <c r="O147" s="3">
        <f>IF($L147="","",L147/100*11)</f>
      </c>
      <c r="P147" s="3">
        <v>8.99</v>
      </c>
      <c r="Q147" s="3">
        <f>IF($L147="","",L147*1%)</f>
      </c>
      <c r="R147" s="3"/>
      <c r="S147" s="3">
        <f>IF($L147="","",R147*20%)</f>
      </c>
      <c r="T147" s="3">
        <v>1</v>
      </c>
      <c r="U147" s="3">
        <f>IF($L147="","",M147-N147-O147-P147-Q147-R147-S147-T147)</f>
      </c>
      <c r="V147" s="3">
        <f>IF($L147="","",(U147-X147)/K147*100)</f>
      </c>
      <c r="W147" s="3">
        <f>IF($L147="","",N147-S147)</f>
      </c>
      <c r="Y147" s="3">
        <f>IF($L147="","",U147-X147)</f>
      </c>
    </row>
    <row r="148" spans="1:25" x14ac:dyDescent="0.25">
      <c r="A148" s="1"/>
      <c r="D148" s="2"/>
      <c r="K148" s="3"/>
      <c r="L148" s="3"/>
      <c r="M148" s="3">
        <f>IF($L148="","",L148-K148)</f>
      </c>
      <c r="N148" s="3">
        <f>IF($L148="","",M148*16.67%)</f>
      </c>
      <c r="O148" s="3">
        <f>IF($L148="","",L148/100*11)</f>
      </c>
      <c r="P148" s="3">
        <v>8.99</v>
      </c>
      <c r="Q148" s="3">
        <f>IF($L148="","",L148*1%)</f>
      </c>
      <c r="R148" s="3"/>
      <c r="S148" s="3">
        <f>IF($L148="","",R148*20%)</f>
      </c>
      <c r="T148" s="3">
        <v>1</v>
      </c>
      <c r="U148" s="3">
        <f>IF($L148="","",M148-N148-O148-P148-Q148-R148-S148-T148)</f>
      </c>
      <c r="V148" s="3">
        <f>IF($L148="","",(U148-X148)/K148*100)</f>
      </c>
      <c r="W148" s="3">
        <f>IF($L148="","",N148-S148)</f>
      </c>
      <c r="Y148" s="3">
        <f>IF($L148="","",U148-X148)</f>
      </c>
    </row>
    <row r="149" spans="1:25" x14ac:dyDescent="0.25">
      <c r="A149" s="1"/>
      <c r="D149" s="2"/>
      <c r="K149" s="3"/>
      <c r="L149" s="3"/>
      <c r="M149" s="3">
        <f>IF($L149="","",L149-K149)</f>
      </c>
      <c r="N149" s="3">
        <f>IF($L149="","",M149*16.67%)</f>
      </c>
      <c r="O149" s="3">
        <f>IF($L149="","",L149/100*11)</f>
      </c>
      <c r="P149" s="3">
        <v>8.99</v>
      </c>
      <c r="Q149" s="3">
        <f>IF($L149="","",L149*1%)</f>
      </c>
      <c r="R149" s="3"/>
      <c r="S149" s="3">
        <f>IF($L149="","",R149*20%)</f>
      </c>
      <c r="T149" s="3">
        <v>1</v>
      </c>
      <c r="U149" s="3">
        <f>IF($L149="","",M149-N149-O149-P149-Q149-R149-S149-T149)</f>
      </c>
      <c r="V149" s="3">
        <f>IF($L149="","",(U149-X149)/K149*100)</f>
      </c>
      <c r="W149" s="3">
        <f>IF($L149="","",N149-S149)</f>
      </c>
      <c r="Y149" s="3">
        <f>IF($L149="","",U149-X149)</f>
      </c>
    </row>
    <row r="150" spans="1:25" x14ac:dyDescent="0.25">
      <c r="A150" s="1"/>
      <c r="D150" s="2"/>
      <c r="K150" s="3"/>
      <c r="L150" s="3"/>
      <c r="M150" s="3">
        <f>IF($L150="","",L150-K150)</f>
      </c>
      <c r="N150" s="3">
        <f>IF($L150="","",M150*16.67%)</f>
      </c>
      <c r="O150" s="3">
        <f>IF($L150="","",L150/100*11)</f>
      </c>
      <c r="P150" s="3">
        <v>8.99</v>
      </c>
      <c r="Q150" s="3">
        <f>IF($L150="","",L150*1%)</f>
      </c>
      <c r="R150" s="3"/>
      <c r="S150" s="3">
        <f>IF($L150="","",R150*20%)</f>
      </c>
      <c r="T150" s="3">
        <v>1</v>
      </c>
      <c r="U150" s="3">
        <f>IF($L150="","",M150-N150-O150-P150-Q150-R150-S150-T150)</f>
      </c>
      <c r="V150" s="3">
        <f>IF($L150="","",(U150-X150)/K150*100)</f>
      </c>
      <c r="W150" s="3">
        <f>IF($L150="","",N150-S150)</f>
      </c>
      <c r="Y150" s="3">
        <f>IF($L150="","",U150-X150)</f>
      </c>
    </row>
    <row r="151" spans="1:25" x14ac:dyDescent="0.25">
      <c r="A151" s="1"/>
      <c r="D151" s="2"/>
      <c r="K151" s="3"/>
      <c r="L151" s="3"/>
      <c r="M151" s="3">
        <f>IF($L151="","",L151-K151)</f>
      </c>
      <c r="N151" s="3">
        <f>IF($L151="","",M151*16.67%)</f>
      </c>
      <c r="O151" s="3">
        <f>IF($L151="","",L151/100*11)</f>
      </c>
      <c r="P151" s="3">
        <v>8.99</v>
      </c>
      <c r="Q151" s="3">
        <f>IF($L151="","",L151*1%)</f>
      </c>
      <c r="R151" s="3"/>
      <c r="S151" s="3">
        <f>IF($L151="","",R151*20%)</f>
      </c>
      <c r="T151" s="3">
        <v>1</v>
      </c>
      <c r="U151" s="3">
        <f>IF($L151="","",M151-N151-O151-P151-Q151-R151-S151-T151)</f>
      </c>
      <c r="V151" s="3">
        <f>IF($L151="","",(U151-X151)/K151*100)</f>
      </c>
      <c r="W151" s="3">
        <f>IF($L151="","",N151-S151)</f>
      </c>
      <c r="Y151" s="3">
        <f>IF($L151="","",U151-X151)</f>
      </c>
    </row>
    <row r="152" spans="1:25" x14ac:dyDescent="0.25">
      <c r="A152" s="1"/>
      <c r="D152" s="2"/>
      <c r="K152" s="3"/>
      <c r="L152" s="3"/>
      <c r="M152" s="3">
        <f>IF($L152="","",L152-K152)</f>
      </c>
      <c r="N152" s="3">
        <f>IF($L152="","",M152*16.67%)</f>
      </c>
      <c r="O152" s="3">
        <f>IF($L152="","",L152/100*11)</f>
      </c>
      <c r="P152" s="3">
        <v>8.99</v>
      </c>
      <c r="Q152" s="3">
        <f>IF($L152="","",L152*1%)</f>
      </c>
      <c r="R152" s="3"/>
      <c r="S152" s="3">
        <f>IF($L152="","",R152*20%)</f>
      </c>
      <c r="T152" s="3">
        <v>1</v>
      </c>
      <c r="U152" s="3">
        <f>IF($L152="","",M152-N152-O152-P152-Q152-R152-S152-T152)</f>
      </c>
      <c r="V152" s="3">
        <f>IF($L152="","",(U152-X152)/K152*100)</f>
      </c>
      <c r="W152" s="3">
        <f>IF($L152="","",N152-S152)</f>
      </c>
      <c r="Y152" s="3">
        <f>IF($L152="","",U152-X152)</f>
      </c>
    </row>
    <row r="153" spans="1:25" x14ac:dyDescent="0.25">
      <c r="A153" s="1"/>
      <c r="D153" s="2"/>
      <c r="K153" s="3"/>
      <c r="L153" s="3"/>
      <c r="M153" s="3">
        <f>IF($L153="","",L153-K153)</f>
      </c>
      <c r="N153" s="3">
        <f>IF($L153="","",M153*16.67%)</f>
      </c>
      <c r="O153" s="3">
        <f>IF($L153="","",L153/100*11)</f>
      </c>
      <c r="P153" s="3">
        <v>8.99</v>
      </c>
      <c r="Q153" s="3">
        <f>IF($L153="","",L153*1%)</f>
      </c>
      <c r="R153" s="3"/>
      <c r="S153" s="3">
        <f>IF($L153="","",R153*20%)</f>
      </c>
      <c r="T153" s="3">
        <v>1</v>
      </c>
      <c r="U153" s="3">
        <f>IF($L153="","",M153-N153-O153-P153-Q153-R153-S153-T153)</f>
      </c>
      <c r="V153" s="3">
        <f>IF($L153="","",(U153-X153)/K153*100)</f>
      </c>
      <c r="W153" s="3">
        <f>IF($L153="","",N153-S153)</f>
      </c>
      <c r="Y153" s="3">
        <f>IF($L153="","",U153-X153)</f>
      </c>
    </row>
    <row r="154" spans="1:25" x14ac:dyDescent="0.25">
      <c r="A154" s="1"/>
      <c r="D154" s="2"/>
      <c r="K154" s="3"/>
      <c r="L154" s="3"/>
      <c r="M154" s="3">
        <f>IF($L154="","",L154-K154)</f>
      </c>
      <c r="N154" s="3">
        <f>IF($L154="","",M154*16.67%)</f>
      </c>
      <c r="O154" s="3">
        <f>IF($L154="","",L154/100*11)</f>
      </c>
      <c r="P154" s="3">
        <v>8.99</v>
      </c>
      <c r="Q154" s="3">
        <f>IF($L154="","",L154*1%)</f>
      </c>
      <c r="R154" s="3"/>
      <c r="S154" s="3">
        <f>IF($L154="","",R154*20%)</f>
      </c>
      <c r="T154" s="3">
        <v>1</v>
      </c>
      <c r="U154" s="3">
        <f>IF($L154="","",M154-N154-O154-P154-Q154-R154-S154-T154)</f>
      </c>
      <c r="V154" s="3">
        <f>IF($L154="","",(U154-X154)/K154*100)</f>
      </c>
      <c r="W154" s="3">
        <f>IF($L154="","",N154-S154)</f>
      </c>
      <c r="Y154" s="3">
        <f>IF($L154="","",U154-X154)</f>
      </c>
    </row>
    <row r="155" spans="1:25" x14ac:dyDescent="0.25">
      <c r="A155" s="1"/>
      <c r="D155" s="2"/>
      <c r="K155" s="3"/>
      <c r="L155" s="3"/>
      <c r="M155" s="3">
        <f>IF($L155="","",L155-K155)</f>
      </c>
      <c r="N155" s="3">
        <f>IF($L155="","",M155*16.67%)</f>
      </c>
      <c r="O155" s="3">
        <f>IF($L155="","",L155/100*11)</f>
      </c>
      <c r="P155" s="3">
        <v>8.99</v>
      </c>
      <c r="Q155" s="3">
        <f>IF($L155="","",L155*1%)</f>
      </c>
      <c r="R155" s="3"/>
      <c r="S155" s="3">
        <f>IF($L155="","",R155*20%)</f>
      </c>
      <c r="T155" s="3">
        <v>1</v>
      </c>
      <c r="U155" s="3">
        <f>IF($L155="","",M155-N155-O155-P155-Q155-R155-S155-T155)</f>
      </c>
      <c r="V155" s="3">
        <f>IF($L155="","",(U155-X155)/K155*100)</f>
      </c>
      <c r="W155" s="3">
        <f>IF($L155="","",N155-S155)</f>
      </c>
      <c r="Y155" s="3">
        <f>IF($L155="","",U155-X155)</f>
      </c>
    </row>
    <row r="156" spans="1:25" x14ac:dyDescent="0.25">
      <c r="A156" s="1"/>
      <c r="D156" s="2"/>
      <c r="K156" s="3"/>
      <c r="L156" s="3"/>
      <c r="M156" s="3">
        <f>IF($L156="","",L156-K156)</f>
      </c>
      <c r="N156" s="3">
        <f>IF($L156="","",M156*16.67%)</f>
      </c>
      <c r="O156" s="3">
        <f>IF($L156="","",L156/100*11)</f>
      </c>
      <c r="P156" s="3">
        <v>8.99</v>
      </c>
      <c r="Q156" s="3">
        <f>IF($L156="","",L156*1%)</f>
      </c>
      <c r="R156" s="3"/>
      <c r="S156" s="3">
        <f>IF($L156="","",R156*20%)</f>
      </c>
      <c r="T156" s="3">
        <v>1</v>
      </c>
      <c r="U156" s="3">
        <f>IF($L156="","",M156-N156-O156-P156-Q156-R156-S156-T156)</f>
      </c>
      <c r="V156" s="3">
        <f>IF($L156="","",(U156-X156)/K156*100)</f>
      </c>
      <c r="W156" s="3">
        <f>IF($L156="","",N156-S156)</f>
      </c>
      <c r="Y156" s="3">
        <f>IF($L156="","",U156-X156)</f>
      </c>
    </row>
    <row r="157" spans="1:25" x14ac:dyDescent="0.25">
      <c r="A157" s="1"/>
      <c r="D157" s="2"/>
      <c r="K157" s="3"/>
      <c r="L157" s="3"/>
      <c r="M157" s="3">
        <f>IF($L157="","",L157-K157)</f>
      </c>
      <c r="N157" s="3">
        <f>IF($L157="","",M157*16.67%)</f>
      </c>
      <c r="O157" s="3">
        <f>IF($L157="","",L157/100*11)</f>
      </c>
      <c r="P157" s="3">
        <v>8.99</v>
      </c>
      <c r="Q157" s="3">
        <f>IF($L157="","",L157*1%)</f>
      </c>
      <c r="R157" s="3"/>
      <c r="S157" s="3">
        <f>IF($L157="","",R157*20%)</f>
      </c>
      <c r="T157" s="3">
        <v>1</v>
      </c>
      <c r="U157" s="3">
        <f>IF($L157="","",M157-N157-O157-P157-Q157-R157-S157-T157)</f>
      </c>
      <c r="V157" s="3">
        <f>IF($L157="","",(U157-X157)/K157*100)</f>
      </c>
      <c r="W157" s="3">
        <f>IF($L157="","",N157-S157)</f>
      </c>
      <c r="Y157" s="3">
        <f>IF($L157="","",U157-X157)</f>
      </c>
    </row>
    <row r="158" spans="1:25" x14ac:dyDescent="0.25">
      <c r="A158" s="1"/>
      <c r="D158" s="2"/>
      <c r="K158" s="3"/>
      <c r="L158" s="3"/>
      <c r="M158" s="3">
        <f>IF($L158="","",L158-K158)</f>
      </c>
      <c r="N158" s="3">
        <f>IF($L158="","",M158*16.67%)</f>
      </c>
      <c r="O158" s="3">
        <f>IF($L158="","",L158/100*11)</f>
      </c>
      <c r="P158" s="3">
        <v>8.99</v>
      </c>
      <c r="Q158" s="3">
        <f>IF($L158="","",L158*1%)</f>
      </c>
      <c r="R158" s="3"/>
      <c r="S158" s="3">
        <f>IF($L158="","",R158*20%)</f>
      </c>
      <c r="T158" s="3">
        <v>1</v>
      </c>
      <c r="U158" s="3">
        <f>IF($L158="","",M158-N158-O158-P158-Q158-R158-S158-T158)</f>
      </c>
      <c r="V158" s="3">
        <f>IF($L158="","",(U158-X158)/K158*100)</f>
      </c>
      <c r="W158" s="3">
        <f>IF($L158="","",N158-S158)</f>
      </c>
      <c r="Y158" s="3">
        <f>IF($L158="","",U158-X158)</f>
      </c>
    </row>
    <row r="159" spans="1:25" x14ac:dyDescent="0.25">
      <c r="A159" s="1"/>
      <c r="D159" s="2"/>
      <c r="K159" s="3"/>
      <c r="L159" s="3"/>
      <c r="M159" s="3">
        <f>IF($L159="","",L159-K159)</f>
      </c>
      <c r="N159" s="3">
        <f>IF($L159="","",M159*16.67%)</f>
      </c>
      <c r="O159" s="3">
        <f>IF($L159="","",L159/100*11)</f>
      </c>
      <c r="P159" s="3">
        <v>8.99</v>
      </c>
      <c r="Q159" s="3">
        <f>IF($L159="","",L159*1%)</f>
      </c>
      <c r="R159" s="3"/>
      <c r="S159" s="3">
        <f>IF($L159="","",R159*20%)</f>
      </c>
      <c r="T159" s="3">
        <v>1</v>
      </c>
      <c r="U159" s="3">
        <f>IF($L159="","",M159-N159-O159-P159-Q159-R159-S159-T159)</f>
      </c>
      <c r="V159" s="3">
        <f>IF($L159="","",(U159-X159)/K159*100)</f>
      </c>
      <c r="W159" s="3">
        <f>IF($L159="","",N159-S159)</f>
      </c>
      <c r="Y159" s="3">
        <f>IF($L159="","",U159-X159)</f>
      </c>
    </row>
    <row r="160" spans="1:25" x14ac:dyDescent="0.25">
      <c r="A160" s="1"/>
      <c r="D160" s="2"/>
      <c r="K160" s="3"/>
      <c r="L160" s="3"/>
      <c r="M160" s="3">
        <f>IF($L160="","",L160-K160)</f>
      </c>
      <c r="N160" s="3">
        <f>IF($L160="","",M160*16.67%)</f>
      </c>
      <c r="O160" s="3">
        <f>IF($L160="","",L160/100*11)</f>
      </c>
      <c r="P160" s="3">
        <v>8.99</v>
      </c>
      <c r="Q160" s="3">
        <f>IF($L160="","",L160*1%)</f>
      </c>
      <c r="R160" s="3"/>
      <c r="S160" s="3">
        <f>IF($L160="","",R160*20%)</f>
      </c>
      <c r="T160" s="3">
        <v>1</v>
      </c>
      <c r="U160" s="3">
        <f>IF($L160="","",M160-N160-O160-P160-Q160-R160-S160-T160)</f>
      </c>
      <c r="V160" s="3">
        <f>IF($L160="","",(U160-X160)/K160*100)</f>
      </c>
      <c r="W160" s="3">
        <f>IF($L160="","",N160-S160)</f>
      </c>
      <c r="Y160" s="3">
        <f>IF($L160="","",U160-X160)</f>
      </c>
    </row>
    <row r="161" spans="1:25" x14ac:dyDescent="0.25">
      <c r="A161" s="1"/>
      <c r="D161" s="2"/>
      <c r="K161" s="3"/>
      <c r="L161" s="3"/>
      <c r="M161" s="3">
        <f>IF($L161="","",L161-K161)</f>
      </c>
      <c r="N161" s="3">
        <f>IF($L161="","",M161*16.67%)</f>
      </c>
      <c r="O161" s="3">
        <f>IF($L161="","",L161/100*11)</f>
      </c>
      <c r="P161" s="3">
        <v>8.99</v>
      </c>
      <c r="Q161" s="3">
        <f>IF($L161="","",L161*1%)</f>
      </c>
      <c r="R161" s="3"/>
      <c r="S161" s="3">
        <f>IF($L161="","",R161*20%)</f>
      </c>
      <c r="T161" s="3">
        <v>1</v>
      </c>
      <c r="U161" s="3">
        <f>IF($L161="","",M161-N161-O161-P161-Q161-R161-S161-T161)</f>
      </c>
      <c r="V161" s="3">
        <f>IF($L161="","",(U161-X161)/K161*100)</f>
      </c>
      <c r="W161" s="3">
        <f>IF($L161="","",N161-S161)</f>
      </c>
      <c r="Y161" s="3">
        <f>IF($L161="","",U161-X161)</f>
      </c>
    </row>
    <row r="162" spans="1:25" x14ac:dyDescent="0.25">
      <c r="A162" s="1"/>
      <c r="D162" s="2"/>
      <c r="K162" s="3"/>
      <c r="L162" s="3"/>
      <c r="M162" s="3">
        <f>IF($L162="","",L162-K162)</f>
      </c>
      <c r="N162" s="3">
        <f>IF($L162="","",M162*16.67%)</f>
      </c>
      <c r="O162" s="3">
        <f>IF($L162="","",L162/100*11)</f>
      </c>
      <c r="P162" s="3">
        <v>8.99</v>
      </c>
      <c r="Q162" s="3">
        <f>IF($L162="","",L162*1%)</f>
      </c>
      <c r="R162" s="3"/>
      <c r="S162" s="3">
        <f>IF($L162="","",R162*20%)</f>
      </c>
      <c r="T162" s="3">
        <v>1</v>
      </c>
      <c r="U162" s="3">
        <f>IF($L162="","",M162-N162-O162-P162-Q162-R162-S162-T162)</f>
      </c>
      <c r="V162" s="3">
        <f>IF($L162="","",(U162-X162)/K162*100)</f>
      </c>
      <c r="W162" s="3">
        <f>IF($L162="","",N162-S162)</f>
      </c>
      <c r="Y162" s="3">
        <f>IF($L162="","",U162-X162)</f>
      </c>
    </row>
    <row r="163" spans="1:25" x14ac:dyDescent="0.25">
      <c r="A163" s="1"/>
      <c r="D163" s="2"/>
      <c r="K163" s="3"/>
      <c r="L163" s="3"/>
      <c r="M163" s="3">
        <f>IF($L163="","",L163-K163)</f>
      </c>
      <c r="N163" s="3">
        <f>IF($L163="","",M163*16.67%)</f>
      </c>
      <c r="O163" s="3">
        <f>IF($L163="","",L163/100*11)</f>
      </c>
      <c r="P163" s="3">
        <v>8.99</v>
      </c>
      <c r="Q163" s="3">
        <f>IF($L163="","",L163*1%)</f>
      </c>
      <c r="R163" s="3"/>
      <c r="S163" s="3">
        <f>IF($L163="","",R163*20%)</f>
      </c>
      <c r="T163" s="3">
        <v>1</v>
      </c>
      <c r="U163" s="3">
        <f>IF($L163="","",M163-N163-O163-P163-Q163-R163-S163-T163)</f>
      </c>
      <c r="V163" s="3">
        <f>IF($L163="","",(U163-X163)/K163*100)</f>
      </c>
      <c r="W163" s="3">
        <f>IF($L163="","",N163-S163)</f>
      </c>
      <c r="Y163" s="3">
        <f>IF($L163="","",U163-X163)</f>
      </c>
    </row>
    <row r="164" spans="1:25" x14ac:dyDescent="0.25">
      <c r="A164" s="1"/>
      <c r="D164" s="2"/>
      <c r="K164" s="3"/>
      <c r="L164" s="3"/>
      <c r="M164" s="3">
        <f>IF($L164="","",L164-K164)</f>
      </c>
      <c r="N164" s="3">
        <f>IF($L164="","",M164*16.67%)</f>
      </c>
      <c r="O164" s="3">
        <f>IF($L164="","",L164/100*11)</f>
      </c>
      <c r="P164" s="3">
        <v>8.99</v>
      </c>
      <c r="Q164" s="3">
        <f>IF($L164="","",L164*1%)</f>
      </c>
      <c r="R164" s="3"/>
      <c r="S164" s="3">
        <f>IF($L164="","",R164*20%)</f>
      </c>
      <c r="T164" s="3">
        <v>1</v>
      </c>
      <c r="U164" s="3">
        <f>IF($L164="","",M164-N164-O164-P164-Q164-R164-S164-T164)</f>
      </c>
      <c r="V164" s="3">
        <f>IF($L164="","",(U164-X164)/K164*100)</f>
      </c>
      <c r="W164" s="3">
        <f>IF($L164="","",N164-S164)</f>
      </c>
      <c r="Y164" s="3">
        <f>IF($L164="","",U164-X164)</f>
      </c>
    </row>
    <row r="165" spans="1:25" x14ac:dyDescent="0.25">
      <c r="A165" s="1"/>
      <c r="D165" s="2"/>
      <c r="K165" s="3"/>
      <c r="L165" s="3"/>
      <c r="M165" s="3">
        <f>IF($L165="","",L165-K165)</f>
      </c>
      <c r="N165" s="3">
        <f>IF($L165="","",M165*16.67%)</f>
      </c>
      <c r="O165" s="3">
        <f>IF($L165="","",L165/100*11)</f>
      </c>
      <c r="P165" s="3">
        <v>8.99</v>
      </c>
      <c r="Q165" s="3">
        <f>IF($L165="","",L165*1%)</f>
      </c>
      <c r="R165" s="3"/>
      <c r="S165" s="3">
        <f>IF($L165="","",R165*20%)</f>
      </c>
      <c r="T165" s="3">
        <v>1</v>
      </c>
      <c r="U165" s="3">
        <f>IF($L165="","",M165-N165-O165-P165-Q165-R165-S165-T165)</f>
      </c>
      <c r="V165" s="3">
        <f>IF($L165="","",(U165-X165)/K165*100)</f>
      </c>
      <c r="W165" s="3">
        <f>IF($L165="","",N165-S165)</f>
      </c>
      <c r="Y165" s="3">
        <f>IF($L165="","",U165-X165)</f>
      </c>
    </row>
    <row r="166" spans="1:25" x14ac:dyDescent="0.25">
      <c r="A166" s="1"/>
      <c r="D166" s="2"/>
      <c r="K166" s="3"/>
      <c r="L166" s="3"/>
      <c r="M166" s="3">
        <f>IF($L166="","",L166-K166)</f>
      </c>
      <c r="N166" s="3">
        <f>IF($L166="","",M166*16.67%)</f>
      </c>
      <c r="O166" s="3">
        <f>IF($L166="","",L166/100*11)</f>
      </c>
      <c r="P166" s="3">
        <v>8.99</v>
      </c>
      <c r="Q166" s="3">
        <f>IF($L166="","",L166*1%)</f>
      </c>
      <c r="R166" s="3"/>
      <c r="S166" s="3">
        <f>IF($L166="","",R166*20%)</f>
      </c>
      <c r="T166" s="3">
        <v>1</v>
      </c>
      <c r="U166" s="3">
        <f>IF($L166="","",M166-N166-O166-P166-Q166-R166-S166-T166)</f>
      </c>
      <c r="V166" s="3">
        <f>IF($L166="","",(U166-X166)/K166*100)</f>
      </c>
      <c r="W166" s="3">
        <f>IF($L166="","",N166-S166)</f>
      </c>
      <c r="Y166" s="3">
        <f>IF($L166="","",U166-X166)</f>
      </c>
    </row>
    <row r="167" spans="1:25" x14ac:dyDescent="0.25">
      <c r="A167" s="1"/>
      <c r="D167" s="2"/>
      <c r="K167" s="3"/>
      <c r="L167" s="3"/>
      <c r="M167" s="3">
        <f>IF($L167="","",L167-K167)</f>
      </c>
      <c r="N167" s="3">
        <f>IF($L167="","",M167*16.67%)</f>
      </c>
      <c r="O167" s="3">
        <f>IF($L167="","",L167/100*11)</f>
      </c>
      <c r="P167" s="3">
        <v>8.99</v>
      </c>
      <c r="Q167" s="3">
        <f>IF($L167="","",L167*1%)</f>
      </c>
      <c r="R167" s="3"/>
      <c r="S167" s="3">
        <f>IF($L167="","",R167*20%)</f>
      </c>
      <c r="T167" s="3">
        <v>1</v>
      </c>
      <c r="U167" s="3">
        <f>IF($L167="","",M167-N167-O167-P167-Q167-R167-S167-T167)</f>
      </c>
      <c r="V167" s="3">
        <f>IF($L167="","",(U167-X167)/K167*100)</f>
      </c>
      <c r="W167" s="3">
        <f>IF($L167="","",N167-S167)</f>
      </c>
      <c r="Y167" s="3">
        <f>IF($L167="","",U167-X167)</f>
      </c>
    </row>
    <row r="168" spans="1:25" x14ac:dyDescent="0.25">
      <c r="A168" s="1"/>
      <c r="D168" s="2"/>
      <c r="K168" s="3"/>
      <c r="L168" s="3"/>
      <c r="M168" s="3">
        <f>IF($L168="","",L168-K168)</f>
      </c>
      <c r="N168" s="3">
        <f>IF($L168="","",M168*16.67%)</f>
      </c>
      <c r="O168" s="3">
        <f>IF($L168="","",L168/100*11)</f>
      </c>
      <c r="P168" s="3">
        <v>8.99</v>
      </c>
      <c r="Q168" s="3">
        <f>IF($L168="","",L168*1%)</f>
      </c>
      <c r="R168" s="3"/>
      <c r="S168" s="3">
        <f>IF($L168="","",R168*20%)</f>
      </c>
      <c r="T168" s="3">
        <v>1</v>
      </c>
      <c r="U168" s="3">
        <f>IF($L168="","",M168-N168-O168-P168-Q168-R168-S168-T168)</f>
      </c>
      <c r="V168" s="3">
        <f>IF($L168="","",(U168-X168)/K168*100)</f>
      </c>
      <c r="W168" s="3">
        <f>IF($L168="","",N168-S168)</f>
      </c>
      <c r="Y168" s="3">
        <f>IF($L168="","",U168-X168)</f>
      </c>
    </row>
    <row r="169" spans="1:25" x14ac:dyDescent="0.25">
      <c r="A169" s="1"/>
      <c r="D169" s="2"/>
      <c r="K169" s="3"/>
      <c r="L169" s="3"/>
      <c r="M169" s="3">
        <f>IF($L169="","",L169-K169)</f>
      </c>
      <c r="N169" s="3">
        <f>IF($L169="","",M169*16.67%)</f>
      </c>
      <c r="O169" s="3">
        <f>IF($L169="","",L169/100*11)</f>
      </c>
      <c r="P169" s="3">
        <v>8.99</v>
      </c>
      <c r="Q169" s="3">
        <f>IF($L169="","",L169*1%)</f>
      </c>
      <c r="R169" s="3"/>
      <c r="S169" s="3">
        <f>IF($L169="","",R169*20%)</f>
      </c>
      <c r="T169" s="3">
        <v>1</v>
      </c>
      <c r="U169" s="3">
        <f>IF($L169="","",M169-N169-O169-P169-Q169-R169-S169-T169)</f>
      </c>
      <c r="V169" s="3">
        <f>IF($L169="","",(U169-X169)/K169*100)</f>
      </c>
      <c r="W169" s="3">
        <f>IF($L169="","",N169-S169)</f>
      </c>
      <c r="Y169" s="3">
        <f>IF($L169="","",U169-X169)</f>
      </c>
    </row>
    <row r="170" spans="1:25" x14ac:dyDescent="0.25">
      <c r="A170" s="1"/>
      <c r="D170" s="2"/>
      <c r="K170" s="3"/>
      <c r="L170" s="3"/>
      <c r="M170" s="3">
        <f>IF($L170="","",L170-K170)</f>
      </c>
      <c r="N170" s="3">
        <f>IF($L170="","",M170*16.67%)</f>
      </c>
      <c r="O170" s="3">
        <f>IF($L170="","",L170/100*11)</f>
      </c>
      <c r="P170" s="3">
        <v>8.99</v>
      </c>
      <c r="Q170" s="3">
        <f>IF($L170="","",L170*1%)</f>
      </c>
      <c r="R170" s="3"/>
      <c r="S170" s="3">
        <f>IF($L170="","",R170*20%)</f>
      </c>
      <c r="T170" s="3">
        <v>1</v>
      </c>
      <c r="U170" s="3">
        <f>IF($L170="","",M170-N170-O170-P170-Q170-R170-S170-T170)</f>
      </c>
      <c r="V170" s="3">
        <f>IF($L170="","",(U170-X170)/K170*100)</f>
      </c>
      <c r="W170" s="3">
        <f>IF($L170="","",N170-S170)</f>
      </c>
      <c r="Y170" s="3">
        <f>IF($L170="","",U170-X170)</f>
      </c>
    </row>
    <row r="171" spans="1:25" x14ac:dyDescent="0.25">
      <c r="A171" s="1"/>
      <c r="D171" s="2"/>
      <c r="K171" s="3"/>
      <c r="L171" s="3"/>
      <c r="M171" s="3">
        <f>IF($L171="","",L171-K171)</f>
      </c>
      <c r="N171" s="3">
        <f>IF($L171="","",M171*16.67%)</f>
      </c>
      <c r="O171" s="3">
        <f>IF($L171="","",L171/100*11)</f>
      </c>
      <c r="P171" s="3">
        <v>8.99</v>
      </c>
      <c r="Q171" s="3">
        <f>IF($L171="","",L171*1%)</f>
      </c>
      <c r="R171" s="3"/>
      <c r="S171" s="3">
        <f>IF($L171="","",R171*20%)</f>
      </c>
      <c r="T171" s="3">
        <v>1</v>
      </c>
      <c r="U171" s="3">
        <f>IF($L171="","",M171-N171-O171-P171-Q171-R171-S171-T171)</f>
      </c>
      <c r="V171" s="3">
        <f>IF($L171="","",(U171-X171)/K171*100)</f>
      </c>
      <c r="W171" s="3">
        <f>IF($L171="","",N171-S171)</f>
      </c>
      <c r="Y171" s="3">
        <f>IF($L171="","",U171-X171)</f>
      </c>
    </row>
    <row r="172" spans="1:25" x14ac:dyDescent="0.25">
      <c r="A172" s="1"/>
      <c r="D172" s="2"/>
      <c r="K172" s="3"/>
      <c r="L172" s="3"/>
      <c r="M172" s="3">
        <f>IF($L172="","",L172-K172)</f>
      </c>
      <c r="N172" s="3">
        <f>IF($L172="","",M172*16.67%)</f>
      </c>
      <c r="O172" s="3">
        <f>IF($L172="","",L172/100*11)</f>
      </c>
      <c r="P172" s="3">
        <v>8.99</v>
      </c>
      <c r="Q172" s="3">
        <f>IF($L172="","",L172*1%)</f>
      </c>
      <c r="R172" s="3"/>
      <c r="S172" s="3">
        <f>IF($L172="","",R172*20%)</f>
      </c>
      <c r="T172" s="3">
        <v>1</v>
      </c>
      <c r="U172" s="3">
        <f>IF($L172="","",M172-N172-O172-P172-Q172-R172-S172-T172)</f>
      </c>
      <c r="V172" s="3">
        <f>IF($L172="","",(U172-X172)/K172*100)</f>
      </c>
      <c r="W172" s="3">
        <f>IF($L172="","",N172-S172)</f>
      </c>
      <c r="Y172" s="3">
        <f>IF($L172="","",U172-X172)</f>
      </c>
    </row>
    <row r="173" spans="1:25" x14ac:dyDescent="0.25">
      <c r="A173" s="1"/>
      <c r="D173" s="2"/>
      <c r="K173" s="3"/>
      <c r="L173" s="3"/>
      <c r="M173" s="3">
        <f>IF($L173="","",L173-K173)</f>
      </c>
      <c r="N173" s="3">
        <f>IF($L173="","",M173*16.67%)</f>
      </c>
      <c r="O173" s="3">
        <f>IF($L173="","",L173/100*11)</f>
      </c>
      <c r="P173" s="3">
        <v>8.99</v>
      </c>
      <c r="Q173" s="3">
        <f>IF($L173="","",L173*1%)</f>
      </c>
      <c r="R173" s="3"/>
      <c r="S173" s="3">
        <f>IF($L173="","",R173*20%)</f>
      </c>
      <c r="T173" s="3">
        <v>1</v>
      </c>
      <c r="U173" s="3">
        <f>IF($L173="","",M173-N173-O173-P173-Q173-R173-S173-T173)</f>
      </c>
      <c r="V173" s="3">
        <f>IF($L173="","",(U173-X173)/K173*100)</f>
      </c>
      <c r="W173" s="3">
        <f>IF($L173="","",N173-S173)</f>
      </c>
      <c r="Y173" s="3">
        <f>IF($L173="","",U173-X173)</f>
      </c>
    </row>
    <row r="174" spans="1:25" x14ac:dyDescent="0.25">
      <c r="A174" s="1"/>
      <c r="D174" s="2"/>
      <c r="K174" s="3"/>
      <c r="L174" s="3"/>
      <c r="M174" s="3">
        <f>IF($L174="","",L174-K174)</f>
      </c>
      <c r="N174" s="3">
        <f>IF($L174="","",M174*16.67%)</f>
      </c>
      <c r="O174" s="3">
        <f>IF($L174="","",L174/100*11)</f>
      </c>
      <c r="P174" s="3">
        <v>8.99</v>
      </c>
      <c r="Q174" s="3">
        <f>IF($L174="","",L174*1%)</f>
      </c>
      <c r="R174" s="3"/>
      <c r="S174" s="3">
        <f>IF($L174="","",R174*20%)</f>
      </c>
      <c r="T174" s="3">
        <v>1</v>
      </c>
      <c r="U174" s="3">
        <f>IF($L174="","",M174-N174-O174-P174-Q174-R174-S174-T174)</f>
      </c>
      <c r="V174" s="3">
        <f>IF($L174="","",(U174-X174)/K174*100)</f>
      </c>
      <c r="W174" s="3">
        <f>IF($L174="","",N174-S174)</f>
      </c>
      <c r="Y174" s="3">
        <f>IF($L174="","",U174-X174)</f>
      </c>
    </row>
    <row r="175" spans="1:25" x14ac:dyDescent="0.25">
      <c r="A175" s="1"/>
      <c r="D175" s="2"/>
      <c r="K175" s="3"/>
      <c r="L175" s="3"/>
      <c r="M175" s="3">
        <f>IF($L175="","",L175-K175)</f>
      </c>
      <c r="N175" s="3">
        <f>IF($L175="","",M175*16.67%)</f>
      </c>
      <c r="O175" s="3">
        <f>IF($L175="","",L175/100*11)</f>
      </c>
      <c r="P175" s="3">
        <v>8.99</v>
      </c>
      <c r="Q175" s="3">
        <f>IF($L175="","",L175*1%)</f>
      </c>
      <c r="R175" s="3"/>
      <c r="S175" s="3">
        <f>IF($L175="","",R175*20%)</f>
      </c>
      <c r="T175" s="3">
        <v>1</v>
      </c>
      <c r="U175" s="3">
        <f>IF($L175="","",M175-N175-O175-P175-Q175-R175-S175-T175)</f>
      </c>
      <c r="V175" s="3">
        <f>IF($L175="","",(U175-X175)/K175*100)</f>
      </c>
      <c r="W175" s="3">
        <f>IF($L175="","",N175-S175)</f>
      </c>
      <c r="Y175" s="3">
        <f>IF($L175="","",U175-X175)</f>
      </c>
    </row>
    <row r="176" spans="1:25" x14ac:dyDescent="0.25">
      <c r="A176" s="1"/>
      <c r="D176" s="2"/>
      <c r="K176" s="3"/>
      <c r="L176" s="3"/>
      <c r="M176" s="3">
        <f>IF($L176="","",L176-K176)</f>
      </c>
      <c r="N176" s="3">
        <f>IF($L176="","",M176*16.67%)</f>
      </c>
      <c r="O176" s="3">
        <f>IF($L176="","",L176/100*11)</f>
      </c>
      <c r="P176" s="3">
        <v>8.99</v>
      </c>
      <c r="Q176" s="3">
        <f>IF($L176="","",L176*1%)</f>
      </c>
      <c r="R176" s="3"/>
      <c r="S176" s="3">
        <f>IF($L176="","",R176*20%)</f>
      </c>
      <c r="T176" s="3">
        <v>1</v>
      </c>
      <c r="U176" s="3">
        <f>IF($L176="","",M176-N176-O176-P176-Q176-R176-S176-T176)</f>
      </c>
      <c r="V176" s="3">
        <f>IF($L176="","",(U176-X176)/K176*100)</f>
      </c>
      <c r="W176" s="3">
        <f>IF($L176="","",N176-S176)</f>
      </c>
      <c r="Y176" s="3">
        <f>IF($L176="","",U176-X176)</f>
      </c>
    </row>
    <row r="177" spans="1:25" x14ac:dyDescent="0.25">
      <c r="A177" s="1"/>
      <c r="D177" s="2"/>
      <c r="K177" s="3"/>
      <c r="L177" s="3"/>
      <c r="M177" s="3">
        <f>IF($L177="","",L177-K177)</f>
      </c>
      <c r="N177" s="3">
        <f>IF($L177="","",M177*16.67%)</f>
      </c>
      <c r="O177" s="3">
        <f>IF($L177="","",L177/100*11)</f>
      </c>
      <c r="P177" s="3">
        <v>8.99</v>
      </c>
      <c r="Q177" s="3">
        <f>IF($L177="","",L177*1%)</f>
      </c>
      <c r="R177" s="3"/>
      <c r="S177" s="3">
        <f>IF($L177="","",R177*20%)</f>
      </c>
      <c r="T177" s="3">
        <v>1</v>
      </c>
      <c r="U177" s="3">
        <f>IF($L177="","",M177-N177-O177-P177-Q177-R177-S177-T177)</f>
      </c>
      <c r="V177" s="3">
        <f>IF($L177="","",(U177-X177)/K177*100)</f>
      </c>
      <c r="W177" s="3">
        <f>IF($L177="","",N177-S177)</f>
      </c>
      <c r="Y177" s="3">
        <f>IF($L177="","",U177-X177)</f>
      </c>
    </row>
    <row r="178" spans="1:25" x14ac:dyDescent="0.25">
      <c r="A178" s="1"/>
      <c r="D178" s="2"/>
      <c r="K178" s="3"/>
      <c r="L178" s="3"/>
      <c r="M178" s="3">
        <f>IF($L178="","",L178-K178)</f>
      </c>
      <c r="N178" s="3">
        <f>IF($L178="","",M178*16.67%)</f>
      </c>
      <c r="O178" s="3">
        <f>IF($L178="","",L178/100*11)</f>
      </c>
      <c r="P178" s="3">
        <v>8.99</v>
      </c>
      <c r="Q178" s="3">
        <f>IF($L178="","",L178*1%)</f>
      </c>
      <c r="R178" s="3"/>
      <c r="S178" s="3">
        <f>IF($L178="","",R178*20%)</f>
      </c>
      <c r="T178" s="3">
        <v>1</v>
      </c>
      <c r="U178" s="3">
        <f>IF($L178="","",M178-N178-O178-P178-Q178-R178-S178-T178)</f>
      </c>
      <c r="V178" s="3">
        <f>IF($L178="","",(U178-X178)/K178*100)</f>
      </c>
      <c r="W178" s="3">
        <f>IF($L178="","",N178-S178)</f>
      </c>
      <c r="Y178" s="3">
        <f>IF($L178="","",U178-X178)</f>
      </c>
    </row>
    <row r="179" spans="1:25" x14ac:dyDescent="0.25">
      <c r="A179" s="1"/>
      <c r="D179" s="2"/>
      <c r="K179" s="3"/>
      <c r="L179" s="3"/>
      <c r="M179" s="3">
        <f>IF($L179="","",L179-K179)</f>
      </c>
      <c r="N179" s="3">
        <f>IF($L179="","",M179*16.67%)</f>
      </c>
      <c r="O179" s="3">
        <f>IF($L179="","",L179/100*11)</f>
      </c>
      <c r="P179" s="3">
        <v>8.99</v>
      </c>
      <c r="Q179" s="3">
        <f>IF($L179="","",L179*1%)</f>
      </c>
      <c r="R179" s="3"/>
      <c r="S179" s="3">
        <f>IF($L179="","",R179*20%)</f>
      </c>
      <c r="T179" s="3">
        <v>1</v>
      </c>
      <c r="U179" s="3">
        <f>IF($L179="","",M179-N179-O179-P179-Q179-R179-S179-T179)</f>
      </c>
      <c r="V179" s="3">
        <f>IF($L179="","",(U179-X179)/K179*100)</f>
      </c>
      <c r="W179" s="3">
        <f>IF($L179="","",N179-S179)</f>
      </c>
      <c r="Y179" s="3">
        <f>IF($L179="","",U179-X179)</f>
      </c>
    </row>
    <row r="180" spans="1:25" x14ac:dyDescent="0.25">
      <c r="A180" s="1"/>
      <c r="D180" s="2"/>
      <c r="K180" s="3"/>
      <c r="L180" s="3"/>
      <c r="M180" s="3">
        <f>IF($L180="","",L180-K180)</f>
      </c>
      <c r="N180" s="3">
        <f>IF($L180="","",M180*16.67%)</f>
      </c>
      <c r="O180" s="3">
        <f>IF($L180="","",L180/100*11)</f>
      </c>
      <c r="P180" s="3">
        <v>8.99</v>
      </c>
      <c r="Q180" s="3">
        <f>IF($L180="","",L180*1%)</f>
      </c>
      <c r="R180" s="3"/>
      <c r="S180" s="3">
        <f>IF($L180="","",R180*20%)</f>
      </c>
      <c r="T180" s="3">
        <v>1</v>
      </c>
      <c r="U180" s="3">
        <f>IF($L180="","",M180-N180-O180-P180-Q180-R180-S180-T180)</f>
      </c>
      <c r="V180" s="3">
        <f>IF($L180="","",(U180-X180)/K180*100)</f>
      </c>
      <c r="W180" s="3">
        <f>IF($L180="","",N180-S180)</f>
      </c>
      <c r="Y180" s="3">
        <f>IF($L180="","",U180-X180)</f>
      </c>
    </row>
    <row r="181" spans="1:25" x14ac:dyDescent="0.25">
      <c r="A181" s="1"/>
      <c r="D181" s="2"/>
      <c r="K181" s="3"/>
      <c r="L181" s="3"/>
      <c r="M181" s="3">
        <f>IF($L181="","",L181-K181)</f>
      </c>
      <c r="N181" s="3">
        <f>IF($L181="","",M181*16.67%)</f>
      </c>
      <c r="O181" s="3">
        <f>IF($L181="","",L181/100*11)</f>
      </c>
      <c r="P181" s="3">
        <v>8.99</v>
      </c>
      <c r="Q181" s="3">
        <f>IF($L181="","",L181*1%)</f>
      </c>
      <c r="R181" s="3"/>
      <c r="S181" s="3">
        <f>IF($L181="","",R181*20%)</f>
      </c>
      <c r="T181" s="3">
        <v>1</v>
      </c>
      <c r="U181" s="3">
        <f>IF($L181="","",M181-N181-O181-P181-Q181-R181-S181-T181)</f>
      </c>
      <c r="V181" s="3">
        <f>IF($L181="","",(U181-X181)/K181*100)</f>
      </c>
      <c r="W181" s="3">
        <f>IF($L181="","",N181-S181)</f>
      </c>
      <c r="Y181" s="3">
        <f>IF($L181="","",U181-X181)</f>
      </c>
    </row>
    <row r="182" spans="1:25" x14ac:dyDescent="0.25">
      <c r="A182" s="1"/>
      <c r="D182" s="2"/>
      <c r="K182" s="3"/>
      <c r="L182" s="3"/>
      <c r="M182" s="3">
        <f>IF($L182="","",L182-K182)</f>
      </c>
      <c r="N182" s="3">
        <f>IF($L182="","",M182*16.67%)</f>
      </c>
      <c r="O182" s="3">
        <f>IF($L182="","",L182/100*11)</f>
      </c>
      <c r="P182" s="3">
        <v>8.99</v>
      </c>
      <c r="Q182" s="3">
        <f>IF($L182="","",L182*1%)</f>
      </c>
      <c r="R182" s="3"/>
      <c r="S182" s="3">
        <f>IF($L182="","",R182*20%)</f>
      </c>
      <c r="T182" s="3">
        <v>1</v>
      </c>
      <c r="U182" s="3">
        <f>IF($L182="","",M182-N182-O182-P182-Q182-R182-S182-T182)</f>
      </c>
      <c r="V182" s="3">
        <f>IF($L182="","",(U182-X182)/K182*100)</f>
      </c>
      <c r="W182" s="3">
        <f>IF($L182="","",N182-S182)</f>
      </c>
      <c r="Y182" s="3">
        <f>IF($L182="","",U182-X182)</f>
      </c>
    </row>
    <row r="183" spans="1:25" x14ac:dyDescent="0.25">
      <c r="A183" s="1"/>
      <c r="D183" s="2"/>
      <c r="K183" s="3"/>
      <c r="L183" s="3"/>
      <c r="M183" s="3">
        <f>IF($L183="","",L183-K183)</f>
      </c>
      <c r="N183" s="3">
        <f>IF($L183="","",M183*16.67%)</f>
      </c>
      <c r="O183" s="3">
        <f>IF($L183="","",L183/100*11)</f>
      </c>
      <c r="P183" s="3">
        <v>8.99</v>
      </c>
      <c r="Q183" s="3">
        <f>IF($L183="","",L183*1%)</f>
      </c>
      <c r="R183" s="3"/>
      <c r="S183" s="3">
        <f>IF($L183="","",R183*20%)</f>
      </c>
      <c r="T183" s="3">
        <v>1</v>
      </c>
      <c r="U183" s="3">
        <f>IF($L183="","",M183-N183-O183-P183-Q183-R183-S183-T183)</f>
      </c>
      <c r="V183" s="3">
        <f>IF($L183="","",(U183-X183)/K183*100)</f>
      </c>
      <c r="W183" s="3">
        <f>IF($L183="","",N183-S183)</f>
      </c>
      <c r="Y183" s="3">
        <f>IF($L183="","",U183-X183)</f>
      </c>
    </row>
    <row r="184" spans="1:25" x14ac:dyDescent="0.25">
      <c r="A184" s="1"/>
      <c r="D184" s="2"/>
      <c r="K184" s="3"/>
      <c r="L184" s="3"/>
      <c r="M184" s="3">
        <f>IF($L184="","",L184-K184)</f>
      </c>
      <c r="N184" s="3">
        <f>IF($L184="","",M184*16.67%)</f>
      </c>
      <c r="O184" s="3">
        <f>IF($L184="","",L184/100*11)</f>
      </c>
      <c r="P184" s="3">
        <v>8.99</v>
      </c>
      <c r="Q184" s="3">
        <f>IF($L184="","",L184*1%)</f>
      </c>
      <c r="R184" s="3"/>
      <c r="S184" s="3">
        <f>IF($L184="","",R184*20%)</f>
      </c>
      <c r="T184" s="3">
        <v>1</v>
      </c>
      <c r="U184" s="3">
        <f>IF($L184="","",M184-N184-O184-P184-Q184-R184-S184-T184)</f>
      </c>
      <c r="V184" s="3">
        <f>IF($L184="","",(U184-X184)/K184*100)</f>
      </c>
      <c r="W184" s="3">
        <f>IF($L184="","",N184-S184)</f>
      </c>
      <c r="Y184" s="3">
        <f>IF($L184="","",U184-X184)</f>
      </c>
    </row>
    <row r="185" spans="1:25" x14ac:dyDescent="0.25">
      <c r="A185" s="1"/>
      <c r="D185" s="2"/>
      <c r="K185" s="3"/>
      <c r="L185" s="3"/>
      <c r="M185" s="3">
        <f>IF($L185="","",L185-K185)</f>
      </c>
      <c r="N185" s="3">
        <f>IF($L185="","",M185*16.67%)</f>
      </c>
      <c r="O185" s="3">
        <f>IF($L185="","",L185/100*11)</f>
      </c>
      <c r="P185" s="3">
        <v>8.99</v>
      </c>
      <c r="Q185" s="3">
        <f>IF($L185="","",L185*1%)</f>
      </c>
      <c r="R185" s="3"/>
      <c r="S185" s="3">
        <f>IF($L185="","",R185*20%)</f>
      </c>
      <c r="T185" s="3">
        <v>1</v>
      </c>
      <c r="U185" s="3">
        <f>IF($L185="","",M185-N185-O185-P185-Q185-R185-S185-T185)</f>
      </c>
      <c r="V185" s="3">
        <f>IF($L185="","",(U185-X185)/K185*100)</f>
      </c>
      <c r="W185" s="3">
        <f>IF($L185="","",N185-S185)</f>
      </c>
      <c r="Y185" s="3">
        <f>IF($L185="","",U185-X185)</f>
      </c>
    </row>
    <row r="186" spans="1:25" x14ac:dyDescent="0.25">
      <c r="A186" s="1"/>
      <c r="D186" s="2"/>
      <c r="K186" s="3"/>
      <c r="L186" s="3"/>
      <c r="M186" s="3">
        <f>IF($L186="","",L186-K186)</f>
      </c>
      <c r="N186" s="3">
        <f>IF($L186="","",M186*16.67%)</f>
      </c>
      <c r="O186" s="3">
        <f>IF($L186="","",L186/100*11)</f>
      </c>
      <c r="P186" s="3">
        <v>8.99</v>
      </c>
      <c r="Q186" s="3">
        <f>IF($L186="","",L186*1%)</f>
      </c>
      <c r="R186" s="3"/>
      <c r="S186" s="3">
        <f>IF($L186="","",R186*20%)</f>
      </c>
      <c r="T186" s="3">
        <v>1</v>
      </c>
      <c r="U186" s="3">
        <f>IF($L186="","",M186-N186-O186-P186-Q186-R186-S186-T186)</f>
      </c>
      <c r="V186" s="3">
        <f>IF($L186="","",(U186-X186)/K186*100)</f>
      </c>
      <c r="W186" s="3">
        <f>IF($L186="","",N186-S186)</f>
      </c>
      <c r="Y186" s="3">
        <f>IF($L186="","",U186-X186)</f>
      </c>
    </row>
    <row r="187" spans="1:25" x14ac:dyDescent="0.25">
      <c r="A187" s="1"/>
      <c r="D187" s="2"/>
      <c r="K187" s="3"/>
      <c r="L187" s="3"/>
      <c r="M187" s="3">
        <f>IF($L187="","",L187-K187)</f>
      </c>
      <c r="N187" s="3">
        <f>IF($L187="","",M187*16.67%)</f>
      </c>
      <c r="O187" s="3">
        <f>IF($L187="","",L187/100*11)</f>
      </c>
      <c r="P187" s="3">
        <v>8.99</v>
      </c>
      <c r="Q187" s="3">
        <f>IF($L187="","",L187*1%)</f>
      </c>
      <c r="R187" s="3"/>
      <c r="S187" s="3">
        <f>IF($L187="","",R187*20%)</f>
      </c>
      <c r="T187" s="3">
        <v>1</v>
      </c>
      <c r="U187" s="3">
        <f>IF($L187="","",M187-N187-O187-P187-Q187-R187-S187-T187)</f>
      </c>
      <c r="V187" s="3">
        <f>IF($L187="","",(U187-X187)/K187*100)</f>
      </c>
      <c r="W187" s="3">
        <f>IF($L187="","",N187-S187)</f>
      </c>
      <c r="Y187" s="3">
        <f>IF($L187="","",U187-X187)</f>
      </c>
    </row>
    <row r="188" spans="1:25" x14ac:dyDescent="0.25">
      <c r="A188" s="1"/>
      <c r="D188" s="2"/>
      <c r="K188" s="3"/>
      <c r="L188" s="3"/>
      <c r="M188" s="3">
        <f>IF($L188="","",L188-K188)</f>
      </c>
      <c r="N188" s="3">
        <f>IF($L188="","",M188*16.67%)</f>
      </c>
      <c r="O188" s="3">
        <f>IF($L188="","",L188/100*11)</f>
      </c>
      <c r="P188" s="3">
        <v>8.99</v>
      </c>
      <c r="Q188" s="3">
        <f>IF($L188="","",L188*1%)</f>
      </c>
      <c r="R188" s="3"/>
      <c r="S188" s="3">
        <f>IF($L188="","",R188*20%)</f>
      </c>
      <c r="T188" s="3">
        <v>1</v>
      </c>
      <c r="U188" s="3">
        <f>IF($L188="","",M188-N188-O188-P188-Q188-R188-S188-T188)</f>
      </c>
      <c r="V188" s="3">
        <f>IF($L188="","",(U188-X188)/K188*100)</f>
      </c>
      <c r="W188" s="3">
        <f>IF($L188="","",N188-S188)</f>
      </c>
      <c r="Y188" s="3">
        <f>IF($L188="","",U188-X188)</f>
      </c>
    </row>
    <row r="189" spans="1:25" x14ac:dyDescent="0.25">
      <c r="A189" s="1"/>
      <c r="D189" s="2"/>
      <c r="K189" s="3"/>
      <c r="L189" s="3"/>
      <c r="M189" s="3">
        <f>IF($L189="","",L189-K189)</f>
      </c>
      <c r="N189" s="3">
        <f>IF($L189="","",M189*16.67%)</f>
      </c>
      <c r="O189" s="3">
        <f>IF($L189="","",L189/100*11)</f>
      </c>
      <c r="P189" s="3">
        <v>8.99</v>
      </c>
      <c r="Q189" s="3">
        <f>IF($L189="","",L189*1%)</f>
      </c>
      <c r="R189" s="3"/>
      <c r="S189" s="3">
        <f>IF($L189="","",R189*20%)</f>
      </c>
      <c r="T189" s="3">
        <v>1</v>
      </c>
      <c r="U189" s="3">
        <f>IF($L189="","",M189-N189-O189-P189-Q189-R189-S189-T189)</f>
      </c>
      <c r="V189" s="3">
        <f>IF($L189="","",(U189-X189)/K189*100)</f>
      </c>
      <c r="W189" s="3">
        <f>IF($L189="","",N189-S189)</f>
      </c>
      <c r="Y189" s="3">
        <f>IF($L189="","",U189-X189)</f>
      </c>
    </row>
    <row r="190" spans="1:25" x14ac:dyDescent="0.25">
      <c r="A190" s="1"/>
      <c r="D190" s="2"/>
      <c r="K190" s="3"/>
      <c r="L190" s="3"/>
      <c r="M190" s="3">
        <f>IF($L190="","",L190-K190)</f>
      </c>
      <c r="N190" s="3">
        <f>IF($L190="","",M190*16.67%)</f>
      </c>
      <c r="O190" s="3">
        <f>IF($L190="","",L190/100*11)</f>
      </c>
      <c r="P190" s="3">
        <v>8.99</v>
      </c>
      <c r="Q190" s="3">
        <f>IF($L190="","",L190*1%)</f>
      </c>
      <c r="R190" s="3"/>
      <c r="S190" s="3">
        <f>IF($L190="","",R190*20%)</f>
      </c>
      <c r="T190" s="3">
        <v>1</v>
      </c>
      <c r="U190" s="3">
        <f>IF($L190="","",M190-N190-O190-P190-Q190-R190-S190-T190)</f>
      </c>
      <c r="V190" s="3">
        <f>IF($L190="","",(U190-X190)/K190*100)</f>
      </c>
      <c r="W190" s="3">
        <f>IF($L190="","",N190-S190)</f>
      </c>
      <c r="Y190" s="3">
        <f>IF($L190="","",U190-X190)</f>
      </c>
    </row>
    <row r="191" spans="1:25" x14ac:dyDescent="0.25">
      <c r="A191" s="1"/>
      <c r="D191" s="2"/>
      <c r="K191" s="3"/>
      <c r="L191" s="3"/>
      <c r="M191" s="3">
        <f>IF($L191="","",L191-K191)</f>
      </c>
      <c r="N191" s="3">
        <f>IF($L191="","",M191*16.67%)</f>
      </c>
      <c r="O191" s="3">
        <f>IF($L191="","",L191/100*11)</f>
      </c>
      <c r="P191" s="3">
        <v>8.99</v>
      </c>
      <c r="Q191" s="3">
        <f>IF($L191="","",L191*1%)</f>
      </c>
      <c r="R191" s="3"/>
      <c r="S191" s="3">
        <f>IF($L191="","",R191*20%)</f>
      </c>
      <c r="T191" s="3">
        <v>1</v>
      </c>
      <c r="U191" s="3">
        <f>IF($L191="","",M191-N191-O191-P191-Q191-R191-S191-T191)</f>
      </c>
      <c r="V191" s="3">
        <f>IF($L191="","",(U191-X191)/K191*100)</f>
      </c>
      <c r="W191" s="3">
        <f>IF($L191="","",N191-S191)</f>
      </c>
      <c r="Y191" s="3">
        <f>IF($L191="","",U191-X191)</f>
      </c>
    </row>
    <row r="192" spans="1:25" x14ac:dyDescent="0.25">
      <c r="A192" s="1"/>
      <c r="D192" s="2"/>
      <c r="K192" s="3"/>
      <c r="L192" s="3"/>
      <c r="M192" s="3">
        <f>IF($L192="","",L192-K192)</f>
      </c>
      <c r="N192" s="3">
        <f>IF($L192="","",M192*16.67%)</f>
      </c>
      <c r="O192" s="3">
        <f>IF($L192="","",L192/100*11)</f>
      </c>
      <c r="P192" s="3">
        <v>8.99</v>
      </c>
      <c r="Q192" s="3">
        <f>IF($L192="","",L192*1%)</f>
      </c>
      <c r="R192" s="3"/>
      <c r="S192" s="3">
        <f>IF($L192="","",R192*20%)</f>
      </c>
      <c r="T192" s="3">
        <v>1</v>
      </c>
      <c r="U192" s="3">
        <f>IF($L192="","",M192-N192-O192-P192-Q192-R192-S192-T192)</f>
      </c>
      <c r="V192" s="3">
        <f>IF($L192="","",(U192-X192)/K192*100)</f>
      </c>
      <c r="W192" s="3">
        <f>IF($L192="","",N192-S192)</f>
      </c>
      <c r="Y192" s="3">
        <f>IF($L192="","",U192-X192)</f>
      </c>
    </row>
    <row r="193" spans="1:25" x14ac:dyDescent="0.25">
      <c r="A193" s="1"/>
      <c r="D193" s="2"/>
      <c r="K193" s="3"/>
      <c r="L193" s="3"/>
      <c r="M193" s="3">
        <f>IF($L193="","",L193-K193)</f>
      </c>
      <c r="N193" s="3">
        <f>IF($L193="","",M193*16.67%)</f>
      </c>
      <c r="O193" s="3">
        <f>IF($L193="","",L193/100*11)</f>
      </c>
      <c r="P193" s="3">
        <v>8.99</v>
      </c>
      <c r="Q193" s="3">
        <f>IF($L193="","",L193*1%)</f>
      </c>
      <c r="R193" s="3"/>
      <c r="S193" s="3">
        <f>IF($L193="","",R193*20%)</f>
      </c>
      <c r="T193" s="3">
        <v>1</v>
      </c>
      <c r="U193" s="3">
        <f>IF($L193="","",M193-N193-O193-P193-Q193-R193-S193-T193)</f>
      </c>
      <c r="V193" s="3">
        <f>IF($L193="","",(U193-X193)/K193*100)</f>
      </c>
      <c r="W193" s="3">
        <f>IF($L193="","",N193-S193)</f>
      </c>
      <c r="Y193" s="3">
        <f>IF($L193="","",U193-X193)</f>
      </c>
    </row>
    <row r="194" spans="1:25" x14ac:dyDescent="0.25">
      <c r="A194" s="1"/>
      <c r="D194" s="2"/>
      <c r="K194" s="3"/>
      <c r="L194" s="3"/>
      <c r="M194" s="3">
        <f>IF($L194="","",L194-K194)</f>
      </c>
      <c r="N194" s="3">
        <f>IF($L194="","",M194*16.67%)</f>
      </c>
      <c r="O194" s="3">
        <f>IF($L194="","",L194/100*11)</f>
      </c>
      <c r="P194" s="3">
        <v>8.99</v>
      </c>
      <c r="Q194" s="3">
        <f>IF($L194="","",L194*1%)</f>
      </c>
      <c r="R194" s="3"/>
      <c r="S194" s="3">
        <f>IF($L194="","",R194*20%)</f>
      </c>
      <c r="T194" s="3">
        <v>1</v>
      </c>
      <c r="U194" s="3">
        <f>IF($L194="","",M194-N194-O194-P194-Q194-R194-S194-T194)</f>
      </c>
      <c r="V194" s="3">
        <f>IF($L194="","",(U194-X194)/K194*100)</f>
      </c>
      <c r="W194" s="3">
        <f>IF($L194="","",N194-S194)</f>
      </c>
      <c r="Y194" s="3">
        <f>IF($L194="","",U194-X194)</f>
      </c>
    </row>
    <row r="195" spans="1:25" x14ac:dyDescent="0.25">
      <c r="A195" s="1"/>
      <c r="D195" s="2"/>
      <c r="K195" s="3"/>
      <c r="L195" s="3"/>
      <c r="M195" s="3">
        <f>IF($L195="","",L195-K195)</f>
      </c>
      <c r="N195" s="3">
        <f>IF($L195="","",M195*16.67%)</f>
      </c>
      <c r="O195" s="3">
        <f>IF($L195="","",L195/100*11)</f>
      </c>
      <c r="P195" s="3">
        <v>8.99</v>
      </c>
      <c r="Q195" s="3">
        <f>IF($L195="","",L195*1%)</f>
      </c>
      <c r="R195" s="3"/>
      <c r="S195" s="3">
        <f>IF($L195="","",R195*20%)</f>
      </c>
      <c r="T195" s="3">
        <v>1</v>
      </c>
      <c r="U195" s="3">
        <f>IF($L195="","",M195-N195-O195-P195-Q195-R195-S195-T195)</f>
      </c>
      <c r="V195" s="3">
        <f>IF($L195="","",(U195-X195)/K195*100)</f>
      </c>
      <c r="W195" s="3">
        <f>IF($L195="","",N195-S195)</f>
      </c>
      <c r="Y195" s="3">
        <f>IF($L195="","",U195-X195)</f>
      </c>
    </row>
    <row r="196" spans="1:25" x14ac:dyDescent="0.25">
      <c r="A196" s="1"/>
      <c r="D196" s="2"/>
      <c r="K196" s="3"/>
      <c r="L196" s="3"/>
      <c r="M196" s="3">
        <f>IF($L196="","",L196-K196)</f>
      </c>
      <c r="N196" s="3">
        <f>IF($L196="","",M196*16.67%)</f>
      </c>
      <c r="O196" s="3">
        <f>IF($L196="","",L196/100*11)</f>
      </c>
      <c r="P196" s="3">
        <v>8.99</v>
      </c>
      <c r="Q196" s="3">
        <f>IF($L196="","",L196*1%)</f>
      </c>
      <c r="R196" s="3"/>
      <c r="S196" s="3">
        <f>IF($L196="","",R196*20%)</f>
      </c>
      <c r="T196" s="3">
        <v>1</v>
      </c>
      <c r="U196" s="3">
        <f>IF($L196="","",M196-N196-O196-P196-Q196-R196-S196-T196)</f>
      </c>
      <c r="V196" s="3">
        <f>IF($L196="","",(U196-X196)/K196*100)</f>
      </c>
      <c r="W196" s="3">
        <f>IF($L196="","",N196-S196)</f>
      </c>
      <c r="Y196" s="3">
        <f>IF($L196="","",U196-X196)</f>
      </c>
    </row>
    <row r="197" spans="1:25" x14ac:dyDescent="0.25">
      <c r="A197" s="1"/>
      <c r="D197" s="2"/>
      <c r="K197" s="3"/>
      <c r="L197" s="3"/>
      <c r="M197" s="3">
        <f>IF($L197="","",L197-K197)</f>
      </c>
      <c r="N197" s="3">
        <f>IF($L197="","",M197*16.67%)</f>
      </c>
      <c r="O197" s="3">
        <f>IF($L197="","",L197/100*11)</f>
      </c>
      <c r="P197" s="3">
        <v>8.99</v>
      </c>
      <c r="Q197" s="3">
        <f>IF($L197="","",L197*1%)</f>
      </c>
      <c r="R197" s="3"/>
      <c r="S197" s="3">
        <f>IF($L197="","",R197*20%)</f>
      </c>
      <c r="T197" s="3">
        <v>1</v>
      </c>
      <c r="U197" s="3">
        <f>IF($L197="","",M197-N197-O197-P197-Q197-R197-S197-T197)</f>
      </c>
      <c r="V197" s="3">
        <f>IF($L197="","",(U197-X197)/K197*100)</f>
      </c>
      <c r="W197" s="3">
        <f>IF($L197="","",N197-S197)</f>
      </c>
      <c r="Y197" s="3">
        <f>IF($L197="","",U197-X197)</f>
      </c>
    </row>
    <row r="198" spans="1:25" x14ac:dyDescent="0.25">
      <c r="A198" s="1"/>
      <c r="D198" s="2"/>
      <c r="K198" s="3"/>
      <c r="L198" s="3"/>
      <c r="M198" s="3">
        <f>IF($L198="","",L198-K198)</f>
      </c>
      <c r="N198" s="3">
        <f>IF($L198="","",M198*16.67%)</f>
      </c>
      <c r="O198" s="3">
        <f>IF($L198="","",L198/100*11)</f>
      </c>
      <c r="P198" s="3">
        <v>8.99</v>
      </c>
      <c r="Q198" s="3">
        <f>IF($L198="","",L198*1%)</f>
      </c>
      <c r="R198" s="3"/>
      <c r="S198" s="3">
        <f>IF($L198="","",R198*20%)</f>
      </c>
      <c r="T198" s="3">
        <v>1</v>
      </c>
      <c r="U198" s="3">
        <f>IF($L198="","",M198-N198-O198-P198-Q198-R198-S198-T198)</f>
      </c>
      <c r="V198" s="3">
        <f>IF($L198="","",(U198-X198)/K198*100)</f>
      </c>
      <c r="W198" s="3">
        <f>IF($L198="","",N198-S198)</f>
      </c>
      <c r="Y198" s="3">
        <f>IF($L198="","",U198-X198)</f>
      </c>
    </row>
    <row r="199" spans="1:25" x14ac:dyDescent="0.25">
      <c r="A199" s="1"/>
      <c r="D199" s="2"/>
      <c r="K199" s="3"/>
      <c r="L199" s="3"/>
      <c r="M199" s="3">
        <f>IF($L199="","",L199-K199)</f>
      </c>
      <c r="N199" s="3">
        <f>IF($L199="","",M199*16.67%)</f>
      </c>
      <c r="O199" s="3">
        <f>IF($L199="","",L199/100*11)</f>
      </c>
      <c r="P199" s="3">
        <v>8.99</v>
      </c>
      <c r="Q199" s="3">
        <f>IF($L199="","",L199*1%)</f>
      </c>
      <c r="R199" s="3"/>
      <c r="S199" s="3">
        <f>IF($L199="","",R199*20%)</f>
      </c>
      <c r="T199" s="3">
        <v>1</v>
      </c>
      <c r="U199" s="3">
        <f>IF($L199="","",M199-N199-O199-P199-Q199-R199-S199-T199)</f>
      </c>
      <c r="V199" s="3">
        <f>IF($L199="","",(U199-X199)/K199*100)</f>
      </c>
      <c r="W199" s="3">
        <f>IF($L199="","",N199-S199)</f>
      </c>
      <c r="Y199" s="3">
        <f>IF($L199="","",U199-X199)</f>
      </c>
    </row>
    <row r="200" spans="1:25" x14ac:dyDescent="0.25">
      <c r="A200" s="1"/>
      <c r="D200" s="2"/>
      <c r="K200" s="3"/>
      <c r="L200" s="3"/>
      <c r="M200" s="3">
        <f>IF($L200="","",L200-K200)</f>
      </c>
      <c r="N200" s="3">
        <f>IF($L200="","",M200*16.67%)</f>
      </c>
      <c r="O200" s="3">
        <f>IF($L200="","",L200/100*11)</f>
      </c>
      <c r="P200" s="3">
        <v>8.99</v>
      </c>
      <c r="Q200" s="3">
        <f>IF($L200="","",L200*1%)</f>
      </c>
      <c r="R200" s="3"/>
      <c r="S200" s="3">
        <f>IF($L200="","",R200*20%)</f>
      </c>
      <c r="T200" s="3">
        <v>1</v>
      </c>
      <c r="U200" s="3">
        <f>IF($L200="","",M200-N200-O200-P200-Q200-R200-S200-T200)</f>
      </c>
      <c r="V200" s="3">
        <f>IF($L200="","",(U200-X200)/K200*100)</f>
      </c>
      <c r="W200" s="3">
        <f>IF($L200="","",N200-S200)</f>
      </c>
      <c r="Y200" s="3">
        <f>IF($L200="","",U200-X200)</f>
      </c>
    </row>
    <row r="201" spans="1:25" x14ac:dyDescent="0.25">
      <c r="A201" s="1"/>
      <c r="D201" s="2"/>
      <c r="K201" s="3"/>
      <c r="L201" s="3"/>
      <c r="M201" s="3">
        <f>IF($L201="","",L201-K201)</f>
      </c>
      <c r="N201" s="3">
        <f>IF($L201="","",M201*16.67%)</f>
      </c>
      <c r="O201" s="3">
        <f>IF($L201="","",L201/100*11)</f>
      </c>
      <c r="P201" s="3">
        <v>8.99</v>
      </c>
      <c r="Q201" s="3">
        <f>IF($L201="","",L201*1%)</f>
      </c>
      <c r="R201" s="3"/>
      <c r="S201" s="3">
        <f>IF($L201="","",R201*20%)</f>
      </c>
      <c r="T201" s="3">
        <v>1</v>
      </c>
      <c r="U201" s="3">
        <f>IF($L201="","",M201-N201-O201-P201-Q201-R201-S201-T201)</f>
      </c>
      <c r="V201" s="3">
        <f>IF($L201="","",(U201-X201)/K201*100)</f>
      </c>
      <c r="W201" s="3">
        <f>IF($L201="","",N201-S201)</f>
      </c>
      <c r="Y201" s="3">
        <f>IF($L201="","",U201-X201)</f>
      </c>
    </row>
    <row r="202" spans="1:25" x14ac:dyDescent="0.25">
      <c r="A202" s="1"/>
      <c r="D202" s="2"/>
      <c r="K202" s="3"/>
      <c r="L202" s="3"/>
      <c r="M202" s="3">
        <f>IF($L202="","",L202-K202)</f>
      </c>
      <c r="N202" s="3">
        <f>IF($L202="","",M202*16.67%)</f>
      </c>
      <c r="O202" s="3">
        <f>IF($L202="","",L202/100*11)</f>
      </c>
      <c r="P202" s="3">
        <v>8.99</v>
      </c>
      <c r="Q202" s="3">
        <f>IF($L202="","",L202*1%)</f>
      </c>
      <c r="R202" s="3"/>
      <c r="S202" s="3">
        <f>IF($L202="","",R202*20%)</f>
      </c>
      <c r="T202" s="3">
        <v>1</v>
      </c>
      <c r="U202" s="3">
        <f>IF($L202="","",M202-N202-O202-P202-Q202-R202-S202-T202)</f>
      </c>
      <c r="V202" s="3">
        <f>IF($L202="","",(U202-X202)/K202*100)</f>
      </c>
      <c r="W202" s="3">
        <f>IF($L202="","",N202-S202)</f>
      </c>
      <c r="Y202" s="3">
        <f>IF($L202="","",U202-X202)</f>
      </c>
    </row>
    <row r="203" spans="1:30" s="4" customFormat="1" x14ac:dyDescent="0.25">
      <c r="A203" s="5" t="s">
        <v>36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4"/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IFERROR((U203-X203)/K203*100,0)</f>
      </c>
      <c r="W203" s="6">
        <f>SUM(W2:W202)</f>
      </c>
      <c r="X203" s="6">
        <f>SUM(X2:X202)</f>
      </c>
      <c r="Y203" s="6">
        <f>SUM(Y2:Y202)</f>
      </c>
      <c r="Z203" s="4"/>
      <c r="AA203" s="4"/>
      <c r="AB203" s="4"/>
      <c r="AC203" s="4"/>
      <c r="AD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BM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2026-08-14T08:58:24Z</dcterms:created>
  <dcterms:modified xsi:type="dcterms:W3CDTF">2026-08-14T08:58:24Z</dcterms:modified>
</cp:coreProperties>
</file>