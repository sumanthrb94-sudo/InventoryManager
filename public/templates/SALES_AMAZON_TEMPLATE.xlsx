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<sst xmlns="http://schemas.openxmlformats.org/spreadsheetml/2006/main" count="62" uniqueCount="59">
  <si>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</si>
  <si>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</si>
  <si>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</si>
  <si>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</si>
  <si>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</si>
  <si>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</si>
  <si>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</si>
  <si>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</si>
  <si>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</si>
  <si>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</si>
  <si>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</si>
  <si>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</si>
  <si>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</si>
  <si>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</si>
  <si>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</si>
  <si>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</si>
  <si>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</si>
  <si>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</si>
  <si>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</si>
  <si>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</si>
  <si>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</si>
  <si>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</si>
  <si>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</si>
  <si>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</si>
  <si>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</si>
  <si>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</si>
  <si>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</si>
  <si>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</si>
  <si>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</si>
  <si>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Net GP £</t>
  </si>
  <si>
    <t>Return Date</t>
  </si>
  <si>
    <t>Outcome</t>
  </si>
  <si>
    <t>Shipping Legs</t>
  </si>
  <si>
    <t>Return Reason</t>
  </si>
  <si>
    <t>Comments</t>
  </si>
  <si>
    <t>AMZ-5001</t>
  </si>
  <si>
    <t>IP13-128-MID</t>
  </si>
  <si>
    <t>350100000000000</t>
  </si>
  <si>
    <t>Apple iPhone 13 128GB</t>
  </si>
  <si>
    <t/>
  </si>
  <si>
    <t>MOBILE WHOLESALE LTD</t>
  </si>
  <si>
    <t>TOTAL</t>
  </si>
  <si>
    <t>SALES TEMPLATE — same columns as the Sales Report</t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</si>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</sst>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7" t="s">
        <v>42</v>
      </c>
      <c r="B1" t="s">
        <v>39</v>
      </c>
    </row>
    <row r="3" spans="1:2" x14ac:dyDescent="0.25">
      <c r="A3" s="4" t="s">
        <v>43</v>
      </c>
      <c r="B3" s="8" t="s">
        <v>44</v>
      </c>
    </row>
    <row r="4" spans="1:2" x14ac:dyDescent="0.25">
      <c r="A4" s="4" t="s">
        <v>45</v>
      </c>
      <c r="B4" s="8" t="s">
        <v>46</v>
      </c>
    </row>
    <row r="5" spans="1:2" x14ac:dyDescent="0.25">
      <c r="A5" s="4" t="s">
        <v>47</v>
      </c>
      <c r="B5" s="8" t="s">
        <v>48</v>
      </c>
    </row>
    <row r="6" spans="1:2" x14ac:dyDescent="0.25">
      <c r="A6" s="4" t="s">
        <v>49</v>
      </c>
      <c r="B6" s="8" t="s">
        <v>50</v>
      </c>
    </row>
    <row r="7" spans="1:2" x14ac:dyDescent="0.25">
      <c r="A7" s="4" t="s">
        <v>51</v>
      </c>
      <c r="B7" s="8" t="s">
        <v>52</v>
      </c>
    </row>
    <row r="8" spans="1:2" x14ac:dyDescent="0.25">
      <c r="A8" s="4" t="s">
        <v>53</v>
      </c>
      <c r="B8" s="8" t="s">
        <v>54</v>
      </c>
    </row>
    <row r="9" spans="1:2" x14ac:dyDescent="0.25">
      <c r="A9" s="4" t="s">
        <v>55</v>
      </c>
      <c r="B9" s="8" t="s">
        <v>56</v>
      </c>
    </row>
    <row r="10" spans="1:2" x14ac:dyDescent="0.25">
      <c r="A10" s="4" t="s">
        <v>57</v>
      </c>
      <c r="B10" s="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3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46235.5</v>
      </c>
      <c r="B2" t="s">
        <v>35</v>
      </c>
      <c r="C2" t="s">
        <v>36</v>
      </c>
      <c r="D2" s="2" t="s">
        <v>37</v>
      </c>
      <c r="E2" t="s">
        <v>38</v>
      </c>
      <c r="F2" t="s">
        <v>39</v>
      </c>
      <c r="G2" t="s">
        <v>39</v>
      </c>
      <c r="H2" t="s">
        <v>40</v>
      </c>
      <c r="I2">
        <v>1</v>
      </c>
      <c r="J2" s="3">
        <v>320</v>
      </c>
      <c r="K2" s="3">
        <v>425</v>
      </c>
      <c r="L2" s="3">
        <f>K2-J2</f>
      </c>
      <c r="M2" s="3">
        <f>L2*16.67%</f>
      </c>
      <c r="N2" s="3">
        <f>K2/100*7</f>
      </c>
      <c r="O2" s="3">
        <f>N2*20%</f>
      </c>
      <c r="P2" s="3">
        <f>N2*2%</f>
      </c>
      <c r="Q2" s="3">
        <f>P2*20%</f>
      </c>
      <c r="R2" s="3">
        <v>8</v>
      </c>
      <c r="S2" s="3">
        <f>R2*20%</f>
      </c>
      <c r="T2" s="3">
        <v>1</v>
      </c>
      <c r="U2" s="3">
        <f>O2+Q2+S2</f>
      </c>
      <c r="V2" s="3">
        <f>L2-M2-N2-O2-P2-Q2-R2-S2-T2</f>
      </c>
      <c r="W2" s="3">
        <f>(V2-AC2)/J2*100</f>
      </c>
      <c r="X2" s="3">
        <f>M2-U2</f>
      </c>
      <c r="AD2" s="3">
        <f>V2-AC2</f>
      </c>
      <c r="AI2" t="s">
        <v>39</v>
      </c>
    </row>
    <row r="3" spans="1:30" x14ac:dyDescent="0.25">
      <c r="A3" s="1"/>
      <c r="D3" s="2"/>
      <c r="J3" s="3"/>
      <c r="K3" s="3"/>
      <c r="L3" s="3">
        <f>IF($K3="","",K3-J3)</f>
      </c>
      <c r="M3" s="3">
        <f>IF($K3="","",L3*16.67%)</f>
      </c>
      <c r="N3" s="3">
        <f>IF($K3="","",K3/100*7)</f>
      </c>
      <c r="O3" s="3">
        <f>IF($K3="","",N3*20%)</f>
      </c>
      <c r="P3" s="3">
        <f>IF($K3="","",N3*2%)</f>
      </c>
      <c r="Q3" s="3">
        <f>IF($K3="","",P3*20%)</f>
      </c>
      <c r="R3" s="3"/>
      <c r="S3" s="3">
        <f>IF($K3="","",R3*20%)</f>
      </c>
      <c r="T3" s="3">
        <v>1</v>
      </c>
      <c r="U3" s="3">
        <f>IF($K3="","",O3+Q3+S3)</f>
      </c>
      <c r="V3" s="3">
        <f>IF($K3="","",L3-M3-N3-O3-P3-Q3-R3-S3-T3)</f>
      </c>
      <c r="W3" s="3">
        <f>IF($K3="","",(V3-AC3)/J3*100)</f>
      </c>
      <c r="X3" s="3">
        <f>IF($K3="","",M3-U3)</f>
      </c>
      <c r="AD3" s="3">
        <f>IF($K3="","",V3-AC3)</f>
      </c>
    </row>
    <row r="4" spans="1:30" x14ac:dyDescent="0.25">
      <c r="A4" s="1"/>
      <c r="D4" s="2"/>
      <c r="J4" s="3"/>
      <c r="K4" s="3"/>
      <c r="L4" s="3">
        <f>IF($K4="","",K4-J4)</f>
      </c>
      <c r="M4" s="3">
        <f>IF($K4="","",L4*16.67%)</f>
      </c>
      <c r="N4" s="3">
        <f>IF($K4="","",K4/100*7)</f>
      </c>
      <c r="O4" s="3">
        <f>IF($K4="","",N4*20%)</f>
      </c>
      <c r="P4" s="3">
        <f>IF($K4="","",N4*2%)</f>
      </c>
      <c r="Q4" s="3">
        <f>IF($K4="","",P4*20%)</f>
      </c>
      <c r="R4" s="3"/>
      <c r="S4" s="3">
        <f>IF($K4="","",R4*20%)</f>
      </c>
      <c r="T4" s="3">
        <v>1</v>
      </c>
      <c r="U4" s="3">
        <f>IF($K4="","",O4+Q4+S4)</f>
      </c>
      <c r="V4" s="3">
        <f>IF($K4="","",L4-M4-N4-O4-P4-Q4-R4-S4-T4)</f>
      </c>
      <c r="W4" s="3">
        <f>IF($K4="","",(V4-AC4)/J4*100)</f>
      </c>
      <c r="X4" s="3">
        <f>IF($K4="","",M4-U4)</f>
      </c>
      <c r="AD4" s="3">
        <f>IF($K4="","",V4-AC4)</f>
      </c>
    </row>
    <row r="5" spans="1:30" x14ac:dyDescent="0.25">
      <c r="A5" s="1"/>
      <c r="D5" s="2"/>
      <c r="J5" s="3"/>
      <c r="K5" s="3"/>
      <c r="L5" s="3">
        <f>IF($K5="","",K5-J5)</f>
      </c>
      <c r="M5" s="3">
        <f>IF($K5="","",L5*16.67%)</f>
      </c>
      <c r="N5" s="3">
        <f>IF($K5="","",K5/100*7)</f>
      </c>
      <c r="O5" s="3">
        <f>IF($K5="","",N5*20%)</f>
      </c>
      <c r="P5" s="3">
        <f>IF($K5="","",N5*2%)</f>
      </c>
      <c r="Q5" s="3">
        <f>IF($K5="","",P5*20%)</f>
      </c>
      <c r="R5" s="3"/>
      <c r="S5" s="3">
        <f>IF($K5="","",R5*20%)</f>
      </c>
      <c r="T5" s="3">
        <v>1</v>
      </c>
      <c r="U5" s="3">
        <f>IF($K5="","",O5+Q5+S5)</f>
      </c>
      <c r="V5" s="3">
        <f>IF($K5="","",L5-M5-N5-O5-P5-Q5-R5-S5-T5)</f>
      </c>
      <c r="W5" s="3">
        <f>IF($K5="","",(V5-AC5)/J5*100)</f>
      </c>
      <c r="X5" s="3">
        <f>IF($K5="","",M5-U5)</f>
      </c>
      <c r="AD5" s="3">
        <f>IF($K5="","",V5-AC5)</f>
      </c>
    </row>
    <row r="6" spans="1:30" x14ac:dyDescent="0.25">
      <c r="A6" s="1"/>
      <c r="D6" s="2"/>
      <c r="J6" s="3"/>
      <c r="K6" s="3"/>
      <c r="L6" s="3">
        <f>IF($K6="","",K6-J6)</f>
      </c>
      <c r="M6" s="3">
        <f>IF($K6="","",L6*16.67%)</f>
      </c>
      <c r="N6" s="3">
        <f>IF($K6="","",K6/100*7)</f>
      </c>
      <c r="O6" s="3">
        <f>IF($K6="","",N6*20%)</f>
      </c>
      <c r="P6" s="3">
        <f>IF($K6="","",N6*2%)</f>
      </c>
      <c r="Q6" s="3">
        <f>IF($K6="","",P6*20%)</f>
      </c>
      <c r="R6" s="3"/>
      <c r="S6" s="3">
        <f>IF($K6="","",R6*20%)</f>
      </c>
      <c r="T6" s="3">
        <v>1</v>
      </c>
      <c r="U6" s="3">
        <f>IF($K6="","",O6+Q6+S6)</f>
      </c>
      <c r="V6" s="3">
        <f>IF($K6="","",L6-M6-N6-O6-P6-Q6-R6-S6-T6)</f>
      </c>
      <c r="W6" s="3">
        <f>IF($K6="","",(V6-AC6)/J6*100)</f>
      </c>
      <c r="X6" s="3">
        <f>IF($K6="","",M6-U6)</f>
      </c>
      <c r="AD6" s="3">
        <f>IF($K6="","",V6-AC6)</f>
      </c>
    </row>
    <row r="7" spans="1:30" x14ac:dyDescent="0.25">
      <c r="A7" s="1"/>
      <c r="D7" s="2"/>
      <c r="J7" s="3"/>
      <c r="K7" s="3"/>
      <c r="L7" s="3">
        <f>IF($K7="","",K7-J7)</f>
      </c>
      <c r="M7" s="3">
        <f>IF($K7="","",L7*16.67%)</f>
      </c>
      <c r="N7" s="3">
        <f>IF($K7="","",K7/100*7)</f>
      </c>
      <c r="O7" s="3">
        <f>IF($K7="","",N7*20%)</f>
      </c>
      <c r="P7" s="3">
        <f>IF($K7="","",N7*2%)</f>
      </c>
      <c r="Q7" s="3">
        <f>IF($K7="","",P7*20%)</f>
      </c>
      <c r="R7" s="3"/>
      <c r="S7" s="3">
        <f>IF($K7="","",R7*20%)</f>
      </c>
      <c r="T7" s="3">
        <v>1</v>
      </c>
      <c r="U7" s="3">
        <f>IF($K7="","",O7+Q7+S7)</f>
      </c>
      <c r="V7" s="3">
        <f>IF($K7="","",L7-M7-N7-O7-P7-Q7-R7-S7-T7)</f>
      </c>
      <c r="W7" s="3">
        <f>IF($K7="","",(V7-AC7)/J7*100)</f>
      </c>
      <c r="X7" s="3">
        <f>IF($K7="","",M7-U7)</f>
      </c>
      <c r="AD7" s="3">
        <f>IF($K7="","",V7-AC7)</f>
      </c>
    </row>
    <row r="8" spans="1:30" x14ac:dyDescent="0.25">
      <c r="A8" s="1"/>
      <c r="D8" s="2"/>
      <c r="J8" s="3"/>
      <c r="K8" s="3"/>
      <c r="L8" s="3">
        <f>IF($K8="","",K8-J8)</f>
      </c>
      <c r="M8" s="3">
        <f>IF($K8="","",L8*16.67%)</f>
      </c>
      <c r="N8" s="3">
        <f>IF($K8="","",K8/100*7)</f>
      </c>
      <c r="O8" s="3">
        <f>IF($K8="","",N8*20%)</f>
      </c>
      <c r="P8" s="3">
        <f>IF($K8="","",N8*2%)</f>
      </c>
      <c r="Q8" s="3">
        <f>IF($K8="","",P8*20%)</f>
      </c>
      <c r="R8" s="3"/>
      <c r="S8" s="3">
        <f>IF($K8="","",R8*20%)</f>
      </c>
      <c r="T8" s="3">
        <v>1</v>
      </c>
      <c r="U8" s="3">
        <f>IF($K8="","",O8+Q8+S8)</f>
      </c>
      <c r="V8" s="3">
        <f>IF($K8="","",L8-M8-N8-O8-P8-Q8-R8-S8-T8)</f>
      </c>
      <c r="W8" s="3">
        <f>IF($K8="","",(V8-AC8)/J8*100)</f>
      </c>
      <c r="X8" s="3">
        <f>IF($K8="","",M8-U8)</f>
      </c>
      <c r="AD8" s="3">
        <f>IF($K8="","",V8-AC8)</f>
      </c>
    </row>
    <row r="9" spans="1:30" x14ac:dyDescent="0.25">
      <c r="A9" s="1"/>
      <c r="D9" s="2"/>
      <c r="J9" s="3"/>
      <c r="K9" s="3"/>
      <c r="L9" s="3">
        <f>IF($K9="","",K9-J9)</f>
      </c>
      <c r="M9" s="3">
        <f>IF($K9="","",L9*16.67%)</f>
      </c>
      <c r="N9" s="3">
        <f>IF($K9="","",K9/100*7)</f>
      </c>
      <c r="O9" s="3">
        <f>IF($K9="","",N9*20%)</f>
      </c>
      <c r="P9" s="3">
        <f>IF($K9="","",N9*2%)</f>
      </c>
      <c r="Q9" s="3">
        <f>IF($K9="","",P9*20%)</f>
      </c>
      <c r="R9" s="3"/>
      <c r="S9" s="3">
        <f>IF($K9="","",R9*20%)</f>
      </c>
      <c r="T9" s="3">
        <v>1</v>
      </c>
      <c r="U9" s="3">
        <f>IF($K9="","",O9+Q9+S9)</f>
      </c>
      <c r="V9" s="3">
        <f>IF($K9="","",L9-M9-N9-O9-P9-Q9-R9-S9-T9)</f>
      </c>
      <c r="W9" s="3">
        <f>IF($K9="","",(V9-AC9)/J9*100)</f>
      </c>
      <c r="X9" s="3">
        <f>IF($K9="","",M9-U9)</f>
      </c>
      <c r="AD9" s="3">
        <f>IF($K9="","",V9-AC9)</f>
      </c>
    </row>
    <row r="10" spans="1:30" x14ac:dyDescent="0.25">
      <c r="A10" s="1"/>
      <c r="D10" s="2"/>
      <c r="J10" s="3"/>
      <c r="K10" s="3"/>
      <c r="L10" s="3">
        <f>IF($K10="","",K10-J10)</f>
      </c>
      <c r="M10" s="3">
        <f>IF($K10="","",L10*16.67%)</f>
      </c>
      <c r="N10" s="3">
        <f>IF($K10="","",K10/100*7)</f>
      </c>
      <c r="O10" s="3">
        <f>IF($K10="","",N10*20%)</f>
      </c>
      <c r="P10" s="3">
        <f>IF($K10="","",N10*2%)</f>
      </c>
      <c r="Q10" s="3">
        <f>IF($K10="","",P10*20%)</f>
      </c>
      <c r="R10" s="3"/>
      <c r="S10" s="3">
        <f>IF($K10="","",R10*20%)</f>
      </c>
      <c r="T10" s="3">
        <v>1</v>
      </c>
      <c r="U10" s="3">
        <f>IF($K10="","",O10+Q10+S10)</f>
      </c>
      <c r="V10" s="3">
        <f>IF($K10="","",L10-M10-N10-O10-P10-Q10-R10-S10-T10)</f>
      </c>
      <c r="W10" s="3">
        <f>IF($K10="","",(V10-AC10)/J10*100)</f>
      </c>
      <c r="X10" s="3">
        <f>IF($K10="","",M10-U10)</f>
      </c>
      <c r="AD10" s="3">
        <f>IF($K10="","",V10-AC10)</f>
      </c>
    </row>
    <row r="11" spans="1:30" x14ac:dyDescent="0.25">
      <c r="A11" s="1"/>
      <c r="D11" s="2"/>
      <c r="J11" s="3"/>
      <c r="K11" s="3"/>
      <c r="L11" s="3">
        <f>IF($K11="","",K11-J11)</f>
      </c>
      <c r="M11" s="3">
        <f>IF($K11="","",L11*16.67%)</f>
      </c>
      <c r="N11" s="3">
        <f>IF($K11="","",K11/100*7)</f>
      </c>
      <c r="O11" s="3">
        <f>IF($K11="","",N11*20%)</f>
      </c>
      <c r="P11" s="3">
        <f>IF($K11="","",N11*2%)</f>
      </c>
      <c r="Q11" s="3">
        <f>IF($K11="","",P11*20%)</f>
      </c>
      <c r="R11" s="3"/>
      <c r="S11" s="3">
        <f>IF($K11="","",R11*20%)</f>
      </c>
      <c r="T11" s="3">
        <v>1</v>
      </c>
      <c r="U11" s="3">
        <f>IF($K11="","",O11+Q11+S11)</f>
      </c>
      <c r="V11" s="3">
        <f>IF($K11="","",L11-M11-N11-O11-P11-Q11-R11-S11-T11)</f>
      </c>
      <c r="W11" s="3">
        <f>IF($K11="","",(V11-AC11)/J11*100)</f>
      </c>
      <c r="X11" s="3">
        <f>IF($K11="","",M11-U11)</f>
      </c>
      <c r="AD11" s="3">
        <f>IF($K11="","",V11-AC11)</f>
      </c>
    </row>
    <row r="12" spans="1:30" x14ac:dyDescent="0.25">
      <c r="A12" s="1"/>
      <c r="D12" s="2"/>
      <c r="J12" s="3"/>
      <c r="K12" s="3"/>
      <c r="L12" s="3">
        <f>IF($K12="","",K12-J12)</f>
      </c>
      <c r="M12" s="3">
        <f>IF($K12="","",L12*16.67%)</f>
      </c>
      <c r="N12" s="3">
        <f>IF($K12="","",K12/100*7)</f>
      </c>
      <c r="O12" s="3">
        <f>IF($K12="","",N12*20%)</f>
      </c>
      <c r="P12" s="3">
        <f>IF($K12="","",N12*2%)</f>
      </c>
      <c r="Q12" s="3">
        <f>IF($K12="","",P12*20%)</f>
      </c>
      <c r="R12" s="3"/>
      <c r="S12" s="3">
        <f>IF($K12="","",R12*20%)</f>
      </c>
      <c r="T12" s="3">
        <v>1</v>
      </c>
      <c r="U12" s="3">
        <f>IF($K12="","",O12+Q12+S12)</f>
      </c>
      <c r="V12" s="3">
        <f>IF($K12="","",L12-M12-N12-O12-P12-Q12-R12-S12-T12)</f>
      </c>
      <c r="W12" s="3">
        <f>IF($K12="","",(V12-AC12)/J12*100)</f>
      </c>
      <c r="X12" s="3">
        <f>IF($K12="","",M12-U12)</f>
      </c>
      <c r="AD12" s="3">
        <f>IF($K12="","",V12-AC12)</f>
      </c>
    </row>
    <row r="13" spans="1:30" x14ac:dyDescent="0.25">
      <c r="A13" s="1"/>
      <c r="D13" s="2"/>
      <c r="J13" s="3"/>
      <c r="K13" s="3"/>
      <c r="L13" s="3">
        <f>IF($K13="","",K13-J13)</f>
      </c>
      <c r="M13" s="3">
        <f>IF($K13="","",L13*16.67%)</f>
      </c>
      <c r="N13" s="3">
        <f>IF($K13="","",K13/100*7)</f>
      </c>
      <c r="O13" s="3">
        <f>IF($K13="","",N13*20%)</f>
      </c>
      <c r="P13" s="3">
        <f>IF($K13="","",N13*2%)</f>
      </c>
      <c r="Q13" s="3">
        <f>IF($K13="","",P13*20%)</f>
      </c>
      <c r="R13" s="3"/>
      <c r="S13" s="3">
        <f>IF($K13="","",R13*20%)</f>
      </c>
      <c r="T13" s="3">
        <v>1</v>
      </c>
      <c r="U13" s="3">
        <f>IF($K13="","",O13+Q13+S13)</f>
      </c>
      <c r="V13" s="3">
        <f>IF($K13="","",L13-M13-N13-O13-P13-Q13-R13-S13-T13)</f>
      </c>
      <c r="W13" s="3">
        <f>IF($K13="","",(V13-AC13)/J13*100)</f>
      </c>
      <c r="X13" s="3">
        <f>IF($K13="","",M13-U13)</f>
      </c>
      <c r="AD13" s="3">
        <f>IF($K13="","",V13-AC13)</f>
      </c>
    </row>
    <row r="14" spans="1:30" x14ac:dyDescent="0.25">
      <c r="A14" s="1"/>
      <c r="D14" s="2"/>
      <c r="J14" s="3"/>
      <c r="K14" s="3"/>
      <c r="L14" s="3">
        <f>IF($K14="","",K14-J14)</f>
      </c>
      <c r="M14" s="3">
        <f>IF($K14="","",L14*16.67%)</f>
      </c>
      <c r="N14" s="3">
        <f>IF($K14="","",K14/100*7)</f>
      </c>
      <c r="O14" s="3">
        <f>IF($K14="","",N14*20%)</f>
      </c>
      <c r="P14" s="3">
        <f>IF($K14="","",N14*2%)</f>
      </c>
      <c r="Q14" s="3">
        <f>IF($K14="","",P14*20%)</f>
      </c>
      <c r="R14" s="3"/>
      <c r="S14" s="3">
        <f>IF($K14="","",R14*20%)</f>
      </c>
      <c r="T14" s="3">
        <v>1</v>
      </c>
      <c r="U14" s="3">
        <f>IF($K14="","",O14+Q14+S14)</f>
      </c>
      <c r="V14" s="3">
        <f>IF($K14="","",L14-M14-N14-O14-P14-Q14-R14-S14-T14)</f>
      </c>
      <c r="W14" s="3">
        <f>IF($K14="","",(V14-AC14)/J14*100)</f>
      </c>
      <c r="X14" s="3">
        <f>IF($K14="","",M14-U14)</f>
      </c>
      <c r="AD14" s="3">
        <f>IF($K14="","",V14-AC14)</f>
      </c>
    </row>
    <row r="15" spans="1:30" x14ac:dyDescent="0.25">
      <c r="A15" s="1"/>
      <c r="D15" s="2"/>
      <c r="J15" s="3"/>
      <c r="K15" s="3"/>
      <c r="L15" s="3">
        <f>IF($K15="","",K15-J15)</f>
      </c>
      <c r="M15" s="3">
        <f>IF($K15="","",L15*16.67%)</f>
      </c>
      <c r="N15" s="3">
        <f>IF($K15="","",K15/100*7)</f>
      </c>
      <c r="O15" s="3">
        <f>IF($K15="","",N15*20%)</f>
      </c>
      <c r="P15" s="3">
        <f>IF($K15="","",N15*2%)</f>
      </c>
      <c r="Q15" s="3">
        <f>IF($K15="","",P15*20%)</f>
      </c>
      <c r="R15" s="3"/>
      <c r="S15" s="3">
        <f>IF($K15="","",R15*20%)</f>
      </c>
      <c r="T15" s="3">
        <v>1</v>
      </c>
      <c r="U15" s="3">
        <f>IF($K15="","",O15+Q15+S15)</f>
      </c>
      <c r="V15" s="3">
        <f>IF($K15="","",L15-M15-N15-O15-P15-Q15-R15-S15-T15)</f>
      </c>
      <c r="W15" s="3">
        <f>IF($K15="","",(V15-AC15)/J15*100)</f>
      </c>
      <c r="X15" s="3">
        <f>IF($K15="","",M15-U15)</f>
      </c>
      <c r="AD15" s="3">
        <f>IF($K15="","",V15-AC15)</f>
      </c>
    </row>
    <row r="16" spans="1:30" x14ac:dyDescent="0.25">
      <c r="A16" s="1"/>
      <c r="D16" s="2"/>
      <c r="J16" s="3"/>
      <c r="K16" s="3"/>
      <c r="L16" s="3">
        <f>IF($K16="","",K16-J16)</f>
      </c>
      <c r="M16" s="3">
        <f>IF($K16="","",L16*16.67%)</f>
      </c>
      <c r="N16" s="3">
        <f>IF($K16="","",K16/100*7)</f>
      </c>
      <c r="O16" s="3">
        <f>IF($K16="","",N16*20%)</f>
      </c>
      <c r="P16" s="3">
        <f>IF($K16="","",N16*2%)</f>
      </c>
      <c r="Q16" s="3">
        <f>IF($K16="","",P16*20%)</f>
      </c>
      <c r="R16" s="3"/>
      <c r="S16" s="3">
        <f>IF($K16="","",R16*20%)</f>
      </c>
      <c r="T16" s="3">
        <v>1</v>
      </c>
      <c r="U16" s="3">
        <f>IF($K16="","",O16+Q16+S16)</f>
      </c>
      <c r="V16" s="3">
        <f>IF($K16="","",L16-M16-N16-O16-P16-Q16-R16-S16-T16)</f>
      </c>
      <c r="W16" s="3">
        <f>IF($K16="","",(V16-AC16)/J16*100)</f>
      </c>
      <c r="X16" s="3">
        <f>IF($K16="","",M16-U16)</f>
      </c>
      <c r="AD16" s="3">
        <f>IF($K16="","",V16-AC16)</f>
      </c>
    </row>
    <row r="17" spans="1:30" x14ac:dyDescent="0.25">
      <c r="A17" s="1"/>
      <c r="D17" s="2"/>
      <c r="J17" s="3"/>
      <c r="K17" s="3"/>
      <c r="L17" s="3">
        <f>IF($K17="","",K17-J17)</f>
      </c>
      <c r="M17" s="3">
        <f>IF($K17="","",L17*16.67%)</f>
      </c>
      <c r="N17" s="3">
        <f>IF($K17="","",K17/100*7)</f>
      </c>
      <c r="O17" s="3">
        <f>IF($K17="","",N17*20%)</f>
      </c>
      <c r="P17" s="3">
        <f>IF($K17="","",N17*2%)</f>
      </c>
      <c r="Q17" s="3">
        <f>IF($K17="","",P17*20%)</f>
      </c>
      <c r="R17" s="3"/>
      <c r="S17" s="3">
        <f>IF($K17="","",R17*20%)</f>
      </c>
      <c r="T17" s="3">
        <v>1</v>
      </c>
      <c r="U17" s="3">
        <f>IF($K17="","",O17+Q17+S17)</f>
      </c>
      <c r="V17" s="3">
        <f>IF($K17="","",L17-M17-N17-O17-P17-Q17-R17-S17-T17)</f>
      </c>
      <c r="W17" s="3">
        <f>IF($K17="","",(V17-AC17)/J17*100)</f>
      </c>
      <c r="X17" s="3">
        <f>IF($K17="","",M17-U17)</f>
      </c>
      <c r="AD17" s="3">
        <f>IF($K17="","",V17-AC17)</f>
      </c>
    </row>
    <row r="18" spans="1:30" x14ac:dyDescent="0.25">
      <c r="A18" s="1"/>
      <c r="D18" s="2"/>
      <c r="J18" s="3"/>
      <c r="K18" s="3"/>
      <c r="L18" s="3">
        <f>IF($K18="","",K18-J18)</f>
      </c>
      <c r="M18" s="3">
        <f>IF($K18="","",L18*16.67%)</f>
      </c>
      <c r="N18" s="3">
        <f>IF($K18="","",K18/100*7)</f>
      </c>
      <c r="O18" s="3">
        <f>IF($K18="","",N18*20%)</f>
      </c>
      <c r="P18" s="3">
        <f>IF($K18="","",N18*2%)</f>
      </c>
      <c r="Q18" s="3">
        <f>IF($K18="","",P18*20%)</f>
      </c>
      <c r="R18" s="3"/>
      <c r="S18" s="3">
        <f>IF($K18="","",R18*20%)</f>
      </c>
      <c r="T18" s="3">
        <v>1</v>
      </c>
      <c r="U18" s="3">
        <f>IF($K18="","",O18+Q18+S18)</f>
      </c>
      <c r="V18" s="3">
        <f>IF($K18="","",L18-M18-N18-O18-P18-Q18-R18-S18-T18)</f>
      </c>
      <c r="W18" s="3">
        <f>IF($K18="","",(V18-AC18)/J18*100)</f>
      </c>
      <c r="X18" s="3">
        <f>IF($K18="","",M18-U18)</f>
      </c>
      <c r="AD18" s="3">
        <f>IF($K18="","",V18-AC18)</f>
      </c>
    </row>
    <row r="19" spans="1:30" x14ac:dyDescent="0.25">
      <c r="A19" s="1"/>
      <c r="D19" s="2"/>
      <c r="J19" s="3"/>
      <c r="K19" s="3"/>
      <c r="L19" s="3">
        <f>IF($K19="","",K19-J19)</f>
      </c>
      <c r="M19" s="3">
        <f>IF($K19="","",L19*16.67%)</f>
      </c>
      <c r="N19" s="3">
        <f>IF($K19="","",K19/100*7)</f>
      </c>
      <c r="O19" s="3">
        <f>IF($K19="","",N19*20%)</f>
      </c>
      <c r="P19" s="3">
        <f>IF($K19="","",N19*2%)</f>
      </c>
      <c r="Q19" s="3">
        <f>IF($K19="","",P19*20%)</f>
      </c>
      <c r="R19" s="3"/>
      <c r="S19" s="3">
        <f>IF($K19="","",R19*20%)</f>
      </c>
      <c r="T19" s="3">
        <v>1</v>
      </c>
      <c r="U19" s="3">
        <f>IF($K19="","",O19+Q19+S19)</f>
      </c>
      <c r="V19" s="3">
        <f>IF($K19="","",L19-M19-N19-O19-P19-Q19-R19-S19-T19)</f>
      </c>
      <c r="W19" s="3">
        <f>IF($K19="","",(V19-AC19)/J19*100)</f>
      </c>
      <c r="X19" s="3">
        <f>IF($K19="","",M19-U19)</f>
      </c>
      <c r="AD19" s="3">
        <f>IF($K19="","",V19-AC19)</f>
      </c>
    </row>
    <row r="20" spans="1:30" x14ac:dyDescent="0.25">
      <c r="A20" s="1"/>
      <c r="D20" s="2"/>
      <c r="J20" s="3"/>
      <c r="K20" s="3"/>
      <c r="L20" s="3">
        <f>IF($K20="","",K20-J20)</f>
      </c>
      <c r="M20" s="3">
        <f>IF($K20="","",L20*16.67%)</f>
      </c>
      <c r="N20" s="3">
        <f>IF($K20="","",K20/100*7)</f>
      </c>
      <c r="O20" s="3">
        <f>IF($K20="","",N20*20%)</f>
      </c>
      <c r="P20" s="3">
        <f>IF($K20="","",N20*2%)</f>
      </c>
      <c r="Q20" s="3">
        <f>IF($K20="","",P20*20%)</f>
      </c>
      <c r="R20" s="3"/>
      <c r="S20" s="3">
        <f>IF($K20="","",R20*20%)</f>
      </c>
      <c r="T20" s="3">
        <v>1</v>
      </c>
      <c r="U20" s="3">
        <f>IF($K20="","",O20+Q20+S20)</f>
      </c>
      <c r="V20" s="3">
        <f>IF($K20="","",L20-M20-N20-O20-P20-Q20-R20-S20-T20)</f>
      </c>
      <c r="W20" s="3">
        <f>IF($K20="","",(V20-AC20)/J20*100)</f>
      </c>
      <c r="X20" s="3">
        <f>IF($K20="","",M20-U20)</f>
      </c>
      <c r="AD20" s="3">
        <f>IF($K20="","",V20-AC20)</f>
      </c>
    </row>
    <row r="21" spans="1:30" x14ac:dyDescent="0.25">
      <c r="A21" s="1"/>
      <c r="D21" s="2"/>
      <c r="J21" s="3"/>
      <c r="K21" s="3"/>
      <c r="L21" s="3">
        <f>IF($K21="","",K21-J21)</f>
      </c>
      <c r="M21" s="3">
        <f>IF($K21="","",L21*16.67%)</f>
      </c>
      <c r="N21" s="3">
        <f>IF($K21="","",K21/100*7)</f>
      </c>
      <c r="O21" s="3">
        <f>IF($K21="","",N21*20%)</f>
      </c>
      <c r="P21" s="3">
        <f>IF($K21="","",N21*2%)</f>
      </c>
      <c r="Q21" s="3">
        <f>IF($K21="","",P21*20%)</f>
      </c>
      <c r="R21" s="3"/>
      <c r="S21" s="3">
        <f>IF($K21="","",R21*20%)</f>
      </c>
      <c r="T21" s="3">
        <v>1</v>
      </c>
      <c r="U21" s="3">
        <f>IF($K21="","",O21+Q21+S21)</f>
      </c>
      <c r="V21" s="3">
        <f>IF($K21="","",L21-M21-N21-O21-P21-Q21-R21-S21-T21)</f>
      </c>
      <c r="W21" s="3">
        <f>IF($K21="","",(V21-AC21)/J21*100)</f>
      </c>
      <c r="X21" s="3">
        <f>IF($K21="","",M21-U21)</f>
      </c>
      <c r="AD21" s="3">
        <f>IF($K21="","",V21-AC21)</f>
      </c>
    </row>
    <row r="22" spans="1:30" x14ac:dyDescent="0.25">
      <c r="A22" s="1"/>
      <c r="D22" s="2"/>
      <c r="J22" s="3"/>
      <c r="K22" s="3"/>
      <c r="L22" s="3">
        <f>IF($K22="","",K22-J22)</f>
      </c>
      <c r="M22" s="3">
        <f>IF($K22="","",L22*16.67%)</f>
      </c>
      <c r="N22" s="3">
        <f>IF($K22="","",K22/100*7)</f>
      </c>
      <c r="O22" s="3">
        <f>IF($K22="","",N22*20%)</f>
      </c>
      <c r="P22" s="3">
        <f>IF($K22="","",N22*2%)</f>
      </c>
      <c r="Q22" s="3">
        <f>IF($K22="","",P22*20%)</f>
      </c>
      <c r="R22" s="3"/>
      <c r="S22" s="3">
        <f>IF($K22="","",R22*20%)</f>
      </c>
      <c r="T22" s="3">
        <v>1</v>
      </c>
      <c r="U22" s="3">
        <f>IF($K22="","",O22+Q22+S22)</f>
      </c>
      <c r="V22" s="3">
        <f>IF($K22="","",L22-M22-N22-O22-P22-Q22-R22-S22-T22)</f>
      </c>
      <c r="W22" s="3">
        <f>IF($K22="","",(V22-AC22)/J22*100)</f>
      </c>
      <c r="X22" s="3">
        <f>IF($K22="","",M22-U22)</f>
      </c>
      <c r="AD22" s="3">
        <f>IF($K22="","",V22-AC22)</f>
      </c>
    </row>
    <row r="23" spans="1:30" x14ac:dyDescent="0.25">
      <c r="A23" s="1"/>
      <c r="D23" s="2"/>
      <c r="J23" s="3"/>
      <c r="K23" s="3"/>
      <c r="L23" s="3">
        <f>IF($K23="","",K23-J23)</f>
      </c>
      <c r="M23" s="3">
        <f>IF($K23="","",L23*16.67%)</f>
      </c>
      <c r="N23" s="3">
        <f>IF($K23="","",K23/100*7)</f>
      </c>
      <c r="O23" s="3">
        <f>IF($K23="","",N23*20%)</f>
      </c>
      <c r="P23" s="3">
        <f>IF($K23="","",N23*2%)</f>
      </c>
      <c r="Q23" s="3">
        <f>IF($K23="","",P23*20%)</f>
      </c>
      <c r="R23" s="3"/>
      <c r="S23" s="3">
        <f>IF($K23="","",R23*20%)</f>
      </c>
      <c r="T23" s="3">
        <v>1</v>
      </c>
      <c r="U23" s="3">
        <f>IF($K23="","",O23+Q23+S23)</f>
      </c>
      <c r="V23" s="3">
        <f>IF($K23="","",L23-M23-N23-O23-P23-Q23-R23-S23-T23)</f>
      </c>
      <c r="W23" s="3">
        <f>IF($K23="","",(V23-AC23)/J23*100)</f>
      </c>
      <c r="X23" s="3">
        <f>IF($K23="","",M23-U23)</f>
      </c>
      <c r="AD23" s="3">
        <f>IF($K23="","",V23-AC23)</f>
      </c>
    </row>
    <row r="24" spans="1:30" x14ac:dyDescent="0.25">
      <c r="A24" s="1"/>
      <c r="D24" s="2"/>
      <c r="J24" s="3"/>
      <c r="K24" s="3"/>
      <c r="L24" s="3">
        <f>IF($K24="","",K24-J24)</f>
      </c>
      <c r="M24" s="3">
        <f>IF($K24="","",L24*16.67%)</f>
      </c>
      <c r="N24" s="3">
        <f>IF($K24="","",K24/100*7)</f>
      </c>
      <c r="O24" s="3">
        <f>IF($K24="","",N24*20%)</f>
      </c>
      <c r="P24" s="3">
        <f>IF($K24="","",N24*2%)</f>
      </c>
      <c r="Q24" s="3">
        <f>IF($K24="","",P24*20%)</f>
      </c>
      <c r="R24" s="3"/>
      <c r="S24" s="3">
        <f>IF($K24="","",R24*20%)</f>
      </c>
      <c r="T24" s="3">
        <v>1</v>
      </c>
      <c r="U24" s="3">
        <f>IF($K24="","",O24+Q24+S24)</f>
      </c>
      <c r="V24" s="3">
        <f>IF($K24="","",L24-M24-N24-O24-P24-Q24-R24-S24-T24)</f>
      </c>
      <c r="W24" s="3">
        <f>IF($K24="","",(V24-AC24)/J24*100)</f>
      </c>
      <c r="X24" s="3">
        <f>IF($K24="","",M24-U24)</f>
      </c>
      <c r="AD24" s="3">
        <f>IF($K24="","",V24-AC24)</f>
      </c>
    </row>
    <row r="25" spans="1:30" x14ac:dyDescent="0.25">
      <c r="A25" s="1"/>
      <c r="D25" s="2"/>
      <c r="J25" s="3"/>
      <c r="K25" s="3"/>
      <c r="L25" s="3">
        <f>IF($K25="","",K25-J25)</f>
      </c>
      <c r="M25" s="3">
        <f>IF($K25="","",L25*16.67%)</f>
      </c>
      <c r="N25" s="3">
        <f>IF($K25="","",K25/100*7)</f>
      </c>
      <c r="O25" s="3">
        <f>IF($K25="","",N25*20%)</f>
      </c>
      <c r="P25" s="3">
        <f>IF($K25="","",N25*2%)</f>
      </c>
      <c r="Q25" s="3">
        <f>IF($K25="","",P25*20%)</f>
      </c>
      <c r="R25" s="3"/>
      <c r="S25" s="3">
        <f>IF($K25="","",R25*20%)</f>
      </c>
      <c r="T25" s="3">
        <v>1</v>
      </c>
      <c r="U25" s="3">
        <f>IF($K25="","",O25+Q25+S25)</f>
      </c>
      <c r="V25" s="3">
        <f>IF($K25="","",L25-M25-N25-O25-P25-Q25-R25-S25-T25)</f>
      </c>
      <c r="W25" s="3">
        <f>IF($K25="","",(V25-AC25)/J25*100)</f>
      </c>
      <c r="X25" s="3">
        <f>IF($K25="","",M25-U25)</f>
      </c>
      <c r="AD25" s="3">
        <f>IF($K25="","",V25-AC25)</f>
      </c>
    </row>
    <row r="26" spans="1:30" x14ac:dyDescent="0.25">
      <c r="A26" s="1"/>
      <c r="D26" s="2"/>
      <c r="J26" s="3"/>
      <c r="K26" s="3"/>
      <c r="L26" s="3">
        <f>IF($K26="","",K26-J26)</f>
      </c>
      <c r="M26" s="3">
        <f>IF($K26="","",L26*16.67%)</f>
      </c>
      <c r="N26" s="3">
        <f>IF($K26="","",K26/100*7)</f>
      </c>
      <c r="O26" s="3">
        <f>IF($K26="","",N26*20%)</f>
      </c>
      <c r="P26" s="3">
        <f>IF($K26="","",N26*2%)</f>
      </c>
      <c r="Q26" s="3">
        <f>IF($K26="","",P26*20%)</f>
      </c>
      <c r="R26" s="3"/>
      <c r="S26" s="3">
        <f>IF($K26="","",R26*20%)</f>
      </c>
      <c r="T26" s="3">
        <v>1</v>
      </c>
      <c r="U26" s="3">
        <f>IF($K26="","",O26+Q26+S26)</f>
      </c>
      <c r="V26" s="3">
        <f>IF($K26="","",L26-M26-N26-O26-P26-Q26-R26-S26-T26)</f>
      </c>
      <c r="W26" s="3">
        <f>IF($K26="","",(V26-AC26)/J26*100)</f>
      </c>
      <c r="X26" s="3">
        <f>IF($K26="","",M26-U26)</f>
      </c>
      <c r="AD26" s="3">
        <f>IF($K26="","",V26-AC26)</f>
      </c>
    </row>
    <row r="27" spans="1:30" x14ac:dyDescent="0.25">
      <c r="A27" s="1"/>
      <c r="D27" s="2"/>
      <c r="J27" s="3"/>
      <c r="K27" s="3"/>
      <c r="L27" s="3">
        <f>IF($K27="","",K27-J27)</f>
      </c>
      <c r="M27" s="3">
        <f>IF($K27="","",L27*16.67%)</f>
      </c>
      <c r="N27" s="3">
        <f>IF($K27="","",K27/100*7)</f>
      </c>
      <c r="O27" s="3">
        <f>IF($K27="","",N27*20%)</f>
      </c>
      <c r="P27" s="3">
        <f>IF($K27="","",N27*2%)</f>
      </c>
      <c r="Q27" s="3">
        <f>IF($K27="","",P27*20%)</f>
      </c>
      <c r="R27" s="3"/>
      <c r="S27" s="3">
        <f>IF($K27="","",R27*20%)</f>
      </c>
      <c r="T27" s="3">
        <v>1</v>
      </c>
      <c r="U27" s="3">
        <f>IF($K27="","",O27+Q27+S27)</f>
      </c>
      <c r="V27" s="3">
        <f>IF($K27="","",L27-M27-N27-O27-P27-Q27-R27-S27-T27)</f>
      </c>
      <c r="W27" s="3">
        <f>IF($K27="","",(V27-AC27)/J27*100)</f>
      </c>
      <c r="X27" s="3">
        <f>IF($K27="","",M27-U27)</f>
      </c>
      <c r="AD27" s="3">
        <f>IF($K27="","",V27-AC27)</f>
      </c>
    </row>
    <row r="28" spans="1:30" x14ac:dyDescent="0.25">
      <c r="A28" s="1"/>
      <c r="D28" s="2"/>
      <c r="J28" s="3"/>
      <c r="K28" s="3"/>
      <c r="L28" s="3">
        <f>IF($K28="","",K28-J28)</f>
      </c>
      <c r="M28" s="3">
        <f>IF($K28="","",L28*16.67%)</f>
      </c>
      <c r="N28" s="3">
        <f>IF($K28="","",K28/100*7)</f>
      </c>
      <c r="O28" s="3">
        <f>IF($K28="","",N28*20%)</f>
      </c>
      <c r="P28" s="3">
        <f>IF($K28="","",N28*2%)</f>
      </c>
      <c r="Q28" s="3">
        <f>IF($K28="","",P28*20%)</f>
      </c>
      <c r="R28" s="3"/>
      <c r="S28" s="3">
        <f>IF($K28="","",R28*20%)</f>
      </c>
      <c r="T28" s="3">
        <v>1</v>
      </c>
      <c r="U28" s="3">
        <f>IF($K28="","",O28+Q28+S28)</f>
      </c>
      <c r="V28" s="3">
        <f>IF($K28="","",L28-M28-N28-O28-P28-Q28-R28-S28-T28)</f>
      </c>
      <c r="W28" s="3">
        <f>IF($K28="","",(V28-AC28)/J28*100)</f>
      </c>
      <c r="X28" s="3">
        <f>IF($K28="","",M28-U28)</f>
      </c>
      <c r="AD28" s="3">
        <f>IF($K28="","",V28-AC28)</f>
      </c>
    </row>
    <row r="29" spans="1:30" x14ac:dyDescent="0.25">
      <c r="A29" s="1"/>
      <c r="D29" s="2"/>
      <c r="J29" s="3"/>
      <c r="K29" s="3"/>
      <c r="L29" s="3">
        <f>IF($K29="","",K29-J29)</f>
      </c>
      <c r="M29" s="3">
        <f>IF($K29="","",L29*16.67%)</f>
      </c>
      <c r="N29" s="3">
        <f>IF($K29="","",K29/100*7)</f>
      </c>
      <c r="O29" s="3">
        <f>IF($K29="","",N29*20%)</f>
      </c>
      <c r="P29" s="3">
        <f>IF($K29="","",N29*2%)</f>
      </c>
      <c r="Q29" s="3">
        <f>IF($K29="","",P29*20%)</f>
      </c>
      <c r="R29" s="3"/>
      <c r="S29" s="3">
        <f>IF($K29="","",R29*20%)</f>
      </c>
      <c r="T29" s="3">
        <v>1</v>
      </c>
      <c r="U29" s="3">
        <f>IF($K29="","",O29+Q29+S29)</f>
      </c>
      <c r="V29" s="3">
        <f>IF($K29="","",L29-M29-N29-O29-P29-Q29-R29-S29-T29)</f>
      </c>
      <c r="W29" s="3">
        <f>IF($K29="","",(V29-AC29)/J29*100)</f>
      </c>
      <c r="X29" s="3">
        <f>IF($K29="","",M29-U29)</f>
      </c>
      <c r="AD29" s="3">
        <f>IF($K29="","",V29-AC29)</f>
      </c>
    </row>
    <row r="30" spans="1:30" x14ac:dyDescent="0.25">
      <c r="A30" s="1"/>
      <c r="D30" s="2"/>
      <c r="J30" s="3"/>
      <c r="K30" s="3"/>
      <c r="L30" s="3">
        <f>IF($K30="","",K30-J30)</f>
      </c>
      <c r="M30" s="3">
        <f>IF($K30="","",L30*16.67%)</f>
      </c>
      <c r="N30" s="3">
        <f>IF($K30="","",K30/100*7)</f>
      </c>
      <c r="O30" s="3">
        <f>IF($K30="","",N30*20%)</f>
      </c>
      <c r="P30" s="3">
        <f>IF($K30="","",N30*2%)</f>
      </c>
      <c r="Q30" s="3">
        <f>IF($K30="","",P30*20%)</f>
      </c>
      <c r="R30" s="3"/>
      <c r="S30" s="3">
        <f>IF($K30="","",R30*20%)</f>
      </c>
      <c r="T30" s="3">
        <v>1</v>
      </c>
      <c r="U30" s="3">
        <f>IF($K30="","",O30+Q30+S30)</f>
      </c>
      <c r="V30" s="3">
        <f>IF($K30="","",L30-M30-N30-O30-P30-Q30-R30-S30-T30)</f>
      </c>
      <c r="W30" s="3">
        <f>IF($K30="","",(V30-AC30)/J30*100)</f>
      </c>
      <c r="X30" s="3">
        <f>IF($K30="","",M30-U30)</f>
      </c>
      <c r="AD30" s="3">
        <f>IF($K30="","",V30-AC30)</f>
      </c>
    </row>
    <row r="31" spans="1:30" x14ac:dyDescent="0.25">
      <c r="A31" s="1"/>
      <c r="D31" s="2"/>
      <c r="J31" s="3"/>
      <c r="K31" s="3"/>
      <c r="L31" s="3">
        <f>IF($K31="","",K31-J31)</f>
      </c>
      <c r="M31" s="3">
        <f>IF($K31="","",L31*16.67%)</f>
      </c>
      <c r="N31" s="3">
        <f>IF($K31="","",K31/100*7)</f>
      </c>
      <c r="O31" s="3">
        <f>IF($K31="","",N31*20%)</f>
      </c>
      <c r="P31" s="3">
        <f>IF($K31="","",N31*2%)</f>
      </c>
      <c r="Q31" s="3">
        <f>IF($K31="","",P31*20%)</f>
      </c>
      <c r="R31" s="3"/>
      <c r="S31" s="3">
        <f>IF($K31="","",R31*20%)</f>
      </c>
      <c r="T31" s="3">
        <v>1</v>
      </c>
      <c r="U31" s="3">
        <f>IF($K31="","",O31+Q31+S31)</f>
      </c>
      <c r="V31" s="3">
        <f>IF($K31="","",L31-M31-N31-O31-P31-Q31-R31-S31-T31)</f>
      </c>
      <c r="W31" s="3">
        <f>IF($K31="","",(V31-AC31)/J31*100)</f>
      </c>
      <c r="X31" s="3">
        <f>IF($K31="","",M31-U31)</f>
      </c>
      <c r="AD31" s="3">
        <f>IF($K31="","",V31-AC31)</f>
      </c>
    </row>
    <row r="32" spans="1:30" x14ac:dyDescent="0.25">
      <c r="A32" s="1"/>
      <c r="D32" s="2"/>
      <c r="J32" s="3"/>
      <c r="K32" s="3"/>
      <c r="L32" s="3">
        <f>IF($K32="","",K32-J32)</f>
      </c>
      <c r="M32" s="3">
        <f>IF($K32="","",L32*16.67%)</f>
      </c>
      <c r="N32" s="3">
        <f>IF($K32="","",K32/100*7)</f>
      </c>
      <c r="O32" s="3">
        <f>IF($K32="","",N32*20%)</f>
      </c>
      <c r="P32" s="3">
        <f>IF($K32="","",N32*2%)</f>
      </c>
      <c r="Q32" s="3">
        <f>IF($K32="","",P32*20%)</f>
      </c>
      <c r="R32" s="3"/>
      <c r="S32" s="3">
        <f>IF($K32="","",R32*20%)</f>
      </c>
      <c r="T32" s="3">
        <v>1</v>
      </c>
      <c r="U32" s="3">
        <f>IF($K32="","",O32+Q32+S32)</f>
      </c>
      <c r="V32" s="3">
        <f>IF($K32="","",L32-M32-N32-O32-P32-Q32-R32-S32-T32)</f>
      </c>
      <c r="W32" s="3">
        <f>IF($K32="","",(V32-AC32)/J32*100)</f>
      </c>
      <c r="X32" s="3">
        <f>IF($K32="","",M32-U32)</f>
      </c>
      <c r="AD32" s="3">
        <f>IF($K32="","",V32-AC32)</f>
      </c>
    </row>
    <row r="33" spans="1:30" x14ac:dyDescent="0.25">
      <c r="A33" s="1"/>
      <c r="D33" s="2"/>
      <c r="J33" s="3"/>
      <c r="K33" s="3"/>
      <c r="L33" s="3">
        <f>IF($K33="","",K33-J33)</f>
      </c>
      <c r="M33" s="3">
        <f>IF($K33="","",L33*16.67%)</f>
      </c>
      <c r="N33" s="3">
        <f>IF($K33="","",K33/100*7)</f>
      </c>
      <c r="O33" s="3">
        <f>IF($K33="","",N33*20%)</f>
      </c>
      <c r="P33" s="3">
        <f>IF($K33="","",N33*2%)</f>
      </c>
      <c r="Q33" s="3">
        <f>IF($K33="","",P33*20%)</f>
      </c>
      <c r="R33" s="3"/>
      <c r="S33" s="3">
        <f>IF($K33="","",R33*20%)</f>
      </c>
      <c r="T33" s="3">
        <v>1</v>
      </c>
      <c r="U33" s="3">
        <f>IF($K33="","",O33+Q33+S33)</f>
      </c>
      <c r="V33" s="3">
        <f>IF($K33="","",L33-M33-N33-O33-P33-Q33-R33-S33-T33)</f>
      </c>
      <c r="W33" s="3">
        <f>IF($K33="","",(V33-AC33)/J33*100)</f>
      </c>
      <c r="X33" s="3">
        <f>IF($K33="","",M33-U33)</f>
      </c>
      <c r="AD33" s="3">
        <f>IF($K33="","",V33-AC33)</f>
      </c>
    </row>
    <row r="34" spans="1:30" x14ac:dyDescent="0.25">
      <c r="A34" s="1"/>
      <c r="D34" s="2"/>
      <c r="J34" s="3"/>
      <c r="K34" s="3"/>
      <c r="L34" s="3">
        <f>IF($K34="","",K34-J34)</f>
      </c>
      <c r="M34" s="3">
        <f>IF($K34="","",L34*16.67%)</f>
      </c>
      <c r="N34" s="3">
        <f>IF($K34="","",K34/100*7)</f>
      </c>
      <c r="O34" s="3">
        <f>IF($K34="","",N34*20%)</f>
      </c>
      <c r="P34" s="3">
        <f>IF($K34="","",N34*2%)</f>
      </c>
      <c r="Q34" s="3">
        <f>IF($K34="","",P34*20%)</f>
      </c>
      <c r="R34" s="3"/>
      <c r="S34" s="3">
        <f>IF($K34="","",R34*20%)</f>
      </c>
      <c r="T34" s="3">
        <v>1</v>
      </c>
      <c r="U34" s="3">
        <f>IF($K34="","",O34+Q34+S34)</f>
      </c>
      <c r="V34" s="3">
        <f>IF($K34="","",L34-M34-N34-O34-P34-Q34-R34-S34-T34)</f>
      </c>
      <c r="W34" s="3">
        <f>IF($K34="","",(V34-AC34)/J34*100)</f>
      </c>
      <c r="X34" s="3">
        <f>IF($K34="","",M34-U34)</f>
      </c>
      <c r="AD34" s="3">
        <f>IF($K34="","",V34-AC34)</f>
      </c>
    </row>
    <row r="35" spans="1:30" x14ac:dyDescent="0.25">
      <c r="A35" s="1"/>
      <c r="D35" s="2"/>
      <c r="J35" s="3"/>
      <c r="K35" s="3"/>
      <c r="L35" s="3">
        <f>IF($K35="","",K35-J35)</f>
      </c>
      <c r="M35" s="3">
        <f>IF($K35="","",L35*16.67%)</f>
      </c>
      <c r="N35" s="3">
        <f>IF($K35="","",K35/100*7)</f>
      </c>
      <c r="O35" s="3">
        <f>IF($K35="","",N35*20%)</f>
      </c>
      <c r="P35" s="3">
        <f>IF($K35="","",N35*2%)</f>
      </c>
      <c r="Q35" s="3">
        <f>IF($K35="","",P35*20%)</f>
      </c>
      <c r="R35" s="3"/>
      <c r="S35" s="3">
        <f>IF($K35="","",R35*20%)</f>
      </c>
      <c r="T35" s="3">
        <v>1</v>
      </c>
      <c r="U35" s="3">
        <f>IF($K35="","",O35+Q35+S35)</f>
      </c>
      <c r="V35" s="3">
        <f>IF($K35="","",L35-M35-N35-O35-P35-Q35-R35-S35-T35)</f>
      </c>
      <c r="W35" s="3">
        <f>IF($K35="","",(V35-AC35)/J35*100)</f>
      </c>
      <c r="X35" s="3">
        <f>IF($K35="","",M35-U35)</f>
      </c>
      <c r="AD35" s="3">
        <f>IF($K35="","",V35-AC35)</f>
      </c>
    </row>
    <row r="36" spans="1:30" x14ac:dyDescent="0.25">
      <c r="A36" s="1"/>
      <c r="D36" s="2"/>
      <c r="J36" s="3"/>
      <c r="K36" s="3"/>
      <c r="L36" s="3">
        <f>IF($K36="","",K36-J36)</f>
      </c>
      <c r="M36" s="3">
        <f>IF($K36="","",L36*16.67%)</f>
      </c>
      <c r="N36" s="3">
        <f>IF($K36="","",K36/100*7)</f>
      </c>
      <c r="O36" s="3">
        <f>IF($K36="","",N36*20%)</f>
      </c>
      <c r="P36" s="3">
        <f>IF($K36="","",N36*2%)</f>
      </c>
      <c r="Q36" s="3">
        <f>IF($K36="","",P36*20%)</f>
      </c>
      <c r="R36" s="3"/>
      <c r="S36" s="3">
        <f>IF($K36="","",R36*20%)</f>
      </c>
      <c r="T36" s="3">
        <v>1</v>
      </c>
      <c r="U36" s="3">
        <f>IF($K36="","",O36+Q36+S36)</f>
      </c>
      <c r="V36" s="3">
        <f>IF($K36="","",L36-M36-N36-O36-P36-Q36-R36-S36-T36)</f>
      </c>
      <c r="W36" s="3">
        <f>IF($K36="","",(V36-AC36)/J36*100)</f>
      </c>
      <c r="X36" s="3">
        <f>IF($K36="","",M36-U36)</f>
      </c>
      <c r="AD36" s="3">
        <f>IF($K36="","",V36-AC36)</f>
      </c>
    </row>
    <row r="37" spans="1:30" x14ac:dyDescent="0.25">
      <c r="A37" s="1"/>
      <c r="D37" s="2"/>
      <c r="J37" s="3"/>
      <c r="K37" s="3"/>
      <c r="L37" s="3">
        <f>IF($K37="","",K37-J37)</f>
      </c>
      <c r="M37" s="3">
        <f>IF($K37="","",L37*16.67%)</f>
      </c>
      <c r="N37" s="3">
        <f>IF($K37="","",K37/100*7)</f>
      </c>
      <c r="O37" s="3">
        <f>IF($K37="","",N37*20%)</f>
      </c>
      <c r="P37" s="3">
        <f>IF($K37="","",N37*2%)</f>
      </c>
      <c r="Q37" s="3">
        <f>IF($K37="","",P37*20%)</f>
      </c>
      <c r="R37" s="3"/>
      <c r="S37" s="3">
        <f>IF($K37="","",R37*20%)</f>
      </c>
      <c r="T37" s="3">
        <v>1</v>
      </c>
      <c r="U37" s="3">
        <f>IF($K37="","",O37+Q37+S37)</f>
      </c>
      <c r="V37" s="3">
        <f>IF($K37="","",L37-M37-N37-O37-P37-Q37-R37-S37-T37)</f>
      </c>
      <c r="W37" s="3">
        <f>IF($K37="","",(V37-AC37)/J37*100)</f>
      </c>
      <c r="X37" s="3">
        <f>IF($K37="","",M37-U37)</f>
      </c>
      <c r="AD37" s="3">
        <f>IF($K37="","",V37-AC37)</f>
      </c>
    </row>
    <row r="38" spans="1:30" x14ac:dyDescent="0.25">
      <c r="A38" s="1"/>
      <c r="D38" s="2"/>
      <c r="J38" s="3"/>
      <c r="K38" s="3"/>
      <c r="L38" s="3">
        <f>IF($K38="","",K38-J38)</f>
      </c>
      <c r="M38" s="3">
        <f>IF($K38="","",L38*16.67%)</f>
      </c>
      <c r="N38" s="3">
        <f>IF($K38="","",K38/100*7)</f>
      </c>
      <c r="O38" s="3">
        <f>IF($K38="","",N38*20%)</f>
      </c>
      <c r="P38" s="3">
        <f>IF($K38="","",N38*2%)</f>
      </c>
      <c r="Q38" s="3">
        <f>IF($K38="","",P38*20%)</f>
      </c>
      <c r="R38" s="3"/>
      <c r="S38" s="3">
        <f>IF($K38="","",R38*20%)</f>
      </c>
      <c r="T38" s="3">
        <v>1</v>
      </c>
      <c r="U38" s="3">
        <f>IF($K38="","",O38+Q38+S38)</f>
      </c>
      <c r="V38" s="3">
        <f>IF($K38="","",L38-M38-N38-O38-P38-Q38-R38-S38-T38)</f>
      </c>
      <c r="W38" s="3">
        <f>IF($K38="","",(V38-AC38)/J38*100)</f>
      </c>
      <c r="X38" s="3">
        <f>IF($K38="","",M38-U38)</f>
      </c>
      <c r="AD38" s="3">
        <f>IF($K38="","",V38-AC38)</f>
      </c>
    </row>
    <row r="39" spans="1:30" x14ac:dyDescent="0.25">
      <c r="A39" s="1"/>
      <c r="D39" s="2"/>
      <c r="J39" s="3"/>
      <c r="K39" s="3"/>
      <c r="L39" s="3">
        <f>IF($K39="","",K39-J39)</f>
      </c>
      <c r="M39" s="3">
        <f>IF($K39="","",L39*16.67%)</f>
      </c>
      <c r="N39" s="3">
        <f>IF($K39="","",K39/100*7)</f>
      </c>
      <c r="O39" s="3">
        <f>IF($K39="","",N39*20%)</f>
      </c>
      <c r="P39" s="3">
        <f>IF($K39="","",N39*2%)</f>
      </c>
      <c r="Q39" s="3">
        <f>IF($K39="","",P39*20%)</f>
      </c>
      <c r="R39" s="3"/>
      <c r="S39" s="3">
        <f>IF($K39="","",R39*20%)</f>
      </c>
      <c r="T39" s="3">
        <v>1</v>
      </c>
      <c r="U39" s="3">
        <f>IF($K39="","",O39+Q39+S39)</f>
      </c>
      <c r="V39" s="3">
        <f>IF($K39="","",L39-M39-N39-O39-P39-Q39-R39-S39-T39)</f>
      </c>
      <c r="W39" s="3">
        <f>IF($K39="","",(V39-AC39)/J39*100)</f>
      </c>
      <c r="X39" s="3">
        <f>IF($K39="","",M39-U39)</f>
      </c>
      <c r="AD39" s="3">
        <f>IF($K39="","",V39-AC39)</f>
      </c>
    </row>
    <row r="40" spans="1:30" x14ac:dyDescent="0.25">
      <c r="A40" s="1"/>
      <c r="D40" s="2"/>
      <c r="J40" s="3"/>
      <c r="K40" s="3"/>
      <c r="L40" s="3">
        <f>IF($K40="","",K40-J40)</f>
      </c>
      <c r="M40" s="3">
        <f>IF($K40="","",L40*16.67%)</f>
      </c>
      <c r="N40" s="3">
        <f>IF($K40="","",K40/100*7)</f>
      </c>
      <c r="O40" s="3">
        <f>IF($K40="","",N40*20%)</f>
      </c>
      <c r="P40" s="3">
        <f>IF($K40="","",N40*2%)</f>
      </c>
      <c r="Q40" s="3">
        <f>IF($K40="","",P40*20%)</f>
      </c>
      <c r="R40" s="3"/>
      <c r="S40" s="3">
        <f>IF($K40="","",R40*20%)</f>
      </c>
      <c r="T40" s="3">
        <v>1</v>
      </c>
      <c r="U40" s="3">
        <f>IF($K40="","",O40+Q40+S40)</f>
      </c>
      <c r="V40" s="3">
        <f>IF($K40="","",L40-M40-N40-O40-P40-Q40-R40-S40-T40)</f>
      </c>
      <c r="W40" s="3">
        <f>IF($K40="","",(V40-AC40)/J40*100)</f>
      </c>
      <c r="X40" s="3">
        <f>IF($K40="","",M40-U40)</f>
      </c>
      <c r="AD40" s="3">
        <f>IF($K40="","",V40-AC40)</f>
      </c>
    </row>
    <row r="41" spans="1:30" x14ac:dyDescent="0.25">
      <c r="A41" s="1"/>
      <c r="D41" s="2"/>
      <c r="J41" s="3"/>
      <c r="K41" s="3"/>
      <c r="L41" s="3">
        <f>IF($K41="","",K41-J41)</f>
      </c>
      <c r="M41" s="3">
        <f>IF($K41="","",L41*16.67%)</f>
      </c>
      <c r="N41" s="3">
        <f>IF($K41="","",K41/100*7)</f>
      </c>
      <c r="O41" s="3">
        <f>IF($K41="","",N41*20%)</f>
      </c>
      <c r="P41" s="3">
        <f>IF($K41="","",N41*2%)</f>
      </c>
      <c r="Q41" s="3">
        <f>IF($K41="","",P41*20%)</f>
      </c>
      <c r="R41" s="3"/>
      <c r="S41" s="3">
        <f>IF($K41="","",R41*20%)</f>
      </c>
      <c r="T41" s="3">
        <v>1</v>
      </c>
      <c r="U41" s="3">
        <f>IF($K41="","",O41+Q41+S41)</f>
      </c>
      <c r="V41" s="3">
        <f>IF($K41="","",L41-M41-N41-O41-P41-Q41-R41-S41-T41)</f>
      </c>
      <c r="W41" s="3">
        <f>IF($K41="","",(V41-AC41)/J41*100)</f>
      </c>
      <c r="X41" s="3">
        <f>IF($K41="","",M41-U41)</f>
      </c>
      <c r="AD41" s="3">
        <f>IF($K41="","",V41-AC41)</f>
      </c>
    </row>
    <row r="42" spans="1:30" x14ac:dyDescent="0.25">
      <c r="A42" s="1"/>
      <c r="D42" s="2"/>
      <c r="J42" s="3"/>
      <c r="K42" s="3"/>
      <c r="L42" s="3">
        <f>IF($K42="","",K42-J42)</f>
      </c>
      <c r="M42" s="3">
        <f>IF($K42="","",L42*16.67%)</f>
      </c>
      <c r="N42" s="3">
        <f>IF($K42="","",K42/100*7)</f>
      </c>
      <c r="O42" s="3">
        <f>IF($K42="","",N42*20%)</f>
      </c>
      <c r="P42" s="3">
        <f>IF($K42="","",N42*2%)</f>
      </c>
      <c r="Q42" s="3">
        <f>IF($K42="","",P42*20%)</f>
      </c>
      <c r="R42" s="3"/>
      <c r="S42" s="3">
        <f>IF($K42="","",R42*20%)</f>
      </c>
      <c r="T42" s="3">
        <v>1</v>
      </c>
      <c r="U42" s="3">
        <f>IF($K42="","",O42+Q42+S42)</f>
      </c>
      <c r="V42" s="3">
        <f>IF($K42="","",L42-M42-N42-O42-P42-Q42-R42-S42-T42)</f>
      </c>
      <c r="W42" s="3">
        <f>IF($K42="","",(V42-AC42)/J42*100)</f>
      </c>
      <c r="X42" s="3">
        <f>IF($K42="","",M42-U42)</f>
      </c>
      <c r="AD42" s="3">
        <f>IF($K42="","",V42-AC42)</f>
      </c>
    </row>
    <row r="43" spans="1:30" x14ac:dyDescent="0.25">
      <c r="A43" s="1"/>
      <c r="D43" s="2"/>
      <c r="J43" s="3"/>
      <c r="K43" s="3"/>
      <c r="L43" s="3">
        <f>IF($K43="","",K43-J43)</f>
      </c>
      <c r="M43" s="3">
        <f>IF($K43="","",L43*16.67%)</f>
      </c>
      <c r="N43" s="3">
        <f>IF($K43="","",K43/100*7)</f>
      </c>
      <c r="O43" s="3">
        <f>IF($K43="","",N43*20%)</f>
      </c>
      <c r="P43" s="3">
        <f>IF($K43="","",N43*2%)</f>
      </c>
      <c r="Q43" s="3">
        <f>IF($K43="","",P43*20%)</f>
      </c>
      <c r="R43" s="3"/>
      <c r="S43" s="3">
        <f>IF($K43="","",R43*20%)</f>
      </c>
      <c r="T43" s="3">
        <v>1</v>
      </c>
      <c r="U43" s="3">
        <f>IF($K43="","",O43+Q43+S43)</f>
      </c>
      <c r="V43" s="3">
        <f>IF($K43="","",L43-M43-N43-O43-P43-Q43-R43-S43-T43)</f>
      </c>
      <c r="W43" s="3">
        <f>IF($K43="","",(V43-AC43)/J43*100)</f>
      </c>
      <c r="X43" s="3">
        <f>IF($K43="","",M43-U43)</f>
      </c>
      <c r="AD43" s="3">
        <f>IF($K43="","",V43-AC43)</f>
      </c>
    </row>
    <row r="44" spans="1:30" x14ac:dyDescent="0.25">
      <c r="A44" s="1"/>
      <c r="D44" s="2"/>
      <c r="J44" s="3"/>
      <c r="K44" s="3"/>
      <c r="L44" s="3">
        <f>IF($K44="","",K44-J44)</f>
      </c>
      <c r="M44" s="3">
        <f>IF($K44="","",L44*16.67%)</f>
      </c>
      <c r="N44" s="3">
        <f>IF($K44="","",K44/100*7)</f>
      </c>
      <c r="O44" s="3">
        <f>IF($K44="","",N44*20%)</f>
      </c>
      <c r="P44" s="3">
        <f>IF($K44="","",N44*2%)</f>
      </c>
      <c r="Q44" s="3">
        <f>IF($K44="","",P44*20%)</f>
      </c>
      <c r="R44" s="3"/>
      <c r="S44" s="3">
        <f>IF($K44="","",R44*20%)</f>
      </c>
      <c r="T44" s="3">
        <v>1</v>
      </c>
      <c r="U44" s="3">
        <f>IF($K44="","",O44+Q44+S44)</f>
      </c>
      <c r="V44" s="3">
        <f>IF($K44="","",L44-M44-N44-O44-P44-Q44-R44-S44-T44)</f>
      </c>
      <c r="W44" s="3">
        <f>IF($K44="","",(V44-AC44)/J44*100)</f>
      </c>
      <c r="X44" s="3">
        <f>IF($K44="","",M44-U44)</f>
      </c>
      <c r="AD44" s="3">
        <f>IF($K44="","",V44-AC44)</f>
      </c>
    </row>
    <row r="45" spans="1:30" x14ac:dyDescent="0.25">
      <c r="A45" s="1"/>
      <c r="D45" s="2"/>
      <c r="J45" s="3"/>
      <c r="K45" s="3"/>
      <c r="L45" s="3">
        <f>IF($K45="","",K45-J45)</f>
      </c>
      <c r="M45" s="3">
        <f>IF($K45="","",L45*16.67%)</f>
      </c>
      <c r="N45" s="3">
        <f>IF($K45="","",K45/100*7)</f>
      </c>
      <c r="O45" s="3">
        <f>IF($K45="","",N45*20%)</f>
      </c>
      <c r="P45" s="3">
        <f>IF($K45="","",N45*2%)</f>
      </c>
      <c r="Q45" s="3">
        <f>IF($K45="","",P45*20%)</f>
      </c>
      <c r="R45" s="3"/>
      <c r="S45" s="3">
        <f>IF($K45="","",R45*20%)</f>
      </c>
      <c r="T45" s="3">
        <v>1</v>
      </c>
      <c r="U45" s="3">
        <f>IF($K45="","",O45+Q45+S45)</f>
      </c>
      <c r="V45" s="3">
        <f>IF($K45="","",L45-M45-N45-O45-P45-Q45-R45-S45-T45)</f>
      </c>
      <c r="W45" s="3">
        <f>IF($K45="","",(V45-AC45)/J45*100)</f>
      </c>
      <c r="X45" s="3">
        <f>IF($K45="","",M45-U45)</f>
      </c>
      <c r="AD45" s="3">
        <f>IF($K45="","",V45-AC45)</f>
      </c>
    </row>
    <row r="46" spans="1:30" x14ac:dyDescent="0.25">
      <c r="A46" s="1"/>
      <c r="D46" s="2"/>
      <c r="J46" s="3"/>
      <c r="K46" s="3"/>
      <c r="L46" s="3">
        <f>IF($K46="","",K46-J46)</f>
      </c>
      <c r="M46" s="3">
        <f>IF($K46="","",L46*16.67%)</f>
      </c>
      <c r="N46" s="3">
        <f>IF($K46="","",K46/100*7)</f>
      </c>
      <c r="O46" s="3">
        <f>IF($K46="","",N46*20%)</f>
      </c>
      <c r="P46" s="3">
        <f>IF($K46="","",N46*2%)</f>
      </c>
      <c r="Q46" s="3">
        <f>IF($K46="","",P46*20%)</f>
      </c>
      <c r="R46" s="3"/>
      <c r="S46" s="3">
        <f>IF($K46="","",R46*20%)</f>
      </c>
      <c r="T46" s="3">
        <v>1</v>
      </c>
      <c r="U46" s="3">
        <f>IF($K46="","",O46+Q46+S46)</f>
      </c>
      <c r="V46" s="3">
        <f>IF($K46="","",L46-M46-N46-O46-P46-Q46-R46-S46-T46)</f>
      </c>
      <c r="W46" s="3">
        <f>IF($K46="","",(V46-AC46)/J46*100)</f>
      </c>
      <c r="X46" s="3">
        <f>IF($K46="","",M46-U46)</f>
      </c>
      <c r="AD46" s="3">
        <f>IF($K46="","",V46-AC46)</f>
      </c>
    </row>
    <row r="47" spans="1:30" x14ac:dyDescent="0.25">
      <c r="A47" s="1"/>
      <c r="D47" s="2"/>
      <c r="J47" s="3"/>
      <c r="K47" s="3"/>
      <c r="L47" s="3">
        <f>IF($K47="","",K47-J47)</f>
      </c>
      <c r="M47" s="3">
        <f>IF($K47="","",L47*16.67%)</f>
      </c>
      <c r="N47" s="3">
        <f>IF($K47="","",K47/100*7)</f>
      </c>
      <c r="O47" s="3">
        <f>IF($K47="","",N47*20%)</f>
      </c>
      <c r="P47" s="3">
        <f>IF($K47="","",N47*2%)</f>
      </c>
      <c r="Q47" s="3">
        <f>IF($K47="","",P47*20%)</f>
      </c>
      <c r="R47" s="3"/>
      <c r="S47" s="3">
        <f>IF($K47="","",R47*20%)</f>
      </c>
      <c r="T47" s="3">
        <v>1</v>
      </c>
      <c r="U47" s="3">
        <f>IF($K47="","",O47+Q47+S47)</f>
      </c>
      <c r="V47" s="3">
        <f>IF($K47="","",L47-M47-N47-O47-P47-Q47-R47-S47-T47)</f>
      </c>
      <c r="W47" s="3">
        <f>IF($K47="","",(V47-AC47)/J47*100)</f>
      </c>
      <c r="X47" s="3">
        <f>IF($K47="","",M47-U47)</f>
      </c>
      <c r="AD47" s="3">
        <f>IF($K47="","",V47-AC47)</f>
      </c>
    </row>
    <row r="48" spans="1:30" x14ac:dyDescent="0.25">
      <c r="A48" s="1"/>
      <c r="D48" s="2"/>
      <c r="J48" s="3"/>
      <c r="K48" s="3"/>
      <c r="L48" s="3">
        <f>IF($K48="","",K48-J48)</f>
      </c>
      <c r="M48" s="3">
        <f>IF($K48="","",L48*16.67%)</f>
      </c>
      <c r="N48" s="3">
        <f>IF($K48="","",K48/100*7)</f>
      </c>
      <c r="O48" s="3">
        <f>IF($K48="","",N48*20%)</f>
      </c>
      <c r="P48" s="3">
        <f>IF($K48="","",N48*2%)</f>
      </c>
      <c r="Q48" s="3">
        <f>IF($K48="","",P48*20%)</f>
      </c>
      <c r="R48" s="3"/>
      <c r="S48" s="3">
        <f>IF($K48="","",R48*20%)</f>
      </c>
      <c r="T48" s="3">
        <v>1</v>
      </c>
      <c r="U48" s="3">
        <f>IF($K48="","",O48+Q48+S48)</f>
      </c>
      <c r="V48" s="3">
        <f>IF($K48="","",L48-M48-N48-O48-P48-Q48-R48-S48-T48)</f>
      </c>
      <c r="W48" s="3">
        <f>IF($K48="","",(V48-AC48)/J48*100)</f>
      </c>
      <c r="X48" s="3">
        <f>IF($K48="","",M48-U48)</f>
      </c>
      <c r="AD48" s="3">
        <f>IF($K48="","",V48-AC48)</f>
      </c>
    </row>
    <row r="49" spans="1:30" x14ac:dyDescent="0.25">
      <c r="A49" s="1"/>
      <c r="D49" s="2"/>
      <c r="J49" s="3"/>
      <c r="K49" s="3"/>
      <c r="L49" s="3">
        <f>IF($K49="","",K49-J49)</f>
      </c>
      <c r="M49" s="3">
        <f>IF($K49="","",L49*16.67%)</f>
      </c>
      <c r="N49" s="3">
        <f>IF($K49="","",K49/100*7)</f>
      </c>
      <c r="O49" s="3">
        <f>IF($K49="","",N49*20%)</f>
      </c>
      <c r="P49" s="3">
        <f>IF($K49="","",N49*2%)</f>
      </c>
      <c r="Q49" s="3">
        <f>IF($K49="","",P49*20%)</f>
      </c>
      <c r="R49" s="3"/>
      <c r="S49" s="3">
        <f>IF($K49="","",R49*20%)</f>
      </c>
      <c r="T49" s="3">
        <v>1</v>
      </c>
      <c r="U49" s="3">
        <f>IF($K49="","",O49+Q49+S49)</f>
      </c>
      <c r="V49" s="3">
        <f>IF($K49="","",L49-M49-N49-O49-P49-Q49-R49-S49-T49)</f>
      </c>
      <c r="W49" s="3">
        <f>IF($K49="","",(V49-AC49)/J49*100)</f>
      </c>
      <c r="X49" s="3">
        <f>IF($K49="","",M49-U49)</f>
      </c>
      <c r="AD49" s="3">
        <f>IF($K49="","",V49-AC49)</f>
      </c>
    </row>
    <row r="50" spans="1:30" x14ac:dyDescent="0.25">
      <c r="A50" s="1"/>
      <c r="D50" s="2"/>
      <c r="J50" s="3"/>
      <c r="K50" s="3"/>
      <c r="L50" s="3">
        <f>IF($K50="","",K50-J50)</f>
      </c>
      <c r="M50" s="3">
        <f>IF($K50="","",L50*16.67%)</f>
      </c>
      <c r="N50" s="3">
        <f>IF($K50="","",K50/100*7)</f>
      </c>
      <c r="O50" s="3">
        <f>IF($K50="","",N50*20%)</f>
      </c>
      <c r="P50" s="3">
        <f>IF($K50="","",N50*2%)</f>
      </c>
      <c r="Q50" s="3">
        <f>IF($K50="","",P50*20%)</f>
      </c>
      <c r="R50" s="3"/>
      <c r="S50" s="3">
        <f>IF($K50="","",R50*20%)</f>
      </c>
      <c r="T50" s="3">
        <v>1</v>
      </c>
      <c r="U50" s="3">
        <f>IF($K50="","",O50+Q50+S50)</f>
      </c>
      <c r="V50" s="3">
        <f>IF($K50="","",L50-M50-N50-O50-P50-Q50-R50-S50-T50)</f>
      </c>
      <c r="W50" s="3">
        <f>IF($K50="","",(V50-AC50)/J50*100)</f>
      </c>
      <c r="X50" s="3">
        <f>IF($K50="","",M50-U50)</f>
      </c>
      <c r="AD50" s="3">
        <f>IF($K50="","",V50-AC50)</f>
      </c>
    </row>
    <row r="51" spans="1:30" x14ac:dyDescent="0.25">
      <c r="A51" s="1"/>
      <c r="D51" s="2"/>
      <c r="J51" s="3"/>
      <c r="K51" s="3"/>
      <c r="L51" s="3">
        <f>IF($K51="","",K51-J51)</f>
      </c>
      <c r="M51" s="3">
        <f>IF($K51="","",L51*16.67%)</f>
      </c>
      <c r="N51" s="3">
        <f>IF($K51="","",K51/100*7)</f>
      </c>
      <c r="O51" s="3">
        <f>IF($K51="","",N51*20%)</f>
      </c>
      <c r="P51" s="3">
        <f>IF($K51="","",N51*2%)</f>
      </c>
      <c r="Q51" s="3">
        <f>IF($K51="","",P51*20%)</f>
      </c>
      <c r="R51" s="3"/>
      <c r="S51" s="3">
        <f>IF($K51="","",R51*20%)</f>
      </c>
      <c r="T51" s="3">
        <v>1</v>
      </c>
      <c r="U51" s="3">
        <f>IF($K51="","",O51+Q51+S51)</f>
      </c>
      <c r="V51" s="3">
        <f>IF($K51="","",L51-M51-N51-O51-P51-Q51-R51-S51-T51)</f>
      </c>
      <c r="W51" s="3">
        <f>IF($K51="","",(V51-AC51)/J51*100)</f>
      </c>
      <c r="X51" s="3">
        <f>IF($K51="","",M51-U51)</f>
      </c>
      <c r="AD51" s="3">
        <f>IF($K51="","",V51-AC51)</f>
      </c>
    </row>
    <row r="52" spans="1:30" x14ac:dyDescent="0.25">
      <c r="A52" s="1"/>
      <c r="D52" s="2"/>
      <c r="J52" s="3"/>
      <c r="K52" s="3"/>
      <c r="L52" s="3">
        <f>IF($K52="","",K52-J52)</f>
      </c>
      <c r="M52" s="3">
        <f>IF($K52="","",L52*16.67%)</f>
      </c>
      <c r="N52" s="3">
        <f>IF($K52="","",K52/100*7)</f>
      </c>
      <c r="O52" s="3">
        <f>IF($K52="","",N52*20%)</f>
      </c>
      <c r="P52" s="3">
        <f>IF($K52="","",N52*2%)</f>
      </c>
      <c r="Q52" s="3">
        <f>IF($K52="","",P52*20%)</f>
      </c>
      <c r="R52" s="3"/>
      <c r="S52" s="3">
        <f>IF($K52="","",R52*20%)</f>
      </c>
      <c r="T52" s="3">
        <v>1</v>
      </c>
      <c r="U52" s="3">
        <f>IF($K52="","",O52+Q52+S52)</f>
      </c>
      <c r="V52" s="3">
        <f>IF($K52="","",L52-M52-N52-O52-P52-Q52-R52-S52-T52)</f>
      </c>
      <c r="W52" s="3">
        <f>IF($K52="","",(V52-AC52)/J52*100)</f>
      </c>
      <c r="X52" s="3">
        <f>IF($K52="","",M52-U52)</f>
      </c>
      <c r="AD52" s="3">
        <f>IF($K52="","",V52-AC52)</f>
      </c>
    </row>
    <row r="53" spans="1:30" x14ac:dyDescent="0.25">
      <c r="A53" s="1"/>
      <c r="D53" s="2"/>
      <c r="J53" s="3"/>
      <c r="K53" s="3"/>
      <c r="L53" s="3">
        <f>IF($K53="","",K53-J53)</f>
      </c>
      <c r="M53" s="3">
        <f>IF($K53="","",L53*16.67%)</f>
      </c>
      <c r="N53" s="3">
        <f>IF($K53="","",K53/100*7)</f>
      </c>
      <c r="O53" s="3">
        <f>IF($K53="","",N53*20%)</f>
      </c>
      <c r="P53" s="3">
        <f>IF($K53="","",N53*2%)</f>
      </c>
      <c r="Q53" s="3">
        <f>IF($K53="","",P53*20%)</f>
      </c>
      <c r="R53" s="3"/>
      <c r="S53" s="3">
        <f>IF($K53="","",R53*20%)</f>
      </c>
      <c r="T53" s="3">
        <v>1</v>
      </c>
      <c r="U53" s="3">
        <f>IF($K53="","",O53+Q53+S53)</f>
      </c>
      <c r="V53" s="3">
        <f>IF($K53="","",L53-M53-N53-O53-P53-Q53-R53-S53-T53)</f>
      </c>
      <c r="W53" s="3">
        <f>IF($K53="","",(V53-AC53)/J53*100)</f>
      </c>
      <c r="X53" s="3">
        <f>IF($K53="","",M53-U53)</f>
      </c>
      <c r="AD53" s="3">
        <f>IF($K53="","",V53-AC53)</f>
      </c>
    </row>
    <row r="54" spans="1:30" x14ac:dyDescent="0.25">
      <c r="A54" s="1"/>
      <c r="D54" s="2"/>
      <c r="J54" s="3"/>
      <c r="K54" s="3"/>
      <c r="L54" s="3">
        <f>IF($K54="","",K54-J54)</f>
      </c>
      <c r="M54" s="3">
        <f>IF($K54="","",L54*16.67%)</f>
      </c>
      <c r="N54" s="3">
        <f>IF($K54="","",K54/100*7)</f>
      </c>
      <c r="O54" s="3">
        <f>IF($K54="","",N54*20%)</f>
      </c>
      <c r="P54" s="3">
        <f>IF($K54="","",N54*2%)</f>
      </c>
      <c r="Q54" s="3">
        <f>IF($K54="","",P54*20%)</f>
      </c>
      <c r="R54" s="3"/>
      <c r="S54" s="3">
        <f>IF($K54="","",R54*20%)</f>
      </c>
      <c r="T54" s="3">
        <v>1</v>
      </c>
      <c r="U54" s="3">
        <f>IF($K54="","",O54+Q54+S54)</f>
      </c>
      <c r="V54" s="3">
        <f>IF($K54="","",L54-M54-N54-O54-P54-Q54-R54-S54-T54)</f>
      </c>
      <c r="W54" s="3">
        <f>IF($K54="","",(V54-AC54)/J54*100)</f>
      </c>
      <c r="X54" s="3">
        <f>IF($K54="","",M54-U54)</f>
      </c>
      <c r="AD54" s="3">
        <f>IF($K54="","",V54-AC54)</f>
      </c>
    </row>
    <row r="55" spans="1:30" x14ac:dyDescent="0.25">
      <c r="A55" s="1"/>
      <c r="D55" s="2"/>
      <c r="J55" s="3"/>
      <c r="K55" s="3"/>
      <c r="L55" s="3">
        <f>IF($K55="","",K55-J55)</f>
      </c>
      <c r="M55" s="3">
        <f>IF($K55="","",L55*16.67%)</f>
      </c>
      <c r="N55" s="3">
        <f>IF($K55="","",K55/100*7)</f>
      </c>
      <c r="O55" s="3">
        <f>IF($K55="","",N55*20%)</f>
      </c>
      <c r="P55" s="3">
        <f>IF($K55="","",N55*2%)</f>
      </c>
      <c r="Q55" s="3">
        <f>IF($K55="","",P55*20%)</f>
      </c>
      <c r="R55" s="3"/>
      <c r="S55" s="3">
        <f>IF($K55="","",R55*20%)</f>
      </c>
      <c r="T55" s="3">
        <v>1</v>
      </c>
      <c r="U55" s="3">
        <f>IF($K55="","",O55+Q55+S55)</f>
      </c>
      <c r="V55" s="3">
        <f>IF($K55="","",L55-M55-N55-O55-P55-Q55-R55-S55-T55)</f>
      </c>
      <c r="W55" s="3">
        <f>IF($K55="","",(V55-AC55)/J55*100)</f>
      </c>
      <c r="X55" s="3">
        <f>IF($K55="","",M55-U55)</f>
      </c>
      <c r="AD55" s="3">
        <f>IF($K55="","",V55-AC55)</f>
      </c>
    </row>
    <row r="56" spans="1:30" x14ac:dyDescent="0.25">
      <c r="A56" s="1"/>
      <c r="D56" s="2"/>
      <c r="J56" s="3"/>
      <c r="K56" s="3"/>
      <c r="L56" s="3">
        <f>IF($K56="","",K56-J56)</f>
      </c>
      <c r="M56" s="3">
        <f>IF($K56="","",L56*16.67%)</f>
      </c>
      <c r="N56" s="3">
        <f>IF($K56="","",K56/100*7)</f>
      </c>
      <c r="O56" s="3">
        <f>IF($K56="","",N56*20%)</f>
      </c>
      <c r="P56" s="3">
        <f>IF($K56="","",N56*2%)</f>
      </c>
      <c r="Q56" s="3">
        <f>IF($K56="","",P56*20%)</f>
      </c>
      <c r="R56" s="3"/>
      <c r="S56" s="3">
        <f>IF($K56="","",R56*20%)</f>
      </c>
      <c r="T56" s="3">
        <v>1</v>
      </c>
      <c r="U56" s="3">
        <f>IF($K56="","",O56+Q56+S56)</f>
      </c>
      <c r="V56" s="3">
        <f>IF($K56="","",L56-M56-N56-O56-P56-Q56-R56-S56-T56)</f>
      </c>
      <c r="W56" s="3">
        <f>IF($K56="","",(V56-AC56)/J56*100)</f>
      </c>
      <c r="X56" s="3">
        <f>IF($K56="","",M56-U56)</f>
      </c>
      <c r="AD56" s="3">
        <f>IF($K56="","",V56-AC56)</f>
      </c>
    </row>
    <row r="57" spans="1:30" x14ac:dyDescent="0.25">
      <c r="A57" s="1"/>
      <c r="D57" s="2"/>
      <c r="J57" s="3"/>
      <c r="K57" s="3"/>
      <c r="L57" s="3">
        <f>IF($K57="","",K57-J57)</f>
      </c>
      <c r="M57" s="3">
        <f>IF($K57="","",L57*16.67%)</f>
      </c>
      <c r="N57" s="3">
        <f>IF($K57="","",K57/100*7)</f>
      </c>
      <c r="O57" s="3">
        <f>IF($K57="","",N57*20%)</f>
      </c>
      <c r="P57" s="3">
        <f>IF($K57="","",N57*2%)</f>
      </c>
      <c r="Q57" s="3">
        <f>IF($K57="","",P57*20%)</f>
      </c>
      <c r="R57" s="3"/>
      <c r="S57" s="3">
        <f>IF($K57="","",R57*20%)</f>
      </c>
      <c r="T57" s="3">
        <v>1</v>
      </c>
      <c r="U57" s="3">
        <f>IF($K57="","",O57+Q57+S57)</f>
      </c>
      <c r="V57" s="3">
        <f>IF($K57="","",L57-M57-N57-O57-P57-Q57-R57-S57-T57)</f>
      </c>
      <c r="W57" s="3">
        <f>IF($K57="","",(V57-AC57)/J57*100)</f>
      </c>
      <c r="X57" s="3">
        <f>IF($K57="","",M57-U57)</f>
      </c>
      <c r="AD57" s="3">
        <f>IF($K57="","",V57-AC57)</f>
      </c>
    </row>
    <row r="58" spans="1:30" x14ac:dyDescent="0.25">
      <c r="A58" s="1"/>
      <c r="D58" s="2"/>
      <c r="J58" s="3"/>
      <c r="K58" s="3"/>
      <c r="L58" s="3">
        <f>IF($K58="","",K58-J58)</f>
      </c>
      <c r="M58" s="3">
        <f>IF($K58="","",L58*16.67%)</f>
      </c>
      <c r="N58" s="3">
        <f>IF($K58="","",K58/100*7)</f>
      </c>
      <c r="O58" s="3">
        <f>IF($K58="","",N58*20%)</f>
      </c>
      <c r="P58" s="3">
        <f>IF($K58="","",N58*2%)</f>
      </c>
      <c r="Q58" s="3">
        <f>IF($K58="","",P58*20%)</f>
      </c>
      <c r="R58" s="3"/>
      <c r="S58" s="3">
        <f>IF($K58="","",R58*20%)</f>
      </c>
      <c r="T58" s="3">
        <v>1</v>
      </c>
      <c r="U58" s="3">
        <f>IF($K58="","",O58+Q58+S58)</f>
      </c>
      <c r="V58" s="3">
        <f>IF($K58="","",L58-M58-N58-O58-P58-Q58-R58-S58-T58)</f>
      </c>
      <c r="W58" s="3">
        <f>IF($K58="","",(V58-AC58)/J58*100)</f>
      </c>
      <c r="X58" s="3">
        <f>IF($K58="","",M58-U58)</f>
      </c>
      <c r="AD58" s="3">
        <f>IF($K58="","",V58-AC58)</f>
      </c>
    </row>
    <row r="59" spans="1:30" x14ac:dyDescent="0.25">
      <c r="A59" s="1"/>
      <c r="D59" s="2"/>
      <c r="J59" s="3"/>
      <c r="K59" s="3"/>
      <c r="L59" s="3">
        <f>IF($K59="","",K59-J59)</f>
      </c>
      <c r="M59" s="3">
        <f>IF($K59="","",L59*16.67%)</f>
      </c>
      <c r="N59" s="3">
        <f>IF($K59="","",K59/100*7)</f>
      </c>
      <c r="O59" s="3">
        <f>IF($K59="","",N59*20%)</f>
      </c>
      <c r="P59" s="3">
        <f>IF($K59="","",N59*2%)</f>
      </c>
      <c r="Q59" s="3">
        <f>IF($K59="","",P59*20%)</f>
      </c>
      <c r="R59" s="3"/>
      <c r="S59" s="3">
        <f>IF($K59="","",R59*20%)</f>
      </c>
      <c r="T59" s="3">
        <v>1</v>
      </c>
      <c r="U59" s="3">
        <f>IF($K59="","",O59+Q59+S59)</f>
      </c>
      <c r="V59" s="3">
        <f>IF($K59="","",L59-M59-N59-O59-P59-Q59-R59-S59-T59)</f>
      </c>
      <c r="W59" s="3">
        <f>IF($K59="","",(V59-AC59)/J59*100)</f>
      </c>
      <c r="X59" s="3">
        <f>IF($K59="","",M59-U59)</f>
      </c>
      <c r="AD59" s="3">
        <f>IF($K59="","",V59-AC59)</f>
      </c>
    </row>
    <row r="60" spans="1:30" x14ac:dyDescent="0.25">
      <c r="A60" s="1"/>
      <c r="D60" s="2"/>
      <c r="J60" s="3"/>
      <c r="K60" s="3"/>
      <c r="L60" s="3">
        <f>IF($K60="","",K60-J60)</f>
      </c>
      <c r="M60" s="3">
        <f>IF($K60="","",L60*16.67%)</f>
      </c>
      <c r="N60" s="3">
        <f>IF($K60="","",K60/100*7)</f>
      </c>
      <c r="O60" s="3">
        <f>IF($K60="","",N60*20%)</f>
      </c>
      <c r="P60" s="3">
        <f>IF($K60="","",N60*2%)</f>
      </c>
      <c r="Q60" s="3">
        <f>IF($K60="","",P60*20%)</f>
      </c>
      <c r="R60" s="3"/>
      <c r="S60" s="3">
        <f>IF($K60="","",R60*20%)</f>
      </c>
      <c r="T60" s="3">
        <v>1</v>
      </c>
      <c r="U60" s="3">
        <f>IF($K60="","",O60+Q60+S60)</f>
      </c>
      <c r="V60" s="3">
        <f>IF($K60="","",L60-M60-N60-O60-P60-Q60-R60-S60-T60)</f>
      </c>
      <c r="W60" s="3">
        <f>IF($K60="","",(V60-AC60)/J60*100)</f>
      </c>
      <c r="X60" s="3">
        <f>IF($K60="","",M60-U60)</f>
      </c>
      <c r="AD60" s="3">
        <f>IF($K60="","",V60-AC60)</f>
      </c>
    </row>
    <row r="61" spans="1:30" x14ac:dyDescent="0.25">
      <c r="A61" s="1"/>
      <c r="D61" s="2"/>
      <c r="J61" s="3"/>
      <c r="K61" s="3"/>
      <c r="L61" s="3">
        <f>IF($K61="","",K61-J61)</f>
      </c>
      <c r="M61" s="3">
        <f>IF($K61="","",L61*16.67%)</f>
      </c>
      <c r="N61" s="3">
        <f>IF($K61="","",K61/100*7)</f>
      </c>
      <c r="O61" s="3">
        <f>IF($K61="","",N61*20%)</f>
      </c>
      <c r="P61" s="3">
        <f>IF($K61="","",N61*2%)</f>
      </c>
      <c r="Q61" s="3">
        <f>IF($K61="","",P61*20%)</f>
      </c>
      <c r="R61" s="3"/>
      <c r="S61" s="3">
        <f>IF($K61="","",R61*20%)</f>
      </c>
      <c r="T61" s="3">
        <v>1</v>
      </c>
      <c r="U61" s="3">
        <f>IF($K61="","",O61+Q61+S61)</f>
      </c>
      <c r="V61" s="3">
        <f>IF($K61="","",L61-M61-N61-O61-P61-Q61-R61-S61-T61)</f>
      </c>
      <c r="W61" s="3">
        <f>IF($K61="","",(V61-AC61)/J61*100)</f>
      </c>
      <c r="X61" s="3">
        <f>IF($K61="","",M61-U61)</f>
      </c>
      <c r="AD61" s="3">
        <f>IF($K61="","",V61-AC61)</f>
      </c>
    </row>
    <row r="62" spans="1:30" x14ac:dyDescent="0.25">
      <c r="A62" s="1"/>
      <c r="D62" s="2"/>
      <c r="J62" s="3"/>
      <c r="K62" s="3"/>
      <c r="L62" s="3">
        <f>IF($K62="","",K62-J62)</f>
      </c>
      <c r="M62" s="3">
        <f>IF($K62="","",L62*16.67%)</f>
      </c>
      <c r="N62" s="3">
        <f>IF($K62="","",K62/100*7)</f>
      </c>
      <c r="O62" s="3">
        <f>IF($K62="","",N62*20%)</f>
      </c>
      <c r="P62" s="3">
        <f>IF($K62="","",N62*2%)</f>
      </c>
      <c r="Q62" s="3">
        <f>IF($K62="","",P62*20%)</f>
      </c>
      <c r="R62" s="3"/>
      <c r="S62" s="3">
        <f>IF($K62="","",R62*20%)</f>
      </c>
      <c r="T62" s="3">
        <v>1</v>
      </c>
      <c r="U62" s="3">
        <f>IF($K62="","",O62+Q62+S62)</f>
      </c>
      <c r="V62" s="3">
        <f>IF($K62="","",L62-M62-N62-O62-P62-Q62-R62-S62-T62)</f>
      </c>
      <c r="W62" s="3">
        <f>IF($K62="","",(V62-AC62)/J62*100)</f>
      </c>
      <c r="X62" s="3">
        <f>IF($K62="","",M62-U62)</f>
      </c>
      <c r="AD62" s="3">
        <f>IF($K62="","",V62-AC62)</f>
      </c>
    </row>
    <row r="63" spans="1:30" x14ac:dyDescent="0.25">
      <c r="A63" s="1"/>
      <c r="D63" s="2"/>
      <c r="J63" s="3"/>
      <c r="K63" s="3"/>
      <c r="L63" s="3">
        <f>IF($K63="","",K63-J63)</f>
      </c>
      <c r="M63" s="3">
        <f>IF($K63="","",L63*16.67%)</f>
      </c>
      <c r="N63" s="3">
        <f>IF($K63="","",K63/100*7)</f>
      </c>
      <c r="O63" s="3">
        <f>IF($K63="","",N63*20%)</f>
      </c>
      <c r="P63" s="3">
        <f>IF($K63="","",N63*2%)</f>
      </c>
      <c r="Q63" s="3">
        <f>IF($K63="","",P63*20%)</f>
      </c>
      <c r="R63" s="3"/>
      <c r="S63" s="3">
        <f>IF($K63="","",R63*20%)</f>
      </c>
      <c r="T63" s="3">
        <v>1</v>
      </c>
      <c r="U63" s="3">
        <f>IF($K63="","",O63+Q63+S63)</f>
      </c>
      <c r="V63" s="3">
        <f>IF($K63="","",L63-M63-N63-O63-P63-Q63-R63-S63-T63)</f>
      </c>
      <c r="W63" s="3">
        <f>IF($K63="","",(V63-AC63)/J63*100)</f>
      </c>
      <c r="X63" s="3">
        <f>IF($K63="","",M63-U63)</f>
      </c>
      <c r="AD63" s="3">
        <f>IF($K63="","",V63-AC63)</f>
      </c>
    </row>
    <row r="64" spans="1:30" x14ac:dyDescent="0.25">
      <c r="A64" s="1"/>
      <c r="D64" s="2"/>
      <c r="J64" s="3"/>
      <c r="K64" s="3"/>
      <c r="L64" s="3">
        <f>IF($K64="","",K64-J64)</f>
      </c>
      <c r="M64" s="3">
        <f>IF($K64="","",L64*16.67%)</f>
      </c>
      <c r="N64" s="3">
        <f>IF($K64="","",K64/100*7)</f>
      </c>
      <c r="O64" s="3">
        <f>IF($K64="","",N64*20%)</f>
      </c>
      <c r="P64" s="3">
        <f>IF($K64="","",N64*2%)</f>
      </c>
      <c r="Q64" s="3">
        <f>IF($K64="","",P64*20%)</f>
      </c>
      <c r="R64" s="3"/>
      <c r="S64" s="3">
        <f>IF($K64="","",R64*20%)</f>
      </c>
      <c r="T64" s="3">
        <v>1</v>
      </c>
      <c r="U64" s="3">
        <f>IF($K64="","",O64+Q64+S64)</f>
      </c>
      <c r="V64" s="3">
        <f>IF($K64="","",L64-M64-N64-O64-P64-Q64-R64-S64-T64)</f>
      </c>
      <c r="W64" s="3">
        <f>IF($K64="","",(V64-AC64)/J64*100)</f>
      </c>
      <c r="X64" s="3">
        <f>IF($K64="","",M64-U64)</f>
      </c>
      <c r="AD64" s="3">
        <f>IF($K64="","",V64-AC64)</f>
      </c>
    </row>
    <row r="65" spans="1:30" x14ac:dyDescent="0.25">
      <c r="A65" s="1"/>
      <c r="D65" s="2"/>
      <c r="J65" s="3"/>
      <c r="K65" s="3"/>
      <c r="L65" s="3">
        <f>IF($K65="","",K65-J65)</f>
      </c>
      <c r="M65" s="3">
        <f>IF($K65="","",L65*16.67%)</f>
      </c>
      <c r="N65" s="3">
        <f>IF($K65="","",K65/100*7)</f>
      </c>
      <c r="O65" s="3">
        <f>IF($K65="","",N65*20%)</f>
      </c>
      <c r="P65" s="3">
        <f>IF($K65="","",N65*2%)</f>
      </c>
      <c r="Q65" s="3">
        <f>IF($K65="","",P65*20%)</f>
      </c>
      <c r="R65" s="3"/>
      <c r="S65" s="3">
        <f>IF($K65="","",R65*20%)</f>
      </c>
      <c r="T65" s="3">
        <v>1</v>
      </c>
      <c r="U65" s="3">
        <f>IF($K65="","",O65+Q65+S65)</f>
      </c>
      <c r="V65" s="3">
        <f>IF($K65="","",L65-M65-N65-O65-P65-Q65-R65-S65-T65)</f>
      </c>
      <c r="W65" s="3">
        <f>IF($K65="","",(V65-AC65)/J65*100)</f>
      </c>
      <c r="X65" s="3">
        <f>IF($K65="","",M65-U65)</f>
      </c>
      <c r="AD65" s="3">
        <f>IF($K65="","",V65-AC65)</f>
      </c>
    </row>
    <row r="66" spans="1:30" x14ac:dyDescent="0.25">
      <c r="A66" s="1"/>
      <c r="D66" s="2"/>
      <c r="J66" s="3"/>
      <c r="K66" s="3"/>
      <c r="L66" s="3">
        <f>IF($K66="","",K66-J66)</f>
      </c>
      <c r="M66" s="3">
        <f>IF($K66="","",L66*16.67%)</f>
      </c>
      <c r="N66" s="3">
        <f>IF($K66="","",K66/100*7)</f>
      </c>
      <c r="O66" s="3">
        <f>IF($K66="","",N66*20%)</f>
      </c>
      <c r="P66" s="3">
        <f>IF($K66="","",N66*2%)</f>
      </c>
      <c r="Q66" s="3">
        <f>IF($K66="","",P66*20%)</f>
      </c>
      <c r="R66" s="3"/>
      <c r="S66" s="3">
        <f>IF($K66="","",R66*20%)</f>
      </c>
      <c r="T66" s="3">
        <v>1</v>
      </c>
      <c r="U66" s="3">
        <f>IF($K66="","",O66+Q66+S66)</f>
      </c>
      <c r="V66" s="3">
        <f>IF($K66="","",L66-M66-N66-O66-P66-Q66-R66-S66-T66)</f>
      </c>
      <c r="W66" s="3">
        <f>IF($K66="","",(V66-AC66)/J66*100)</f>
      </c>
      <c r="X66" s="3">
        <f>IF($K66="","",M66-U66)</f>
      </c>
      <c r="AD66" s="3">
        <f>IF($K66="","",V66-AC66)</f>
      </c>
    </row>
    <row r="67" spans="1:30" x14ac:dyDescent="0.25">
      <c r="A67" s="1"/>
      <c r="D67" s="2"/>
      <c r="J67" s="3"/>
      <c r="K67" s="3"/>
      <c r="L67" s="3">
        <f>IF($K67="","",K67-J67)</f>
      </c>
      <c r="M67" s="3">
        <f>IF($K67="","",L67*16.67%)</f>
      </c>
      <c r="N67" s="3">
        <f>IF($K67="","",K67/100*7)</f>
      </c>
      <c r="O67" s="3">
        <f>IF($K67="","",N67*20%)</f>
      </c>
      <c r="P67" s="3">
        <f>IF($K67="","",N67*2%)</f>
      </c>
      <c r="Q67" s="3">
        <f>IF($K67="","",P67*20%)</f>
      </c>
      <c r="R67" s="3"/>
      <c r="S67" s="3">
        <f>IF($K67="","",R67*20%)</f>
      </c>
      <c r="T67" s="3">
        <v>1</v>
      </c>
      <c r="U67" s="3">
        <f>IF($K67="","",O67+Q67+S67)</f>
      </c>
      <c r="V67" s="3">
        <f>IF($K67="","",L67-M67-N67-O67-P67-Q67-R67-S67-T67)</f>
      </c>
      <c r="W67" s="3">
        <f>IF($K67="","",(V67-AC67)/J67*100)</f>
      </c>
      <c r="X67" s="3">
        <f>IF($K67="","",M67-U67)</f>
      </c>
      <c r="AD67" s="3">
        <f>IF($K67="","",V67-AC67)</f>
      </c>
    </row>
    <row r="68" spans="1:30" x14ac:dyDescent="0.25">
      <c r="A68" s="1"/>
      <c r="D68" s="2"/>
      <c r="J68" s="3"/>
      <c r="K68" s="3"/>
      <c r="L68" s="3">
        <f>IF($K68="","",K68-J68)</f>
      </c>
      <c r="M68" s="3">
        <f>IF($K68="","",L68*16.67%)</f>
      </c>
      <c r="N68" s="3">
        <f>IF($K68="","",K68/100*7)</f>
      </c>
      <c r="O68" s="3">
        <f>IF($K68="","",N68*20%)</f>
      </c>
      <c r="P68" s="3">
        <f>IF($K68="","",N68*2%)</f>
      </c>
      <c r="Q68" s="3">
        <f>IF($K68="","",P68*20%)</f>
      </c>
      <c r="R68" s="3"/>
      <c r="S68" s="3">
        <f>IF($K68="","",R68*20%)</f>
      </c>
      <c r="T68" s="3">
        <v>1</v>
      </c>
      <c r="U68" s="3">
        <f>IF($K68="","",O68+Q68+S68)</f>
      </c>
      <c r="V68" s="3">
        <f>IF($K68="","",L68-M68-N68-O68-P68-Q68-R68-S68-T68)</f>
      </c>
      <c r="W68" s="3">
        <f>IF($K68="","",(V68-AC68)/J68*100)</f>
      </c>
      <c r="X68" s="3">
        <f>IF($K68="","",M68-U68)</f>
      </c>
      <c r="AD68" s="3">
        <f>IF($K68="","",V68-AC68)</f>
      </c>
    </row>
    <row r="69" spans="1:30" x14ac:dyDescent="0.25">
      <c r="A69" s="1"/>
      <c r="D69" s="2"/>
      <c r="J69" s="3"/>
      <c r="K69" s="3"/>
      <c r="L69" s="3">
        <f>IF($K69="","",K69-J69)</f>
      </c>
      <c r="M69" s="3">
        <f>IF($K69="","",L69*16.67%)</f>
      </c>
      <c r="N69" s="3">
        <f>IF($K69="","",K69/100*7)</f>
      </c>
      <c r="O69" s="3">
        <f>IF($K69="","",N69*20%)</f>
      </c>
      <c r="P69" s="3">
        <f>IF($K69="","",N69*2%)</f>
      </c>
      <c r="Q69" s="3">
        <f>IF($K69="","",P69*20%)</f>
      </c>
      <c r="R69" s="3"/>
      <c r="S69" s="3">
        <f>IF($K69="","",R69*20%)</f>
      </c>
      <c r="T69" s="3">
        <v>1</v>
      </c>
      <c r="U69" s="3">
        <f>IF($K69="","",O69+Q69+S69)</f>
      </c>
      <c r="V69" s="3">
        <f>IF($K69="","",L69-M69-N69-O69-P69-Q69-R69-S69-T69)</f>
      </c>
      <c r="W69" s="3">
        <f>IF($K69="","",(V69-AC69)/J69*100)</f>
      </c>
      <c r="X69" s="3">
        <f>IF($K69="","",M69-U69)</f>
      </c>
      <c r="AD69" s="3">
        <f>IF($K69="","",V69-AC69)</f>
      </c>
    </row>
    <row r="70" spans="1:30" x14ac:dyDescent="0.25">
      <c r="A70" s="1"/>
      <c r="D70" s="2"/>
      <c r="J70" s="3"/>
      <c r="K70" s="3"/>
      <c r="L70" s="3">
        <f>IF($K70="","",K70-J70)</f>
      </c>
      <c r="M70" s="3">
        <f>IF($K70="","",L70*16.67%)</f>
      </c>
      <c r="N70" s="3">
        <f>IF($K70="","",K70/100*7)</f>
      </c>
      <c r="O70" s="3">
        <f>IF($K70="","",N70*20%)</f>
      </c>
      <c r="P70" s="3">
        <f>IF($K70="","",N70*2%)</f>
      </c>
      <c r="Q70" s="3">
        <f>IF($K70="","",P70*20%)</f>
      </c>
      <c r="R70" s="3"/>
      <c r="S70" s="3">
        <f>IF($K70="","",R70*20%)</f>
      </c>
      <c r="T70" s="3">
        <v>1</v>
      </c>
      <c r="U70" s="3">
        <f>IF($K70="","",O70+Q70+S70)</f>
      </c>
      <c r="V70" s="3">
        <f>IF($K70="","",L70-M70-N70-O70-P70-Q70-R70-S70-T70)</f>
      </c>
      <c r="W70" s="3">
        <f>IF($K70="","",(V70-AC70)/J70*100)</f>
      </c>
      <c r="X70" s="3">
        <f>IF($K70="","",M70-U70)</f>
      </c>
      <c r="AD70" s="3">
        <f>IF($K70="","",V70-AC70)</f>
      </c>
    </row>
    <row r="71" spans="1:30" x14ac:dyDescent="0.25">
      <c r="A71" s="1"/>
      <c r="D71" s="2"/>
      <c r="J71" s="3"/>
      <c r="K71" s="3"/>
      <c r="L71" s="3">
        <f>IF($K71="","",K71-J71)</f>
      </c>
      <c r="M71" s="3">
        <f>IF($K71="","",L71*16.67%)</f>
      </c>
      <c r="N71" s="3">
        <f>IF($K71="","",K71/100*7)</f>
      </c>
      <c r="O71" s="3">
        <f>IF($K71="","",N71*20%)</f>
      </c>
      <c r="P71" s="3">
        <f>IF($K71="","",N71*2%)</f>
      </c>
      <c r="Q71" s="3">
        <f>IF($K71="","",P71*20%)</f>
      </c>
      <c r="R71" s="3"/>
      <c r="S71" s="3">
        <f>IF($K71="","",R71*20%)</f>
      </c>
      <c r="T71" s="3">
        <v>1</v>
      </c>
      <c r="U71" s="3">
        <f>IF($K71="","",O71+Q71+S71)</f>
      </c>
      <c r="V71" s="3">
        <f>IF($K71="","",L71-M71-N71-O71-P71-Q71-R71-S71-T71)</f>
      </c>
      <c r="W71" s="3">
        <f>IF($K71="","",(V71-AC71)/J71*100)</f>
      </c>
      <c r="X71" s="3">
        <f>IF($K71="","",M71-U71)</f>
      </c>
      <c r="AD71" s="3">
        <f>IF($K71="","",V71-AC71)</f>
      </c>
    </row>
    <row r="72" spans="1:30" x14ac:dyDescent="0.25">
      <c r="A72" s="1"/>
      <c r="D72" s="2"/>
      <c r="J72" s="3"/>
      <c r="K72" s="3"/>
      <c r="L72" s="3">
        <f>IF($K72="","",K72-J72)</f>
      </c>
      <c r="M72" s="3">
        <f>IF($K72="","",L72*16.67%)</f>
      </c>
      <c r="N72" s="3">
        <f>IF($K72="","",K72/100*7)</f>
      </c>
      <c r="O72" s="3">
        <f>IF($K72="","",N72*20%)</f>
      </c>
      <c r="P72" s="3">
        <f>IF($K72="","",N72*2%)</f>
      </c>
      <c r="Q72" s="3">
        <f>IF($K72="","",P72*20%)</f>
      </c>
      <c r="R72" s="3"/>
      <c r="S72" s="3">
        <f>IF($K72="","",R72*20%)</f>
      </c>
      <c r="T72" s="3">
        <v>1</v>
      </c>
      <c r="U72" s="3">
        <f>IF($K72="","",O72+Q72+S72)</f>
      </c>
      <c r="V72" s="3">
        <f>IF($K72="","",L72-M72-N72-O72-P72-Q72-R72-S72-T72)</f>
      </c>
      <c r="W72" s="3">
        <f>IF($K72="","",(V72-AC72)/J72*100)</f>
      </c>
      <c r="X72" s="3">
        <f>IF($K72="","",M72-U72)</f>
      </c>
      <c r="AD72" s="3">
        <f>IF($K72="","",V72-AC72)</f>
      </c>
    </row>
    <row r="73" spans="1:30" x14ac:dyDescent="0.25">
      <c r="A73" s="1"/>
      <c r="D73" s="2"/>
      <c r="J73" s="3"/>
      <c r="K73" s="3"/>
      <c r="L73" s="3">
        <f>IF($K73="","",K73-J73)</f>
      </c>
      <c r="M73" s="3">
        <f>IF($K73="","",L73*16.67%)</f>
      </c>
      <c r="N73" s="3">
        <f>IF($K73="","",K73/100*7)</f>
      </c>
      <c r="O73" s="3">
        <f>IF($K73="","",N73*20%)</f>
      </c>
      <c r="P73" s="3">
        <f>IF($K73="","",N73*2%)</f>
      </c>
      <c r="Q73" s="3">
        <f>IF($K73="","",P73*20%)</f>
      </c>
      <c r="R73" s="3"/>
      <c r="S73" s="3">
        <f>IF($K73="","",R73*20%)</f>
      </c>
      <c r="T73" s="3">
        <v>1</v>
      </c>
      <c r="U73" s="3">
        <f>IF($K73="","",O73+Q73+S73)</f>
      </c>
      <c r="V73" s="3">
        <f>IF($K73="","",L73-M73-N73-O73-P73-Q73-R73-S73-T73)</f>
      </c>
      <c r="W73" s="3">
        <f>IF($K73="","",(V73-AC73)/J73*100)</f>
      </c>
      <c r="X73" s="3">
        <f>IF($K73="","",M73-U73)</f>
      </c>
      <c r="AD73" s="3">
        <f>IF($K73="","",V73-AC73)</f>
      </c>
    </row>
    <row r="74" spans="1:30" x14ac:dyDescent="0.25">
      <c r="A74" s="1"/>
      <c r="D74" s="2"/>
      <c r="J74" s="3"/>
      <c r="K74" s="3"/>
      <c r="L74" s="3">
        <f>IF($K74="","",K74-J74)</f>
      </c>
      <c r="M74" s="3">
        <f>IF($K74="","",L74*16.67%)</f>
      </c>
      <c r="N74" s="3">
        <f>IF($K74="","",K74/100*7)</f>
      </c>
      <c r="O74" s="3">
        <f>IF($K74="","",N74*20%)</f>
      </c>
      <c r="P74" s="3">
        <f>IF($K74="","",N74*2%)</f>
      </c>
      <c r="Q74" s="3">
        <f>IF($K74="","",P74*20%)</f>
      </c>
      <c r="R74" s="3"/>
      <c r="S74" s="3">
        <f>IF($K74="","",R74*20%)</f>
      </c>
      <c r="T74" s="3">
        <v>1</v>
      </c>
      <c r="U74" s="3">
        <f>IF($K74="","",O74+Q74+S74)</f>
      </c>
      <c r="V74" s="3">
        <f>IF($K74="","",L74-M74-N74-O74-P74-Q74-R74-S74-T74)</f>
      </c>
      <c r="W74" s="3">
        <f>IF($K74="","",(V74-AC74)/J74*100)</f>
      </c>
      <c r="X74" s="3">
        <f>IF($K74="","",M74-U74)</f>
      </c>
      <c r="AD74" s="3">
        <f>IF($K74="","",V74-AC74)</f>
      </c>
    </row>
    <row r="75" spans="1:30" x14ac:dyDescent="0.25">
      <c r="A75" s="1"/>
      <c r="D75" s="2"/>
      <c r="J75" s="3"/>
      <c r="K75" s="3"/>
      <c r="L75" s="3">
        <f>IF($K75="","",K75-J75)</f>
      </c>
      <c r="M75" s="3">
        <f>IF($K75="","",L75*16.67%)</f>
      </c>
      <c r="N75" s="3">
        <f>IF($K75="","",K75/100*7)</f>
      </c>
      <c r="O75" s="3">
        <f>IF($K75="","",N75*20%)</f>
      </c>
      <c r="P75" s="3">
        <f>IF($K75="","",N75*2%)</f>
      </c>
      <c r="Q75" s="3">
        <f>IF($K75="","",P75*20%)</f>
      </c>
      <c r="R75" s="3"/>
      <c r="S75" s="3">
        <f>IF($K75="","",R75*20%)</f>
      </c>
      <c r="T75" s="3">
        <v>1</v>
      </c>
      <c r="U75" s="3">
        <f>IF($K75="","",O75+Q75+S75)</f>
      </c>
      <c r="V75" s="3">
        <f>IF($K75="","",L75-M75-N75-O75-P75-Q75-R75-S75-T75)</f>
      </c>
      <c r="W75" s="3">
        <f>IF($K75="","",(V75-AC75)/J75*100)</f>
      </c>
      <c r="X75" s="3">
        <f>IF($K75="","",M75-U75)</f>
      </c>
      <c r="AD75" s="3">
        <f>IF($K75="","",V75-AC75)</f>
      </c>
    </row>
    <row r="76" spans="1:30" x14ac:dyDescent="0.25">
      <c r="A76" s="1"/>
      <c r="D76" s="2"/>
      <c r="J76" s="3"/>
      <c r="K76" s="3"/>
      <c r="L76" s="3">
        <f>IF($K76="","",K76-J76)</f>
      </c>
      <c r="M76" s="3">
        <f>IF($K76="","",L76*16.67%)</f>
      </c>
      <c r="N76" s="3">
        <f>IF($K76="","",K76/100*7)</f>
      </c>
      <c r="O76" s="3">
        <f>IF($K76="","",N76*20%)</f>
      </c>
      <c r="P76" s="3">
        <f>IF($K76="","",N76*2%)</f>
      </c>
      <c r="Q76" s="3">
        <f>IF($K76="","",P76*20%)</f>
      </c>
      <c r="R76" s="3"/>
      <c r="S76" s="3">
        <f>IF($K76="","",R76*20%)</f>
      </c>
      <c r="T76" s="3">
        <v>1</v>
      </c>
      <c r="U76" s="3">
        <f>IF($K76="","",O76+Q76+S76)</f>
      </c>
      <c r="V76" s="3">
        <f>IF($K76="","",L76-M76-N76-O76-P76-Q76-R76-S76-T76)</f>
      </c>
      <c r="W76" s="3">
        <f>IF($K76="","",(V76-AC76)/J76*100)</f>
      </c>
      <c r="X76" s="3">
        <f>IF($K76="","",M76-U76)</f>
      </c>
      <c r="AD76" s="3">
        <f>IF($K76="","",V76-AC76)</f>
      </c>
    </row>
    <row r="77" spans="1:30" x14ac:dyDescent="0.25">
      <c r="A77" s="1"/>
      <c r="D77" s="2"/>
      <c r="J77" s="3"/>
      <c r="K77" s="3"/>
      <c r="L77" s="3">
        <f>IF($K77="","",K77-J77)</f>
      </c>
      <c r="M77" s="3">
        <f>IF($K77="","",L77*16.67%)</f>
      </c>
      <c r="N77" s="3">
        <f>IF($K77="","",K77/100*7)</f>
      </c>
      <c r="O77" s="3">
        <f>IF($K77="","",N77*20%)</f>
      </c>
      <c r="P77" s="3">
        <f>IF($K77="","",N77*2%)</f>
      </c>
      <c r="Q77" s="3">
        <f>IF($K77="","",P77*20%)</f>
      </c>
      <c r="R77" s="3"/>
      <c r="S77" s="3">
        <f>IF($K77="","",R77*20%)</f>
      </c>
      <c r="T77" s="3">
        <v>1</v>
      </c>
      <c r="U77" s="3">
        <f>IF($K77="","",O77+Q77+S77)</f>
      </c>
      <c r="V77" s="3">
        <f>IF($K77="","",L77-M77-N77-O77-P77-Q77-R77-S77-T77)</f>
      </c>
      <c r="W77" s="3">
        <f>IF($K77="","",(V77-AC77)/J77*100)</f>
      </c>
      <c r="X77" s="3">
        <f>IF($K77="","",M77-U77)</f>
      </c>
      <c r="AD77" s="3">
        <f>IF($K77="","",V77-AC77)</f>
      </c>
    </row>
    <row r="78" spans="1:30" x14ac:dyDescent="0.25">
      <c r="A78" s="1"/>
      <c r="D78" s="2"/>
      <c r="J78" s="3"/>
      <c r="K78" s="3"/>
      <c r="L78" s="3">
        <f>IF($K78="","",K78-J78)</f>
      </c>
      <c r="M78" s="3">
        <f>IF($K78="","",L78*16.67%)</f>
      </c>
      <c r="N78" s="3">
        <f>IF($K78="","",K78/100*7)</f>
      </c>
      <c r="O78" s="3">
        <f>IF($K78="","",N78*20%)</f>
      </c>
      <c r="P78" s="3">
        <f>IF($K78="","",N78*2%)</f>
      </c>
      <c r="Q78" s="3">
        <f>IF($K78="","",P78*20%)</f>
      </c>
      <c r="R78" s="3"/>
      <c r="S78" s="3">
        <f>IF($K78="","",R78*20%)</f>
      </c>
      <c r="T78" s="3">
        <v>1</v>
      </c>
      <c r="U78" s="3">
        <f>IF($K78="","",O78+Q78+S78)</f>
      </c>
      <c r="V78" s="3">
        <f>IF($K78="","",L78-M78-N78-O78-P78-Q78-R78-S78-T78)</f>
      </c>
      <c r="W78" s="3">
        <f>IF($K78="","",(V78-AC78)/J78*100)</f>
      </c>
      <c r="X78" s="3">
        <f>IF($K78="","",M78-U78)</f>
      </c>
      <c r="AD78" s="3">
        <f>IF($K78="","",V78-AC78)</f>
      </c>
    </row>
    <row r="79" spans="1:30" x14ac:dyDescent="0.25">
      <c r="A79" s="1"/>
      <c r="D79" s="2"/>
      <c r="J79" s="3"/>
      <c r="K79" s="3"/>
      <c r="L79" s="3">
        <f>IF($K79="","",K79-J79)</f>
      </c>
      <c r="M79" s="3">
        <f>IF($K79="","",L79*16.67%)</f>
      </c>
      <c r="N79" s="3">
        <f>IF($K79="","",K79/100*7)</f>
      </c>
      <c r="O79" s="3">
        <f>IF($K79="","",N79*20%)</f>
      </c>
      <c r="P79" s="3">
        <f>IF($K79="","",N79*2%)</f>
      </c>
      <c r="Q79" s="3">
        <f>IF($K79="","",P79*20%)</f>
      </c>
      <c r="R79" s="3"/>
      <c r="S79" s="3">
        <f>IF($K79="","",R79*20%)</f>
      </c>
      <c r="T79" s="3">
        <v>1</v>
      </c>
      <c r="U79" s="3">
        <f>IF($K79="","",O79+Q79+S79)</f>
      </c>
      <c r="V79" s="3">
        <f>IF($K79="","",L79-M79-N79-O79-P79-Q79-R79-S79-T79)</f>
      </c>
      <c r="W79" s="3">
        <f>IF($K79="","",(V79-AC79)/J79*100)</f>
      </c>
      <c r="X79" s="3">
        <f>IF($K79="","",M79-U79)</f>
      </c>
      <c r="AD79" s="3">
        <f>IF($K79="","",V79-AC79)</f>
      </c>
    </row>
    <row r="80" spans="1:30" x14ac:dyDescent="0.25">
      <c r="A80" s="1"/>
      <c r="D80" s="2"/>
      <c r="J80" s="3"/>
      <c r="K80" s="3"/>
      <c r="L80" s="3">
        <f>IF($K80="","",K80-J80)</f>
      </c>
      <c r="M80" s="3">
        <f>IF($K80="","",L80*16.67%)</f>
      </c>
      <c r="N80" s="3">
        <f>IF($K80="","",K80/100*7)</f>
      </c>
      <c r="O80" s="3">
        <f>IF($K80="","",N80*20%)</f>
      </c>
      <c r="P80" s="3">
        <f>IF($K80="","",N80*2%)</f>
      </c>
      <c r="Q80" s="3">
        <f>IF($K80="","",P80*20%)</f>
      </c>
      <c r="R80" s="3"/>
      <c r="S80" s="3">
        <f>IF($K80="","",R80*20%)</f>
      </c>
      <c r="T80" s="3">
        <v>1</v>
      </c>
      <c r="U80" s="3">
        <f>IF($K80="","",O80+Q80+S80)</f>
      </c>
      <c r="V80" s="3">
        <f>IF($K80="","",L80-M80-N80-O80-P80-Q80-R80-S80-T80)</f>
      </c>
      <c r="W80" s="3">
        <f>IF($K80="","",(V80-AC80)/J80*100)</f>
      </c>
      <c r="X80" s="3">
        <f>IF($K80="","",M80-U80)</f>
      </c>
      <c r="AD80" s="3">
        <f>IF($K80="","",V80-AC80)</f>
      </c>
    </row>
    <row r="81" spans="1:30" x14ac:dyDescent="0.25">
      <c r="A81" s="1"/>
      <c r="D81" s="2"/>
      <c r="J81" s="3"/>
      <c r="K81" s="3"/>
      <c r="L81" s="3">
        <f>IF($K81="","",K81-J81)</f>
      </c>
      <c r="M81" s="3">
        <f>IF($K81="","",L81*16.67%)</f>
      </c>
      <c r="N81" s="3">
        <f>IF($K81="","",K81/100*7)</f>
      </c>
      <c r="O81" s="3">
        <f>IF($K81="","",N81*20%)</f>
      </c>
      <c r="P81" s="3">
        <f>IF($K81="","",N81*2%)</f>
      </c>
      <c r="Q81" s="3">
        <f>IF($K81="","",P81*20%)</f>
      </c>
      <c r="R81" s="3"/>
      <c r="S81" s="3">
        <f>IF($K81="","",R81*20%)</f>
      </c>
      <c r="T81" s="3">
        <v>1</v>
      </c>
      <c r="U81" s="3">
        <f>IF($K81="","",O81+Q81+S81)</f>
      </c>
      <c r="V81" s="3">
        <f>IF($K81="","",L81-M81-N81-O81-P81-Q81-R81-S81-T81)</f>
      </c>
      <c r="W81" s="3">
        <f>IF($K81="","",(V81-AC81)/J81*100)</f>
      </c>
      <c r="X81" s="3">
        <f>IF($K81="","",M81-U81)</f>
      </c>
      <c r="AD81" s="3">
        <f>IF($K81="","",V81-AC81)</f>
      </c>
    </row>
    <row r="82" spans="1:30" x14ac:dyDescent="0.25">
      <c r="A82" s="1"/>
      <c r="D82" s="2"/>
      <c r="J82" s="3"/>
      <c r="K82" s="3"/>
      <c r="L82" s="3">
        <f>IF($K82="","",K82-J82)</f>
      </c>
      <c r="M82" s="3">
        <f>IF($K82="","",L82*16.67%)</f>
      </c>
      <c r="N82" s="3">
        <f>IF($K82="","",K82/100*7)</f>
      </c>
      <c r="O82" s="3">
        <f>IF($K82="","",N82*20%)</f>
      </c>
      <c r="P82" s="3">
        <f>IF($K82="","",N82*2%)</f>
      </c>
      <c r="Q82" s="3">
        <f>IF($K82="","",P82*20%)</f>
      </c>
      <c r="R82" s="3"/>
      <c r="S82" s="3">
        <f>IF($K82="","",R82*20%)</f>
      </c>
      <c r="T82" s="3">
        <v>1</v>
      </c>
      <c r="U82" s="3">
        <f>IF($K82="","",O82+Q82+S82)</f>
      </c>
      <c r="V82" s="3">
        <f>IF($K82="","",L82-M82-N82-O82-P82-Q82-R82-S82-T82)</f>
      </c>
      <c r="W82" s="3">
        <f>IF($K82="","",(V82-AC82)/J82*100)</f>
      </c>
      <c r="X82" s="3">
        <f>IF($K82="","",M82-U82)</f>
      </c>
      <c r="AD82" s="3">
        <f>IF($K82="","",V82-AC82)</f>
      </c>
    </row>
    <row r="83" spans="1:30" x14ac:dyDescent="0.25">
      <c r="A83" s="1"/>
      <c r="D83" s="2"/>
      <c r="J83" s="3"/>
      <c r="K83" s="3"/>
      <c r="L83" s="3">
        <f>IF($K83="","",K83-J83)</f>
      </c>
      <c r="M83" s="3">
        <f>IF($K83="","",L83*16.67%)</f>
      </c>
      <c r="N83" s="3">
        <f>IF($K83="","",K83/100*7)</f>
      </c>
      <c r="O83" s="3">
        <f>IF($K83="","",N83*20%)</f>
      </c>
      <c r="P83" s="3">
        <f>IF($K83="","",N83*2%)</f>
      </c>
      <c r="Q83" s="3">
        <f>IF($K83="","",P83*20%)</f>
      </c>
      <c r="R83" s="3"/>
      <c r="S83" s="3">
        <f>IF($K83="","",R83*20%)</f>
      </c>
      <c r="T83" s="3">
        <v>1</v>
      </c>
      <c r="U83" s="3">
        <f>IF($K83="","",O83+Q83+S83)</f>
      </c>
      <c r="V83" s="3">
        <f>IF($K83="","",L83-M83-N83-O83-P83-Q83-R83-S83-T83)</f>
      </c>
      <c r="W83" s="3">
        <f>IF($K83="","",(V83-AC83)/J83*100)</f>
      </c>
      <c r="X83" s="3">
        <f>IF($K83="","",M83-U83)</f>
      </c>
      <c r="AD83" s="3">
        <f>IF($K83="","",V83-AC83)</f>
      </c>
    </row>
    <row r="84" spans="1:30" x14ac:dyDescent="0.25">
      <c r="A84" s="1"/>
      <c r="D84" s="2"/>
      <c r="J84" s="3"/>
      <c r="K84" s="3"/>
      <c r="L84" s="3">
        <f>IF($K84="","",K84-J84)</f>
      </c>
      <c r="M84" s="3">
        <f>IF($K84="","",L84*16.67%)</f>
      </c>
      <c r="N84" s="3">
        <f>IF($K84="","",K84/100*7)</f>
      </c>
      <c r="O84" s="3">
        <f>IF($K84="","",N84*20%)</f>
      </c>
      <c r="P84" s="3">
        <f>IF($K84="","",N84*2%)</f>
      </c>
      <c r="Q84" s="3">
        <f>IF($K84="","",P84*20%)</f>
      </c>
      <c r="R84" s="3"/>
      <c r="S84" s="3">
        <f>IF($K84="","",R84*20%)</f>
      </c>
      <c r="T84" s="3">
        <v>1</v>
      </c>
      <c r="U84" s="3">
        <f>IF($K84="","",O84+Q84+S84)</f>
      </c>
      <c r="V84" s="3">
        <f>IF($K84="","",L84-M84-N84-O84-P84-Q84-R84-S84-T84)</f>
      </c>
      <c r="W84" s="3">
        <f>IF($K84="","",(V84-AC84)/J84*100)</f>
      </c>
      <c r="X84" s="3">
        <f>IF($K84="","",M84-U84)</f>
      </c>
      <c r="AD84" s="3">
        <f>IF($K84="","",V84-AC84)</f>
      </c>
    </row>
    <row r="85" spans="1:30" x14ac:dyDescent="0.25">
      <c r="A85" s="1"/>
      <c r="D85" s="2"/>
      <c r="J85" s="3"/>
      <c r="K85" s="3"/>
      <c r="L85" s="3">
        <f>IF($K85="","",K85-J85)</f>
      </c>
      <c r="M85" s="3">
        <f>IF($K85="","",L85*16.67%)</f>
      </c>
      <c r="N85" s="3">
        <f>IF($K85="","",K85/100*7)</f>
      </c>
      <c r="O85" s="3">
        <f>IF($K85="","",N85*20%)</f>
      </c>
      <c r="P85" s="3">
        <f>IF($K85="","",N85*2%)</f>
      </c>
      <c r="Q85" s="3">
        <f>IF($K85="","",P85*20%)</f>
      </c>
      <c r="R85" s="3"/>
      <c r="S85" s="3">
        <f>IF($K85="","",R85*20%)</f>
      </c>
      <c r="T85" s="3">
        <v>1</v>
      </c>
      <c r="U85" s="3">
        <f>IF($K85="","",O85+Q85+S85)</f>
      </c>
      <c r="V85" s="3">
        <f>IF($K85="","",L85-M85-N85-O85-P85-Q85-R85-S85-T85)</f>
      </c>
      <c r="W85" s="3">
        <f>IF($K85="","",(V85-AC85)/J85*100)</f>
      </c>
      <c r="X85" s="3">
        <f>IF($K85="","",M85-U85)</f>
      </c>
      <c r="AD85" s="3">
        <f>IF($K85="","",V85-AC85)</f>
      </c>
    </row>
    <row r="86" spans="1:30" x14ac:dyDescent="0.25">
      <c r="A86" s="1"/>
      <c r="D86" s="2"/>
      <c r="J86" s="3"/>
      <c r="K86" s="3"/>
      <c r="L86" s="3">
        <f>IF($K86="","",K86-J86)</f>
      </c>
      <c r="M86" s="3">
        <f>IF($K86="","",L86*16.67%)</f>
      </c>
      <c r="N86" s="3">
        <f>IF($K86="","",K86/100*7)</f>
      </c>
      <c r="O86" s="3">
        <f>IF($K86="","",N86*20%)</f>
      </c>
      <c r="P86" s="3">
        <f>IF($K86="","",N86*2%)</f>
      </c>
      <c r="Q86" s="3">
        <f>IF($K86="","",P86*20%)</f>
      </c>
      <c r="R86" s="3"/>
      <c r="S86" s="3">
        <f>IF($K86="","",R86*20%)</f>
      </c>
      <c r="T86" s="3">
        <v>1</v>
      </c>
      <c r="U86" s="3">
        <f>IF($K86="","",O86+Q86+S86)</f>
      </c>
      <c r="V86" s="3">
        <f>IF($K86="","",L86-M86-N86-O86-P86-Q86-R86-S86-T86)</f>
      </c>
      <c r="W86" s="3">
        <f>IF($K86="","",(V86-AC86)/J86*100)</f>
      </c>
      <c r="X86" s="3">
        <f>IF($K86="","",M86-U86)</f>
      </c>
      <c r="AD86" s="3">
        <f>IF($K86="","",V86-AC86)</f>
      </c>
    </row>
    <row r="87" spans="1:30" x14ac:dyDescent="0.25">
      <c r="A87" s="1"/>
      <c r="D87" s="2"/>
      <c r="J87" s="3"/>
      <c r="K87" s="3"/>
      <c r="L87" s="3">
        <f>IF($K87="","",K87-J87)</f>
      </c>
      <c r="M87" s="3">
        <f>IF($K87="","",L87*16.67%)</f>
      </c>
      <c r="N87" s="3">
        <f>IF($K87="","",K87/100*7)</f>
      </c>
      <c r="O87" s="3">
        <f>IF($K87="","",N87*20%)</f>
      </c>
      <c r="P87" s="3">
        <f>IF($K87="","",N87*2%)</f>
      </c>
      <c r="Q87" s="3">
        <f>IF($K87="","",P87*20%)</f>
      </c>
      <c r="R87" s="3"/>
      <c r="S87" s="3">
        <f>IF($K87="","",R87*20%)</f>
      </c>
      <c r="T87" s="3">
        <v>1</v>
      </c>
      <c r="U87" s="3">
        <f>IF($K87="","",O87+Q87+S87)</f>
      </c>
      <c r="V87" s="3">
        <f>IF($K87="","",L87-M87-N87-O87-P87-Q87-R87-S87-T87)</f>
      </c>
      <c r="W87" s="3">
        <f>IF($K87="","",(V87-AC87)/J87*100)</f>
      </c>
      <c r="X87" s="3">
        <f>IF($K87="","",M87-U87)</f>
      </c>
      <c r="AD87" s="3">
        <f>IF($K87="","",V87-AC87)</f>
      </c>
    </row>
    <row r="88" spans="1:30" x14ac:dyDescent="0.25">
      <c r="A88" s="1"/>
      <c r="D88" s="2"/>
      <c r="J88" s="3"/>
      <c r="K88" s="3"/>
      <c r="L88" s="3">
        <f>IF($K88="","",K88-J88)</f>
      </c>
      <c r="M88" s="3">
        <f>IF($K88="","",L88*16.67%)</f>
      </c>
      <c r="N88" s="3">
        <f>IF($K88="","",K88/100*7)</f>
      </c>
      <c r="O88" s="3">
        <f>IF($K88="","",N88*20%)</f>
      </c>
      <c r="P88" s="3">
        <f>IF($K88="","",N88*2%)</f>
      </c>
      <c r="Q88" s="3">
        <f>IF($K88="","",P88*20%)</f>
      </c>
      <c r="R88" s="3"/>
      <c r="S88" s="3">
        <f>IF($K88="","",R88*20%)</f>
      </c>
      <c r="T88" s="3">
        <v>1</v>
      </c>
      <c r="U88" s="3">
        <f>IF($K88="","",O88+Q88+S88)</f>
      </c>
      <c r="V88" s="3">
        <f>IF($K88="","",L88-M88-N88-O88-P88-Q88-R88-S88-T88)</f>
      </c>
      <c r="W88" s="3">
        <f>IF($K88="","",(V88-AC88)/J88*100)</f>
      </c>
      <c r="X88" s="3">
        <f>IF($K88="","",M88-U88)</f>
      </c>
      <c r="AD88" s="3">
        <f>IF($K88="","",V88-AC88)</f>
      </c>
    </row>
    <row r="89" spans="1:30" x14ac:dyDescent="0.25">
      <c r="A89" s="1"/>
      <c r="D89" s="2"/>
      <c r="J89" s="3"/>
      <c r="K89" s="3"/>
      <c r="L89" s="3">
        <f>IF($K89="","",K89-J89)</f>
      </c>
      <c r="M89" s="3">
        <f>IF($K89="","",L89*16.67%)</f>
      </c>
      <c r="N89" s="3">
        <f>IF($K89="","",K89/100*7)</f>
      </c>
      <c r="O89" s="3">
        <f>IF($K89="","",N89*20%)</f>
      </c>
      <c r="P89" s="3">
        <f>IF($K89="","",N89*2%)</f>
      </c>
      <c r="Q89" s="3">
        <f>IF($K89="","",P89*20%)</f>
      </c>
      <c r="R89" s="3"/>
      <c r="S89" s="3">
        <f>IF($K89="","",R89*20%)</f>
      </c>
      <c r="T89" s="3">
        <v>1</v>
      </c>
      <c r="U89" s="3">
        <f>IF($K89="","",O89+Q89+S89)</f>
      </c>
      <c r="V89" s="3">
        <f>IF($K89="","",L89-M89-N89-O89-P89-Q89-R89-S89-T89)</f>
      </c>
      <c r="W89" s="3">
        <f>IF($K89="","",(V89-AC89)/J89*100)</f>
      </c>
      <c r="X89" s="3">
        <f>IF($K89="","",M89-U89)</f>
      </c>
      <c r="AD89" s="3">
        <f>IF($K89="","",V89-AC89)</f>
      </c>
    </row>
    <row r="90" spans="1:30" x14ac:dyDescent="0.25">
      <c r="A90" s="1"/>
      <c r="D90" s="2"/>
      <c r="J90" s="3"/>
      <c r="K90" s="3"/>
      <c r="L90" s="3">
        <f>IF($K90="","",K90-J90)</f>
      </c>
      <c r="M90" s="3">
        <f>IF($K90="","",L90*16.67%)</f>
      </c>
      <c r="N90" s="3">
        <f>IF($K90="","",K90/100*7)</f>
      </c>
      <c r="O90" s="3">
        <f>IF($K90="","",N90*20%)</f>
      </c>
      <c r="P90" s="3">
        <f>IF($K90="","",N90*2%)</f>
      </c>
      <c r="Q90" s="3">
        <f>IF($K90="","",P90*20%)</f>
      </c>
      <c r="R90" s="3"/>
      <c r="S90" s="3">
        <f>IF($K90="","",R90*20%)</f>
      </c>
      <c r="T90" s="3">
        <v>1</v>
      </c>
      <c r="U90" s="3">
        <f>IF($K90="","",O90+Q90+S90)</f>
      </c>
      <c r="V90" s="3">
        <f>IF($K90="","",L90-M90-N90-O90-P90-Q90-R90-S90-T90)</f>
      </c>
      <c r="W90" s="3">
        <f>IF($K90="","",(V90-AC90)/J90*100)</f>
      </c>
      <c r="X90" s="3">
        <f>IF($K90="","",M90-U90)</f>
      </c>
      <c r="AD90" s="3">
        <f>IF($K90="","",V90-AC90)</f>
      </c>
    </row>
    <row r="91" spans="1:30" x14ac:dyDescent="0.25">
      <c r="A91" s="1"/>
      <c r="D91" s="2"/>
      <c r="J91" s="3"/>
      <c r="K91" s="3"/>
      <c r="L91" s="3">
        <f>IF($K91="","",K91-J91)</f>
      </c>
      <c r="M91" s="3">
        <f>IF($K91="","",L91*16.67%)</f>
      </c>
      <c r="N91" s="3">
        <f>IF($K91="","",K91/100*7)</f>
      </c>
      <c r="O91" s="3">
        <f>IF($K91="","",N91*20%)</f>
      </c>
      <c r="P91" s="3">
        <f>IF($K91="","",N91*2%)</f>
      </c>
      <c r="Q91" s="3">
        <f>IF($K91="","",P91*20%)</f>
      </c>
      <c r="R91" s="3"/>
      <c r="S91" s="3">
        <f>IF($K91="","",R91*20%)</f>
      </c>
      <c r="T91" s="3">
        <v>1</v>
      </c>
      <c r="U91" s="3">
        <f>IF($K91="","",O91+Q91+S91)</f>
      </c>
      <c r="V91" s="3">
        <f>IF($K91="","",L91-M91-N91-O91-P91-Q91-R91-S91-T91)</f>
      </c>
      <c r="W91" s="3">
        <f>IF($K91="","",(V91-AC91)/J91*100)</f>
      </c>
      <c r="X91" s="3">
        <f>IF($K91="","",M91-U91)</f>
      </c>
      <c r="AD91" s="3">
        <f>IF($K91="","",V91-AC91)</f>
      </c>
    </row>
    <row r="92" spans="1:30" x14ac:dyDescent="0.25">
      <c r="A92" s="1"/>
      <c r="D92" s="2"/>
      <c r="J92" s="3"/>
      <c r="K92" s="3"/>
      <c r="L92" s="3">
        <f>IF($K92="","",K92-J92)</f>
      </c>
      <c r="M92" s="3">
        <f>IF($K92="","",L92*16.67%)</f>
      </c>
      <c r="N92" s="3">
        <f>IF($K92="","",K92/100*7)</f>
      </c>
      <c r="O92" s="3">
        <f>IF($K92="","",N92*20%)</f>
      </c>
      <c r="P92" s="3">
        <f>IF($K92="","",N92*2%)</f>
      </c>
      <c r="Q92" s="3">
        <f>IF($K92="","",P92*20%)</f>
      </c>
      <c r="R92" s="3"/>
      <c r="S92" s="3">
        <f>IF($K92="","",R92*20%)</f>
      </c>
      <c r="T92" s="3">
        <v>1</v>
      </c>
      <c r="U92" s="3">
        <f>IF($K92="","",O92+Q92+S92)</f>
      </c>
      <c r="V92" s="3">
        <f>IF($K92="","",L92-M92-N92-O92-P92-Q92-R92-S92-T92)</f>
      </c>
      <c r="W92" s="3">
        <f>IF($K92="","",(V92-AC92)/J92*100)</f>
      </c>
      <c r="X92" s="3">
        <f>IF($K92="","",M92-U92)</f>
      </c>
      <c r="AD92" s="3">
        <f>IF($K92="","",V92-AC92)</f>
      </c>
    </row>
    <row r="93" spans="1:30" x14ac:dyDescent="0.25">
      <c r="A93" s="1"/>
      <c r="D93" s="2"/>
      <c r="J93" s="3"/>
      <c r="K93" s="3"/>
      <c r="L93" s="3">
        <f>IF($K93="","",K93-J93)</f>
      </c>
      <c r="M93" s="3">
        <f>IF($K93="","",L93*16.67%)</f>
      </c>
      <c r="N93" s="3">
        <f>IF($K93="","",K93/100*7)</f>
      </c>
      <c r="O93" s="3">
        <f>IF($K93="","",N93*20%)</f>
      </c>
      <c r="P93" s="3">
        <f>IF($K93="","",N93*2%)</f>
      </c>
      <c r="Q93" s="3">
        <f>IF($K93="","",P93*20%)</f>
      </c>
      <c r="R93" s="3"/>
      <c r="S93" s="3">
        <f>IF($K93="","",R93*20%)</f>
      </c>
      <c r="T93" s="3">
        <v>1</v>
      </c>
      <c r="U93" s="3">
        <f>IF($K93="","",O93+Q93+S93)</f>
      </c>
      <c r="V93" s="3">
        <f>IF($K93="","",L93-M93-N93-O93-P93-Q93-R93-S93-T93)</f>
      </c>
      <c r="W93" s="3">
        <f>IF($K93="","",(V93-AC93)/J93*100)</f>
      </c>
      <c r="X93" s="3">
        <f>IF($K93="","",M93-U93)</f>
      </c>
      <c r="AD93" s="3">
        <f>IF($K93="","",V93-AC93)</f>
      </c>
    </row>
    <row r="94" spans="1:30" x14ac:dyDescent="0.25">
      <c r="A94" s="1"/>
      <c r="D94" s="2"/>
      <c r="J94" s="3"/>
      <c r="K94" s="3"/>
      <c r="L94" s="3">
        <f>IF($K94="","",K94-J94)</f>
      </c>
      <c r="M94" s="3">
        <f>IF($K94="","",L94*16.67%)</f>
      </c>
      <c r="N94" s="3">
        <f>IF($K94="","",K94/100*7)</f>
      </c>
      <c r="O94" s="3">
        <f>IF($K94="","",N94*20%)</f>
      </c>
      <c r="P94" s="3">
        <f>IF($K94="","",N94*2%)</f>
      </c>
      <c r="Q94" s="3">
        <f>IF($K94="","",P94*20%)</f>
      </c>
      <c r="R94" s="3"/>
      <c r="S94" s="3">
        <f>IF($K94="","",R94*20%)</f>
      </c>
      <c r="T94" s="3">
        <v>1</v>
      </c>
      <c r="U94" s="3">
        <f>IF($K94="","",O94+Q94+S94)</f>
      </c>
      <c r="V94" s="3">
        <f>IF($K94="","",L94-M94-N94-O94-P94-Q94-R94-S94-T94)</f>
      </c>
      <c r="W94" s="3">
        <f>IF($K94="","",(V94-AC94)/J94*100)</f>
      </c>
      <c r="X94" s="3">
        <f>IF($K94="","",M94-U94)</f>
      </c>
      <c r="AD94" s="3">
        <f>IF($K94="","",V94-AC94)</f>
      </c>
    </row>
    <row r="95" spans="1:30" x14ac:dyDescent="0.25">
      <c r="A95" s="1"/>
      <c r="D95" s="2"/>
      <c r="J95" s="3"/>
      <c r="K95" s="3"/>
      <c r="L95" s="3">
        <f>IF($K95="","",K95-J95)</f>
      </c>
      <c r="M95" s="3">
        <f>IF($K95="","",L95*16.67%)</f>
      </c>
      <c r="N95" s="3">
        <f>IF($K95="","",K95/100*7)</f>
      </c>
      <c r="O95" s="3">
        <f>IF($K95="","",N95*20%)</f>
      </c>
      <c r="P95" s="3">
        <f>IF($K95="","",N95*2%)</f>
      </c>
      <c r="Q95" s="3">
        <f>IF($K95="","",P95*20%)</f>
      </c>
      <c r="R95" s="3"/>
      <c r="S95" s="3">
        <f>IF($K95="","",R95*20%)</f>
      </c>
      <c r="T95" s="3">
        <v>1</v>
      </c>
      <c r="U95" s="3">
        <f>IF($K95="","",O95+Q95+S95)</f>
      </c>
      <c r="V95" s="3">
        <f>IF($K95="","",L95-M95-N95-O95-P95-Q95-R95-S95-T95)</f>
      </c>
      <c r="W95" s="3">
        <f>IF($K95="","",(V95-AC95)/J95*100)</f>
      </c>
      <c r="X95" s="3">
        <f>IF($K95="","",M95-U95)</f>
      </c>
      <c r="AD95" s="3">
        <f>IF($K95="","",V95-AC95)</f>
      </c>
    </row>
    <row r="96" spans="1:30" x14ac:dyDescent="0.25">
      <c r="A96" s="1"/>
      <c r="D96" s="2"/>
      <c r="J96" s="3"/>
      <c r="K96" s="3"/>
      <c r="L96" s="3">
        <f>IF($K96="","",K96-J96)</f>
      </c>
      <c r="M96" s="3">
        <f>IF($K96="","",L96*16.67%)</f>
      </c>
      <c r="N96" s="3">
        <f>IF($K96="","",K96/100*7)</f>
      </c>
      <c r="O96" s="3">
        <f>IF($K96="","",N96*20%)</f>
      </c>
      <c r="P96" s="3">
        <f>IF($K96="","",N96*2%)</f>
      </c>
      <c r="Q96" s="3">
        <f>IF($K96="","",P96*20%)</f>
      </c>
      <c r="R96" s="3"/>
      <c r="S96" s="3">
        <f>IF($K96="","",R96*20%)</f>
      </c>
      <c r="T96" s="3">
        <v>1</v>
      </c>
      <c r="U96" s="3">
        <f>IF($K96="","",O96+Q96+S96)</f>
      </c>
      <c r="V96" s="3">
        <f>IF($K96="","",L96-M96-N96-O96-P96-Q96-R96-S96-T96)</f>
      </c>
      <c r="W96" s="3">
        <f>IF($K96="","",(V96-AC96)/J96*100)</f>
      </c>
      <c r="X96" s="3">
        <f>IF($K96="","",M96-U96)</f>
      </c>
      <c r="AD96" s="3">
        <f>IF($K96="","",V96-AC96)</f>
      </c>
    </row>
    <row r="97" spans="1:30" x14ac:dyDescent="0.25">
      <c r="A97" s="1"/>
      <c r="D97" s="2"/>
      <c r="J97" s="3"/>
      <c r="K97" s="3"/>
      <c r="L97" s="3">
        <f>IF($K97="","",K97-J97)</f>
      </c>
      <c r="M97" s="3">
        <f>IF($K97="","",L97*16.67%)</f>
      </c>
      <c r="N97" s="3">
        <f>IF($K97="","",K97/100*7)</f>
      </c>
      <c r="O97" s="3">
        <f>IF($K97="","",N97*20%)</f>
      </c>
      <c r="P97" s="3">
        <f>IF($K97="","",N97*2%)</f>
      </c>
      <c r="Q97" s="3">
        <f>IF($K97="","",P97*20%)</f>
      </c>
      <c r="R97" s="3"/>
      <c r="S97" s="3">
        <f>IF($K97="","",R97*20%)</f>
      </c>
      <c r="T97" s="3">
        <v>1</v>
      </c>
      <c r="U97" s="3">
        <f>IF($K97="","",O97+Q97+S97)</f>
      </c>
      <c r="V97" s="3">
        <f>IF($K97="","",L97-M97-N97-O97-P97-Q97-R97-S97-T97)</f>
      </c>
      <c r="W97" s="3">
        <f>IF($K97="","",(V97-AC97)/J97*100)</f>
      </c>
      <c r="X97" s="3">
        <f>IF($K97="","",M97-U97)</f>
      </c>
      <c r="AD97" s="3">
        <f>IF($K97="","",V97-AC97)</f>
      </c>
    </row>
    <row r="98" spans="1:30" x14ac:dyDescent="0.25">
      <c r="A98" s="1"/>
      <c r="D98" s="2"/>
      <c r="J98" s="3"/>
      <c r="K98" s="3"/>
      <c r="L98" s="3">
        <f>IF($K98="","",K98-J98)</f>
      </c>
      <c r="M98" s="3">
        <f>IF($K98="","",L98*16.67%)</f>
      </c>
      <c r="N98" s="3">
        <f>IF($K98="","",K98/100*7)</f>
      </c>
      <c r="O98" s="3">
        <f>IF($K98="","",N98*20%)</f>
      </c>
      <c r="P98" s="3">
        <f>IF($K98="","",N98*2%)</f>
      </c>
      <c r="Q98" s="3">
        <f>IF($K98="","",P98*20%)</f>
      </c>
      <c r="R98" s="3"/>
      <c r="S98" s="3">
        <f>IF($K98="","",R98*20%)</f>
      </c>
      <c r="T98" s="3">
        <v>1</v>
      </c>
      <c r="U98" s="3">
        <f>IF($K98="","",O98+Q98+S98)</f>
      </c>
      <c r="V98" s="3">
        <f>IF($K98="","",L98-M98-N98-O98-P98-Q98-R98-S98-T98)</f>
      </c>
      <c r="W98" s="3">
        <f>IF($K98="","",(V98-AC98)/J98*100)</f>
      </c>
      <c r="X98" s="3">
        <f>IF($K98="","",M98-U98)</f>
      </c>
      <c r="AD98" s="3">
        <f>IF($K98="","",V98-AC98)</f>
      </c>
    </row>
    <row r="99" spans="1:30" x14ac:dyDescent="0.25">
      <c r="A99" s="1"/>
      <c r="D99" s="2"/>
      <c r="J99" s="3"/>
      <c r="K99" s="3"/>
      <c r="L99" s="3">
        <f>IF($K99="","",K99-J99)</f>
      </c>
      <c r="M99" s="3">
        <f>IF($K99="","",L99*16.67%)</f>
      </c>
      <c r="N99" s="3">
        <f>IF($K99="","",K99/100*7)</f>
      </c>
      <c r="O99" s="3">
        <f>IF($K99="","",N99*20%)</f>
      </c>
      <c r="P99" s="3">
        <f>IF($K99="","",N99*2%)</f>
      </c>
      <c r="Q99" s="3">
        <f>IF($K99="","",P99*20%)</f>
      </c>
      <c r="R99" s="3"/>
      <c r="S99" s="3">
        <f>IF($K99="","",R99*20%)</f>
      </c>
      <c r="T99" s="3">
        <v>1</v>
      </c>
      <c r="U99" s="3">
        <f>IF($K99="","",O99+Q99+S99)</f>
      </c>
      <c r="V99" s="3">
        <f>IF($K99="","",L99-M99-N99-O99-P99-Q99-R99-S99-T99)</f>
      </c>
      <c r="W99" s="3">
        <f>IF($K99="","",(V99-AC99)/J99*100)</f>
      </c>
      <c r="X99" s="3">
        <f>IF($K99="","",M99-U99)</f>
      </c>
      <c r="AD99" s="3">
        <f>IF($K99="","",V99-AC99)</f>
      </c>
    </row>
    <row r="100" spans="1:30" x14ac:dyDescent="0.25">
      <c r="A100" s="1"/>
      <c r="D100" s="2"/>
      <c r="J100" s="3"/>
      <c r="K100" s="3"/>
      <c r="L100" s="3">
        <f>IF($K100="","",K100-J100)</f>
      </c>
      <c r="M100" s="3">
        <f>IF($K100="","",L100*16.67%)</f>
      </c>
      <c r="N100" s="3">
        <f>IF($K100="","",K100/100*7)</f>
      </c>
      <c r="O100" s="3">
        <f>IF($K100="","",N100*20%)</f>
      </c>
      <c r="P100" s="3">
        <f>IF($K100="","",N100*2%)</f>
      </c>
      <c r="Q100" s="3">
        <f>IF($K100="","",P100*20%)</f>
      </c>
      <c r="R100" s="3"/>
      <c r="S100" s="3">
        <f>IF($K100="","",R100*20%)</f>
      </c>
      <c r="T100" s="3">
        <v>1</v>
      </c>
      <c r="U100" s="3">
        <f>IF($K100="","",O100+Q100+S100)</f>
      </c>
      <c r="V100" s="3">
        <f>IF($K100="","",L100-M100-N100-O100-P100-Q100-R100-S100-T100)</f>
      </c>
      <c r="W100" s="3">
        <f>IF($K100="","",(V100-AC100)/J100*100)</f>
      </c>
      <c r="X100" s="3">
        <f>IF($K100="","",M100-U100)</f>
      </c>
      <c r="AD100" s="3">
        <f>IF($K100="","",V100-AC100)</f>
      </c>
    </row>
    <row r="101" spans="1:30" x14ac:dyDescent="0.25">
      <c r="A101" s="1"/>
      <c r="D101" s="2"/>
      <c r="J101" s="3"/>
      <c r="K101" s="3"/>
      <c r="L101" s="3">
        <f>IF($K101="","",K101-J101)</f>
      </c>
      <c r="M101" s="3">
        <f>IF($K101="","",L101*16.67%)</f>
      </c>
      <c r="N101" s="3">
        <f>IF($K101="","",K101/100*7)</f>
      </c>
      <c r="O101" s="3">
        <f>IF($K101="","",N101*20%)</f>
      </c>
      <c r="P101" s="3">
        <f>IF($K101="","",N101*2%)</f>
      </c>
      <c r="Q101" s="3">
        <f>IF($K101="","",P101*20%)</f>
      </c>
      <c r="R101" s="3"/>
      <c r="S101" s="3">
        <f>IF($K101="","",R101*20%)</f>
      </c>
      <c r="T101" s="3">
        <v>1</v>
      </c>
      <c r="U101" s="3">
        <f>IF($K101="","",O101+Q101+S101)</f>
      </c>
      <c r="V101" s="3">
        <f>IF($K101="","",L101-M101-N101-O101-P101-Q101-R101-S101-T101)</f>
      </c>
      <c r="W101" s="3">
        <f>IF($K101="","",(V101-AC101)/J101*100)</f>
      </c>
      <c r="X101" s="3">
        <f>IF($K101="","",M101-U101)</f>
      </c>
      <c r="AD101" s="3">
        <f>IF($K101="","",V101-AC101)</f>
      </c>
    </row>
    <row r="102" spans="1:30" x14ac:dyDescent="0.25">
      <c r="A102" s="1"/>
      <c r="D102" s="2"/>
      <c r="J102" s="3"/>
      <c r="K102" s="3"/>
      <c r="L102" s="3">
        <f>IF($K102="","",K102-J102)</f>
      </c>
      <c r="M102" s="3">
        <f>IF($K102="","",L102*16.67%)</f>
      </c>
      <c r="N102" s="3">
        <f>IF($K102="","",K102/100*7)</f>
      </c>
      <c r="O102" s="3">
        <f>IF($K102="","",N102*20%)</f>
      </c>
      <c r="P102" s="3">
        <f>IF($K102="","",N102*2%)</f>
      </c>
      <c r="Q102" s="3">
        <f>IF($K102="","",P102*20%)</f>
      </c>
      <c r="R102" s="3"/>
      <c r="S102" s="3">
        <f>IF($K102="","",R102*20%)</f>
      </c>
      <c r="T102" s="3">
        <v>1</v>
      </c>
      <c r="U102" s="3">
        <f>IF($K102="","",O102+Q102+S102)</f>
      </c>
      <c r="V102" s="3">
        <f>IF($K102="","",L102-M102-N102-O102-P102-Q102-R102-S102-T102)</f>
      </c>
      <c r="W102" s="3">
        <f>IF($K102="","",(V102-AC102)/J102*100)</f>
      </c>
      <c r="X102" s="3">
        <f>IF($K102="","",M102-U102)</f>
      </c>
      <c r="AD102" s="3">
        <f>IF($K102="","",V102-AC102)</f>
      </c>
    </row>
    <row r="103" spans="1:30" x14ac:dyDescent="0.25">
      <c r="A103" s="1"/>
      <c r="D103" s="2"/>
      <c r="J103" s="3"/>
      <c r="K103" s="3"/>
      <c r="L103" s="3">
        <f>IF($K103="","",K103-J103)</f>
      </c>
      <c r="M103" s="3">
        <f>IF($K103="","",L103*16.67%)</f>
      </c>
      <c r="N103" s="3">
        <f>IF($K103="","",K103/100*7)</f>
      </c>
      <c r="O103" s="3">
        <f>IF($K103="","",N103*20%)</f>
      </c>
      <c r="P103" s="3">
        <f>IF($K103="","",N103*2%)</f>
      </c>
      <c r="Q103" s="3">
        <f>IF($K103="","",P103*20%)</f>
      </c>
      <c r="R103" s="3"/>
      <c r="S103" s="3">
        <f>IF($K103="","",R103*20%)</f>
      </c>
      <c r="T103" s="3">
        <v>1</v>
      </c>
      <c r="U103" s="3">
        <f>IF($K103="","",O103+Q103+S103)</f>
      </c>
      <c r="V103" s="3">
        <f>IF($K103="","",L103-M103-N103-O103-P103-Q103-R103-S103-T103)</f>
      </c>
      <c r="W103" s="3">
        <f>IF($K103="","",(V103-AC103)/J103*100)</f>
      </c>
      <c r="X103" s="3">
        <f>IF($K103="","",M103-U103)</f>
      </c>
      <c r="AD103" s="3">
        <f>IF($K103="","",V103-AC103)</f>
      </c>
    </row>
    <row r="104" spans="1:30" x14ac:dyDescent="0.25">
      <c r="A104" s="1"/>
      <c r="D104" s="2"/>
      <c r="J104" s="3"/>
      <c r="K104" s="3"/>
      <c r="L104" s="3">
        <f>IF($K104="","",K104-J104)</f>
      </c>
      <c r="M104" s="3">
        <f>IF($K104="","",L104*16.67%)</f>
      </c>
      <c r="N104" s="3">
        <f>IF($K104="","",K104/100*7)</f>
      </c>
      <c r="O104" s="3">
        <f>IF($K104="","",N104*20%)</f>
      </c>
      <c r="P104" s="3">
        <f>IF($K104="","",N104*2%)</f>
      </c>
      <c r="Q104" s="3">
        <f>IF($K104="","",P104*20%)</f>
      </c>
      <c r="R104" s="3"/>
      <c r="S104" s="3">
        <f>IF($K104="","",R104*20%)</f>
      </c>
      <c r="T104" s="3">
        <v>1</v>
      </c>
      <c r="U104" s="3">
        <f>IF($K104="","",O104+Q104+S104)</f>
      </c>
      <c r="V104" s="3">
        <f>IF($K104="","",L104-M104-N104-O104-P104-Q104-R104-S104-T104)</f>
      </c>
      <c r="W104" s="3">
        <f>IF($K104="","",(V104-AC104)/J104*100)</f>
      </c>
      <c r="X104" s="3">
        <f>IF($K104="","",M104-U104)</f>
      </c>
      <c r="AD104" s="3">
        <f>IF($K104="","",V104-AC104)</f>
      </c>
    </row>
    <row r="105" spans="1:30" x14ac:dyDescent="0.25">
      <c r="A105" s="1"/>
      <c r="D105" s="2"/>
      <c r="J105" s="3"/>
      <c r="K105" s="3"/>
      <c r="L105" s="3">
        <f>IF($K105="","",K105-J105)</f>
      </c>
      <c r="M105" s="3">
        <f>IF($K105="","",L105*16.67%)</f>
      </c>
      <c r="N105" s="3">
        <f>IF($K105="","",K105/100*7)</f>
      </c>
      <c r="O105" s="3">
        <f>IF($K105="","",N105*20%)</f>
      </c>
      <c r="P105" s="3">
        <f>IF($K105="","",N105*2%)</f>
      </c>
      <c r="Q105" s="3">
        <f>IF($K105="","",P105*20%)</f>
      </c>
      <c r="R105" s="3"/>
      <c r="S105" s="3">
        <f>IF($K105="","",R105*20%)</f>
      </c>
      <c r="T105" s="3">
        <v>1</v>
      </c>
      <c r="U105" s="3">
        <f>IF($K105="","",O105+Q105+S105)</f>
      </c>
      <c r="V105" s="3">
        <f>IF($K105="","",L105-M105-N105-O105-P105-Q105-R105-S105-T105)</f>
      </c>
      <c r="W105" s="3">
        <f>IF($K105="","",(V105-AC105)/J105*100)</f>
      </c>
      <c r="X105" s="3">
        <f>IF($K105="","",M105-U105)</f>
      </c>
      <c r="AD105" s="3">
        <f>IF($K105="","",V105-AC105)</f>
      </c>
    </row>
    <row r="106" spans="1:30" x14ac:dyDescent="0.25">
      <c r="A106" s="1"/>
      <c r="D106" s="2"/>
      <c r="J106" s="3"/>
      <c r="K106" s="3"/>
      <c r="L106" s="3">
        <f>IF($K106="","",K106-J106)</f>
      </c>
      <c r="M106" s="3">
        <f>IF($K106="","",L106*16.67%)</f>
      </c>
      <c r="N106" s="3">
        <f>IF($K106="","",K106/100*7)</f>
      </c>
      <c r="O106" s="3">
        <f>IF($K106="","",N106*20%)</f>
      </c>
      <c r="P106" s="3">
        <f>IF($K106="","",N106*2%)</f>
      </c>
      <c r="Q106" s="3">
        <f>IF($K106="","",P106*20%)</f>
      </c>
      <c r="R106" s="3"/>
      <c r="S106" s="3">
        <f>IF($K106="","",R106*20%)</f>
      </c>
      <c r="T106" s="3">
        <v>1</v>
      </c>
      <c r="U106" s="3">
        <f>IF($K106="","",O106+Q106+S106)</f>
      </c>
      <c r="V106" s="3">
        <f>IF($K106="","",L106-M106-N106-O106-P106-Q106-R106-S106-T106)</f>
      </c>
      <c r="W106" s="3">
        <f>IF($K106="","",(V106-AC106)/J106*100)</f>
      </c>
      <c r="X106" s="3">
        <f>IF($K106="","",M106-U106)</f>
      </c>
      <c r="AD106" s="3">
        <f>IF($K106="","",V106-AC106)</f>
      </c>
    </row>
    <row r="107" spans="1:30" x14ac:dyDescent="0.25">
      <c r="A107" s="1"/>
      <c r="D107" s="2"/>
      <c r="J107" s="3"/>
      <c r="K107" s="3"/>
      <c r="L107" s="3">
        <f>IF($K107="","",K107-J107)</f>
      </c>
      <c r="M107" s="3">
        <f>IF($K107="","",L107*16.67%)</f>
      </c>
      <c r="N107" s="3">
        <f>IF($K107="","",K107/100*7)</f>
      </c>
      <c r="O107" s="3">
        <f>IF($K107="","",N107*20%)</f>
      </c>
      <c r="P107" s="3">
        <f>IF($K107="","",N107*2%)</f>
      </c>
      <c r="Q107" s="3">
        <f>IF($K107="","",P107*20%)</f>
      </c>
      <c r="R107" s="3"/>
      <c r="S107" s="3">
        <f>IF($K107="","",R107*20%)</f>
      </c>
      <c r="T107" s="3">
        <v>1</v>
      </c>
      <c r="U107" s="3">
        <f>IF($K107="","",O107+Q107+S107)</f>
      </c>
      <c r="V107" s="3">
        <f>IF($K107="","",L107-M107-N107-O107-P107-Q107-R107-S107-T107)</f>
      </c>
      <c r="W107" s="3">
        <f>IF($K107="","",(V107-AC107)/J107*100)</f>
      </c>
      <c r="X107" s="3">
        <f>IF($K107="","",M107-U107)</f>
      </c>
      <c r="AD107" s="3">
        <f>IF($K107="","",V107-AC107)</f>
      </c>
    </row>
    <row r="108" spans="1:30" x14ac:dyDescent="0.25">
      <c r="A108" s="1"/>
      <c r="D108" s="2"/>
      <c r="J108" s="3"/>
      <c r="K108" s="3"/>
      <c r="L108" s="3">
        <f>IF($K108="","",K108-J108)</f>
      </c>
      <c r="M108" s="3">
        <f>IF($K108="","",L108*16.67%)</f>
      </c>
      <c r="N108" s="3">
        <f>IF($K108="","",K108/100*7)</f>
      </c>
      <c r="O108" s="3">
        <f>IF($K108="","",N108*20%)</f>
      </c>
      <c r="P108" s="3">
        <f>IF($K108="","",N108*2%)</f>
      </c>
      <c r="Q108" s="3">
        <f>IF($K108="","",P108*20%)</f>
      </c>
      <c r="R108" s="3"/>
      <c r="S108" s="3">
        <f>IF($K108="","",R108*20%)</f>
      </c>
      <c r="T108" s="3">
        <v>1</v>
      </c>
      <c r="U108" s="3">
        <f>IF($K108="","",O108+Q108+S108)</f>
      </c>
      <c r="V108" s="3">
        <f>IF($K108="","",L108-M108-N108-O108-P108-Q108-R108-S108-T108)</f>
      </c>
      <c r="W108" s="3">
        <f>IF($K108="","",(V108-AC108)/J108*100)</f>
      </c>
      <c r="X108" s="3">
        <f>IF($K108="","",M108-U108)</f>
      </c>
      <c r="AD108" s="3">
        <f>IF($K108="","",V108-AC108)</f>
      </c>
    </row>
    <row r="109" spans="1:30" x14ac:dyDescent="0.25">
      <c r="A109" s="1"/>
      <c r="D109" s="2"/>
      <c r="J109" s="3"/>
      <c r="K109" s="3"/>
      <c r="L109" s="3">
        <f>IF($K109="","",K109-J109)</f>
      </c>
      <c r="M109" s="3">
        <f>IF($K109="","",L109*16.67%)</f>
      </c>
      <c r="N109" s="3">
        <f>IF($K109="","",K109/100*7)</f>
      </c>
      <c r="O109" s="3">
        <f>IF($K109="","",N109*20%)</f>
      </c>
      <c r="P109" s="3">
        <f>IF($K109="","",N109*2%)</f>
      </c>
      <c r="Q109" s="3">
        <f>IF($K109="","",P109*20%)</f>
      </c>
      <c r="R109" s="3"/>
      <c r="S109" s="3">
        <f>IF($K109="","",R109*20%)</f>
      </c>
      <c r="T109" s="3">
        <v>1</v>
      </c>
      <c r="U109" s="3">
        <f>IF($K109="","",O109+Q109+S109)</f>
      </c>
      <c r="V109" s="3">
        <f>IF($K109="","",L109-M109-N109-O109-P109-Q109-R109-S109-T109)</f>
      </c>
      <c r="W109" s="3">
        <f>IF($K109="","",(V109-AC109)/J109*100)</f>
      </c>
      <c r="X109" s="3">
        <f>IF($K109="","",M109-U109)</f>
      </c>
      <c r="AD109" s="3">
        <f>IF($K109="","",V109-AC109)</f>
      </c>
    </row>
    <row r="110" spans="1:30" x14ac:dyDescent="0.25">
      <c r="A110" s="1"/>
      <c r="D110" s="2"/>
      <c r="J110" s="3"/>
      <c r="K110" s="3"/>
      <c r="L110" s="3">
        <f>IF($K110="","",K110-J110)</f>
      </c>
      <c r="M110" s="3">
        <f>IF($K110="","",L110*16.67%)</f>
      </c>
      <c r="N110" s="3">
        <f>IF($K110="","",K110/100*7)</f>
      </c>
      <c r="O110" s="3">
        <f>IF($K110="","",N110*20%)</f>
      </c>
      <c r="P110" s="3">
        <f>IF($K110="","",N110*2%)</f>
      </c>
      <c r="Q110" s="3">
        <f>IF($K110="","",P110*20%)</f>
      </c>
      <c r="R110" s="3"/>
      <c r="S110" s="3">
        <f>IF($K110="","",R110*20%)</f>
      </c>
      <c r="T110" s="3">
        <v>1</v>
      </c>
      <c r="U110" s="3">
        <f>IF($K110="","",O110+Q110+S110)</f>
      </c>
      <c r="V110" s="3">
        <f>IF($K110="","",L110-M110-N110-O110-P110-Q110-R110-S110-T110)</f>
      </c>
      <c r="W110" s="3">
        <f>IF($K110="","",(V110-AC110)/J110*100)</f>
      </c>
      <c r="X110" s="3">
        <f>IF($K110="","",M110-U110)</f>
      </c>
      <c r="AD110" s="3">
        <f>IF($K110="","",V110-AC110)</f>
      </c>
    </row>
    <row r="111" spans="1:30" x14ac:dyDescent="0.25">
      <c r="A111" s="1"/>
      <c r="D111" s="2"/>
      <c r="J111" s="3"/>
      <c r="K111" s="3"/>
      <c r="L111" s="3">
        <f>IF($K111="","",K111-J111)</f>
      </c>
      <c r="M111" s="3">
        <f>IF($K111="","",L111*16.67%)</f>
      </c>
      <c r="N111" s="3">
        <f>IF($K111="","",K111/100*7)</f>
      </c>
      <c r="O111" s="3">
        <f>IF($K111="","",N111*20%)</f>
      </c>
      <c r="P111" s="3">
        <f>IF($K111="","",N111*2%)</f>
      </c>
      <c r="Q111" s="3">
        <f>IF($K111="","",P111*20%)</f>
      </c>
      <c r="R111" s="3"/>
      <c r="S111" s="3">
        <f>IF($K111="","",R111*20%)</f>
      </c>
      <c r="T111" s="3">
        <v>1</v>
      </c>
      <c r="U111" s="3">
        <f>IF($K111="","",O111+Q111+S111)</f>
      </c>
      <c r="V111" s="3">
        <f>IF($K111="","",L111-M111-N111-O111-P111-Q111-R111-S111-T111)</f>
      </c>
      <c r="W111" s="3">
        <f>IF($K111="","",(V111-AC111)/J111*100)</f>
      </c>
      <c r="X111" s="3">
        <f>IF($K111="","",M111-U111)</f>
      </c>
      <c r="AD111" s="3">
        <f>IF($K111="","",V111-AC111)</f>
      </c>
    </row>
    <row r="112" spans="1:30" x14ac:dyDescent="0.25">
      <c r="A112" s="1"/>
      <c r="D112" s="2"/>
      <c r="J112" s="3"/>
      <c r="K112" s="3"/>
      <c r="L112" s="3">
        <f>IF($K112="","",K112-J112)</f>
      </c>
      <c r="M112" s="3">
        <f>IF($K112="","",L112*16.67%)</f>
      </c>
      <c r="N112" s="3">
        <f>IF($K112="","",K112/100*7)</f>
      </c>
      <c r="O112" s="3">
        <f>IF($K112="","",N112*20%)</f>
      </c>
      <c r="P112" s="3">
        <f>IF($K112="","",N112*2%)</f>
      </c>
      <c r="Q112" s="3">
        <f>IF($K112="","",P112*20%)</f>
      </c>
      <c r="R112" s="3"/>
      <c r="S112" s="3">
        <f>IF($K112="","",R112*20%)</f>
      </c>
      <c r="T112" s="3">
        <v>1</v>
      </c>
      <c r="U112" s="3">
        <f>IF($K112="","",O112+Q112+S112)</f>
      </c>
      <c r="V112" s="3">
        <f>IF($K112="","",L112-M112-N112-O112-P112-Q112-R112-S112-T112)</f>
      </c>
      <c r="W112" s="3">
        <f>IF($K112="","",(V112-AC112)/J112*100)</f>
      </c>
      <c r="X112" s="3">
        <f>IF($K112="","",M112-U112)</f>
      </c>
      <c r="AD112" s="3">
        <f>IF($K112="","",V112-AC112)</f>
      </c>
    </row>
    <row r="113" spans="1:30" x14ac:dyDescent="0.25">
      <c r="A113" s="1"/>
      <c r="D113" s="2"/>
      <c r="J113" s="3"/>
      <c r="K113" s="3"/>
      <c r="L113" s="3">
        <f>IF($K113="","",K113-J113)</f>
      </c>
      <c r="M113" s="3">
        <f>IF($K113="","",L113*16.67%)</f>
      </c>
      <c r="N113" s="3">
        <f>IF($K113="","",K113/100*7)</f>
      </c>
      <c r="O113" s="3">
        <f>IF($K113="","",N113*20%)</f>
      </c>
      <c r="P113" s="3">
        <f>IF($K113="","",N113*2%)</f>
      </c>
      <c r="Q113" s="3">
        <f>IF($K113="","",P113*20%)</f>
      </c>
      <c r="R113" s="3"/>
      <c r="S113" s="3">
        <f>IF($K113="","",R113*20%)</f>
      </c>
      <c r="T113" s="3">
        <v>1</v>
      </c>
      <c r="U113" s="3">
        <f>IF($K113="","",O113+Q113+S113)</f>
      </c>
      <c r="V113" s="3">
        <f>IF($K113="","",L113-M113-N113-O113-P113-Q113-R113-S113-T113)</f>
      </c>
      <c r="W113" s="3">
        <f>IF($K113="","",(V113-AC113)/J113*100)</f>
      </c>
      <c r="X113" s="3">
        <f>IF($K113="","",M113-U113)</f>
      </c>
      <c r="AD113" s="3">
        <f>IF($K113="","",V113-AC113)</f>
      </c>
    </row>
    <row r="114" spans="1:30" x14ac:dyDescent="0.25">
      <c r="A114" s="1"/>
      <c r="D114" s="2"/>
      <c r="J114" s="3"/>
      <c r="K114" s="3"/>
      <c r="L114" s="3">
        <f>IF($K114="","",K114-J114)</f>
      </c>
      <c r="M114" s="3">
        <f>IF($K114="","",L114*16.67%)</f>
      </c>
      <c r="N114" s="3">
        <f>IF($K114="","",K114/100*7)</f>
      </c>
      <c r="O114" s="3">
        <f>IF($K114="","",N114*20%)</f>
      </c>
      <c r="P114" s="3">
        <f>IF($K114="","",N114*2%)</f>
      </c>
      <c r="Q114" s="3">
        <f>IF($K114="","",P114*20%)</f>
      </c>
      <c r="R114" s="3"/>
      <c r="S114" s="3">
        <f>IF($K114="","",R114*20%)</f>
      </c>
      <c r="T114" s="3">
        <v>1</v>
      </c>
      <c r="U114" s="3">
        <f>IF($K114="","",O114+Q114+S114)</f>
      </c>
      <c r="V114" s="3">
        <f>IF($K114="","",L114-M114-N114-O114-P114-Q114-R114-S114-T114)</f>
      </c>
      <c r="W114" s="3">
        <f>IF($K114="","",(V114-AC114)/J114*100)</f>
      </c>
      <c r="X114" s="3">
        <f>IF($K114="","",M114-U114)</f>
      </c>
      <c r="AD114" s="3">
        <f>IF($K114="","",V114-AC114)</f>
      </c>
    </row>
    <row r="115" spans="1:30" x14ac:dyDescent="0.25">
      <c r="A115" s="1"/>
      <c r="D115" s="2"/>
      <c r="J115" s="3"/>
      <c r="K115" s="3"/>
      <c r="L115" s="3">
        <f>IF($K115="","",K115-J115)</f>
      </c>
      <c r="M115" s="3">
        <f>IF($K115="","",L115*16.67%)</f>
      </c>
      <c r="N115" s="3">
        <f>IF($K115="","",K115/100*7)</f>
      </c>
      <c r="O115" s="3">
        <f>IF($K115="","",N115*20%)</f>
      </c>
      <c r="P115" s="3">
        <f>IF($K115="","",N115*2%)</f>
      </c>
      <c r="Q115" s="3">
        <f>IF($K115="","",P115*20%)</f>
      </c>
      <c r="R115" s="3"/>
      <c r="S115" s="3">
        <f>IF($K115="","",R115*20%)</f>
      </c>
      <c r="T115" s="3">
        <v>1</v>
      </c>
      <c r="U115" s="3">
        <f>IF($K115="","",O115+Q115+S115)</f>
      </c>
      <c r="V115" s="3">
        <f>IF($K115="","",L115-M115-N115-O115-P115-Q115-R115-S115-T115)</f>
      </c>
      <c r="W115" s="3">
        <f>IF($K115="","",(V115-AC115)/J115*100)</f>
      </c>
      <c r="X115" s="3">
        <f>IF($K115="","",M115-U115)</f>
      </c>
      <c r="AD115" s="3">
        <f>IF($K115="","",V115-AC115)</f>
      </c>
    </row>
    <row r="116" spans="1:30" x14ac:dyDescent="0.25">
      <c r="A116" s="1"/>
      <c r="D116" s="2"/>
      <c r="J116" s="3"/>
      <c r="K116" s="3"/>
      <c r="L116" s="3">
        <f>IF($K116="","",K116-J116)</f>
      </c>
      <c r="M116" s="3">
        <f>IF($K116="","",L116*16.67%)</f>
      </c>
      <c r="N116" s="3">
        <f>IF($K116="","",K116/100*7)</f>
      </c>
      <c r="O116" s="3">
        <f>IF($K116="","",N116*20%)</f>
      </c>
      <c r="P116" s="3">
        <f>IF($K116="","",N116*2%)</f>
      </c>
      <c r="Q116" s="3">
        <f>IF($K116="","",P116*20%)</f>
      </c>
      <c r="R116" s="3"/>
      <c r="S116" s="3">
        <f>IF($K116="","",R116*20%)</f>
      </c>
      <c r="T116" s="3">
        <v>1</v>
      </c>
      <c r="U116" s="3">
        <f>IF($K116="","",O116+Q116+S116)</f>
      </c>
      <c r="V116" s="3">
        <f>IF($K116="","",L116-M116-N116-O116-P116-Q116-R116-S116-T116)</f>
      </c>
      <c r="W116" s="3">
        <f>IF($K116="","",(V116-AC116)/J116*100)</f>
      </c>
      <c r="X116" s="3">
        <f>IF($K116="","",M116-U116)</f>
      </c>
      <c r="AD116" s="3">
        <f>IF($K116="","",V116-AC116)</f>
      </c>
    </row>
    <row r="117" spans="1:30" x14ac:dyDescent="0.25">
      <c r="A117" s="1"/>
      <c r="D117" s="2"/>
      <c r="J117" s="3"/>
      <c r="K117" s="3"/>
      <c r="L117" s="3">
        <f>IF($K117="","",K117-J117)</f>
      </c>
      <c r="M117" s="3">
        <f>IF($K117="","",L117*16.67%)</f>
      </c>
      <c r="N117" s="3">
        <f>IF($K117="","",K117/100*7)</f>
      </c>
      <c r="O117" s="3">
        <f>IF($K117="","",N117*20%)</f>
      </c>
      <c r="P117" s="3">
        <f>IF($K117="","",N117*2%)</f>
      </c>
      <c r="Q117" s="3">
        <f>IF($K117="","",P117*20%)</f>
      </c>
      <c r="R117" s="3"/>
      <c r="S117" s="3">
        <f>IF($K117="","",R117*20%)</f>
      </c>
      <c r="T117" s="3">
        <v>1</v>
      </c>
      <c r="U117" s="3">
        <f>IF($K117="","",O117+Q117+S117)</f>
      </c>
      <c r="V117" s="3">
        <f>IF($K117="","",L117-M117-N117-O117-P117-Q117-R117-S117-T117)</f>
      </c>
      <c r="W117" s="3">
        <f>IF($K117="","",(V117-AC117)/J117*100)</f>
      </c>
      <c r="X117" s="3">
        <f>IF($K117="","",M117-U117)</f>
      </c>
      <c r="AD117" s="3">
        <f>IF($K117="","",V117-AC117)</f>
      </c>
    </row>
    <row r="118" spans="1:30" x14ac:dyDescent="0.25">
      <c r="A118" s="1"/>
      <c r="D118" s="2"/>
      <c r="J118" s="3"/>
      <c r="K118" s="3"/>
      <c r="L118" s="3">
        <f>IF($K118="","",K118-J118)</f>
      </c>
      <c r="M118" s="3">
        <f>IF($K118="","",L118*16.67%)</f>
      </c>
      <c r="N118" s="3">
        <f>IF($K118="","",K118/100*7)</f>
      </c>
      <c r="O118" s="3">
        <f>IF($K118="","",N118*20%)</f>
      </c>
      <c r="P118" s="3">
        <f>IF($K118="","",N118*2%)</f>
      </c>
      <c r="Q118" s="3">
        <f>IF($K118="","",P118*20%)</f>
      </c>
      <c r="R118" s="3"/>
      <c r="S118" s="3">
        <f>IF($K118="","",R118*20%)</f>
      </c>
      <c r="T118" s="3">
        <v>1</v>
      </c>
      <c r="U118" s="3">
        <f>IF($K118="","",O118+Q118+S118)</f>
      </c>
      <c r="V118" s="3">
        <f>IF($K118="","",L118-M118-N118-O118-P118-Q118-R118-S118-T118)</f>
      </c>
      <c r="W118" s="3">
        <f>IF($K118="","",(V118-AC118)/J118*100)</f>
      </c>
      <c r="X118" s="3">
        <f>IF($K118="","",M118-U118)</f>
      </c>
      <c r="AD118" s="3">
        <f>IF($K118="","",V118-AC118)</f>
      </c>
    </row>
    <row r="119" spans="1:30" x14ac:dyDescent="0.25">
      <c r="A119" s="1"/>
      <c r="D119" s="2"/>
      <c r="J119" s="3"/>
      <c r="K119" s="3"/>
      <c r="L119" s="3">
        <f>IF($K119="","",K119-J119)</f>
      </c>
      <c r="M119" s="3">
        <f>IF($K119="","",L119*16.67%)</f>
      </c>
      <c r="N119" s="3">
        <f>IF($K119="","",K119/100*7)</f>
      </c>
      <c r="O119" s="3">
        <f>IF($K119="","",N119*20%)</f>
      </c>
      <c r="P119" s="3">
        <f>IF($K119="","",N119*2%)</f>
      </c>
      <c r="Q119" s="3">
        <f>IF($K119="","",P119*20%)</f>
      </c>
      <c r="R119" s="3"/>
      <c r="S119" s="3">
        <f>IF($K119="","",R119*20%)</f>
      </c>
      <c r="T119" s="3">
        <v>1</v>
      </c>
      <c r="U119" s="3">
        <f>IF($K119="","",O119+Q119+S119)</f>
      </c>
      <c r="V119" s="3">
        <f>IF($K119="","",L119-M119-N119-O119-P119-Q119-R119-S119-T119)</f>
      </c>
      <c r="W119" s="3">
        <f>IF($K119="","",(V119-AC119)/J119*100)</f>
      </c>
      <c r="X119" s="3">
        <f>IF($K119="","",M119-U119)</f>
      </c>
      <c r="AD119" s="3">
        <f>IF($K119="","",V119-AC119)</f>
      </c>
    </row>
    <row r="120" spans="1:30" x14ac:dyDescent="0.25">
      <c r="A120" s="1"/>
      <c r="D120" s="2"/>
      <c r="J120" s="3"/>
      <c r="K120" s="3"/>
      <c r="L120" s="3">
        <f>IF($K120="","",K120-J120)</f>
      </c>
      <c r="M120" s="3">
        <f>IF($K120="","",L120*16.67%)</f>
      </c>
      <c r="N120" s="3">
        <f>IF($K120="","",K120/100*7)</f>
      </c>
      <c r="O120" s="3">
        <f>IF($K120="","",N120*20%)</f>
      </c>
      <c r="P120" s="3">
        <f>IF($K120="","",N120*2%)</f>
      </c>
      <c r="Q120" s="3">
        <f>IF($K120="","",P120*20%)</f>
      </c>
      <c r="R120" s="3"/>
      <c r="S120" s="3">
        <f>IF($K120="","",R120*20%)</f>
      </c>
      <c r="T120" s="3">
        <v>1</v>
      </c>
      <c r="U120" s="3">
        <f>IF($K120="","",O120+Q120+S120)</f>
      </c>
      <c r="V120" s="3">
        <f>IF($K120="","",L120-M120-N120-O120-P120-Q120-R120-S120-T120)</f>
      </c>
      <c r="W120" s="3">
        <f>IF($K120="","",(V120-AC120)/J120*100)</f>
      </c>
      <c r="X120" s="3">
        <f>IF($K120="","",M120-U120)</f>
      </c>
      <c r="AD120" s="3">
        <f>IF($K120="","",V120-AC120)</f>
      </c>
    </row>
    <row r="121" spans="1:30" x14ac:dyDescent="0.25">
      <c r="A121" s="1"/>
      <c r="D121" s="2"/>
      <c r="J121" s="3"/>
      <c r="K121" s="3"/>
      <c r="L121" s="3">
        <f>IF($K121="","",K121-J121)</f>
      </c>
      <c r="M121" s="3">
        <f>IF($K121="","",L121*16.67%)</f>
      </c>
      <c r="N121" s="3">
        <f>IF($K121="","",K121/100*7)</f>
      </c>
      <c r="O121" s="3">
        <f>IF($K121="","",N121*20%)</f>
      </c>
      <c r="P121" s="3">
        <f>IF($K121="","",N121*2%)</f>
      </c>
      <c r="Q121" s="3">
        <f>IF($K121="","",P121*20%)</f>
      </c>
      <c r="R121" s="3"/>
      <c r="S121" s="3">
        <f>IF($K121="","",R121*20%)</f>
      </c>
      <c r="T121" s="3">
        <v>1</v>
      </c>
      <c r="U121" s="3">
        <f>IF($K121="","",O121+Q121+S121)</f>
      </c>
      <c r="V121" s="3">
        <f>IF($K121="","",L121-M121-N121-O121-P121-Q121-R121-S121-T121)</f>
      </c>
      <c r="W121" s="3">
        <f>IF($K121="","",(V121-AC121)/J121*100)</f>
      </c>
      <c r="X121" s="3">
        <f>IF($K121="","",M121-U121)</f>
      </c>
      <c r="AD121" s="3">
        <f>IF($K121="","",V121-AC121)</f>
      </c>
    </row>
    <row r="122" spans="1:30" x14ac:dyDescent="0.25">
      <c r="A122" s="1"/>
      <c r="D122" s="2"/>
      <c r="J122" s="3"/>
      <c r="K122" s="3"/>
      <c r="L122" s="3">
        <f>IF($K122="","",K122-J122)</f>
      </c>
      <c r="M122" s="3">
        <f>IF($K122="","",L122*16.67%)</f>
      </c>
      <c r="N122" s="3">
        <f>IF($K122="","",K122/100*7)</f>
      </c>
      <c r="O122" s="3">
        <f>IF($K122="","",N122*20%)</f>
      </c>
      <c r="P122" s="3">
        <f>IF($K122="","",N122*2%)</f>
      </c>
      <c r="Q122" s="3">
        <f>IF($K122="","",P122*20%)</f>
      </c>
      <c r="R122" s="3"/>
      <c r="S122" s="3">
        <f>IF($K122="","",R122*20%)</f>
      </c>
      <c r="T122" s="3">
        <v>1</v>
      </c>
      <c r="U122" s="3">
        <f>IF($K122="","",O122+Q122+S122)</f>
      </c>
      <c r="V122" s="3">
        <f>IF($K122="","",L122-M122-N122-O122-P122-Q122-R122-S122-T122)</f>
      </c>
      <c r="W122" s="3">
        <f>IF($K122="","",(V122-AC122)/J122*100)</f>
      </c>
      <c r="X122" s="3">
        <f>IF($K122="","",M122-U122)</f>
      </c>
      <c r="AD122" s="3">
        <f>IF($K122="","",V122-AC122)</f>
      </c>
    </row>
    <row r="123" spans="1:30" x14ac:dyDescent="0.25">
      <c r="A123" s="1"/>
      <c r="D123" s="2"/>
      <c r="J123" s="3"/>
      <c r="K123" s="3"/>
      <c r="L123" s="3">
        <f>IF($K123="","",K123-J123)</f>
      </c>
      <c r="M123" s="3">
        <f>IF($K123="","",L123*16.67%)</f>
      </c>
      <c r="N123" s="3">
        <f>IF($K123="","",K123/100*7)</f>
      </c>
      <c r="O123" s="3">
        <f>IF($K123="","",N123*20%)</f>
      </c>
      <c r="P123" s="3">
        <f>IF($K123="","",N123*2%)</f>
      </c>
      <c r="Q123" s="3">
        <f>IF($K123="","",P123*20%)</f>
      </c>
      <c r="R123" s="3"/>
      <c r="S123" s="3">
        <f>IF($K123="","",R123*20%)</f>
      </c>
      <c r="T123" s="3">
        <v>1</v>
      </c>
      <c r="U123" s="3">
        <f>IF($K123="","",O123+Q123+S123)</f>
      </c>
      <c r="V123" s="3">
        <f>IF($K123="","",L123-M123-N123-O123-P123-Q123-R123-S123-T123)</f>
      </c>
      <c r="W123" s="3">
        <f>IF($K123="","",(V123-AC123)/J123*100)</f>
      </c>
      <c r="X123" s="3">
        <f>IF($K123="","",M123-U123)</f>
      </c>
      <c r="AD123" s="3">
        <f>IF($K123="","",V123-AC123)</f>
      </c>
    </row>
    <row r="124" spans="1:30" x14ac:dyDescent="0.25">
      <c r="A124" s="1"/>
      <c r="D124" s="2"/>
      <c r="J124" s="3"/>
      <c r="K124" s="3"/>
      <c r="L124" s="3">
        <f>IF($K124="","",K124-J124)</f>
      </c>
      <c r="M124" s="3">
        <f>IF($K124="","",L124*16.67%)</f>
      </c>
      <c r="N124" s="3">
        <f>IF($K124="","",K124/100*7)</f>
      </c>
      <c r="O124" s="3">
        <f>IF($K124="","",N124*20%)</f>
      </c>
      <c r="P124" s="3">
        <f>IF($K124="","",N124*2%)</f>
      </c>
      <c r="Q124" s="3">
        <f>IF($K124="","",P124*20%)</f>
      </c>
      <c r="R124" s="3"/>
      <c r="S124" s="3">
        <f>IF($K124="","",R124*20%)</f>
      </c>
      <c r="T124" s="3">
        <v>1</v>
      </c>
      <c r="U124" s="3">
        <f>IF($K124="","",O124+Q124+S124)</f>
      </c>
      <c r="V124" s="3">
        <f>IF($K124="","",L124-M124-N124-O124-P124-Q124-R124-S124-T124)</f>
      </c>
      <c r="W124" s="3">
        <f>IF($K124="","",(V124-AC124)/J124*100)</f>
      </c>
      <c r="X124" s="3">
        <f>IF($K124="","",M124-U124)</f>
      </c>
      <c r="AD124" s="3">
        <f>IF($K124="","",V124-AC124)</f>
      </c>
    </row>
    <row r="125" spans="1:30" x14ac:dyDescent="0.25">
      <c r="A125" s="1"/>
      <c r="D125" s="2"/>
      <c r="J125" s="3"/>
      <c r="K125" s="3"/>
      <c r="L125" s="3">
        <f>IF($K125="","",K125-J125)</f>
      </c>
      <c r="M125" s="3">
        <f>IF($K125="","",L125*16.67%)</f>
      </c>
      <c r="N125" s="3">
        <f>IF($K125="","",K125/100*7)</f>
      </c>
      <c r="O125" s="3">
        <f>IF($K125="","",N125*20%)</f>
      </c>
      <c r="P125" s="3">
        <f>IF($K125="","",N125*2%)</f>
      </c>
      <c r="Q125" s="3">
        <f>IF($K125="","",P125*20%)</f>
      </c>
      <c r="R125" s="3"/>
      <c r="S125" s="3">
        <f>IF($K125="","",R125*20%)</f>
      </c>
      <c r="T125" s="3">
        <v>1</v>
      </c>
      <c r="U125" s="3">
        <f>IF($K125="","",O125+Q125+S125)</f>
      </c>
      <c r="V125" s="3">
        <f>IF($K125="","",L125-M125-N125-O125-P125-Q125-R125-S125-T125)</f>
      </c>
      <c r="W125" s="3">
        <f>IF($K125="","",(V125-AC125)/J125*100)</f>
      </c>
      <c r="X125" s="3">
        <f>IF($K125="","",M125-U125)</f>
      </c>
      <c r="AD125" s="3">
        <f>IF($K125="","",V125-AC125)</f>
      </c>
    </row>
    <row r="126" spans="1:30" x14ac:dyDescent="0.25">
      <c r="A126" s="1"/>
      <c r="D126" s="2"/>
      <c r="J126" s="3"/>
      <c r="K126" s="3"/>
      <c r="L126" s="3">
        <f>IF($K126="","",K126-J126)</f>
      </c>
      <c r="M126" s="3">
        <f>IF($K126="","",L126*16.67%)</f>
      </c>
      <c r="N126" s="3">
        <f>IF($K126="","",K126/100*7)</f>
      </c>
      <c r="O126" s="3">
        <f>IF($K126="","",N126*20%)</f>
      </c>
      <c r="P126" s="3">
        <f>IF($K126="","",N126*2%)</f>
      </c>
      <c r="Q126" s="3">
        <f>IF($K126="","",P126*20%)</f>
      </c>
      <c r="R126" s="3"/>
      <c r="S126" s="3">
        <f>IF($K126="","",R126*20%)</f>
      </c>
      <c r="T126" s="3">
        <v>1</v>
      </c>
      <c r="U126" s="3">
        <f>IF($K126="","",O126+Q126+S126)</f>
      </c>
      <c r="V126" s="3">
        <f>IF($K126="","",L126-M126-N126-O126-P126-Q126-R126-S126-T126)</f>
      </c>
      <c r="W126" s="3">
        <f>IF($K126="","",(V126-AC126)/J126*100)</f>
      </c>
      <c r="X126" s="3">
        <f>IF($K126="","",M126-U126)</f>
      </c>
      <c r="AD126" s="3">
        <f>IF($K126="","",V126-AC126)</f>
      </c>
    </row>
    <row r="127" spans="1:30" x14ac:dyDescent="0.25">
      <c r="A127" s="1"/>
      <c r="D127" s="2"/>
      <c r="J127" s="3"/>
      <c r="K127" s="3"/>
      <c r="L127" s="3">
        <f>IF($K127="","",K127-J127)</f>
      </c>
      <c r="M127" s="3">
        <f>IF($K127="","",L127*16.67%)</f>
      </c>
      <c r="N127" s="3">
        <f>IF($K127="","",K127/100*7)</f>
      </c>
      <c r="O127" s="3">
        <f>IF($K127="","",N127*20%)</f>
      </c>
      <c r="P127" s="3">
        <f>IF($K127="","",N127*2%)</f>
      </c>
      <c r="Q127" s="3">
        <f>IF($K127="","",P127*20%)</f>
      </c>
      <c r="R127" s="3"/>
      <c r="S127" s="3">
        <f>IF($K127="","",R127*20%)</f>
      </c>
      <c r="T127" s="3">
        <v>1</v>
      </c>
      <c r="U127" s="3">
        <f>IF($K127="","",O127+Q127+S127)</f>
      </c>
      <c r="V127" s="3">
        <f>IF($K127="","",L127-M127-N127-O127-P127-Q127-R127-S127-T127)</f>
      </c>
      <c r="W127" s="3">
        <f>IF($K127="","",(V127-AC127)/J127*100)</f>
      </c>
      <c r="X127" s="3">
        <f>IF($K127="","",M127-U127)</f>
      </c>
      <c r="AD127" s="3">
        <f>IF($K127="","",V127-AC127)</f>
      </c>
    </row>
    <row r="128" spans="1:30" x14ac:dyDescent="0.25">
      <c r="A128" s="1"/>
      <c r="D128" s="2"/>
      <c r="J128" s="3"/>
      <c r="K128" s="3"/>
      <c r="L128" s="3">
        <f>IF($K128="","",K128-J128)</f>
      </c>
      <c r="M128" s="3">
        <f>IF($K128="","",L128*16.67%)</f>
      </c>
      <c r="N128" s="3">
        <f>IF($K128="","",K128/100*7)</f>
      </c>
      <c r="O128" s="3">
        <f>IF($K128="","",N128*20%)</f>
      </c>
      <c r="P128" s="3">
        <f>IF($K128="","",N128*2%)</f>
      </c>
      <c r="Q128" s="3">
        <f>IF($K128="","",P128*20%)</f>
      </c>
      <c r="R128" s="3"/>
      <c r="S128" s="3">
        <f>IF($K128="","",R128*20%)</f>
      </c>
      <c r="T128" s="3">
        <v>1</v>
      </c>
      <c r="U128" s="3">
        <f>IF($K128="","",O128+Q128+S128)</f>
      </c>
      <c r="V128" s="3">
        <f>IF($K128="","",L128-M128-N128-O128-P128-Q128-R128-S128-T128)</f>
      </c>
      <c r="W128" s="3">
        <f>IF($K128="","",(V128-AC128)/J128*100)</f>
      </c>
      <c r="X128" s="3">
        <f>IF($K128="","",M128-U128)</f>
      </c>
      <c r="AD128" s="3">
        <f>IF($K128="","",V128-AC128)</f>
      </c>
    </row>
    <row r="129" spans="1:30" x14ac:dyDescent="0.25">
      <c r="A129" s="1"/>
      <c r="D129" s="2"/>
      <c r="J129" s="3"/>
      <c r="K129" s="3"/>
      <c r="L129" s="3">
        <f>IF($K129="","",K129-J129)</f>
      </c>
      <c r="M129" s="3">
        <f>IF($K129="","",L129*16.67%)</f>
      </c>
      <c r="N129" s="3">
        <f>IF($K129="","",K129/100*7)</f>
      </c>
      <c r="O129" s="3">
        <f>IF($K129="","",N129*20%)</f>
      </c>
      <c r="P129" s="3">
        <f>IF($K129="","",N129*2%)</f>
      </c>
      <c r="Q129" s="3">
        <f>IF($K129="","",P129*20%)</f>
      </c>
      <c r="R129" s="3"/>
      <c r="S129" s="3">
        <f>IF($K129="","",R129*20%)</f>
      </c>
      <c r="T129" s="3">
        <v>1</v>
      </c>
      <c r="U129" s="3">
        <f>IF($K129="","",O129+Q129+S129)</f>
      </c>
      <c r="V129" s="3">
        <f>IF($K129="","",L129-M129-N129-O129-P129-Q129-R129-S129-T129)</f>
      </c>
      <c r="W129" s="3">
        <f>IF($K129="","",(V129-AC129)/J129*100)</f>
      </c>
      <c r="X129" s="3">
        <f>IF($K129="","",M129-U129)</f>
      </c>
      <c r="AD129" s="3">
        <f>IF($K129="","",V129-AC129)</f>
      </c>
    </row>
    <row r="130" spans="1:30" x14ac:dyDescent="0.25">
      <c r="A130" s="1"/>
      <c r="D130" s="2"/>
      <c r="J130" s="3"/>
      <c r="K130" s="3"/>
      <c r="L130" s="3">
        <f>IF($K130="","",K130-J130)</f>
      </c>
      <c r="M130" s="3">
        <f>IF($K130="","",L130*16.67%)</f>
      </c>
      <c r="N130" s="3">
        <f>IF($K130="","",K130/100*7)</f>
      </c>
      <c r="O130" s="3">
        <f>IF($K130="","",N130*20%)</f>
      </c>
      <c r="P130" s="3">
        <f>IF($K130="","",N130*2%)</f>
      </c>
      <c r="Q130" s="3">
        <f>IF($K130="","",P130*20%)</f>
      </c>
      <c r="R130" s="3"/>
      <c r="S130" s="3">
        <f>IF($K130="","",R130*20%)</f>
      </c>
      <c r="T130" s="3">
        <v>1</v>
      </c>
      <c r="U130" s="3">
        <f>IF($K130="","",O130+Q130+S130)</f>
      </c>
      <c r="V130" s="3">
        <f>IF($K130="","",L130-M130-N130-O130-P130-Q130-R130-S130-T130)</f>
      </c>
      <c r="W130" s="3">
        <f>IF($K130="","",(V130-AC130)/J130*100)</f>
      </c>
      <c r="X130" s="3">
        <f>IF($K130="","",M130-U130)</f>
      </c>
      <c r="AD130" s="3">
        <f>IF($K130="","",V130-AC130)</f>
      </c>
    </row>
    <row r="131" spans="1:30" x14ac:dyDescent="0.25">
      <c r="A131" s="1"/>
      <c r="D131" s="2"/>
      <c r="J131" s="3"/>
      <c r="K131" s="3"/>
      <c r="L131" s="3">
        <f>IF($K131="","",K131-J131)</f>
      </c>
      <c r="M131" s="3">
        <f>IF($K131="","",L131*16.67%)</f>
      </c>
      <c r="N131" s="3">
        <f>IF($K131="","",K131/100*7)</f>
      </c>
      <c r="O131" s="3">
        <f>IF($K131="","",N131*20%)</f>
      </c>
      <c r="P131" s="3">
        <f>IF($K131="","",N131*2%)</f>
      </c>
      <c r="Q131" s="3">
        <f>IF($K131="","",P131*20%)</f>
      </c>
      <c r="R131" s="3"/>
      <c r="S131" s="3">
        <f>IF($K131="","",R131*20%)</f>
      </c>
      <c r="T131" s="3">
        <v>1</v>
      </c>
      <c r="U131" s="3">
        <f>IF($K131="","",O131+Q131+S131)</f>
      </c>
      <c r="V131" s="3">
        <f>IF($K131="","",L131-M131-N131-O131-P131-Q131-R131-S131-T131)</f>
      </c>
      <c r="W131" s="3">
        <f>IF($K131="","",(V131-AC131)/J131*100)</f>
      </c>
      <c r="X131" s="3">
        <f>IF($K131="","",M131-U131)</f>
      </c>
      <c r="AD131" s="3">
        <f>IF($K131="","",V131-AC131)</f>
      </c>
    </row>
    <row r="132" spans="1:30" x14ac:dyDescent="0.25">
      <c r="A132" s="1"/>
      <c r="D132" s="2"/>
      <c r="J132" s="3"/>
      <c r="K132" s="3"/>
      <c r="L132" s="3">
        <f>IF($K132="","",K132-J132)</f>
      </c>
      <c r="M132" s="3">
        <f>IF($K132="","",L132*16.67%)</f>
      </c>
      <c r="N132" s="3">
        <f>IF($K132="","",K132/100*7)</f>
      </c>
      <c r="O132" s="3">
        <f>IF($K132="","",N132*20%)</f>
      </c>
      <c r="P132" s="3">
        <f>IF($K132="","",N132*2%)</f>
      </c>
      <c r="Q132" s="3">
        <f>IF($K132="","",P132*20%)</f>
      </c>
      <c r="R132" s="3"/>
      <c r="S132" s="3">
        <f>IF($K132="","",R132*20%)</f>
      </c>
      <c r="T132" s="3">
        <v>1</v>
      </c>
      <c r="U132" s="3">
        <f>IF($K132="","",O132+Q132+S132)</f>
      </c>
      <c r="V132" s="3">
        <f>IF($K132="","",L132-M132-N132-O132-P132-Q132-R132-S132-T132)</f>
      </c>
      <c r="W132" s="3">
        <f>IF($K132="","",(V132-AC132)/J132*100)</f>
      </c>
      <c r="X132" s="3">
        <f>IF($K132="","",M132-U132)</f>
      </c>
      <c r="AD132" s="3">
        <f>IF($K132="","",V132-AC132)</f>
      </c>
    </row>
    <row r="133" spans="1:30" x14ac:dyDescent="0.25">
      <c r="A133" s="1"/>
      <c r="D133" s="2"/>
      <c r="J133" s="3"/>
      <c r="K133" s="3"/>
      <c r="L133" s="3">
        <f>IF($K133="","",K133-J133)</f>
      </c>
      <c r="M133" s="3">
        <f>IF($K133="","",L133*16.67%)</f>
      </c>
      <c r="N133" s="3">
        <f>IF($K133="","",K133/100*7)</f>
      </c>
      <c r="O133" s="3">
        <f>IF($K133="","",N133*20%)</f>
      </c>
      <c r="P133" s="3">
        <f>IF($K133="","",N133*2%)</f>
      </c>
      <c r="Q133" s="3">
        <f>IF($K133="","",P133*20%)</f>
      </c>
      <c r="R133" s="3"/>
      <c r="S133" s="3">
        <f>IF($K133="","",R133*20%)</f>
      </c>
      <c r="T133" s="3">
        <v>1</v>
      </c>
      <c r="U133" s="3">
        <f>IF($K133="","",O133+Q133+S133)</f>
      </c>
      <c r="V133" s="3">
        <f>IF($K133="","",L133-M133-N133-O133-P133-Q133-R133-S133-T133)</f>
      </c>
      <c r="W133" s="3">
        <f>IF($K133="","",(V133-AC133)/J133*100)</f>
      </c>
      <c r="X133" s="3">
        <f>IF($K133="","",M133-U133)</f>
      </c>
      <c r="AD133" s="3">
        <f>IF($K133="","",V133-AC133)</f>
      </c>
    </row>
    <row r="134" spans="1:30" x14ac:dyDescent="0.25">
      <c r="A134" s="1"/>
      <c r="D134" s="2"/>
      <c r="J134" s="3"/>
      <c r="K134" s="3"/>
      <c r="L134" s="3">
        <f>IF($K134="","",K134-J134)</f>
      </c>
      <c r="M134" s="3">
        <f>IF($K134="","",L134*16.67%)</f>
      </c>
      <c r="N134" s="3">
        <f>IF($K134="","",K134/100*7)</f>
      </c>
      <c r="O134" s="3">
        <f>IF($K134="","",N134*20%)</f>
      </c>
      <c r="P134" s="3">
        <f>IF($K134="","",N134*2%)</f>
      </c>
      <c r="Q134" s="3">
        <f>IF($K134="","",P134*20%)</f>
      </c>
      <c r="R134" s="3"/>
      <c r="S134" s="3">
        <f>IF($K134="","",R134*20%)</f>
      </c>
      <c r="T134" s="3">
        <v>1</v>
      </c>
      <c r="U134" s="3">
        <f>IF($K134="","",O134+Q134+S134)</f>
      </c>
      <c r="V134" s="3">
        <f>IF($K134="","",L134-M134-N134-O134-P134-Q134-R134-S134-T134)</f>
      </c>
      <c r="W134" s="3">
        <f>IF($K134="","",(V134-AC134)/J134*100)</f>
      </c>
      <c r="X134" s="3">
        <f>IF($K134="","",M134-U134)</f>
      </c>
      <c r="AD134" s="3">
        <f>IF($K134="","",V134-AC134)</f>
      </c>
    </row>
    <row r="135" spans="1:30" x14ac:dyDescent="0.25">
      <c r="A135" s="1"/>
      <c r="D135" s="2"/>
      <c r="J135" s="3"/>
      <c r="K135" s="3"/>
      <c r="L135" s="3">
        <f>IF($K135="","",K135-J135)</f>
      </c>
      <c r="M135" s="3">
        <f>IF($K135="","",L135*16.67%)</f>
      </c>
      <c r="N135" s="3">
        <f>IF($K135="","",K135/100*7)</f>
      </c>
      <c r="O135" s="3">
        <f>IF($K135="","",N135*20%)</f>
      </c>
      <c r="P135" s="3">
        <f>IF($K135="","",N135*2%)</f>
      </c>
      <c r="Q135" s="3">
        <f>IF($K135="","",P135*20%)</f>
      </c>
      <c r="R135" s="3"/>
      <c r="S135" s="3">
        <f>IF($K135="","",R135*20%)</f>
      </c>
      <c r="T135" s="3">
        <v>1</v>
      </c>
      <c r="U135" s="3">
        <f>IF($K135="","",O135+Q135+S135)</f>
      </c>
      <c r="V135" s="3">
        <f>IF($K135="","",L135-M135-N135-O135-P135-Q135-R135-S135-T135)</f>
      </c>
      <c r="W135" s="3">
        <f>IF($K135="","",(V135-AC135)/J135*100)</f>
      </c>
      <c r="X135" s="3">
        <f>IF($K135="","",M135-U135)</f>
      </c>
      <c r="AD135" s="3">
        <f>IF($K135="","",V135-AC135)</f>
      </c>
    </row>
    <row r="136" spans="1:30" x14ac:dyDescent="0.25">
      <c r="A136" s="1"/>
      <c r="D136" s="2"/>
      <c r="J136" s="3"/>
      <c r="K136" s="3"/>
      <c r="L136" s="3">
        <f>IF($K136="","",K136-J136)</f>
      </c>
      <c r="M136" s="3">
        <f>IF($K136="","",L136*16.67%)</f>
      </c>
      <c r="N136" s="3">
        <f>IF($K136="","",K136/100*7)</f>
      </c>
      <c r="O136" s="3">
        <f>IF($K136="","",N136*20%)</f>
      </c>
      <c r="P136" s="3">
        <f>IF($K136="","",N136*2%)</f>
      </c>
      <c r="Q136" s="3">
        <f>IF($K136="","",P136*20%)</f>
      </c>
      <c r="R136" s="3"/>
      <c r="S136" s="3">
        <f>IF($K136="","",R136*20%)</f>
      </c>
      <c r="T136" s="3">
        <v>1</v>
      </c>
      <c r="U136" s="3">
        <f>IF($K136="","",O136+Q136+S136)</f>
      </c>
      <c r="V136" s="3">
        <f>IF($K136="","",L136-M136-N136-O136-P136-Q136-R136-S136-T136)</f>
      </c>
      <c r="W136" s="3">
        <f>IF($K136="","",(V136-AC136)/J136*100)</f>
      </c>
      <c r="X136" s="3">
        <f>IF($K136="","",M136-U136)</f>
      </c>
      <c r="AD136" s="3">
        <f>IF($K136="","",V136-AC136)</f>
      </c>
    </row>
    <row r="137" spans="1:30" x14ac:dyDescent="0.25">
      <c r="A137" s="1"/>
      <c r="D137" s="2"/>
      <c r="J137" s="3"/>
      <c r="K137" s="3"/>
      <c r="L137" s="3">
        <f>IF($K137="","",K137-J137)</f>
      </c>
      <c r="M137" s="3">
        <f>IF($K137="","",L137*16.67%)</f>
      </c>
      <c r="N137" s="3">
        <f>IF($K137="","",K137/100*7)</f>
      </c>
      <c r="O137" s="3">
        <f>IF($K137="","",N137*20%)</f>
      </c>
      <c r="P137" s="3">
        <f>IF($K137="","",N137*2%)</f>
      </c>
      <c r="Q137" s="3">
        <f>IF($K137="","",P137*20%)</f>
      </c>
      <c r="R137" s="3"/>
      <c r="S137" s="3">
        <f>IF($K137="","",R137*20%)</f>
      </c>
      <c r="T137" s="3">
        <v>1</v>
      </c>
      <c r="U137" s="3">
        <f>IF($K137="","",O137+Q137+S137)</f>
      </c>
      <c r="V137" s="3">
        <f>IF($K137="","",L137-M137-N137-O137-P137-Q137-R137-S137-T137)</f>
      </c>
      <c r="W137" s="3">
        <f>IF($K137="","",(V137-AC137)/J137*100)</f>
      </c>
      <c r="X137" s="3">
        <f>IF($K137="","",M137-U137)</f>
      </c>
      <c r="AD137" s="3">
        <f>IF($K137="","",V137-AC137)</f>
      </c>
    </row>
    <row r="138" spans="1:30" x14ac:dyDescent="0.25">
      <c r="A138" s="1"/>
      <c r="D138" s="2"/>
      <c r="J138" s="3"/>
      <c r="K138" s="3"/>
      <c r="L138" s="3">
        <f>IF($K138="","",K138-J138)</f>
      </c>
      <c r="M138" s="3">
        <f>IF($K138="","",L138*16.67%)</f>
      </c>
      <c r="N138" s="3">
        <f>IF($K138="","",K138/100*7)</f>
      </c>
      <c r="O138" s="3">
        <f>IF($K138="","",N138*20%)</f>
      </c>
      <c r="P138" s="3">
        <f>IF($K138="","",N138*2%)</f>
      </c>
      <c r="Q138" s="3">
        <f>IF($K138="","",P138*20%)</f>
      </c>
      <c r="R138" s="3"/>
      <c r="S138" s="3">
        <f>IF($K138="","",R138*20%)</f>
      </c>
      <c r="T138" s="3">
        <v>1</v>
      </c>
      <c r="U138" s="3">
        <f>IF($K138="","",O138+Q138+S138)</f>
      </c>
      <c r="V138" s="3">
        <f>IF($K138="","",L138-M138-N138-O138-P138-Q138-R138-S138-T138)</f>
      </c>
      <c r="W138" s="3">
        <f>IF($K138="","",(V138-AC138)/J138*100)</f>
      </c>
      <c r="X138" s="3">
        <f>IF($K138="","",M138-U138)</f>
      </c>
      <c r="AD138" s="3">
        <f>IF($K138="","",V138-AC138)</f>
      </c>
    </row>
    <row r="139" spans="1:30" x14ac:dyDescent="0.25">
      <c r="A139" s="1"/>
      <c r="D139" s="2"/>
      <c r="J139" s="3"/>
      <c r="K139" s="3"/>
      <c r="L139" s="3">
        <f>IF($K139="","",K139-J139)</f>
      </c>
      <c r="M139" s="3">
        <f>IF($K139="","",L139*16.67%)</f>
      </c>
      <c r="N139" s="3">
        <f>IF($K139="","",K139/100*7)</f>
      </c>
      <c r="O139" s="3">
        <f>IF($K139="","",N139*20%)</f>
      </c>
      <c r="P139" s="3">
        <f>IF($K139="","",N139*2%)</f>
      </c>
      <c r="Q139" s="3">
        <f>IF($K139="","",P139*20%)</f>
      </c>
      <c r="R139" s="3"/>
      <c r="S139" s="3">
        <f>IF($K139="","",R139*20%)</f>
      </c>
      <c r="T139" s="3">
        <v>1</v>
      </c>
      <c r="U139" s="3">
        <f>IF($K139="","",O139+Q139+S139)</f>
      </c>
      <c r="V139" s="3">
        <f>IF($K139="","",L139-M139-N139-O139-P139-Q139-R139-S139-T139)</f>
      </c>
      <c r="W139" s="3">
        <f>IF($K139="","",(V139-AC139)/J139*100)</f>
      </c>
      <c r="X139" s="3">
        <f>IF($K139="","",M139-U139)</f>
      </c>
      <c r="AD139" s="3">
        <f>IF($K139="","",V139-AC139)</f>
      </c>
    </row>
    <row r="140" spans="1:30" x14ac:dyDescent="0.25">
      <c r="A140" s="1"/>
      <c r="D140" s="2"/>
      <c r="J140" s="3"/>
      <c r="K140" s="3"/>
      <c r="L140" s="3">
        <f>IF($K140="","",K140-J140)</f>
      </c>
      <c r="M140" s="3">
        <f>IF($K140="","",L140*16.67%)</f>
      </c>
      <c r="N140" s="3">
        <f>IF($K140="","",K140/100*7)</f>
      </c>
      <c r="O140" s="3">
        <f>IF($K140="","",N140*20%)</f>
      </c>
      <c r="P140" s="3">
        <f>IF($K140="","",N140*2%)</f>
      </c>
      <c r="Q140" s="3">
        <f>IF($K140="","",P140*20%)</f>
      </c>
      <c r="R140" s="3"/>
      <c r="S140" s="3">
        <f>IF($K140="","",R140*20%)</f>
      </c>
      <c r="T140" s="3">
        <v>1</v>
      </c>
      <c r="U140" s="3">
        <f>IF($K140="","",O140+Q140+S140)</f>
      </c>
      <c r="V140" s="3">
        <f>IF($K140="","",L140-M140-N140-O140-P140-Q140-R140-S140-T140)</f>
      </c>
      <c r="W140" s="3">
        <f>IF($K140="","",(V140-AC140)/J140*100)</f>
      </c>
      <c r="X140" s="3">
        <f>IF($K140="","",M140-U140)</f>
      </c>
      <c r="AD140" s="3">
        <f>IF($K140="","",V140-AC140)</f>
      </c>
    </row>
    <row r="141" spans="1:30" x14ac:dyDescent="0.25">
      <c r="A141" s="1"/>
      <c r="D141" s="2"/>
      <c r="J141" s="3"/>
      <c r="K141" s="3"/>
      <c r="L141" s="3">
        <f>IF($K141="","",K141-J141)</f>
      </c>
      <c r="M141" s="3">
        <f>IF($K141="","",L141*16.67%)</f>
      </c>
      <c r="N141" s="3">
        <f>IF($K141="","",K141/100*7)</f>
      </c>
      <c r="O141" s="3">
        <f>IF($K141="","",N141*20%)</f>
      </c>
      <c r="P141" s="3">
        <f>IF($K141="","",N141*2%)</f>
      </c>
      <c r="Q141" s="3">
        <f>IF($K141="","",P141*20%)</f>
      </c>
      <c r="R141" s="3"/>
      <c r="S141" s="3">
        <f>IF($K141="","",R141*20%)</f>
      </c>
      <c r="T141" s="3">
        <v>1</v>
      </c>
      <c r="U141" s="3">
        <f>IF($K141="","",O141+Q141+S141)</f>
      </c>
      <c r="V141" s="3">
        <f>IF($K141="","",L141-M141-N141-O141-P141-Q141-R141-S141-T141)</f>
      </c>
      <c r="W141" s="3">
        <f>IF($K141="","",(V141-AC141)/J141*100)</f>
      </c>
      <c r="X141" s="3">
        <f>IF($K141="","",M141-U141)</f>
      </c>
      <c r="AD141" s="3">
        <f>IF($K141="","",V141-AC141)</f>
      </c>
    </row>
    <row r="142" spans="1:30" x14ac:dyDescent="0.25">
      <c r="A142" s="1"/>
      <c r="D142" s="2"/>
      <c r="J142" s="3"/>
      <c r="K142" s="3"/>
      <c r="L142" s="3">
        <f>IF($K142="","",K142-J142)</f>
      </c>
      <c r="M142" s="3">
        <f>IF($K142="","",L142*16.67%)</f>
      </c>
      <c r="N142" s="3">
        <f>IF($K142="","",K142/100*7)</f>
      </c>
      <c r="O142" s="3">
        <f>IF($K142="","",N142*20%)</f>
      </c>
      <c r="P142" s="3">
        <f>IF($K142="","",N142*2%)</f>
      </c>
      <c r="Q142" s="3">
        <f>IF($K142="","",P142*20%)</f>
      </c>
      <c r="R142" s="3"/>
      <c r="S142" s="3">
        <f>IF($K142="","",R142*20%)</f>
      </c>
      <c r="T142" s="3">
        <v>1</v>
      </c>
      <c r="U142" s="3">
        <f>IF($K142="","",O142+Q142+S142)</f>
      </c>
      <c r="V142" s="3">
        <f>IF($K142="","",L142-M142-N142-O142-P142-Q142-R142-S142-T142)</f>
      </c>
      <c r="W142" s="3">
        <f>IF($K142="","",(V142-AC142)/J142*100)</f>
      </c>
      <c r="X142" s="3">
        <f>IF($K142="","",M142-U142)</f>
      </c>
      <c r="AD142" s="3">
        <f>IF($K142="","",V142-AC142)</f>
      </c>
    </row>
    <row r="143" spans="1:30" x14ac:dyDescent="0.25">
      <c r="A143" s="1"/>
      <c r="D143" s="2"/>
      <c r="J143" s="3"/>
      <c r="K143" s="3"/>
      <c r="L143" s="3">
        <f>IF($K143="","",K143-J143)</f>
      </c>
      <c r="M143" s="3">
        <f>IF($K143="","",L143*16.67%)</f>
      </c>
      <c r="N143" s="3">
        <f>IF($K143="","",K143/100*7)</f>
      </c>
      <c r="O143" s="3">
        <f>IF($K143="","",N143*20%)</f>
      </c>
      <c r="P143" s="3">
        <f>IF($K143="","",N143*2%)</f>
      </c>
      <c r="Q143" s="3">
        <f>IF($K143="","",P143*20%)</f>
      </c>
      <c r="R143" s="3"/>
      <c r="S143" s="3">
        <f>IF($K143="","",R143*20%)</f>
      </c>
      <c r="T143" s="3">
        <v>1</v>
      </c>
      <c r="U143" s="3">
        <f>IF($K143="","",O143+Q143+S143)</f>
      </c>
      <c r="V143" s="3">
        <f>IF($K143="","",L143-M143-N143-O143-P143-Q143-R143-S143-T143)</f>
      </c>
      <c r="W143" s="3">
        <f>IF($K143="","",(V143-AC143)/J143*100)</f>
      </c>
      <c r="X143" s="3">
        <f>IF($K143="","",M143-U143)</f>
      </c>
      <c r="AD143" s="3">
        <f>IF($K143="","",V143-AC143)</f>
      </c>
    </row>
    <row r="144" spans="1:30" x14ac:dyDescent="0.25">
      <c r="A144" s="1"/>
      <c r="D144" s="2"/>
      <c r="J144" s="3"/>
      <c r="K144" s="3"/>
      <c r="L144" s="3">
        <f>IF($K144="","",K144-J144)</f>
      </c>
      <c r="M144" s="3">
        <f>IF($K144="","",L144*16.67%)</f>
      </c>
      <c r="N144" s="3">
        <f>IF($K144="","",K144/100*7)</f>
      </c>
      <c r="O144" s="3">
        <f>IF($K144="","",N144*20%)</f>
      </c>
      <c r="P144" s="3">
        <f>IF($K144="","",N144*2%)</f>
      </c>
      <c r="Q144" s="3">
        <f>IF($K144="","",P144*20%)</f>
      </c>
      <c r="R144" s="3"/>
      <c r="S144" s="3">
        <f>IF($K144="","",R144*20%)</f>
      </c>
      <c r="T144" s="3">
        <v>1</v>
      </c>
      <c r="U144" s="3">
        <f>IF($K144="","",O144+Q144+S144)</f>
      </c>
      <c r="V144" s="3">
        <f>IF($K144="","",L144-M144-N144-O144-P144-Q144-R144-S144-T144)</f>
      </c>
      <c r="W144" s="3">
        <f>IF($K144="","",(V144-AC144)/J144*100)</f>
      </c>
      <c r="X144" s="3">
        <f>IF($K144="","",M144-U144)</f>
      </c>
      <c r="AD144" s="3">
        <f>IF($K144="","",V144-AC144)</f>
      </c>
    </row>
    <row r="145" spans="1:30" x14ac:dyDescent="0.25">
      <c r="A145" s="1"/>
      <c r="D145" s="2"/>
      <c r="J145" s="3"/>
      <c r="K145" s="3"/>
      <c r="L145" s="3">
        <f>IF($K145="","",K145-J145)</f>
      </c>
      <c r="M145" s="3">
        <f>IF($K145="","",L145*16.67%)</f>
      </c>
      <c r="N145" s="3">
        <f>IF($K145="","",K145/100*7)</f>
      </c>
      <c r="O145" s="3">
        <f>IF($K145="","",N145*20%)</f>
      </c>
      <c r="P145" s="3">
        <f>IF($K145="","",N145*2%)</f>
      </c>
      <c r="Q145" s="3">
        <f>IF($K145="","",P145*20%)</f>
      </c>
      <c r="R145" s="3"/>
      <c r="S145" s="3">
        <f>IF($K145="","",R145*20%)</f>
      </c>
      <c r="T145" s="3">
        <v>1</v>
      </c>
      <c r="U145" s="3">
        <f>IF($K145="","",O145+Q145+S145)</f>
      </c>
      <c r="V145" s="3">
        <f>IF($K145="","",L145-M145-N145-O145-P145-Q145-R145-S145-T145)</f>
      </c>
      <c r="W145" s="3">
        <f>IF($K145="","",(V145-AC145)/J145*100)</f>
      </c>
      <c r="X145" s="3">
        <f>IF($K145="","",M145-U145)</f>
      </c>
      <c r="AD145" s="3">
        <f>IF($K145="","",V145-AC145)</f>
      </c>
    </row>
    <row r="146" spans="1:30" x14ac:dyDescent="0.25">
      <c r="A146" s="1"/>
      <c r="D146" s="2"/>
      <c r="J146" s="3"/>
      <c r="K146" s="3"/>
      <c r="L146" s="3">
        <f>IF($K146="","",K146-J146)</f>
      </c>
      <c r="M146" s="3">
        <f>IF($K146="","",L146*16.67%)</f>
      </c>
      <c r="N146" s="3">
        <f>IF($K146="","",K146/100*7)</f>
      </c>
      <c r="O146" s="3">
        <f>IF($K146="","",N146*20%)</f>
      </c>
      <c r="P146" s="3">
        <f>IF($K146="","",N146*2%)</f>
      </c>
      <c r="Q146" s="3">
        <f>IF($K146="","",P146*20%)</f>
      </c>
      <c r="R146" s="3"/>
      <c r="S146" s="3">
        <f>IF($K146="","",R146*20%)</f>
      </c>
      <c r="T146" s="3">
        <v>1</v>
      </c>
      <c r="U146" s="3">
        <f>IF($K146="","",O146+Q146+S146)</f>
      </c>
      <c r="V146" s="3">
        <f>IF($K146="","",L146-M146-N146-O146-P146-Q146-R146-S146-T146)</f>
      </c>
      <c r="W146" s="3">
        <f>IF($K146="","",(V146-AC146)/J146*100)</f>
      </c>
      <c r="X146" s="3">
        <f>IF($K146="","",M146-U146)</f>
      </c>
      <c r="AD146" s="3">
        <f>IF($K146="","",V146-AC146)</f>
      </c>
    </row>
    <row r="147" spans="1:30" x14ac:dyDescent="0.25">
      <c r="A147" s="1"/>
      <c r="D147" s="2"/>
      <c r="J147" s="3"/>
      <c r="K147" s="3"/>
      <c r="L147" s="3">
        <f>IF($K147="","",K147-J147)</f>
      </c>
      <c r="M147" s="3">
        <f>IF($K147="","",L147*16.67%)</f>
      </c>
      <c r="N147" s="3">
        <f>IF($K147="","",K147/100*7)</f>
      </c>
      <c r="O147" s="3">
        <f>IF($K147="","",N147*20%)</f>
      </c>
      <c r="P147" s="3">
        <f>IF($K147="","",N147*2%)</f>
      </c>
      <c r="Q147" s="3">
        <f>IF($K147="","",P147*20%)</f>
      </c>
      <c r="R147" s="3"/>
      <c r="S147" s="3">
        <f>IF($K147="","",R147*20%)</f>
      </c>
      <c r="T147" s="3">
        <v>1</v>
      </c>
      <c r="U147" s="3">
        <f>IF($K147="","",O147+Q147+S147)</f>
      </c>
      <c r="V147" s="3">
        <f>IF($K147="","",L147-M147-N147-O147-P147-Q147-R147-S147-T147)</f>
      </c>
      <c r="W147" s="3">
        <f>IF($K147="","",(V147-AC147)/J147*100)</f>
      </c>
      <c r="X147" s="3">
        <f>IF($K147="","",M147-U147)</f>
      </c>
      <c r="AD147" s="3">
        <f>IF($K147="","",V147-AC147)</f>
      </c>
    </row>
    <row r="148" spans="1:30" x14ac:dyDescent="0.25">
      <c r="A148" s="1"/>
      <c r="D148" s="2"/>
      <c r="J148" s="3"/>
      <c r="K148" s="3"/>
      <c r="L148" s="3">
        <f>IF($K148="","",K148-J148)</f>
      </c>
      <c r="M148" s="3">
        <f>IF($K148="","",L148*16.67%)</f>
      </c>
      <c r="N148" s="3">
        <f>IF($K148="","",K148/100*7)</f>
      </c>
      <c r="O148" s="3">
        <f>IF($K148="","",N148*20%)</f>
      </c>
      <c r="P148" s="3">
        <f>IF($K148="","",N148*2%)</f>
      </c>
      <c r="Q148" s="3">
        <f>IF($K148="","",P148*20%)</f>
      </c>
      <c r="R148" s="3"/>
      <c r="S148" s="3">
        <f>IF($K148="","",R148*20%)</f>
      </c>
      <c r="T148" s="3">
        <v>1</v>
      </c>
      <c r="U148" s="3">
        <f>IF($K148="","",O148+Q148+S148)</f>
      </c>
      <c r="V148" s="3">
        <f>IF($K148="","",L148-M148-N148-O148-P148-Q148-R148-S148-T148)</f>
      </c>
      <c r="W148" s="3">
        <f>IF($K148="","",(V148-AC148)/J148*100)</f>
      </c>
      <c r="X148" s="3">
        <f>IF($K148="","",M148-U148)</f>
      </c>
      <c r="AD148" s="3">
        <f>IF($K148="","",V148-AC148)</f>
      </c>
    </row>
    <row r="149" spans="1:30" x14ac:dyDescent="0.25">
      <c r="A149" s="1"/>
      <c r="D149" s="2"/>
      <c r="J149" s="3"/>
      <c r="K149" s="3"/>
      <c r="L149" s="3">
        <f>IF($K149="","",K149-J149)</f>
      </c>
      <c r="M149" s="3">
        <f>IF($K149="","",L149*16.67%)</f>
      </c>
      <c r="N149" s="3">
        <f>IF($K149="","",K149/100*7)</f>
      </c>
      <c r="O149" s="3">
        <f>IF($K149="","",N149*20%)</f>
      </c>
      <c r="P149" s="3">
        <f>IF($K149="","",N149*2%)</f>
      </c>
      <c r="Q149" s="3">
        <f>IF($K149="","",P149*20%)</f>
      </c>
      <c r="R149" s="3"/>
      <c r="S149" s="3">
        <f>IF($K149="","",R149*20%)</f>
      </c>
      <c r="T149" s="3">
        <v>1</v>
      </c>
      <c r="U149" s="3">
        <f>IF($K149="","",O149+Q149+S149)</f>
      </c>
      <c r="V149" s="3">
        <f>IF($K149="","",L149-M149-N149-O149-P149-Q149-R149-S149-T149)</f>
      </c>
      <c r="W149" s="3">
        <f>IF($K149="","",(V149-AC149)/J149*100)</f>
      </c>
      <c r="X149" s="3">
        <f>IF($K149="","",M149-U149)</f>
      </c>
      <c r="AD149" s="3">
        <f>IF($K149="","",V149-AC149)</f>
      </c>
    </row>
    <row r="150" spans="1:30" x14ac:dyDescent="0.25">
      <c r="A150" s="1"/>
      <c r="D150" s="2"/>
      <c r="J150" s="3"/>
      <c r="K150" s="3"/>
      <c r="L150" s="3">
        <f>IF($K150="","",K150-J150)</f>
      </c>
      <c r="M150" s="3">
        <f>IF($K150="","",L150*16.67%)</f>
      </c>
      <c r="N150" s="3">
        <f>IF($K150="","",K150/100*7)</f>
      </c>
      <c r="O150" s="3">
        <f>IF($K150="","",N150*20%)</f>
      </c>
      <c r="P150" s="3">
        <f>IF($K150="","",N150*2%)</f>
      </c>
      <c r="Q150" s="3">
        <f>IF($K150="","",P150*20%)</f>
      </c>
      <c r="R150" s="3"/>
      <c r="S150" s="3">
        <f>IF($K150="","",R150*20%)</f>
      </c>
      <c r="T150" s="3">
        <v>1</v>
      </c>
      <c r="U150" s="3">
        <f>IF($K150="","",O150+Q150+S150)</f>
      </c>
      <c r="V150" s="3">
        <f>IF($K150="","",L150-M150-N150-O150-P150-Q150-R150-S150-T150)</f>
      </c>
      <c r="W150" s="3">
        <f>IF($K150="","",(V150-AC150)/J150*100)</f>
      </c>
      <c r="X150" s="3">
        <f>IF($K150="","",M150-U150)</f>
      </c>
      <c r="AD150" s="3">
        <f>IF($K150="","",V150-AC150)</f>
      </c>
    </row>
    <row r="151" spans="1:30" x14ac:dyDescent="0.25">
      <c r="A151" s="1"/>
      <c r="D151" s="2"/>
      <c r="J151" s="3"/>
      <c r="K151" s="3"/>
      <c r="L151" s="3">
        <f>IF($K151="","",K151-J151)</f>
      </c>
      <c r="M151" s="3">
        <f>IF($K151="","",L151*16.67%)</f>
      </c>
      <c r="N151" s="3">
        <f>IF($K151="","",K151/100*7)</f>
      </c>
      <c r="O151" s="3">
        <f>IF($K151="","",N151*20%)</f>
      </c>
      <c r="P151" s="3">
        <f>IF($K151="","",N151*2%)</f>
      </c>
      <c r="Q151" s="3">
        <f>IF($K151="","",P151*20%)</f>
      </c>
      <c r="R151" s="3"/>
      <c r="S151" s="3">
        <f>IF($K151="","",R151*20%)</f>
      </c>
      <c r="T151" s="3">
        <v>1</v>
      </c>
      <c r="U151" s="3">
        <f>IF($K151="","",O151+Q151+S151)</f>
      </c>
      <c r="V151" s="3">
        <f>IF($K151="","",L151-M151-N151-O151-P151-Q151-R151-S151-T151)</f>
      </c>
      <c r="W151" s="3">
        <f>IF($K151="","",(V151-AC151)/J151*100)</f>
      </c>
      <c r="X151" s="3">
        <f>IF($K151="","",M151-U151)</f>
      </c>
      <c r="AD151" s="3">
        <f>IF($K151="","",V151-AC151)</f>
      </c>
    </row>
    <row r="152" spans="1:30" x14ac:dyDescent="0.25">
      <c r="A152" s="1"/>
      <c r="D152" s="2"/>
      <c r="J152" s="3"/>
      <c r="K152" s="3"/>
      <c r="L152" s="3">
        <f>IF($K152="","",K152-J152)</f>
      </c>
      <c r="M152" s="3">
        <f>IF($K152="","",L152*16.67%)</f>
      </c>
      <c r="N152" s="3">
        <f>IF($K152="","",K152/100*7)</f>
      </c>
      <c r="O152" s="3">
        <f>IF($K152="","",N152*20%)</f>
      </c>
      <c r="P152" s="3">
        <f>IF($K152="","",N152*2%)</f>
      </c>
      <c r="Q152" s="3">
        <f>IF($K152="","",P152*20%)</f>
      </c>
      <c r="R152" s="3"/>
      <c r="S152" s="3">
        <f>IF($K152="","",R152*20%)</f>
      </c>
      <c r="T152" s="3">
        <v>1</v>
      </c>
      <c r="U152" s="3">
        <f>IF($K152="","",O152+Q152+S152)</f>
      </c>
      <c r="V152" s="3">
        <f>IF($K152="","",L152-M152-N152-O152-P152-Q152-R152-S152-T152)</f>
      </c>
      <c r="W152" s="3">
        <f>IF($K152="","",(V152-AC152)/J152*100)</f>
      </c>
      <c r="X152" s="3">
        <f>IF($K152="","",M152-U152)</f>
      </c>
      <c r="AD152" s="3">
        <f>IF($K152="","",V152-AC152)</f>
      </c>
    </row>
    <row r="153" spans="1:30" x14ac:dyDescent="0.25">
      <c r="A153" s="1"/>
      <c r="D153" s="2"/>
      <c r="J153" s="3"/>
      <c r="K153" s="3"/>
      <c r="L153" s="3">
        <f>IF($K153="","",K153-J153)</f>
      </c>
      <c r="M153" s="3">
        <f>IF($K153="","",L153*16.67%)</f>
      </c>
      <c r="N153" s="3">
        <f>IF($K153="","",K153/100*7)</f>
      </c>
      <c r="O153" s="3">
        <f>IF($K153="","",N153*20%)</f>
      </c>
      <c r="P153" s="3">
        <f>IF($K153="","",N153*2%)</f>
      </c>
      <c r="Q153" s="3">
        <f>IF($K153="","",P153*20%)</f>
      </c>
      <c r="R153" s="3"/>
      <c r="S153" s="3">
        <f>IF($K153="","",R153*20%)</f>
      </c>
      <c r="T153" s="3">
        <v>1</v>
      </c>
      <c r="U153" s="3">
        <f>IF($K153="","",O153+Q153+S153)</f>
      </c>
      <c r="V153" s="3">
        <f>IF($K153="","",L153-M153-N153-O153-P153-Q153-R153-S153-T153)</f>
      </c>
      <c r="W153" s="3">
        <f>IF($K153="","",(V153-AC153)/J153*100)</f>
      </c>
      <c r="X153" s="3">
        <f>IF($K153="","",M153-U153)</f>
      </c>
      <c r="AD153" s="3">
        <f>IF($K153="","",V153-AC153)</f>
      </c>
    </row>
    <row r="154" spans="1:30" x14ac:dyDescent="0.25">
      <c r="A154" s="1"/>
      <c r="D154" s="2"/>
      <c r="J154" s="3"/>
      <c r="K154" s="3"/>
      <c r="L154" s="3">
        <f>IF($K154="","",K154-J154)</f>
      </c>
      <c r="M154" s="3">
        <f>IF($K154="","",L154*16.67%)</f>
      </c>
      <c r="N154" s="3">
        <f>IF($K154="","",K154/100*7)</f>
      </c>
      <c r="O154" s="3">
        <f>IF($K154="","",N154*20%)</f>
      </c>
      <c r="P154" s="3">
        <f>IF($K154="","",N154*2%)</f>
      </c>
      <c r="Q154" s="3">
        <f>IF($K154="","",P154*20%)</f>
      </c>
      <c r="R154" s="3"/>
      <c r="S154" s="3">
        <f>IF($K154="","",R154*20%)</f>
      </c>
      <c r="T154" s="3">
        <v>1</v>
      </c>
      <c r="U154" s="3">
        <f>IF($K154="","",O154+Q154+S154)</f>
      </c>
      <c r="V154" s="3">
        <f>IF($K154="","",L154-M154-N154-O154-P154-Q154-R154-S154-T154)</f>
      </c>
      <c r="W154" s="3">
        <f>IF($K154="","",(V154-AC154)/J154*100)</f>
      </c>
      <c r="X154" s="3">
        <f>IF($K154="","",M154-U154)</f>
      </c>
      <c r="AD154" s="3">
        <f>IF($K154="","",V154-AC154)</f>
      </c>
    </row>
    <row r="155" spans="1:30" x14ac:dyDescent="0.25">
      <c r="A155" s="1"/>
      <c r="D155" s="2"/>
      <c r="J155" s="3"/>
      <c r="K155" s="3"/>
      <c r="L155" s="3">
        <f>IF($K155="","",K155-J155)</f>
      </c>
      <c r="M155" s="3">
        <f>IF($K155="","",L155*16.67%)</f>
      </c>
      <c r="N155" s="3">
        <f>IF($K155="","",K155/100*7)</f>
      </c>
      <c r="O155" s="3">
        <f>IF($K155="","",N155*20%)</f>
      </c>
      <c r="P155" s="3">
        <f>IF($K155="","",N155*2%)</f>
      </c>
      <c r="Q155" s="3">
        <f>IF($K155="","",P155*20%)</f>
      </c>
      <c r="R155" s="3"/>
      <c r="S155" s="3">
        <f>IF($K155="","",R155*20%)</f>
      </c>
      <c r="T155" s="3">
        <v>1</v>
      </c>
      <c r="U155" s="3">
        <f>IF($K155="","",O155+Q155+S155)</f>
      </c>
      <c r="V155" s="3">
        <f>IF($K155="","",L155-M155-N155-O155-P155-Q155-R155-S155-T155)</f>
      </c>
      <c r="W155" s="3">
        <f>IF($K155="","",(V155-AC155)/J155*100)</f>
      </c>
      <c r="X155" s="3">
        <f>IF($K155="","",M155-U155)</f>
      </c>
      <c r="AD155" s="3">
        <f>IF($K155="","",V155-AC155)</f>
      </c>
    </row>
    <row r="156" spans="1:30" x14ac:dyDescent="0.25">
      <c r="A156" s="1"/>
      <c r="D156" s="2"/>
      <c r="J156" s="3"/>
      <c r="K156" s="3"/>
      <c r="L156" s="3">
        <f>IF($K156="","",K156-J156)</f>
      </c>
      <c r="M156" s="3">
        <f>IF($K156="","",L156*16.67%)</f>
      </c>
      <c r="N156" s="3">
        <f>IF($K156="","",K156/100*7)</f>
      </c>
      <c r="O156" s="3">
        <f>IF($K156="","",N156*20%)</f>
      </c>
      <c r="P156" s="3">
        <f>IF($K156="","",N156*2%)</f>
      </c>
      <c r="Q156" s="3">
        <f>IF($K156="","",P156*20%)</f>
      </c>
      <c r="R156" s="3"/>
      <c r="S156" s="3">
        <f>IF($K156="","",R156*20%)</f>
      </c>
      <c r="T156" s="3">
        <v>1</v>
      </c>
      <c r="U156" s="3">
        <f>IF($K156="","",O156+Q156+S156)</f>
      </c>
      <c r="V156" s="3">
        <f>IF($K156="","",L156-M156-N156-O156-P156-Q156-R156-S156-T156)</f>
      </c>
      <c r="W156" s="3">
        <f>IF($K156="","",(V156-AC156)/J156*100)</f>
      </c>
      <c r="X156" s="3">
        <f>IF($K156="","",M156-U156)</f>
      </c>
      <c r="AD156" s="3">
        <f>IF($K156="","",V156-AC156)</f>
      </c>
    </row>
    <row r="157" spans="1:30" x14ac:dyDescent="0.25">
      <c r="A157" s="1"/>
      <c r="D157" s="2"/>
      <c r="J157" s="3"/>
      <c r="K157" s="3"/>
      <c r="L157" s="3">
        <f>IF($K157="","",K157-J157)</f>
      </c>
      <c r="M157" s="3">
        <f>IF($K157="","",L157*16.67%)</f>
      </c>
      <c r="N157" s="3">
        <f>IF($K157="","",K157/100*7)</f>
      </c>
      <c r="O157" s="3">
        <f>IF($K157="","",N157*20%)</f>
      </c>
      <c r="P157" s="3">
        <f>IF($K157="","",N157*2%)</f>
      </c>
      <c r="Q157" s="3">
        <f>IF($K157="","",P157*20%)</f>
      </c>
      <c r="R157" s="3"/>
      <c r="S157" s="3">
        <f>IF($K157="","",R157*20%)</f>
      </c>
      <c r="T157" s="3">
        <v>1</v>
      </c>
      <c r="U157" s="3">
        <f>IF($K157="","",O157+Q157+S157)</f>
      </c>
      <c r="V157" s="3">
        <f>IF($K157="","",L157-M157-N157-O157-P157-Q157-R157-S157-T157)</f>
      </c>
      <c r="W157" s="3">
        <f>IF($K157="","",(V157-AC157)/J157*100)</f>
      </c>
      <c r="X157" s="3">
        <f>IF($K157="","",M157-U157)</f>
      </c>
      <c r="AD157" s="3">
        <f>IF($K157="","",V157-AC157)</f>
      </c>
    </row>
    <row r="158" spans="1:30" x14ac:dyDescent="0.25">
      <c r="A158" s="1"/>
      <c r="D158" s="2"/>
      <c r="J158" s="3"/>
      <c r="K158" s="3"/>
      <c r="L158" s="3">
        <f>IF($K158="","",K158-J158)</f>
      </c>
      <c r="M158" s="3">
        <f>IF($K158="","",L158*16.67%)</f>
      </c>
      <c r="N158" s="3">
        <f>IF($K158="","",K158/100*7)</f>
      </c>
      <c r="O158" s="3">
        <f>IF($K158="","",N158*20%)</f>
      </c>
      <c r="P158" s="3">
        <f>IF($K158="","",N158*2%)</f>
      </c>
      <c r="Q158" s="3">
        <f>IF($K158="","",P158*20%)</f>
      </c>
      <c r="R158" s="3"/>
      <c r="S158" s="3">
        <f>IF($K158="","",R158*20%)</f>
      </c>
      <c r="T158" s="3">
        <v>1</v>
      </c>
      <c r="U158" s="3">
        <f>IF($K158="","",O158+Q158+S158)</f>
      </c>
      <c r="V158" s="3">
        <f>IF($K158="","",L158-M158-N158-O158-P158-Q158-R158-S158-T158)</f>
      </c>
      <c r="W158" s="3">
        <f>IF($K158="","",(V158-AC158)/J158*100)</f>
      </c>
      <c r="X158" s="3">
        <f>IF($K158="","",M158-U158)</f>
      </c>
      <c r="AD158" s="3">
        <f>IF($K158="","",V158-AC158)</f>
      </c>
    </row>
    <row r="159" spans="1:30" x14ac:dyDescent="0.25">
      <c r="A159" s="1"/>
      <c r="D159" s="2"/>
      <c r="J159" s="3"/>
      <c r="K159" s="3"/>
      <c r="L159" s="3">
        <f>IF($K159="","",K159-J159)</f>
      </c>
      <c r="M159" s="3">
        <f>IF($K159="","",L159*16.67%)</f>
      </c>
      <c r="N159" s="3">
        <f>IF($K159="","",K159/100*7)</f>
      </c>
      <c r="O159" s="3">
        <f>IF($K159="","",N159*20%)</f>
      </c>
      <c r="P159" s="3">
        <f>IF($K159="","",N159*2%)</f>
      </c>
      <c r="Q159" s="3">
        <f>IF($K159="","",P159*20%)</f>
      </c>
      <c r="R159" s="3"/>
      <c r="S159" s="3">
        <f>IF($K159="","",R159*20%)</f>
      </c>
      <c r="T159" s="3">
        <v>1</v>
      </c>
      <c r="U159" s="3">
        <f>IF($K159="","",O159+Q159+S159)</f>
      </c>
      <c r="V159" s="3">
        <f>IF($K159="","",L159-M159-N159-O159-P159-Q159-R159-S159-T159)</f>
      </c>
      <c r="W159" s="3">
        <f>IF($K159="","",(V159-AC159)/J159*100)</f>
      </c>
      <c r="X159" s="3">
        <f>IF($K159="","",M159-U159)</f>
      </c>
      <c r="AD159" s="3">
        <f>IF($K159="","",V159-AC159)</f>
      </c>
    </row>
    <row r="160" spans="1:30" x14ac:dyDescent="0.25">
      <c r="A160" s="1"/>
      <c r="D160" s="2"/>
      <c r="J160" s="3"/>
      <c r="K160" s="3"/>
      <c r="L160" s="3">
        <f>IF($K160="","",K160-J160)</f>
      </c>
      <c r="M160" s="3">
        <f>IF($K160="","",L160*16.67%)</f>
      </c>
      <c r="N160" s="3">
        <f>IF($K160="","",K160/100*7)</f>
      </c>
      <c r="O160" s="3">
        <f>IF($K160="","",N160*20%)</f>
      </c>
      <c r="P160" s="3">
        <f>IF($K160="","",N160*2%)</f>
      </c>
      <c r="Q160" s="3">
        <f>IF($K160="","",P160*20%)</f>
      </c>
      <c r="R160" s="3"/>
      <c r="S160" s="3">
        <f>IF($K160="","",R160*20%)</f>
      </c>
      <c r="T160" s="3">
        <v>1</v>
      </c>
      <c r="U160" s="3">
        <f>IF($K160="","",O160+Q160+S160)</f>
      </c>
      <c r="V160" s="3">
        <f>IF($K160="","",L160-M160-N160-O160-P160-Q160-R160-S160-T160)</f>
      </c>
      <c r="W160" s="3">
        <f>IF($K160="","",(V160-AC160)/J160*100)</f>
      </c>
      <c r="X160" s="3">
        <f>IF($K160="","",M160-U160)</f>
      </c>
      <c r="AD160" s="3">
        <f>IF($K160="","",V160-AC160)</f>
      </c>
    </row>
    <row r="161" spans="1:30" x14ac:dyDescent="0.25">
      <c r="A161" s="1"/>
      <c r="D161" s="2"/>
      <c r="J161" s="3"/>
      <c r="K161" s="3"/>
      <c r="L161" s="3">
        <f>IF($K161="","",K161-J161)</f>
      </c>
      <c r="M161" s="3">
        <f>IF($K161="","",L161*16.67%)</f>
      </c>
      <c r="N161" s="3">
        <f>IF($K161="","",K161/100*7)</f>
      </c>
      <c r="O161" s="3">
        <f>IF($K161="","",N161*20%)</f>
      </c>
      <c r="P161" s="3">
        <f>IF($K161="","",N161*2%)</f>
      </c>
      <c r="Q161" s="3">
        <f>IF($K161="","",P161*20%)</f>
      </c>
      <c r="R161" s="3"/>
      <c r="S161" s="3">
        <f>IF($K161="","",R161*20%)</f>
      </c>
      <c r="T161" s="3">
        <v>1</v>
      </c>
      <c r="U161" s="3">
        <f>IF($K161="","",O161+Q161+S161)</f>
      </c>
      <c r="V161" s="3">
        <f>IF($K161="","",L161-M161-N161-O161-P161-Q161-R161-S161-T161)</f>
      </c>
      <c r="W161" s="3">
        <f>IF($K161="","",(V161-AC161)/J161*100)</f>
      </c>
      <c r="X161" s="3">
        <f>IF($K161="","",M161-U161)</f>
      </c>
      <c r="AD161" s="3">
        <f>IF($K161="","",V161-AC161)</f>
      </c>
    </row>
    <row r="162" spans="1:30" x14ac:dyDescent="0.25">
      <c r="A162" s="1"/>
      <c r="D162" s="2"/>
      <c r="J162" s="3"/>
      <c r="K162" s="3"/>
      <c r="L162" s="3">
        <f>IF($K162="","",K162-J162)</f>
      </c>
      <c r="M162" s="3">
        <f>IF($K162="","",L162*16.67%)</f>
      </c>
      <c r="N162" s="3">
        <f>IF($K162="","",K162/100*7)</f>
      </c>
      <c r="O162" s="3">
        <f>IF($K162="","",N162*20%)</f>
      </c>
      <c r="P162" s="3">
        <f>IF($K162="","",N162*2%)</f>
      </c>
      <c r="Q162" s="3">
        <f>IF($K162="","",P162*20%)</f>
      </c>
      <c r="R162" s="3"/>
      <c r="S162" s="3">
        <f>IF($K162="","",R162*20%)</f>
      </c>
      <c r="T162" s="3">
        <v>1</v>
      </c>
      <c r="U162" s="3">
        <f>IF($K162="","",O162+Q162+S162)</f>
      </c>
      <c r="V162" s="3">
        <f>IF($K162="","",L162-M162-N162-O162-P162-Q162-R162-S162-T162)</f>
      </c>
      <c r="W162" s="3">
        <f>IF($K162="","",(V162-AC162)/J162*100)</f>
      </c>
      <c r="X162" s="3">
        <f>IF($K162="","",M162-U162)</f>
      </c>
      <c r="AD162" s="3">
        <f>IF($K162="","",V162-AC162)</f>
      </c>
    </row>
    <row r="163" spans="1:30" x14ac:dyDescent="0.25">
      <c r="A163" s="1"/>
      <c r="D163" s="2"/>
      <c r="J163" s="3"/>
      <c r="K163" s="3"/>
      <c r="L163" s="3">
        <f>IF($K163="","",K163-J163)</f>
      </c>
      <c r="M163" s="3">
        <f>IF($K163="","",L163*16.67%)</f>
      </c>
      <c r="N163" s="3">
        <f>IF($K163="","",K163/100*7)</f>
      </c>
      <c r="O163" s="3">
        <f>IF($K163="","",N163*20%)</f>
      </c>
      <c r="P163" s="3">
        <f>IF($K163="","",N163*2%)</f>
      </c>
      <c r="Q163" s="3">
        <f>IF($K163="","",P163*20%)</f>
      </c>
      <c r="R163" s="3"/>
      <c r="S163" s="3">
        <f>IF($K163="","",R163*20%)</f>
      </c>
      <c r="T163" s="3">
        <v>1</v>
      </c>
      <c r="U163" s="3">
        <f>IF($K163="","",O163+Q163+S163)</f>
      </c>
      <c r="V163" s="3">
        <f>IF($K163="","",L163-M163-N163-O163-P163-Q163-R163-S163-T163)</f>
      </c>
      <c r="W163" s="3">
        <f>IF($K163="","",(V163-AC163)/J163*100)</f>
      </c>
      <c r="X163" s="3">
        <f>IF($K163="","",M163-U163)</f>
      </c>
      <c r="AD163" s="3">
        <f>IF($K163="","",V163-AC163)</f>
      </c>
    </row>
    <row r="164" spans="1:30" x14ac:dyDescent="0.25">
      <c r="A164" s="1"/>
      <c r="D164" s="2"/>
      <c r="J164" s="3"/>
      <c r="K164" s="3"/>
      <c r="L164" s="3">
        <f>IF($K164="","",K164-J164)</f>
      </c>
      <c r="M164" s="3">
        <f>IF($K164="","",L164*16.67%)</f>
      </c>
      <c r="N164" s="3">
        <f>IF($K164="","",K164/100*7)</f>
      </c>
      <c r="O164" s="3">
        <f>IF($K164="","",N164*20%)</f>
      </c>
      <c r="P164" s="3">
        <f>IF($K164="","",N164*2%)</f>
      </c>
      <c r="Q164" s="3">
        <f>IF($K164="","",P164*20%)</f>
      </c>
      <c r="R164" s="3"/>
      <c r="S164" s="3">
        <f>IF($K164="","",R164*20%)</f>
      </c>
      <c r="T164" s="3">
        <v>1</v>
      </c>
      <c r="U164" s="3">
        <f>IF($K164="","",O164+Q164+S164)</f>
      </c>
      <c r="V164" s="3">
        <f>IF($K164="","",L164-M164-N164-O164-P164-Q164-R164-S164-T164)</f>
      </c>
      <c r="W164" s="3">
        <f>IF($K164="","",(V164-AC164)/J164*100)</f>
      </c>
      <c r="X164" s="3">
        <f>IF($K164="","",M164-U164)</f>
      </c>
      <c r="AD164" s="3">
        <f>IF($K164="","",V164-AC164)</f>
      </c>
    </row>
    <row r="165" spans="1:30" x14ac:dyDescent="0.25">
      <c r="A165" s="1"/>
      <c r="D165" s="2"/>
      <c r="J165" s="3"/>
      <c r="K165" s="3"/>
      <c r="L165" s="3">
        <f>IF($K165="","",K165-J165)</f>
      </c>
      <c r="M165" s="3">
        <f>IF($K165="","",L165*16.67%)</f>
      </c>
      <c r="N165" s="3">
        <f>IF($K165="","",K165/100*7)</f>
      </c>
      <c r="O165" s="3">
        <f>IF($K165="","",N165*20%)</f>
      </c>
      <c r="P165" s="3">
        <f>IF($K165="","",N165*2%)</f>
      </c>
      <c r="Q165" s="3">
        <f>IF($K165="","",P165*20%)</f>
      </c>
      <c r="R165" s="3"/>
      <c r="S165" s="3">
        <f>IF($K165="","",R165*20%)</f>
      </c>
      <c r="T165" s="3">
        <v>1</v>
      </c>
      <c r="U165" s="3">
        <f>IF($K165="","",O165+Q165+S165)</f>
      </c>
      <c r="V165" s="3">
        <f>IF($K165="","",L165-M165-N165-O165-P165-Q165-R165-S165-T165)</f>
      </c>
      <c r="W165" s="3">
        <f>IF($K165="","",(V165-AC165)/J165*100)</f>
      </c>
      <c r="X165" s="3">
        <f>IF($K165="","",M165-U165)</f>
      </c>
      <c r="AD165" s="3">
        <f>IF($K165="","",V165-AC165)</f>
      </c>
    </row>
    <row r="166" spans="1:30" x14ac:dyDescent="0.25">
      <c r="A166" s="1"/>
      <c r="D166" s="2"/>
      <c r="J166" s="3"/>
      <c r="K166" s="3"/>
      <c r="L166" s="3">
        <f>IF($K166="","",K166-J166)</f>
      </c>
      <c r="M166" s="3">
        <f>IF($K166="","",L166*16.67%)</f>
      </c>
      <c r="N166" s="3">
        <f>IF($K166="","",K166/100*7)</f>
      </c>
      <c r="O166" s="3">
        <f>IF($K166="","",N166*20%)</f>
      </c>
      <c r="P166" s="3">
        <f>IF($K166="","",N166*2%)</f>
      </c>
      <c r="Q166" s="3">
        <f>IF($K166="","",P166*20%)</f>
      </c>
      <c r="R166" s="3"/>
      <c r="S166" s="3">
        <f>IF($K166="","",R166*20%)</f>
      </c>
      <c r="T166" s="3">
        <v>1</v>
      </c>
      <c r="U166" s="3">
        <f>IF($K166="","",O166+Q166+S166)</f>
      </c>
      <c r="V166" s="3">
        <f>IF($K166="","",L166-M166-N166-O166-P166-Q166-R166-S166-T166)</f>
      </c>
      <c r="W166" s="3">
        <f>IF($K166="","",(V166-AC166)/J166*100)</f>
      </c>
      <c r="X166" s="3">
        <f>IF($K166="","",M166-U166)</f>
      </c>
      <c r="AD166" s="3">
        <f>IF($K166="","",V166-AC166)</f>
      </c>
    </row>
    <row r="167" spans="1:30" x14ac:dyDescent="0.25">
      <c r="A167" s="1"/>
      <c r="D167" s="2"/>
      <c r="J167" s="3"/>
      <c r="K167" s="3"/>
      <c r="L167" s="3">
        <f>IF($K167="","",K167-J167)</f>
      </c>
      <c r="M167" s="3">
        <f>IF($K167="","",L167*16.67%)</f>
      </c>
      <c r="N167" s="3">
        <f>IF($K167="","",K167/100*7)</f>
      </c>
      <c r="O167" s="3">
        <f>IF($K167="","",N167*20%)</f>
      </c>
      <c r="P167" s="3">
        <f>IF($K167="","",N167*2%)</f>
      </c>
      <c r="Q167" s="3">
        <f>IF($K167="","",P167*20%)</f>
      </c>
      <c r="R167" s="3"/>
      <c r="S167" s="3">
        <f>IF($K167="","",R167*20%)</f>
      </c>
      <c r="T167" s="3">
        <v>1</v>
      </c>
      <c r="U167" s="3">
        <f>IF($K167="","",O167+Q167+S167)</f>
      </c>
      <c r="V167" s="3">
        <f>IF($K167="","",L167-M167-N167-O167-P167-Q167-R167-S167-T167)</f>
      </c>
      <c r="W167" s="3">
        <f>IF($K167="","",(V167-AC167)/J167*100)</f>
      </c>
      <c r="X167" s="3">
        <f>IF($K167="","",M167-U167)</f>
      </c>
      <c r="AD167" s="3">
        <f>IF($K167="","",V167-AC167)</f>
      </c>
    </row>
    <row r="168" spans="1:30" x14ac:dyDescent="0.25">
      <c r="A168" s="1"/>
      <c r="D168" s="2"/>
      <c r="J168" s="3"/>
      <c r="K168" s="3"/>
      <c r="L168" s="3">
        <f>IF($K168="","",K168-J168)</f>
      </c>
      <c r="M168" s="3">
        <f>IF($K168="","",L168*16.67%)</f>
      </c>
      <c r="N168" s="3">
        <f>IF($K168="","",K168/100*7)</f>
      </c>
      <c r="O168" s="3">
        <f>IF($K168="","",N168*20%)</f>
      </c>
      <c r="P168" s="3">
        <f>IF($K168="","",N168*2%)</f>
      </c>
      <c r="Q168" s="3">
        <f>IF($K168="","",P168*20%)</f>
      </c>
      <c r="R168" s="3"/>
      <c r="S168" s="3">
        <f>IF($K168="","",R168*20%)</f>
      </c>
      <c r="T168" s="3">
        <v>1</v>
      </c>
      <c r="U168" s="3">
        <f>IF($K168="","",O168+Q168+S168)</f>
      </c>
      <c r="V168" s="3">
        <f>IF($K168="","",L168-M168-N168-O168-P168-Q168-R168-S168-T168)</f>
      </c>
      <c r="W168" s="3">
        <f>IF($K168="","",(V168-AC168)/J168*100)</f>
      </c>
      <c r="X168" s="3">
        <f>IF($K168="","",M168-U168)</f>
      </c>
      <c r="AD168" s="3">
        <f>IF($K168="","",V168-AC168)</f>
      </c>
    </row>
    <row r="169" spans="1:30" x14ac:dyDescent="0.25">
      <c r="A169" s="1"/>
      <c r="D169" s="2"/>
      <c r="J169" s="3"/>
      <c r="K169" s="3"/>
      <c r="L169" s="3">
        <f>IF($K169="","",K169-J169)</f>
      </c>
      <c r="M169" s="3">
        <f>IF($K169="","",L169*16.67%)</f>
      </c>
      <c r="N169" s="3">
        <f>IF($K169="","",K169/100*7)</f>
      </c>
      <c r="O169" s="3">
        <f>IF($K169="","",N169*20%)</f>
      </c>
      <c r="P169" s="3">
        <f>IF($K169="","",N169*2%)</f>
      </c>
      <c r="Q169" s="3">
        <f>IF($K169="","",P169*20%)</f>
      </c>
      <c r="R169" s="3"/>
      <c r="S169" s="3">
        <f>IF($K169="","",R169*20%)</f>
      </c>
      <c r="T169" s="3">
        <v>1</v>
      </c>
      <c r="U169" s="3">
        <f>IF($K169="","",O169+Q169+S169)</f>
      </c>
      <c r="V169" s="3">
        <f>IF($K169="","",L169-M169-N169-O169-P169-Q169-R169-S169-T169)</f>
      </c>
      <c r="W169" s="3">
        <f>IF($K169="","",(V169-AC169)/J169*100)</f>
      </c>
      <c r="X169" s="3">
        <f>IF($K169="","",M169-U169)</f>
      </c>
      <c r="AD169" s="3">
        <f>IF($K169="","",V169-AC169)</f>
      </c>
    </row>
    <row r="170" spans="1:30" x14ac:dyDescent="0.25">
      <c r="A170" s="1"/>
      <c r="D170" s="2"/>
      <c r="J170" s="3"/>
      <c r="K170" s="3"/>
      <c r="L170" s="3">
        <f>IF($K170="","",K170-J170)</f>
      </c>
      <c r="M170" s="3">
        <f>IF($K170="","",L170*16.67%)</f>
      </c>
      <c r="N170" s="3">
        <f>IF($K170="","",K170/100*7)</f>
      </c>
      <c r="O170" s="3">
        <f>IF($K170="","",N170*20%)</f>
      </c>
      <c r="P170" s="3">
        <f>IF($K170="","",N170*2%)</f>
      </c>
      <c r="Q170" s="3">
        <f>IF($K170="","",P170*20%)</f>
      </c>
      <c r="R170" s="3"/>
      <c r="S170" s="3">
        <f>IF($K170="","",R170*20%)</f>
      </c>
      <c r="T170" s="3">
        <v>1</v>
      </c>
      <c r="U170" s="3">
        <f>IF($K170="","",O170+Q170+S170)</f>
      </c>
      <c r="V170" s="3">
        <f>IF($K170="","",L170-M170-N170-O170-P170-Q170-R170-S170-T170)</f>
      </c>
      <c r="W170" s="3">
        <f>IF($K170="","",(V170-AC170)/J170*100)</f>
      </c>
      <c r="X170" s="3">
        <f>IF($K170="","",M170-U170)</f>
      </c>
      <c r="AD170" s="3">
        <f>IF($K170="","",V170-AC170)</f>
      </c>
    </row>
    <row r="171" spans="1:30" x14ac:dyDescent="0.25">
      <c r="A171" s="1"/>
      <c r="D171" s="2"/>
      <c r="J171" s="3"/>
      <c r="K171" s="3"/>
      <c r="L171" s="3">
        <f>IF($K171="","",K171-J171)</f>
      </c>
      <c r="M171" s="3">
        <f>IF($K171="","",L171*16.67%)</f>
      </c>
      <c r="N171" s="3">
        <f>IF($K171="","",K171/100*7)</f>
      </c>
      <c r="O171" s="3">
        <f>IF($K171="","",N171*20%)</f>
      </c>
      <c r="P171" s="3">
        <f>IF($K171="","",N171*2%)</f>
      </c>
      <c r="Q171" s="3">
        <f>IF($K171="","",P171*20%)</f>
      </c>
      <c r="R171" s="3"/>
      <c r="S171" s="3">
        <f>IF($K171="","",R171*20%)</f>
      </c>
      <c r="T171" s="3">
        <v>1</v>
      </c>
      <c r="U171" s="3">
        <f>IF($K171="","",O171+Q171+S171)</f>
      </c>
      <c r="V171" s="3">
        <f>IF($K171="","",L171-M171-N171-O171-P171-Q171-R171-S171-T171)</f>
      </c>
      <c r="W171" s="3">
        <f>IF($K171="","",(V171-AC171)/J171*100)</f>
      </c>
      <c r="X171" s="3">
        <f>IF($K171="","",M171-U171)</f>
      </c>
      <c r="AD171" s="3">
        <f>IF($K171="","",V171-AC171)</f>
      </c>
    </row>
    <row r="172" spans="1:30" x14ac:dyDescent="0.25">
      <c r="A172" s="1"/>
      <c r="D172" s="2"/>
      <c r="J172" s="3"/>
      <c r="K172" s="3"/>
      <c r="L172" s="3">
        <f>IF($K172="","",K172-J172)</f>
      </c>
      <c r="M172" s="3">
        <f>IF($K172="","",L172*16.67%)</f>
      </c>
      <c r="N172" s="3">
        <f>IF($K172="","",K172/100*7)</f>
      </c>
      <c r="O172" s="3">
        <f>IF($K172="","",N172*20%)</f>
      </c>
      <c r="P172" s="3">
        <f>IF($K172="","",N172*2%)</f>
      </c>
      <c r="Q172" s="3">
        <f>IF($K172="","",P172*20%)</f>
      </c>
      <c r="R172" s="3"/>
      <c r="S172" s="3">
        <f>IF($K172="","",R172*20%)</f>
      </c>
      <c r="T172" s="3">
        <v>1</v>
      </c>
      <c r="U172" s="3">
        <f>IF($K172="","",O172+Q172+S172)</f>
      </c>
      <c r="V172" s="3">
        <f>IF($K172="","",L172-M172-N172-O172-P172-Q172-R172-S172-T172)</f>
      </c>
      <c r="W172" s="3">
        <f>IF($K172="","",(V172-AC172)/J172*100)</f>
      </c>
      <c r="X172" s="3">
        <f>IF($K172="","",M172-U172)</f>
      </c>
      <c r="AD172" s="3">
        <f>IF($K172="","",V172-AC172)</f>
      </c>
    </row>
    <row r="173" spans="1:30" x14ac:dyDescent="0.25">
      <c r="A173" s="1"/>
      <c r="D173" s="2"/>
      <c r="J173" s="3"/>
      <c r="K173" s="3"/>
      <c r="L173" s="3">
        <f>IF($K173="","",K173-J173)</f>
      </c>
      <c r="M173" s="3">
        <f>IF($K173="","",L173*16.67%)</f>
      </c>
      <c r="N173" s="3">
        <f>IF($K173="","",K173/100*7)</f>
      </c>
      <c r="O173" s="3">
        <f>IF($K173="","",N173*20%)</f>
      </c>
      <c r="P173" s="3">
        <f>IF($K173="","",N173*2%)</f>
      </c>
      <c r="Q173" s="3">
        <f>IF($K173="","",P173*20%)</f>
      </c>
      <c r="R173" s="3"/>
      <c r="S173" s="3">
        <f>IF($K173="","",R173*20%)</f>
      </c>
      <c r="T173" s="3">
        <v>1</v>
      </c>
      <c r="U173" s="3">
        <f>IF($K173="","",O173+Q173+S173)</f>
      </c>
      <c r="V173" s="3">
        <f>IF($K173="","",L173-M173-N173-O173-P173-Q173-R173-S173-T173)</f>
      </c>
      <c r="W173" s="3">
        <f>IF($K173="","",(V173-AC173)/J173*100)</f>
      </c>
      <c r="X173" s="3">
        <f>IF($K173="","",M173-U173)</f>
      </c>
      <c r="AD173" s="3">
        <f>IF($K173="","",V173-AC173)</f>
      </c>
    </row>
    <row r="174" spans="1:30" x14ac:dyDescent="0.25">
      <c r="A174" s="1"/>
      <c r="D174" s="2"/>
      <c r="J174" s="3"/>
      <c r="K174" s="3"/>
      <c r="L174" s="3">
        <f>IF($K174="","",K174-J174)</f>
      </c>
      <c r="M174" s="3">
        <f>IF($K174="","",L174*16.67%)</f>
      </c>
      <c r="N174" s="3">
        <f>IF($K174="","",K174/100*7)</f>
      </c>
      <c r="O174" s="3">
        <f>IF($K174="","",N174*20%)</f>
      </c>
      <c r="P174" s="3">
        <f>IF($K174="","",N174*2%)</f>
      </c>
      <c r="Q174" s="3">
        <f>IF($K174="","",P174*20%)</f>
      </c>
      <c r="R174" s="3"/>
      <c r="S174" s="3">
        <f>IF($K174="","",R174*20%)</f>
      </c>
      <c r="T174" s="3">
        <v>1</v>
      </c>
      <c r="U174" s="3">
        <f>IF($K174="","",O174+Q174+S174)</f>
      </c>
      <c r="V174" s="3">
        <f>IF($K174="","",L174-M174-N174-O174-P174-Q174-R174-S174-T174)</f>
      </c>
      <c r="W174" s="3">
        <f>IF($K174="","",(V174-AC174)/J174*100)</f>
      </c>
      <c r="X174" s="3">
        <f>IF($K174="","",M174-U174)</f>
      </c>
      <c r="AD174" s="3">
        <f>IF($K174="","",V174-AC174)</f>
      </c>
    </row>
    <row r="175" spans="1:30" x14ac:dyDescent="0.25">
      <c r="A175" s="1"/>
      <c r="D175" s="2"/>
      <c r="J175" s="3"/>
      <c r="K175" s="3"/>
      <c r="L175" s="3">
        <f>IF($K175="","",K175-J175)</f>
      </c>
      <c r="M175" s="3">
        <f>IF($K175="","",L175*16.67%)</f>
      </c>
      <c r="N175" s="3">
        <f>IF($K175="","",K175/100*7)</f>
      </c>
      <c r="O175" s="3">
        <f>IF($K175="","",N175*20%)</f>
      </c>
      <c r="P175" s="3">
        <f>IF($K175="","",N175*2%)</f>
      </c>
      <c r="Q175" s="3">
        <f>IF($K175="","",P175*20%)</f>
      </c>
      <c r="R175" s="3"/>
      <c r="S175" s="3">
        <f>IF($K175="","",R175*20%)</f>
      </c>
      <c r="T175" s="3">
        <v>1</v>
      </c>
      <c r="U175" s="3">
        <f>IF($K175="","",O175+Q175+S175)</f>
      </c>
      <c r="V175" s="3">
        <f>IF($K175="","",L175-M175-N175-O175-P175-Q175-R175-S175-T175)</f>
      </c>
      <c r="W175" s="3">
        <f>IF($K175="","",(V175-AC175)/J175*100)</f>
      </c>
      <c r="X175" s="3">
        <f>IF($K175="","",M175-U175)</f>
      </c>
      <c r="AD175" s="3">
        <f>IF($K175="","",V175-AC175)</f>
      </c>
    </row>
    <row r="176" spans="1:30" x14ac:dyDescent="0.25">
      <c r="A176" s="1"/>
      <c r="D176" s="2"/>
      <c r="J176" s="3"/>
      <c r="K176" s="3"/>
      <c r="L176" s="3">
        <f>IF($K176="","",K176-J176)</f>
      </c>
      <c r="M176" s="3">
        <f>IF($K176="","",L176*16.67%)</f>
      </c>
      <c r="N176" s="3">
        <f>IF($K176="","",K176/100*7)</f>
      </c>
      <c r="O176" s="3">
        <f>IF($K176="","",N176*20%)</f>
      </c>
      <c r="P176" s="3">
        <f>IF($K176="","",N176*2%)</f>
      </c>
      <c r="Q176" s="3">
        <f>IF($K176="","",P176*20%)</f>
      </c>
      <c r="R176" s="3"/>
      <c r="S176" s="3">
        <f>IF($K176="","",R176*20%)</f>
      </c>
      <c r="T176" s="3">
        <v>1</v>
      </c>
      <c r="U176" s="3">
        <f>IF($K176="","",O176+Q176+S176)</f>
      </c>
      <c r="V176" s="3">
        <f>IF($K176="","",L176-M176-N176-O176-P176-Q176-R176-S176-T176)</f>
      </c>
      <c r="W176" s="3">
        <f>IF($K176="","",(V176-AC176)/J176*100)</f>
      </c>
      <c r="X176" s="3">
        <f>IF($K176="","",M176-U176)</f>
      </c>
      <c r="AD176" s="3">
        <f>IF($K176="","",V176-AC176)</f>
      </c>
    </row>
    <row r="177" spans="1:30" x14ac:dyDescent="0.25">
      <c r="A177" s="1"/>
      <c r="D177" s="2"/>
      <c r="J177" s="3"/>
      <c r="K177" s="3"/>
      <c r="L177" s="3">
        <f>IF($K177="","",K177-J177)</f>
      </c>
      <c r="M177" s="3">
        <f>IF($K177="","",L177*16.67%)</f>
      </c>
      <c r="N177" s="3">
        <f>IF($K177="","",K177/100*7)</f>
      </c>
      <c r="O177" s="3">
        <f>IF($K177="","",N177*20%)</f>
      </c>
      <c r="P177" s="3">
        <f>IF($K177="","",N177*2%)</f>
      </c>
      <c r="Q177" s="3">
        <f>IF($K177="","",P177*20%)</f>
      </c>
      <c r="R177" s="3"/>
      <c r="S177" s="3">
        <f>IF($K177="","",R177*20%)</f>
      </c>
      <c r="T177" s="3">
        <v>1</v>
      </c>
      <c r="U177" s="3">
        <f>IF($K177="","",O177+Q177+S177)</f>
      </c>
      <c r="V177" s="3">
        <f>IF($K177="","",L177-M177-N177-O177-P177-Q177-R177-S177-T177)</f>
      </c>
      <c r="W177" s="3">
        <f>IF($K177="","",(V177-AC177)/J177*100)</f>
      </c>
      <c r="X177" s="3">
        <f>IF($K177="","",M177-U177)</f>
      </c>
      <c r="AD177" s="3">
        <f>IF($K177="","",V177-AC177)</f>
      </c>
    </row>
    <row r="178" spans="1:30" x14ac:dyDescent="0.25">
      <c r="A178" s="1"/>
      <c r="D178" s="2"/>
      <c r="J178" s="3"/>
      <c r="K178" s="3"/>
      <c r="L178" s="3">
        <f>IF($K178="","",K178-J178)</f>
      </c>
      <c r="M178" s="3">
        <f>IF($K178="","",L178*16.67%)</f>
      </c>
      <c r="N178" s="3">
        <f>IF($K178="","",K178/100*7)</f>
      </c>
      <c r="O178" s="3">
        <f>IF($K178="","",N178*20%)</f>
      </c>
      <c r="P178" s="3">
        <f>IF($K178="","",N178*2%)</f>
      </c>
      <c r="Q178" s="3">
        <f>IF($K178="","",P178*20%)</f>
      </c>
      <c r="R178" s="3"/>
      <c r="S178" s="3">
        <f>IF($K178="","",R178*20%)</f>
      </c>
      <c r="T178" s="3">
        <v>1</v>
      </c>
      <c r="U178" s="3">
        <f>IF($K178="","",O178+Q178+S178)</f>
      </c>
      <c r="V178" s="3">
        <f>IF($K178="","",L178-M178-N178-O178-P178-Q178-R178-S178-T178)</f>
      </c>
      <c r="W178" s="3">
        <f>IF($K178="","",(V178-AC178)/J178*100)</f>
      </c>
      <c r="X178" s="3">
        <f>IF($K178="","",M178-U178)</f>
      </c>
      <c r="AD178" s="3">
        <f>IF($K178="","",V178-AC178)</f>
      </c>
    </row>
    <row r="179" spans="1:30" x14ac:dyDescent="0.25">
      <c r="A179" s="1"/>
      <c r="D179" s="2"/>
      <c r="J179" s="3"/>
      <c r="K179" s="3"/>
      <c r="L179" s="3">
        <f>IF($K179="","",K179-J179)</f>
      </c>
      <c r="M179" s="3">
        <f>IF($K179="","",L179*16.67%)</f>
      </c>
      <c r="N179" s="3">
        <f>IF($K179="","",K179/100*7)</f>
      </c>
      <c r="O179" s="3">
        <f>IF($K179="","",N179*20%)</f>
      </c>
      <c r="P179" s="3">
        <f>IF($K179="","",N179*2%)</f>
      </c>
      <c r="Q179" s="3">
        <f>IF($K179="","",P179*20%)</f>
      </c>
      <c r="R179" s="3"/>
      <c r="S179" s="3">
        <f>IF($K179="","",R179*20%)</f>
      </c>
      <c r="T179" s="3">
        <v>1</v>
      </c>
      <c r="U179" s="3">
        <f>IF($K179="","",O179+Q179+S179)</f>
      </c>
      <c r="V179" s="3">
        <f>IF($K179="","",L179-M179-N179-O179-P179-Q179-R179-S179-T179)</f>
      </c>
      <c r="W179" s="3">
        <f>IF($K179="","",(V179-AC179)/J179*100)</f>
      </c>
      <c r="X179" s="3">
        <f>IF($K179="","",M179-U179)</f>
      </c>
      <c r="AD179" s="3">
        <f>IF($K179="","",V179-AC179)</f>
      </c>
    </row>
    <row r="180" spans="1:30" x14ac:dyDescent="0.25">
      <c r="A180" s="1"/>
      <c r="D180" s="2"/>
      <c r="J180" s="3"/>
      <c r="K180" s="3"/>
      <c r="L180" s="3">
        <f>IF($K180="","",K180-J180)</f>
      </c>
      <c r="M180" s="3">
        <f>IF($K180="","",L180*16.67%)</f>
      </c>
      <c r="N180" s="3">
        <f>IF($K180="","",K180/100*7)</f>
      </c>
      <c r="O180" s="3">
        <f>IF($K180="","",N180*20%)</f>
      </c>
      <c r="P180" s="3">
        <f>IF($K180="","",N180*2%)</f>
      </c>
      <c r="Q180" s="3">
        <f>IF($K180="","",P180*20%)</f>
      </c>
      <c r="R180" s="3"/>
      <c r="S180" s="3">
        <f>IF($K180="","",R180*20%)</f>
      </c>
      <c r="T180" s="3">
        <v>1</v>
      </c>
      <c r="U180" s="3">
        <f>IF($K180="","",O180+Q180+S180)</f>
      </c>
      <c r="V180" s="3">
        <f>IF($K180="","",L180-M180-N180-O180-P180-Q180-R180-S180-T180)</f>
      </c>
      <c r="W180" s="3">
        <f>IF($K180="","",(V180-AC180)/J180*100)</f>
      </c>
      <c r="X180" s="3">
        <f>IF($K180="","",M180-U180)</f>
      </c>
      <c r="AD180" s="3">
        <f>IF($K180="","",V180-AC180)</f>
      </c>
    </row>
    <row r="181" spans="1:30" x14ac:dyDescent="0.25">
      <c r="A181" s="1"/>
      <c r="D181" s="2"/>
      <c r="J181" s="3"/>
      <c r="K181" s="3"/>
      <c r="L181" s="3">
        <f>IF($K181="","",K181-J181)</f>
      </c>
      <c r="M181" s="3">
        <f>IF($K181="","",L181*16.67%)</f>
      </c>
      <c r="N181" s="3">
        <f>IF($K181="","",K181/100*7)</f>
      </c>
      <c r="O181" s="3">
        <f>IF($K181="","",N181*20%)</f>
      </c>
      <c r="P181" s="3">
        <f>IF($K181="","",N181*2%)</f>
      </c>
      <c r="Q181" s="3">
        <f>IF($K181="","",P181*20%)</f>
      </c>
      <c r="R181" s="3"/>
      <c r="S181" s="3">
        <f>IF($K181="","",R181*20%)</f>
      </c>
      <c r="T181" s="3">
        <v>1</v>
      </c>
      <c r="U181" s="3">
        <f>IF($K181="","",O181+Q181+S181)</f>
      </c>
      <c r="V181" s="3">
        <f>IF($K181="","",L181-M181-N181-O181-P181-Q181-R181-S181-T181)</f>
      </c>
      <c r="W181" s="3">
        <f>IF($K181="","",(V181-AC181)/J181*100)</f>
      </c>
      <c r="X181" s="3">
        <f>IF($K181="","",M181-U181)</f>
      </c>
      <c r="AD181" s="3">
        <f>IF($K181="","",V181-AC181)</f>
      </c>
    </row>
    <row r="182" spans="1:30" x14ac:dyDescent="0.25">
      <c r="A182" s="1"/>
      <c r="D182" s="2"/>
      <c r="J182" s="3"/>
      <c r="K182" s="3"/>
      <c r="L182" s="3">
        <f>IF($K182="","",K182-J182)</f>
      </c>
      <c r="M182" s="3">
        <f>IF($K182="","",L182*16.67%)</f>
      </c>
      <c r="N182" s="3">
        <f>IF($K182="","",K182/100*7)</f>
      </c>
      <c r="O182" s="3">
        <f>IF($K182="","",N182*20%)</f>
      </c>
      <c r="P182" s="3">
        <f>IF($K182="","",N182*2%)</f>
      </c>
      <c r="Q182" s="3">
        <f>IF($K182="","",P182*20%)</f>
      </c>
      <c r="R182" s="3"/>
      <c r="S182" s="3">
        <f>IF($K182="","",R182*20%)</f>
      </c>
      <c r="T182" s="3">
        <v>1</v>
      </c>
      <c r="U182" s="3">
        <f>IF($K182="","",O182+Q182+S182)</f>
      </c>
      <c r="V182" s="3">
        <f>IF($K182="","",L182-M182-N182-O182-P182-Q182-R182-S182-T182)</f>
      </c>
      <c r="W182" s="3">
        <f>IF($K182="","",(V182-AC182)/J182*100)</f>
      </c>
      <c r="X182" s="3">
        <f>IF($K182="","",M182-U182)</f>
      </c>
      <c r="AD182" s="3">
        <f>IF($K182="","",V182-AC182)</f>
      </c>
    </row>
    <row r="183" spans="1:30" x14ac:dyDescent="0.25">
      <c r="A183" s="1"/>
      <c r="D183" s="2"/>
      <c r="J183" s="3"/>
      <c r="K183" s="3"/>
      <c r="L183" s="3">
        <f>IF($K183="","",K183-J183)</f>
      </c>
      <c r="M183" s="3">
        <f>IF($K183="","",L183*16.67%)</f>
      </c>
      <c r="N183" s="3">
        <f>IF($K183="","",K183/100*7)</f>
      </c>
      <c r="O183" s="3">
        <f>IF($K183="","",N183*20%)</f>
      </c>
      <c r="P183" s="3">
        <f>IF($K183="","",N183*2%)</f>
      </c>
      <c r="Q183" s="3">
        <f>IF($K183="","",P183*20%)</f>
      </c>
      <c r="R183" s="3"/>
      <c r="S183" s="3">
        <f>IF($K183="","",R183*20%)</f>
      </c>
      <c r="T183" s="3">
        <v>1</v>
      </c>
      <c r="U183" s="3">
        <f>IF($K183="","",O183+Q183+S183)</f>
      </c>
      <c r="V183" s="3">
        <f>IF($K183="","",L183-M183-N183-O183-P183-Q183-R183-S183-T183)</f>
      </c>
      <c r="W183" s="3">
        <f>IF($K183="","",(V183-AC183)/J183*100)</f>
      </c>
      <c r="X183" s="3">
        <f>IF($K183="","",M183-U183)</f>
      </c>
      <c r="AD183" s="3">
        <f>IF($K183="","",V183-AC183)</f>
      </c>
    </row>
    <row r="184" spans="1:30" x14ac:dyDescent="0.25">
      <c r="A184" s="1"/>
      <c r="D184" s="2"/>
      <c r="J184" s="3"/>
      <c r="K184" s="3"/>
      <c r="L184" s="3">
        <f>IF($K184="","",K184-J184)</f>
      </c>
      <c r="M184" s="3">
        <f>IF($K184="","",L184*16.67%)</f>
      </c>
      <c r="N184" s="3">
        <f>IF($K184="","",K184/100*7)</f>
      </c>
      <c r="O184" s="3">
        <f>IF($K184="","",N184*20%)</f>
      </c>
      <c r="P184" s="3">
        <f>IF($K184="","",N184*2%)</f>
      </c>
      <c r="Q184" s="3">
        <f>IF($K184="","",P184*20%)</f>
      </c>
      <c r="R184" s="3"/>
      <c r="S184" s="3">
        <f>IF($K184="","",R184*20%)</f>
      </c>
      <c r="T184" s="3">
        <v>1</v>
      </c>
      <c r="U184" s="3">
        <f>IF($K184="","",O184+Q184+S184)</f>
      </c>
      <c r="V184" s="3">
        <f>IF($K184="","",L184-M184-N184-O184-P184-Q184-R184-S184-T184)</f>
      </c>
      <c r="W184" s="3">
        <f>IF($K184="","",(V184-AC184)/J184*100)</f>
      </c>
      <c r="X184" s="3">
        <f>IF($K184="","",M184-U184)</f>
      </c>
      <c r="AD184" s="3">
        <f>IF($K184="","",V184-AC184)</f>
      </c>
    </row>
    <row r="185" spans="1:30" x14ac:dyDescent="0.25">
      <c r="A185" s="1"/>
      <c r="D185" s="2"/>
      <c r="J185" s="3"/>
      <c r="K185" s="3"/>
      <c r="L185" s="3">
        <f>IF($K185="","",K185-J185)</f>
      </c>
      <c r="M185" s="3">
        <f>IF($K185="","",L185*16.67%)</f>
      </c>
      <c r="N185" s="3">
        <f>IF($K185="","",K185/100*7)</f>
      </c>
      <c r="O185" s="3">
        <f>IF($K185="","",N185*20%)</f>
      </c>
      <c r="P185" s="3">
        <f>IF($K185="","",N185*2%)</f>
      </c>
      <c r="Q185" s="3">
        <f>IF($K185="","",P185*20%)</f>
      </c>
      <c r="R185" s="3"/>
      <c r="S185" s="3">
        <f>IF($K185="","",R185*20%)</f>
      </c>
      <c r="T185" s="3">
        <v>1</v>
      </c>
      <c r="U185" s="3">
        <f>IF($K185="","",O185+Q185+S185)</f>
      </c>
      <c r="V185" s="3">
        <f>IF($K185="","",L185-M185-N185-O185-P185-Q185-R185-S185-T185)</f>
      </c>
      <c r="W185" s="3">
        <f>IF($K185="","",(V185-AC185)/J185*100)</f>
      </c>
      <c r="X185" s="3">
        <f>IF($K185="","",M185-U185)</f>
      </c>
      <c r="AD185" s="3">
        <f>IF($K185="","",V185-AC185)</f>
      </c>
    </row>
    <row r="186" spans="1:30" x14ac:dyDescent="0.25">
      <c r="A186" s="1"/>
      <c r="D186" s="2"/>
      <c r="J186" s="3"/>
      <c r="K186" s="3"/>
      <c r="L186" s="3">
        <f>IF($K186="","",K186-J186)</f>
      </c>
      <c r="M186" s="3">
        <f>IF($K186="","",L186*16.67%)</f>
      </c>
      <c r="N186" s="3">
        <f>IF($K186="","",K186/100*7)</f>
      </c>
      <c r="O186" s="3">
        <f>IF($K186="","",N186*20%)</f>
      </c>
      <c r="P186" s="3">
        <f>IF($K186="","",N186*2%)</f>
      </c>
      <c r="Q186" s="3">
        <f>IF($K186="","",P186*20%)</f>
      </c>
      <c r="R186" s="3"/>
      <c r="S186" s="3">
        <f>IF($K186="","",R186*20%)</f>
      </c>
      <c r="T186" s="3">
        <v>1</v>
      </c>
      <c r="U186" s="3">
        <f>IF($K186="","",O186+Q186+S186)</f>
      </c>
      <c r="V186" s="3">
        <f>IF($K186="","",L186-M186-N186-O186-P186-Q186-R186-S186-T186)</f>
      </c>
      <c r="W186" s="3">
        <f>IF($K186="","",(V186-AC186)/J186*100)</f>
      </c>
      <c r="X186" s="3">
        <f>IF($K186="","",M186-U186)</f>
      </c>
      <c r="AD186" s="3">
        <f>IF($K186="","",V186-AC186)</f>
      </c>
    </row>
    <row r="187" spans="1:30" x14ac:dyDescent="0.25">
      <c r="A187" s="1"/>
      <c r="D187" s="2"/>
      <c r="J187" s="3"/>
      <c r="K187" s="3"/>
      <c r="L187" s="3">
        <f>IF($K187="","",K187-J187)</f>
      </c>
      <c r="M187" s="3">
        <f>IF($K187="","",L187*16.67%)</f>
      </c>
      <c r="N187" s="3">
        <f>IF($K187="","",K187/100*7)</f>
      </c>
      <c r="O187" s="3">
        <f>IF($K187="","",N187*20%)</f>
      </c>
      <c r="P187" s="3">
        <f>IF($K187="","",N187*2%)</f>
      </c>
      <c r="Q187" s="3">
        <f>IF($K187="","",P187*20%)</f>
      </c>
      <c r="R187" s="3"/>
      <c r="S187" s="3">
        <f>IF($K187="","",R187*20%)</f>
      </c>
      <c r="T187" s="3">
        <v>1</v>
      </c>
      <c r="U187" s="3">
        <f>IF($K187="","",O187+Q187+S187)</f>
      </c>
      <c r="V187" s="3">
        <f>IF($K187="","",L187-M187-N187-O187-P187-Q187-R187-S187-T187)</f>
      </c>
      <c r="W187" s="3">
        <f>IF($K187="","",(V187-AC187)/J187*100)</f>
      </c>
      <c r="X187" s="3">
        <f>IF($K187="","",M187-U187)</f>
      </c>
      <c r="AD187" s="3">
        <f>IF($K187="","",V187-AC187)</f>
      </c>
    </row>
    <row r="188" spans="1:30" x14ac:dyDescent="0.25">
      <c r="A188" s="1"/>
      <c r="D188" s="2"/>
      <c r="J188" s="3"/>
      <c r="K188" s="3"/>
      <c r="L188" s="3">
        <f>IF($K188="","",K188-J188)</f>
      </c>
      <c r="M188" s="3">
        <f>IF($K188="","",L188*16.67%)</f>
      </c>
      <c r="N188" s="3">
        <f>IF($K188="","",K188/100*7)</f>
      </c>
      <c r="O188" s="3">
        <f>IF($K188="","",N188*20%)</f>
      </c>
      <c r="P188" s="3">
        <f>IF($K188="","",N188*2%)</f>
      </c>
      <c r="Q188" s="3">
        <f>IF($K188="","",P188*20%)</f>
      </c>
      <c r="R188" s="3"/>
      <c r="S188" s="3">
        <f>IF($K188="","",R188*20%)</f>
      </c>
      <c r="T188" s="3">
        <v>1</v>
      </c>
      <c r="U188" s="3">
        <f>IF($K188="","",O188+Q188+S188)</f>
      </c>
      <c r="V188" s="3">
        <f>IF($K188="","",L188-M188-N188-O188-P188-Q188-R188-S188-T188)</f>
      </c>
      <c r="W188" s="3">
        <f>IF($K188="","",(V188-AC188)/J188*100)</f>
      </c>
      <c r="X188" s="3">
        <f>IF($K188="","",M188-U188)</f>
      </c>
      <c r="AD188" s="3">
        <f>IF($K188="","",V188-AC188)</f>
      </c>
    </row>
    <row r="189" spans="1:30" x14ac:dyDescent="0.25">
      <c r="A189" s="1"/>
      <c r="D189" s="2"/>
      <c r="J189" s="3"/>
      <c r="K189" s="3"/>
      <c r="L189" s="3">
        <f>IF($K189="","",K189-J189)</f>
      </c>
      <c r="M189" s="3">
        <f>IF($K189="","",L189*16.67%)</f>
      </c>
      <c r="N189" s="3">
        <f>IF($K189="","",K189/100*7)</f>
      </c>
      <c r="O189" s="3">
        <f>IF($K189="","",N189*20%)</f>
      </c>
      <c r="P189" s="3">
        <f>IF($K189="","",N189*2%)</f>
      </c>
      <c r="Q189" s="3">
        <f>IF($K189="","",P189*20%)</f>
      </c>
      <c r="R189" s="3"/>
      <c r="S189" s="3">
        <f>IF($K189="","",R189*20%)</f>
      </c>
      <c r="T189" s="3">
        <v>1</v>
      </c>
      <c r="U189" s="3">
        <f>IF($K189="","",O189+Q189+S189)</f>
      </c>
      <c r="V189" s="3">
        <f>IF($K189="","",L189-M189-N189-O189-P189-Q189-R189-S189-T189)</f>
      </c>
      <c r="W189" s="3">
        <f>IF($K189="","",(V189-AC189)/J189*100)</f>
      </c>
      <c r="X189" s="3">
        <f>IF($K189="","",M189-U189)</f>
      </c>
      <c r="AD189" s="3">
        <f>IF($K189="","",V189-AC189)</f>
      </c>
    </row>
    <row r="190" spans="1:30" x14ac:dyDescent="0.25">
      <c r="A190" s="1"/>
      <c r="D190" s="2"/>
      <c r="J190" s="3"/>
      <c r="K190" s="3"/>
      <c r="L190" s="3">
        <f>IF($K190="","",K190-J190)</f>
      </c>
      <c r="M190" s="3">
        <f>IF($K190="","",L190*16.67%)</f>
      </c>
      <c r="N190" s="3">
        <f>IF($K190="","",K190/100*7)</f>
      </c>
      <c r="O190" s="3">
        <f>IF($K190="","",N190*20%)</f>
      </c>
      <c r="P190" s="3">
        <f>IF($K190="","",N190*2%)</f>
      </c>
      <c r="Q190" s="3">
        <f>IF($K190="","",P190*20%)</f>
      </c>
      <c r="R190" s="3"/>
      <c r="S190" s="3">
        <f>IF($K190="","",R190*20%)</f>
      </c>
      <c r="T190" s="3">
        <v>1</v>
      </c>
      <c r="U190" s="3">
        <f>IF($K190="","",O190+Q190+S190)</f>
      </c>
      <c r="V190" s="3">
        <f>IF($K190="","",L190-M190-N190-O190-P190-Q190-R190-S190-T190)</f>
      </c>
      <c r="W190" s="3">
        <f>IF($K190="","",(V190-AC190)/J190*100)</f>
      </c>
      <c r="X190" s="3">
        <f>IF($K190="","",M190-U190)</f>
      </c>
      <c r="AD190" s="3">
        <f>IF($K190="","",V190-AC190)</f>
      </c>
    </row>
    <row r="191" spans="1:30" x14ac:dyDescent="0.25">
      <c r="A191" s="1"/>
      <c r="D191" s="2"/>
      <c r="J191" s="3"/>
      <c r="K191" s="3"/>
      <c r="L191" s="3">
        <f>IF($K191="","",K191-J191)</f>
      </c>
      <c r="M191" s="3">
        <f>IF($K191="","",L191*16.67%)</f>
      </c>
      <c r="N191" s="3">
        <f>IF($K191="","",K191/100*7)</f>
      </c>
      <c r="O191" s="3">
        <f>IF($K191="","",N191*20%)</f>
      </c>
      <c r="P191" s="3">
        <f>IF($K191="","",N191*2%)</f>
      </c>
      <c r="Q191" s="3">
        <f>IF($K191="","",P191*20%)</f>
      </c>
      <c r="R191" s="3"/>
      <c r="S191" s="3">
        <f>IF($K191="","",R191*20%)</f>
      </c>
      <c r="T191" s="3">
        <v>1</v>
      </c>
      <c r="U191" s="3">
        <f>IF($K191="","",O191+Q191+S191)</f>
      </c>
      <c r="V191" s="3">
        <f>IF($K191="","",L191-M191-N191-O191-P191-Q191-R191-S191-T191)</f>
      </c>
      <c r="W191" s="3">
        <f>IF($K191="","",(V191-AC191)/J191*100)</f>
      </c>
      <c r="X191" s="3">
        <f>IF($K191="","",M191-U191)</f>
      </c>
      <c r="AD191" s="3">
        <f>IF($K191="","",V191-AC191)</f>
      </c>
    </row>
    <row r="192" spans="1:30" x14ac:dyDescent="0.25">
      <c r="A192" s="1"/>
      <c r="D192" s="2"/>
      <c r="J192" s="3"/>
      <c r="K192" s="3"/>
      <c r="L192" s="3">
        <f>IF($K192="","",K192-J192)</f>
      </c>
      <c r="M192" s="3">
        <f>IF($K192="","",L192*16.67%)</f>
      </c>
      <c r="N192" s="3">
        <f>IF($K192="","",K192/100*7)</f>
      </c>
      <c r="O192" s="3">
        <f>IF($K192="","",N192*20%)</f>
      </c>
      <c r="P192" s="3">
        <f>IF($K192="","",N192*2%)</f>
      </c>
      <c r="Q192" s="3">
        <f>IF($K192="","",P192*20%)</f>
      </c>
      <c r="R192" s="3"/>
      <c r="S192" s="3">
        <f>IF($K192="","",R192*20%)</f>
      </c>
      <c r="T192" s="3">
        <v>1</v>
      </c>
      <c r="U192" s="3">
        <f>IF($K192="","",O192+Q192+S192)</f>
      </c>
      <c r="V192" s="3">
        <f>IF($K192="","",L192-M192-N192-O192-P192-Q192-R192-S192-T192)</f>
      </c>
      <c r="W192" s="3">
        <f>IF($K192="","",(V192-AC192)/J192*100)</f>
      </c>
      <c r="X192" s="3">
        <f>IF($K192="","",M192-U192)</f>
      </c>
      <c r="AD192" s="3">
        <f>IF($K192="","",V192-AC192)</f>
      </c>
    </row>
    <row r="193" spans="1:30" x14ac:dyDescent="0.25">
      <c r="A193" s="1"/>
      <c r="D193" s="2"/>
      <c r="J193" s="3"/>
      <c r="K193" s="3"/>
      <c r="L193" s="3">
        <f>IF($K193="","",K193-J193)</f>
      </c>
      <c r="M193" s="3">
        <f>IF($K193="","",L193*16.67%)</f>
      </c>
      <c r="N193" s="3">
        <f>IF($K193="","",K193/100*7)</f>
      </c>
      <c r="O193" s="3">
        <f>IF($K193="","",N193*20%)</f>
      </c>
      <c r="P193" s="3">
        <f>IF($K193="","",N193*2%)</f>
      </c>
      <c r="Q193" s="3">
        <f>IF($K193="","",P193*20%)</f>
      </c>
      <c r="R193" s="3"/>
      <c r="S193" s="3">
        <f>IF($K193="","",R193*20%)</f>
      </c>
      <c r="T193" s="3">
        <v>1</v>
      </c>
      <c r="U193" s="3">
        <f>IF($K193="","",O193+Q193+S193)</f>
      </c>
      <c r="V193" s="3">
        <f>IF($K193="","",L193-M193-N193-O193-P193-Q193-R193-S193-T193)</f>
      </c>
      <c r="W193" s="3">
        <f>IF($K193="","",(V193-AC193)/J193*100)</f>
      </c>
      <c r="X193" s="3">
        <f>IF($K193="","",M193-U193)</f>
      </c>
      <c r="AD193" s="3">
        <f>IF($K193="","",V193-AC193)</f>
      </c>
    </row>
    <row r="194" spans="1:30" x14ac:dyDescent="0.25">
      <c r="A194" s="1"/>
      <c r="D194" s="2"/>
      <c r="J194" s="3"/>
      <c r="K194" s="3"/>
      <c r="L194" s="3">
        <f>IF($K194="","",K194-J194)</f>
      </c>
      <c r="M194" s="3">
        <f>IF($K194="","",L194*16.67%)</f>
      </c>
      <c r="N194" s="3">
        <f>IF($K194="","",K194/100*7)</f>
      </c>
      <c r="O194" s="3">
        <f>IF($K194="","",N194*20%)</f>
      </c>
      <c r="P194" s="3">
        <f>IF($K194="","",N194*2%)</f>
      </c>
      <c r="Q194" s="3">
        <f>IF($K194="","",P194*20%)</f>
      </c>
      <c r="R194" s="3"/>
      <c r="S194" s="3">
        <f>IF($K194="","",R194*20%)</f>
      </c>
      <c r="T194" s="3">
        <v>1</v>
      </c>
      <c r="U194" s="3">
        <f>IF($K194="","",O194+Q194+S194)</f>
      </c>
      <c r="V194" s="3">
        <f>IF($K194="","",L194-M194-N194-O194-P194-Q194-R194-S194-T194)</f>
      </c>
      <c r="W194" s="3">
        <f>IF($K194="","",(V194-AC194)/J194*100)</f>
      </c>
      <c r="X194" s="3">
        <f>IF($K194="","",M194-U194)</f>
      </c>
      <c r="AD194" s="3">
        <f>IF($K194="","",V194-AC194)</f>
      </c>
    </row>
    <row r="195" spans="1:30" x14ac:dyDescent="0.25">
      <c r="A195" s="1"/>
      <c r="D195" s="2"/>
      <c r="J195" s="3"/>
      <c r="K195" s="3"/>
      <c r="L195" s="3">
        <f>IF($K195="","",K195-J195)</f>
      </c>
      <c r="M195" s="3">
        <f>IF($K195="","",L195*16.67%)</f>
      </c>
      <c r="N195" s="3">
        <f>IF($K195="","",K195/100*7)</f>
      </c>
      <c r="O195" s="3">
        <f>IF($K195="","",N195*20%)</f>
      </c>
      <c r="P195" s="3">
        <f>IF($K195="","",N195*2%)</f>
      </c>
      <c r="Q195" s="3">
        <f>IF($K195="","",P195*20%)</f>
      </c>
      <c r="R195" s="3"/>
      <c r="S195" s="3">
        <f>IF($K195="","",R195*20%)</f>
      </c>
      <c r="T195" s="3">
        <v>1</v>
      </c>
      <c r="U195" s="3">
        <f>IF($K195="","",O195+Q195+S195)</f>
      </c>
      <c r="V195" s="3">
        <f>IF($K195="","",L195-M195-N195-O195-P195-Q195-R195-S195-T195)</f>
      </c>
      <c r="W195" s="3">
        <f>IF($K195="","",(V195-AC195)/J195*100)</f>
      </c>
      <c r="X195" s="3">
        <f>IF($K195="","",M195-U195)</f>
      </c>
      <c r="AD195" s="3">
        <f>IF($K195="","",V195-AC195)</f>
      </c>
    </row>
    <row r="196" spans="1:30" x14ac:dyDescent="0.25">
      <c r="A196" s="1"/>
      <c r="D196" s="2"/>
      <c r="J196" s="3"/>
      <c r="K196" s="3"/>
      <c r="L196" s="3">
        <f>IF($K196="","",K196-J196)</f>
      </c>
      <c r="M196" s="3">
        <f>IF($K196="","",L196*16.67%)</f>
      </c>
      <c r="N196" s="3">
        <f>IF($K196="","",K196/100*7)</f>
      </c>
      <c r="O196" s="3">
        <f>IF($K196="","",N196*20%)</f>
      </c>
      <c r="P196" s="3">
        <f>IF($K196="","",N196*2%)</f>
      </c>
      <c r="Q196" s="3">
        <f>IF($K196="","",P196*20%)</f>
      </c>
      <c r="R196" s="3"/>
      <c r="S196" s="3">
        <f>IF($K196="","",R196*20%)</f>
      </c>
      <c r="T196" s="3">
        <v>1</v>
      </c>
      <c r="U196" s="3">
        <f>IF($K196="","",O196+Q196+S196)</f>
      </c>
      <c r="V196" s="3">
        <f>IF($K196="","",L196-M196-N196-O196-P196-Q196-R196-S196-T196)</f>
      </c>
      <c r="W196" s="3">
        <f>IF($K196="","",(V196-AC196)/J196*100)</f>
      </c>
      <c r="X196" s="3">
        <f>IF($K196="","",M196-U196)</f>
      </c>
      <c r="AD196" s="3">
        <f>IF($K196="","",V196-AC196)</f>
      </c>
    </row>
    <row r="197" spans="1:30" x14ac:dyDescent="0.25">
      <c r="A197" s="1"/>
      <c r="D197" s="2"/>
      <c r="J197" s="3"/>
      <c r="K197" s="3"/>
      <c r="L197" s="3">
        <f>IF($K197="","",K197-J197)</f>
      </c>
      <c r="M197" s="3">
        <f>IF($K197="","",L197*16.67%)</f>
      </c>
      <c r="N197" s="3">
        <f>IF($K197="","",K197/100*7)</f>
      </c>
      <c r="O197" s="3">
        <f>IF($K197="","",N197*20%)</f>
      </c>
      <c r="P197" s="3">
        <f>IF($K197="","",N197*2%)</f>
      </c>
      <c r="Q197" s="3">
        <f>IF($K197="","",P197*20%)</f>
      </c>
      <c r="R197" s="3"/>
      <c r="S197" s="3">
        <f>IF($K197="","",R197*20%)</f>
      </c>
      <c r="T197" s="3">
        <v>1</v>
      </c>
      <c r="U197" s="3">
        <f>IF($K197="","",O197+Q197+S197)</f>
      </c>
      <c r="V197" s="3">
        <f>IF($K197="","",L197-M197-N197-O197-P197-Q197-R197-S197-T197)</f>
      </c>
      <c r="W197" s="3">
        <f>IF($K197="","",(V197-AC197)/J197*100)</f>
      </c>
      <c r="X197" s="3">
        <f>IF($K197="","",M197-U197)</f>
      </c>
      <c r="AD197" s="3">
        <f>IF($K197="","",V197-AC197)</f>
      </c>
    </row>
    <row r="198" spans="1:30" x14ac:dyDescent="0.25">
      <c r="A198" s="1"/>
      <c r="D198" s="2"/>
      <c r="J198" s="3"/>
      <c r="K198" s="3"/>
      <c r="L198" s="3">
        <f>IF($K198="","",K198-J198)</f>
      </c>
      <c r="M198" s="3">
        <f>IF($K198="","",L198*16.67%)</f>
      </c>
      <c r="N198" s="3">
        <f>IF($K198="","",K198/100*7)</f>
      </c>
      <c r="O198" s="3">
        <f>IF($K198="","",N198*20%)</f>
      </c>
      <c r="P198" s="3">
        <f>IF($K198="","",N198*2%)</f>
      </c>
      <c r="Q198" s="3">
        <f>IF($K198="","",P198*20%)</f>
      </c>
      <c r="R198" s="3"/>
      <c r="S198" s="3">
        <f>IF($K198="","",R198*20%)</f>
      </c>
      <c r="T198" s="3">
        <v>1</v>
      </c>
      <c r="U198" s="3">
        <f>IF($K198="","",O198+Q198+S198)</f>
      </c>
      <c r="V198" s="3">
        <f>IF($K198="","",L198-M198-N198-O198-P198-Q198-R198-S198-T198)</f>
      </c>
      <c r="W198" s="3">
        <f>IF($K198="","",(V198-AC198)/J198*100)</f>
      </c>
      <c r="X198" s="3">
        <f>IF($K198="","",M198-U198)</f>
      </c>
      <c r="AD198" s="3">
        <f>IF($K198="","",V198-AC198)</f>
      </c>
    </row>
    <row r="199" spans="1:30" x14ac:dyDescent="0.25">
      <c r="A199" s="1"/>
      <c r="D199" s="2"/>
      <c r="J199" s="3"/>
      <c r="K199" s="3"/>
      <c r="L199" s="3">
        <f>IF($K199="","",K199-J199)</f>
      </c>
      <c r="M199" s="3">
        <f>IF($K199="","",L199*16.67%)</f>
      </c>
      <c r="N199" s="3">
        <f>IF($K199="","",K199/100*7)</f>
      </c>
      <c r="O199" s="3">
        <f>IF($K199="","",N199*20%)</f>
      </c>
      <c r="P199" s="3">
        <f>IF($K199="","",N199*2%)</f>
      </c>
      <c r="Q199" s="3">
        <f>IF($K199="","",P199*20%)</f>
      </c>
      <c r="R199" s="3"/>
      <c r="S199" s="3">
        <f>IF($K199="","",R199*20%)</f>
      </c>
      <c r="T199" s="3">
        <v>1</v>
      </c>
      <c r="U199" s="3">
        <f>IF($K199="","",O199+Q199+S199)</f>
      </c>
      <c r="V199" s="3">
        <f>IF($K199="","",L199-M199-N199-O199-P199-Q199-R199-S199-T199)</f>
      </c>
      <c r="W199" s="3">
        <f>IF($K199="","",(V199-AC199)/J199*100)</f>
      </c>
      <c r="X199" s="3">
        <f>IF($K199="","",M199-U199)</f>
      </c>
      <c r="AD199" s="3">
        <f>IF($K199="","",V199-AC199)</f>
      </c>
    </row>
    <row r="200" spans="1:30" x14ac:dyDescent="0.25">
      <c r="A200" s="1"/>
      <c r="D200" s="2"/>
      <c r="J200" s="3"/>
      <c r="K200" s="3"/>
      <c r="L200" s="3">
        <f>IF($K200="","",K200-J200)</f>
      </c>
      <c r="M200" s="3">
        <f>IF($K200="","",L200*16.67%)</f>
      </c>
      <c r="N200" s="3">
        <f>IF($K200="","",K200/100*7)</f>
      </c>
      <c r="O200" s="3">
        <f>IF($K200="","",N200*20%)</f>
      </c>
      <c r="P200" s="3">
        <f>IF($K200="","",N200*2%)</f>
      </c>
      <c r="Q200" s="3">
        <f>IF($K200="","",P200*20%)</f>
      </c>
      <c r="R200" s="3"/>
      <c r="S200" s="3">
        <f>IF($K200="","",R200*20%)</f>
      </c>
      <c r="T200" s="3">
        <v>1</v>
      </c>
      <c r="U200" s="3">
        <f>IF($K200="","",O200+Q200+S200)</f>
      </c>
      <c r="V200" s="3">
        <f>IF($K200="","",L200-M200-N200-O200-P200-Q200-R200-S200-T200)</f>
      </c>
      <c r="W200" s="3">
        <f>IF($K200="","",(V200-AC200)/J200*100)</f>
      </c>
      <c r="X200" s="3">
        <f>IF($K200="","",M200-U200)</f>
      </c>
      <c r="AD200" s="3">
        <f>IF($K200="","",V200-AC200)</f>
      </c>
    </row>
    <row r="201" spans="1:30" x14ac:dyDescent="0.25">
      <c r="A201" s="1"/>
      <c r="D201" s="2"/>
      <c r="J201" s="3"/>
      <c r="K201" s="3"/>
      <c r="L201" s="3">
        <f>IF($K201="","",K201-J201)</f>
      </c>
      <c r="M201" s="3">
        <f>IF($K201="","",L201*16.67%)</f>
      </c>
      <c r="N201" s="3">
        <f>IF($K201="","",K201/100*7)</f>
      </c>
      <c r="O201" s="3">
        <f>IF($K201="","",N201*20%)</f>
      </c>
      <c r="P201" s="3">
        <f>IF($K201="","",N201*2%)</f>
      </c>
      <c r="Q201" s="3">
        <f>IF($K201="","",P201*20%)</f>
      </c>
      <c r="R201" s="3"/>
      <c r="S201" s="3">
        <f>IF($K201="","",R201*20%)</f>
      </c>
      <c r="T201" s="3">
        <v>1</v>
      </c>
      <c r="U201" s="3">
        <f>IF($K201="","",O201+Q201+S201)</f>
      </c>
      <c r="V201" s="3">
        <f>IF($K201="","",L201-M201-N201-O201-P201-Q201-R201-S201-T201)</f>
      </c>
      <c r="W201" s="3">
        <f>IF($K201="","",(V201-AC201)/J201*100)</f>
      </c>
      <c r="X201" s="3">
        <f>IF($K201="","",M201-U201)</f>
      </c>
      <c r="AD201" s="3">
        <f>IF($K201="","",V201-AC201)</f>
      </c>
    </row>
    <row r="202" spans="1:30" x14ac:dyDescent="0.25">
      <c r="A202" s="1"/>
      <c r="D202" s="2"/>
      <c r="J202" s="3"/>
      <c r="K202" s="3"/>
      <c r="L202" s="3">
        <f>IF($K202="","",K202-J202)</f>
      </c>
      <c r="M202" s="3">
        <f>IF($K202="","",L202*16.67%)</f>
      </c>
      <c r="N202" s="3">
        <f>IF($K202="","",K202/100*7)</f>
      </c>
      <c r="O202" s="3">
        <f>IF($K202="","",N202*20%)</f>
      </c>
      <c r="P202" s="3">
        <f>IF($K202="","",N202*2%)</f>
      </c>
      <c r="Q202" s="3">
        <f>IF($K202="","",P202*20%)</f>
      </c>
      <c r="R202" s="3"/>
      <c r="S202" s="3">
        <f>IF($K202="","",R202*20%)</f>
      </c>
      <c r="T202" s="3">
        <v>1</v>
      </c>
      <c r="U202" s="3">
        <f>IF($K202="","",O202+Q202+S202)</f>
      </c>
      <c r="V202" s="3">
        <f>IF($K202="","",L202-M202-N202-O202-P202-Q202-R202-S202-T202)</f>
      </c>
      <c r="W202" s="3">
        <f>IF($K202="","",(V202-AC202)/J202*100)</f>
      </c>
      <c r="X202" s="3">
        <f>IF($K202="","",M202-U202)</f>
      </c>
      <c r="AD202" s="3">
        <f>IF($K202="","",V202-AC202)</f>
      </c>
    </row>
    <row r="203" spans="1:35" s="4" customFormat="1" x14ac:dyDescent="0.25">
      <c r="A203" s="5" t="s">
        <v>41</v>
      </c>
      <c r="B203" s="4"/>
      <c r="C203" s="4"/>
      <c r="D203" s="4"/>
      <c r="E203" s="4"/>
      <c r="F203" s="4"/>
      <c r="G203" s="4"/>
      <c r="H203" s="4"/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SUM(R2:R202)</f>
      </c>
      <c r="S203" s="6">
        <f>SUM(S2:S202)</f>
      </c>
      <c r="T203" s="6">
        <f>SUM(T2:T202)</f>
      </c>
      <c r="U203" s="6">
        <f>SUM(U2:U202)</f>
      </c>
      <c r="V203" s="6">
        <f>SUM(V2:V202)</f>
      </c>
      <c r="W203" s="6">
        <f>IFERROR((V203-AC203)/J203*100,0)</f>
      </c>
      <c r="X203" s="6">
        <f>SUM(X2:X202)</f>
      </c>
      <c r="Y203" s="6">
        <f>SUM(Y2:Y202)</f>
      </c>
      <c r="Z203" s="6">
        <f>SUM(Z2:Z202)</f>
      </c>
      <c r="AA203" s="6">
        <f>SUM(AA2:AA202)</f>
      </c>
      <c r="AB203" s="6">
        <f>SUM(AB2:AB202)</f>
      </c>
      <c r="AC203" s="6">
        <f>SUM(AC2:AC202)</f>
      </c>
      <c r="AD203" s="6">
        <f>SUM(AD2:AD202)</f>
      </c>
      <c r="AE203" s="4"/>
      <c r="AF203" s="4"/>
      <c r="AG203" s="4"/>
      <c r="AH203" s="4"/>
      <c r="AI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2026-08-29T07:04:46Z</dcterms:created>
  <dcterms:modified xsi:type="dcterms:W3CDTF">2026-08-29T07:04:46Z</dcterms:modified>
</cp:coreProperties>
</file>