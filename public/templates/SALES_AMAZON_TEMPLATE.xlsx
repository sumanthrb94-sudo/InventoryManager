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2" name="AMAZON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<sst xmlns="http://schemas.openxmlformats.org/spreadsheetml/2006/main" count="58" uniqueCount="55">
  <si>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</si>
  <si>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</si>
  <si>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</si>
  <si>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</si>
  <si>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</si>
  <si>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</si>
  <si>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</si>
  <si>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</si>
  <si>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</si>
  <si>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</si>
  <si>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</si>
  <si>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</si>
  <si>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</si>
  <si>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</si>
  <si>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</si>
  <si>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</si>
  <si>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</si>
  <si>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</si>
  <si>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</si>
  <si>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</si>
  <si>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</si>
  <si>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</si>
  <si>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</si>
  <si>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</si>
  <si>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</si>
  <si>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</si>
  <si>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</si>
  <si>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</si>
  <si>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Net GP £</t>
  </si>
  <si>
    <t>Storage</t>
  </si>
  <si>
    <t>Colour</t>
  </si>
  <si>
    <t>AMZ-5001</t>
  </si>
  <si>
    <t>IP13-128-MID</t>
  </si>
  <si>
    <t>350100000000000</t>
  </si>
  <si>
    <t>MOBILE WHOLESALE LTD</t>
  </si>
  <si>
    <t/>
  </si>
  <si>
    <t>Apple iPhone 13 128GB</t>
  </si>
  <si>
    <t>TOTAL</t>
  </si>
  <si>
    <t>SALES TEMPLATE — same columns as the Sales Report</t>
  </si>
  <si>
    <t>What this is</t>
  </si>
  <si>
    <t>One sheet per marketplace (AMAZON),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</si>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</sst>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38</v>
      </c>
      <c r="B1" t="s">
        <v>35</v>
      </c>
    </row>
    <row r="3" spans="1:2" x14ac:dyDescent="0.25">
      <c r="A3" s="4" t="s">
        <v>39</v>
      </c>
      <c r="B3" s="8" t="s">
        <v>40</v>
      </c>
    </row>
    <row r="4" spans="1:2" x14ac:dyDescent="0.25">
      <c r="A4" s="4" t="s">
        <v>41</v>
      </c>
      <c r="B4" s="8" t="s">
        <v>42</v>
      </c>
    </row>
    <row r="5" spans="1:2" x14ac:dyDescent="0.25">
      <c r="A5" s="4" t="s">
        <v>43</v>
      </c>
      <c r="B5" s="8" t="s">
        <v>44</v>
      </c>
    </row>
    <row r="6" spans="1:2" x14ac:dyDescent="0.25">
      <c r="A6" s="4" t="s">
        <v>45</v>
      </c>
      <c r="B6" s="8" t="s">
        <v>46</v>
      </c>
    </row>
    <row r="7" spans="1:2" x14ac:dyDescent="0.25">
      <c r="A7" s="4" t="s">
        <v>47</v>
      </c>
      <c r="B7" s="8" t="s">
        <v>48</v>
      </c>
    </row>
    <row r="8" spans="1:2" x14ac:dyDescent="0.25">
      <c r="A8" s="4" t="s">
        <v>49</v>
      </c>
      <c r="B8" s="8" t="s">
        <v>50</v>
      </c>
    </row>
    <row r="9" spans="1:2" x14ac:dyDescent="0.25">
      <c r="A9" s="4" t="s">
        <v>51</v>
      </c>
      <c r="B9" s="8" t="s">
        <v>52</v>
      </c>
    </row>
    <row r="10" spans="1:2" x14ac:dyDescent="0.25">
      <c r="A10" s="4" t="s">
        <v>53</v>
      </c>
      <c r="B10" s="8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3"/>
  <sheetFormatPr defaultRowHeight="15" outlineLevelRow="0" outlineLevelCol="0" x14ac:dyDescent="55"/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 spans="1:31" x14ac:dyDescent="0.25">
      <c r="A2" s="1">
        <v>46235.5</v>
      </c>
      <c r="B2" t="s">
        <v>31</v>
      </c>
      <c r="C2" t="s">
        <v>32</v>
      </c>
      <c r="D2" s="2" t="s">
        <v>33</v>
      </c>
      <c r="E2" t="s">
        <v>34</v>
      </c>
      <c r="F2">
        <v>1</v>
      </c>
      <c r="G2" s="3">
        <v>320</v>
      </c>
      <c r="H2" s="3">
        <v>425</v>
      </c>
      <c r="I2" s="3">
        <f>IF($H2="","",H2-G2)</f>
      </c>
      <c r="J2" s="3">
        <f>IF($H2="","",I2*16.67%)</f>
      </c>
      <c r="K2" s="3">
        <f>IF($H2="","",H2/100*7)</f>
      </c>
      <c r="L2" s="3">
        <f>IF($H2="","",K2*20%)</f>
      </c>
      <c r="M2" s="3">
        <f>IF($H2="","",K2*2%)</f>
      </c>
      <c r="N2" s="3">
        <f>IF($H2="","",M2*20%)</f>
      </c>
      <c r="O2" s="3">
        <v>8</v>
      </c>
      <c r="P2" s="3">
        <f>IF($H2="","",O2*20%)</f>
      </c>
      <c r="Q2" s="3">
        <v>1</v>
      </c>
      <c r="R2" s="3">
        <f>IF($H2="","",L2+N2+P2)</f>
      </c>
      <c r="S2" s="3">
        <f>IF($H2="","",I2-J2-K2-L2-M2-N2-O2-P2-Q2)</f>
      </c>
      <c r="T2" s="3">
        <f>IF($H2="","",(S2-AB2)/G2*100)</f>
      </c>
      <c r="U2" s="3">
        <f>IF($H2="","",J2-R2)</f>
      </c>
      <c r="V2" t="s">
        <v>35</v>
      </c>
      <c r="W2" t="s">
        <v>36</v>
      </c>
      <c r="AC2" s="3">
        <f>IF($H2="","",S2-AB2)</f>
      </c>
      <c r="AD2" t="s">
        <v>35</v>
      </c>
      <c r="AE2" t="s">
        <v>35</v>
      </c>
    </row>
    <row r="3" spans="1:31" x14ac:dyDescent="0.25">
      <c r="A3" s="1"/>
      <c r="D3" s="2"/>
      <c r="G3" s="3"/>
      <c r="H3" s="3"/>
      <c r="I3" s="3">
        <f>IF($H3="","",H3-G3)</f>
      </c>
      <c r="J3" s="3">
        <f>IF($H3="","",I3*16.67%)</f>
      </c>
      <c r="K3" s="3">
        <f>IF($H3="","",H3/100*7)</f>
      </c>
      <c r="L3" s="3">
        <f>IF($H3="","",K3*20%)</f>
      </c>
      <c r="M3" s="3">
        <f>IF($H3="","",K3*2%)</f>
      </c>
      <c r="N3" s="3">
        <f>IF($H3="","",M3*20%)</f>
      </c>
      <c r="O3" s="3"/>
      <c r="P3" s="3">
        <f>IF($H3="","",O3*20%)</f>
      </c>
      <c r="Q3" s="3">
        <v>1</v>
      </c>
      <c r="R3" s="3">
        <f>IF($H3="","",L3+N3+P3)</f>
      </c>
      <c r="S3" s="3">
        <f>IF($H3="","",I3-J3-K3-L3-M3-N3-O3-P3-Q3)</f>
      </c>
      <c r="T3" s="3">
        <f>IF($H3="","",(S3-AB3)/G3*100)</f>
      </c>
      <c r="U3" s="3">
        <f>IF($H3="","",J3-R3)</f>
      </c>
      <c r="AC3" s="3">
        <f>IF($H3="","",S3-AB3)</f>
      </c>
    </row>
    <row r="4" spans="1:31" x14ac:dyDescent="0.25">
      <c r="A4" s="1"/>
      <c r="D4" s="2"/>
      <c r="G4" s="3"/>
      <c r="H4" s="3"/>
      <c r="I4" s="3">
        <f>IF($H4="","",H4-G4)</f>
      </c>
      <c r="J4" s="3">
        <f>IF($H4="","",I4*16.67%)</f>
      </c>
      <c r="K4" s="3">
        <f>IF($H4="","",H4/100*7)</f>
      </c>
      <c r="L4" s="3">
        <f>IF($H4="","",K4*20%)</f>
      </c>
      <c r="M4" s="3">
        <f>IF($H4="","",K4*2%)</f>
      </c>
      <c r="N4" s="3">
        <f>IF($H4="","",M4*20%)</f>
      </c>
      <c r="O4" s="3"/>
      <c r="P4" s="3">
        <f>IF($H4="","",O4*20%)</f>
      </c>
      <c r="Q4" s="3">
        <v>1</v>
      </c>
      <c r="R4" s="3">
        <f>IF($H4="","",L4+N4+P4)</f>
      </c>
      <c r="S4" s="3">
        <f>IF($H4="","",I4-J4-K4-L4-M4-N4-O4-P4-Q4)</f>
      </c>
      <c r="T4" s="3">
        <f>IF($H4="","",(S4-AB4)/G4*100)</f>
      </c>
      <c r="U4" s="3">
        <f>IF($H4="","",J4-R4)</f>
      </c>
      <c r="AC4" s="3">
        <f>IF($H4="","",S4-AB4)</f>
      </c>
    </row>
    <row r="5" spans="1:31" x14ac:dyDescent="0.25">
      <c r="A5" s="1"/>
      <c r="D5" s="2"/>
      <c r="G5" s="3"/>
      <c r="H5" s="3"/>
      <c r="I5" s="3">
        <f>IF($H5="","",H5-G5)</f>
      </c>
      <c r="J5" s="3">
        <f>IF($H5="","",I5*16.67%)</f>
      </c>
      <c r="K5" s="3">
        <f>IF($H5="","",H5/100*7)</f>
      </c>
      <c r="L5" s="3">
        <f>IF($H5="","",K5*20%)</f>
      </c>
      <c r="M5" s="3">
        <f>IF($H5="","",K5*2%)</f>
      </c>
      <c r="N5" s="3">
        <f>IF($H5="","",M5*20%)</f>
      </c>
      <c r="O5" s="3"/>
      <c r="P5" s="3">
        <f>IF($H5="","",O5*20%)</f>
      </c>
      <c r="Q5" s="3">
        <v>1</v>
      </c>
      <c r="R5" s="3">
        <f>IF($H5="","",L5+N5+P5)</f>
      </c>
      <c r="S5" s="3">
        <f>IF($H5="","",I5-J5-K5-L5-M5-N5-O5-P5-Q5)</f>
      </c>
      <c r="T5" s="3">
        <f>IF($H5="","",(S5-AB5)/G5*100)</f>
      </c>
      <c r="U5" s="3">
        <f>IF($H5="","",J5-R5)</f>
      </c>
      <c r="AC5" s="3">
        <f>IF($H5="","",S5-AB5)</f>
      </c>
    </row>
    <row r="6" spans="1:31" x14ac:dyDescent="0.25">
      <c r="A6" s="1"/>
      <c r="D6" s="2"/>
      <c r="G6" s="3"/>
      <c r="H6" s="3"/>
      <c r="I6" s="3">
        <f>IF($H6="","",H6-G6)</f>
      </c>
      <c r="J6" s="3">
        <f>IF($H6="","",I6*16.67%)</f>
      </c>
      <c r="K6" s="3">
        <f>IF($H6="","",H6/100*7)</f>
      </c>
      <c r="L6" s="3">
        <f>IF($H6="","",K6*20%)</f>
      </c>
      <c r="M6" s="3">
        <f>IF($H6="","",K6*2%)</f>
      </c>
      <c r="N6" s="3">
        <f>IF($H6="","",M6*20%)</f>
      </c>
      <c r="O6" s="3"/>
      <c r="P6" s="3">
        <f>IF($H6="","",O6*20%)</f>
      </c>
      <c r="Q6" s="3">
        <v>1</v>
      </c>
      <c r="R6" s="3">
        <f>IF($H6="","",L6+N6+P6)</f>
      </c>
      <c r="S6" s="3">
        <f>IF($H6="","",I6-J6-K6-L6-M6-N6-O6-P6-Q6)</f>
      </c>
      <c r="T6" s="3">
        <f>IF($H6="","",(S6-AB6)/G6*100)</f>
      </c>
      <c r="U6" s="3">
        <f>IF($H6="","",J6-R6)</f>
      </c>
      <c r="AC6" s="3">
        <f>IF($H6="","",S6-AB6)</f>
      </c>
    </row>
    <row r="7" spans="1:31" x14ac:dyDescent="0.25">
      <c r="A7" s="1"/>
      <c r="D7" s="2"/>
      <c r="G7" s="3"/>
      <c r="H7" s="3"/>
      <c r="I7" s="3">
        <f>IF($H7="","",H7-G7)</f>
      </c>
      <c r="J7" s="3">
        <f>IF($H7="","",I7*16.67%)</f>
      </c>
      <c r="K7" s="3">
        <f>IF($H7="","",H7/100*7)</f>
      </c>
      <c r="L7" s="3">
        <f>IF($H7="","",K7*20%)</f>
      </c>
      <c r="M7" s="3">
        <f>IF($H7="","",K7*2%)</f>
      </c>
      <c r="N7" s="3">
        <f>IF($H7="","",M7*20%)</f>
      </c>
      <c r="O7" s="3"/>
      <c r="P7" s="3">
        <f>IF($H7="","",O7*20%)</f>
      </c>
      <c r="Q7" s="3">
        <v>1</v>
      </c>
      <c r="R7" s="3">
        <f>IF($H7="","",L7+N7+P7)</f>
      </c>
      <c r="S7" s="3">
        <f>IF($H7="","",I7-J7-K7-L7-M7-N7-O7-P7-Q7)</f>
      </c>
      <c r="T7" s="3">
        <f>IF($H7="","",(S7-AB7)/G7*100)</f>
      </c>
      <c r="U7" s="3">
        <f>IF($H7="","",J7-R7)</f>
      </c>
      <c r="AC7" s="3">
        <f>IF($H7="","",S7-AB7)</f>
      </c>
    </row>
    <row r="8" spans="1:31" x14ac:dyDescent="0.25">
      <c r="A8" s="1"/>
      <c r="D8" s="2"/>
      <c r="G8" s="3"/>
      <c r="H8" s="3"/>
      <c r="I8" s="3">
        <f>IF($H8="","",H8-G8)</f>
      </c>
      <c r="J8" s="3">
        <f>IF($H8="","",I8*16.67%)</f>
      </c>
      <c r="K8" s="3">
        <f>IF($H8="","",H8/100*7)</f>
      </c>
      <c r="L8" s="3">
        <f>IF($H8="","",K8*20%)</f>
      </c>
      <c r="M8" s="3">
        <f>IF($H8="","",K8*2%)</f>
      </c>
      <c r="N8" s="3">
        <f>IF($H8="","",M8*20%)</f>
      </c>
      <c r="O8" s="3"/>
      <c r="P8" s="3">
        <f>IF($H8="","",O8*20%)</f>
      </c>
      <c r="Q8" s="3">
        <v>1</v>
      </c>
      <c r="R8" s="3">
        <f>IF($H8="","",L8+N8+P8)</f>
      </c>
      <c r="S8" s="3">
        <f>IF($H8="","",I8-J8-K8-L8-M8-N8-O8-P8-Q8)</f>
      </c>
      <c r="T8" s="3">
        <f>IF($H8="","",(S8-AB8)/G8*100)</f>
      </c>
      <c r="U8" s="3">
        <f>IF($H8="","",J8-R8)</f>
      </c>
      <c r="AC8" s="3">
        <f>IF($H8="","",S8-AB8)</f>
      </c>
    </row>
    <row r="9" spans="1:31" x14ac:dyDescent="0.25">
      <c r="A9" s="1"/>
      <c r="D9" s="2"/>
      <c r="G9" s="3"/>
      <c r="H9" s="3"/>
      <c r="I9" s="3">
        <f>IF($H9="","",H9-G9)</f>
      </c>
      <c r="J9" s="3">
        <f>IF($H9="","",I9*16.67%)</f>
      </c>
      <c r="K9" s="3">
        <f>IF($H9="","",H9/100*7)</f>
      </c>
      <c r="L9" s="3">
        <f>IF($H9="","",K9*20%)</f>
      </c>
      <c r="M9" s="3">
        <f>IF($H9="","",K9*2%)</f>
      </c>
      <c r="N9" s="3">
        <f>IF($H9="","",M9*20%)</f>
      </c>
      <c r="O9" s="3"/>
      <c r="P9" s="3">
        <f>IF($H9="","",O9*20%)</f>
      </c>
      <c r="Q9" s="3">
        <v>1</v>
      </c>
      <c r="R9" s="3">
        <f>IF($H9="","",L9+N9+P9)</f>
      </c>
      <c r="S9" s="3">
        <f>IF($H9="","",I9-J9-K9-L9-M9-N9-O9-P9-Q9)</f>
      </c>
      <c r="T9" s="3">
        <f>IF($H9="","",(S9-AB9)/G9*100)</f>
      </c>
      <c r="U9" s="3">
        <f>IF($H9="","",J9-R9)</f>
      </c>
      <c r="AC9" s="3">
        <f>IF($H9="","",S9-AB9)</f>
      </c>
    </row>
    <row r="10" spans="1:31" x14ac:dyDescent="0.25">
      <c r="A10" s="1"/>
      <c r="D10" s="2"/>
      <c r="G10" s="3"/>
      <c r="H10" s="3"/>
      <c r="I10" s="3">
        <f>IF($H10="","",H10-G10)</f>
      </c>
      <c r="J10" s="3">
        <f>IF($H10="","",I10*16.67%)</f>
      </c>
      <c r="K10" s="3">
        <f>IF($H10="","",H10/100*7)</f>
      </c>
      <c r="L10" s="3">
        <f>IF($H10="","",K10*20%)</f>
      </c>
      <c r="M10" s="3">
        <f>IF($H10="","",K10*2%)</f>
      </c>
      <c r="N10" s="3">
        <f>IF($H10="","",M10*20%)</f>
      </c>
      <c r="O10" s="3"/>
      <c r="P10" s="3">
        <f>IF($H10="","",O10*20%)</f>
      </c>
      <c r="Q10" s="3">
        <v>1</v>
      </c>
      <c r="R10" s="3">
        <f>IF($H10="","",L10+N10+P10)</f>
      </c>
      <c r="S10" s="3">
        <f>IF($H10="","",I10-J10-K10-L10-M10-N10-O10-P10-Q10)</f>
      </c>
      <c r="T10" s="3">
        <f>IF($H10="","",(S10-AB10)/G10*100)</f>
      </c>
      <c r="U10" s="3">
        <f>IF($H10="","",J10-R10)</f>
      </c>
      <c r="AC10" s="3">
        <f>IF($H10="","",S10-AB10)</f>
      </c>
    </row>
    <row r="11" spans="1:31" x14ac:dyDescent="0.25">
      <c r="A11" s="1"/>
      <c r="D11" s="2"/>
      <c r="G11" s="3"/>
      <c r="H11" s="3"/>
      <c r="I11" s="3">
        <f>IF($H11="","",H11-G11)</f>
      </c>
      <c r="J11" s="3">
        <f>IF($H11="","",I11*16.67%)</f>
      </c>
      <c r="K11" s="3">
        <f>IF($H11="","",H11/100*7)</f>
      </c>
      <c r="L11" s="3">
        <f>IF($H11="","",K11*20%)</f>
      </c>
      <c r="M11" s="3">
        <f>IF($H11="","",K11*2%)</f>
      </c>
      <c r="N11" s="3">
        <f>IF($H11="","",M11*20%)</f>
      </c>
      <c r="O11" s="3"/>
      <c r="P11" s="3">
        <f>IF($H11="","",O11*20%)</f>
      </c>
      <c r="Q11" s="3">
        <v>1</v>
      </c>
      <c r="R11" s="3">
        <f>IF($H11="","",L11+N11+P11)</f>
      </c>
      <c r="S11" s="3">
        <f>IF($H11="","",I11-J11-K11-L11-M11-N11-O11-P11-Q11)</f>
      </c>
      <c r="T11" s="3">
        <f>IF($H11="","",(S11-AB11)/G11*100)</f>
      </c>
      <c r="U11" s="3">
        <f>IF($H11="","",J11-R11)</f>
      </c>
      <c r="AC11" s="3">
        <f>IF($H11="","",S11-AB11)</f>
      </c>
    </row>
    <row r="12" spans="1:31" x14ac:dyDescent="0.25">
      <c r="A12" s="1"/>
      <c r="D12" s="2"/>
      <c r="G12" s="3"/>
      <c r="H12" s="3"/>
      <c r="I12" s="3">
        <f>IF($H12="","",H12-G12)</f>
      </c>
      <c r="J12" s="3">
        <f>IF($H12="","",I12*16.67%)</f>
      </c>
      <c r="K12" s="3">
        <f>IF($H12="","",H12/100*7)</f>
      </c>
      <c r="L12" s="3">
        <f>IF($H12="","",K12*20%)</f>
      </c>
      <c r="M12" s="3">
        <f>IF($H12="","",K12*2%)</f>
      </c>
      <c r="N12" s="3">
        <f>IF($H12="","",M12*20%)</f>
      </c>
      <c r="O12" s="3"/>
      <c r="P12" s="3">
        <f>IF($H12="","",O12*20%)</f>
      </c>
      <c r="Q12" s="3">
        <v>1</v>
      </c>
      <c r="R12" s="3">
        <f>IF($H12="","",L12+N12+P12)</f>
      </c>
      <c r="S12" s="3">
        <f>IF($H12="","",I12-J12-K12-L12-M12-N12-O12-P12-Q12)</f>
      </c>
      <c r="T12" s="3">
        <f>IF($H12="","",(S12-AB12)/G12*100)</f>
      </c>
      <c r="U12" s="3">
        <f>IF($H12="","",J12-R12)</f>
      </c>
      <c r="AC12" s="3">
        <f>IF($H12="","",S12-AB12)</f>
      </c>
    </row>
    <row r="13" spans="1:31" x14ac:dyDescent="0.25">
      <c r="A13" s="1"/>
      <c r="D13" s="2"/>
      <c r="G13" s="3"/>
      <c r="H13" s="3"/>
      <c r="I13" s="3">
        <f>IF($H13="","",H13-G13)</f>
      </c>
      <c r="J13" s="3">
        <f>IF($H13="","",I13*16.67%)</f>
      </c>
      <c r="K13" s="3">
        <f>IF($H13="","",H13/100*7)</f>
      </c>
      <c r="L13" s="3">
        <f>IF($H13="","",K13*20%)</f>
      </c>
      <c r="M13" s="3">
        <f>IF($H13="","",K13*2%)</f>
      </c>
      <c r="N13" s="3">
        <f>IF($H13="","",M13*20%)</f>
      </c>
      <c r="O13" s="3"/>
      <c r="P13" s="3">
        <f>IF($H13="","",O13*20%)</f>
      </c>
      <c r="Q13" s="3">
        <v>1</v>
      </c>
      <c r="R13" s="3">
        <f>IF($H13="","",L13+N13+P13)</f>
      </c>
      <c r="S13" s="3">
        <f>IF($H13="","",I13-J13-K13-L13-M13-N13-O13-P13-Q13)</f>
      </c>
      <c r="T13" s="3">
        <f>IF($H13="","",(S13-AB13)/G13*100)</f>
      </c>
      <c r="U13" s="3">
        <f>IF($H13="","",J13-R13)</f>
      </c>
      <c r="AC13" s="3">
        <f>IF($H13="","",S13-AB13)</f>
      </c>
    </row>
    <row r="14" spans="1:31" x14ac:dyDescent="0.25">
      <c r="A14" s="1"/>
      <c r="D14" s="2"/>
      <c r="G14" s="3"/>
      <c r="H14" s="3"/>
      <c r="I14" s="3">
        <f>IF($H14="","",H14-G14)</f>
      </c>
      <c r="J14" s="3">
        <f>IF($H14="","",I14*16.67%)</f>
      </c>
      <c r="K14" s="3">
        <f>IF($H14="","",H14/100*7)</f>
      </c>
      <c r="L14" s="3">
        <f>IF($H14="","",K14*20%)</f>
      </c>
      <c r="M14" s="3">
        <f>IF($H14="","",K14*2%)</f>
      </c>
      <c r="N14" s="3">
        <f>IF($H14="","",M14*20%)</f>
      </c>
      <c r="O14" s="3"/>
      <c r="P14" s="3">
        <f>IF($H14="","",O14*20%)</f>
      </c>
      <c r="Q14" s="3">
        <v>1</v>
      </c>
      <c r="R14" s="3">
        <f>IF($H14="","",L14+N14+P14)</f>
      </c>
      <c r="S14" s="3">
        <f>IF($H14="","",I14-J14-K14-L14-M14-N14-O14-P14-Q14)</f>
      </c>
      <c r="T14" s="3">
        <f>IF($H14="","",(S14-AB14)/G14*100)</f>
      </c>
      <c r="U14" s="3">
        <f>IF($H14="","",J14-R14)</f>
      </c>
      <c r="AC14" s="3">
        <f>IF($H14="","",S14-AB14)</f>
      </c>
    </row>
    <row r="15" spans="1:31" x14ac:dyDescent="0.25">
      <c r="A15" s="1"/>
      <c r="D15" s="2"/>
      <c r="G15" s="3"/>
      <c r="H15" s="3"/>
      <c r="I15" s="3">
        <f>IF($H15="","",H15-G15)</f>
      </c>
      <c r="J15" s="3">
        <f>IF($H15="","",I15*16.67%)</f>
      </c>
      <c r="K15" s="3">
        <f>IF($H15="","",H15/100*7)</f>
      </c>
      <c r="L15" s="3">
        <f>IF($H15="","",K15*20%)</f>
      </c>
      <c r="M15" s="3">
        <f>IF($H15="","",K15*2%)</f>
      </c>
      <c r="N15" s="3">
        <f>IF($H15="","",M15*20%)</f>
      </c>
      <c r="O15" s="3"/>
      <c r="P15" s="3">
        <f>IF($H15="","",O15*20%)</f>
      </c>
      <c r="Q15" s="3">
        <v>1</v>
      </c>
      <c r="R15" s="3">
        <f>IF($H15="","",L15+N15+P15)</f>
      </c>
      <c r="S15" s="3">
        <f>IF($H15="","",I15-J15-K15-L15-M15-N15-O15-P15-Q15)</f>
      </c>
      <c r="T15" s="3">
        <f>IF($H15="","",(S15-AB15)/G15*100)</f>
      </c>
      <c r="U15" s="3">
        <f>IF($H15="","",J15-R15)</f>
      </c>
      <c r="AC15" s="3">
        <f>IF($H15="","",S15-AB15)</f>
      </c>
    </row>
    <row r="16" spans="1:31" x14ac:dyDescent="0.25">
      <c r="A16" s="1"/>
      <c r="D16" s="2"/>
      <c r="G16" s="3"/>
      <c r="H16" s="3"/>
      <c r="I16" s="3">
        <f>IF($H16="","",H16-G16)</f>
      </c>
      <c r="J16" s="3">
        <f>IF($H16="","",I16*16.67%)</f>
      </c>
      <c r="K16" s="3">
        <f>IF($H16="","",H16/100*7)</f>
      </c>
      <c r="L16" s="3">
        <f>IF($H16="","",K16*20%)</f>
      </c>
      <c r="M16" s="3">
        <f>IF($H16="","",K16*2%)</f>
      </c>
      <c r="N16" s="3">
        <f>IF($H16="","",M16*20%)</f>
      </c>
      <c r="O16" s="3"/>
      <c r="P16" s="3">
        <f>IF($H16="","",O16*20%)</f>
      </c>
      <c r="Q16" s="3">
        <v>1</v>
      </c>
      <c r="R16" s="3">
        <f>IF($H16="","",L16+N16+P16)</f>
      </c>
      <c r="S16" s="3">
        <f>IF($H16="","",I16-J16-K16-L16-M16-N16-O16-P16-Q16)</f>
      </c>
      <c r="T16" s="3">
        <f>IF($H16="","",(S16-AB16)/G16*100)</f>
      </c>
      <c r="U16" s="3">
        <f>IF($H16="","",J16-R16)</f>
      </c>
      <c r="AC16" s="3">
        <f>IF($H16="","",S16-AB16)</f>
      </c>
    </row>
    <row r="17" spans="1:31" x14ac:dyDescent="0.25">
      <c r="A17" s="1"/>
      <c r="D17" s="2"/>
      <c r="G17" s="3"/>
      <c r="H17" s="3"/>
      <c r="I17" s="3">
        <f>IF($H17="","",H17-G17)</f>
      </c>
      <c r="J17" s="3">
        <f>IF($H17="","",I17*16.67%)</f>
      </c>
      <c r="K17" s="3">
        <f>IF($H17="","",H17/100*7)</f>
      </c>
      <c r="L17" s="3">
        <f>IF($H17="","",K17*20%)</f>
      </c>
      <c r="M17" s="3">
        <f>IF($H17="","",K17*2%)</f>
      </c>
      <c r="N17" s="3">
        <f>IF($H17="","",M17*20%)</f>
      </c>
      <c r="O17" s="3"/>
      <c r="P17" s="3">
        <f>IF($H17="","",O17*20%)</f>
      </c>
      <c r="Q17" s="3">
        <v>1</v>
      </c>
      <c r="R17" s="3">
        <f>IF($H17="","",L17+N17+P17)</f>
      </c>
      <c r="S17" s="3">
        <f>IF($H17="","",I17-J17-K17-L17-M17-N17-O17-P17-Q17)</f>
      </c>
      <c r="T17" s="3">
        <f>IF($H17="","",(S17-AB17)/G17*100)</f>
      </c>
      <c r="U17" s="3">
        <f>IF($H17="","",J17-R17)</f>
      </c>
      <c r="AC17" s="3">
        <f>IF($H17="","",S17-AB17)</f>
      </c>
    </row>
    <row r="18" spans="1:31" x14ac:dyDescent="0.25">
      <c r="A18" s="1"/>
      <c r="D18" s="2"/>
      <c r="G18" s="3"/>
      <c r="H18" s="3"/>
      <c r="I18" s="3">
        <f>IF($H18="","",H18-G18)</f>
      </c>
      <c r="J18" s="3">
        <f>IF($H18="","",I18*16.67%)</f>
      </c>
      <c r="K18" s="3">
        <f>IF($H18="","",H18/100*7)</f>
      </c>
      <c r="L18" s="3">
        <f>IF($H18="","",K18*20%)</f>
      </c>
      <c r="M18" s="3">
        <f>IF($H18="","",K18*2%)</f>
      </c>
      <c r="N18" s="3">
        <f>IF($H18="","",M18*20%)</f>
      </c>
      <c r="O18" s="3"/>
      <c r="P18" s="3">
        <f>IF($H18="","",O18*20%)</f>
      </c>
      <c r="Q18" s="3">
        <v>1</v>
      </c>
      <c r="R18" s="3">
        <f>IF($H18="","",L18+N18+P18)</f>
      </c>
      <c r="S18" s="3">
        <f>IF($H18="","",I18-J18-K18-L18-M18-N18-O18-P18-Q18)</f>
      </c>
      <c r="T18" s="3">
        <f>IF($H18="","",(S18-AB18)/G18*100)</f>
      </c>
      <c r="U18" s="3">
        <f>IF($H18="","",J18-R18)</f>
      </c>
      <c r="AC18" s="3">
        <f>IF($H18="","",S18-AB18)</f>
      </c>
    </row>
    <row r="19" spans="1:31" x14ac:dyDescent="0.25">
      <c r="A19" s="1"/>
      <c r="D19" s="2"/>
      <c r="G19" s="3"/>
      <c r="H19" s="3"/>
      <c r="I19" s="3">
        <f>IF($H19="","",H19-G19)</f>
      </c>
      <c r="J19" s="3">
        <f>IF($H19="","",I19*16.67%)</f>
      </c>
      <c r="K19" s="3">
        <f>IF($H19="","",H19/100*7)</f>
      </c>
      <c r="L19" s="3">
        <f>IF($H19="","",K19*20%)</f>
      </c>
      <c r="M19" s="3">
        <f>IF($H19="","",K19*2%)</f>
      </c>
      <c r="N19" s="3">
        <f>IF($H19="","",M19*20%)</f>
      </c>
      <c r="O19" s="3"/>
      <c r="P19" s="3">
        <f>IF($H19="","",O19*20%)</f>
      </c>
      <c r="Q19" s="3">
        <v>1</v>
      </c>
      <c r="R19" s="3">
        <f>IF($H19="","",L19+N19+P19)</f>
      </c>
      <c r="S19" s="3">
        <f>IF($H19="","",I19-J19-K19-L19-M19-N19-O19-P19-Q19)</f>
      </c>
      <c r="T19" s="3">
        <f>IF($H19="","",(S19-AB19)/G19*100)</f>
      </c>
      <c r="U19" s="3">
        <f>IF($H19="","",J19-R19)</f>
      </c>
      <c r="AC19" s="3">
        <f>IF($H19="","",S19-AB19)</f>
      </c>
    </row>
    <row r="20" spans="1:31" x14ac:dyDescent="0.25">
      <c r="A20" s="1"/>
      <c r="D20" s="2"/>
      <c r="G20" s="3"/>
      <c r="H20" s="3"/>
      <c r="I20" s="3">
        <f>IF($H20="","",H20-G20)</f>
      </c>
      <c r="J20" s="3">
        <f>IF($H20="","",I20*16.67%)</f>
      </c>
      <c r="K20" s="3">
        <f>IF($H20="","",H20/100*7)</f>
      </c>
      <c r="L20" s="3">
        <f>IF($H20="","",K20*20%)</f>
      </c>
      <c r="M20" s="3">
        <f>IF($H20="","",K20*2%)</f>
      </c>
      <c r="N20" s="3">
        <f>IF($H20="","",M20*20%)</f>
      </c>
      <c r="O20" s="3"/>
      <c r="P20" s="3">
        <f>IF($H20="","",O20*20%)</f>
      </c>
      <c r="Q20" s="3">
        <v>1</v>
      </c>
      <c r="R20" s="3">
        <f>IF($H20="","",L20+N20+P20)</f>
      </c>
      <c r="S20" s="3">
        <f>IF($H20="","",I20-J20-K20-L20-M20-N20-O20-P20-Q20)</f>
      </c>
      <c r="T20" s="3">
        <f>IF($H20="","",(S20-AB20)/G20*100)</f>
      </c>
      <c r="U20" s="3">
        <f>IF($H20="","",J20-R20)</f>
      </c>
      <c r="AC20" s="3">
        <f>IF($H20="","",S20-AB20)</f>
      </c>
    </row>
    <row r="21" spans="1:31" x14ac:dyDescent="0.25">
      <c r="A21" s="1"/>
      <c r="D21" s="2"/>
      <c r="G21" s="3"/>
      <c r="H21" s="3"/>
      <c r="I21" s="3">
        <f>IF($H21="","",H21-G21)</f>
      </c>
      <c r="J21" s="3">
        <f>IF($H21="","",I21*16.67%)</f>
      </c>
      <c r="K21" s="3">
        <f>IF($H21="","",H21/100*7)</f>
      </c>
      <c r="L21" s="3">
        <f>IF($H21="","",K21*20%)</f>
      </c>
      <c r="M21" s="3">
        <f>IF($H21="","",K21*2%)</f>
      </c>
      <c r="N21" s="3">
        <f>IF($H21="","",M21*20%)</f>
      </c>
      <c r="O21" s="3"/>
      <c r="P21" s="3">
        <f>IF($H21="","",O21*20%)</f>
      </c>
      <c r="Q21" s="3">
        <v>1</v>
      </c>
      <c r="R21" s="3">
        <f>IF($H21="","",L21+N21+P21)</f>
      </c>
      <c r="S21" s="3">
        <f>IF($H21="","",I21-J21-K21-L21-M21-N21-O21-P21-Q21)</f>
      </c>
      <c r="T21" s="3">
        <f>IF($H21="","",(S21-AB21)/G21*100)</f>
      </c>
      <c r="U21" s="3">
        <f>IF($H21="","",J21-R21)</f>
      </c>
      <c r="AC21" s="3">
        <f>IF($H21="","",S21-AB21)</f>
      </c>
    </row>
    <row r="22" spans="1:31" x14ac:dyDescent="0.25">
      <c r="A22" s="1"/>
      <c r="D22" s="2"/>
      <c r="G22" s="3"/>
      <c r="H22" s="3"/>
      <c r="I22" s="3">
        <f>IF($H22="","",H22-G22)</f>
      </c>
      <c r="J22" s="3">
        <f>IF($H22="","",I22*16.67%)</f>
      </c>
      <c r="K22" s="3">
        <f>IF($H22="","",H22/100*7)</f>
      </c>
      <c r="L22" s="3">
        <f>IF($H22="","",K22*20%)</f>
      </c>
      <c r="M22" s="3">
        <f>IF($H22="","",K22*2%)</f>
      </c>
      <c r="N22" s="3">
        <f>IF($H22="","",M22*20%)</f>
      </c>
      <c r="O22" s="3"/>
      <c r="P22" s="3">
        <f>IF($H22="","",O22*20%)</f>
      </c>
      <c r="Q22" s="3">
        <v>1</v>
      </c>
      <c r="R22" s="3">
        <f>IF($H22="","",L22+N22+P22)</f>
      </c>
      <c r="S22" s="3">
        <f>IF($H22="","",I22-J22-K22-L22-M22-N22-O22-P22-Q22)</f>
      </c>
      <c r="T22" s="3">
        <f>IF($H22="","",(S22-AB22)/G22*100)</f>
      </c>
      <c r="U22" s="3">
        <f>IF($H22="","",J22-R22)</f>
      </c>
      <c r="AC22" s="3">
        <f>IF($H22="","",S22-AB22)</f>
      </c>
    </row>
    <row r="23" spans="1:31" x14ac:dyDescent="0.25">
      <c r="A23" s="1"/>
      <c r="D23" s="2"/>
      <c r="G23" s="3"/>
      <c r="H23" s="3"/>
      <c r="I23" s="3">
        <f>IF($H23="","",H23-G23)</f>
      </c>
      <c r="J23" s="3">
        <f>IF($H23="","",I23*16.67%)</f>
      </c>
      <c r="K23" s="3">
        <f>IF($H23="","",H23/100*7)</f>
      </c>
      <c r="L23" s="3">
        <f>IF($H23="","",K23*20%)</f>
      </c>
      <c r="M23" s="3">
        <f>IF($H23="","",K23*2%)</f>
      </c>
      <c r="N23" s="3">
        <f>IF($H23="","",M23*20%)</f>
      </c>
      <c r="O23" s="3"/>
      <c r="P23" s="3">
        <f>IF($H23="","",O23*20%)</f>
      </c>
      <c r="Q23" s="3">
        <v>1</v>
      </c>
      <c r="R23" s="3">
        <f>IF($H23="","",L23+N23+P23)</f>
      </c>
      <c r="S23" s="3">
        <f>IF($H23="","",I23-J23-K23-L23-M23-N23-O23-P23-Q23)</f>
      </c>
      <c r="T23" s="3">
        <f>IF($H23="","",(S23-AB23)/G23*100)</f>
      </c>
      <c r="U23" s="3">
        <f>IF($H23="","",J23-R23)</f>
      </c>
      <c r="AC23" s="3">
        <f>IF($H23="","",S23-AB23)</f>
      </c>
    </row>
    <row r="24" spans="1:31" x14ac:dyDescent="0.25">
      <c r="A24" s="1"/>
      <c r="D24" s="2"/>
      <c r="G24" s="3"/>
      <c r="H24" s="3"/>
      <c r="I24" s="3">
        <f>IF($H24="","",H24-G24)</f>
      </c>
      <c r="J24" s="3">
        <f>IF($H24="","",I24*16.67%)</f>
      </c>
      <c r="K24" s="3">
        <f>IF($H24="","",H24/100*7)</f>
      </c>
      <c r="L24" s="3">
        <f>IF($H24="","",K24*20%)</f>
      </c>
      <c r="M24" s="3">
        <f>IF($H24="","",K24*2%)</f>
      </c>
      <c r="N24" s="3">
        <f>IF($H24="","",M24*20%)</f>
      </c>
      <c r="O24" s="3"/>
      <c r="P24" s="3">
        <f>IF($H24="","",O24*20%)</f>
      </c>
      <c r="Q24" s="3">
        <v>1</v>
      </c>
      <c r="R24" s="3">
        <f>IF($H24="","",L24+N24+P24)</f>
      </c>
      <c r="S24" s="3">
        <f>IF($H24="","",I24-J24-K24-L24-M24-N24-O24-P24-Q24)</f>
      </c>
      <c r="T24" s="3">
        <f>IF($H24="","",(S24-AB24)/G24*100)</f>
      </c>
      <c r="U24" s="3">
        <f>IF($H24="","",J24-R24)</f>
      </c>
      <c r="AC24" s="3">
        <f>IF($H24="","",S24-AB24)</f>
      </c>
    </row>
    <row r="25" spans="1:31" x14ac:dyDescent="0.25">
      <c r="A25" s="1"/>
      <c r="D25" s="2"/>
      <c r="G25" s="3"/>
      <c r="H25" s="3"/>
      <c r="I25" s="3">
        <f>IF($H25="","",H25-G25)</f>
      </c>
      <c r="J25" s="3">
        <f>IF($H25="","",I25*16.67%)</f>
      </c>
      <c r="K25" s="3">
        <f>IF($H25="","",H25/100*7)</f>
      </c>
      <c r="L25" s="3">
        <f>IF($H25="","",K25*20%)</f>
      </c>
      <c r="M25" s="3">
        <f>IF($H25="","",K25*2%)</f>
      </c>
      <c r="N25" s="3">
        <f>IF($H25="","",M25*20%)</f>
      </c>
      <c r="O25" s="3"/>
      <c r="P25" s="3">
        <f>IF($H25="","",O25*20%)</f>
      </c>
      <c r="Q25" s="3">
        <v>1</v>
      </c>
      <c r="R25" s="3">
        <f>IF($H25="","",L25+N25+P25)</f>
      </c>
      <c r="S25" s="3">
        <f>IF($H25="","",I25-J25-K25-L25-M25-N25-O25-P25-Q25)</f>
      </c>
      <c r="T25" s="3">
        <f>IF($H25="","",(S25-AB25)/G25*100)</f>
      </c>
      <c r="U25" s="3">
        <f>IF($H25="","",J25-R25)</f>
      </c>
      <c r="AC25" s="3">
        <f>IF($H25="","",S25-AB25)</f>
      </c>
    </row>
    <row r="26" spans="1:31" x14ac:dyDescent="0.25">
      <c r="A26" s="1"/>
      <c r="D26" s="2"/>
      <c r="G26" s="3"/>
      <c r="H26" s="3"/>
      <c r="I26" s="3">
        <f>IF($H26="","",H26-G26)</f>
      </c>
      <c r="J26" s="3">
        <f>IF($H26="","",I26*16.67%)</f>
      </c>
      <c r="K26" s="3">
        <f>IF($H26="","",H26/100*7)</f>
      </c>
      <c r="L26" s="3">
        <f>IF($H26="","",K26*20%)</f>
      </c>
      <c r="M26" s="3">
        <f>IF($H26="","",K26*2%)</f>
      </c>
      <c r="N26" s="3">
        <f>IF($H26="","",M26*20%)</f>
      </c>
      <c r="O26" s="3"/>
      <c r="P26" s="3">
        <f>IF($H26="","",O26*20%)</f>
      </c>
      <c r="Q26" s="3">
        <v>1</v>
      </c>
      <c r="R26" s="3">
        <f>IF($H26="","",L26+N26+P26)</f>
      </c>
      <c r="S26" s="3">
        <f>IF($H26="","",I26-J26-K26-L26-M26-N26-O26-P26-Q26)</f>
      </c>
      <c r="T26" s="3">
        <f>IF($H26="","",(S26-AB26)/G26*100)</f>
      </c>
      <c r="U26" s="3">
        <f>IF($H26="","",J26-R26)</f>
      </c>
      <c r="AC26" s="3">
        <f>IF($H26="","",S26-AB26)</f>
      </c>
    </row>
    <row r="27" spans="1:31" x14ac:dyDescent="0.25">
      <c r="A27" s="1"/>
      <c r="D27" s="2"/>
      <c r="G27" s="3"/>
      <c r="H27" s="3"/>
      <c r="I27" s="3">
        <f>IF($H27="","",H27-G27)</f>
      </c>
      <c r="J27" s="3">
        <f>IF($H27="","",I27*16.67%)</f>
      </c>
      <c r="K27" s="3">
        <f>IF($H27="","",H27/100*7)</f>
      </c>
      <c r="L27" s="3">
        <f>IF($H27="","",K27*20%)</f>
      </c>
      <c r="M27" s="3">
        <f>IF($H27="","",K27*2%)</f>
      </c>
      <c r="N27" s="3">
        <f>IF($H27="","",M27*20%)</f>
      </c>
      <c r="O27" s="3"/>
      <c r="P27" s="3">
        <f>IF($H27="","",O27*20%)</f>
      </c>
      <c r="Q27" s="3">
        <v>1</v>
      </c>
      <c r="R27" s="3">
        <f>IF($H27="","",L27+N27+P27)</f>
      </c>
      <c r="S27" s="3">
        <f>IF($H27="","",I27-J27-K27-L27-M27-N27-O27-P27-Q27)</f>
      </c>
      <c r="T27" s="3">
        <f>IF($H27="","",(S27-AB27)/G27*100)</f>
      </c>
      <c r="U27" s="3">
        <f>IF($H27="","",J27-R27)</f>
      </c>
      <c r="AC27" s="3">
        <f>IF($H27="","",S27-AB27)</f>
      </c>
    </row>
    <row r="28" spans="1:31" x14ac:dyDescent="0.25">
      <c r="A28" s="1"/>
      <c r="D28" s="2"/>
      <c r="G28" s="3"/>
      <c r="H28" s="3"/>
      <c r="I28" s="3">
        <f>IF($H28="","",H28-G28)</f>
      </c>
      <c r="J28" s="3">
        <f>IF($H28="","",I28*16.67%)</f>
      </c>
      <c r="K28" s="3">
        <f>IF($H28="","",H28/100*7)</f>
      </c>
      <c r="L28" s="3">
        <f>IF($H28="","",K28*20%)</f>
      </c>
      <c r="M28" s="3">
        <f>IF($H28="","",K28*2%)</f>
      </c>
      <c r="N28" s="3">
        <f>IF($H28="","",M28*20%)</f>
      </c>
      <c r="O28" s="3"/>
      <c r="P28" s="3">
        <f>IF($H28="","",O28*20%)</f>
      </c>
      <c r="Q28" s="3">
        <v>1</v>
      </c>
      <c r="R28" s="3">
        <f>IF($H28="","",L28+N28+P28)</f>
      </c>
      <c r="S28" s="3">
        <f>IF($H28="","",I28-J28-K28-L28-M28-N28-O28-P28-Q28)</f>
      </c>
      <c r="T28" s="3">
        <f>IF($H28="","",(S28-AB28)/G28*100)</f>
      </c>
      <c r="U28" s="3">
        <f>IF($H28="","",J28-R28)</f>
      </c>
      <c r="AC28" s="3">
        <f>IF($H28="","",S28-AB28)</f>
      </c>
    </row>
    <row r="29" spans="1:31" x14ac:dyDescent="0.25">
      <c r="A29" s="1"/>
      <c r="D29" s="2"/>
      <c r="G29" s="3"/>
      <c r="H29" s="3"/>
      <c r="I29" s="3">
        <f>IF($H29="","",H29-G29)</f>
      </c>
      <c r="J29" s="3">
        <f>IF($H29="","",I29*16.67%)</f>
      </c>
      <c r="K29" s="3">
        <f>IF($H29="","",H29/100*7)</f>
      </c>
      <c r="L29" s="3">
        <f>IF($H29="","",K29*20%)</f>
      </c>
      <c r="M29" s="3">
        <f>IF($H29="","",K29*2%)</f>
      </c>
      <c r="N29" s="3">
        <f>IF($H29="","",M29*20%)</f>
      </c>
      <c r="O29" s="3"/>
      <c r="P29" s="3">
        <f>IF($H29="","",O29*20%)</f>
      </c>
      <c r="Q29" s="3">
        <v>1</v>
      </c>
      <c r="R29" s="3">
        <f>IF($H29="","",L29+N29+P29)</f>
      </c>
      <c r="S29" s="3">
        <f>IF($H29="","",I29-J29-K29-L29-M29-N29-O29-P29-Q29)</f>
      </c>
      <c r="T29" s="3">
        <f>IF($H29="","",(S29-AB29)/G29*100)</f>
      </c>
      <c r="U29" s="3">
        <f>IF($H29="","",J29-R29)</f>
      </c>
      <c r="AC29" s="3">
        <f>IF($H29="","",S29-AB29)</f>
      </c>
    </row>
    <row r="30" spans="1:31" x14ac:dyDescent="0.25">
      <c r="A30" s="1"/>
      <c r="D30" s="2"/>
      <c r="G30" s="3"/>
      <c r="H30" s="3"/>
      <c r="I30" s="3">
        <f>IF($H30="","",H30-G30)</f>
      </c>
      <c r="J30" s="3">
        <f>IF($H30="","",I30*16.67%)</f>
      </c>
      <c r="K30" s="3">
        <f>IF($H30="","",H30/100*7)</f>
      </c>
      <c r="L30" s="3">
        <f>IF($H30="","",K30*20%)</f>
      </c>
      <c r="M30" s="3">
        <f>IF($H30="","",K30*2%)</f>
      </c>
      <c r="N30" s="3">
        <f>IF($H30="","",M30*20%)</f>
      </c>
      <c r="O30" s="3"/>
      <c r="P30" s="3">
        <f>IF($H30="","",O30*20%)</f>
      </c>
      <c r="Q30" s="3">
        <v>1</v>
      </c>
      <c r="R30" s="3">
        <f>IF($H30="","",L30+N30+P30)</f>
      </c>
      <c r="S30" s="3">
        <f>IF($H30="","",I30-J30-K30-L30-M30-N30-O30-P30-Q30)</f>
      </c>
      <c r="T30" s="3">
        <f>IF($H30="","",(S30-AB30)/G30*100)</f>
      </c>
      <c r="U30" s="3">
        <f>IF($H30="","",J30-R30)</f>
      </c>
      <c r="AC30" s="3">
        <f>IF($H30="","",S30-AB30)</f>
      </c>
    </row>
    <row r="31" spans="1:31" x14ac:dyDescent="0.25">
      <c r="A31" s="1"/>
      <c r="D31" s="2"/>
      <c r="G31" s="3"/>
      <c r="H31" s="3"/>
      <c r="I31" s="3">
        <f>IF($H31="","",H31-G31)</f>
      </c>
      <c r="J31" s="3">
        <f>IF($H31="","",I31*16.67%)</f>
      </c>
      <c r="K31" s="3">
        <f>IF($H31="","",H31/100*7)</f>
      </c>
      <c r="L31" s="3">
        <f>IF($H31="","",K31*20%)</f>
      </c>
      <c r="M31" s="3">
        <f>IF($H31="","",K31*2%)</f>
      </c>
      <c r="N31" s="3">
        <f>IF($H31="","",M31*20%)</f>
      </c>
      <c r="O31" s="3"/>
      <c r="P31" s="3">
        <f>IF($H31="","",O31*20%)</f>
      </c>
      <c r="Q31" s="3">
        <v>1</v>
      </c>
      <c r="R31" s="3">
        <f>IF($H31="","",L31+N31+P31)</f>
      </c>
      <c r="S31" s="3">
        <f>IF($H31="","",I31-J31-K31-L31-M31-N31-O31-P31-Q31)</f>
      </c>
      <c r="T31" s="3">
        <f>IF($H31="","",(S31-AB31)/G31*100)</f>
      </c>
      <c r="U31" s="3">
        <f>IF($H31="","",J31-R31)</f>
      </c>
      <c r="AC31" s="3">
        <f>IF($H31="","",S31-AB31)</f>
      </c>
    </row>
    <row r="32" spans="1:31" x14ac:dyDescent="0.25">
      <c r="A32" s="1"/>
      <c r="D32" s="2"/>
      <c r="G32" s="3"/>
      <c r="H32" s="3"/>
      <c r="I32" s="3">
        <f>IF($H32="","",H32-G32)</f>
      </c>
      <c r="J32" s="3">
        <f>IF($H32="","",I32*16.67%)</f>
      </c>
      <c r="K32" s="3">
        <f>IF($H32="","",H32/100*7)</f>
      </c>
      <c r="L32" s="3">
        <f>IF($H32="","",K32*20%)</f>
      </c>
      <c r="M32" s="3">
        <f>IF($H32="","",K32*2%)</f>
      </c>
      <c r="N32" s="3">
        <f>IF($H32="","",M32*20%)</f>
      </c>
      <c r="O32" s="3"/>
      <c r="P32" s="3">
        <f>IF($H32="","",O32*20%)</f>
      </c>
      <c r="Q32" s="3">
        <v>1</v>
      </c>
      <c r="R32" s="3">
        <f>IF($H32="","",L32+N32+P32)</f>
      </c>
      <c r="S32" s="3">
        <f>IF($H32="","",I32-J32-K32-L32-M32-N32-O32-P32-Q32)</f>
      </c>
      <c r="T32" s="3">
        <f>IF($H32="","",(S32-AB32)/G32*100)</f>
      </c>
      <c r="U32" s="3">
        <f>IF($H32="","",J32-R32)</f>
      </c>
      <c r="AC32" s="3">
        <f>IF($H32="","",S32-AB32)</f>
      </c>
    </row>
    <row r="33" spans="1:31" x14ac:dyDescent="0.25">
      <c r="A33" s="1"/>
      <c r="D33" s="2"/>
      <c r="G33" s="3"/>
      <c r="H33" s="3"/>
      <c r="I33" s="3">
        <f>IF($H33="","",H33-G33)</f>
      </c>
      <c r="J33" s="3">
        <f>IF($H33="","",I33*16.67%)</f>
      </c>
      <c r="K33" s="3">
        <f>IF($H33="","",H33/100*7)</f>
      </c>
      <c r="L33" s="3">
        <f>IF($H33="","",K33*20%)</f>
      </c>
      <c r="M33" s="3">
        <f>IF($H33="","",K33*2%)</f>
      </c>
      <c r="N33" s="3">
        <f>IF($H33="","",M33*20%)</f>
      </c>
      <c r="O33" s="3"/>
      <c r="P33" s="3">
        <f>IF($H33="","",O33*20%)</f>
      </c>
      <c r="Q33" s="3">
        <v>1</v>
      </c>
      <c r="R33" s="3">
        <f>IF($H33="","",L33+N33+P33)</f>
      </c>
      <c r="S33" s="3">
        <f>IF($H33="","",I33-J33-K33-L33-M33-N33-O33-P33-Q33)</f>
      </c>
      <c r="T33" s="3">
        <f>IF($H33="","",(S33-AB33)/G33*100)</f>
      </c>
      <c r="U33" s="3">
        <f>IF($H33="","",J33-R33)</f>
      </c>
      <c r="AC33" s="3">
        <f>IF($H33="","",S33-AB33)</f>
      </c>
    </row>
    <row r="34" spans="1:31" x14ac:dyDescent="0.25">
      <c r="A34" s="1"/>
      <c r="D34" s="2"/>
      <c r="G34" s="3"/>
      <c r="H34" s="3"/>
      <c r="I34" s="3">
        <f>IF($H34="","",H34-G34)</f>
      </c>
      <c r="J34" s="3">
        <f>IF($H34="","",I34*16.67%)</f>
      </c>
      <c r="K34" s="3">
        <f>IF($H34="","",H34/100*7)</f>
      </c>
      <c r="L34" s="3">
        <f>IF($H34="","",K34*20%)</f>
      </c>
      <c r="M34" s="3">
        <f>IF($H34="","",K34*2%)</f>
      </c>
      <c r="N34" s="3">
        <f>IF($H34="","",M34*20%)</f>
      </c>
      <c r="O34" s="3"/>
      <c r="P34" s="3">
        <f>IF($H34="","",O34*20%)</f>
      </c>
      <c r="Q34" s="3">
        <v>1</v>
      </c>
      <c r="R34" s="3">
        <f>IF($H34="","",L34+N34+P34)</f>
      </c>
      <c r="S34" s="3">
        <f>IF($H34="","",I34-J34-K34-L34-M34-N34-O34-P34-Q34)</f>
      </c>
      <c r="T34" s="3">
        <f>IF($H34="","",(S34-AB34)/G34*100)</f>
      </c>
      <c r="U34" s="3">
        <f>IF($H34="","",J34-R34)</f>
      </c>
      <c r="AC34" s="3">
        <f>IF($H34="","",S34-AB34)</f>
      </c>
    </row>
    <row r="35" spans="1:31" x14ac:dyDescent="0.25">
      <c r="A35" s="1"/>
      <c r="D35" s="2"/>
      <c r="G35" s="3"/>
      <c r="H35" s="3"/>
      <c r="I35" s="3">
        <f>IF($H35="","",H35-G35)</f>
      </c>
      <c r="J35" s="3">
        <f>IF($H35="","",I35*16.67%)</f>
      </c>
      <c r="K35" s="3">
        <f>IF($H35="","",H35/100*7)</f>
      </c>
      <c r="L35" s="3">
        <f>IF($H35="","",K35*20%)</f>
      </c>
      <c r="M35" s="3">
        <f>IF($H35="","",K35*2%)</f>
      </c>
      <c r="N35" s="3">
        <f>IF($H35="","",M35*20%)</f>
      </c>
      <c r="O35" s="3"/>
      <c r="P35" s="3">
        <f>IF($H35="","",O35*20%)</f>
      </c>
      <c r="Q35" s="3">
        <v>1</v>
      </c>
      <c r="R35" s="3">
        <f>IF($H35="","",L35+N35+P35)</f>
      </c>
      <c r="S35" s="3">
        <f>IF($H35="","",I35-J35-K35-L35-M35-N35-O35-P35-Q35)</f>
      </c>
      <c r="T35" s="3">
        <f>IF($H35="","",(S35-AB35)/G35*100)</f>
      </c>
      <c r="U35" s="3">
        <f>IF($H35="","",J35-R35)</f>
      </c>
      <c r="AC35" s="3">
        <f>IF($H35="","",S35-AB35)</f>
      </c>
    </row>
    <row r="36" spans="1:31" x14ac:dyDescent="0.25">
      <c r="A36" s="1"/>
      <c r="D36" s="2"/>
      <c r="G36" s="3"/>
      <c r="H36" s="3"/>
      <c r="I36" s="3">
        <f>IF($H36="","",H36-G36)</f>
      </c>
      <c r="J36" s="3">
        <f>IF($H36="","",I36*16.67%)</f>
      </c>
      <c r="K36" s="3">
        <f>IF($H36="","",H36/100*7)</f>
      </c>
      <c r="L36" s="3">
        <f>IF($H36="","",K36*20%)</f>
      </c>
      <c r="M36" s="3">
        <f>IF($H36="","",K36*2%)</f>
      </c>
      <c r="N36" s="3">
        <f>IF($H36="","",M36*20%)</f>
      </c>
      <c r="O36" s="3"/>
      <c r="P36" s="3">
        <f>IF($H36="","",O36*20%)</f>
      </c>
      <c r="Q36" s="3">
        <v>1</v>
      </c>
      <c r="R36" s="3">
        <f>IF($H36="","",L36+N36+P36)</f>
      </c>
      <c r="S36" s="3">
        <f>IF($H36="","",I36-J36-K36-L36-M36-N36-O36-P36-Q36)</f>
      </c>
      <c r="T36" s="3">
        <f>IF($H36="","",(S36-AB36)/G36*100)</f>
      </c>
      <c r="U36" s="3">
        <f>IF($H36="","",J36-R36)</f>
      </c>
      <c r="AC36" s="3">
        <f>IF($H36="","",S36-AB36)</f>
      </c>
    </row>
    <row r="37" spans="1:31" x14ac:dyDescent="0.25">
      <c r="A37" s="1"/>
      <c r="D37" s="2"/>
      <c r="G37" s="3"/>
      <c r="H37" s="3"/>
      <c r="I37" s="3">
        <f>IF($H37="","",H37-G37)</f>
      </c>
      <c r="J37" s="3">
        <f>IF($H37="","",I37*16.67%)</f>
      </c>
      <c r="K37" s="3">
        <f>IF($H37="","",H37/100*7)</f>
      </c>
      <c r="L37" s="3">
        <f>IF($H37="","",K37*20%)</f>
      </c>
      <c r="M37" s="3">
        <f>IF($H37="","",K37*2%)</f>
      </c>
      <c r="N37" s="3">
        <f>IF($H37="","",M37*20%)</f>
      </c>
      <c r="O37" s="3"/>
      <c r="P37" s="3">
        <f>IF($H37="","",O37*20%)</f>
      </c>
      <c r="Q37" s="3">
        <v>1</v>
      </c>
      <c r="R37" s="3">
        <f>IF($H37="","",L37+N37+P37)</f>
      </c>
      <c r="S37" s="3">
        <f>IF($H37="","",I37-J37-K37-L37-M37-N37-O37-P37-Q37)</f>
      </c>
      <c r="T37" s="3">
        <f>IF($H37="","",(S37-AB37)/G37*100)</f>
      </c>
      <c r="U37" s="3">
        <f>IF($H37="","",J37-R37)</f>
      </c>
      <c r="AC37" s="3">
        <f>IF($H37="","",S37-AB37)</f>
      </c>
    </row>
    <row r="38" spans="1:31" x14ac:dyDescent="0.25">
      <c r="A38" s="1"/>
      <c r="D38" s="2"/>
      <c r="G38" s="3"/>
      <c r="H38" s="3"/>
      <c r="I38" s="3">
        <f>IF($H38="","",H38-G38)</f>
      </c>
      <c r="J38" s="3">
        <f>IF($H38="","",I38*16.67%)</f>
      </c>
      <c r="K38" s="3">
        <f>IF($H38="","",H38/100*7)</f>
      </c>
      <c r="L38" s="3">
        <f>IF($H38="","",K38*20%)</f>
      </c>
      <c r="M38" s="3">
        <f>IF($H38="","",K38*2%)</f>
      </c>
      <c r="N38" s="3">
        <f>IF($H38="","",M38*20%)</f>
      </c>
      <c r="O38" s="3"/>
      <c r="P38" s="3">
        <f>IF($H38="","",O38*20%)</f>
      </c>
      <c r="Q38" s="3">
        <v>1</v>
      </c>
      <c r="R38" s="3">
        <f>IF($H38="","",L38+N38+P38)</f>
      </c>
      <c r="S38" s="3">
        <f>IF($H38="","",I38-J38-K38-L38-M38-N38-O38-P38-Q38)</f>
      </c>
      <c r="T38" s="3">
        <f>IF($H38="","",(S38-AB38)/G38*100)</f>
      </c>
      <c r="U38" s="3">
        <f>IF($H38="","",J38-R38)</f>
      </c>
      <c r="AC38" s="3">
        <f>IF($H38="","",S38-AB38)</f>
      </c>
    </row>
    <row r="39" spans="1:31" x14ac:dyDescent="0.25">
      <c r="A39" s="1"/>
      <c r="D39" s="2"/>
      <c r="G39" s="3"/>
      <c r="H39" s="3"/>
      <c r="I39" s="3">
        <f>IF($H39="","",H39-G39)</f>
      </c>
      <c r="J39" s="3">
        <f>IF($H39="","",I39*16.67%)</f>
      </c>
      <c r="K39" s="3">
        <f>IF($H39="","",H39/100*7)</f>
      </c>
      <c r="L39" s="3">
        <f>IF($H39="","",K39*20%)</f>
      </c>
      <c r="M39" s="3">
        <f>IF($H39="","",K39*2%)</f>
      </c>
      <c r="N39" s="3">
        <f>IF($H39="","",M39*20%)</f>
      </c>
      <c r="O39" s="3"/>
      <c r="P39" s="3">
        <f>IF($H39="","",O39*20%)</f>
      </c>
      <c r="Q39" s="3">
        <v>1</v>
      </c>
      <c r="R39" s="3">
        <f>IF($H39="","",L39+N39+P39)</f>
      </c>
      <c r="S39" s="3">
        <f>IF($H39="","",I39-J39-K39-L39-M39-N39-O39-P39-Q39)</f>
      </c>
      <c r="T39" s="3">
        <f>IF($H39="","",(S39-AB39)/G39*100)</f>
      </c>
      <c r="U39" s="3">
        <f>IF($H39="","",J39-R39)</f>
      </c>
      <c r="AC39" s="3">
        <f>IF($H39="","",S39-AB39)</f>
      </c>
    </row>
    <row r="40" spans="1:31" x14ac:dyDescent="0.25">
      <c r="A40" s="1"/>
      <c r="D40" s="2"/>
      <c r="G40" s="3"/>
      <c r="H40" s="3"/>
      <c r="I40" s="3">
        <f>IF($H40="","",H40-G40)</f>
      </c>
      <c r="J40" s="3">
        <f>IF($H40="","",I40*16.67%)</f>
      </c>
      <c r="K40" s="3">
        <f>IF($H40="","",H40/100*7)</f>
      </c>
      <c r="L40" s="3">
        <f>IF($H40="","",K40*20%)</f>
      </c>
      <c r="M40" s="3">
        <f>IF($H40="","",K40*2%)</f>
      </c>
      <c r="N40" s="3">
        <f>IF($H40="","",M40*20%)</f>
      </c>
      <c r="O40" s="3"/>
      <c r="P40" s="3">
        <f>IF($H40="","",O40*20%)</f>
      </c>
      <c r="Q40" s="3">
        <v>1</v>
      </c>
      <c r="R40" s="3">
        <f>IF($H40="","",L40+N40+P40)</f>
      </c>
      <c r="S40" s="3">
        <f>IF($H40="","",I40-J40-K40-L40-M40-N40-O40-P40-Q40)</f>
      </c>
      <c r="T40" s="3">
        <f>IF($H40="","",(S40-AB40)/G40*100)</f>
      </c>
      <c r="U40" s="3">
        <f>IF($H40="","",J40-R40)</f>
      </c>
      <c r="AC40" s="3">
        <f>IF($H40="","",S40-AB40)</f>
      </c>
    </row>
    <row r="41" spans="1:31" x14ac:dyDescent="0.25">
      <c r="A41" s="1"/>
      <c r="D41" s="2"/>
      <c r="G41" s="3"/>
      <c r="H41" s="3"/>
      <c r="I41" s="3">
        <f>IF($H41="","",H41-G41)</f>
      </c>
      <c r="J41" s="3">
        <f>IF($H41="","",I41*16.67%)</f>
      </c>
      <c r="K41" s="3">
        <f>IF($H41="","",H41/100*7)</f>
      </c>
      <c r="L41" s="3">
        <f>IF($H41="","",K41*20%)</f>
      </c>
      <c r="M41" s="3">
        <f>IF($H41="","",K41*2%)</f>
      </c>
      <c r="N41" s="3">
        <f>IF($H41="","",M41*20%)</f>
      </c>
      <c r="O41" s="3"/>
      <c r="P41" s="3">
        <f>IF($H41="","",O41*20%)</f>
      </c>
      <c r="Q41" s="3">
        <v>1</v>
      </c>
      <c r="R41" s="3">
        <f>IF($H41="","",L41+N41+P41)</f>
      </c>
      <c r="S41" s="3">
        <f>IF($H41="","",I41-J41-K41-L41-M41-N41-O41-P41-Q41)</f>
      </c>
      <c r="T41" s="3">
        <f>IF($H41="","",(S41-AB41)/G41*100)</f>
      </c>
      <c r="U41" s="3">
        <f>IF($H41="","",J41-R41)</f>
      </c>
      <c r="AC41" s="3">
        <f>IF($H41="","",S41-AB41)</f>
      </c>
    </row>
    <row r="42" spans="1:31" x14ac:dyDescent="0.25">
      <c r="A42" s="1"/>
      <c r="D42" s="2"/>
      <c r="G42" s="3"/>
      <c r="H42" s="3"/>
      <c r="I42" s="3">
        <f>IF($H42="","",H42-G42)</f>
      </c>
      <c r="J42" s="3">
        <f>IF($H42="","",I42*16.67%)</f>
      </c>
      <c r="K42" s="3">
        <f>IF($H42="","",H42/100*7)</f>
      </c>
      <c r="L42" s="3">
        <f>IF($H42="","",K42*20%)</f>
      </c>
      <c r="M42" s="3">
        <f>IF($H42="","",K42*2%)</f>
      </c>
      <c r="N42" s="3">
        <f>IF($H42="","",M42*20%)</f>
      </c>
      <c r="O42" s="3"/>
      <c r="P42" s="3">
        <f>IF($H42="","",O42*20%)</f>
      </c>
      <c r="Q42" s="3">
        <v>1</v>
      </c>
      <c r="R42" s="3">
        <f>IF($H42="","",L42+N42+P42)</f>
      </c>
      <c r="S42" s="3">
        <f>IF($H42="","",I42-J42-K42-L42-M42-N42-O42-P42-Q42)</f>
      </c>
      <c r="T42" s="3">
        <f>IF($H42="","",(S42-AB42)/G42*100)</f>
      </c>
      <c r="U42" s="3">
        <f>IF($H42="","",J42-R42)</f>
      </c>
      <c r="AC42" s="3">
        <f>IF($H42="","",S42-AB42)</f>
      </c>
    </row>
    <row r="43" spans="1:31" x14ac:dyDescent="0.25">
      <c r="A43" s="1"/>
      <c r="D43" s="2"/>
      <c r="G43" s="3"/>
      <c r="H43" s="3"/>
      <c r="I43" s="3">
        <f>IF($H43="","",H43-G43)</f>
      </c>
      <c r="J43" s="3">
        <f>IF($H43="","",I43*16.67%)</f>
      </c>
      <c r="K43" s="3">
        <f>IF($H43="","",H43/100*7)</f>
      </c>
      <c r="L43" s="3">
        <f>IF($H43="","",K43*20%)</f>
      </c>
      <c r="M43" s="3">
        <f>IF($H43="","",K43*2%)</f>
      </c>
      <c r="N43" s="3">
        <f>IF($H43="","",M43*20%)</f>
      </c>
      <c r="O43" s="3"/>
      <c r="P43" s="3">
        <f>IF($H43="","",O43*20%)</f>
      </c>
      <c r="Q43" s="3">
        <v>1</v>
      </c>
      <c r="R43" s="3">
        <f>IF($H43="","",L43+N43+P43)</f>
      </c>
      <c r="S43" s="3">
        <f>IF($H43="","",I43-J43-K43-L43-M43-N43-O43-P43-Q43)</f>
      </c>
      <c r="T43" s="3">
        <f>IF($H43="","",(S43-AB43)/G43*100)</f>
      </c>
      <c r="U43" s="3">
        <f>IF($H43="","",J43-R43)</f>
      </c>
      <c r="AC43" s="3">
        <f>IF($H43="","",S43-AB43)</f>
      </c>
    </row>
    <row r="44" spans="1:31" x14ac:dyDescent="0.25">
      <c r="A44" s="1"/>
      <c r="D44" s="2"/>
      <c r="G44" s="3"/>
      <c r="H44" s="3"/>
      <c r="I44" s="3">
        <f>IF($H44="","",H44-G44)</f>
      </c>
      <c r="J44" s="3">
        <f>IF($H44="","",I44*16.67%)</f>
      </c>
      <c r="K44" s="3">
        <f>IF($H44="","",H44/100*7)</f>
      </c>
      <c r="L44" s="3">
        <f>IF($H44="","",K44*20%)</f>
      </c>
      <c r="M44" s="3">
        <f>IF($H44="","",K44*2%)</f>
      </c>
      <c r="N44" s="3">
        <f>IF($H44="","",M44*20%)</f>
      </c>
      <c r="O44" s="3"/>
      <c r="P44" s="3">
        <f>IF($H44="","",O44*20%)</f>
      </c>
      <c r="Q44" s="3">
        <v>1</v>
      </c>
      <c r="R44" s="3">
        <f>IF($H44="","",L44+N44+P44)</f>
      </c>
      <c r="S44" s="3">
        <f>IF($H44="","",I44-J44-K44-L44-M44-N44-O44-P44-Q44)</f>
      </c>
      <c r="T44" s="3">
        <f>IF($H44="","",(S44-AB44)/G44*100)</f>
      </c>
      <c r="U44" s="3">
        <f>IF($H44="","",J44-R44)</f>
      </c>
      <c r="AC44" s="3">
        <f>IF($H44="","",S44-AB44)</f>
      </c>
    </row>
    <row r="45" spans="1:31" x14ac:dyDescent="0.25">
      <c r="A45" s="1"/>
      <c r="D45" s="2"/>
      <c r="G45" s="3"/>
      <c r="H45" s="3"/>
      <c r="I45" s="3">
        <f>IF($H45="","",H45-G45)</f>
      </c>
      <c r="J45" s="3">
        <f>IF($H45="","",I45*16.67%)</f>
      </c>
      <c r="K45" s="3">
        <f>IF($H45="","",H45/100*7)</f>
      </c>
      <c r="L45" s="3">
        <f>IF($H45="","",K45*20%)</f>
      </c>
      <c r="M45" s="3">
        <f>IF($H45="","",K45*2%)</f>
      </c>
      <c r="N45" s="3">
        <f>IF($H45="","",M45*20%)</f>
      </c>
      <c r="O45" s="3"/>
      <c r="P45" s="3">
        <f>IF($H45="","",O45*20%)</f>
      </c>
      <c r="Q45" s="3">
        <v>1</v>
      </c>
      <c r="R45" s="3">
        <f>IF($H45="","",L45+N45+P45)</f>
      </c>
      <c r="S45" s="3">
        <f>IF($H45="","",I45-J45-K45-L45-M45-N45-O45-P45-Q45)</f>
      </c>
      <c r="T45" s="3">
        <f>IF($H45="","",(S45-AB45)/G45*100)</f>
      </c>
      <c r="U45" s="3">
        <f>IF($H45="","",J45-R45)</f>
      </c>
      <c r="AC45" s="3">
        <f>IF($H45="","",S45-AB45)</f>
      </c>
    </row>
    <row r="46" spans="1:31" x14ac:dyDescent="0.25">
      <c r="A46" s="1"/>
      <c r="D46" s="2"/>
      <c r="G46" s="3"/>
      <c r="H46" s="3"/>
      <c r="I46" s="3">
        <f>IF($H46="","",H46-G46)</f>
      </c>
      <c r="J46" s="3">
        <f>IF($H46="","",I46*16.67%)</f>
      </c>
      <c r="K46" s="3">
        <f>IF($H46="","",H46/100*7)</f>
      </c>
      <c r="L46" s="3">
        <f>IF($H46="","",K46*20%)</f>
      </c>
      <c r="M46" s="3">
        <f>IF($H46="","",K46*2%)</f>
      </c>
      <c r="N46" s="3">
        <f>IF($H46="","",M46*20%)</f>
      </c>
      <c r="O46" s="3"/>
      <c r="P46" s="3">
        <f>IF($H46="","",O46*20%)</f>
      </c>
      <c r="Q46" s="3">
        <v>1</v>
      </c>
      <c r="R46" s="3">
        <f>IF($H46="","",L46+N46+P46)</f>
      </c>
      <c r="S46" s="3">
        <f>IF($H46="","",I46-J46-K46-L46-M46-N46-O46-P46-Q46)</f>
      </c>
      <c r="T46" s="3">
        <f>IF($H46="","",(S46-AB46)/G46*100)</f>
      </c>
      <c r="U46" s="3">
        <f>IF($H46="","",J46-R46)</f>
      </c>
      <c r="AC46" s="3">
        <f>IF($H46="","",S46-AB46)</f>
      </c>
    </row>
    <row r="47" spans="1:31" x14ac:dyDescent="0.25">
      <c r="A47" s="1"/>
      <c r="D47" s="2"/>
      <c r="G47" s="3"/>
      <c r="H47" s="3"/>
      <c r="I47" s="3">
        <f>IF($H47="","",H47-G47)</f>
      </c>
      <c r="J47" s="3">
        <f>IF($H47="","",I47*16.67%)</f>
      </c>
      <c r="K47" s="3">
        <f>IF($H47="","",H47/100*7)</f>
      </c>
      <c r="L47" s="3">
        <f>IF($H47="","",K47*20%)</f>
      </c>
      <c r="M47" s="3">
        <f>IF($H47="","",K47*2%)</f>
      </c>
      <c r="N47" s="3">
        <f>IF($H47="","",M47*20%)</f>
      </c>
      <c r="O47" s="3"/>
      <c r="P47" s="3">
        <f>IF($H47="","",O47*20%)</f>
      </c>
      <c r="Q47" s="3">
        <v>1</v>
      </c>
      <c r="R47" s="3">
        <f>IF($H47="","",L47+N47+P47)</f>
      </c>
      <c r="S47" s="3">
        <f>IF($H47="","",I47-J47-K47-L47-M47-N47-O47-P47-Q47)</f>
      </c>
      <c r="T47" s="3">
        <f>IF($H47="","",(S47-AB47)/G47*100)</f>
      </c>
      <c r="U47" s="3">
        <f>IF($H47="","",J47-R47)</f>
      </c>
      <c r="AC47" s="3">
        <f>IF($H47="","",S47-AB47)</f>
      </c>
    </row>
    <row r="48" spans="1:31" x14ac:dyDescent="0.25">
      <c r="A48" s="1"/>
      <c r="D48" s="2"/>
      <c r="G48" s="3"/>
      <c r="H48" s="3"/>
      <c r="I48" s="3">
        <f>IF($H48="","",H48-G48)</f>
      </c>
      <c r="J48" s="3">
        <f>IF($H48="","",I48*16.67%)</f>
      </c>
      <c r="K48" s="3">
        <f>IF($H48="","",H48/100*7)</f>
      </c>
      <c r="L48" s="3">
        <f>IF($H48="","",K48*20%)</f>
      </c>
      <c r="M48" s="3">
        <f>IF($H48="","",K48*2%)</f>
      </c>
      <c r="N48" s="3">
        <f>IF($H48="","",M48*20%)</f>
      </c>
      <c r="O48" s="3"/>
      <c r="P48" s="3">
        <f>IF($H48="","",O48*20%)</f>
      </c>
      <c r="Q48" s="3">
        <v>1</v>
      </c>
      <c r="R48" s="3">
        <f>IF($H48="","",L48+N48+P48)</f>
      </c>
      <c r="S48" s="3">
        <f>IF($H48="","",I48-J48-K48-L48-M48-N48-O48-P48-Q48)</f>
      </c>
      <c r="T48" s="3">
        <f>IF($H48="","",(S48-AB48)/G48*100)</f>
      </c>
      <c r="U48" s="3">
        <f>IF($H48="","",J48-R48)</f>
      </c>
      <c r="AC48" s="3">
        <f>IF($H48="","",S48-AB48)</f>
      </c>
    </row>
    <row r="49" spans="1:31" x14ac:dyDescent="0.25">
      <c r="A49" s="1"/>
      <c r="D49" s="2"/>
      <c r="G49" s="3"/>
      <c r="H49" s="3"/>
      <c r="I49" s="3">
        <f>IF($H49="","",H49-G49)</f>
      </c>
      <c r="J49" s="3">
        <f>IF($H49="","",I49*16.67%)</f>
      </c>
      <c r="K49" s="3">
        <f>IF($H49="","",H49/100*7)</f>
      </c>
      <c r="L49" s="3">
        <f>IF($H49="","",K49*20%)</f>
      </c>
      <c r="M49" s="3">
        <f>IF($H49="","",K49*2%)</f>
      </c>
      <c r="N49" s="3">
        <f>IF($H49="","",M49*20%)</f>
      </c>
      <c r="O49" s="3"/>
      <c r="P49" s="3">
        <f>IF($H49="","",O49*20%)</f>
      </c>
      <c r="Q49" s="3">
        <v>1</v>
      </c>
      <c r="R49" s="3">
        <f>IF($H49="","",L49+N49+P49)</f>
      </c>
      <c r="S49" s="3">
        <f>IF($H49="","",I49-J49-K49-L49-M49-N49-O49-P49-Q49)</f>
      </c>
      <c r="T49" s="3">
        <f>IF($H49="","",(S49-AB49)/G49*100)</f>
      </c>
      <c r="U49" s="3">
        <f>IF($H49="","",J49-R49)</f>
      </c>
      <c r="AC49" s="3">
        <f>IF($H49="","",S49-AB49)</f>
      </c>
    </row>
    <row r="50" spans="1:31" x14ac:dyDescent="0.25">
      <c r="A50" s="1"/>
      <c r="D50" s="2"/>
      <c r="G50" s="3"/>
      <c r="H50" s="3"/>
      <c r="I50" s="3">
        <f>IF($H50="","",H50-G50)</f>
      </c>
      <c r="J50" s="3">
        <f>IF($H50="","",I50*16.67%)</f>
      </c>
      <c r="K50" s="3">
        <f>IF($H50="","",H50/100*7)</f>
      </c>
      <c r="L50" s="3">
        <f>IF($H50="","",K50*20%)</f>
      </c>
      <c r="M50" s="3">
        <f>IF($H50="","",K50*2%)</f>
      </c>
      <c r="N50" s="3">
        <f>IF($H50="","",M50*20%)</f>
      </c>
      <c r="O50" s="3"/>
      <c r="P50" s="3">
        <f>IF($H50="","",O50*20%)</f>
      </c>
      <c r="Q50" s="3">
        <v>1</v>
      </c>
      <c r="R50" s="3">
        <f>IF($H50="","",L50+N50+P50)</f>
      </c>
      <c r="S50" s="3">
        <f>IF($H50="","",I50-J50-K50-L50-M50-N50-O50-P50-Q50)</f>
      </c>
      <c r="T50" s="3">
        <f>IF($H50="","",(S50-AB50)/G50*100)</f>
      </c>
      <c r="U50" s="3">
        <f>IF($H50="","",J50-R50)</f>
      </c>
      <c r="AC50" s="3">
        <f>IF($H50="","",S50-AB50)</f>
      </c>
    </row>
    <row r="51" spans="1:31" x14ac:dyDescent="0.25">
      <c r="A51" s="1"/>
      <c r="D51" s="2"/>
      <c r="G51" s="3"/>
      <c r="H51" s="3"/>
      <c r="I51" s="3">
        <f>IF($H51="","",H51-G51)</f>
      </c>
      <c r="J51" s="3">
        <f>IF($H51="","",I51*16.67%)</f>
      </c>
      <c r="K51" s="3">
        <f>IF($H51="","",H51/100*7)</f>
      </c>
      <c r="L51" s="3">
        <f>IF($H51="","",K51*20%)</f>
      </c>
      <c r="M51" s="3">
        <f>IF($H51="","",K51*2%)</f>
      </c>
      <c r="N51" s="3">
        <f>IF($H51="","",M51*20%)</f>
      </c>
      <c r="O51" s="3"/>
      <c r="P51" s="3">
        <f>IF($H51="","",O51*20%)</f>
      </c>
      <c r="Q51" s="3">
        <v>1</v>
      </c>
      <c r="R51" s="3">
        <f>IF($H51="","",L51+N51+P51)</f>
      </c>
      <c r="S51" s="3">
        <f>IF($H51="","",I51-J51-K51-L51-M51-N51-O51-P51-Q51)</f>
      </c>
      <c r="T51" s="3">
        <f>IF($H51="","",(S51-AB51)/G51*100)</f>
      </c>
      <c r="U51" s="3">
        <f>IF($H51="","",J51-R51)</f>
      </c>
      <c r="AC51" s="3">
        <f>IF($H51="","",S51-AB51)</f>
      </c>
    </row>
    <row r="52" spans="1:31" x14ac:dyDescent="0.25">
      <c r="A52" s="1"/>
      <c r="D52" s="2"/>
      <c r="G52" s="3"/>
      <c r="H52" s="3"/>
      <c r="I52" s="3">
        <f>IF($H52="","",H52-G52)</f>
      </c>
      <c r="J52" s="3">
        <f>IF($H52="","",I52*16.67%)</f>
      </c>
      <c r="K52" s="3">
        <f>IF($H52="","",H52/100*7)</f>
      </c>
      <c r="L52" s="3">
        <f>IF($H52="","",K52*20%)</f>
      </c>
      <c r="M52" s="3">
        <f>IF($H52="","",K52*2%)</f>
      </c>
      <c r="N52" s="3">
        <f>IF($H52="","",M52*20%)</f>
      </c>
      <c r="O52" s="3"/>
      <c r="P52" s="3">
        <f>IF($H52="","",O52*20%)</f>
      </c>
      <c r="Q52" s="3">
        <v>1</v>
      </c>
      <c r="R52" s="3">
        <f>IF($H52="","",L52+N52+P52)</f>
      </c>
      <c r="S52" s="3">
        <f>IF($H52="","",I52-J52-K52-L52-M52-N52-O52-P52-Q52)</f>
      </c>
      <c r="T52" s="3">
        <f>IF($H52="","",(S52-AB52)/G52*100)</f>
      </c>
      <c r="U52" s="3">
        <f>IF($H52="","",J52-R52)</f>
      </c>
      <c r="AC52" s="3">
        <f>IF($H52="","",S52-AB52)</f>
      </c>
    </row>
    <row r="53" spans="1:31" x14ac:dyDescent="0.25">
      <c r="A53" s="1"/>
      <c r="D53" s="2"/>
      <c r="G53" s="3"/>
      <c r="H53" s="3"/>
      <c r="I53" s="3">
        <f>IF($H53="","",H53-G53)</f>
      </c>
      <c r="J53" s="3">
        <f>IF($H53="","",I53*16.67%)</f>
      </c>
      <c r="K53" s="3">
        <f>IF($H53="","",H53/100*7)</f>
      </c>
      <c r="L53" s="3">
        <f>IF($H53="","",K53*20%)</f>
      </c>
      <c r="M53" s="3">
        <f>IF($H53="","",K53*2%)</f>
      </c>
      <c r="N53" s="3">
        <f>IF($H53="","",M53*20%)</f>
      </c>
      <c r="O53" s="3"/>
      <c r="P53" s="3">
        <f>IF($H53="","",O53*20%)</f>
      </c>
      <c r="Q53" s="3">
        <v>1</v>
      </c>
      <c r="R53" s="3">
        <f>IF($H53="","",L53+N53+P53)</f>
      </c>
      <c r="S53" s="3">
        <f>IF($H53="","",I53-J53-K53-L53-M53-N53-O53-P53-Q53)</f>
      </c>
      <c r="T53" s="3">
        <f>IF($H53="","",(S53-AB53)/G53*100)</f>
      </c>
      <c r="U53" s="3">
        <f>IF($H53="","",J53-R53)</f>
      </c>
      <c r="AC53" s="3">
        <f>IF($H53="","",S53-AB53)</f>
      </c>
    </row>
    <row r="54" spans="1:31" x14ac:dyDescent="0.25">
      <c r="A54" s="1"/>
      <c r="D54" s="2"/>
      <c r="G54" s="3"/>
      <c r="H54" s="3"/>
      <c r="I54" s="3">
        <f>IF($H54="","",H54-G54)</f>
      </c>
      <c r="J54" s="3">
        <f>IF($H54="","",I54*16.67%)</f>
      </c>
      <c r="K54" s="3">
        <f>IF($H54="","",H54/100*7)</f>
      </c>
      <c r="L54" s="3">
        <f>IF($H54="","",K54*20%)</f>
      </c>
      <c r="M54" s="3">
        <f>IF($H54="","",K54*2%)</f>
      </c>
      <c r="N54" s="3">
        <f>IF($H54="","",M54*20%)</f>
      </c>
      <c r="O54" s="3"/>
      <c r="P54" s="3">
        <f>IF($H54="","",O54*20%)</f>
      </c>
      <c r="Q54" s="3">
        <v>1</v>
      </c>
      <c r="R54" s="3">
        <f>IF($H54="","",L54+N54+P54)</f>
      </c>
      <c r="S54" s="3">
        <f>IF($H54="","",I54-J54-K54-L54-M54-N54-O54-P54-Q54)</f>
      </c>
      <c r="T54" s="3">
        <f>IF($H54="","",(S54-AB54)/G54*100)</f>
      </c>
      <c r="U54" s="3">
        <f>IF($H54="","",J54-R54)</f>
      </c>
      <c r="AC54" s="3">
        <f>IF($H54="","",S54-AB54)</f>
      </c>
    </row>
    <row r="55" spans="1:31" x14ac:dyDescent="0.25">
      <c r="A55" s="1"/>
      <c r="D55" s="2"/>
      <c r="G55" s="3"/>
      <c r="H55" s="3"/>
      <c r="I55" s="3">
        <f>IF($H55="","",H55-G55)</f>
      </c>
      <c r="J55" s="3">
        <f>IF($H55="","",I55*16.67%)</f>
      </c>
      <c r="K55" s="3">
        <f>IF($H55="","",H55/100*7)</f>
      </c>
      <c r="L55" s="3">
        <f>IF($H55="","",K55*20%)</f>
      </c>
      <c r="M55" s="3">
        <f>IF($H55="","",K55*2%)</f>
      </c>
      <c r="N55" s="3">
        <f>IF($H55="","",M55*20%)</f>
      </c>
      <c r="O55" s="3"/>
      <c r="P55" s="3">
        <f>IF($H55="","",O55*20%)</f>
      </c>
      <c r="Q55" s="3">
        <v>1</v>
      </c>
      <c r="R55" s="3">
        <f>IF($H55="","",L55+N55+P55)</f>
      </c>
      <c r="S55" s="3">
        <f>IF($H55="","",I55-J55-K55-L55-M55-N55-O55-P55-Q55)</f>
      </c>
      <c r="T55" s="3">
        <f>IF($H55="","",(S55-AB55)/G55*100)</f>
      </c>
      <c r="U55" s="3">
        <f>IF($H55="","",J55-R55)</f>
      </c>
      <c r="AC55" s="3">
        <f>IF($H55="","",S55-AB55)</f>
      </c>
    </row>
    <row r="56" spans="1:31" x14ac:dyDescent="0.25">
      <c r="A56" s="1"/>
      <c r="D56" s="2"/>
      <c r="G56" s="3"/>
      <c r="H56" s="3"/>
      <c r="I56" s="3">
        <f>IF($H56="","",H56-G56)</f>
      </c>
      <c r="J56" s="3">
        <f>IF($H56="","",I56*16.67%)</f>
      </c>
      <c r="K56" s="3">
        <f>IF($H56="","",H56/100*7)</f>
      </c>
      <c r="L56" s="3">
        <f>IF($H56="","",K56*20%)</f>
      </c>
      <c r="M56" s="3">
        <f>IF($H56="","",K56*2%)</f>
      </c>
      <c r="N56" s="3">
        <f>IF($H56="","",M56*20%)</f>
      </c>
      <c r="O56" s="3"/>
      <c r="P56" s="3">
        <f>IF($H56="","",O56*20%)</f>
      </c>
      <c r="Q56" s="3">
        <v>1</v>
      </c>
      <c r="R56" s="3">
        <f>IF($H56="","",L56+N56+P56)</f>
      </c>
      <c r="S56" s="3">
        <f>IF($H56="","",I56-J56-K56-L56-M56-N56-O56-P56-Q56)</f>
      </c>
      <c r="T56" s="3">
        <f>IF($H56="","",(S56-AB56)/G56*100)</f>
      </c>
      <c r="U56" s="3">
        <f>IF($H56="","",J56-R56)</f>
      </c>
      <c r="AC56" s="3">
        <f>IF($H56="","",S56-AB56)</f>
      </c>
    </row>
    <row r="57" spans="1:31" x14ac:dyDescent="0.25">
      <c r="A57" s="1"/>
      <c r="D57" s="2"/>
      <c r="G57" s="3"/>
      <c r="H57" s="3"/>
      <c r="I57" s="3">
        <f>IF($H57="","",H57-G57)</f>
      </c>
      <c r="J57" s="3">
        <f>IF($H57="","",I57*16.67%)</f>
      </c>
      <c r="K57" s="3">
        <f>IF($H57="","",H57/100*7)</f>
      </c>
      <c r="L57" s="3">
        <f>IF($H57="","",K57*20%)</f>
      </c>
      <c r="M57" s="3">
        <f>IF($H57="","",K57*2%)</f>
      </c>
      <c r="N57" s="3">
        <f>IF($H57="","",M57*20%)</f>
      </c>
      <c r="O57" s="3"/>
      <c r="P57" s="3">
        <f>IF($H57="","",O57*20%)</f>
      </c>
      <c r="Q57" s="3">
        <v>1</v>
      </c>
      <c r="R57" s="3">
        <f>IF($H57="","",L57+N57+P57)</f>
      </c>
      <c r="S57" s="3">
        <f>IF($H57="","",I57-J57-K57-L57-M57-N57-O57-P57-Q57)</f>
      </c>
      <c r="T57" s="3">
        <f>IF($H57="","",(S57-AB57)/G57*100)</f>
      </c>
      <c r="U57" s="3">
        <f>IF($H57="","",J57-R57)</f>
      </c>
      <c r="AC57" s="3">
        <f>IF($H57="","",S57-AB57)</f>
      </c>
    </row>
    <row r="58" spans="1:31" x14ac:dyDescent="0.25">
      <c r="A58" s="1"/>
      <c r="D58" s="2"/>
      <c r="G58" s="3"/>
      <c r="H58" s="3"/>
      <c r="I58" s="3">
        <f>IF($H58="","",H58-G58)</f>
      </c>
      <c r="J58" s="3">
        <f>IF($H58="","",I58*16.67%)</f>
      </c>
      <c r="K58" s="3">
        <f>IF($H58="","",H58/100*7)</f>
      </c>
      <c r="L58" s="3">
        <f>IF($H58="","",K58*20%)</f>
      </c>
      <c r="M58" s="3">
        <f>IF($H58="","",K58*2%)</f>
      </c>
      <c r="N58" s="3">
        <f>IF($H58="","",M58*20%)</f>
      </c>
      <c r="O58" s="3"/>
      <c r="P58" s="3">
        <f>IF($H58="","",O58*20%)</f>
      </c>
      <c r="Q58" s="3">
        <v>1</v>
      </c>
      <c r="R58" s="3">
        <f>IF($H58="","",L58+N58+P58)</f>
      </c>
      <c r="S58" s="3">
        <f>IF($H58="","",I58-J58-K58-L58-M58-N58-O58-P58-Q58)</f>
      </c>
      <c r="T58" s="3">
        <f>IF($H58="","",(S58-AB58)/G58*100)</f>
      </c>
      <c r="U58" s="3">
        <f>IF($H58="","",J58-R58)</f>
      </c>
      <c r="AC58" s="3">
        <f>IF($H58="","",S58-AB58)</f>
      </c>
    </row>
    <row r="59" spans="1:31" x14ac:dyDescent="0.25">
      <c r="A59" s="1"/>
      <c r="D59" s="2"/>
      <c r="G59" s="3"/>
      <c r="H59" s="3"/>
      <c r="I59" s="3">
        <f>IF($H59="","",H59-G59)</f>
      </c>
      <c r="J59" s="3">
        <f>IF($H59="","",I59*16.67%)</f>
      </c>
      <c r="K59" s="3">
        <f>IF($H59="","",H59/100*7)</f>
      </c>
      <c r="L59" s="3">
        <f>IF($H59="","",K59*20%)</f>
      </c>
      <c r="M59" s="3">
        <f>IF($H59="","",K59*2%)</f>
      </c>
      <c r="N59" s="3">
        <f>IF($H59="","",M59*20%)</f>
      </c>
      <c r="O59" s="3"/>
      <c r="P59" s="3">
        <f>IF($H59="","",O59*20%)</f>
      </c>
      <c r="Q59" s="3">
        <v>1</v>
      </c>
      <c r="R59" s="3">
        <f>IF($H59="","",L59+N59+P59)</f>
      </c>
      <c r="S59" s="3">
        <f>IF($H59="","",I59-J59-K59-L59-M59-N59-O59-P59-Q59)</f>
      </c>
      <c r="T59" s="3">
        <f>IF($H59="","",(S59-AB59)/G59*100)</f>
      </c>
      <c r="U59" s="3">
        <f>IF($H59="","",J59-R59)</f>
      </c>
      <c r="AC59" s="3">
        <f>IF($H59="","",S59-AB59)</f>
      </c>
    </row>
    <row r="60" spans="1:31" x14ac:dyDescent="0.25">
      <c r="A60" s="1"/>
      <c r="D60" s="2"/>
      <c r="G60" s="3"/>
      <c r="H60" s="3"/>
      <c r="I60" s="3">
        <f>IF($H60="","",H60-G60)</f>
      </c>
      <c r="J60" s="3">
        <f>IF($H60="","",I60*16.67%)</f>
      </c>
      <c r="K60" s="3">
        <f>IF($H60="","",H60/100*7)</f>
      </c>
      <c r="L60" s="3">
        <f>IF($H60="","",K60*20%)</f>
      </c>
      <c r="M60" s="3">
        <f>IF($H60="","",K60*2%)</f>
      </c>
      <c r="N60" s="3">
        <f>IF($H60="","",M60*20%)</f>
      </c>
      <c r="O60" s="3"/>
      <c r="P60" s="3">
        <f>IF($H60="","",O60*20%)</f>
      </c>
      <c r="Q60" s="3">
        <v>1</v>
      </c>
      <c r="R60" s="3">
        <f>IF($H60="","",L60+N60+P60)</f>
      </c>
      <c r="S60" s="3">
        <f>IF($H60="","",I60-J60-K60-L60-M60-N60-O60-P60-Q60)</f>
      </c>
      <c r="T60" s="3">
        <f>IF($H60="","",(S60-AB60)/G60*100)</f>
      </c>
      <c r="U60" s="3">
        <f>IF($H60="","",J60-R60)</f>
      </c>
      <c r="AC60" s="3">
        <f>IF($H60="","",S60-AB60)</f>
      </c>
    </row>
    <row r="61" spans="1:31" x14ac:dyDescent="0.25">
      <c r="A61" s="1"/>
      <c r="D61" s="2"/>
      <c r="G61" s="3"/>
      <c r="H61" s="3"/>
      <c r="I61" s="3">
        <f>IF($H61="","",H61-G61)</f>
      </c>
      <c r="J61" s="3">
        <f>IF($H61="","",I61*16.67%)</f>
      </c>
      <c r="K61" s="3">
        <f>IF($H61="","",H61/100*7)</f>
      </c>
      <c r="L61" s="3">
        <f>IF($H61="","",K61*20%)</f>
      </c>
      <c r="M61" s="3">
        <f>IF($H61="","",K61*2%)</f>
      </c>
      <c r="N61" s="3">
        <f>IF($H61="","",M61*20%)</f>
      </c>
      <c r="O61" s="3"/>
      <c r="P61" s="3">
        <f>IF($H61="","",O61*20%)</f>
      </c>
      <c r="Q61" s="3">
        <v>1</v>
      </c>
      <c r="R61" s="3">
        <f>IF($H61="","",L61+N61+P61)</f>
      </c>
      <c r="S61" s="3">
        <f>IF($H61="","",I61-J61-K61-L61-M61-N61-O61-P61-Q61)</f>
      </c>
      <c r="T61" s="3">
        <f>IF($H61="","",(S61-AB61)/G61*100)</f>
      </c>
      <c r="U61" s="3">
        <f>IF($H61="","",J61-R61)</f>
      </c>
      <c r="AC61" s="3">
        <f>IF($H61="","",S61-AB61)</f>
      </c>
    </row>
    <row r="62" spans="1:31" x14ac:dyDescent="0.25">
      <c r="A62" s="1"/>
      <c r="D62" s="2"/>
      <c r="G62" s="3"/>
      <c r="H62" s="3"/>
      <c r="I62" s="3">
        <f>IF($H62="","",H62-G62)</f>
      </c>
      <c r="J62" s="3">
        <f>IF($H62="","",I62*16.67%)</f>
      </c>
      <c r="K62" s="3">
        <f>IF($H62="","",H62/100*7)</f>
      </c>
      <c r="L62" s="3">
        <f>IF($H62="","",K62*20%)</f>
      </c>
      <c r="M62" s="3">
        <f>IF($H62="","",K62*2%)</f>
      </c>
      <c r="N62" s="3">
        <f>IF($H62="","",M62*20%)</f>
      </c>
      <c r="O62" s="3"/>
      <c r="P62" s="3">
        <f>IF($H62="","",O62*20%)</f>
      </c>
      <c r="Q62" s="3">
        <v>1</v>
      </c>
      <c r="R62" s="3">
        <f>IF($H62="","",L62+N62+P62)</f>
      </c>
      <c r="S62" s="3">
        <f>IF($H62="","",I62-J62-K62-L62-M62-N62-O62-P62-Q62)</f>
      </c>
      <c r="T62" s="3">
        <f>IF($H62="","",(S62-AB62)/G62*100)</f>
      </c>
      <c r="U62" s="3">
        <f>IF($H62="","",J62-R62)</f>
      </c>
      <c r="AC62" s="3">
        <f>IF($H62="","",S62-AB62)</f>
      </c>
    </row>
    <row r="63" spans="1:31" x14ac:dyDescent="0.25">
      <c r="A63" s="1"/>
      <c r="D63" s="2"/>
      <c r="G63" s="3"/>
      <c r="H63" s="3"/>
      <c r="I63" s="3">
        <f>IF($H63="","",H63-G63)</f>
      </c>
      <c r="J63" s="3">
        <f>IF($H63="","",I63*16.67%)</f>
      </c>
      <c r="K63" s="3">
        <f>IF($H63="","",H63/100*7)</f>
      </c>
      <c r="L63" s="3">
        <f>IF($H63="","",K63*20%)</f>
      </c>
      <c r="M63" s="3">
        <f>IF($H63="","",K63*2%)</f>
      </c>
      <c r="N63" s="3">
        <f>IF($H63="","",M63*20%)</f>
      </c>
      <c r="O63" s="3"/>
      <c r="P63" s="3">
        <f>IF($H63="","",O63*20%)</f>
      </c>
      <c r="Q63" s="3">
        <v>1</v>
      </c>
      <c r="R63" s="3">
        <f>IF($H63="","",L63+N63+P63)</f>
      </c>
      <c r="S63" s="3">
        <f>IF($H63="","",I63-J63-K63-L63-M63-N63-O63-P63-Q63)</f>
      </c>
      <c r="T63" s="3">
        <f>IF($H63="","",(S63-AB63)/G63*100)</f>
      </c>
      <c r="U63" s="3">
        <f>IF($H63="","",J63-R63)</f>
      </c>
      <c r="AC63" s="3">
        <f>IF($H63="","",S63-AB63)</f>
      </c>
    </row>
    <row r="64" spans="1:31" x14ac:dyDescent="0.25">
      <c r="A64" s="1"/>
      <c r="D64" s="2"/>
      <c r="G64" s="3"/>
      <c r="H64" s="3"/>
      <c r="I64" s="3">
        <f>IF($H64="","",H64-G64)</f>
      </c>
      <c r="J64" s="3">
        <f>IF($H64="","",I64*16.67%)</f>
      </c>
      <c r="K64" s="3">
        <f>IF($H64="","",H64/100*7)</f>
      </c>
      <c r="L64" s="3">
        <f>IF($H64="","",K64*20%)</f>
      </c>
      <c r="M64" s="3">
        <f>IF($H64="","",K64*2%)</f>
      </c>
      <c r="N64" s="3">
        <f>IF($H64="","",M64*20%)</f>
      </c>
      <c r="O64" s="3"/>
      <c r="P64" s="3">
        <f>IF($H64="","",O64*20%)</f>
      </c>
      <c r="Q64" s="3">
        <v>1</v>
      </c>
      <c r="R64" s="3">
        <f>IF($H64="","",L64+N64+P64)</f>
      </c>
      <c r="S64" s="3">
        <f>IF($H64="","",I64-J64-K64-L64-M64-N64-O64-P64-Q64)</f>
      </c>
      <c r="T64" s="3">
        <f>IF($H64="","",(S64-AB64)/G64*100)</f>
      </c>
      <c r="U64" s="3">
        <f>IF($H64="","",J64-R64)</f>
      </c>
      <c r="AC64" s="3">
        <f>IF($H64="","",S64-AB64)</f>
      </c>
    </row>
    <row r="65" spans="1:31" x14ac:dyDescent="0.25">
      <c r="A65" s="1"/>
      <c r="D65" s="2"/>
      <c r="G65" s="3"/>
      <c r="H65" s="3"/>
      <c r="I65" s="3">
        <f>IF($H65="","",H65-G65)</f>
      </c>
      <c r="J65" s="3">
        <f>IF($H65="","",I65*16.67%)</f>
      </c>
      <c r="K65" s="3">
        <f>IF($H65="","",H65/100*7)</f>
      </c>
      <c r="L65" s="3">
        <f>IF($H65="","",K65*20%)</f>
      </c>
      <c r="M65" s="3">
        <f>IF($H65="","",K65*2%)</f>
      </c>
      <c r="N65" s="3">
        <f>IF($H65="","",M65*20%)</f>
      </c>
      <c r="O65" s="3"/>
      <c r="P65" s="3">
        <f>IF($H65="","",O65*20%)</f>
      </c>
      <c r="Q65" s="3">
        <v>1</v>
      </c>
      <c r="R65" s="3">
        <f>IF($H65="","",L65+N65+P65)</f>
      </c>
      <c r="S65" s="3">
        <f>IF($H65="","",I65-J65-K65-L65-M65-N65-O65-P65-Q65)</f>
      </c>
      <c r="T65" s="3">
        <f>IF($H65="","",(S65-AB65)/G65*100)</f>
      </c>
      <c r="U65" s="3">
        <f>IF($H65="","",J65-R65)</f>
      </c>
      <c r="AC65" s="3">
        <f>IF($H65="","",S65-AB65)</f>
      </c>
    </row>
    <row r="66" spans="1:31" x14ac:dyDescent="0.25">
      <c r="A66" s="1"/>
      <c r="D66" s="2"/>
      <c r="G66" s="3"/>
      <c r="H66" s="3"/>
      <c r="I66" s="3">
        <f>IF($H66="","",H66-G66)</f>
      </c>
      <c r="J66" s="3">
        <f>IF($H66="","",I66*16.67%)</f>
      </c>
      <c r="K66" s="3">
        <f>IF($H66="","",H66/100*7)</f>
      </c>
      <c r="L66" s="3">
        <f>IF($H66="","",K66*20%)</f>
      </c>
      <c r="M66" s="3">
        <f>IF($H66="","",K66*2%)</f>
      </c>
      <c r="N66" s="3">
        <f>IF($H66="","",M66*20%)</f>
      </c>
      <c r="O66" s="3"/>
      <c r="P66" s="3">
        <f>IF($H66="","",O66*20%)</f>
      </c>
      <c r="Q66" s="3">
        <v>1</v>
      </c>
      <c r="R66" s="3">
        <f>IF($H66="","",L66+N66+P66)</f>
      </c>
      <c r="S66" s="3">
        <f>IF($H66="","",I66-J66-K66-L66-M66-N66-O66-P66-Q66)</f>
      </c>
      <c r="T66" s="3">
        <f>IF($H66="","",(S66-AB66)/G66*100)</f>
      </c>
      <c r="U66" s="3">
        <f>IF($H66="","",J66-R66)</f>
      </c>
      <c r="AC66" s="3">
        <f>IF($H66="","",S66-AB66)</f>
      </c>
    </row>
    <row r="67" spans="1:31" x14ac:dyDescent="0.25">
      <c r="A67" s="1"/>
      <c r="D67" s="2"/>
      <c r="G67" s="3"/>
      <c r="H67" s="3"/>
      <c r="I67" s="3">
        <f>IF($H67="","",H67-G67)</f>
      </c>
      <c r="J67" s="3">
        <f>IF($H67="","",I67*16.67%)</f>
      </c>
      <c r="K67" s="3">
        <f>IF($H67="","",H67/100*7)</f>
      </c>
      <c r="L67" s="3">
        <f>IF($H67="","",K67*20%)</f>
      </c>
      <c r="M67" s="3">
        <f>IF($H67="","",K67*2%)</f>
      </c>
      <c r="N67" s="3">
        <f>IF($H67="","",M67*20%)</f>
      </c>
      <c r="O67" s="3"/>
      <c r="P67" s="3">
        <f>IF($H67="","",O67*20%)</f>
      </c>
      <c r="Q67" s="3">
        <v>1</v>
      </c>
      <c r="R67" s="3">
        <f>IF($H67="","",L67+N67+P67)</f>
      </c>
      <c r="S67" s="3">
        <f>IF($H67="","",I67-J67-K67-L67-M67-N67-O67-P67-Q67)</f>
      </c>
      <c r="T67" s="3">
        <f>IF($H67="","",(S67-AB67)/G67*100)</f>
      </c>
      <c r="U67" s="3">
        <f>IF($H67="","",J67-R67)</f>
      </c>
      <c r="AC67" s="3">
        <f>IF($H67="","",S67-AB67)</f>
      </c>
    </row>
    <row r="68" spans="1:31" x14ac:dyDescent="0.25">
      <c r="A68" s="1"/>
      <c r="D68" s="2"/>
      <c r="G68" s="3"/>
      <c r="H68" s="3"/>
      <c r="I68" s="3">
        <f>IF($H68="","",H68-G68)</f>
      </c>
      <c r="J68" s="3">
        <f>IF($H68="","",I68*16.67%)</f>
      </c>
      <c r="K68" s="3">
        <f>IF($H68="","",H68/100*7)</f>
      </c>
      <c r="L68" s="3">
        <f>IF($H68="","",K68*20%)</f>
      </c>
      <c r="M68" s="3">
        <f>IF($H68="","",K68*2%)</f>
      </c>
      <c r="N68" s="3">
        <f>IF($H68="","",M68*20%)</f>
      </c>
      <c r="O68" s="3"/>
      <c r="P68" s="3">
        <f>IF($H68="","",O68*20%)</f>
      </c>
      <c r="Q68" s="3">
        <v>1</v>
      </c>
      <c r="R68" s="3">
        <f>IF($H68="","",L68+N68+P68)</f>
      </c>
      <c r="S68" s="3">
        <f>IF($H68="","",I68-J68-K68-L68-M68-N68-O68-P68-Q68)</f>
      </c>
      <c r="T68" s="3">
        <f>IF($H68="","",(S68-AB68)/G68*100)</f>
      </c>
      <c r="U68" s="3">
        <f>IF($H68="","",J68-R68)</f>
      </c>
      <c r="AC68" s="3">
        <f>IF($H68="","",S68-AB68)</f>
      </c>
    </row>
    <row r="69" spans="1:31" x14ac:dyDescent="0.25">
      <c r="A69" s="1"/>
      <c r="D69" s="2"/>
      <c r="G69" s="3"/>
      <c r="H69" s="3"/>
      <c r="I69" s="3">
        <f>IF($H69="","",H69-G69)</f>
      </c>
      <c r="J69" s="3">
        <f>IF($H69="","",I69*16.67%)</f>
      </c>
      <c r="K69" s="3">
        <f>IF($H69="","",H69/100*7)</f>
      </c>
      <c r="L69" s="3">
        <f>IF($H69="","",K69*20%)</f>
      </c>
      <c r="M69" s="3">
        <f>IF($H69="","",K69*2%)</f>
      </c>
      <c r="N69" s="3">
        <f>IF($H69="","",M69*20%)</f>
      </c>
      <c r="O69" s="3"/>
      <c r="P69" s="3">
        <f>IF($H69="","",O69*20%)</f>
      </c>
      <c r="Q69" s="3">
        <v>1</v>
      </c>
      <c r="R69" s="3">
        <f>IF($H69="","",L69+N69+P69)</f>
      </c>
      <c r="S69" s="3">
        <f>IF($H69="","",I69-J69-K69-L69-M69-N69-O69-P69-Q69)</f>
      </c>
      <c r="T69" s="3">
        <f>IF($H69="","",(S69-AB69)/G69*100)</f>
      </c>
      <c r="U69" s="3">
        <f>IF($H69="","",J69-R69)</f>
      </c>
      <c r="AC69" s="3">
        <f>IF($H69="","",S69-AB69)</f>
      </c>
    </row>
    <row r="70" spans="1:31" x14ac:dyDescent="0.25">
      <c r="A70" s="1"/>
      <c r="D70" s="2"/>
      <c r="G70" s="3"/>
      <c r="H70" s="3"/>
      <c r="I70" s="3">
        <f>IF($H70="","",H70-G70)</f>
      </c>
      <c r="J70" s="3">
        <f>IF($H70="","",I70*16.67%)</f>
      </c>
      <c r="K70" s="3">
        <f>IF($H70="","",H70/100*7)</f>
      </c>
      <c r="L70" s="3">
        <f>IF($H70="","",K70*20%)</f>
      </c>
      <c r="M70" s="3">
        <f>IF($H70="","",K70*2%)</f>
      </c>
      <c r="N70" s="3">
        <f>IF($H70="","",M70*20%)</f>
      </c>
      <c r="O70" s="3"/>
      <c r="P70" s="3">
        <f>IF($H70="","",O70*20%)</f>
      </c>
      <c r="Q70" s="3">
        <v>1</v>
      </c>
      <c r="R70" s="3">
        <f>IF($H70="","",L70+N70+P70)</f>
      </c>
      <c r="S70" s="3">
        <f>IF($H70="","",I70-J70-K70-L70-M70-N70-O70-P70-Q70)</f>
      </c>
      <c r="T70" s="3">
        <f>IF($H70="","",(S70-AB70)/G70*100)</f>
      </c>
      <c r="U70" s="3">
        <f>IF($H70="","",J70-R70)</f>
      </c>
      <c r="AC70" s="3">
        <f>IF($H70="","",S70-AB70)</f>
      </c>
    </row>
    <row r="71" spans="1:31" x14ac:dyDescent="0.25">
      <c r="A71" s="1"/>
      <c r="D71" s="2"/>
      <c r="G71" s="3"/>
      <c r="H71" s="3"/>
      <c r="I71" s="3">
        <f>IF($H71="","",H71-G71)</f>
      </c>
      <c r="J71" s="3">
        <f>IF($H71="","",I71*16.67%)</f>
      </c>
      <c r="K71" s="3">
        <f>IF($H71="","",H71/100*7)</f>
      </c>
      <c r="L71" s="3">
        <f>IF($H71="","",K71*20%)</f>
      </c>
      <c r="M71" s="3">
        <f>IF($H71="","",K71*2%)</f>
      </c>
      <c r="N71" s="3">
        <f>IF($H71="","",M71*20%)</f>
      </c>
      <c r="O71" s="3"/>
      <c r="P71" s="3">
        <f>IF($H71="","",O71*20%)</f>
      </c>
      <c r="Q71" s="3">
        <v>1</v>
      </c>
      <c r="R71" s="3">
        <f>IF($H71="","",L71+N71+P71)</f>
      </c>
      <c r="S71" s="3">
        <f>IF($H71="","",I71-J71-K71-L71-M71-N71-O71-P71-Q71)</f>
      </c>
      <c r="T71" s="3">
        <f>IF($H71="","",(S71-AB71)/G71*100)</f>
      </c>
      <c r="U71" s="3">
        <f>IF($H71="","",J71-R71)</f>
      </c>
      <c r="AC71" s="3">
        <f>IF($H71="","",S71-AB71)</f>
      </c>
    </row>
    <row r="72" spans="1:31" x14ac:dyDescent="0.25">
      <c r="A72" s="1"/>
      <c r="D72" s="2"/>
      <c r="G72" s="3"/>
      <c r="H72" s="3"/>
      <c r="I72" s="3">
        <f>IF($H72="","",H72-G72)</f>
      </c>
      <c r="J72" s="3">
        <f>IF($H72="","",I72*16.67%)</f>
      </c>
      <c r="K72" s="3">
        <f>IF($H72="","",H72/100*7)</f>
      </c>
      <c r="L72" s="3">
        <f>IF($H72="","",K72*20%)</f>
      </c>
      <c r="M72" s="3">
        <f>IF($H72="","",K72*2%)</f>
      </c>
      <c r="N72" s="3">
        <f>IF($H72="","",M72*20%)</f>
      </c>
      <c r="O72" s="3"/>
      <c r="P72" s="3">
        <f>IF($H72="","",O72*20%)</f>
      </c>
      <c r="Q72" s="3">
        <v>1</v>
      </c>
      <c r="R72" s="3">
        <f>IF($H72="","",L72+N72+P72)</f>
      </c>
      <c r="S72" s="3">
        <f>IF($H72="","",I72-J72-K72-L72-M72-N72-O72-P72-Q72)</f>
      </c>
      <c r="T72" s="3">
        <f>IF($H72="","",(S72-AB72)/G72*100)</f>
      </c>
      <c r="U72" s="3">
        <f>IF($H72="","",J72-R72)</f>
      </c>
      <c r="AC72" s="3">
        <f>IF($H72="","",S72-AB72)</f>
      </c>
    </row>
    <row r="73" spans="1:31" x14ac:dyDescent="0.25">
      <c r="A73" s="1"/>
      <c r="D73" s="2"/>
      <c r="G73" s="3"/>
      <c r="H73" s="3"/>
      <c r="I73" s="3">
        <f>IF($H73="","",H73-G73)</f>
      </c>
      <c r="J73" s="3">
        <f>IF($H73="","",I73*16.67%)</f>
      </c>
      <c r="K73" s="3">
        <f>IF($H73="","",H73/100*7)</f>
      </c>
      <c r="L73" s="3">
        <f>IF($H73="","",K73*20%)</f>
      </c>
      <c r="M73" s="3">
        <f>IF($H73="","",K73*2%)</f>
      </c>
      <c r="N73" s="3">
        <f>IF($H73="","",M73*20%)</f>
      </c>
      <c r="O73" s="3"/>
      <c r="P73" s="3">
        <f>IF($H73="","",O73*20%)</f>
      </c>
      <c r="Q73" s="3">
        <v>1</v>
      </c>
      <c r="R73" s="3">
        <f>IF($H73="","",L73+N73+P73)</f>
      </c>
      <c r="S73" s="3">
        <f>IF($H73="","",I73-J73-K73-L73-M73-N73-O73-P73-Q73)</f>
      </c>
      <c r="T73" s="3">
        <f>IF($H73="","",(S73-AB73)/G73*100)</f>
      </c>
      <c r="U73" s="3">
        <f>IF($H73="","",J73-R73)</f>
      </c>
      <c r="AC73" s="3">
        <f>IF($H73="","",S73-AB73)</f>
      </c>
    </row>
    <row r="74" spans="1:31" x14ac:dyDescent="0.25">
      <c r="A74" s="1"/>
      <c r="D74" s="2"/>
      <c r="G74" s="3"/>
      <c r="H74" s="3"/>
      <c r="I74" s="3">
        <f>IF($H74="","",H74-G74)</f>
      </c>
      <c r="J74" s="3">
        <f>IF($H74="","",I74*16.67%)</f>
      </c>
      <c r="K74" s="3">
        <f>IF($H74="","",H74/100*7)</f>
      </c>
      <c r="L74" s="3">
        <f>IF($H74="","",K74*20%)</f>
      </c>
      <c r="M74" s="3">
        <f>IF($H74="","",K74*2%)</f>
      </c>
      <c r="N74" s="3">
        <f>IF($H74="","",M74*20%)</f>
      </c>
      <c r="O74" s="3"/>
      <c r="P74" s="3">
        <f>IF($H74="","",O74*20%)</f>
      </c>
      <c r="Q74" s="3">
        <v>1</v>
      </c>
      <c r="R74" s="3">
        <f>IF($H74="","",L74+N74+P74)</f>
      </c>
      <c r="S74" s="3">
        <f>IF($H74="","",I74-J74-K74-L74-M74-N74-O74-P74-Q74)</f>
      </c>
      <c r="T74" s="3">
        <f>IF($H74="","",(S74-AB74)/G74*100)</f>
      </c>
      <c r="U74" s="3">
        <f>IF($H74="","",J74-R74)</f>
      </c>
      <c r="AC74" s="3">
        <f>IF($H74="","",S74-AB74)</f>
      </c>
    </row>
    <row r="75" spans="1:31" x14ac:dyDescent="0.25">
      <c r="A75" s="1"/>
      <c r="D75" s="2"/>
      <c r="G75" s="3"/>
      <c r="H75" s="3"/>
      <c r="I75" s="3">
        <f>IF($H75="","",H75-G75)</f>
      </c>
      <c r="J75" s="3">
        <f>IF($H75="","",I75*16.67%)</f>
      </c>
      <c r="K75" s="3">
        <f>IF($H75="","",H75/100*7)</f>
      </c>
      <c r="L75" s="3">
        <f>IF($H75="","",K75*20%)</f>
      </c>
      <c r="M75" s="3">
        <f>IF($H75="","",K75*2%)</f>
      </c>
      <c r="N75" s="3">
        <f>IF($H75="","",M75*20%)</f>
      </c>
      <c r="O75" s="3"/>
      <c r="P75" s="3">
        <f>IF($H75="","",O75*20%)</f>
      </c>
      <c r="Q75" s="3">
        <v>1</v>
      </c>
      <c r="R75" s="3">
        <f>IF($H75="","",L75+N75+P75)</f>
      </c>
      <c r="S75" s="3">
        <f>IF($H75="","",I75-J75-K75-L75-M75-N75-O75-P75-Q75)</f>
      </c>
      <c r="T75" s="3">
        <f>IF($H75="","",(S75-AB75)/G75*100)</f>
      </c>
      <c r="U75" s="3">
        <f>IF($H75="","",J75-R75)</f>
      </c>
      <c r="AC75" s="3">
        <f>IF($H75="","",S75-AB75)</f>
      </c>
    </row>
    <row r="76" spans="1:31" x14ac:dyDescent="0.25">
      <c r="A76" s="1"/>
      <c r="D76" s="2"/>
      <c r="G76" s="3"/>
      <c r="H76" s="3"/>
      <c r="I76" s="3">
        <f>IF($H76="","",H76-G76)</f>
      </c>
      <c r="J76" s="3">
        <f>IF($H76="","",I76*16.67%)</f>
      </c>
      <c r="K76" s="3">
        <f>IF($H76="","",H76/100*7)</f>
      </c>
      <c r="L76" s="3">
        <f>IF($H76="","",K76*20%)</f>
      </c>
      <c r="M76" s="3">
        <f>IF($H76="","",K76*2%)</f>
      </c>
      <c r="N76" s="3">
        <f>IF($H76="","",M76*20%)</f>
      </c>
      <c r="O76" s="3"/>
      <c r="P76" s="3">
        <f>IF($H76="","",O76*20%)</f>
      </c>
      <c r="Q76" s="3">
        <v>1</v>
      </c>
      <c r="R76" s="3">
        <f>IF($H76="","",L76+N76+P76)</f>
      </c>
      <c r="S76" s="3">
        <f>IF($H76="","",I76-J76-K76-L76-M76-N76-O76-P76-Q76)</f>
      </c>
      <c r="T76" s="3">
        <f>IF($H76="","",(S76-AB76)/G76*100)</f>
      </c>
      <c r="U76" s="3">
        <f>IF($H76="","",J76-R76)</f>
      </c>
      <c r="AC76" s="3">
        <f>IF($H76="","",S76-AB76)</f>
      </c>
    </row>
    <row r="77" spans="1:31" x14ac:dyDescent="0.25">
      <c r="A77" s="1"/>
      <c r="D77" s="2"/>
      <c r="G77" s="3"/>
      <c r="H77" s="3"/>
      <c r="I77" s="3">
        <f>IF($H77="","",H77-G77)</f>
      </c>
      <c r="J77" s="3">
        <f>IF($H77="","",I77*16.67%)</f>
      </c>
      <c r="K77" s="3">
        <f>IF($H77="","",H77/100*7)</f>
      </c>
      <c r="L77" s="3">
        <f>IF($H77="","",K77*20%)</f>
      </c>
      <c r="M77" s="3">
        <f>IF($H77="","",K77*2%)</f>
      </c>
      <c r="N77" s="3">
        <f>IF($H77="","",M77*20%)</f>
      </c>
      <c r="O77" s="3"/>
      <c r="P77" s="3">
        <f>IF($H77="","",O77*20%)</f>
      </c>
      <c r="Q77" s="3">
        <v>1</v>
      </c>
      <c r="R77" s="3">
        <f>IF($H77="","",L77+N77+P77)</f>
      </c>
      <c r="S77" s="3">
        <f>IF($H77="","",I77-J77-K77-L77-M77-N77-O77-P77-Q77)</f>
      </c>
      <c r="T77" s="3">
        <f>IF($H77="","",(S77-AB77)/G77*100)</f>
      </c>
      <c r="U77" s="3">
        <f>IF($H77="","",J77-R77)</f>
      </c>
      <c r="AC77" s="3">
        <f>IF($H77="","",S77-AB77)</f>
      </c>
    </row>
    <row r="78" spans="1:31" x14ac:dyDescent="0.25">
      <c r="A78" s="1"/>
      <c r="D78" s="2"/>
      <c r="G78" s="3"/>
      <c r="H78" s="3"/>
      <c r="I78" s="3">
        <f>IF($H78="","",H78-G78)</f>
      </c>
      <c r="J78" s="3">
        <f>IF($H78="","",I78*16.67%)</f>
      </c>
      <c r="K78" s="3">
        <f>IF($H78="","",H78/100*7)</f>
      </c>
      <c r="L78" s="3">
        <f>IF($H78="","",K78*20%)</f>
      </c>
      <c r="M78" s="3">
        <f>IF($H78="","",K78*2%)</f>
      </c>
      <c r="N78" s="3">
        <f>IF($H78="","",M78*20%)</f>
      </c>
      <c r="O78" s="3"/>
      <c r="P78" s="3">
        <f>IF($H78="","",O78*20%)</f>
      </c>
      <c r="Q78" s="3">
        <v>1</v>
      </c>
      <c r="R78" s="3">
        <f>IF($H78="","",L78+N78+P78)</f>
      </c>
      <c r="S78" s="3">
        <f>IF($H78="","",I78-J78-K78-L78-M78-N78-O78-P78-Q78)</f>
      </c>
      <c r="T78" s="3">
        <f>IF($H78="","",(S78-AB78)/G78*100)</f>
      </c>
      <c r="U78" s="3">
        <f>IF($H78="","",J78-R78)</f>
      </c>
      <c r="AC78" s="3">
        <f>IF($H78="","",S78-AB78)</f>
      </c>
    </row>
    <row r="79" spans="1:31" x14ac:dyDescent="0.25">
      <c r="A79" s="1"/>
      <c r="D79" s="2"/>
      <c r="G79" s="3"/>
      <c r="H79" s="3"/>
      <c r="I79" s="3">
        <f>IF($H79="","",H79-G79)</f>
      </c>
      <c r="J79" s="3">
        <f>IF($H79="","",I79*16.67%)</f>
      </c>
      <c r="K79" s="3">
        <f>IF($H79="","",H79/100*7)</f>
      </c>
      <c r="L79" s="3">
        <f>IF($H79="","",K79*20%)</f>
      </c>
      <c r="M79" s="3">
        <f>IF($H79="","",K79*2%)</f>
      </c>
      <c r="N79" s="3">
        <f>IF($H79="","",M79*20%)</f>
      </c>
      <c r="O79" s="3"/>
      <c r="P79" s="3">
        <f>IF($H79="","",O79*20%)</f>
      </c>
      <c r="Q79" s="3">
        <v>1</v>
      </c>
      <c r="R79" s="3">
        <f>IF($H79="","",L79+N79+P79)</f>
      </c>
      <c r="S79" s="3">
        <f>IF($H79="","",I79-J79-K79-L79-M79-N79-O79-P79-Q79)</f>
      </c>
      <c r="T79" s="3">
        <f>IF($H79="","",(S79-AB79)/G79*100)</f>
      </c>
      <c r="U79" s="3">
        <f>IF($H79="","",J79-R79)</f>
      </c>
      <c r="AC79" s="3">
        <f>IF($H79="","",S79-AB79)</f>
      </c>
    </row>
    <row r="80" spans="1:31" x14ac:dyDescent="0.25">
      <c r="A80" s="1"/>
      <c r="D80" s="2"/>
      <c r="G80" s="3"/>
      <c r="H80" s="3"/>
      <c r="I80" s="3">
        <f>IF($H80="","",H80-G80)</f>
      </c>
      <c r="J80" s="3">
        <f>IF($H80="","",I80*16.67%)</f>
      </c>
      <c r="K80" s="3">
        <f>IF($H80="","",H80/100*7)</f>
      </c>
      <c r="L80" s="3">
        <f>IF($H80="","",K80*20%)</f>
      </c>
      <c r="M80" s="3">
        <f>IF($H80="","",K80*2%)</f>
      </c>
      <c r="N80" s="3">
        <f>IF($H80="","",M80*20%)</f>
      </c>
      <c r="O80" s="3"/>
      <c r="P80" s="3">
        <f>IF($H80="","",O80*20%)</f>
      </c>
      <c r="Q80" s="3">
        <v>1</v>
      </c>
      <c r="R80" s="3">
        <f>IF($H80="","",L80+N80+P80)</f>
      </c>
      <c r="S80" s="3">
        <f>IF($H80="","",I80-J80-K80-L80-M80-N80-O80-P80-Q80)</f>
      </c>
      <c r="T80" s="3">
        <f>IF($H80="","",(S80-AB80)/G80*100)</f>
      </c>
      <c r="U80" s="3">
        <f>IF($H80="","",J80-R80)</f>
      </c>
      <c r="AC80" s="3">
        <f>IF($H80="","",S80-AB80)</f>
      </c>
    </row>
    <row r="81" spans="1:31" x14ac:dyDescent="0.25">
      <c r="A81" s="1"/>
      <c r="D81" s="2"/>
      <c r="G81" s="3"/>
      <c r="H81" s="3"/>
      <c r="I81" s="3">
        <f>IF($H81="","",H81-G81)</f>
      </c>
      <c r="J81" s="3">
        <f>IF($H81="","",I81*16.67%)</f>
      </c>
      <c r="K81" s="3">
        <f>IF($H81="","",H81/100*7)</f>
      </c>
      <c r="L81" s="3">
        <f>IF($H81="","",K81*20%)</f>
      </c>
      <c r="M81" s="3">
        <f>IF($H81="","",K81*2%)</f>
      </c>
      <c r="N81" s="3">
        <f>IF($H81="","",M81*20%)</f>
      </c>
      <c r="O81" s="3"/>
      <c r="P81" s="3">
        <f>IF($H81="","",O81*20%)</f>
      </c>
      <c r="Q81" s="3">
        <v>1</v>
      </c>
      <c r="R81" s="3">
        <f>IF($H81="","",L81+N81+P81)</f>
      </c>
      <c r="S81" s="3">
        <f>IF($H81="","",I81-J81-K81-L81-M81-N81-O81-P81-Q81)</f>
      </c>
      <c r="T81" s="3">
        <f>IF($H81="","",(S81-AB81)/G81*100)</f>
      </c>
      <c r="U81" s="3">
        <f>IF($H81="","",J81-R81)</f>
      </c>
      <c r="AC81" s="3">
        <f>IF($H81="","",S81-AB81)</f>
      </c>
    </row>
    <row r="82" spans="1:31" x14ac:dyDescent="0.25">
      <c r="A82" s="1"/>
      <c r="D82" s="2"/>
      <c r="G82" s="3"/>
      <c r="H82" s="3"/>
      <c r="I82" s="3">
        <f>IF($H82="","",H82-G82)</f>
      </c>
      <c r="J82" s="3">
        <f>IF($H82="","",I82*16.67%)</f>
      </c>
      <c r="K82" s="3">
        <f>IF($H82="","",H82/100*7)</f>
      </c>
      <c r="L82" s="3">
        <f>IF($H82="","",K82*20%)</f>
      </c>
      <c r="M82" s="3">
        <f>IF($H82="","",K82*2%)</f>
      </c>
      <c r="N82" s="3">
        <f>IF($H82="","",M82*20%)</f>
      </c>
      <c r="O82" s="3"/>
      <c r="P82" s="3">
        <f>IF($H82="","",O82*20%)</f>
      </c>
      <c r="Q82" s="3">
        <v>1</v>
      </c>
      <c r="R82" s="3">
        <f>IF($H82="","",L82+N82+P82)</f>
      </c>
      <c r="S82" s="3">
        <f>IF($H82="","",I82-J82-K82-L82-M82-N82-O82-P82-Q82)</f>
      </c>
      <c r="T82" s="3">
        <f>IF($H82="","",(S82-AB82)/G82*100)</f>
      </c>
      <c r="U82" s="3">
        <f>IF($H82="","",J82-R82)</f>
      </c>
      <c r="AC82" s="3">
        <f>IF($H82="","",S82-AB82)</f>
      </c>
    </row>
    <row r="83" spans="1:31" x14ac:dyDescent="0.25">
      <c r="A83" s="1"/>
      <c r="D83" s="2"/>
      <c r="G83" s="3"/>
      <c r="H83" s="3"/>
      <c r="I83" s="3">
        <f>IF($H83="","",H83-G83)</f>
      </c>
      <c r="J83" s="3">
        <f>IF($H83="","",I83*16.67%)</f>
      </c>
      <c r="K83" s="3">
        <f>IF($H83="","",H83/100*7)</f>
      </c>
      <c r="L83" s="3">
        <f>IF($H83="","",K83*20%)</f>
      </c>
      <c r="M83" s="3">
        <f>IF($H83="","",K83*2%)</f>
      </c>
      <c r="N83" s="3">
        <f>IF($H83="","",M83*20%)</f>
      </c>
      <c r="O83" s="3"/>
      <c r="P83" s="3">
        <f>IF($H83="","",O83*20%)</f>
      </c>
      <c r="Q83" s="3">
        <v>1</v>
      </c>
      <c r="R83" s="3">
        <f>IF($H83="","",L83+N83+P83)</f>
      </c>
      <c r="S83" s="3">
        <f>IF($H83="","",I83-J83-K83-L83-M83-N83-O83-P83-Q83)</f>
      </c>
      <c r="T83" s="3">
        <f>IF($H83="","",(S83-AB83)/G83*100)</f>
      </c>
      <c r="U83" s="3">
        <f>IF($H83="","",J83-R83)</f>
      </c>
      <c r="AC83" s="3">
        <f>IF($H83="","",S83-AB83)</f>
      </c>
    </row>
    <row r="84" spans="1:31" x14ac:dyDescent="0.25">
      <c r="A84" s="1"/>
      <c r="D84" s="2"/>
      <c r="G84" s="3"/>
      <c r="H84" s="3"/>
      <c r="I84" s="3">
        <f>IF($H84="","",H84-G84)</f>
      </c>
      <c r="J84" s="3">
        <f>IF($H84="","",I84*16.67%)</f>
      </c>
      <c r="K84" s="3">
        <f>IF($H84="","",H84/100*7)</f>
      </c>
      <c r="L84" s="3">
        <f>IF($H84="","",K84*20%)</f>
      </c>
      <c r="M84" s="3">
        <f>IF($H84="","",K84*2%)</f>
      </c>
      <c r="N84" s="3">
        <f>IF($H84="","",M84*20%)</f>
      </c>
      <c r="O84" s="3"/>
      <c r="P84" s="3">
        <f>IF($H84="","",O84*20%)</f>
      </c>
      <c r="Q84" s="3">
        <v>1</v>
      </c>
      <c r="R84" s="3">
        <f>IF($H84="","",L84+N84+P84)</f>
      </c>
      <c r="S84" s="3">
        <f>IF($H84="","",I84-J84-K84-L84-M84-N84-O84-P84-Q84)</f>
      </c>
      <c r="T84" s="3">
        <f>IF($H84="","",(S84-AB84)/G84*100)</f>
      </c>
      <c r="U84" s="3">
        <f>IF($H84="","",J84-R84)</f>
      </c>
      <c r="AC84" s="3">
        <f>IF($H84="","",S84-AB84)</f>
      </c>
    </row>
    <row r="85" spans="1:31" x14ac:dyDescent="0.25">
      <c r="A85" s="1"/>
      <c r="D85" s="2"/>
      <c r="G85" s="3"/>
      <c r="H85" s="3"/>
      <c r="I85" s="3">
        <f>IF($H85="","",H85-G85)</f>
      </c>
      <c r="J85" s="3">
        <f>IF($H85="","",I85*16.67%)</f>
      </c>
      <c r="K85" s="3">
        <f>IF($H85="","",H85/100*7)</f>
      </c>
      <c r="L85" s="3">
        <f>IF($H85="","",K85*20%)</f>
      </c>
      <c r="M85" s="3">
        <f>IF($H85="","",K85*2%)</f>
      </c>
      <c r="N85" s="3">
        <f>IF($H85="","",M85*20%)</f>
      </c>
      <c r="O85" s="3"/>
      <c r="P85" s="3">
        <f>IF($H85="","",O85*20%)</f>
      </c>
      <c r="Q85" s="3">
        <v>1</v>
      </c>
      <c r="R85" s="3">
        <f>IF($H85="","",L85+N85+P85)</f>
      </c>
      <c r="S85" s="3">
        <f>IF($H85="","",I85-J85-K85-L85-M85-N85-O85-P85-Q85)</f>
      </c>
      <c r="T85" s="3">
        <f>IF($H85="","",(S85-AB85)/G85*100)</f>
      </c>
      <c r="U85" s="3">
        <f>IF($H85="","",J85-R85)</f>
      </c>
      <c r="AC85" s="3">
        <f>IF($H85="","",S85-AB85)</f>
      </c>
    </row>
    <row r="86" spans="1:31" x14ac:dyDescent="0.25">
      <c r="A86" s="1"/>
      <c r="D86" s="2"/>
      <c r="G86" s="3"/>
      <c r="H86" s="3"/>
      <c r="I86" s="3">
        <f>IF($H86="","",H86-G86)</f>
      </c>
      <c r="J86" s="3">
        <f>IF($H86="","",I86*16.67%)</f>
      </c>
      <c r="K86" s="3">
        <f>IF($H86="","",H86/100*7)</f>
      </c>
      <c r="L86" s="3">
        <f>IF($H86="","",K86*20%)</f>
      </c>
      <c r="M86" s="3">
        <f>IF($H86="","",K86*2%)</f>
      </c>
      <c r="N86" s="3">
        <f>IF($H86="","",M86*20%)</f>
      </c>
      <c r="O86" s="3"/>
      <c r="P86" s="3">
        <f>IF($H86="","",O86*20%)</f>
      </c>
      <c r="Q86" s="3">
        <v>1</v>
      </c>
      <c r="R86" s="3">
        <f>IF($H86="","",L86+N86+P86)</f>
      </c>
      <c r="S86" s="3">
        <f>IF($H86="","",I86-J86-K86-L86-M86-N86-O86-P86-Q86)</f>
      </c>
      <c r="T86" s="3">
        <f>IF($H86="","",(S86-AB86)/G86*100)</f>
      </c>
      <c r="U86" s="3">
        <f>IF($H86="","",J86-R86)</f>
      </c>
      <c r="AC86" s="3">
        <f>IF($H86="","",S86-AB86)</f>
      </c>
    </row>
    <row r="87" spans="1:31" x14ac:dyDescent="0.25">
      <c r="A87" s="1"/>
      <c r="D87" s="2"/>
      <c r="G87" s="3"/>
      <c r="H87" s="3"/>
      <c r="I87" s="3">
        <f>IF($H87="","",H87-G87)</f>
      </c>
      <c r="J87" s="3">
        <f>IF($H87="","",I87*16.67%)</f>
      </c>
      <c r="K87" s="3">
        <f>IF($H87="","",H87/100*7)</f>
      </c>
      <c r="L87" s="3">
        <f>IF($H87="","",K87*20%)</f>
      </c>
      <c r="M87" s="3">
        <f>IF($H87="","",K87*2%)</f>
      </c>
      <c r="N87" s="3">
        <f>IF($H87="","",M87*20%)</f>
      </c>
      <c r="O87" s="3"/>
      <c r="P87" s="3">
        <f>IF($H87="","",O87*20%)</f>
      </c>
      <c r="Q87" s="3">
        <v>1</v>
      </c>
      <c r="R87" s="3">
        <f>IF($H87="","",L87+N87+P87)</f>
      </c>
      <c r="S87" s="3">
        <f>IF($H87="","",I87-J87-K87-L87-M87-N87-O87-P87-Q87)</f>
      </c>
      <c r="T87" s="3">
        <f>IF($H87="","",(S87-AB87)/G87*100)</f>
      </c>
      <c r="U87" s="3">
        <f>IF($H87="","",J87-R87)</f>
      </c>
      <c r="AC87" s="3">
        <f>IF($H87="","",S87-AB87)</f>
      </c>
    </row>
    <row r="88" spans="1:31" x14ac:dyDescent="0.25">
      <c r="A88" s="1"/>
      <c r="D88" s="2"/>
      <c r="G88" s="3"/>
      <c r="H88" s="3"/>
      <c r="I88" s="3">
        <f>IF($H88="","",H88-G88)</f>
      </c>
      <c r="J88" s="3">
        <f>IF($H88="","",I88*16.67%)</f>
      </c>
      <c r="K88" s="3">
        <f>IF($H88="","",H88/100*7)</f>
      </c>
      <c r="L88" s="3">
        <f>IF($H88="","",K88*20%)</f>
      </c>
      <c r="M88" s="3">
        <f>IF($H88="","",K88*2%)</f>
      </c>
      <c r="N88" s="3">
        <f>IF($H88="","",M88*20%)</f>
      </c>
      <c r="O88" s="3"/>
      <c r="P88" s="3">
        <f>IF($H88="","",O88*20%)</f>
      </c>
      <c r="Q88" s="3">
        <v>1</v>
      </c>
      <c r="R88" s="3">
        <f>IF($H88="","",L88+N88+P88)</f>
      </c>
      <c r="S88" s="3">
        <f>IF($H88="","",I88-J88-K88-L88-M88-N88-O88-P88-Q88)</f>
      </c>
      <c r="T88" s="3">
        <f>IF($H88="","",(S88-AB88)/G88*100)</f>
      </c>
      <c r="U88" s="3">
        <f>IF($H88="","",J88-R88)</f>
      </c>
      <c r="AC88" s="3">
        <f>IF($H88="","",S88-AB88)</f>
      </c>
    </row>
    <row r="89" spans="1:31" x14ac:dyDescent="0.25">
      <c r="A89" s="1"/>
      <c r="D89" s="2"/>
      <c r="G89" s="3"/>
      <c r="H89" s="3"/>
      <c r="I89" s="3">
        <f>IF($H89="","",H89-G89)</f>
      </c>
      <c r="J89" s="3">
        <f>IF($H89="","",I89*16.67%)</f>
      </c>
      <c r="K89" s="3">
        <f>IF($H89="","",H89/100*7)</f>
      </c>
      <c r="L89" s="3">
        <f>IF($H89="","",K89*20%)</f>
      </c>
      <c r="M89" s="3">
        <f>IF($H89="","",K89*2%)</f>
      </c>
      <c r="N89" s="3">
        <f>IF($H89="","",M89*20%)</f>
      </c>
      <c r="O89" s="3"/>
      <c r="P89" s="3">
        <f>IF($H89="","",O89*20%)</f>
      </c>
      <c r="Q89" s="3">
        <v>1</v>
      </c>
      <c r="R89" s="3">
        <f>IF($H89="","",L89+N89+P89)</f>
      </c>
      <c r="S89" s="3">
        <f>IF($H89="","",I89-J89-K89-L89-M89-N89-O89-P89-Q89)</f>
      </c>
      <c r="T89" s="3">
        <f>IF($H89="","",(S89-AB89)/G89*100)</f>
      </c>
      <c r="U89" s="3">
        <f>IF($H89="","",J89-R89)</f>
      </c>
      <c r="AC89" s="3">
        <f>IF($H89="","",S89-AB89)</f>
      </c>
    </row>
    <row r="90" spans="1:31" x14ac:dyDescent="0.25">
      <c r="A90" s="1"/>
      <c r="D90" s="2"/>
      <c r="G90" s="3"/>
      <c r="H90" s="3"/>
      <c r="I90" s="3">
        <f>IF($H90="","",H90-G90)</f>
      </c>
      <c r="J90" s="3">
        <f>IF($H90="","",I90*16.67%)</f>
      </c>
      <c r="K90" s="3">
        <f>IF($H90="","",H90/100*7)</f>
      </c>
      <c r="L90" s="3">
        <f>IF($H90="","",K90*20%)</f>
      </c>
      <c r="M90" s="3">
        <f>IF($H90="","",K90*2%)</f>
      </c>
      <c r="N90" s="3">
        <f>IF($H90="","",M90*20%)</f>
      </c>
      <c r="O90" s="3"/>
      <c r="P90" s="3">
        <f>IF($H90="","",O90*20%)</f>
      </c>
      <c r="Q90" s="3">
        <v>1</v>
      </c>
      <c r="R90" s="3">
        <f>IF($H90="","",L90+N90+P90)</f>
      </c>
      <c r="S90" s="3">
        <f>IF($H90="","",I90-J90-K90-L90-M90-N90-O90-P90-Q90)</f>
      </c>
      <c r="T90" s="3">
        <f>IF($H90="","",(S90-AB90)/G90*100)</f>
      </c>
      <c r="U90" s="3">
        <f>IF($H90="","",J90-R90)</f>
      </c>
      <c r="AC90" s="3">
        <f>IF($H90="","",S90-AB90)</f>
      </c>
    </row>
    <row r="91" spans="1:31" x14ac:dyDescent="0.25">
      <c r="A91" s="1"/>
      <c r="D91" s="2"/>
      <c r="G91" s="3"/>
      <c r="H91" s="3"/>
      <c r="I91" s="3">
        <f>IF($H91="","",H91-G91)</f>
      </c>
      <c r="J91" s="3">
        <f>IF($H91="","",I91*16.67%)</f>
      </c>
      <c r="K91" s="3">
        <f>IF($H91="","",H91/100*7)</f>
      </c>
      <c r="L91" s="3">
        <f>IF($H91="","",K91*20%)</f>
      </c>
      <c r="M91" s="3">
        <f>IF($H91="","",K91*2%)</f>
      </c>
      <c r="N91" s="3">
        <f>IF($H91="","",M91*20%)</f>
      </c>
      <c r="O91" s="3"/>
      <c r="P91" s="3">
        <f>IF($H91="","",O91*20%)</f>
      </c>
      <c r="Q91" s="3">
        <v>1</v>
      </c>
      <c r="R91" s="3">
        <f>IF($H91="","",L91+N91+P91)</f>
      </c>
      <c r="S91" s="3">
        <f>IF($H91="","",I91-J91-K91-L91-M91-N91-O91-P91-Q91)</f>
      </c>
      <c r="T91" s="3">
        <f>IF($H91="","",(S91-AB91)/G91*100)</f>
      </c>
      <c r="U91" s="3">
        <f>IF($H91="","",J91-R91)</f>
      </c>
      <c r="AC91" s="3">
        <f>IF($H91="","",S91-AB91)</f>
      </c>
    </row>
    <row r="92" spans="1:31" x14ac:dyDescent="0.25">
      <c r="A92" s="1"/>
      <c r="D92" s="2"/>
      <c r="G92" s="3"/>
      <c r="H92" s="3"/>
      <c r="I92" s="3">
        <f>IF($H92="","",H92-G92)</f>
      </c>
      <c r="J92" s="3">
        <f>IF($H92="","",I92*16.67%)</f>
      </c>
      <c r="K92" s="3">
        <f>IF($H92="","",H92/100*7)</f>
      </c>
      <c r="L92" s="3">
        <f>IF($H92="","",K92*20%)</f>
      </c>
      <c r="M92" s="3">
        <f>IF($H92="","",K92*2%)</f>
      </c>
      <c r="N92" s="3">
        <f>IF($H92="","",M92*20%)</f>
      </c>
      <c r="O92" s="3"/>
      <c r="P92" s="3">
        <f>IF($H92="","",O92*20%)</f>
      </c>
      <c r="Q92" s="3">
        <v>1</v>
      </c>
      <c r="R92" s="3">
        <f>IF($H92="","",L92+N92+P92)</f>
      </c>
      <c r="S92" s="3">
        <f>IF($H92="","",I92-J92-K92-L92-M92-N92-O92-P92-Q92)</f>
      </c>
      <c r="T92" s="3">
        <f>IF($H92="","",(S92-AB92)/G92*100)</f>
      </c>
      <c r="U92" s="3">
        <f>IF($H92="","",J92-R92)</f>
      </c>
      <c r="AC92" s="3">
        <f>IF($H92="","",S92-AB92)</f>
      </c>
    </row>
    <row r="93" spans="1:31" x14ac:dyDescent="0.25">
      <c r="A93" s="1"/>
      <c r="D93" s="2"/>
      <c r="G93" s="3"/>
      <c r="H93" s="3"/>
      <c r="I93" s="3">
        <f>IF($H93="","",H93-G93)</f>
      </c>
      <c r="J93" s="3">
        <f>IF($H93="","",I93*16.67%)</f>
      </c>
      <c r="K93" s="3">
        <f>IF($H93="","",H93/100*7)</f>
      </c>
      <c r="L93" s="3">
        <f>IF($H93="","",K93*20%)</f>
      </c>
      <c r="M93" s="3">
        <f>IF($H93="","",K93*2%)</f>
      </c>
      <c r="N93" s="3">
        <f>IF($H93="","",M93*20%)</f>
      </c>
      <c r="O93" s="3"/>
      <c r="P93" s="3">
        <f>IF($H93="","",O93*20%)</f>
      </c>
      <c r="Q93" s="3">
        <v>1</v>
      </c>
      <c r="R93" s="3">
        <f>IF($H93="","",L93+N93+P93)</f>
      </c>
      <c r="S93" s="3">
        <f>IF($H93="","",I93-J93-K93-L93-M93-N93-O93-P93-Q93)</f>
      </c>
      <c r="T93" s="3">
        <f>IF($H93="","",(S93-AB93)/G93*100)</f>
      </c>
      <c r="U93" s="3">
        <f>IF($H93="","",J93-R93)</f>
      </c>
      <c r="AC93" s="3">
        <f>IF($H93="","",S93-AB93)</f>
      </c>
    </row>
    <row r="94" spans="1:31" x14ac:dyDescent="0.25">
      <c r="A94" s="1"/>
      <c r="D94" s="2"/>
      <c r="G94" s="3"/>
      <c r="H94" s="3"/>
      <c r="I94" s="3">
        <f>IF($H94="","",H94-G94)</f>
      </c>
      <c r="J94" s="3">
        <f>IF($H94="","",I94*16.67%)</f>
      </c>
      <c r="K94" s="3">
        <f>IF($H94="","",H94/100*7)</f>
      </c>
      <c r="L94" s="3">
        <f>IF($H94="","",K94*20%)</f>
      </c>
      <c r="M94" s="3">
        <f>IF($H94="","",K94*2%)</f>
      </c>
      <c r="N94" s="3">
        <f>IF($H94="","",M94*20%)</f>
      </c>
      <c r="O94" s="3"/>
      <c r="P94" s="3">
        <f>IF($H94="","",O94*20%)</f>
      </c>
      <c r="Q94" s="3">
        <v>1</v>
      </c>
      <c r="R94" s="3">
        <f>IF($H94="","",L94+N94+P94)</f>
      </c>
      <c r="S94" s="3">
        <f>IF($H94="","",I94-J94-K94-L94-M94-N94-O94-P94-Q94)</f>
      </c>
      <c r="T94" s="3">
        <f>IF($H94="","",(S94-AB94)/G94*100)</f>
      </c>
      <c r="U94" s="3">
        <f>IF($H94="","",J94-R94)</f>
      </c>
      <c r="AC94" s="3">
        <f>IF($H94="","",S94-AB94)</f>
      </c>
    </row>
    <row r="95" spans="1:31" x14ac:dyDescent="0.25">
      <c r="A95" s="1"/>
      <c r="D95" s="2"/>
      <c r="G95" s="3"/>
      <c r="H95" s="3"/>
      <c r="I95" s="3">
        <f>IF($H95="","",H95-G95)</f>
      </c>
      <c r="J95" s="3">
        <f>IF($H95="","",I95*16.67%)</f>
      </c>
      <c r="K95" s="3">
        <f>IF($H95="","",H95/100*7)</f>
      </c>
      <c r="L95" s="3">
        <f>IF($H95="","",K95*20%)</f>
      </c>
      <c r="M95" s="3">
        <f>IF($H95="","",K95*2%)</f>
      </c>
      <c r="N95" s="3">
        <f>IF($H95="","",M95*20%)</f>
      </c>
      <c r="O95" s="3"/>
      <c r="P95" s="3">
        <f>IF($H95="","",O95*20%)</f>
      </c>
      <c r="Q95" s="3">
        <v>1</v>
      </c>
      <c r="R95" s="3">
        <f>IF($H95="","",L95+N95+P95)</f>
      </c>
      <c r="S95" s="3">
        <f>IF($H95="","",I95-J95-K95-L95-M95-N95-O95-P95-Q95)</f>
      </c>
      <c r="T95" s="3">
        <f>IF($H95="","",(S95-AB95)/G95*100)</f>
      </c>
      <c r="U95" s="3">
        <f>IF($H95="","",J95-R95)</f>
      </c>
      <c r="AC95" s="3">
        <f>IF($H95="","",S95-AB95)</f>
      </c>
    </row>
    <row r="96" spans="1:31" x14ac:dyDescent="0.25">
      <c r="A96" s="1"/>
      <c r="D96" s="2"/>
      <c r="G96" s="3"/>
      <c r="H96" s="3"/>
      <c r="I96" s="3">
        <f>IF($H96="","",H96-G96)</f>
      </c>
      <c r="J96" s="3">
        <f>IF($H96="","",I96*16.67%)</f>
      </c>
      <c r="K96" s="3">
        <f>IF($H96="","",H96/100*7)</f>
      </c>
      <c r="L96" s="3">
        <f>IF($H96="","",K96*20%)</f>
      </c>
      <c r="M96" s="3">
        <f>IF($H96="","",K96*2%)</f>
      </c>
      <c r="N96" s="3">
        <f>IF($H96="","",M96*20%)</f>
      </c>
      <c r="O96" s="3"/>
      <c r="P96" s="3">
        <f>IF($H96="","",O96*20%)</f>
      </c>
      <c r="Q96" s="3">
        <v>1</v>
      </c>
      <c r="R96" s="3">
        <f>IF($H96="","",L96+N96+P96)</f>
      </c>
      <c r="S96" s="3">
        <f>IF($H96="","",I96-J96-K96-L96-M96-N96-O96-P96-Q96)</f>
      </c>
      <c r="T96" s="3">
        <f>IF($H96="","",(S96-AB96)/G96*100)</f>
      </c>
      <c r="U96" s="3">
        <f>IF($H96="","",J96-R96)</f>
      </c>
      <c r="AC96" s="3">
        <f>IF($H96="","",S96-AB96)</f>
      </c>
    </row>
    <row r="97" spans="1:31" x14ac:dyDescent="0.25">
      <c r="A97" s="1"/>
      <c r="D97" s="2"/>
      <c r="G97" s="3"/>
      <c r="H97" s="3"/>
      <c r="I97" s="3">
        <f>IF($H97="","",H97-G97)</f>
      </c>
      <c r="J97" s="3">
        <f>IF($H97="","",I97*16.67%)</f>
      </c>
      <c r="K97" s="3">
        <f>IF($H97="","",H97/100*7)</f>
      </c>
      <c r="L97" s="3">
        <f>IF($H97="","",K97*20%)</f>
      </c>
      <c r="M97" s="3">
        <f>IF($H97="","",K97*2%)</f>
      </c>
      <c r="N97" s="3">
        <f>IF($H97="","",M97*20%)</f>
      </c>
      <c r="O97" s="3"/>
      <c r="P97" s="3">
        <f>IF($H97="","",O97*20%)</f>
      </c>
      <c r="Q97" s="3">
        <v>1</v>
      </c>
      <c r="R97" s="3">
        <f>IF($H97="","",L97+N97+P97)</f>
      </c>
      <c r="S97" s="3">
        <f>IF($H97="","",I97-J97-K97-L97-M97-N97-O97-P97-Q97)</f>
      </c>
      <c r="T97" s="3">
        <f>IF($H97="","",(S97-AB97)/G97*100)</f>
      </c>
      <c r="U97" s="3">
        <f>IF($H97="","",J97-R97)</f>
      </c>
      <c r="AC97" s="3">
        <f>IF($H97="","",S97-AB97)</f>
      </c>
    </row>
    <row r="98" spans="1:31" x14ac:dyDescent="0.25">
      <c r="A98" s="1"/>
      <c r="D98" s="2"/>
      <c r="G98" s="3"/>
      <c r="H98" s="3"/>
      <c r="I98" s="3">
        <f>IF($H98="","",H98-G98)</f>
      </c>
      <c r="J98" s="3">
        <f>IF($H98="","",I98*16.67%)</f>
      </c>
      <c r="K98" s="3">
        <f>IF($H98="","",H98/100*7)</f>
      </c>
      <c r="L98" s="3">
        <f>IF($H98="","",K98*20%)</f>
      </c>
      <c r="M98" s="3">
        <f>IF($H98="","",K98*2%)</f>
      </c>
      <c r="N98" s="3">
        <f>IF($H98="","",M98*20%)</f>
      </c>
      <c r="O98" s="3"/>
      <c r="P98" s="3">
        <f>IF($H98="","",O98*20%)</f>
      </c>
      <c r="Q98" s="3">
        <v>1</v>
      </c>
      <c r="R98" s="3">
        <f>IF($H98="","",L98+N98+P98)</f>
      </c>
      <c r="S98" s="3">
        <f>IF($H98="","",I98-J98-K98-L98-M98-N98-O98-P98-Q98)</f>
      </c>
      <c r="T98" s="3">
        <f>IF($H98="","",(S98-AB98)/G98*100)</f>
      </c>
      <c r="U98" s="3">
        <f>IF($H98="","",J98-R98)</f>
      </c>
      <c r="AC98" s="3">
        <f>IF($H98="","",S98-AB98)</f>
      </c>
    </row>
    <row r="99" spans="1:31" x14ac:dyDescent="0.25">
      <c r="A99" s="1"/>
      <c r="D99" s="2"/>
      <c r="G99" s="3"/>
      <c r="H99" s="3"/>
      <c r="I99" s="3">
        <f>IF($H99="","",H99-G99)</f>
      </c>
      <c r="J99" s="3">
        <f>IF($H99="","",I99*16.67%)</f>
      </c>
      <c r="K99" s="3">
        <f>IF($H99="","",H99/100*7)</f>
      </c>
      <c r="L99" s="3">
        <f>IF($H99="","",K99*20%)</f>
      </c>
      <c r="M99" s="3">
        <f>IF($H99="","",K99*2%)</f>
      </c>
      <c r="N99" s="3">
        <f>IF($H99="","",M99*20%)</f>
      </c>
      <c r="O99" s="3"/>
      <c r="P99" s="3">
        <f>IF($H99="","",O99*20%)</f>
      </c>
      <c r="Q99" s="3">
        <v>1</v>
      </c>
      <c r="R99" s="3">
        <f>IF($H99="","",L99+N99+P99)</f>
      </c>
      <c r="S99" s="3">
        <f>IF($H99="","",I99-J99-K99-L99-M99-N99-O99-P99-Q99)</f>
      </c>
      <c r="T99" s="3">
        <f>IF($H99="","",(S99-AB99)/G99*100)</f>
      </c>
      <c r="U99" s="3">
        <f>IF($H99="","",J99-R99)</f>
      </c>
      <c r="AC99" s="3">
        <f>IF($H99="","",S99-AB99)</f>
      </c>
    </row>
    <row r="100" spans="1:31" x14ac:dyDescent="0.25">
      <c r="A100" s="1"/>
      <c r="D100" s="2"/>
      <c r="G100" s="3"/>
      <c r="H100" s="3"/>
      <c r="I100" s="3">
        <f>IF($H100="","",H100-G100)</f>
      </c>
      <c r="J100" s="3">
        <f>IF($H100="","",I100*16.67%)</f>
      </c>
      <c r="K100" s="3">
        <f>IF($H100="","",H100/100*7)</f>
      </c>
      <c r="L100" s="3">
        <f>IF($H100="","",K100*20%)</f>
      </c>
      <c r="M100" s="3">
        <f>IF($H100="","",K100*2%)</f>
      </c>
      <c r="N100" s="3">
        <f>IF($H100="","",M100*20%)</f>
      </c>
      <c r="O100" s="3"/>
      <c r="P100" s="3">
        <f>IF($H100="","",O100*20%)</f>
      </c>
      <c r="Q100" s="3">
        <v>1</v>
      </c>
      <c r="R100" s="3">
        <f>IF($H100="","",L100+N100+P100)</f>
      </c>
      <c r="S100" s="3">
        <f>IF($H100="","",I100-J100-K100-L100-M100-N100-O100-P100-Q100)</f>
      </c>
      <c r="T100" s="3">
        <f>IF($H100="","",(S100-AB100)/G100*100)</f>
      </c>
      <c r="U100" s="3">
        <f>IF($H100="","",J100-R100)</f>
      </c>
      <c r="AC100" s="3">
        <f>IF($H100="","",S100-AB100)</f>
      </c>
    </row>
    <row r="101" spans="1:31" x14ac:dyDescent="0.25">
      <c r="A101" s="1"/>
      <c r="D101" s="2"/>
      <c r="G101" s="3"/>
      <c r="H101" s="3"/>
      <c r="I101" s="3">
        <f>IF($H101="","",H101-G101)</f>
      </c>
      <c r="J101" s="3">
        <f>IF($H101="","",I101*16.67%)</f>
      </c>
      <c r="K101" s="3">
        <f>IF($H101="","",H101/100*7)</f>
      </c>
      <c r="L101" s="3">
        <f>IF($H101="","",K101*20%)</f>
      </c>
      <c r="M101" s="3">
        <f>IF($H101="","",K101*2%)</f>
      </c>
      <c r="N101" s="3">
        <f>IF($H101="","",M101*20%)</f>
      </c>
      <c r="O101" s="3"/>
      <c r="P101" s="3">
        <f>IF($H101="","",O101*20%)</f>
      </c>
      <c r="Q101" s="3">
        <v>1</v>
      </c>
      <c r="R101" s="3">
        <f>IF($H101="","",L101+N101+P101)</f>
      </c>
      <c r="S101" s="3">
        <f>IF($H101="","",I101-J101-K101-L101-M101-N101-O101-P101-Q101)</f>
      </c>
      <c r="T101" s="3">
        <f>IF($H101="","",(S101-AB101)/G101*100)</f>
      </c>
      <c r="U101" s="3">
        <f>IF($H101="","",J101-R101)</f>
      </c>
      <c r="AC101" s="3">
        <f>IF($H101="","",S101-AB101)</f>
      </c>
    </row>
    <row r="102" spans="1:31" x14ac:dyDescent="0.25">
      <c r="A102" s="1"/>
      <c r="D102" s="2"/>
      <c r="G102" s="3"/>
      <c r="H102" s="3"/>
      <c r="I102" s="3">
        <f>IF($H102="","",H102-G102)</f>
      </c>
      <c r="J102" s="3">
        <f>IF($H102="","",I102*16.67%)</f>
      </c>
      <c r="K102" s="3">
        <f>IF($H102="","",H102/100*7)</f>
      </c>
      <c r="L102" s="3">
        <f>IF($H102="","",K102*20%)</f>
      </c>
      <c r="M102" s="3">
        <f>IF($H102="","",K102*2%)</f>
      </c>
      <c r="N102" s="3">
        <f>IF($H102="","",M102*20%)</f>
      </c>
      <c r="O102" s="3"/>
      <c r="P102" s="3">
        <f>IF($H102="","",O102*20%)</f>
      </c>
      <c r="Q102" s="3">
        <v>1</v>
      </c>
      <c r="R102" s="3">
        <f>IF($H102="","",L102+N102+P102)</f>
      </c>
      <c r="S102" s="3">
        <f>IF($H102="","",I102-J102-K102-L102-M102-N102-O102-P102-Q102)</f>
      </c>
      <c r="T102" s="3">
        <f>IF($H102="","",(S102-AB102)/G102*100)</f>
      </c>
      <c r="U102" s="3">
        <f>IF($H102="","",J102-R102)</f>
      </c>
      <c r="AC102" s="3">
        <f>IF($H102="","",S102-AB102)</f>
      </c>
    </row>
    <row r="103" spans="1:31" x14ac:dyDescent="0.25">
      <c r="A103" s="1"/>
      <c r="D103" s="2"/>
      <c r="G103" s="3"/>
      <c r="H103" s="3"/>
      <c r="I103" s="3">
        <f>IF($H103="","",H103-G103)</f>
      </c>
      <c r="J103" s="3">
        <f>IF($H103="","",I103*16.67%)</f>
      </c>
      <c r="K103" s="3">
        <f>IF($H103="","",H103/100*7)</f>
      </c>
      <c r="L103" s="3">
        <f>IF($H103="","",K103*20%)</f>
      </c>
      <c r="M103" s="3">
        <f>IF($H103="","",K103*2%)</f>
      </c>
      <c r="N103" s="3">
        <f>IF($H103="","",M103*20%)</f>
      </c>
      <c r="O103" s="3"/>
      <c r="P103" s="3">
        <f>IF($H103="","",O103*20%)</f>
      </c>
      <c r="Q103" s="3">
        <v>1</v>
      </c>
      <c r="R103" s="3">
        <f>IF($H103="","",L103+N103+P103)</f>
      </c>
      <c r="S103" s="3">
        <f>IF($H103="","",I103-J103-K103-L103-M103-N103-O103-P103-Q103)</f>
      </c>
      <c r="T103" s="3">
        <f>IF($H103="","",(S103-AB103)/G103*100)</f>
      </c>
      <c r="U103" s="3">
        <f>IF($H103="","",J103-R103)</f>
      </c>
      <c r="AC103" s="3">
        <f>IF($H103="","",S103-AB103)</f>
      </c>
    </row>
    <row r="104" spans="1:31" x14ac:dyDescent="0.25">
      <c r="A104" s="1"/>
      <c r="D104" s="2"/>
      <c r="G104" s="3"/>
      <c r="H104" s="3"/>
      <c r="I104" s="3">
        <f>IF($H104="","",H104-G104)</f>
      </c>
      <c r="J104" s="3">
        <f>IF($H104="","",I104*16.67%)</f>
      </c>
      <c r="K104" s="3">
        <f>IF($H104="","",H104/100*7)</f>
      </c>
      <c r="L104" s="3">
        <f>IF($H104="","",K104*20%)</f>
      </c>
      <c r="M104" s="3">
        <f>IF($H104="","",K104*2%)</f>
      </c>
      <c r="N104" s="3">
        <f>IF($H104="","",M104*20%)</f>
      </c>
      <c r="O104" s="3"/>
      <c r="P104" s="3">
        <f>IF($H104="","",O104*20%)</f>
      </c>
      <c r="Q104" s="3">
        <v>1</v>
      </c>
      <c r="R104" s="3">
        <f>IF($H104="","",L104+N104+P104)</f>
      </c>
      <c r="S104" s="3">
        <f>IF($H104="","",I104-J104-K104-L104-M104-N104-O104-P104-Q104)</f>
      </c>
      <c r="T104" s="3">
        <f>IF($H104="","",(S104-AB104)/G104*100)</f>
      </c>
      <c r="U104" s="3">
        <f>IF($H104="","",J104-R104)</f>
      </c>
      <c r="AC104" s="3">
        <f>IF($H104="","",S104-AB104)</f>
      </c>
    </row>
    <row r="105" spans="1:31" x14ac:dyDescent="0.25">
      <c r="A105" s="1"/>
      <c r="D105" s="2"/>
      <c r="G105" s="3"/>
      <c r="H105" s="3"/>
      <c r="I105" s="3">
        <f>IF($H105="","",H105-G105)</f>
      </c>
      <c r="J105" s="3">
        <f>IF($H105="","",I105*16.67%)</f>
      </c>
      <c r="K105" s="3">
        <f>IF($H105="","",H105/100*7)</f>
      </c>
      <c r="L105" s="3">
        <f>IF($H105="","",K105*20%)</f>
      </c>
      <c r="M105" s="3">
        <f>IF($H105="","",K105*2%)</f>
      </c>
      <c r="N105" s="3">
        <f>IF($H105="","",M105*20%)</f>
      </c>
      <c r="O105" s="3"/>
      <c r="P105" s="3">
        <f>IF($H105="","",O105*20%)</f>
      </c>
      <c r="Q105" s="3">
        <v>1</v>
      </c>
      <c r="R105" s="3">
        <f>IF($H105="","",L105+N105+P105)</f>
      </c>
      <c r="S105" s="3">
        <f>IF($H105="","",I105-J105-K105-L105-M105-N105-O105-P105-Q105)</f>
      </c>
      <c r="T105" s="3">
        <f>IF($H105="","",(S105-AB105)/G105*100)</f>
      </c>
      <c r="U105" s="3">
        <f>IF($H105="","",J105-R105)</f>
      </c>
      <c r="AC105" s="3">
        <f>IF($H105="","",S105-AB105)</f>
      </c>
    </row>
    <row r="106" spans="1:31" x14ac:dyDescent="0.25">
      <c r="A106" s="1"/>
      <c r="D106" s="2"/>
      <c r="G106" s="3"/>
      <c r="H106" s="3"/>
      <c r="I106" s="3">
        <f>IF($H106="","",H106-G106)</f>
      </c>
      <c r="J106" s="3">
        <f>IF($H106="","",I106*16.67%)</f>
      </c>
      <c r="K106" s="3">
        <f>IF($H106="","",H106/100*7)</f>
      </c>
      <c r="L106" s="3">
        <f>IF($H106="","",K106*20%)</f>
      </c>
      <c r="M106" s="3">
        <f>IF($H106="","",K106*2%)</f>
      </c>
      <c r="N106" s="3">
        <f>IF($H106="","",M106*20%)</f>
      </c>
      <c r="O106" s="3"/>
      <c r="P106" s="3">
        <f>IF($H106="","",O106*20%)</f>
      </c>
      <c r="Q106" s="3">
        <v>1</v>
      </c>
      <c r="R106" s="3">
        <f>IF($H106="","",L106+N106+P106)</f>
      </c>
      <c r="S106" s="3">
        <f>IF($H106="","",I106-J106-K106-L106-M106-N106-O106-P106-Q106)</f>
      </c>
      <c r="T106" s="3">
        <f>IF($H106="","",(S106-AB106)/G106*100)</f>
      </c>
      <c r="U106" s="3">
        <f>IF($H106="","",J106-R106)</f>
      </c>
      <c r="AC106" s="3">
        <f>IF($H106="","",S106-AB106)</f>
      </c>
    </row>
    <row r="107" spans="1:31" x14ac:dyDescent="0.25">
      <c r="A107" s="1"/>
      <c r="D107" s="2"/>
      <c r="G107" s="3"/>
      <c r="H107" s="3"/>
      <c r="I107" s="3">
        <f>IF($H107="","",H107-G107)</f>
      </c>
      <c r="J107" s="3">
        <f>IF($H107="","",I107*16.67%)</f>
      </c>
      <c r="K107" s="3">
        <f>IF($H107="","",H107/100*7)</f>
      </c>
      <c r="L107" s="3">
        <f>IF($H107="","",K107*20%)</f>
      </c>
      <c r="M107" s="3">
        <f>IF($H107="","",K107*2%)</f>
      </c>
      <c r="N107" s="3">
        <f>IF($H107="","",M107*20%)</f>
      </c>
      <c r="O107" s="3"/>
      <c r="P107" s="3">
        <f>IF($H107="","",O107*20%)</f>
      </c>
      <c r="Q107" s="3">
        <v>1</v>
      </c>
      <c r="R107" s="3">
        <f>IF($H107="","",L107+N107+P107)</f>
      </c>
      <c r="S107" s="3">
        <f>IF($H107="","",I107-J107-K107-L107-M107-N107-O107-P107-Q107)</f>
      </c>
      <c r="T107" s="3">
        <f>IF($H107="","",(S107-AB107)/G107*100)</f>
      </c>
      <c r="U107" s="3">
        <f>IF($H107="","",J107-R107)</f>
      </c>
      <c r="AC107" s="3">
        <f>IF($H107="","",S107-AB107)</f>
      </c>
    </row>
    <row r="108" spans="1:31" x14ac:dyDescent="0.25">
      <c r="A108" s="1"/>
      <c r="D108" s="2"/>
      <c r="G108" s="3"/>
      <c r="H108" s="3"/>
      <c r="I108" s="3">
        <f>IF($H108="","",H108-G108)</f>
      </c>
      <c r="J108" s="3">
        <f>IF($H108="","",I108*16.67%)</f>
      </c>
      <c r="K108" s="3">
        <f>IF($H108="","",H108/100*7)</f>
      </c>
      <c r="L108" s="3">
        <f>IF($H108="","",K108*20%)</f>
      </c>
      <c r="M108" s="3">
        <f>IF($H108="","",K108*2%)</f>
      </c>
      <c r="N108" s="3">
        <f>IF($H108="","",M108*20%)</f>
      </c>
      <c r="O108" s="3"/>
      <c r="P108" s="3">
        <f>IF($H108="","",O108*20%)</f>
      </c>
      <c r="Q108" s="3">
        <v>1</v>
      </c>
      <c r="R108" s="3">
        <f>IF($H108="","",L108+N108+P108)</f>
      </c>
      <c r="S108" s="3">
        <f>IF($H108="","",I108-J108-K108-L108-M108-N108-O108-P108-Q108)</f>
      </c>
      <c r="T108" s="3">
        <f>IF($H108="","",(S108-AB108)/G108*100)</f>
      </c>
      <c r="U108" s="3">
        <f>IF($H108="","",J108-R108)</f>
      </c>
      <c r="AC108" s="3">
        <f>IF($H108="","",S108-AB108)</f>
      </c>
    </row>
    <row r="109" spans="1:31" x14ac:dyDescent="0.25">
      <c r="A109" s="1"/>
      <c r="D109" s="2"/>
      <c r="G109" s="3"/>
      <c r="H109" s="3"/>
      <c r="I109" s="3">
        <f>IF($H109="","",H109-G109)</f>
      </c>
      <c r="J109" s="3">
        <f>IF($H109="","",I109*16.67%)</f>
      </c>
      <c r="K109" s="3">
        <f>IF($H109="","",H109/100*7)</f>
      </c>
      <c r="L109" s="3">
        <f>IF($H109="","",K109*20%)</f>
      </c>
      <c r="M109" s="3">
        <f>IF($H109="","",K109*2%)</f>
      </c>
      <c r="N109" s="3">
        <f>IF($H109="","",M109*20%)</f>
      </c>
      <c r="O109" s="3"/>
      <c r="P109" s="3">
        <f>IF($H109="","",O109*20%)</f>
      </c>
      <c r="Q109" s="3">
        <v>1</v>
      </c>
      <c r="R109" s="3">
        <f>IF($H109="","",L109+N109+P109)</f>
      </c>
      <c r="S109" s="3">
        <f>IF($H109="","",I109-J109-K109-L109-M109-N109-O109-P109-Q109)</f>
      </c>
      <c r="T109" s="3">
        <f>IF($H109="","",(S109-AB109)/G109*100)</f>
      </c>
      <c r="U109" s="3">
        <f>IF($H109="","",J109-R109)</f>
      </c>
      <c r="AC109" s="3">
        <f>IF($H109="","",S109-AB109)</f>
      </c>
    </row>
    <row r="110" spans="1:31" x14ac:dyDescent="0.25">
      <c r="A110" s="1"/>
      <c r="D110" s="2"/>
      <c r="G110" s="3"/>
      <c r="H110" s="3"/>
      <c r="I110" s="3">
        <f>IF($H110="","",H110-G110)</f>
      </c>
      <c r="J110" s="3">
        <f>IF($H110="","",I110*16.67%)</f>
      </c>
      <c r="K110" s="3">
        <f>IF($H110="","",H110/100*7)</f>
      </c>
      <c r="L110" s="3">
        <f>IF($H110="","",K110*20%)</f>
      </c>
      <c r="M110" s="3">
        <f>IF($H110="","",K110*2%)</f>
      </c>
      <c r="N110" s="3">
        <f>IF($H110="","",M110*20%)</f>
      </c>
      <c r="O110" s="3"/>
      <c r="P110" s="3">
        <f>IF($H110="","",O110*20%)</f>
      </c>
      <c r="Q110" s="3">
        <v>1</v>
      </c>
      <c r="R110" s="3">
        <f>IF($H110="","",L110+N110+P110)</f>
      </c>
      <c r="S110" s="3">
        <f>IF($H110="","",I110-J110-K110-L110-M110-N110-O110-P110-Q110)</f>
      </c>
      <c r="T110" s="3">
        <f>IF($H110="","",(S110-AB110)/G110*100)</f>
      </c>
      <c r="U110" s="3">
        <f>IF($H110="","",J110-R110)</f>
      </c>
      <c r="AC110" s="3">
        <f>IF($H110="","",S110-AB110)</f>
      </c>
    </row>
    <row r="111" spans="1:31" x14ac:dyDescent="0.25">
      <c r="A111" s="1"/>
      <c r="D111" s="2"/>
      <c r="G111" s="3"/>
      <c r="H111" s="3"/>
      <c r="I111" s="3">
        <f>IF($H111="","",H111-G111)</f>
      </c>
      <c r="J111" s="3">
        <f>IF($H111="","",I111*16.67%)</f>
      </c>
      <c r="K111" s="3">
        <f>IF($H111="","",H111/100*7)</f>
      </c>
      <c r="L111" s="3">
        <f>IF($H111="","",K111*20%)</f>
      </c>
      <c r="M111" s="3">
        <f>IF($H111="","",K111*2%)</f>
      </c>
      <c r="N111" s="3">
        <f>IF($H111="","",M111*20%)</f>
      </c>
      <c r="O111" s="3"/>
      <c r="P111" s="3">
        <f>IF($H111="","",O111*20%)</f>
      </c>
      <c r="Q111" s="3">
        <v>1</v>
      </c>
      <c r="R111" s="3">
        <f>IF($H111="","",L111+N111+P111)</f>
      </c>
      <c r="S111" s="3">
        <f>IF($H111="","",I111-J111-K111-L111-M111-N111-O111-P111-Q111)</f>
      </c>
      <c r="T111" s="3">
        <f>IF($H111="","",(S111-AB111)/G111*100)</f>
      </c>
      <c r="U111" s="3">
        <f>IF($H111="","",J111-R111)</f>
      </c>
      <c r="AC111" s="3">
        <f>IF($H111="","",S111-AB111)</f>
      </c>
    </row>
    <row r="112" spans="1:31" x14ac:dyDescent="0.25">
      <c r="A112" s="1"/>
      <c r="D112" s="2"/>
      <c r="G112" s="3"/>
      <c r="H112" s="3"/>
      <c r="I112" s="3">
        <f>IF($H112="","",H112-G112)</f>
      </c>
      <c r="J112" s="3">
        <f>IF($H112="","",I112*16.67%)</f>
      </c>
      <c r="K112" s="3">
        <f>IF($H112="","",H112/100*7)</f>
      </c>
      <c r="L112" s="3">
        <f>IF($H112="","",K112*20%)</f>
      </c>
      <c r="M112" s="3">
        <f>IF($H112="","",K112*2%)</f>
      </c>
      <c r="N112" s="3">
        <f>IF($H112="","",M112*20%)</f>
      </c>
      <c r="O112" s="3"/>
      <c r="P112" s="3">
        <f>IF($H112="","",O112*20%)</f>
      </c>
      <c r="Q112" s="3">
        <v>1</v>
      </c>
      <c r="R112" s="3">
        <f>IF($H112="","",L112+N112+P112)</f>
      </c>
      <c r="S112" s="3">
        <f>IF($H112="","",I112-J112-K112-L112-M112-N112-O112-P112-Q112)</f>
      </c>
      <c r="T112" s="3">
        <f>IF($H112="","",(S112-AB112)/G112*100)</f>
      </c>
      <c r="U112" s="3">
        <f>IF($H112="","",J112-R112)</f>
      </c>
      <c r="AC112" s="3">
        <f>IF($H112="","",S112-AB112)</f>
      </c>
    </row>
    <row r="113" spans="1:31" x14ac:dyDescent="0.25">
      <c r="A113" s="1"/>
      <c r="D113" s="2"/>
      <c r="G113" s="3"/>
      <c r="H113" s="3"/>
      <c r="I113" s="3">
        <f>IF($H113="","",H113-G113)</f>
      </c>
      <c r="J113" s="3">
        <f>IF($H113="","",I113*16.67%)</f>
      </c>
      <c r="K113" s="3">
        <f>IF($H113="","",H113/100*7)</f>
      </c>
      <c r="L113" s="3">
        <f>IF($H113="","",K113*20%)</f>
      </c>
      <c r="M113" s="3">
        <f>IF($H113="","",K113*2%)</f>
      </c>
      <c r="N113" s="3">
        <f>IF($H113="","",M113*20%)</f>
      </c>
      <c r="O113" s="3"/>
      <c r="P113" s="3">
        <f>IF($H113="","",O113*20%)</f>
      </c>
      <c r="Q113" s="3">
        <v>1</v>
      </c>
      <c r="R113" s="3">
        <f>IF($H113="","",L113+N113+P113)</f>
      </c>
      <c r="S113" s="3">
        <f>IF($H113="","",I113-J113-K113-L113-M113-N113-O113-P113-Q113)</f>
      </c>
      <c r="T113" s="3">
        <f>IF($H113="","",(S113-AB113)/G113*100)</f>
      </c>
      <c r="U113" s="3">
        <f>IF($H113="","",J113-R113)</f>
      </c>
      <c r="AC113" s="3">
        <f>IF($H113="","",S113-AB113)</f>
      </c>
    </row>
    <row r="114" spans="1:31" x14ac:dyDescent="0.25">
      <c r="A114" s="1"/>
      <c r="D114" s="2"/>
      <c r="G114" s="3"/>
      <c r="H114" s="3"/>
      <c r="I114" s="3">
        <f>IF($H114="","",H114-G114)</f>
      </c>
      <c r="J114" s="3">
        <f>IF($H114="","",I114*16.67%)</f>
      </c>
      <c r="K114" s="3">
        <f>IF($H114="","",H114/100*7)</f>
      </c>
      <c r="L114" s="3">
        <f>IF($H114="","",K114*20%)</f>
      </c>
      <c r="M114" s="3">
        <f>IF($H114="","",K114*2%)</f>
      </c>
      <c r="N114" s="3">
        <f>IF($H114="","",M114*20%)</f>
      </c>
      <c r="O114" s="3"/>
      <c r="P114" s="3">
        <f>IF($H114="","",O114*20%)</f>
      </c>
      <c r="Q114" s="3">
        <v>1</v>
      </c>
      <c r="R114" s="3">
        <f>IF($H114="","",L114+N114+P114)</f>
      </c>
      <c r="S114" s="3">
        <f>IF($H114="","",I114-J114-K114-L114-M114-N114-O114-P114-Q114)</f>
      </c>
      <c r="T114" s="3">
        <f>IF($H114="","",(S114-AB114)/G114*100)</f>
      </c>
      <c r="U114" s="3">
        <f>IF($H114="","",J114-R114)</f>
      </c>
      <c r="AC114" s="3">
        <f>IF($H114="","",S114-AB114)</f>
      </c>
    </row>
    <row r="115" spans="1:31" x14ac:dyDescent="0.25">
      <c r="A115" s="1"/>
      <c r="D115" s="2"/>
      <c r="G115" s="3"/>
      <c r="H115" s="3"/>
      <c r="I115" s="3">
        <f>IF($H115="","",H115-G115)</f>
      </c>
      <c r="J115" s="3">
        <f>IF($H115="","",I115*16.67%)</f>
      </c>
      <c r="K115" s="3">
        <f>IF($H115="","",H115/100*7)</f>
      </c>
      <c r="L115" s="3">
        <f>IF($H115="","",K115*20%)</f>
      </c>
      <c r="M115" s="3">
        <f>IF($H115="","",K115*2%)</f>
      </c>
      <c r="N115" s="3">
        <f>IF($H115="","",M115*20%)</f>
      </c>
      <c r="O115" s="3"/>
      <c r="P115" s="3">
        <f>IF($H115="","",O115*20%)</f>
      </c>
      <c r="Q115" s="3">
        <v>1</v>
      </c>
      <c r="R115" s="3">
        <f>IF($H115="","",L115+N115+P115)</f>
      </c>
      <c r="S115" s="3">
        <f>IF($H115="","",I115-J115-K115-L115-M115-N115-O115-P115-Q115)</f>
      </c>
      <c r="T115" s="3">
        <f>IF($H115="","",(S115-AB115)/G115*100)</f>
      </c>
      <c r="U115" s="3">
        <f>IF($H115="","",J115-R115)</f>
      </c>
      <c r="AC115" s="3">
        <f>IF($H115="","",S115-AB115)</f>
      </c>
    </row>
    <row r="116" spans="1:31" x14ac:dyDescent="0.25">
      <c r="A116" s="1"/>
      <c r="D116" s="2"/>
      <c r="G116" s="3"/>
      <c r="H116" s="3"/>
      <c r="I116" s="3">
        <f>IF($H116="","",H116-G116)</f>
      </c>
      <c r="J116" s="3">
        <f>IF($H116="","",I116*16.67%)</f>
      </c>
      <c r="K116" s="3">
        <f>IF($H116="","",H116/100*7)</f>
      </c>
      <c r="L116" s="3">
        <f>IF($H116="","",K116*20%)</f>
      </c>
      <c r="M116" s="3">
        <f>IF($H116="","",K116*2%)</f>
      </c>
      <c r="N116" s="3">
        <f>IF($H116="","",M116*20%)</f>
      </c>
      <c r="O116" s="3"/>
      <c r="P116" s="3">
        <f>IF($H116="","",O116*20%)</f>
      </c>
      <c r="Q116" s="3">
        <v>1</v>
      </c>
      <c r="R116" s="3">
        <f>IF($H116="","",L116+N116+P116)</f>
      </c>
      <c r="S116" s="3">
        <f>IF($H116="","",I116-J116-K116-L116-M116-N116-O116-P116-Q116)</f>
      </c>
      <c r="T116" s="3">
        <f>IF($H116="","",(S116-AB116)/G116*100)</f>
      </c>
      <c r="U116" s="3">
        <f>IF($H116="","",J116-R116)</f>
      </c>
      <c r="AC116" s="3">
        <f>IF($H116="","",S116-AB116)</f>
      </c>
    </row>
    <row r="117" spans="1:31" x14ac:dyDescent="0.25">
      <c r="A117" s="1"/>
      <c r="D117" s="2"/>
      <c r="G117" s="3"/>
      <c r="H117" s="3"/>
      <c r="I117" s="3">
        <f>IF($H117="","",H117-G117)</f>
      </c>
      <c r="J117" s="3">
        <f>IF($H117="","",I117*16.67%)</f>
      </c>
      <c r="K117" s="3">
        <f>IF($H117="","",H117/100*7)</f>
      </c>
      <c r="L117" s="3">
        <f>IF($H117="","",K117*20%)</f>
      </c>
      <c r="M117" s="3">
        <f>IF($H117="","",K117*2%)</f>
      </c>
      <c r="N117" s="3">
        <f>IF($H117="","",M117*20%)</f>
      </c>
      <c r="O117" s="3"/>
      <c r="P117" s="3">
        <f>IF($H117="","",O117*20%)</f>
      </c>
      <c r="Q117" s="3">
        <v>1</v>
      </c>
      <c r="R117" s="3">
        <f>IF($H117="","",L117+N117+P117)</f>
      </c>
      <c r="S117" s="3">
        <f>IF($H117="","",I117-J117-K117-L117-M117-N117-O117-P117-Q117)</f>
      </c>
      <c r="T117" s="3">
        <f>IF($H117="","",(S117-AB117)/G117*100)</f>
      </c>
      <c r="U117" s="3">
        <f>IF($H117="","",J117-R117)</f>
      </c>
      <c r="AC117" s="3">
        <f>IF($H117="","",S117-AB117)</f>
      </c>
    </row>
    <row r="118" spans="1:31" x14ac:dyDescent="0.25">
      <c r="A118" s="1"/>
      <c r="D118" s="2"/>
      <c r="G118" s="3"/>
      <c r="H118" s="3"/>
      <c r="I118" s="3">
        <f>IF($H118="","",H118-G118)</f>
      </c>
      <c r="J118" s="3">
        <f>IF($H118="","",I118*16.67%)</f>
      </c>
      <c r="K118" s="3">
        <f>IF($H118="","",H118/100*7)</f>
      </c>
      <c r="L118" s="3">
        <f>IF($H118="","",K118*20%)</f>
      </c>
      <c r="M118" s="3">
        <f>IF($H118="","",K118*2%)</f>
      </c>
      <c r="N118" s="3">
        <f>IF($H118="","",M118*20%)</f>
      </c>
      <c r="O118" s="3"/>
      <c r="P118" s="3">
        <f>IF($H118="","",O118*20%)</f>
      </c>
      <c r="Q118" s="3">
        <v>1</v>
      </c>
      <c r="R118" s="3">
        <f>IF($H118="","",L118+N118+P118)</f>
      </c>
      <c r="S118" s="3">
        <f>IF($H118="","",I118-J118-K118-L118-M118-N118-O118-P118-Q118)</f>
      </c>
      <c r="T118" s="3">
        <f>IF($H118="","",(S118-AB118)/G118*100)</f>
      </c>
      <c r="U118" s="3">
        <f>IF($H118="","",J118-R118)</f>
      </c>
      <c r="AC118" s="3">
        <f>IF($H118="","",S118-AB118)</f>
      </c>
    </row>
    <row r="119" spans="1:31" x14ac:dyDescent="0.25">
      <c r="A119" s="1"/>
      <c r="D119" s="2"/>
      <c r="G119" s="3"/>
      <c r="H119" s="3"/>
      <c r="I119" s="3">
        <f>IF($H119="","",H119-G119)</f>
      </c>
      <c r="J119" s="3">
        <f>IF($H119="","",I119*16.67%)</f>
      </c>
      <c r="K119" s="3">
        <f>IF($H119="","",H119/100*7)</f>
      </c>
      <c r="L119" s="3">
        <f>IF($H119="","",K119*20%)</f>
      </c>
      <c r="M119" s="3">
        <f>IF($H119="","",K119*2%)</f>
      </c>
      <c r="N119" s="3">
        <f>IF($H119="","",M119*20%)</f>
      </c>
      <c r="O119" s="3"/>
      <c r="P119" s="3">
        <f>IF($H119="","",O119*20%)</f>
      </c>
      <c r="Q119" s="3">
        <v>1</v>
      </c>
      <c r="R119" s="3">
        <f>IF($H119="","",L119+N119+P119)</f>
      </c>
      <c r="S119" s="3">
        <f>IF($H119="","",I119-J119-K119-L119-M119-N119-O119-P119-Q119)</f>
      </c>
      <c r="T119" s="3">
        <f>IF($H119="","",(S119-AB119)/G119*100)</f>
      </c>
      <c r="U119" s="3">
        <f>IF($H119="","",J119-R119)</f>
      </c>
      <c r="AC119" s="3">
        <f>IF($H119="","",S119-AB119)</f>
      </c>
    </row>
    <row r="120" spans="1:31" x14ac:dyDescent="0.25">
      <c r="A120" s="1"/>
      <c r="D120" s="2"/>
      <c r="G120" s="3"/>
      <c r="H120" s="3"/>
      <c r="I120" s="3">
        <f>IF($H120="","",H120-G120)</f>
      </c>
      <c r="J120" s="3">
        <f>IF($H120="","",I120*16.67%)</f>
      </c>
      <c r="K120" s="3">
        <f>IF($H120="","",H120/100*7)</f>
      </c>
      <c r="L120" s="3">
        <f>IF($H120="","",K120*20%)</f>
      </c>
      <c r="M120" s="3">
        <f>IF($H120="","",K120*2%)</f>
      </c>
      <c r="N120" s="3">
        <f>IF($H120="","",M120*20%)</f>
      </c>
      <c r="O120" s="3"/>
      <c r="P120" s="3">
        <f>IF($H120="","",O120*20%)</f>
      </c>
      <c r="Q120" s="3">
        <v>1</v>
      </c>
      <c r="R120" s="3">
        <f>IF($H120="","",L120+N120+P120)</f>
      </c>
      <c r="S120" s="3">
        <f>IF($H120="","",I120-J120-K120-L120-M120-N120-O120-P120-Q120)</f>
      </c>
      <c r="T120" s="3">
        <f>IF($H120="","",(S120-AB120)/G120*100)</f>
      </c>
      <c r="U120" s="3">
        <f>IF($H120="","",J120-R120)</f>
      </c>
      <c r="AC120" s="3">
        <f>IF($H120="","",S120-AB120)</f>
      </c>
    </row>
    <row r="121" spans="1:31" x14ac:dyDescent="0.25">
      <c r="A121" s="1"/>
      <c r="D121" s="2"/>
      <c r="G121" s="3"/>
      <c r="H121" s="3"/>
      <c r="I121" s="3">
        <f>IF($H121="","",H121-G121)</f>
      </c>
      <c r="J121" s="3">
        <f>IF($H121="","",I121*16.67%)</f>
      </c>
      <c r="K121" s="3">
        <f>IF($H121="","",H121/100*7)</f>
      </c>
      <c r="L121" s="3">
        <f>IF($H121="","",K121*20%)</f>
      </c>
      <c r="M121" s="3">
        <f>IF($H121="","",K121*2%)</f>
      </c>
      <c r="N121" s="3">
        <f>IF($H121="","",M121*20%)</f>
      </c>
      <c r="O121" s="3"/>
      <c r="P121" s="3">
        <f>IF($H121="","",O121*20%)</f>
      </c>
      <c r="Q121" s="3">
        <v>1</v>
      </c>
      <c r="R121" s="3">
        <f>IF($H121="","",L121+N121+P121)</f>
      </c>
      <c r="S121" s="3">
        <f>IF($H121="","",I121-J121-K121-L121-M121-N121-O121-P121-Q121)</f>
      </c>
      <c r="T121" s="3">
        <f>IF($H121="","",(S121-AB121)/G121*100)</f>
      </c>
      <c r="U121" s="3">
        <f>IF($H121="","",J121-R121)</f>
      </c>
      <c r="AC121" s="3">
        <f>IF($H121="","",S121-AB121)</f>
      </c>
    </row>
    <row r="122" spans="1:31" x14ac:dyDescent="0.25">
      <c r="A122" s="1"/>
      <c r="D122" s="2"/>
      <c r="G122" s="3"/>
      <c r="H122" s="3"/>
      <c r="I122" s="3">
        <f>IF($H122="","",H122-G122)</f>
      </c>
      <c r="J122" s="3">
        <f>IF($H122="","",I122*16.67%)</f>
      </c>
      <c r="K122" s="3">
        <f>IF($H122="","",H122/100*7)</f>
      </c>
      <c r="L122" s="3">
        <f>IF($H122="","",K122*20%)</f>
      </c>
      <c r="M122" s="3">
        <f>IF($H122="","",K122*2%)</f>
      </c>
      <c r="N122" s="3">
        <f>IF($H122="","",M122*20%)</f>
      </c>
      <c r="O122" s="3"/>
      <c r="P122" s="3">
        <f>IF($H122="","",O122*20%)</f>
      </c>
      <c r="Q122" s="3">
        <v>1</v>
      </c>
      <c r="R122" s="3">
        <f>IF($H122="","",L122+N122+P122)</f>
      </c>
      <c r="S122" s="3">
        <f>IF($H122="","",I122-J122-K122-L122-M122-N122-O122-P122-Q122)</f>
      </c>
      <c r="T122" s="3">
        <f>IF($H122="","",(S122-AB122)/G122*100)</f>
      </c>
      <c r="U122" s="3">
        <f>IF($H122="","",J122-R122)</f>
      </c>
      <c r="AC122" s="3">
        <f>IF($H122="","",S122-AB122)</f>
      </c>
    </row>
    <row r="123" spans="1:31" x14ac:dyDescent="0.25">
      <c r="A123" s="1"/>
      <c r="D123" s="2"/>
      <c r="G123" s="3"/>
      <c r="H123" s="3"/>
      <c r="I123" s="3">
        <f>IF($H123="","",H123-G123)</f>
      </c>
      <c r="J123" s="3">
        <f>IF($H123="","",I123*16.67%)</f>
      </c>
      <c r="K123" s="3">
        <f>IF($H123="","",H123/100*7)</f>
      </c>
      <c r="L123" s="3">
        <f>IF($H123="","",K123*20%)</f>
      </c>
      <c r="M123" s="3">
        <f>IF($H123="","",K123*2%)</f>
      </c>
      <c r="N123" s="3">
        <f>IF($H123="","",M123*20%)</f>
      </c>
      <c r="O123" s="3"/>
      <c r="P123" s="3">
        <f>IF($H123="","",O123*20%)</f>
      </c>
      <c r="Q123" s="3">
        <v>1</v>
      </c>
      <c r="R123" s="3">
        <f>IF($H123="","",L123+N123+P123)</f>
      </c>
      <c r="S123" s="3">
        <f>IF($H123="","",I123-J123-K123-L123-M123-N123-O123-P123-Q123)</f>
      </c>
      <c r="T123" s="3">
        <f>IF($H123="","",(S123-AB123)/G123*100)</f>
      </c>
      <c r="U123" s="3">
        <f>IF($H123="","",J123-R123)</f>
      </c>
      <c r="AC123" s="3">
        <f>IF($H123="","",S123-AB123)</f>
      </c>
    </row>
    <row r="124" spans="1:31" x14ac:dyDescent="0.25">
      <c r="A124" s="1"/>
      <c r="D124" s="2"/>
      <c r="G124" s="3"/>
      <c r="H124" s="3"/>
      <c r="I124" s="3">
        <f>IF($H124="","",H124-G124)</f>
      </c>
      <c r="J124" s="3">
        <f>IF($H124="","",I124*16.67%)</f>
      </c>
      <c r="K124" s="3">
        <f>IF($H124="","",H124/100*7)</f>
      </c>
      <c r="L124" s="3">
        <f>IF($H124="","",K124*20%)</f>
      </c>
      <c r="M124" s="3">
        <f>IF($H124="","",K124*2%)</f>
      </c>
      <c r="N124" s="3">
        <f>IF($H124="","",M124*20%)</f>
      </c>
      <c r="O124" s="3"/>
      <c r="P124" s="3">
        <f>IF($H124="","",O124*20%)</f>
      </c>
      <c r="Q124" s="3">
        <v>1</v>
      </c>
      <c r="R124" s="3">
        <f>IF($H124="","",L124+N124+P124)</f>
      </c>
      <c r="S124" s="3">
        <f>IF($H124="","",I124-J124-K124-L124-M124-N124-O124-P124-Q124)</f>
      </c>
      <c r="T124" s="3">
        <f>IF($H124="","",(S124-AB124)/G124*100)</f>
      </c>
      <c r="U124" s="3">
        <f>IF($H124="","",J124-R124)</f>
      </c>
      <c r="AC124" s="3">
        <f>IF($H124="","",S124-AB124)</f>
      </c>
    </row>
    <row r="125" spans="1:31" x14ac:dyDescent="0.25">
      <c r="A125" s="1"/>
      <c r="D125" s="2"/>
      <c r="G125" s="3"/>
      <c r="H125" s="3"/>
      <c r="I125" s="3">
        <f>IF($H125="","",H125-G125)</f>
      </c>
      <c r="J125" s="3">
        <f>IF($H125="","",I125*16.67%)</f>
      </c>
      <c r="K125" s="3">
        <f>IF($H125="","",H125/100*7)</f>
      </c>
      <c r="L125" s="3">
        <f>IF($H125="","",K125*20%)</f>
      </c>
      <c r="M125" s="3">
        <f>IF($H125="","",K125*2%)</f>
      </c>
      <c r="N125" s="3">
        <f>IF($H125="","",M125*20%)</f>
      </c>
      <c r="O125" s="3"/>
      <c r="P125" s="3">
        <f>IF($H125="","",O125*20%)</f>
      </c>
      <c r="Q125" s="3">
        <v>1</v>
      </c>
      <c r="R125" s="3">
        <f>IF($H125="","",L125+N125+P125)</f>
      </c>
      <c r="S125" s="3">
        <f>IF($H125="","",I125-J125-K125-L125-M125-N125-O125-P125-Q125)</f>
      </c>
      <c r="T125" s="3">
        <f>IF($H125="","",(S125-AB125)/G125*100)</f>
      </c>
      <c r="U125" s="3">
        <f>IF($H125="","",J125-R125)</f>
      </c>
      <c r="AC125" s="3">
        <f>IF($H125="","",S125-AB125)</f>
      </c>
    </row>
    <row r="126" spans="1:31" x14ac:dyDescent="0.25">
      <c r="A126" s="1"/>
      <c r="D126" s="2"/>
      <c r="G126" s="3"/>
      <c r="H126" s="3"/>
      <c r="I126" s="3">
        <f>IF($H126="","",H126-G126)</f>
      </c>
      <c r="J126" s="3">
        <f>IF($H126="","",I126*16.67%)</f>
      </c>
      <c r="K126" s="3">
        <f>IF($H126="","",H126/100*7)</f>
      </c>
      <c r="L126" s="3">
        <f>IF($H126="","",K126*20%)</f>
      </c>
      <c r="M126" s="3">
        <f>IF($H126="","",K126*2%)</f>
      </c>
      <c r="N126" s="3">
        <f>IF($H126="","",M126*20%)</f>
      </c>
      <c r="O126" s="3"/>
      <c r="P126" s="3">
        <f>IF($H126="","",O126*20%)</f>
      </c>
      <c r="Q126" s="3">
        <v>1</v>
      </c>
      <c r="R126" s="3">
        <f>IF($H126="","",L126+N126+P126)</f>
      </c>
      <c r="S126" s="3">
        <f>IF($H126="","",I126-J126-K126-L126-M126-N126-O126-P126-Q126)</f>
      </c>
      <c r="T126" s="3">
        <f>IF($H126="","",(S126-AB126)/G126*100)</f>
      </c>
      <c r="U126" s="3">
        <f>IF($H126="","",J126-R126)</f>
      </c>
      <c r="AC126" s="3">
        <f>IF($H126="","",S126-AB126)</f>
      </c>
    </row>
    <row r="127" spans="1:31" x14ac:dyDescent="0.25">
      <c r="A127" s="1"/>
      <c r="D127" s="2"/>
      <c r="G127" s="3"/>
      <c r="H127" s="3"/>
      <c r="I127" s="3">
        <f>IF($H127="","",H127-G127)</f>
      </c>
      <c r="J127" s="3">
        <f>IF($H127="","",I127*16.67%)</f>
      </c>
      <c r="K127" s="3">
        <f>IF($H127="","",H127/100*7)</f>
      </c>
      <c r="L127" s="3">
        <f>IF($H127="","",K127*20%)</f>
      </c>
      <c r="M127" s="3">
        <f>IF($H127="","",K127*2%)</f>
      </c>
      <c r="N127" s="3">
        <f>IF($H127="","",M127*20%)</f>
      </c>
      <c r="O127" s="3"/>
      <c r="P127" s="3">
        <f>IF($H127="","",O127*20%)</f>
      </c>
      <c r="Q127" s="3">
        <v>1</v>
      </c>
      <c r="R127" s="3">
        <f>IF($H127="","",L127+N127+P127)</f>
      </c>
      <c r="S127" s="3">
        <f>IF($H127="","",I127-J127-K127-L127-M127-N127-O127-P127-Q127)</f>
      </c>
      <c r="T127" s="3">
        <f>IF($H127="","",(S127-AB127)/G127*100)</f>
      </c>
      <c r="U127" s="3">
        <f>IF($H127="","",J127-R127)</f>
      </c>
      <c r="AC127" s="3">
        <f>IF($H127="","",S127-AB127)</f>
      </c>
    </row>
    <row r="128" spans="1:31" x14ac:dyDescent="0.25">
      <c r="A128" s="1"/>
      <c r="D128" s="2"/>
      <c r="G128" s="3"/>
      <c r="H128" s="3"/>
      <c r="I128" s="3">
        <f>IF($H128="","",H128-G128)</f>
      </c>
      <c r="J128" s="3">
        <f>IF($H128="","",I128*16.67%)</f>
      </c>
      <c r="K128" s="3">
        <f>IF($H128="","",H128/100*7)</f>
      </c>
      <c r="L128" s="3">
        <f>IF($H128="","",K128*20%)</f>
      </c>
      <c r="M128" s="3">
        <f>IF($H128="","",K128*2%)</f>
      </c>
      <c r="N128" s="3">
        <f>IF($H128="","",M128*20%)</f>
      </c>
      <c r="O128" s="3"/>
      <c r="P128" s="3">
        <f>IF($H128="","",O128*20%)</f>
      </c>
      <c r="Q128" s="3">
        <v>1</v>
      </c>
      <c r="R128" s="3">
        <f>IF($H128="","",L128+N128+P128)</f>
      </c>
      <c r="S128" s="3">
        <f>IF($H128="","",I128-J128-K128-L128-M128-N128-O128-P128-Q128)</f>
      </c>
      <c r="T128" s="3">
        <f>IF($H128="","",(S128-AB128)/G128*100)</f>
      </c>
      <c r="U128" s="3">
        <f>IF($H128="","",J128-R128)</f>
      </c>
      <c r="AC128" s="3">
        <f>IF($H128="","",S128-AB128)</f>
      </c>
    </row>
    <row r="129" spans="1:31" x14ac:dyDescent="0.25">
      <c r="A129" s="1"/>
      <c r="D129" s="2"/>
      <c r="G129" s="3"/>
      <c r="H129" s="3"/>
      <c r="I129" s="3">
        <f>IF($H129="","",H129-G129)</f>
      </c>
      <c r="J129" s="3">
        <f>IF($H129="","",I129*16.67%)</f>
      </c>
      <c r="K129" s="3">
        <f>IF($H129="","",H129/100*7)</f>
      </c>
      <c r="L129" s="3">
        <f>IF($H129="","",K129*20%)</f>
      </c>
      <c r="M129" s="3">
        <f>IF($H129="","",K129*2%)</f>
      </c>
      <c r="N129" s="3">
        <f>IF($H129="","",M129*20%)</f>
      </c>
      <c r="O129" s="3"/>
      <c r="P129" s="3">
        <f>IF($H129="","",O129*20%)</f>
      </c>
      <c r="Q129" s="3">
        <v>1</v>
      </c>
      <c r="R129" s="3">
        <f>IF($H129="","",L129+N129+P129)</f>
      </c>
      <c r="S129" s="3">
        <f>IF($H129="","",I129-J129-K129-L129-M129-N129-O129-P129-Q129)</f>
      </c>
      <c r="T129" s="3">
        <f>IF($H129="","",(S129-AB129)/G129*100)</f>
      </c>
      <c r="U129" s="3">
        <f>IF($H129="","",J129-R129)</f>
      </c>
      <c r="AC129" s="3">
        <f>IF($H129="","",S129-AB129)</f>
      </c>
    </row>
    <row r="130" spans="1:31" x14ac:dyDescent="0.25">
      <c r="A130" s="1"/>
      <c r="D130" s="2"/>
      <c r="G130" s="3"/>
      <c r="H130" s="3"/>
      <c r="I130" s="3">
        <f>IF($H130="","",H130-G130)</f>
      </c>
      <c r="J130" s="3">
        <f>IF($H130="","",I130*16.67%)</f>
      </c>
      <c r="K130" s="3">
        <f>IF($H130="","",H130/100*7)</f>
      </c>
      <c r="L130" s="3">
        <f>IF($H130="","",K130*20%)</f>
      </c>
      <c r="M130" s="3">
        <f>IF($H130="","",K130*2%)</f>
      </c>
      <c r="N130" s="3">
        <f>IF($H130="","",M130*20%)</f>
      </c>
      <c r="O130" s="3"/>
      <c r="P130" s="3">
        <f>IF($H130="","",O130*20%)</f>
      </c>
      <c r="Q130" s="3">
        <v>1</v>
      </c>
      <c r="R130" s="3">
        <f>IF($H130="","",L130+N130+P130)</f>
      </c>
      <c r="S130" s="3">
        <f>IF($H130="","",I130-J130-K130-L130-M130-N130-O130-P130-Q130)</f>
      </c>
      <c r="T130" s="3">
        <f>IF($H130="","",(S130-AB130)/G130*100)</f>
      </c>
      <c r="U130" s="3">
        <f>IF($H130="","",J130-R130)</f>
      </c>
      <c r="AC130" s="3">
        <f>IF($H130="","",S130-AB130)</f>
      </c>
    </row>
    <row r="131" spans="1:31" x14ac:dyDescent="0.25">
      <c r="A131" s="1"/>
      <c r="D131" s="2"/>
      <c r="G131" s="3"/>
      <c r="H131" s="3"/>
      <c r="I131" s="3">
        <f>IF($H131="","",H131-G131)</f>
      </c>
      <c r="J131" s="3">
        <f>IF($H131="","",I131*16.67%)</f>
      </c>
      <c r="K131" s="3">
        <f>IF($H131="","",H131/100*7)</f>
      </c>
      <c r="L131" s="3">
        <f>IF($H131="","",K131*20%)</f>
      </c>
      <c r="M131" s="3">
        <f>IF($H131="","",K131*2%)</f>
      </c>
      <c r="N131" s="3">
        <f>IF($H131="","",M131*20%)</f>
      </c>
      <c r="O131" s="3"/>
      <c r="P131" s="3">
        <f>IF($H131="","",O131*20%)</f>
      </c>
      <c r="Q131" s="3">
        <v>1</v>
      </c>
      <c r="R131" s="3">
        <f>IF($H131="","",L131+N131+P131)</f>
      </c>
      <c r="S131" s="3">
        <f>IF($H131="","",I131-J131-K131-L131-M131-N131-O131-P131-Q131)</f>
      </c>
      <c r="T131" s="3">
        <f>IF($H131="","",(S131-AB131)/G131*100)</f>
      </c>
      <c r="U131" s="3">
        <f>IF($H131="","",J131-R131)</f>
      </c>
      <c r="AC131" s="3">
        <f>IF($H131="","",S131-AB131)</f>
      </c>
    </row>
    <row r="132" spans="1:31" x14ac:dyDescent="0.25">
      <c r="A132" s="1"/>
      <c r="D132" s="2"/>
      <c r="G132" s="3"/>
      <c r="H132" s="3"/>
      <c r="I132" s="3">
        <f>IF($H132="","",H132-G132)</f>
      </c>
      <c r="J132" s="3">
        <f>IF($H132="","",I132*16.67%)</f>
      </c>
      <c r="K132" s="3">
        <f>IF($H132="","",H132/100*7)</f>
      </c>
      <c r="L132" s="3">
        <f>IF($H132="","",K132*20%)</f>
      </c>
      <c r="M132" s="3">
        <f>IF($H132="","",K132*2%)</f>
      </c>
      <c r="N132" s="3">
        <f>IF($H132="","",M132*20%)</f>
      </c>
      <c r="O132" s="3"/>
      <c r="P132" s="3">
        <f>IF($H132="","",O132*20%)</f>
      </c>
      <c r="Q132" s="3">
        <v>1</v>
      </c>
      <c r="R132" s="3">
        <f>IF($H132="","",L132+N132+P132)</f>
      </c>
      <c r="S132" s="3">
        <f>IF($H132="","",I132-J132-K132-L132-M132-N132-O132-P132-Q132)</f>
      </c>
      <c r="T132" s="3">
        <f>IF($H132="","",(S132-AB132)/G132*100)</f>
      </c>
      <c r="U132" s="3">
        <f>IF($H132="","",J132-R132)</f>
      </c>
      <c r="AC132" s="3">
        <f>IF($H132="","",S132-AB132)</f>
      </c>
    </row>
    <row r="133" spans="1:31" x14ac:dyDescent="0.25">
      <c r="A133" s="1"/>
      <c r="D133" s="2"/>
      <c r="G133" s="3"/>
      <c r="H133" s="3"/>
      <c r="I133" s="3">
        <f>IF($H133="","",H133-G133)</f>
      </c>
      <c r="J133" s="3">
        <f>IF($H133="","",I133*16.67%)</f>
      </c>
      <c r="K133" s="3">
        <f>IF($H133="","",H133/100*7)</f>
      </c>
      <c r="L133" s="3">
        <f>IF($H133="","",K133*20%)</f>
      </c>
      <c r="M133" s="3">
        <f>IF($H133="","",K133*2%)</f>
      </c>
      <c r="N133" s="3">
        <f>IF($H133="","",M133*20%)</f>
      </c>
      <c r="O133" s="3"/>
      <c r="P133" s="3">
        <f>IF($H133="","",O133*20%)</f>
      </c>
      <c r="Q133" s="3">
        <v>1</v>
      </c>
      <c r="R133" s="3">
        <f>IF($H133="","",L133+N133+P133)</f>
      </c>
      <c r="S133" s="3">
        <f>IF($H133="","",I133-J133-K133-L133-M133-N133-O133-P133-Q133)</f>
      </c>
      <c r="T133" s="3">
        <f>IF($H133="","",(S133-AB133)/G133*100)</f>
      </c>
      <c r="U133" s="3">
        <f>IF($H133="","",J133-R133)</f>
      </c>
      <c r="AC133" s="3">
        <f>IF($H133="","",S133-AB133)</f>
      </c>
    </row>
    <row r="134" spans="1:31" x14ac:dyDescent="0.25">
      <c r="A134" s="1"/>
      <c r="D134" s="2"/>
      <c r="G134" s="3"/>
      <c r="H134" s="3"/>
      <c r="I134" s="3">
        <f>IF($H134="","",H134-G134)</f>
      </c>
      <c r="J134" s="3">
        <f>IF($H134="","",I134*16.67%)</f>
      </c>
      <c r="K134" s="3">
        <f>IF($H134="","",H134/100*7)</f>
      </c>
      <c r="L134" s="3">
        <f>IF($H134="","",K134*20%)</f>
      </c>
      <c r="M134" s="3">
        <f>IF($H134="","",K134*2%)</f>
      </c>
      <c r="N134" s="3">
        <f>IF($H134="","",M134*20%)</f>
      </c>
      <c r="O134" s="3"/>
      <c r="P134" s="3">
        <f>IF($H134="","",O134*20%)</f>
      </c>
      <c r="Q134" s="3">
        <v>1</v>
      </c>
      <c r="R134" s="3">
        <f>IF($H134="","",L134+N134+P134)</f>
      </c>
      <c r="S134" s="3">
        <f>IF($H134="","",I134-J134-K134-L134-M134-N134-O134-P134-Q134)</f>
      </c>
      <c r="T134" s="3">
        <f>IF($H134="","",(S134-AB134)/G134*100)</f>
      </c>
      <c r="U134" s="3">
        <f>IF($H134="","",J134-R134)</f>
      </c>
      <c r="AC134" s="3">
        <f>IF($H134="","",S134-AB134)</f>
      </c>
    </row>
    <row r="135" spans="1:31" x14ac:dyDescent="0.25">
      <c r="A135" s="1"/>
      <c r="D135" s="2"/>
      <c r="G135" s="3"/>
      <c r="H135" s="3"/>
      <c r="I135" s="3">
        <f>IF($H135="","",H135-G135)</f>
      </c>
      <c r="J135" s="3">
        <f>IF($H135="","",I135*16.67%)</f>
      </c>
      <c r="K135" s="3">
        <f>IF($H135="","",H135/100*7)</f>
      </c>
      <c r="L135" s="3">
        <f>IF($H135="","",K135*20%)</f>
      </c>
      <c r="M135" s="3">
        <f>IF($H135="","",K135*2%)</f>
      </c>
      <c r="N135" s="3">
        <f>IF($H135="","",M135*20%)</f>
      </c>
      <c r="O135" s="3"/>
      <c r="P135" s="3">
        <f>IF($H135="","",O135*20%)</f>
      </c>
      <c r="Q135" s="3">
        <v>1</v>
      </c>
      <c r="R135" s="3">
        <f>IF($H135="","",L135+N135+P135)</f>
      </c>
      <c r="S135" s="3">
        <f>IF($H135="","",I135-J135-K135-L135-M135-N135-O135-P135-Q135)</f>
      </c>
      <c r="T135" s="3">
        <f>IF($H135="","",(S135-AB135)/G135*100)</f>
      </c>
      <c r="U135" s="3">
        <f>IF($H135="","",J135-R135)</f>
      </c>
      <c r="AC135" s="3">
        <f>IF($H135="","",S135-AB135)</f>
      </c>
    </row>
    <row r="136" spans="1:31" x14ac:dyDescent="0.25">
      <c r="A136" s="1"/>
      <c r="D136" s="2"/>
      <c r="G136" s="3"/>
      <c r="H136" s="3"/>
      <c r="I136" s="3">
        <f>IF($H136="","",H136-G136)</f>
      </c>
      <c r="J136" s="3">
        <f>IF($H136="","",I136*16.67%)</f>
      </c>
      <c r="K136" s="3">
        <f>IF($H136="","",H136/100*7)</f>
      </c>
      <c r="L136" s="3">
        <f>IF($H136="","",K136*20%)</f>
      </c>
      <c r="M136" s="3">
        <f>IF($H136="","",K136*2%)</f>
      </c>
      <c r="N136" s="3">
        <f>IF($H136="","",M136*20%)</f>
      </c>
      <c r="O136" s="3"/>
      <c r="P136" s="3">
        <f>IF($H136="","",O136*20%)</f>
      </c>
      <c r="Q136" s="3">
        <v>1</v>
      </c>
      <c r="R136" s="3">
        <f>IF($H136="","",L136+N136+P136)</f>
      </c>
      <c r="S136" s="3">
        <f>IF($H136="","",I136-J136-K136-L136-M136-N136-O136-P136-Q136)</f>
      </c>
      <c r="T136" s="3">
        <f>IF($H136="","",(S136-AB136)/G136*100)</f>
      </c>
      <c r="U136" s="3">
        <f>IF($H136="","",J136-R136)</f>
      </c>
      <c r="AC136" s="3">
        <f>IF($H136="","",S136-AB136)</f>
      </c>
    </row>
    <row r="137" spans="1:31" x14ac:dyDescent="0.25">
      <c r="A137" s="1"/>
      <c r="D137" s="2"/>
      <c r="G137" s="3"/>
      <c r="H137" s="3"/>
      <c r="I137" s="3">
        <f>IF($H137="","",H137-G137)</f>
      </c>
      <c r="J137" s="3">
        <f>IF($H137="","",I137*16.67%)</f>
      </c>
      <c r="K137" s="3">
        <f>IF($H137="","",H137/100*7)</f>
      </c>
      <c r="L137" s="3">
        <f>IF($H137="","",K137*20%)</f>
      </c>
      <c r="M137" s="3">
        <f>IF($H137="","",K137*2%)</f>
      </c>
      <c r="N137" s="3">
        <f>IF($H137="","",M137*20%)</f>
      </c>
      <c r="O137" s="3"/>
      <c r="P137" s="3">
        <f>IF($H137="","",O137*20%)</f>
      </c>
      <c r="Q137" s="3">
        <v>1</v>
      </c>
      <c r="R137" s="3">
        <f>IF($H137="","",L137+N137+P137)</f>
      </c>
      <c r="S137" s="3">
        <f>IF($H137="","",I137-J137-K137-L137-M137-N137-O137-P137-Q137)</f>
      </c>
      <c r="T137" s="3">
        <f>IF($H137="","",(S137-AB137)/G137*100)</f>
      </c>
      <c r="U137" s="3">
        <f>IF($H137="","",J137-R137)</f>
      </c>
      <c r="AC137" s="3">
        <f>IF($H137="","",S137-AB137)</f>
      </c>
    </row>
    <row r="138" spans="1:31" x14ac:dyDescent="0.25">
      <c r="A138" s="1"/>
      <c r="D138" s="2"/>
      <c r="G138" s="3"/>
      <c r="H138" s="3"/>
      <c r="I138" s="3">
        <f>IF($H138="","",H138-G138)</f>
      </c>
      <c r="J138" s="3">
        <f>IF($H138="","",I138*16.67%)</f>
      </c>
      <c r="K138" s="3">
        <f>IF($H138="","",H138/100*7)</f>
      </c>
      <c r="L138" s="3">
        <f>IF($H138="","",K138*20%)</f>
      </c>
      <c r="M138" s="3">
        <f>IF($H138="","",K138*2%)</f>
      </c>
      <c r="N138" s="3">
        <f>IF($H138="","",M138*20%)</f>
      </c>
      <c r="O138" s="3"/>
      <c r="P138" s="3">
        <f>IF($H138="","",O138*20%)</f>
      </c>
      <c r="Q138" s="3">
        <v>1</v>
      </c>
      <c r="R138" s="3">
        <f>IF($H138="","",L138+N138+P138)</f>
      </c>
      <c r="S138" s="3">
        <f>IF($H138="","",I138-J138-K138-L138-M138-N138-O138-P138-Q138)</f>
      </c>
      <c r="T138" s="3">
        <f>IF($H138="","",(S138-AB138)/G138*100)</f>
      </c>
      <c r="U138" s="3">
        <f>IF($H138="","",J138-R138)</f>
      </c>
      <c r="AC138" s="3">
        <f>IF($H138="","",S138-AB138)</f>
      </c>
    </row>
    <row r="139" spans="1:31" x14ac:dyDescent="0.25">
      <c r="A139" s="1"/>
      <c r="D139" s="2"/>
      <c r="G139" s="3"/>
      <c r="H139" s="3"/>
      <c r="I139" s="3">
        <f>IF($H139="","",H139-G139)</f>
      </c>
      <c r="J139" s="3">
        <f>IF($H139="","",I139*16.67%)</f>
      </c>
      <c r="K139" s="3">
        <f>IF($H139="","",H139/100*7)</f>
      </c>
      <c r="L139" s="3">
        <f>IF($H139="","",K139*20%)</f>
      </c>
      <c r="M139" s="3">
        <f>IF($H139="","",K139*2%)</f>
      </c>
      <c r="N139" s="3">
        <f>IF($H139="","",M139*20%)</f>
      </c>
      <c r="O139" s="3"/>
      <c r="P139" s="3">
        <f>IF($H139="","",O139*20%)</f>
      </c>
      <c r="Q139" s="3">
        <v>1</v>
      </c>
      <c r="R139" s="3">
        <f>IF($H139="","",L139+N139+P139)</f>
      </c>
      <c r="S139" s="3">
        <f>IF($H139="","",I139-J139-K139-L139-M139-N139-O139-P139-Q139)</f>
      </c>
      <c r="T139" s="3">
        <f>IF($H139="","",(S139-AB139)/G139*100)</f>
      </c>
      <c r="U139" s="3">
        <f>IF($H139="","",J139-R139)</f>
      </c>
      <c r="AC139" s="3">
        <f>IF($H139="","",S139-AB139)</f>
      </c>
    </row>
    <row r="140" spans="1:31" x14ac:dyDescent="0.25">
      <c r="A140" s="1"/>
      <c r="D140" s="2"/>
      <c r="G140" s="3"/>
      <c r="H140" s="3"/>
      <c r="I140" s="3">
        <f>IF($H140="","",H140-G140)</f>
      </c>
      <c r="J140" s="3">
        <f>IF($H140="","",I140*16.67%)</f>
      </c>
      <c r="K140" s="3">
        <f>IF($H140="","",H140/100*7)</f>
      </c>
      <c r="L140" s="3">
        <f>IF($H140="","",K140*20%)</f>
      </c>
      <c r="M140" s="3">
        <f>IF($H140="","",K140*2%)</f>
      </c>
      <c r="N140" s="3">
        <f>IF($H140="","",M140*20%)</f>
      </c>
      <c r="O140" s="3"/>
      <c r="P140" s="3">
        <f>IF($H140="","",O140*20%)</f>
      </c>
      <c r="Q140" s="3">
        <v>1</v>
      </c>
      <c r="R140" s="3">
        <f>IF($H140="","",L140+N140+P140)</f>
      </c>
      <c r="S140" s="3">
        <f>IF($H140="","",I140-J140-K140-L140-M140-N140-O140-P140-Q140)</f>
      </c>
      <c r="T140" s="3">
        <f>IF($H140="","",(S140-AB140)/G140*100)</f>
      </c>
      <c r="U140" s="3">
        <f>IF($H140="","",J140-R140)</f>
      </c>
      <c r="AC140" s="3">
        <f>IF($H140="","",S140-AB140)</f>
      </c>
    </row>
    <row r="141" spans="1:31" x14ac:dyDescent="0.25">
      <c r="A141" s="1"/>
      <c r="D141" s="2"/>
      <c r="G141" s="3"/>
      <c r="H141" s="3"/>
      <c r="I141" s="3">
        <f>IF($H141="","",H141-G141)</f>
      </c>
      <c r="J141" s="3">
        <f>IF($H141="","",I141*16.67%)</f>
      </c>
      <c r="K141" s="3">
        <f>IF($H141="","",H141/100*7)</f>
      </c>
      <c r="L141" s="3">
        <f>IF($H141="","",K141*20%)</f>
      </c>
      <c r="M141" s="3">
        <f>IF($H141="","",K141*2%)</f>
      </c>
      <c r="N141" s="3">
        <f>IF($H141="","",M141*20%)</f>
      </c>
      <c r="O141" s="3"/>
      <c r="P141" s="3">
        <f>IF($H141="","",O141*20%)</f>
      </c>
      <c r="Q141" s="3">
        <v>1</v>
      </c>
      <c r="R141" s="3">
        <f>IF($H141="","",L141+N141+P141)</f>
      </c>
      <c r="S141" s="3">
        <f>IF($H141="","",I141-J141-K141-L141-M141-N141-O141-P141-Q141)</f>
      </c>
      <c r="T141" s="3">
        <f>IF($H141="","",(S141-AB141)/G141*100)</f>
      </c>
      <c r="U141" s="3">
        <f>IF($H141="","",J141-R141)</f>
      </c>
      <c r="AC141" s="3">
        <f>IF($H141="","",S141-AB141)</f>
      </c>
    </row>
    <row r="142" spans="1:31" x14ac:dyDescent="0.25">
      <c r="A142" s="1"/>
      <c r="D142" s="2"/>
      <c r="G142" s="3"/>
      <c r="H142" s="3"/>
      <c r="I142" s="3">
        <f>IF($H142="","",H142-G142)</f>
      </c>
      <c r="J142" s="3">
        <f>IF($H142="","",I142*16.67%)</f>
      </c>
      <c r="K142" s="3">
        <f>IF($H142="","",H142/100*7)</f>
      </c>
      <c r="L142" s="3">
        <f>IF($H142="","",K142*20%)</f>
      </c>
      <c r="M142" s="3">
        <f>IF($H142="","",K142*2%)</f>
      </c>
      <c r="N142" s="3">
        <f>IF($H142="","",M142*20%)</f>
      </c>
      <c r="O142" s="3"/>
      <c r="P142" s="3">
        <f>IF($H142="","",O142*20%)</f>
      </c>
      <c r="Q142" s="3">
        <v>1</v>
      </c>
      <c r="R142" s="3">
        <f>IF($H142="","",L142+N142+P142)</f>
      </c>
      <c r="S142" s="3">
        <f>IF($H142="","",I142-J142-K142-L142-M142-N142-O142-P142-Q142)</f>
      </c>
      <c r="T142" s="3">
        <f>IF($H142="","",(S142-AB142)/G142*100)</f>
      </c>
      <c r="U142" s="3">
        <f>IF($H142="","",J142-R142)</f>
      </c>
      <c r="AC142" s="3">
        <f>IF($H142="","",S142-AB142)</f>
      </c>
    </row>
    <row r="143" spans="1:31" x14ac:dyDescent="0.25">
      <c r="A143" s="1"/>
      <c r="D143" s="2"/>
      <c r="G143" s="3"/>
      <c r="H143" s="3"/>
      <c r="I143" s="3">
        <f>IF($H143="","",H143-G143)</f>
      </c>
      <c r="J143" s="3">
        <f>IF($H143="","",I143*16.67%)</f>
      </c>
      <c r="K143" s="3">
        <f>IF($H143="","",H143/100*7)</f>
      </c>
      <c r="L143" s="3">
        <f>IF($H143="","",K143*20%)</f>
      </c>
      <c r="M143" s="3">
        <f>IF($H143="","",K143*2%)</f>
      </c>
      <c r="N143" s="3">
        <f>IF($H143="","",M143*20%)</f>
      </c>
      <c r="O143" s="3"/>
      <c r="P143" s="3">
        <f>IF($H143="","",O143*20%)</f>
      </c>
      <c r="Q143" s="3">
        <v>1</v>
      </c>
      <c r="R143" s="3">
        <f>IF($H143="","",L143+N143+P143)</f>
      </c>
      <c r="S143" s="3">
        <f>IF($H143="","",I143-J143-K143-L143-M143-N143-O143-P143-Q143)</f>
      </c>
      <c r="T143" s="3">
        <f>IF($H143="","",(S143-AB143)/G143*100)</f>
      </c>
      <c r="U143" s="3">
        <f>IF($H143="","",J143-R143)</f>
      </c>
      <c r="AC143" s="3">
        <f>IF($H143="","",S143-AB143)</f>
      </c>
    </row>
    <row r="144" spans="1:31" x14ac:dyDescent="0.25">
      <c r="A144" s="1"/>
      <c r="D144" s="2"/>
      <c r="G144" s="3"/>
      <c r="H144" s="3"/>
      <c r="I144" s="3">
        <f>IF($H144="","",H144-G144)</f>
      </c>
      <c r="J144" s="3">
        <f>IF($H144="","",I144*16.67%)</f>
      </c>
      <c r="K144" s="3">
        <f>IF($H144="","",H144/100*7)</f>
      </c>
      <c r="L144" s="3">
        <f>IF($H144="","",K144*20%)</f>
      </c>
      <c r="M144" s="3">
        <f>IF($H144="","",K144*2%)</f>
      </c>
      <c r="N144" s="3">
        <f>IF($H144="","",M144*20%)</f>
      </c>
      <c r="O144" s="3"/>
      <c r="P144" s="3">
        <f>IF($H144="","",O144*20%)</f>
      </c>
      <c r="Q144" s="3">
        <v>1</v>
      </c>
      <c r="R144" s="3">
        <f>IF($H144="","",L144+N144+P144)</f>
      </c>
      <c r="S144" s="3">
        <f>IF($H144="","",I144-J144-K144-L144-M144-N144-O144-P144-Q144)</f>
      </c>
      <c r="T144" s="3">
        <f>IF($H144="","",(S144-AB144)/G144*100)</f>
      </c>
      <c r="U144" s="3">
        <f>IF($H144="","",J144-R144)</f>
      </c>
      <c r="AC144" s="3">
        <f>IF($H144="","",S144-AB144)</f>
      </c>
    </row>
    <row r="145" spans="1:31" x14ac:dyDescent="0.25">
      <c r="A145" s="1"/>
      <c r="D145" s="2"/>
      <c r="G145" s="3"/>
      <c r="H145" s="3"/>
      <c r="I145" s="3">
        <f>IF($H145="","",H145-G145)</f>
      </c>
      <c r="J145" s="3">
        <f>IF($H145="","",I145*16.67%)</f>
      </c>
      <c r="K145" s="3">
        <f>IF($H145="","",H145/100*7)</f>
      </c>
      <c r="L145" s="3">
        <f>IF($H145="","",K145*20%)</f>
      </c>
      <c r="M145" s="3">
        <f>IF($H145="","",K145*2%)</f>
      </c>
      <c r="N145" s="3">
        <f>IF($H145="","",M145*20%)</f>
      </c>
      <c r="O145" s="3"/>
      <c r="P145" s="3">
        <f>IF($H145="","",O145*20%)</f>
      </c>
      <c r="Q145" s="3">
        <v>1</v>
      </c>
      <c r="R145" s="3">
        <f>IF($H145="","",L145+N145+P145)</f>
      </c>
      <c r="S145" s="3">
        <f>IF($H145="","",I145-J145-K145-L145-M145-N145-O145-P145-Q145)</f>
      </c>
      <c r="T145" s="3">
        <f>IF($H145="","",(S145-AB145)/G145*100)</f>
      </c>
      <c r="U145" s="3">
        <f>IF($H145="","",J145-R145)</f>
      </c>
      <c r="AC145" s="3">
        <f>IF($H145="","",S145-AB145)</f>
      </c>
    </row>
    <row r="146" spans="1:31" x14ac:dyDescent="0.25">
      <c r="A146" s="1"/>
      <c r="D146" s="2"/>
      <c r="G146" s="3"/>
      <c r="H146" s="3"/>
      <c r="I146" s="3">
        <f>IF($H146="","",H146-G146)</f>
      </c>
      <c r="J146" s="3">
        <f>IF($H146="","",I146*16.67%)</f>
      </c>
      <c r="K146" s="3">
        <f>IF($H146="","",H146/100*7)</f>
      </c>
      <c r="L146" s="3">
        <f>IF($H146="","",K146*20%)</f>
      </c>
      <c r="M146" s="3">
        <f>IF($H146="","",K146*2%)</f>
      </c>
      <c r="N146" s="3">
        <f>IF($H146="","",M146*20%)</f>
      </c>
      <c r="O146" s="3"/>
      <c r="P146" s="3">
        <f>IF($H146="","",O146*20%)</f>
      </c>
      <c r="Q146" s="3">
        <v>1</v>
      </c>
      <c r="R146" s="3">
        <f>IF($H146="","",L146+N146+P146)</f>
      </c>
      <c r="S146" s="3">
        <f>IF($H146="","",I146-J146-K146-L146-M146-N146-O146-P146-Q146)</f>
      </c>
      <c r="T146" s="3">
        <f>IF($H146="","",(S146-AB146)/G146*100)</f>
      </c>
      <c r="U146" s="3">
        <f>IF($H146="","",J146-R146)</f>
      </c>
      <c r="AC146" s="3">
        <f>IF($H146="","",S146-AB146)</f>
      </c>
    </row>
    <row r="147" spans="1:31" x14ac:dyDescent="0.25">
      <c r="A147" s="1"/>
      <c r="D147" s="2"/>
      <c r="G147" s="3"/>
      <c r="H147" s="3"/>
      <c r="I147" s="3">
        <f>IF($H147="","",H147-G147)</f>
      </c>
      <c r="J147" s="3">
        <f>IF($H147="","",I147*16.67%)</f>
      </c>
      <c r="K147" s="3">
        <f>IF($H147="","",H147/100*7)</f>
      </c>
      <c r="L147" s="3">
        <f>IF($H147="","",K147*20%)</f>
      </c>
      <c r="M147" s="3">
        <f>IF($H147="","",K147*2%)</f>
      </c>
      <c r="N147" s="3">
        <f>IF($H147="","",M147*20%)</f>
      </c>
      <c r="O147" s="3"/>
      <c r="P147" s="3">
        <f>IF($H147="","",O147*20%)</f>
      </c>
      <c r="Q147" s="3">
        <v>1</v>
      </c>
      <c r="R147" s="3">
        <f>IF($H147="","",L147+N147+P147)</f>
      </c>
      <c r="S147" s="3">
        <f>IF($H147="","",I147-J147-K147-L147-M147-N147-O147-P147-Q147)</f>
      </c>
      <c r="T147" s="3">
        <f>IF($H147="","",(S147-AB147)/G147*100)</f>
      </c>
      <c r="U147" s="3">
        <f>IF($H147="","",J147-R147)</f>
      </c>
      <c r="AC147" s="3">
        <f>IF($H147="","",S147-AB147)</f>
      </c>
    </row>
    <row r="148" spans="1:31" x14ac:dyDescent="0.25">
      <c r="A148" s="1"/>
      <c r="D148" s="2"/>
      <c r="G148" s="3"/>
      <c r="H148" s="3"/>
      <c r="I148" s="3">
        <f>IF($H148="","",H148-G148)</f>
      </c>
      <c r="J148" s="3">
        <f>IF($H148="","",I148*16.67%)</f>
      </c>
      <c r="K148" s="3">
        <f>IF($H148="","",H148/100*7)</f>
      </c>
      <c r="L148" s="3">
        <f>IF($H148="","",K148*20%)</f>
      </c>
      <c r="M148" s="3">
        <f>IF($H148="","",K148*2%)</f>
      </c>
      <c r="N148" s="3">
        <f>IF($H148="","",M148*20%)</f>
      </c>
      <c r="O148" s="3"/>
      <c r="P148" s="3">
        <f>IF($H148="","",O148*20%)</f>
      </c>
      <c r="Q148" s="3">
        <v>1</v>
      </c>
      <c r="R148" s="3">
        <f>IF($H148="","",L148+N148+P148)</f>
      </c>
      <c r="S148" s="3">
        <f>IF($H148="","",I148-J148-K148-L148-M148-N148-O148-P148-Q148)</f>
      </c>
      <c r="T148" s="3">
        <f>IF($H148="","",(S148-AB148)/G148*100)</f>
      </c>
      <c r="U148" s="3">
        <f>IF($H148="","",J148-R148)</f>
      </c>
      <c r="AC148" s="3">
        <f>IF($H148="","",S148-AB148)</f>
      </c>
    </row>
    <row r="149" spans="1:31" x14ac:dyDescent="0.25">
      <c r="A149" s="1"/>
      <c r="D149" s="2"/>
      <c r="G149" s="3"/>
      <c r="H149" s="3"/>
      <c r="I149" s="3">
        <f>IF($H149="","",H149-G149)</f>
      </c>
      <c r="J149" s="3">
        <f>IF($H149="","",I149*16.67%)</f>
      </c>
      <c r="K149" s="3">
        <f>IF($H149="","",H149/100*7)</f>
      </c>
      <c r="L149" s="3">
        <f>IF($H149="","",K149*20%)</f>
      </c>
      <c r="M149" s="3">
        <f>IF($H149="","",K149*2%)</f>
      </c>
      <c r="N149" s="3">
        <f>IF($H149="","",M149*20%)</f>
      </c>
      <c r="O149" s="3"/>
      <c r="P149" s="3">
        <f>IF($H149="","",O149*20%)</f>
      </c>
      <c r="Q149" s="3">
        <v>1</v>
      </c>
      <c r="R149" s="3">
        <f>IF($H149="","",L149+N149+P149)</f>
      </c>
      <c r="S149" s="3">
        <f>IF($H149="","",I149-J149-K149-L149-M149-N149-O149-P149-Q149)</f>
      </c>
      <c r="T149" s="3">
        <f>IF($H149="","",(S149-AB149)/G149*100)</f>
      </c>
      <c r="U149" s="3">
        <f>IF($H149="","",J149-R149)</f>
      </c>
      <c r="AC149" s="3">
        <f>IF($H149="","",S149-AB149)</f>
      </c>
    </row>
    <row r="150" spans="1:31" x14ac:dyDescent="0.25">
      <c r="A150" s="1"/>
      <c r="D150" s="2"/>
      <c r="G150" s="3"/>
      <c r="H150" s="3"/>
      <c r="I150" s="3">
        <f>IF($H150="","",H150-G150)</f>
      </c>
      <c r="J150" s="3">
        <f>IF($H150="","",I150*16.67%)</f>
      </c>
      <c r="K150" s="3">
        <f>IF($H150="","",H150/100*7)</f>
      </c>
      <c r="L150" s="3">
        <f>IF($H150="","",K150*20%)</f>
      </c>
      <c r="M150" s="3">
        <f>IF($H150="","",K150*2%)</f>
      </c>
      <c r="N150" s="3">
        <f>IF($H150="","",M150*20%)</f>
      </c>
      <c r="O150" s="3"/>
      <c r="P150" s="3">
        <f>IF($H150="","",O150*20%)</f>
      </c>
      <c r="Q150" s="3">
        <v>1</v>
      </c>
      <c r="R150" s="3">
        <f>IF($H150="","",L150+N150+P150)</f>
      </c>
      <c r="S150" s="3">
        <f>IF($H150="","",I150-J150-K150-L150-M150-N150-O150-P150-Q150)</f>
      </c>
      <c r="T150" s="3">
        <f>IF($H150="","",(S150-AB150)/G150*100)</f>
      </c>
      <c r="U150" s="3">
        <f>IF($H150="","",J150-R150)</f>
      </c>
      <c r="AC150" s="3">
        <f>IF($H150="","",S150-AB150)</f>
      </c>
    </row>
    <row r="151" spans="1:31" x14ac:dyDescent="0.25">
      <c r="A151" s="1"/>
      <c r="D151" s="2"/>
      <c r="G151" s="3"/>
      <c r="H151" s="3"/>
      <c r="I151" s="3">
        <f>IF($H151="","",H151-G151)</f>
      </c>
      <c r="J151" s="3">
        <f>IF($H151="","",I151*16.67%)</f>
      </c>
      <c r="K151" s="3">
        <f>IF($H151="","",H151/100*7)</f>
      </c>
      <c r="L151" s="3">
        <f>IF($H151="","",K151*20%)</f>
      </c>
      <c r="M151" s="3">
        <f>IF($H151="","",K151*2%)</f>
      </c>
      <c r="N151" s="3">
        <f>IF($H151="","",M151*20%)</f>
      </c>
      <c r="O151" s="3"/>
      <c r="P151" s="3">
        <f>IF($H151="","",O151*20%)</f>
      </c>
      <c r="Q151" s="3">
        <v>1</v>
      </c>
      <c r="R151" s="3">
        <f>IF($H151="","",L151+N151+P151)</f>
      </c>
      <c r="S151" s="3">
        <f>IF($H151="","",I151-J151-K151-L151-M151-N151-O151-P151-Q151)</f>
      </c>
      <c r="T151" s="3">
        <f>IF($H151="","",(S151-AB151)/G151*100)</f>
      </c>
      <c r="U151" s="3">
        <f>IF($H151="","",J151-R151)</f>
      </c>
      <c r="AC151" s="3">
        <f>IF($H151="","",S151-AB151)</f>
      </c>
    </row>
    <row r="152" spans="1:31" x14ac:dyDescent="0.25">
      <c r="A152" s="1"/>
      <c r="D152" s="2"/>
      <c r="G152" s="3"/>
      <c r="H152" s="3"/>
      <c r="I152" s="3">
        <f>IF($H152="","",H152-G152)</f>
      </c>
      <c r="J152" s="3">
        <f>IF($H152="","",I152*16.67%)</f>
      </c>
      <c r="K152" s="3">
        <f>IF($H152="","",H152/100*7)</f>
      </c>
      <c r="L152" s="3">
        <f>IF($H152="","",K152*20%)</f>
      </c>
      <c r="M152" s="3">
        <f>IF($H152="","",K152*2%)</f>
      </c>
      <c r="N152" s="3">
        <f>IF($H152="","",M152*20%)</f>
      </c>
      <c r="O152" s="3"/>
      <c r="P152" s="3">
        <f>IF($H152="","",O152*20%)</f>
      </c>
      <c r="Q152" s="3">
        <v>1</v>
      </c>
      <c r="R152" s="3">
        <f>IF($H152="","",L152+N152+P152)</f>
      </c>
      <c r="S152" s="3">
        <f>IF($H152="","",I152-J152-K152-L152-M152-N152-O152-P152-Q152)</f>
      </c>
      <c r="T152" s="3">
        <f>IF($H152="","",(S152-AB152)/G152*100)</f>
      </c>
      <c r="U152" s="3">
        <f>IF($H152="","",J152-R152)</f>
      </c>
      <c r="AC152" s="3">
        <f>IF($H152="","",S152-AB152)</f>
      </c>
    </row>
    <row r="153" spans="1:31" x14ac:dyDescent="0.25">
      <c r="A153" s="1"/>
      <c r="D153" s="2"/>
      <c r="G153" s="3"/>
      <c r="H153" s="3"/>
      <c r="I153" s="3">
        <f>IF($H153="","",H153-G153)</f>
      </c>
      <c r="J153" s="3">
        <f>IF($H153="","",I153*16.67%)</f>
      </c>
      <c r="K153" s="3">
        <f>IF($H153="","",H153/100*7)</f>
      </c>
      <c r="L153" s="3">
        <f>IF($H153="","",K153*20%)</f>
      </c>
      <c r="M153" s="3">
        <f>IF($H153="","",K153*2%)</f>
      </c>
      <c r="N153" s="3">
        <f>IF($H153="","",M153*20%)</f>
      </c>
      <c r="O153" s="3"/>
      <c r="P153" s="3">
        <f>IF($H153="","",O153*20%)</f>
      </c>
      <c r="Q153" s="3">
        <v>1</v>
      </c>
      <c r="R153" s="3">
        <f>IF($H153="","",L153+N153+P153)</f>
      </c>
      <c r="S153" s="3">
        <f>IF($H153="","",I153-J153-K153-L153-M153-N153-O153-P153-Q153)</f>
      </c>
      <c r="T153" s="3">
        <f>IF($H153="","",(S153-AB153)/G153*100)</f>
      </c>
      <c r="U153" s="3">
        <f>IF($H153="","",J153-R153)</f>
      </c>
      <c r="AC153" s="3">
        <f>IF($H153="","",S153-AB153)</f>
      </c>
    </row>
    <row r="154" spans="1:31" x14ac:dyDescent="0.25">
      <c r="A154" s="1"/>
      <c r="D154" s="2"/>
      <c r="G154" s="3"/>
      <c r="H154" s="3"/>
      <c r="I154" s="3">
        <f>IF($H154="","",H154-G154)</f>
      </c>
      <c r="J154" s="3">
        <f>IF($H154="","",I154*16.67%)</f>
      </c>
      <c r="K154" s="3">
        <f>IF($H154="","",H154/100*7)</f>
      </c>
      <c r="L154" s="3">
        <f>IF($H154="","",K154*20%)</f>
      </c>
      <c r="M154" s="3">
        <f>IF($H154="","",K154*2%)</f>
      </c>
      <c r="N154" s="3">
        <f>IF($H154="","",M154*20%)</f>
      </c>
      <c r="O154" s="3"/>
      <c r="P154" s="3">
        <f>IF($H154="","",O154*20%)</f>
      </c>
      <c r="Q154" s="3">
        <v>1</v>
      </c>
      <c r="R154" s="3">
        <f>IF($H154="","",L154+N154+P154)</f>
      </c>
      <c r="S154" s="3">
        <f>IF($H154="","",I154-J154-K154-L154-M154-N154-O154-P154-Q154)</f>
      </c>
      <c r="T154" s="3">
        <f>IF($H154="","",(S154-AB154)/G154*100)</f>
      </c>
      <c r="U154" s="3">
        <f>IF($H154="","",J154-R154)</f>
      </c>
      <c r="AC154" s="3">
        <f>IF($H154="","",S154-AB154)</f>
      </c>
    </row>
    <row r="155" spans="1:31" x14ac:dyDescent="0.25">
      <c r="A155" s="1"/>
      <c r="D155" s="2"/>
      <c r="G155" s="3"/>
      <c r="H155" s="3"/>
      <c r="I155" s="3">
        <f>IF($H155="","",H155-G155)</f>
      </c>
      <c r="J155" s="3">
        <f>IF($H155="","",I155*16.67%)</f>
      </c>
      <c r="K155" s="3">
        <f>IF($H155="","",H155/100*7)</f>
      </c>
      <c r="L155" s="3">
        <f>IF($H155="","",K155*20%)</f>
      </c>
      <c r="M155" s="3">
        <f>IF($H155="","",K155*2%)</f>
      </c>
      <c r="N155" s="3">
        <f>IF($H155="","",M155*20%)</f>
      </c>
      <c r="O155" s="3"/>
      <c r="P155" s="3">
        <f>IF($H155="","",O155*20%)</f>
      </c>
      <c r="Q155" s="3">
        <v>1</v>
      </c>
      <c r="R155" s="3">
        <f>IF($H155="","",L155+N155+P155)</f>
      </c>
      <c r="S155" s="3">
        <f>IF($H155="","",I155-J155-K155-L155-M155-N155-O155-P155-Q155)</f>
      </c>
      <c r="T155" s="3">
        <f>IF($H155="","",(S155-AB155)/G155*100)</f>
      </c>
      <c r="U155" s="3">
        <f>IF($H155="","",J155-R155)</f>
      </c>
      <c r="AC155" s="3">
        <f>IF($H155="","",S155-AB155)</f>
      </c>
    </row>
    <row r="156" spans="1:31" x14ac:dyDescent="0.25">
      <c r="A156" s="1"/>
      <c r="D156" s="2"/>
      <c r="G156" s="3"/>
      <c r="H156" s="3"/>
      <c r="I156" s="3">
        <f>IF($H156="","",H156-G156)</f>
      </c>
      <c r="J156" s="3">
        <f>IF($H156="","",I156*16.67%)</f>
      </c>
      <c r="K156" s="3">
        <f>IF($H156="","",H156/100*7)</f>
      </c>
      <c r="L156" s="3">
        <f>IF($H156="","",K156*20%)</f>
      </c>
      <c r="M156" s="3">
        <f>IF($H156="","",K156*2%)</f>
      </c>
      <c r="N156" s="3">
        <f>IF($H156="","",M156*20%)</f>
      </c>
      <c r="O156" s="3"/>
      <c r="P156" s="3">
        <f>IF($H156="","",O156*20%)</f>
      </c>
      <c r="Q156" s="3">
        <v>1</v>
      </c>
      <c r="R156" s="3">
        <f>IF($H156="","",L156+N156+P156)</f>
      </c>
      <c r="S156" s="3">
        <f>IF($H156="","",I156-J156-K156-L156-M156-N156-O156-P156-Q156)</f>
      </c>
      <c r="T156" s="3">
        <f>IF($H156="","",(S156-AB156)/G156*100)</f>
      </c>
      <c r="U156" s="3">
        <f>IF($H156="","",J156-R156)</f>
      </c>
      <c r="AC156" s="3">
        <f>IF($H156="","",S156-AB156)</f>
      </c>
    </row>
    <row r="157" spans="1:31" x14ac:dyDescent="0.25">
      <c r="A157" s="1"/>
      <c r="D157" s="2"/>
      <c r="G157" s="3"/>
      <c r="H157" s="3"/>
      <c r="I157" s="3">
        <f>IF($H157="","",H157-G157)</f>
      </c>
      <c r="J157" s="3">
        <f>IF($H157="","",I157*16.67%)</f>
      </c>
      <c r="K157" s="3">
        <f>IF($H157="","",H157/100*7)</f>
      </c>
      <c r="L157" s="3">
        <f>IF($H157="","",K157*20%)</f>
      </c>
      <c r="M157" s="3">
        <f>IF($H157="","",K157*2%)</f>
      </c>
      <c r="N157" s="3">
        <f>IF($H157="","",M157*20%)</f>
      </c>
      <c r="O157" s="3"/>
      <c r="P157" s="3">
        <f>IF($H157="","",O157*20%)</f>
      </c>
      <c r="Q157" s="3">
        <v>1</v>
      </c>
      <c r="R157" s="3">
        <f>IF($H157="","",L157+N157+P157)</f>
      </c>
      <c r="S157" s="3">
        <f>IF($H157="","",I157-J157-K157-L157-M157-N157-O157-P157-Q157)</f>
      </c>
      <c r="T157" s="3">
        <f>IF($H157="","",(S157-AB157)/G157*100)</f>
      </c>
      <c r="U157" s="3">
        <f>IF($H157="","",J157-R157)</f>
      </c>
      <c r="AC157" s="3">
        <f>IF($H157="","",S157-AB157)</f>
      </c>
    </row>
    <row r="158" spans="1:31" x14ac:dyDescent="0.25">
      <c r="A158" s="1"/>
      <c r="D158" s="2"/>
      <c r="G158" s="3"/>
      <c r="H158" s="3"/>
      <c r="I158" s="3">
        <f>IF($H158="","",H158-G158)</f>
      </c>
      <c r="J158" s="3">
        <f>IF($H158="","",I158*16.67%)</f>
      </c>
      <c r="K158" s="3">
        <f>IF($H158="","",H158/100*7)</f>
      </c>
      <c r="L158" s="3">
        <f>IF($H158="","",K158*20%)</f>
      </c>
      <c r="M158" s="3">
        <f>IF($H158="","",K158*2%)</f>
      </c>
      <c r="N158" s="3">
        <f>IF($H158="","",M158*20%)</f>
      </c>
      <c r="O158" s="3"/>
      <c r="P158" s="3">
        <f>IF($H158="","",O158*20%)</f>
      </c>
      <c r="Q158" s="3">
        <v>1</v>
      </c>
      <c r="R158" s="3">
        <f>IF($H158="","",L158+N158+P158)</f>
      </c>
      <c r="S158" s="3">
        <f>IF($H158="","",I158-J158-K158-L158-M158-N158-O158-P158-Q158)</f>
      </c>
      <c r="T158" s="3">
        <f>IF($H158="","",(S158-AB158)/G158*100)</f>
      </c>
      <c r="U158" s="3">
        <f>IF($H158="","",J158-R158)</f>
      </c>
      <c r="AC158" s="3">
        <f>IF($H158="","",S158-AB158)</f>
      </c>
    </row>
    <row r="159" spans="1:31" x14ac:dyDescent="0.25">
      <c r="A159" s="1"/>
      <c r="D159" s="2"/>
      <c r="G159" s="3"/>
      <c r="H159" s="3"/>
      <c r="I159" s="3">
        <f>IF($H159="","",H159-G159)</f>
      </c>
      <c r="J159" s="3">
        <f>IF($H159="","",I159*16.67%)</f>
      </c>
      <c r="K159" s="3">
        <f>IF($H159="","",H159/100*7)</f>
      </c>
      <c r="L159" s="3">
        <f>IF($H159="","",K159*20%)</f>
      </c>
      <c r="M159" s="3">
        <f>IF($H159="","",K159*2%)</f>
      </c>
      <c r="N159" s="3">
        <f>IF($H159="","",M159*20%)</f>
      </c>
      <c r="O159" s="3"/>
      <c r="P159" s="3">
        <f>IF($H159="","",O159*20%)</f>
      </c>
      <c r="Q159" s="3">
        <v>1</v>
      </c>
      <c r="R159" s="3">
        <f>IF($H159="","",L159+N159+P159)</f>
      </c>
      <c r="S159" s="3">
        <f>IF($H159="","",I159-J159-K159-L159-M159-N159-O159-P159-Q159)</f>
      </c>
      <c r="T159" s="3">
        <f>IF($H159="","",(S159-AB159)/G159*100)</f>
      </c>
      <c r="U159" s="3">
        <f>IF($H159="","",J159-R159)</f>
      </c>
      <c r="AC159" s="3">
        <f>IF($H159="","",S159-AB159)</f>
      </c>
    </row>
    <row r="160" spans="1:31" x14ac:dyDescent="0.25">
      <c r="A160" s="1"/>
      <c r="D160" s="2"/>
      <c r="G160" s="3"/>
      <c r="H160" s="3"/>
      <c r="I160" s="3">
        <f>IF($H160="","",H160-G160)</f>
      </c>
      <c r="J160" s="3">
        <f>IF($H160="","",I160*16.67%)</f>
      </c>
      <c r="K160" s="3">
        <f>IF($H160="","",H160/100*7)</f>
      </c>
      <c r="L160" s="3">
        <f>IF($H160="","",K160*20%)</f>
      </c>
      <c r="M160" s="3">
        <f>IF($H160="","",K160*2%)</f>
      </c>
      <c r="N160" s="3">
        <f>IF($H160="","",M160*20%)</f>
      </c>
      <c r="O160" s="3"/>
      <c r="P160" s="3">
        <f>IF($H160="","",O160*20%)</f>
      </c>
      <c r="Q160" s="3">
        <v>1</v>
      </c>
      <c r="R160" s="3">
        <f>IF($H160="","",L160+N160+P160)</f>
      </c>
      <c r="S160" s="3">
        <f>IF($H160="","",I160-J160-K160-L160-M160-N160-O160-P160-Q160)</f>
      </c>
      <c r="T160" s="3">
        <f>IF($H160="","",(S160-AB160)/G160*100)</f>
      </c>
      <c r="U160" s="3">
        <f>IF($H160="","",J160-R160)</f>
      </c>
      <c r="AC160" s="3">
        <f>IF($H160="","",S160-AB160)</f>
      </c>
    </row>
    <row r="161" spans="1:31" x14ac:dyDescent="0.25">
      <c r="A161" s="1"/>
      <c r="D161" s="2"/>
      <c r="G161" s="3"/>
      <c r="H161" s="3"/>
      <c r="I161" s="3">
        <f>IF($H161="","",H161-G161)</f>
      </c>
      <c r="J161" s="3">
        <f>IF($H161="","",I161*16.67%)</f>
      </c>
      <c r="K161" s="3">
        <f>IF($H161="","",H161/100*7)</f>
      </c>
      <c r="L161" s="3">
        <f>IF($H161="","",K161*20%)</f>
      </c>
      <c r="M161" s="3">
        <f>IF($H161="","",K161*2%)</f>
      </c>
      <c r="N161" s="3">
        <f>IF($H161="","",M161*20%)</f>
      </c>
      <c r="O161" s="3"/>
      <c r="P161" s="3">
        <f>IF($H161="","",O161*20%)</f>
      </c>
      <c r="Q161" s="3">
        <v>1</v>
      </c>
      <c r="R161" s="3">
        <f>IF($H161="","",L161+N161+P161)</f>
      </c>
      <c r="S161" s="3">
        <f>IF($H161="","",I161-J161-K161-L161-M161-N161-O161-P161-Q161)</f>
      </c>
      <c r="T161" s="3">
        <f>IF($H161="","",(S161-AB161)/G161*100)</f>
      </c>
      <c r="U161" s="3">
        <f>IF($H161="","",J161-R161)</f>
      </c>
      <c r="AC161" s="3">
        <f>IF($H161="","",S161-AB161)</f>
      </c>
    </row>
    <row r="162" spans="1:31" x14ac:dyDescent="0.25">
      <c r="A162" s="1"/>
      <c r="D162" s="2"/>
      <c r="G162" s="3"/>
      <c r="H162" s="3"/>
      <c r="I162" s="3">
        <f>IF($H162="","",H162-G162)</f>
      </c>
      <c r="J162" s="3">
        <f>IF($H162="","",I162*16.67%)</f>
      </c>
      <c r="K162" s="3">
        <f>IF($H162="","",H162/100*7)</f>
      </c>
      <c r="L162" s="3">
        <f>IF($H162="","",K162*20%)</f>
      </c>
      <c r="M162" s="3">
        <f>IF($H162="","",K162*2%)</f>
      </c>
      <c r="N162" s="3">
        <f>IF($H162="","",M162*20%)</f>
      </c>
      <c r="O162" s="3"/>
      <c r="P162" s="3">
        <f>IF($H162="","",O162*20%)</f>
      </c>
      <c r="Q162" s="3">
        <v>1</v>
      </c>
      <c r="R162" s="3">
        <f>IF($H162="","",L162+N162+P162)</f>
      </c>
      <c r="S162" s="3">
        <f>IF($H162="","",I162-J162-K162-L162-M162-N162-O162-P162-Q162)</f>
      </c>
      <c r="T162" s="3">
        <f>IF($H162="","",(S162-AB162)/G162*100)</f>
      </c>
      <c r="U162" s="3">
        <f>IF($H162="","",J162-R162)</f>
      </c>
      <c r="AC162" s="3">
        <f>IF($H162="","",S162-AB162)</f>
      </c>
    </row>
    <row r="163" spans="1:31" x14ac:dyDescent="0.25">
      <c r="A163" s="1"/>
      <c r="D163" s="2"/>
      <c r="G163" s="3"/>
      <c r="H163" s="3"/>
      <c r="I163" s="3">
        <f>IF($H163="","",H163-G163)</f>
      </c>
      <c r="J163" s="3">
        <f>IF($H163="","",I163*16.67%)</f>
      </c>
      <c r="K163" s="3">
        <f>IF($H163="","",H163/100*7)</f>
      </c>
      <c r="L163" s="3">
        <f>IF($H163="","",K163*20%)</f>
      </c>
      <c r="M163" s="3">
        <f>IF($H163="","",K163*2%)</f>
      </c>
      <c r="N163" s="3">
        <f>IF($H163="","",M163*20%)</f>
      </c>
      <c r="O163" s="3"/>
      <c r="P163" s="3">
        <f>IF($H163="","",O163*20%)</f>
      </c>
      <c r="Q163" s="3">
        <v>1</v>
      </c>
      <c r="R163" s="3">
        <f>IF($H163="","",L163+N163+P163)</f>
      </c>
      <c r="S163" s="3">
        <f>IF($H163="","",I163-J163-K163-L163-M163-N163-O163-P163-Q163)</f>
      </c>
      <c r="T163" s="3">
        <f>IF($H163="","",(S163-AB163)/G163*100)</f>
      </c>
      <c r="U163" s="3">
        <f>IF($H163="","",J163-R163)</f>
      </c>
      <c r="AC163" s="3">
        <f>IF($H163="","",S163-AB163)</f>
      </c>
    </row>
    <row r="164" spans="1:31" x14ac:dyDescent="0.25">
      <c r="A164" s="1"/>
      <c r="D164" s="2"/>
      <c r="G164" s="3"/>
      <c r="H164" s="3"/>
      <c r="I164" s="3">
        <f>IF($H164="","",H164-G164)</f>
      </c>
      <c r="J164" s="3">
        <f>IF($H164="","",I164*16.67%)</f>
      </c>
      <c r="K164" s="3">
        <f>IF($H164="","",H164/100*7)</f>
      </c>
      <c r="L164" s="3">
        <f>IF($H164="","",K164*20%)</f>
      </c>
      <c r="M164" s="3">
        <f>IF($H164="","",K164*2%)</f>
      </c>
      <c r="N164" s="3">
        <f>IF($H164="","",M164*20%)</f>
      </c>
      <c r="O164" s="3"/>
      <c r="P164" s="3">
        <f>IF($H164="","",O164*20%)</f>
      </c>
      <c r="Q164" s="3">
        <v>1</v>
      </c>
      <c r="R164" s="3">
        <f>IF($H164="","",L164+N164+P164)</f>
      </c>
      <c r="S164" s="3">
        <f>IF($H164="","",I164-J164-K164-L164-M164-N164-O164-P164-Q164)</f>
      </c>
      <c r="T164" s="3">
        <f>IF($H164="","",(S164-AB164)/G164*100)</f>
      </c>
      <c r="U164" s="3">
        <f>IF($H164="","",J164-R164)</f>
      </c>
      <c r="AC164" s="3">
        <f>IF($H164="","",S164-AB164)</f>
      </c>
    </row>
    <row r="165" spans="1:31" x14ac:dyDescent="0.25">
      <c r="A165" s="1"/>
      <c r="D165" s="2"/>
      <c r="G165" s="3"/>
      <c r="H165" s="3"/>
      <c r="I165" s="3">
        <f>IF($H165="","",H165-G165)</f>
      </c>
      <c r="J165" s="3">
        <f>IF($H165="","",I165*16.67%)</f>
      </c>
      <c r="K165" s="3">
        <f>IF($H165="","",H165/100*7)</f>
      </c>
      <c r="L165" s="3">
        <f>IF($H165="","",K165*20%)</f>
      </c>
      <c r="M165" s="3">
        <f>IF($H165="","",K165*2%)</f>
      </c>
      <c r="N165" s="3">
        <f>IF($H165="","",M165*20%)</f>
      </c>
      <c r="O165" s="3"/>
      <c r="P165" s="3">
        <f>IF($H165="","",O165*20%)</f>
      </c>
      <c r="Q165" s="3">
        <v>1</v>
      </c>
      <c r="R165" s="3">
        <f>IF($H165="","",L165+N165+P165)</f>
      </c>
      <c r="S165" s="3">
        <f>IF($H165="","",I165-J165-K165-L165-M165-N165-O165-P165-Q165)</f>
      </c>
      <c r="T165" s="3">
        <f>IF($H165="","",(S165-AB165)/G165*100)</f>
      </c>
      <c r="U165" s="3">
        <f>IF($H165="","",J165-R165)</f>
      </c>
      <c r="AC165" s="3">
        <f>IF($H165="","",S165-AB165)</f>
      </c>
    </row>
    <row r="166" spans="1:31" x14ac:dyDescent="0.25">
      <c r="A166" s="1"/>
      <c r="D166" s="2"/>
      <c r="G166" s="3"/>
      <c r="H166" s="3"/>
      <c r="I166" s="3">
        <f>IF($H166="","",H166-G166)</f>
      </c>
      <c r="J166" s="3">
        <f>IF($H166="","",I166*16.67%)</f>
      </c>
      <c r="K166" s="3">
        <f>IF($H166="","",H166/100*7)</f>
      </c>
      <c r="L166" s="3">
        <f>IF($H166="","",K166*20%)</f>
      </c>
      <c r="M166" s="3">
        <f>IF($H166="","",K166*2%)</f>
      </c>
      <c r="N166" s="3">
        <f>IF($H166="","",M166*20%)</f>
      </c>
      <c r="O166" s="3"/>
      <c r="P166" s="3">
        <f>IF($H166="","",O166*20%)</f>
      </c>
      <c r="Q166" s="3">
        <v>1</v>
      </c>
      <c r="R166" s="3">
        <f>IF($H166="","",L166+N166+P166)</f>
      </c>
      <c r="S166" s="3">
        <f>IF($H166="","",I166-J166-K166-L166-M166-N166-O166-P166-Q166)</f>
      </c>
      <c r="T166" s="3">
        <f>IF($H166="","",(S166-AB166)/G166*100)</f>
      </c>
      <c r="U166" s="3">
        <f>IF($H166="","",J166-R166)</f>
      </c>
      <c r="AC166" s="3">
        <f>IF($H166="","",S166-AB166)</f>
      </c>
    </row>
    <row r="167" spans="1:31" x14ac:dyDescent="0.25">
      <c r="A167" s="1"/>
      <c r="D167" s="2"/>
      <c r="G167" s="3"/>
      <c r="H167" s="3"/>
      <c r="I167" s="3">
        <f>IF($H167="","",H167-G167)</f>
      </c>
      <c r="J167" s="3">
        <f>IF($H167="","",I167*16.67%)</f>
      </c>
      <c r="K167" s="3">
        <f>IF($H167="","",H167/100*7)</f>
      </c>
      <c r="L167" s="3">
        <f>IF($H167="","",K167*20%)</f>
      </c>
      <c r="M167" s="3">
        <f>IF($H167="","",K167*2%)</f>
      </c>
      <c r="N167" s="3">
        <f>IF($H167="","",M167*20%)</f>
      </c>
      <c r="O167" s="3"/>
      <c r="P167" s="3">
        <f>IF($H167="","",O167*20%)</f>
      </c>
      <c r="Q167" s="3">
        <v>1</v>
      </c>
      <c r="R167" s="3">
        <f>IF($H167="","",L167+N167+P167)</f>
      </c>
      <c r="S167" s="3">
        <f>IF($H167="","",I167-J167-K167-L167-M167-N167-O167-P167-Q167)</f>
      </c>
      <c r="T167" s="3">
        <f>IF($H167="","",(S167-AB167)/G167*100)</f>
      </c>
      <c r="U167" s="3">
        <f>IF($H167="","",J167-R167)</f>
      </c>
      <c r="AC167" s="3">
        <f>IF($H167="","",S167-AB167)</f>
      </c>
    </row>
    <row r="168" spans="1:31" x14ac:dyDescent="0.25">
      <c r="A168" s="1"/>
      <c r="D168" s="2"/>
      <c r="G168" s="3"/>
      <c r="H168" s="3"/>
      <c r="I168" s="3">
        <f>IF($H168="","",H168-G168)</f>
      </c>
      <c r="J168" s="3">
        <f>IF($H168="","",I168*16.67%)</f>
      </c>
      <c r="K168" s="3">
        <f>IF($H168="","",H168/100*7)</f>
      </c>
      <c r="L168" s="3">
        <f>IF($H168="","",K168*20%)</f>
      </c>
      <c r="M168" s="3">
        <f>IF($H168="","",K168*2%)</f>
      </c>
      <c r="N168" s="3">
        <f>IF($H168="","",M168*20%)</f>
      </c>
      <c r="O168" s="3"/>
      <c r="P168" s="3">
        <f>IF($H168="","",O168*20%)</f>
      </c>
      <c r="Q168" s="3">
        <v>1</v>
      </c>
      <c r="R168" s="3">
        <f>IF($H168="","",L168+N168+P168)</f>
      </c>
      <c r="S168" s="3">
        <f>IF($H168="","",I168-J168-K168-L168-M168-N168-O168-P168-Q168)</f>
      </c>
      <c r="T168" s="3">
        <f>IF($H168="","",(S168-AB168)/G168*100)</f>
      </c>
      <c r="U168" s="3">
        <f>IF($H168="","",J168-R168)</f>
      </c>
      <c r="AC168" s="3">
        <f>IF($H168="","",S168-AB168)</f>
      </c>
    </row>
    <row r="169" spans="1:31" x14ac:dyDescent="0.25">
      <c r="A169" s="1"/>
      <c r="D169" s="2"/>
      <c r="G169" s="3"/>
      <c r="H169" s="3"/>
      <c r="I169" s="3">
        <f>IF($H169="","",H169-G169)</f>
      </c>
      <c r="J169" s="3">
        <f>IF($H169="","",I169*16.67%)</f>
      </c>
      <c r="K169" s="3">
        <f>IF($H169="","",H169/100*7)</f>
      </c>
      <c r="L169" s="3">
        <f>IF($H169="","",K169*20%)</f>
      </c>
      <c r="M169" s="3">
        <f>IF($H169="","",K169*2%)</f>
      </c>
      <c r="N169" s="3">
        <f>IF($H169="","",M169*20%)</f>
      </c>
      <c r="O169" s="3"/>
      <c r="P169" s="3">
        <f>IF($H169="","",O169*20%)</f>
      </c>
      <c r="Q169" s="3">
        <v>1</v>
      </c>
      <c r="R169" s="3">
        <f>IF($H169="","",L169+N169+P169)</f>
      </c>
      <c r="S169" s="3">
        <f>IF($H169="","",I169-J169-K169-L169-M169-N169-O169-P169-Q169)</f>
      </c>
      <c r="T169" s="3">
        <f>IF($H169="","",(S169-AB169)/G169*100)</f>
      </c>
      <c r="U169" s="3">
        <f>IF($H169="","",J169-R169)</f>
      </c>
      <c r="AC169" s="3">
        <f>IF($H169="","",S169-AB169)</f>
      </c>
    </row>
    <row r="170" spans="1:31" x14ac:dyDescent="0.25">
      <c r="A170" s="1"/>
      <c r="D170" s="2"/>
      <c r="G170" s="3"/>
      <c r="H170" s="3"/>
      <c r="I170" s="3">
        <f>IF($H170="","",H170-G170)</f>
      </c>
      <c r="J170" s="3">
        <f>IF($H170="","",I170*16.67%)</f>
      </c>
      <c r="K170" s="3">
        <f>IF($H170="","",H170/100*7)</f>
      </c>
      <c r="L170" s="3">
        <f>IF($H170="","",K170*20%)</f>
      </c>
      <c r="M170" s="3">
        <f>IF($H170="","",K170*2%)</f>
      </c>
      <c r="N170" s="3">
        <f>IF($H170="","",M170*20%)</f>
      </c>
      <c r="O170" s="3"/>
      <c r="P170" s="3">
        <f>IF($H170="","",O170*20%)</f>
      </c>
      <c r="Q170" s="3">
        <v>1</v>
      </c>
      <c r="R170" s="3">
        <f>IF($H170="","",L170+N170+P170)</f>
      </c>
      <c r="S170" s="3">
        <f>IF($H170="","",I170-J170-K170-L170-M170-N170-O170-P170-Q170)</f>
      </c>
      <c r="T170" s="3">
        <f>IF($H170="","",(S170-AB170)/G170*100)</f>
      </c>
      <c r="U170" s="3">
        <f>IF($H170="","",J170-R170)</f>
      </c>
      <c r="AC170" s="3">
        <f>IF($H170="","",S170-AB170)</f>
      </c>
    </row>
    <row r="171" spans="1:31" x14ac:dyDescent="0.25">
      <c r="A171" s="1"/>
      <c r="D171" s="2"/>
      <c r="G171" s="3"/>
      <c r="H171" s="3"/>
      <c r="I171" s="3">
        <f>IF($H171="","",H171-G171)</f>
      </c>
      <c r="J171" s="3">
        <f>IF($H171="","",I171*16.67%)</f>
      </c>
      <c r="K171" s="3">
        <f>IF($H171="","",H171/100*7)</f>
      </c>
      <c r="L171" s="3">
        <f>IF($H171="","",K171*20%)</f>
      </c>
      <c r="M171" s="3">
        <f>IF($H171="","",K171*2%)</f>
      </c>
      <c r="N171" s="3">
        <f>IF($H171="","",M171*20%)</f>
      </c>
      <c r="O171" s="3"/>
      <c r="P171" s="3">
        <f>IF($H171="","",O171*20%)</f>
      </c>
      <c r="Q171" s="3">
        <v>1</v>
      </c>
      <c r="R171" s="3">
        <f>IF($H171="","",L171+N171+P171)</f>
      </c>
      <c r="S171" s="3">
        <f>IF($H171="","",I171-J171-K171-L171-M171-N171-O171-P171-Q171)</f>
      </c>
      <c r="T171" s="3">
        <f>IF($H171="","",(S171-AB171)/G171*100)</f>
      </c>
      <c r="U171" s="3">
        <f>IF($H171="","",J171-R171)</f>
      </c>
      <c r="AC171" s="3">
        <f>IF($H171="","",S171-AB171)</f>
      </c>
    </row>
    <row r="172" spans="1:31" x14ac:dyDescent="0.25">
      <c r="A172" s="1"/>
      <c r="D172" s="2"/>
      <c r="G172" s="3"/>
      <c r="H172" s="3"/>
      <c r="I172" s="3">
        <f>IF($H172="","",H172-G172)</f>
      </c>
      <c r="J172" s="3">
        <f>IF($H172="","",I172*16.67%)</f>
      </c>
      <c r="K172" s="3">
        <f>IF($H172="","",H172/100*7)</f>
      </c>
      <c r="L172" s="3">
        <f>IF($H172="","",K172*20%)</f>
      </c>
      <c r="M172" s="3">
        <f>IF($H172="","",K172*2%)</f>
      </c>
      <c r="N172" s="3">
        <f>IF($H172="","",M172*20%)</f>
      </c>
      <c r="O172" s="3"/>
      <c r="P172" s="3">
        <f>IF($H172="","",O172*20%)</f>
      </c>
      <c r="Q172" s="3">
        <v>1</v>
      </c>
      <c r="R172" s="3">
        <f>IF($H172="","",L172+N172+P172)</f>
      </c>
      <c r="S172" s="3">
        <f>IF($H172="","",I172-J172-K172-L172-M172-N172-O172-P172-Q172)</f>
      </c>
      <c r="T172" s="3">
        <f>IF($H172="","",(S172-AB172)/G172*100)</f>
      </c>
      <c r="U172" s="3">
        <f>IF($H172="","",J172-R172)</f>
      </c>
      <c r="AC172" s="3">
        <f>IF($H172="","",S172-AB172)</f>
      </c>
    </row>
    <row r="173" spans="1:31" x14ac:dyDescent="0.25">
      <c r="A173" s="1"/>
      <c r="D173" s="2"/>
      <c r="G173" s="3"/>
      <c r="H173" s="3"/>
      <c r="I173" s="3">
        <f>IF($H173="","",H173-G173)</f>
      </c>
      <c r="J173" s="3">
        <f>IF($H173="","",I173*16.67%)</f>
      </c>
      <c r="K173" s="3">
        <f>IF($H173="","",H173/100*7)</f>
      </c>
      <c r="L173" s="3">
        <f>IF($H173="","",K173*20%)</f>
      </c>
      <c r="M173" s="3">
        <f>IF($H173="","",K173*2%)</f>
      </c>
      <c r="N173" s="3">
        <f>IF($H173="","",M173*20%)</f>
      </c>
      <c r="O173" s="3"/>
      <c r="P173" s="3">
        <f>IF($H173="","",O173*20%)</f>
      </c>
      <c r="Q173" s="3">
        <v>1</v>
      </c>
      <c r="R173" s="3">
        <f>IF($H173="","",L173+N173+P173)</f>
      </c>
      <c r="S173" s="3">
        <f>IF($H173="","",I173-J173-K173-L173-M173-N173-O173-P173-Q173)</f>
      </c>
      <c r="T173" s="3">
        <f>IF($H173="","",(S173-AB173)/G173*100)</f>
      </c>
      <c r="U173" s="3">
        <f>IF($H173="","",J173-R173)</f>
      </c>
      <c r="AC173" s="3">
        <f>IF($H173="","",S173-AB173)</f>
      </c>
    </row>
    <row r="174" spans="1:31" x14ac:dyDescent="0.25">
      <c r="A174" s="1"/>
      <c r="D174" s="2"/>
      <c r="G174" s="3"/>
      <c r="H174" s="3"/>
      <c r="I174" s="3">
        <f>IF($H174="","",H174-G174)</f>
      </c>
      <c r="J174" s="3">
        <f>IF($H174="","",I174*16.67%)</f>
      </c>
      <c r="K174" s="3">
        <f>IF($H174="","",H174/100*7)</f>
      </c>
      <c r="L174" s="3">
        <f>IF($H174="","",K174*20%)</f>
      </c>
      <c r="M174" s="3">
        <f>IF($H174="","",K174*2%)</f>
      </c>
      <c r="N174" s="3">
        <f>IF($H174="","",M174*20%)</f>
      </c>
      <c r="O174" s="3"/>
      <c r="P174" s="3">
        <f>IF($H174="","",O174*20%)</f>
      </c>
      <c r="Q174" s="3">
        <v>1</v>
      </c>
      <c r="R174" s="3">
        <f>IF($H174="","",L174+N174+P174)</f>
      </c>
      <c r="S174" s="3">
        <f>IF($H174="","",I174-J174-K174-L174-M174-N174-O174-P174-Q174)</f>
      </c>
      <c r="T174" s="3">
        <f>IF($H174="","",(S174-AB174)/G174*100)</f>
      </c>
      <c r="U174" s="3">
        <f>IF($H174="","",J174-R174)</f>
      </c>
      <c r="AC174" s="3">
        <f>IF($H174="","",S174-AB174)</f>
      </c>
    </row>
    <row r="175" spans="1:31" x14ac:dyDescent="0.25">
      <c r="A175" s="1"/>
      <c r="D175" s="2"/>
      <c r="G175" s="3"/>
      <c r="H175" s="3"/>
      <c r="I175" s="3">
        <f>IF($H175="","",H175-G175)</f>
      </c>
      <c r="J175" s="3">
        <f>IF($H175="","",I175*16.67%)</f>
      </c>
      <c r="K175" s="3">
        <f>IF($H175="","",H175/100*7)</f>
      </c>
      <c r="L175" s="3">
        <f>IF($H175="","",K175*20%)</f>
      </c>
      <c r="M175" s="3">
        <f>IF($H175="","",K175*2%)</f>
      </c>
      <c r="N175" s="3">
        <f>IF($H175="","",M175*20%)</f>
      </c>
      <c r="O175" s="3"/>
      <c r="P175" s="3">
        <f>IF($H175="","",O175*20%)</f>
      </c>
      <c r="Q175" s="3">
        <v>1</v>
      </c>
      <c r="R175" s="3">
        <f>IF($H175="","",L175+N175+P175)</f>
      </c>
      <c r="S175" s="3">
        <f>IF($H175="","",I175-J175-K175-L175-M175-N175-O175-P175-Q175)</f>
      </c>
      <c r="T175" s="3">
        <f>IF($H175="","",(S175-AB175)/G175*100)</f>
      </c>
      <c r="U175" s="3">
        <f>IF($H175="","",J175-R175)</f>
      </c>
      <c r="AC175" s="3">
        <f>IF($H175="","",S175-AB175)</f>
      </c>
    </row>
    <row r="176" spans="1:31" x14ac:dyDescent="0.25">
      <c r="A176" s="1"/>
      <c r="D176" s="2"/>
      <c r="G176" s="3"/>
      <c r="H176" s="3"/>
      <c r="I176" s="3">
        <f>IF($H176="","",H176-G176)</f>
      </c>
      <c r="J176" s="3">
        <f>IF($H176="","",I176*16.67%)</f>
      </c>
      <c r="K176" s="3">
        <f>IF($H176="","",H176/100*7)</f>
      </c>
      <c r="L176" s="3">
        <f>IF($H176="","",K176*20%)</f>
      </c>
      <c r="M176" s="3">
        <f>IF($H176="","",K176*2%)</f>
      </c>
      <c r="N176" s="3">
        <f>IF($H176="","",M176*20%)</f>
      </c>
      <c r="O176" s="3"/>
      <c r="P176" s="3">
        <f>IF($H176="","",O176*20%)</f>
      </c>
      <c r="Q176" s="3">
        <v>1</v>
      </c>
      <c r="R176" s="3">
        <f>IF($H176="","",L176+N176+P176)</f>
      </c>
      <c r="S176" s="3">
        <f>IF($H176="","",I176-J176-K176-L176-M176-N176-O176-P176-Q176)</f>
      </c>
      <c r="T176" s="3">
        <f>IF($H176="","",(S176-AB176)/G176*100)</f>
      </c>
      <c r="U176" s="3">
        <f>IF($H176="","",J176-R176)</f>
      </c>
      <c r="AC176" s="3">
        <f>IF($H176="","",S176-AB176)</f>
      </c>
    </row>
    <row r="177" spans="1:31" x14ac:dyDescent="0.25">
      <c r="A177" s="1"/>
      <c r="D177" s="2"/>
      <c r="G177" s="3"/>
      <c r="H177" s="3"/>
      <c r="I177" s="3">
        <f>IF($H177="","",H177-G177)</f>
      </c>
      <c r="J177" s="3">
        <f>IF($H177="","",I177*16.67%)</f>
      </c>
      <c r="K177" s="3">
        <f>IF($H177="","",H177/100*7)</f>
      </c>
      <c r="L177" s="3">
        <f>IF($H177="","",K177*20%)</f>
      </c>
      <c r="M177" s="3">
        <f>IF($H177="","",K177*2%)</f>
      </c>
      <c r="N177" s="3">
        <f>IF($H177="","",M177*20%)</f>
      </c>
      <c r="O177" s="3"/>
      <c r="P177" s="3">
        <f>IF($H177="","",O177*20%)</f>
      </c>
      <c r="Q177" s="3">
        <v>1</v>
      </c>
      <c r="R177" s="3">
        <f>IF($H177="","",L177+N177+P177)</f>
      </c>
      <c r="S177" s="3">
        <f>IF($H177="","",I177-J177-K177-L177-M177-N177-O177-P177-Q177)</f>
      </c>
      <c r="T177" s="3">
        <f>IF($H177="","",(S177-AB177)/G177*100)</f>
      </c>
      <c r="U177" s="3">
        <f>IF($H177="","",J177-R177)</f>
      </c>
      <c r="AC177" s="3">
        <f>IF($H177="","",S177-AB177)</f>
      </c>
    </row>
    <row r="178" spans="1:31" x14ac:dyDescent="0.25">
      <c r="A178" s="1"/>
      <c r="D178" s="2"/>
      <c r="G178" s="3"/>
      <c r="H178" s="3"/>
      <c r="I178" s="3">
        <f>IF($H178="","",H178-G178)</f>
      </c>
      <c r="J178" s="3">
        <f>IF($H178="","",I178*16.67%)</f>
      </c>
      <c r="K178" s="3">
        <f>IF($H178="","",H178/100*7)</f>
      </c>
      <c r="L178" s="3">
        <f>IF($H178="","",K178*20%)</f>
      </c>
      <c r="M178" s="3">
        <f>IF($H178="","",K178*2%)</f>
      </c>
      <c r="N178" s="3">
        <f>IF($H178="","",M178*20%)</f>
      </c>
      <c r="O178" s="3"/>
      <c r="P178" s="3">
        <f>IF($H178="","",O178*20%)</f>
      </c>
      <c r="Q178" s="3">
        <v>1</v>
      </c>
      <c r="R178" s="3">
        <f>IF($H178="","",L178+N178+P178)</f>
      </c>
      <c r="S178" s="3">
        <f>IF($H178="","",I178-J178-K178-L178-M178-N178-O178-P178-Q178)</f>
      </c>
      <c r="T178" s="3">
        <f>IF($H178="","",(S178-AB178)/G178*100)</f>
      </c>
      <c r="U178" s="3">
        <f>IF($H178="","",J178-R178)</f>
      </c>
      <c r="AC178" s="3">
        <f>IF($H178="","",S178-AB178)</f>
      </c>
    </row>
    <row r="179" spans="1:31" x14ac:dyDescent="0.25">
      <c r="A179" s="1"/>
      <c r="D179" s="2"/>
      <c r="G179" s="3"/>
      <c r="H179" s="3"/>
      <c r="I179" s="3">
        <f>IF($H179="","",H179-G179)</f>
      </c>
      <c r="J179" s="3">
        <f>IF($H179="","",I179*16.67%)</f>
      </c>
      <c r="K179" s="3">
        <f>IF($H179="","",H179/100*7)</f>
      </c>
      <c r="L179" s="3">
        <f>IF($H179="","",K179*20%)</f>
      </c>
      <c r="M179" s="3">
        <f>IF($H179="","",K179*2%)</f>
      </c>
      <c r="N179" s="3">
        <f>IF($H179="","",M179*20%)</f>
      </c>
      <c r="O179" s="3"/>
      <c r="P179" s="3">
        <f>IF($H179="","",O179*20%)</f>
      </c>
      <c r="Q179" s="3">
        <v>1</v>
      </c>
      <c r="R179" s="3">
        <f>IF($H179="","",L179+N179+P179)</f>
      </c>
      <c r="S179" s="3">
        <f>IF($H179="","",I179-J179-K179-L179-M179-N179-O179-P179-Q179)</f>
      </c>
      <c r="T179" s="3">
        <f>IF($H179="","",(S179-AB179)/G179*100)</f>
      </c>
      <c r="U179" s="3">
        <f>IF($H179="","",J179-R179)</f>
      </c>
      <c r="AC179" s="3">
        <f>IF($H179="","",S179-AB179)</f>
      </c>
    </row>
    <row r="180" spans="1:31" x14ac:dyDescent="0.25">
      <c r="A180" s="1"/>
      <c r="D180" s="2"/>
      <c r="G180" s="3"/>
      <c r="H180" s="3"/>
      <c r="I180" s="3">
        <f>IF($H180="","",H180-G180)</f>
      </c>
      <c r="J180" s="3">
        <f>IF($H180="","",I180*16.67%)</f>
      </c>
      <c r="K180" s="3">
        <f>IF($H180="","",H180/100*7)</f>
      </c>
      <c r="L180" s="3">
        <f>IF($H180="","",K180*20%)</f>
      </c>
      <c r="M180" s="3">
        <f>IF($H180="","",K180*2%)</f>
      </c>
      <c r="N180" s="3">
        <f>IF($H180="","",M180*20%)</f>
      </c>
      <c r="O180" s="3"/>
      <c r="P180" s="3">
        <f>IF($H180="","",O180*20%)</f>
      </c>
      <c r="Q180" s="3">
        <v>1</v>
      </c>
      <c r="R180" s="3">
        <f>IF($H180="","",L180+N180+P180)</f>
      </c>
      <c r="S180" s="3">
        <f>IF($H180="","",I180-J180-K180-L180-M180-N180-O180-P180-Q180)</f>
      </c>
      <c r="T180" s="3">
        <f>IF($H180="","",(S180-AB180)/G180*100)</f>
      </c>
      <c r="U180" s="3">
        <f>IF($H180="","",J180-R180)</f>
      </c>
      <c r="AC180" s="3">
        <f>IF($H180="","",S180-AB180)</f>
      </c>
    </row>
    <row r="181" spans="1:31" x14ac:dyDescent="0.25">
      <c r="A181" s="1"/>
      <c r="D181" s="2"/>
      <c r="G181" s="3"/>
      <c r="H181" s="3"/>
      <c r="I181" s="3">
        <f>IF($H181="","",H181-G181)</f>
      </c>
      <c r="J181" s="3">
        <f>IF($H181="","",I181*16.67%)</f>
      </c>
      <c r="K181" s="3">
        <f>IF($H181="","",H181/100*7)</f>
      </c>
      <c r="L181" s="3">
        <f>IF($H181="","",K181*20%)</f>
      </c>
      <c r="M181" s="3">
        <f>IF($H181="","",K181*2%)</f>
      </c>
      <c r="N181" s="3">
        <f>IF($H181="","",M181*20%)</f>
      </c>
      <c r="O181" s="3"/>
      <c r="P181" s="3">
        <f>IF($H181="","",O181*20%)</f>
      </c>
      <c r="Q181" s="3">
        <v>1</v>
      </c>
      <c r="R181" s="3">
        <f>IF($H181="","",L181+N181+P181)</f>
      </c>
      <c r="S181" s="3">
        <f>IF($H181="","",I181-J181-K181-L181-M181-N181-O181-P181-Q181)</f>
      </c>
      <c r="T181" s="3">
        <f>IF($H181="","",(S181-AB181)/G181*100)</f>
      </c>
      <c r="U181" s="3">
        <f>IF($H181="","",J181-R181)</f>
      </c>
      <c r="AC181" s="3">
        <f>IF($H181="","",S181-AB181)</f>
      </c>
    </row>
    <row r="182" spans="1:31" x14ac:dyDescent="0.25">
      <c r="A182" s="1"/>
      <c r="D182" s="2"/>
      <c r="G182" s="3"/>
      <c r="H182" s="3"/>
      <c r="I182" s="3">
        <f>IF($H182="","",H182-G182)</f>
      </c>
      <c r="J182" s="3">
        <f>IF($H182="","",I182*16.67%)</f>
      </c>
      <c r="K182" s="3">
        <f>IF($H182="","",H182/100*7)</f>
      </c>
      <c r="L182" s="3">
        <f>IF($H182="","",K182*20%)</f>
      </c>
      <c r="M182" s="3">
        <f>IF($H182="","",K182*2%)</f>
      </c>
      <c r="N182" s="3">
        <f>IF($H182="","",M182*20%)</f>
      </c>
      <c r="O182" s="3"/>
      <c r="P182" s="3">
        <f>IF($H182="","",O182*20%)</f>
      </c>
      <c r="Q182" s="3">
        <v>1</v>
      </c>
      <c r="R182" s="3">
        <f>IF($H182="","",L182+N182+P182)</f>
      </c>
      <c r="S182" s="3">
        <f>IF($H182="","",I182-J182-K182-L182-M182-N182-O182-P182-Q182)</f>
      </c>
      <c r="T182" s="3">
        <f>IF($H182="","",(S182-AB182)/G182*100)</f>
      </c>
      <c r="U182" s="3">
        <f>IF($H182="","",J182-R182)</f>
      </c>
      <c r="AC182" s="3">
        <f>IF($H182="","",S182-AB182)</f>
      </c>
    </row>
    <row r="183" spans="1:31" x14ac:dyDescent="0.25">
      <c r="A183" s="1"/>
      <c r="D183" s="2"/>
      <c r="G183" s="3"/>
      <c r="H183" s="3"/>
      <c r="I183" s="3">
        <f>IF($H183="","",H183-G183)</f>
      </c>
      <c r="J183" s="3">
        <f>IF($H183="","",I183*16.67%)</f>
      </c>
      <c r="K183" s="3">
        <f>IF($H183="","",H183/100*7)</f>
      </c>
      <c r="L183" s="3">
        <f>IF($H183="","",K183*20%)</f>
      </c>
      <c r="M183" s="3">
        <f>IF($H183="","",K183*2%)</f>
      </c>
      <c r="N183" s="3">
        <f>IF($H183="","",M183*20%)</f>
      </c>
      <c r="O183" s="3"/>
      <c r="P183" s="3">
        <f>IF($H183="","",O183*20%)</f>
      </c>
      <c r="Q183" s="3">
        <v>1</v>
      </c>
      <c r="R183" s="3">
        <f>IF($H183="","",L183+N183+P183)</f>
      </c>
      <c r="S183" s="3">
        <f>IF($H183="","",I183-J183-K183-L183-M183-N183-O183-P183-Q183)</f>
      </c>
      <c r="T183" s="3">
        <f>IF($H183="","",(S183-AB183)/G183*100)</f>
      </c>
      <c r="U183" s="3">
        <f>IF($H183="","",J183-R183)</f>
      </c>
      <c r="AC183" s="3">
        <f>IF($H183="","",S183-AB183)</f>
      </c>
    </row>
    <row r="184" spans="1:31" x14ac:dyDescent="0.25">
      <c r="A184" s="1"/>
      <c r="D184" s="2"/>
      <c r="G184" s="3"/>
      <c r="H184" s="3"/>
      <c r="I184" s="3">
        <f>IF($H184="","",H184-G184)</f>
      </c>
      <c r="J184" s="3">
        <f>IF($H184="","",I184*16.67%)</f>
      </c>
      <c r="K184" s="3">
        <f>IF($H184="","",H184/100*7)</f>
      </c>
      <c r="L184" s="3">
        <f>IF($H184="","",K184*20%)</f>
      </c>
      <c r="M184" s="3">
        <f>IF($H184="","",K184*2%)</f>
      </c>
      <c r="N184" s="3">
        <f>IF($H184="","",M184*20%)</f>
      </c>
      <c r="O184" s="3"/>
      <c r="P184" s="3">
        <f>IF($H184="","",O184*20%)</f>
      </c>
      <c r="Q184" s="3">
        <v>1</v>
      </c>
      <c r="R184" s="3">
        <f>IF($H184="","",L184+N184+P184)</f>
      </c>
      <c r="S184" s="3">
        <f>IF($H184="","",I184-J184-K184-L184-M184-N184-O184-P184-Q184)</f>
      </c>
      <c r="T184" s="3">
        <f>IF($H184="","",(S184-AB184)/G184*100)</f>
      </c>
      <c r="U184" s="3">
        <f>IF($H184="","",J184-R184)</f>
      </c>
      <c r="AC184" s="3">
        <f>IF($H184="","",S184-AB184)</f>
      </c>
    </row>
    <row r="185" spans="1:31" x14ac:dyDescent="0.25">
      <c r="A185" s="1"/>
      <c r="D185" s="2"/>
      <c r="G185" s="3"/>
      <c r="H185" s="3"/>
      <c r="I185" s="3">
        <f>IF($H185="","",H185-G185)</f>
      </c>
      <c r="J185" s="3">
        <f>IF($H185="","",I185*16.67%)</f>
      </c>
      <c r="K185" s="3">
        <f>IF($H185="","",H185/100*7)</f>
      </c>
      <c r="L185" s="3">
        <f>IF($H185="","",K185*20%)</f>
      </c>
      <c r="M185" s="3">
        <f>IF($H185="","",K185*2%)</f>
      </c>
      <c r="N185" s="3">
        <f>IF($H185="","",M185*20%)</f>
      </c>
      <c r="O185" s="3"/>
      <c r="P185" s="3">
        <f>IF($H185="","",O185*20%)</f>
      </c>
      <c r="Q185" s="3">
        <v>1</v>
      </c>
      <c r="R185" s="3">
        <f>IF($H185="","",L185+N185+P185)</f>
      </c>
      <c r="S185" s="3">
        <f>IF($H185="","",I185-J185-K185-L185-M185-N185-O185-P185-Q185)</f>
      </c>
      <c r="T185" s="3">
        <f>IF($H185="","",(S185-AB185)/G185*100)</f>
      </c>
      <c r="U185" s="3">
        <f>IF($H185="","",J185-R185)</f>
      </c>
      <c r="AC185" s="3">
        <f>IF($H185="","",S185-AB185)</f>
      </c>
    </row>
    <row r="186" spans="1:31" x14ac:dyDescent="0.25">
      <c r="A186" s="1"/>
      <c r="D186" s="2"/>
      <c r="G186" s="3"/>
      <c r="H186" s="3"/>
      <c r="I186" s="3">
        <f>IF($H186="","",H186-G186)</f>
      </c>
      <c r="J186" s="3">
        <f>IF($H186="","",I186*16.67%)</f>
      </c>
      <c r="K186" s="3">
        <f>IF($H186="","",H186/100*7)</f>
      </c>
      <c r="L186" s="3">
        <f>IF($H186="","",K186*20%)</f>
      </c>
      <c r="M186" s="3">
        <f>IF($H186="","",K186*2%)</f>
      </c>
      <c r="N186" s="3">
        <f>IF($H186="","",M186*20%)</f>
      </c>
      <c r="O186" s="3"/>
      <c r="P186" s="3">
        <f>IF($H186="","",O186*20%)</f>
      </c>
      <c r="Q186" s="3">
        <v>1</v>
      </c>
      <c r="R186" s="3">
        <f>IF($H186="","",L186+N186+P186)</f>
      </c>
      <c r="S186" s="3">
        <f>IF($H186="","",I186-J186-K186-L186-M186-N186-O186-P186-Q186)</f>
      </c>
      <c r="T186" s="3">
        <f>IF($H186="","",(S186-AB186)/G186*100)</f>
      </c>
      <c r="U186" s="3">
        <f>IF($H186="","",J186-R186)</f>
      </c>
      <c r="AC186" s="3">
        <f>IF($H186="","",S186-AB186)</f>
      </c>
    </row>
    <row r="187" spans="1:31" x14ac:dyDescent="0.25">
      <c r="A187" s="1"/>
      <c r="D187" s="2"/>
      <c r="G187" s="3"/>
      <c r="H187" s="3"/>
      <c r="I187" s="3">
        <f>IF($H187="","",H187-G187)</f>
      </c>
      <c r="J187" s="3">
        <f>IF($H187="","",I187*16.67%)</f>
      </c>
      <c r="K187" s="3">
        <f>IF($H187="","",H187/100*7)</f>
      </c>
      <c r="L187" s="3">
        <f>IF($H187="","",K187*20%)</f>
      </c>
      <c r="M187" s="3">
        <f>IF($H187="","",K187*2%)</f>
      </c>
      <c r="N187" s="3">
        <f>IF($H187="","",M187*20%)</f>
      </c>
      <c r="O187" s="3"/>
      <c r="P187" s="3">
        <f>IF($H187="","",O187*20%)</f>
      </c>
      <c r="Q187" s="3">
        <v>1</v>
      </c>
      <c r="R187" s="3">
        <f>IF($H187="","",L187+N187+P187)</f>
      </c>
      <c r="S187" s="3">
        <f>IF($H187="","",I187-J187-K187-L187-M187-N187-O187-P187-Q187)</f>
      </c>
      <c r="T187" s="3">
        <f>IF($H187="","",(S187-AB187)/G187*100)</f>
      </c>
      <c r="U187" s="3">
        <f>IF($H187="","",J187-R187)</f>
      </c>
      <c r="AC187" s="3">
        <f>IF($H187="","",S187-AB187)</f>
      </c>
    </row>
    <row r="188" spans="1:31" x14ac:dyDescent="0.25">
      <c r="A188" s="1"/>
      <c r="D188" s="2"/>
      <c r="G188" s="3"/>
      <c r="H188" s="3"/>
      <c r="I188" s="3">
        <f>IF($H188="","",H188-G188)</f>
      </c>
      <c r="J188" s="3">
        <f>IF($H188="","",I188*16.67%)</f>
      </c>
      <c r="K188" s="3">
        <f>IF($H188="","",H188/100*7)</f>
      </c>
      <c r="L188" s="3">
        <f>IF($H188="","",K188*20%)</f>
      </c>
      <c r="M188" s="3">
        <f>IF($H188="","",K188*2%)</f>
      </c>
      <c r="N188" s="3">
        <f>IF($H188="","",M188*20%)</f>
      </c>
      <c r="O188" s="3"/>
      <c r="P188" s="3">
        <f>IF($H188="","",O188*20%)</f>
      </c>
      <c r="Q188" s="3">
        <v>1</v>
      </c>
      <c r="R188" s="3">
        <f>IF($H188="","",L188+N188+P188)</f>
      </c>
      <c r="S188" s="3">
        <f>IF($H188="","",I188-J188-K188-L188-M188-N188-O188-P188-Q188)</f>
      </c>
      <c r="T188" s="3">
        <f>IF($H188="","",(S188-AB188)/G188*100)</f>
      </c>
      <c r="U188" s="3">
        <f>IF($H188="","",J188-R188)</f>
      </c>
      <c r="AC188" s="3">
        <f>IF($H188="","",S188-AB188)</f>
      </c>
    </row>
    <row r="189" spans="1:31" x14ac:dyDescent="0.25">
      <c r="A189" s="1"/>
      <c r="D189" s="2"/>
      <c r="G189" s="3"/>
      <c r="H189" s="3"/>
      <c r="I189" s="3">
        <f>IF($H189="","",H189-G189)</f>
      </c>
      <c r="J189" s="3">
        <f>IF($H189="","",I189*16.67%)</f>
      </c>
      <c r="K189" s="3">
        <f>IF($H189="","",H189/100*7)</f>
      </c>
      <c r="L189" s="3">
        <f>IF($H189="","",K189*20%)</f>
      </c>
      <c r="M189" s="3">
        <f>IF($H189="","",K189*2%)</f>
      </c>
      <c r="N189" s="3">
        <f>IF($H189="","",M189*20%)</f>
      </c>
      <c r="O189" s="3"/>
      <c r="P189" s="3">
        <f>IF($H189="","",O189*20%)</f>
      </c>
      <c r="Q189" s="3">
        <v>1</v>
      </c>
      <c r="R189" s="3">
        <f>IF($H189="","",L189+N189+P189)</f>
      </c>
      <c r="S189" s="3">
        <f>IF($H189="","",I189-J189-K189-L189-M189-N189-O189-P189-Q189)</f>
      </c>
      <c r="T189" s="3">
        <f>IF($H189="","",(S189-AB189)/G189*100)</f>
      </c>
      <c r="U189" s="3">
        <f>IF($H189="","",J189-R189)</f>
      </c>
      <c r="AC189" s="3">
        <f>IF($H189="","",S189-AB189)</f>
      </c>
    </row>
    <row r="190" spans="1:31" x14ac:dyDescent="0.25">
      <c r="A190" s="1"/>
      <c r="D190" s="2"/>
      <c r="G190" s="3"/>
      <c r="H190" s="3"/>
      <c r="I190" s="3">
        <f>IF($H190="","",H190-G190)</f>
      </c>
      <c r="J190" s="3">
        <f>IF($H190="","",I190*16.67%)</f>
      </c>
      <c r="K190" s="3">
        <f>IF($H190="","",H190/100*7)</f>
      </c>
      <c r="L190" s="3">
        <f>IF($H190="","",K190*20%)</f>
      </c>
      <c r="M190" s="3">
        <f>IF($H190="","",K190*2%)</f>
      </c>
      <c r="N190" s="3">
        <f>IF($H190="","",M190*20%)</f>
      </c>
      <c r="O190" s="3"/>
      <c r="P190" s="3">
        <f>IF($H190="","",O190*20%)</f>
      </c>
      <c r="Q190" s="3">
        <v>1</v>
      </c>
      <c r="R190" s="3">
        <f>IF($H190="","",L190+N190+P190)</f>
      </c>
      <c r="S190" s="3">
        <f>IF($H190="","",I190-J190-K190-L190-M190-N190-O190-P190-Q190)</f>
      </c>
      <c r="T190" s="3">
        <f>IF($H190="","",(S190-AB190)/G190*100)</f>
      </c>
      <c r="U190" s="3">
        <f>IF($H190="","",J190-R190)</f>
      </c>
      <c r="AC190" s="3">
        <f>IF($H190="","",S190-AB190)</f>
      </c>
    </row>
    <row r="191" spans="1:31" x14ac:dyDescent="0.25">
      <c r="A191" s="1"/>
      <c r="D191" s="2"/>
      <c r="G191" s="3"/>
      <c r="H191" s="3"/>
      <c r="I191" s="3">
        <f>IF($H191="","",H191-G191)</f>
      </c>
      <c r="J191" s="3">
        <f>IF($H191="","",I191*16.67%)</f>
      </c>
      <c r="K191" s="3">
        <f>IF($H191="","",H191/100*7)</f>
      </c>
      <c r="L191" s="3">
        <f>IF($H191="","",K191*20%)</f>
      </c>
      <c r="M191" s="3">
        <f>IF($H191="","",K191*2%)</f>
      </c>
      <c r="N191" s="3">
        <f>IF($H191="","",M191*20%)</f>
      </c>
      <c r="O191" s="3"/>
      <c r="P191" s="3">
        <f>IF($H191="","",O191*20%)</f>
      </c>
      <c r="Q191" s="3">
        <v>1</v>
      </c>
      <c r="R191" s="3">
        <f>IF($H191="","",L191+N191+P191)</f>
      </c>
      <c r="S191" s="3">
        <f>IF($H191="","",I191-J191-K191-L191-M191-N191-O191-P191-Q191)</f>
      </c>
      <c r="T191" s="3">
        <f>IF($H191="","",(S191-AB191)/G191*100)</f>
      </c>
      <c r="U191" s="3">
        <f>IF($H191="","",J191-R191)</f>
      </c>
      <c r="AC191" s="3">
        <f>IF($H191="","",S191-AB191)</f>
      </c>
    </row>
    <row r="192" spans="1:31" x14ac:dyDescent="0.25">
      <c r="A192" s="1"/>
      <c r="D192" s="2"/>
      <c r="G192" s="3"/>
      <c r="H192" s="3"/>
      <c r="I192" s="3">
        <f>IF($H192="","",H192-G192)</f>
      </c>
      <c r="J192" s="3">
        <f>IF($H192="","",I192*16.67%)</f>
      </c>
      <c r="K192" s="3">
        <f>IF($H192="","",H192/100*7)</f>
      </c>
      <c r="L192" s="3">
        <f>IF($H192="","",K192*20%)</f>
      </c>
      <c r="M192" s="3">
        <f>IF($H192="","",K192*2%)</f>
      </c>
      <c r="N192" s="3">
        <f>IF($H192="","",M192*20%)</f>
      </c>
      <c r="O192" s="3"/>
      <c r="P192" s="3">
        <f>IF($H192="","",O192*20%)</f>
      </c>
      <c r="Q192" s="3">
        <v>1</v>
      </c>
      <c r="R192" s="3">
        <f>IF($H192="","",L192+N192+P192)</f>
      </c>
      <c r="S192" s="3">
        <f>IF($H192="","",I192-J192-K192-L192-M192-N192-O192-P192-Q192)</f>
      </c>
      <c r="T192" s="3">
        <f>IF($H192="","",(S192-AB192)/G192*100)</f>
      </c>
      <c r="U192" s="3">
        <f>IF($H192="","",J192-R192)</f>
      </c>
      <c r="AC192" s="3">
        <f>IF($H192="","",S192-AB192)</f>
      </c>
    </row>
    <row r="193" spans="1:31" x14ac:dyDescent="0.25">
      <c r="A193" s="1"/>
      <c r="D193" s="2"/>
      <c r="G193" s="3"/>
      <c r="H193" s="3"/>
      <c r="I193" s="3">
        <f>IF($H193="","",H193-G193)</f>
      </c>
      <c r="J193" s="3">
        <f>IF($H193="","",I193*16.67%)</f>
      </c>
      <c r="K193" s="3">
        <f>IF($H193="","",H193/100*7)</f>
      </c>
      <c r="L193" s="3">
        <f>IF($H193="","",K193*20%)</f>
      </c>
      <c r="M193" s="3">
        <f>IF($H193="","",K193*2%)</f>
      </c>
      <c r="N193" s="3">
        <f>IF($H193="","",M193*20%)</f>
      </c>
      <c r="O193" s="3"/>
      <c r="P193" s="3">
        <f>IF($H193="","",O193*20%)</f>
      </c>
      <c r="Q193" s="3">
        <v>1</v>
      </c>
      <c r="R193" s="3">
        <f>IF($H193="","",L193+N193+P193)</f>
      </c>
      <c r="S193" s="3">
        <f>IF($H193="","",I193-J193-K193-L193-M193-N193-O193-P193-Q193)</f>
      </c>
      <c r="T193" s="3">
        <f>IF($H193="","",(S193-AB193)/G193*100)</f>
      </c>
      <c r="U193" s="3">
        <f>IF($H193="","",J193-R193)</f>
      </c>
      <c r="AC193" s="3">
        <f>IF($H193="","",S193-AB193)</f>
      </c>
    </row>
    <row r="194" spans="1:31" x14ac:dyDescent="0.25">
      <c r="A194" s="1"/>
      <c r="D194" s="2"/>
      <c r="G194" s="3"/>
      <c r="H194" s="3"/>
      <c r="I194" s="3">
        <f>IF($H194="","",H194-G194)</f>
      </c>
      <c r="J194" s="3">
        <f>IF($H194="","",I194*16.67%)</f>
      </c>
      <c r="K194" s="3">
        <f>IF($H194="","",H194/100*7)</f>
      </c>
      <c r="L194" s="3">
        <f>IF($H194="","",K194*20%)</f>
      </c>
      <c r="M194" s="3">
        <f>IF($H194="","",K194*2%)</f>
      </c>
      <c r="N194" s="3">
        <f>IF($H194="","",M194*20%)</f>
      </c>
      <c r="O194" s="3"/>
      <c r="P194" s="3">
        <f>IF($H194="","",O194*20%)</f>
      </c>
      <c r="Q194" s="3">
        <v>1</v>
      </c>
      <c r="R194" s="3">
        <f>IF($H194="","",L194+N194+P194)</f>
      </c>
      <c r="S194" s="3">
        <f>IF($H194="","",I194-J194-K194-L194-M194-N194-O194-P194-Q194)</f>
      </c>
      <c r="T194" s="3">
        <f>IF($H194="","",(S194-AB194)/G194*100)</f>
      </c>
      <c r="U194" s="3">
        <f>IF($H194="","",J194-R194)</f>
      </c>
      <c r="AC194" s="3">
        <f>IF($H194="","",S194-AB194)</f>
      </c>
    </row>
    <row r="195" spans="1:31" x14ac:dyDescent="0.25">
      <c r="A195" s="1"/>
      <c r="D195" s="2"/>
      <c r="G195" s="3"/>
      <c r="H195" s="3"/>
      <c r="I195" s="3">
        <f>IF($H195="","",H195-G195)</f>
      </c>
      <c r="J195" s="3">
        <f>IF($H195="","",I195*16.67%)</f>
      </c>
      <c r="K195" s="3">
        <f>IF($H195="","",H195/100*7)</f>
      </c>
      <c r="L195" s="3">
        <f>IF($H195="","",K195*20%)</f>
      </c>
      <c r="M195" s="3">
        <f>IF($H195="","",K195*2%)</f>
      </c>
      <c r="N195" s="3">
        <f>IF($H195="","",M195*20%)</f>
      </c>
      <c r="O195" s="3"/>
      <c r="P195" s="3">
        <f>IF($H195="","",O195*20%)</f>
      </c>
      <c r="Q195" s="3">
        <v>1</v>
      </c>
      <c r="R195" s="3">
        <f>IF($H195="","",L195+N195+P195)</f>
      </c>
      <c r="S195" s="3">
        <f>IF($H195="","",I195-J195-K195-L195-M195-N195-O195-P195-Q195)</f>
      </c>
      <c r="T195" s="3">
        <f>IF($H195="","",(S195-AB195)/G195*100)</f>
      </c>
      <c r="U195" s="3">
        <f>IF($H195="","",J195-R195)</f>
      </c>
      <c r="AC195" s="3">
        <f>IF($H195="","",S195-AB195)</f>
      </c>
    </row>
    <row r="196" spans="1:31" x14ac:dyDescent="0.25">
      <c r="A196" s="1"/>
      <c r="D196" s="2"/>
      <c r="G196" s="3"/>
      <c r="H196" s="3"/>
      <c r="I196" s="3">
        <f>IF($H196="","",H196-G196)</f>
      </c>
      <c r="J196" s="3">
        <f>IF($H196="","",I196*16.67%)</f>
      </c>
      <c r="K196" s="3">
        <f>IF($H196="","",H196/100*7)</f>
      </c>
      <c r="L196" s="3">
        <f>IF($H196="","",K196*20%)</f>
      </c>
      <c r="M196" s="3">
        <f>IF($H196="","",K196*2%)</f>
      </c>
      <c r="N196" s="3">
        <f>IF($H196="","",M196*20%)</f>
      </c>
      <c r="O196" s="3"/>
      <c r="P196" s="3">
        <f>IF($H196="","",O196*20%)</f>
      </c>
      <c r="Q196" s="3">
        <v>1</v>
      </c>
      <c r="R196" s="3">
        <f>IF($H196="","",L196+N196+P196)</f>
      </c>
      <c r="S196" s="3">
        <f>IF($H196="","",I196-J196-K196-L196-M196-N196-O196-P196-Q196)</f>
      </c>
      <c r="T196" s="3">
        <f>IF($H196="","",(S196-AB196)/G196*100)</f>
      </c>
      <c r="U196" s="3">
        <f>IF($H196="","",J196-R196)</f>
      </c>
      <c r="AC196" s="3">
        <f>IF($H196="","",S196-AB196)</f>
      </c>
    </row>
    <row r="197" spans="1:31" x14ac:dyDescent="0.25">
      <c r="A197" s="1"/>
      <c r="D197" s="2"/>
      <c r="G197" s="3"/>
      <c r="H197" s="3"/>
      <c r="I197" s="3">
        <f>IF($H197="","",H197-G197)</f>
      </c>
      <c r="J197" s="3">
        <f>IF($H197="","",I197*16.67%)</f>
      </c>
      <c r="K197" s="3">
        <f>IF($H197="","",H197/100*7)</f>
      </c>
      <c r="L197" s="3">
        <f>IF($H197="","",K197*20%)</f>
      </c>
      <c r="M197" s="3">
        <f>IF($H197="","",K197*2%)</f>
      </c>
      <c r="N197" s="3">
        <f>IF($H197="","",M197*20%)</f>
      </c>
      <c r="O197" s="3"/>
      <c r="P197" s="3">
        <f>IF($H197="","",O197*20%)</f>
      </c>
      <c r="Q197" s="3">
        <v>1</v>
      </c>
      <c r="R197" s="3">
        <f>IF($H197="","",L197+N197+P197)</f>
      </c>
      <c r="S197" s="3">
        <f>IF($H197="","",I197-J197-K197-L197-M197-N197-O197-P197-Q197)</f>
      </c>
      <c r="T197" s="3">
        <f>IF($H197="","",(S197-AB197)/G197*100)</f>
      </c>
      <c r="U197" s="3">
        <f>IF($H197="","",J197-R197)</f>
      </c>
      <c r="AC197" s="3">
        <f>IF($H197="","",S197-AB197)</f>
      </c>
    </row>
    <row r="198" spans="1:31" x14ac:dyDescent="0.25">
      <c r="A198" s="1"/>
      <c r="D198" s="2"/>
      <c r="G198" s="3"/>
      <c r="H198" s="3"/>
      <c r="I198" s="3">
        <f>IF($H198="","",H198-G198)</f>
      </c>
      <c r="J198" s="3">
        <f>IF($H198="","",I198*16.67%)</f>
      </c>
      <c r="K198" s="3">
        <f>IF($H198="","",H198/100*7)</f>
      </c>
      <c r="L198" s="3">
        <f>IF($H198="","",K198*20%)</f>
      </c>
      <c r="M198" s="3">
        <f>IF($H198="","",K198*2%)</f>
      </c>
      <c r="N198" s="3">
        <f>IF($H198="","",M198*20%)</f>
      </c>
      <c r="O198" s="3"/>
      <c r="P198" s="3">
        <f>IF($H198="","",O198*20%)</f>
      </c>
      <c r="Q198" s="3">
        <v>1</v>
      </c>
      <c r="R198" s="3">
        <f>IF($H198="","",L198+N198+P198)</f>
      </c>
      <c r="S198" s="3">
        <f>IF($H198="","",I198-J198-K198-L198-M198-N198-O198-P198-Q198)</f>
      </c>
      <c r="T198" s="3">
        <f>IF($H198="","",(S198-AB198)/G198*100)</f>
      </c>
      <c r="U198" s="3">
        <f>IF($H198="","",J198-R198)</f>
      </c>
      <c r="AC198" s="3">
        <f>IF($H198="","",S198-AB198)</f>
      </c>
    </row>
    <row r="199" spans="1:31" x14ac:dyDescent="0.25">
      <c r="A199" s="1"/>
      <c r="D199" s="2"/>
      <c r="G199" s="3"/>
      <c r="H199" s="3"/>
      <c r="I199" s="3">
        <f>IF($H199="","",H199-G199)</f>
      </c>
      <c r="J199" s="3">
        <f>IF($H199="","",I199*16.67%)</f>
      </c>
      <c r="K199" s="3">
        <f>IF($H199="","",H199/100*7)</f>
      </c>
      <c r="L199" s="3">
        <f>IF($H199="","",K199*20%)</f>
      </c>
      <c r="M199" s="3">
        <f>IF($H199="","",K199*2%)</f>
      </c>
      <c r="N199" s="3">
        <f>IF($H199="","",M199*20%)</f>
      </c>
      <c r="O199" s="3"/>
      <c r="P199" s="3">
        <f>IF($H199="","",O199*20%)</f>
      </c>
      <c r="Q199" s="3">
        <v>1</v>
      </c>
      <c r="R199" s="3">
        <f>IF($H199="","",L199+N199+P199)</f>
      </c>
      <c r="S199" s="3">
        <f>IF($H199="","",I199-J199-K199-L199-M199-N199-O199-P199-Q199)</f>
      </c>
      <c r="T199" s="3">
        <f>IF($H199="","",(S199-AB199)/G199*100)</f>
      </c>
      <c r="U199" s="3">
        <f>IF($H199="","",J199-R199)</f>
      </c>
      <c r="AC199" s="3">
        <f>IF($H199="","",S199-AB199)</f>
      </c>
    </row>
    <row r="200" spans="1:31" x14ac:dyDescent="0.25">
      <c r="A200" s="1"/>
      <c r="D200" s="2"/>
      <c r="G200" s="3"/>
      <c r="H200" s="3"/>
      <c r="I200" s="3">
        <f>IF($H200="","",H200-G200)</f>
      </c>
      <c r="J200" s="3">
        <f>IF($H200="","",I200*16.67%)</f>
      </c>
      <c r="K200" s="3">
        <f>IF($H200="","",H200/100*7)</f>
      </c>
      <c r="L200" s="3">
        <f>IF($H200="","",K200*20%)</f>
      </c>
      <c r="M200" s="3">
        <f>IF($H200="","",K200*2%)</f>
      </c>
      <c r="N200" s="3">
        <f>IF($H200="","",M200*20%)</f>
      </c>
      <c r="O200" s="3"/>
      <c r="P200" s="3">
        <f>IF($H200="","",O200*20%)</f>
      </c>
      <c r="Q200" s="3">
        <v>1</v>
      </c>
      <c r="R200" s="3">
        <f>IF($H200="","",L200+N200+P200)</f>
      </c>
      <c r="S200" s="3">
        <f>IF($H200="","",I200-J200-K200-L200-M200-N200-O200-P200-Q200)</f>
      </c>
      <c r="T200" s="3">
        <f>IF($H200="","",(S200-AB200)/G200*100)</f>
      </c>
      <c r="U200" s="3">
        <f>IF($H200="","",J200-R200)</f>
      </c>
      <c r="AC200" s="3">
        <f>IF($H200="","",S200-AB200)</f>
      </c>
    </row>
    <row r="201" spans="1:31" x14ac:dyDescent="0.25">
      <c r="A201" s="1"/>
      <c r="D201" s="2"/>
      <c r="G201" s="3"/>
      <c r="H201" s="3"/>
      <c r="I201" s="3">
        <f>IF($H201="","",H201-G201)</f>
      </c>
      <c r="J201" s="3">
        <f>IF($H201="","",I201*16.67%)</f>
      </c>
      <c r="K201" s="3">
        <f>IF($H201="","",H201/100*7)</f>
      </c>
      <c r="L201" s="3">
        <f>IF($H201="","",K201*20%)</f>
      </c>
      <c r="M201" s="3">
        <f>IF($H201="","",K201*2%)</f>
      </c>
      <c r="N201" s="3">
        <f>IF($H201="","",M201*20%)</f>
      </c>
      <c r="O201" s="3"/>
      <c r="P201" s="3">
        <f>IF($H201="","",O201*20%)</f>
      </c>
      <c r="Q201" s="3">
        <v>1</v>
      </c>
      <c r="R201" s="3">
        <f>IF($H201="","",L201+N201+P201)</f>
      </c>
      <c r="S201" s="3">
        <f>IF($H201="","",I201-J201-K201-L201-M201-N201-O201-P201-Q201)</f>
      </c>
      <c r="T201" s="3">
        <f>IF($H201="","",(S201-AB201)/G201*100)</f>
      </c>
      <c r="U201" s="3">
        <f>IF($H201="","",J201-R201)</f>
      </c>
      <c r="AC201" s="3">
        <f>IF($H201="","",S201-AB201)</f>
      </c>
    </row>
    <row r="202" spans="1:31" x14ac:dyDescent="0.25">
      <c r="A202" s="1"/>
      <c r="D202" s="2"/>
      <c r="G202" s="3"/>
      <c r="H202" s="3"/>
      <c r="I202" s="3">
        <f>IF($H202="","",H202-G202)</f>
      </c>
      <c r="J202" s="3">
        <f>IF($H202="","",I202*16.67%)</f>
      </c>
      <c r="K202" s="3">
        <f>IF($H202="","",H202/100*7)</f>
      </c>
      <c r="L202" s="3">
        <f>IF($H202="","",K202*20%)</f>
      </c>
      <c r="M202" s="3">
        <f>IF($H202="","",K202*2%)</f>
      </c>
      <c r="N202" s="3">
        <f>IF($H202="","",M202*20%)</f>
      </c>
      <c r="O202" s="3"/>
      <c r="P202" s="3">
        <f>IF($H202="","",O202*20%)</f>
      </c>
      <c r="Q202" s="3">
        <v>1</v>
      </c>
      <c r="R202" s="3">
        <f>IF($H202="","",L202+N202+P202)</f>
      </c>
      <c r="S202" s="3">
        <f>IF($H202="","",I202-J202-K202-L202-M202-N202-O202-P202-Q202)</f>
      </c>
      <c r="T202" s="3">
        <f>IF($H202="","",(S202-AB202)/G202*100)</f>
      </c>
      <c r="U202" s="3">
        <f>IF($H202="","",J202-R202)</f>
      </c>
      <c r="AC202" s="3">
        <f>IF($H202="","",S202-AB202)</f>
      </c>
    </row>
    <row r="203" spans="1:31" s="4" customFormat="1" x14ac:dyDescent="0.25">
      <c r="A203" s="5" t="s">
        <v>37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IFERROR((S203-AB203)/G203*100,0)</f>
      </c>
      <c r="U203" s="6">
        <f>SUM(U2:U202)</f>
      </c>
      <c r="V203" s="4"/>
      <c r="W203" s="4"/>
      <c r="X203" s="4"/>
      <c r="Y203" s="4"/>
      <c r="Z203" s="4"/>
      <c r="AA203" s="4"/>
      <c r="AB203" s="6">
        <f>SUM(AB2:AB202)</f>
      </c>
      <c r="AC203" s="6">
        <f>SUM(AC2:AC202)</f>
      </c>
      <c r="AD203" s="4"/>
      <c r="AE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AMAZON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2026-08-02T17:34:16Z</dcterms:created>
  <dcterms:modified xsi:type="dcterms:W3CDTF">2026-08-02T17:34:16Z</dcterms:modified>
</cp:coreProperties>
</file>