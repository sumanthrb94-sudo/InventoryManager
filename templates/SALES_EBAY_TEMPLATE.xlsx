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4" name="EBAY" state="visible" r:id="rId4"/>
    <sheet sheetId="1" name="README" state="visible" r:id="rId5"/>
  </sheets>
  <calcPr calcId="171027"/>
</workbook>
</file>

<file path=xl/sharedStrings.xml><?xml version="1.0" encoding="utf-8"?>
<sst xmlns="http://schemas.openxmlformats.org/spreadsheetml/2006/main" count="61" uniqueCount="58">
  <si>
    <t>Date</t>
  </si>
  <si>
    <t>Order Number</t>
  </si>
  <si>
    <t>SKU</t>
  </si>
  <si>
    <t>IMEI</t>
  </si>
  <si>
    <t>Supplier</t>
  </si>
  <si>
    <t>Units</t>
  </si>
  <si>
    <t>BP</t>
  </si>
  <si>
    <t>SP</t>
  </si>
  <si>
    <t>SP-BP</t>
  </si>
  <si>
    <t>Marginal Tax</t>
  </si>
  <si>
    <t>Commission</t>
  </si>
  <si>
    <t>ROF</t>
  </si>
  <si>
    <t>FVF</t>
  </si>
  <si>
    <t>VAT</t>
  </si>
  <si>
    <t>T.COM</t>
  </si>
  <si>
    <t>Postage</t>
  </si>
  <si>
    <t>P. VAT</t>
  </si>
  <si>
    <t>Marketing</t>
  </si>
  <si>
    <t>M. VAT</t>
  </si>
  <si>
    <t>Accessories</t>
  </si>
  <si>
    <t>Total VAT</t>
  </si>
  <si>
    <t>GP</t>
  </si>
  <si>
    <t>GP %</t>
  </si>
  <si>
    <t>Total VAT NTP</t>
  </si>
  <si>
    <t>Comments</t>
  </si>
  <si>
    <t>Model</t>
  </si>
  <si>
    <t>Return Date</t>
  </si>
  <si>
    <t>Outcome</t>
  </si>
  <si>
    <t>Return Reason</t>
  </si>
  <si>
    <t>Shipping Legs</t>
  </si>
  <si>
    <t>Postage Loss</t>
  </si>
  <si>
    <t>Net GP £</t>
  </si>
  <si>
    <t>Storage</t>
  </si>
  <si>
    <t>Colour</t>
  </si>
  <si>
    <t>EBAY-EXAMPLE</t>
  </si>
  <si>
    <t>SG-XC5-64-BK</t>
  </si>
  <si>
    <t>350100000000001</t>
  </si>
  <si>
    <t>EXAMPLE SUPPLIER</t>
  </si>
  <si>
    <t/>
  </si>
  <si>
    <t>Samsung Galaxy XC5 64GB</t>
  </si>
  <si>
    <t>TOTAL</t>
  </si>
  <si>
    <t>SALES TEMPLATE — same columns as the Sales Report</t>
  </si>
  <si>
    <t>What this is</t>
  </si>
  <si>
    <t>One sheet per marketplace (EBAY),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</si>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</sst>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yy"/>
  </numFmts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2" fontId="1" fillId="0" borderId="0" xfId="0" applyNumberFormat="1" applyFont="1"/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7" t="s">
        <v>41</v>
      </c>
      <c r="B1" t="s">
        <v>38</v>
      </c>
    </row>
    <row r="3" spans="1:2" x14ac:dyDescent="0.25">
      <c r="A3" s="4" t="s">
        <v>42</v>
      </c>
      <c r="B3" s="8" t="s">
        <v>43</v>
      </c>
    </row>
    <row r="4" spans="1:2" x14ac:dyDescent="0.25">
      <c r="A4" s="4" t="s">
        <v>44</v>
      </c>
      <c r="B4" s="8" t="s">
        <v>45</v>
      </c>
    </row>
    <row r="5" spans="1:2" x14ac:dyDescent="0.25">
      <c r="A5" s="4" t="s">
        <v>46</v>
      </c>
      <c r="B5" s="8" t="s">
        <v>47</v>
      </c>
    </row>
    <row r="6" spans="1:2" x14ac:dyDescent="0.25">
      <c r="A6" s="4" t="s">
        <v>48</v>
      </c>
      <c r="B6" s="8" t="s">
        <v>49</v>
      </c>
    </row>
    <row r="7" spans="1:2" x14ac:dyDescent="0.25">
      <c r="A7" s="4" t="s">
        <v>50</v>
      </c>
      <c r="B7" s="8" t="s">
        <v>51</v>
      </c>
    </row>
    <row r="8" spans="1:2" x14ac:dyDescent="0.25">
      <c r="A8" s="4" t="s">
        <v>52</v>
      </c>
      <c r="B8" s="8" t="s">
        <v>53</v>
      </c>
    </row>
    <row r="9" spans="1:2" x14ac:dyDescent="0.25">
      <c r="A9" s="4" t="s">
        <v>54</v>
      </c>
      <c r="B9" s="8" t="s">
        <v>55</v>
      </c>
    </row>
    <row r="10" spans="1:2" x14ac:dyDescent="0.25">
      <c r="A10" s="4" t="s">
        <v>56</v>
      </c>
      <c r="B10" s="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3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s="1">
        <v>46235.5</v>
      </c>
      <c r="B2" t="s">
        <v>34</v>
      </c>
      <c r="C2" t="s">
        <v>35</v>
      </c>
      <c r="D2" s="2" t="s">
        <v>36</v>
      </c>
      <c r="E2" t="s">
        <v>37</v>
      </c>
      <c r="F2">
        <v>1</v>
      </c>
      <c r="G2" s="3">
        <v>30</v>
      </c>
      <c r="H2" s="3">
        <v>55.99</v>
      </c>
      <c r="I2" s="3">
        <f>IF($H2="","",H2-G2)</f>
      </c>
      <c r="J2" s="3">
        <f>IF($H2="","",I2*16.67%)</f>
      </c>
      <c r="K2" s="3">
        <f>IF($H2="","",(H2*6.9%)-(H2*6.9%)*10%)</f>
      </c>
      <c r="L2" s="3">
        <f>IF($H2="","",H2*0.35%)</f>
      </c>
      <c r="M2" s="3">
        <v>0.4</v>
      </c>
      <c r="N2" s="3">
        <f>IF($H2="","",(K2+L2+M2)*20%)</f>
      </c>
      <c r="O2" s="3">
        <f>IF($H2="","",K2+L2+M2+N2)</f>
      </c>
      <c r="P2" s="3">
        <v>4.65</v>
      </c>
      <c r="Q2" s="3">
        <v>0</v>
      </c>
      <c r="R2" s="3">
        <v>0</v>
      </c>
      <c r="S2" s="3">
        <f>IF($H2="","",R2*20%)</f>
      </c>
      <c r="T2" s="3">
        <v>1</v>
      </c>
      <c r="U2" s="3">
        <f>IF($H2="","",N2+Q2+S2)</f>
      </c>
      <c r="V2" s="3">
        <f>IF($H2="","",I2-J2-O2-P2-Q2-R2-S2-T2)</f>
      </c>
      <c r="W2" s="3">
        <f>IF($H2="","",(V2-AE2)/H2*100)</f>
      </c>
      <c r="X2" s="3">
        <f>IF($H2="","",J2-U2)</f>
      </c>
      <c r="Y2" t="s">
        <v>38</v>
      </c>
      <c r="Z2" t="s">
        <v>39</v>
      </c>
      <c r="AF2" s="3">
        <f>IF($H2="","",V2-AE2)</f>
      </c>
      <c r="AG2" t="s">
        <v>38</v>
      </c>
      <c r="AH2" t="s">
        <v>38</v>
      </c>
    </row>
    <row r="3" spans="1:34" x14ac:dyDescent="0.25">
      <c r="A3" s="1"/>
      <c r="D3" s="2"/>
      <c r="G3" s="3"/>
      <c r="H3" s="3"/>
      <c r="I3" s="3">
        <f>IF($H3="","",H3-G3)</f>
      </c>
      <c r="J3" s="3">
        <f>IF($H3="","",I3*16.67%)</f>
      </c>
      <c r="K3" s="3">
        <f>IF($H3="","",(H3*6.9%)-(H3*6.9%)*10%)</f>
      </c>
      <c r="L3" s="3">
        <f>IF($H3="","",H3*0.35%)</f>
      </c>
      <c r="M3" s="3">
        <v>0.4</v>
      </c>
      <c r="N3" s="3">
        <f>IF($H3="","",(K3+L3+M3)*20%)</f>
      </c>
      <c r="O3" s="3">
        <f>IF($H3="","",K3+L3+M3+N3)</f>
      </c>
      <c r="P3" s="3"/>
      <c r="Q3" s="3"/>
      <c r="R3" s="3"/>
      <c r="S3" s="3">
        <f>IF($H3="","",R3*20%)</f>
      </c>
      <c r="T3" s="3">
        <v>1</v>
      </c>
      <c r="U3" s="3">
        <f>IF($H3="","",N3+Q3+S3)</f>
      </c>
      <c r="V3" s="3">
        <f>IF($H3="","",I3-J3-O3-P3-Q3-R3-S3-T3)</f>
      </c>
      <c r="W3" s="3">
        <f>IF($H3="","",(V3-AE3)/H3*100)</f>
      </c>
      <c r="X3" s="3">
        <f>IF($H3="","",J3-U3)</f>
      </c>
      <c r="AF3" s="3">
        <f>IF($H3="","",V3-AE3)</f>
      </c>
    </row>
    <row r="4" spans="1:34" x14ac:dyDescent="0.25">
      <c r="A4" s="1"/>
      <c r="D4" s="2"/>
      <c r="G4" s="3"/>
      <c r="H4" s="3"/>
      <c r="I4" s="3">
        <f>IF($H4="","",H4-G4)</f>
      </c>
      <c r="J4" s="3">
        <f>IF($H4="","",I4*16.67%)</f>
      </c>
      <c r="K4" s="3">
        <f>IF($H4="","",(H4*6.9%)-(H4*6.9%)*10%)</f>
      </c>
      <c r="L4" s="3">
        <f>IF($H4="","",H4*0.35%)</f>
      </c>
      <c r="M4" s="3">
        <v>0.4</v>
      </c>
      <c r="N4" s="3">
        <f>IF($H4="","",(K4+L4+M4)*20%)</f>
      </c>
      <c r="O4" s="3">
        <f>IF($H4="","",K4+L4+M4+N4)</f>
      </c>
      <c r="P4" s="3"/>
      <c r="Q4" s="3"/>
      <c r="R4" s="3"/>
      <c r="S4" s="3">
        <f>IF($H4="","",R4*20%)</f>
      </c>
      <c r="T4" s="3">
        <v>1</v>
      </c>
      <c r="U4" s="3">
        <f>IF($H4="","",N4+Q4+S4)</f>
      </c>
      <c r="V4" s="3">
        <f>IF($H4="","",I4-J4-O4-P4-Q4-R4-S4-T4)</f>
      </c>
      <c r="W4" s="3">
        <f>IF($H4="","",(V4-AE4)/H4*100)</f>
      </c>
      <c r="X4" s="3">
        <f>IF($H4="","",J4-U4)</f>
      </c>
      <c r="AF4" s="3">
        <f>IF($H4="","",V4-AE4)</f>
      </c>
    </row>
    <row r="5" spans="1:34" x14ac:dyDescent="0.25">
      <c r="A5" s="1"/>
      <c r="D5" s="2"/>
      <c r="G5" s="3"/>
      <c r="H5" s="3"/>
      <c r="I5" s="3">
        <f>IF($H5="","",H5-G5)</f>
      </c>
      <c r="J5" s="3">
        <f>IF($H5="","",I5*16.67%)</f>
      </c>
      <c r="K5" s="3">
        <f>IF($H5="","",(H5*6.9%)-(H5*6.9%)*10%)</f>
      </c>
      <c r="L5" s="3">
        <f>IF($H5="","",H5*0.35%)</f>
      </c>
      <c r="M5" s="3">
        <v>0.4</v>
      </c>
      <c r="N5" s="3">
        <f>IF($H5="","",(K5+L5+M5)*20%)</f>
      </c>
      <c r="O5" s="3">
        <f>IF($H5="","",K5+L5+M5+N5)</f>
      </c>
      <c r="P5" s="3"/>
      <c r="Q5" s="3"/>
      <c r="R5" s="3"/>
      <c r="S5" s="3">
        <f>IF($H5="","",R5*20%)</f>
      </c>
      <c r="T5" s="3">
        <v>1</v>
      </c>
      <c r="U5" s="3">
        <f>IF($H5="","",N5+Q5+S5)</f>
      </c>
      <c r="V5" s="3">
        <f>IF($H5="","",I5-J5-O5-P5-Q5-R5-S5-T5)</f>
      </c>
      <c r="W5" s="3">
        <f>IF($H5="","",(V5-AE5)/H5*100)</f>
      </c>
      <c r="X5" s="3">
        <f>IF($H5="","",J5-U5)</f>
      </c>
      <c r="AF5" s="3">
        <f>IF($H5="","",V5-AE5)</f>
      </c>
    </row>
    <row r="6" spans="1:34" x14ac:dyDescent="0.25">
      <c r="A6" s="1"/>
      <c r="D6" s="2"/>
      <c r="G6" s="3"/>
      <c r="H6" s="3"/>
      <c r="I6" s="3">
        <f>IF($H6="","",H6-G6)</f>
      </c>
      <c r="J6" s="3">
        <f>IF($H6="","",I6*16.67%)</f>
      </c>
      <c r="K6" s="3">
        <f>IF($H6="","",(H6*6.9%)-(H6*6.9%)*10%)</f>
      </c>
      <c r="L6" s="3">
        <f>IF($H6="","",H6*0.35%)</f>
      </c>
      <c r="M6" s="3">
        <v>0.4</v>
      </c>
      <c r="N6" s="3">
        <f>IF($H6="","",(K6+L6+M6)*20%)</f>
      </c>
      <c r="O6" s="3">
        <f>IF($H6="","",K6+L6+M6+N6)</f>
      </c>
      <c r="P6" s="3"/>
      <c r="Q6" s="3"/>
      <c r="R6" s="3"/>
      <c r="S6" s="3">
        <f>IF($H6="","",R6*20%)</f>
      </c>
      <c r="T6" s="3">
        <v>1</v>
      </c>
      <c r="U6" s="3">
        <f>IF($H6="","",N6+Q6+S6)</f>
      </c>
      <c r="V6" s="3">
        <f>IF($H6="","",I6-J6-O6-P6-Q6-R6-S6-T6)</f>
      </c>
      <c r="W6" s="3">
        <f>IF($H6="","",(V6-AE6)/H6*100)</f>
      </c>
      <c r="X6" s="3">
        <f>IF($H6="","",J6-U6)</f>
      </c>
      <c r="AF6" s="3">
        <f>IF($H6="","",V6-AE6)</f>
      </c>
    </row>
    <row r="7" spans="1:34" x14ac:dyDescent="0.25">
      <c r="A7" s="1"/>
      <c r="D7" s="2"/>
      <c r="G7" s="3"/>
      <c r="H7" s="3"/>
      <c r="I7" s="3">
        <f>IF($H7="","",H7-G7)</f>
      </c>
      <c r="J7" s="3">
        <f>IF($H7="","",I7*16.67%)</f>
      </c>
      <c r="K7" s="3">
        <f>IF($H7="","",(H7*6.9%)-(H7*6.9%)*10%)</f>
      </c>
      <c r="L7" s="3">
        <f>IF($H7="","",H7*0.35%)</f>
      </c>
      <c r="M7" s="3">
        <v>0.4</v>
      </c>
      <c r="N7" s="3">
        <f>IF($H7="","",(K7+L7+M7)*20%)</f>
      </c>
      <c r="O7" s="3">
        <f>IF($H7="","",K7+L7+M7+N7)</f>
      </c>
      <c r="P7" s="3"/>
      <c r="Q7" s="3"/>
      <c r="R7" s="3"/>
      <c r="S7" s="3">
        <f>IF($H7="","",R7*20%)</f>
      </c>
      <c r="T7" s="3">
        <v>1</v>
      </c>
      <c r="U7" s="3">
        <f>IF($H7="","",N7+Q7+S7)</f>
      </c>
      <c r="V7" s="3">
        <f>IF($H7="","",I7-J7-O7-P7-Q7-R7-S7-T7)</f>
      </c>
      <c r="W7" s="3">
        <f>IF($H7="","",(V7-AE7)/H7*100)</f>
      </c>
      <c r="X7" s="3">
        <f>IF($H7="","",J7-U7)</f>
      </c>
      <c r="AF7" s="3">
        <f>IF($H7="","",V7-AE7)</f>
      </c>
    </row>
    <row r="8" spans="1:34" x14ac:dyDescent="0.25">
      <c r="A8" s="1"/>
      <c r="D8" s="2"/>
      <c r="G8" s="3"/>
      <c r="H8" s="3"/>
      <c r="I8" s="3">
        <f>IF($H8="","",H8-G8)</f>
      </c>
      <c r="J8" s="3">
        <f>IF($H8="","",I8*16.67%)</f>
      </c>
      <c r="K8" s="3">
        <f>IF($H8="","",(H8*6.9%)-(H8*6.9%)*10%)</f>
      </c>
      <c r="L8" s="3">
        <f>IF($H8="","",H8*0.35%)</f>
      </c>
      <c r="M8" s="3">
        <v>0.4</v>
      </c>
      <c r="N8" s="3">
        <f>IF($H8="","",(K8+L8+M8)*20%)</f>
      </c>
      <c r="O8" s="3">
        <f>IF($H8="","",K8+L8+M8+N8)</f>
      </c>
      <c r="P8" s="3"/>
      <c r="Q8" s="3"/>
      <c r="R8" s="3"/>
      <c r="S8" s="3">
        <f>IF($H8="","",R8*20%)</f>
      </c>
      <c r="T8" s="3">
        <v>1</v>
      </c>
      <c r="U8" s="3">
        <f>IF($H8="","",N8+Q8+S8)</f>
      </c>
      <c r="V8" s="3">
        <f>IF($H8="","",I8-J8-O8-P8-Q8-R8-S8-T8)</f>
      </c>
      <c r="W8" s="3">
        <f>IF($H8="","",(V8-AE8)/H8*100)</f>
      </c>
      <c r="X8" s="3">
        <f>IF($H8="","",J8-U8)</f>
      </c>
      <c r="AF8" s="3">
        <f>IF($H8="","",V8-AE8)</f>
      </c>
    </row>
    <row r="9" spans="1:34" x14ac:dyDescent="0.25">
      <c r="A9" s="1"/>
      <c r="D9" s="2"/>
      <c r="G9" s="3"/>
      <c r="H9" s="3"/>
      <c r="I9" s="3">
        <f>IF($H9="","",H9-G9)</f>
      </c>
      <c r="J9" s="3">
        <f>IF($H9="","",I9*16.67%)</f>
      </c>
      <c r="K9" s="3">
        <f>IF($H9="","",(H9*6.9%)-(H9*6.9%)*10%)</f>
      </c>
      <c r="L9" s="3">
        <f>IF($H9="","",H9*0.35%)</f>
      </c>
      <c r="M9" s="3">
        <v>0.4</v>
      </c>
      <c r="N9" s="3">
        <f>IF($H9="","",(K9+L9+M9)*20%)</f>
      </c>
      <c r="O9" s="3">
        <f>IF($H9="","",K9+L9+M9+N9)</f>
      </c>
      <c r="P9" s="3"/>
      <c r="Q9" s="3"/>
      <c r="R9" s="3"/>
      <c r="S9" s="3">
        <f>IF($H9="","",R9*20%)</f>
      </c>
      <c r="T9" s="3">
        <v>1</v>
      </c>
      <c r="U9" s="3">
        <f>IF($H9="","",N9+Q9+S9)</f>
      </c>
      <c r="V9" s="3">
        <f>IF($H9="","",I9-J9-O9-P9-Q9-R9-S9-T9)</f>
      </c>
      <c r="W9" s="3">
        <f>IF($H9="","",(V9-AE9)/H9*100)</f>
      </c>
      <c r="X9" s="3">
        <f>IF($H9="","",J9-U9)</f>
      </c>
      <c r="AF9" s="3">
        <f>IF($H9="","",V9-AE9)</f>
      </c>
    </row>
    <row r="10" spans="1:34" x14ac:dyDescent="0.25">
      <c r="A10" s="1"/>
      <c r="D10" s="2"/>
      <c r="G10" s="3"/>
      <c r="H10" s="3"/>
      <c r="I10" s="3">
        <f>IF($H10="","",H10-G10)</f>
      </c>
      <c r="J10" s="3">
        <f>IF($H10="","",I10*16.67%)</f>
      </c>
      <c r="K10" s="3">
        <f>IF($H10="","",(H10*6.9%)-(H10*6.9%)*10%)</f>
      </c>
      <c r="L10" s="3">
        <f>IF($H10="","",H10*0.35%)</f>
      </c>
      <c r="M10" s="3">
        <v>0.4</v>
      </c>
      <c r="N10" s="3">
        <f>IF($H10="","",(K10+L10+M10)*20%)</f>
      </c>
      <c r="O10" s="3">
        <f>IF($H10="","",K10+L10+M10+N10)</f>
      </c>
      <c r="P10" s="3"/>
      <c r="Q10" s="3"/>
      <c r="R10" s="3"/>
      <c r="S10" s="3">
        <f>IF($H10="","",R10*20%)</f>
      </c>
      <c r="T10" s="3">
        <v>1</v>
      </c>
      <c r="U10" s="3">
        <f>IF($H10="","",N10+Q10+S10)</f>
      </c>
      <c r="V10" s="3">
        <f>IF($H10="","",I10-J10-O10-P10-Q10-R10-S10-T10)</f>
      </c>
      <c r="W10" s="3">
        <f>IF($H10="","",(V10-AE10)/H10*100)</f>
      </c>
      <c r="X10" s="3">
        <f>IF($H10="","",J10-U10)</f>
      </c>
      <c r="AF10" s="3">
        <f>IF($H10="","",V10-AE10)</f>
      </c>
    </row>
    <row r="11" spans="1:34" x14ac:dyDescent="0.25">
      <c r="A11" s="1"/>
      <c r="D11" s="2"/>
      <c r="G11" s="3"/>
      <c r="H11" s="3"/>
      <c r="I11" s="3">
        <f>IF($H11="","",H11-G11)</f>
      </c>
      <c r="J11" s="3">
        <f>IF($H11="","",I11*16.67%)</f>
      </c>
      <c r="K11" s="3">
        <f>IF($H11="","",(H11*6.9%)-(H11*6.9%)*10%)</f>
      </c>
      <c r="L11" s="3">
        <f>IF($H11="","",H11*0.35%)</f>
      </c>
      <c r="M11" s="3">
        <v>0.4</v>
      </c>
      <c r="N11" s="3">
        <f>IF($H11="","",(K11+L11+M11)*20%)</f>
      </c>
      <c r="O11" s="3">
        <f>IF($H11="","",K11+L11+M11+N11)</f>
      </c>
      <c r="P11" s="3"/>
      <c r="Q11" s="3"/>
      <c r="R11" s="3"/>
      <c r="S11" s="3">
        <f>IF($H11="","",R11*20%)</f>
      </c>
      <c r="T11" s="3">
        <v>1</v>
      </c>
      <c r="U11" s="3">
        <f>IF($H11="","",N11+Q11+S11)</f>
      </c>
      <c r="V11" s="3">
        <f>IF($H11="","",I11-J11-O11-P11-Q11-R11-S11-T11)</f>
      </c>
      <c r="W11" s="3">
        <f>IF($H11="","",(V11-AE11)/H11*100)</f>
      </c>
      <c r="X11" s="3">
        <f>IF($H11="","",J11-U11)</f>
      </c>
      <c r="AF11" s="3">
        <f>IF($H11="","",V11-AE11)</f>
      </c>
    </row>
    <row r="12" spans="1:34" x14ac:dyDescent="0.25">
      <c r="A12" s="1"/>
      <c r="D12" s="2"/>
      <c r="G12" s="3"/>
      <c r="H12" s="3"/>
      <c r="I12" s="3">
        <f>IF($H12="","",H12-G12)</f>
      </c>
      <c r="J12" s="3">
        <f>IF($H12="","",I12*16.67%)</f>
      </c>
      <c r="K12" s="3">
        <f>IF($H12="","",(H12*6.9%)-(H12*6.9%)*10%)</f>
      </c>
      <c r="L12" s="3">
        <f>IF($H12="","",H12*0.35%)</f>
      </c>
      <c r="M12" s="3">
        <v>0.4</v>
      </c>
      <c r="N12" s="3">
        <f>IF($H12="","",(K12+L12+M12)*20%)</f>
      </c>
      <c r="O12" s="3">
        <f>IF($H12="","",K12+L12+M12+N12)</f>
      </c>
      <c r="P12" s="3"/>
      <c r="Q12" s="3"/>
      <c r="R12" s="3"/>
      <c r="S12" s="3">
        <f>IF($H12="","",R12*20%)</f>
      </c>
      <c r="T12" s="3">
        <v>1</v>
      </c>
      <c r="U12" s="3">
        <f>IF($H12="","",N12+Q12+S12)</f>
      </c>
      <c r="V12" s="3">
        <f>IF($H12="","",I12-J12-O12-P12-Q12-R12-S12-T12)</f>
      </c>
      <c r="W12" s="3">
        <f>IF($H12="","",(V12-AE12)/H12*100)</f>
      </c>
      <c r="X12" s="3">
        <f>IF($H12="","",J12-U12)</f>
      </c>
      <c r="AF12" s="3">
        <f>IF($H12="","",V12-AE12)</f>
      </c>
    </row>
    <row r="13" spans="1:34" x14ac:dyDescent="0.25">
      <c r="A13" s="1"/>
      <c r="D13" s="2"/>
      <c r="G13" s="3"/>
      <c r="H13" s="3"/>
      <c r="I13" s="3">
        <f>IF($H13="","",H13-G13)</f>
      </c>
      <c r="J13" s="3">
        <f>IF($H13="","",I13*16.67%)</f>
      </c>
      <c r="K13" s="3">
        <f>IF($H13="","",(H13*6.9%)-(H13*6.9%)*10%)</f>
      </c>
      <c r="L13" s="3">
        <f>IF($H13="","",H13*0.35%)</f>
      </c>
      <c r="M13" s="3">
        <v>0.4</v>
      </c>
      <c r="N13" s="3">
        <f>IF($H13="","",(K13+L13+M13)*20%)</f>
      </c>
      <c r="O13" s="3">
        <f>IF($H13="","",K13+L13+M13+N13)</f>
      </c>
      <c r="P13" s="3"/>
      <c r="Q13" s="3"/>
      <c r="R13" s="3"/>
      <c r="S13" s="3">
        <f>IF($H13="","",R13*20%)</f>
      </c>
      <c r="T13" s="3">
        <v>1</v>
      </c>
      <c r="U13" s="3">
        <f>IF($H13="","",N13+Q13+S13)</f>
      </c>
      <c r="V13" s="3">
        <f>IF($H13="","",I13-J13-O13-P13-Q13-R13-S13-T13)</f>
      </c>
      <c r="W13" s="3">
        <f>IF($H13="","",(V13-AE13)/H13*100)</f>
      </c>
      <c r="X13" s="3">
        <f>IF($H13="","",J13-U13)</f>
      </c>
      <c r="AF13" s="3">
        <f>IF($H13="","",V13-AE13)</f>
      </c>
    </row>
    <row r="14" spans="1:34" x14ac:dyDescent="0.25">
      <c r="A14" s="1"/>
      <c r="D14" s="2"/>
      <c r="G14" s="3"/>
      <c r="H14" s="3"/>
      <c r="I14" s="3">
        <f>IF($H14="","",H14-G14)</f>
      </c>
      <c r="J14" s="3">
        <f>IF($H14="","",I14*16.67%)</f>
      </c>
      <c r="K14" s="3">
        <f>IF($H14="","",(H14*6.9%)-(H14*6.9%)*10%)</f>
      </c>
      <c r="L14" s="3">
        <f>IF($H14="","",H14*0.35%)</f>
      </c>
      <c r="M14" s="3">
        <v>0.4</v>
      </c>
      <c r="N14" s="3">
        <f>IF($H14="","",(K14+L14+M14)*20%)</f>
      </c>
      <c r="O14" s="3">
        <f>IF($H14="","",K14+L14+M14+N14)</f>
      </c>
      <c r="P14" s="3"/>
      <c r="Q14" s="3"/>
      <c r="R14" s="3"/>
      <c r="S14" s="3">
        <f>IF($H14="","",R14*20%)</f>
      </c>
      <c r="T14" s="3">
        <v>1</v>
      </c>
      <c r="U14" s="3">
        <f>IF($H14="","",N14+Q14+S14)</f>
      </c>
      <c r="V14" s="3">
        <f>IF($H14="","",I14-J14-O14-P14-Q14-R14-S14-T14)</f>
      </c>
      <c r="W14" s="3">
        <f>IF($H14="","",(V14-AE14)/H14*100)</f>
      </c>
      <c r="X14" s="3">
        <f>IF($H14="","",J14-U14)</f>
      </c>
      <c r="AF14" s="3">
        <f>IF($H14="","",V14-AE14)</f>
      </c>
    </row>
    <row r="15" spans="1:34" x14ac:dyDescent="0.25">
      <c r="A15" s="1"/>
      <c r="D15" s="2"/>
      <c r="G15" s="3"/>
      <c r="H15" s="3"/>
      <c r="I15" s="3">
        <f>IF($H15="","",H15-G15)</f>
      </c>
      <c r="J15" s="3">
        <f>IF($H15="","",I15*16.67%)</f>
      </c>
      <c r="K15" s="3">
        <f>IF($H15="","",(H15*6.9%)-(H15*6.9%)*10%)</f>
      </c>
      <c r="L15" s="3">
        <f>IF($H15="","",H15*0.35%)</f>
      </c>
      <c r="M15" s="3">
        <v>0.4</v>
      </c>
      <c r="N15" s="3">
        <f>IF($H15="","",(K15+L15+M15)*20%)</f>
      </c>
      <c r="O15" s="3">
        <f>IF($H15="","",K15+L15+M15+N15)</f>
      </c>
      <c r="P15" s="3"/>
      <c r="Q15" s="3"/>
      <c r="R15" s="3"/>
      <c r="S15" s="3">
        <f>IF($H15="","",R15*20%)</f>
      </c>
      <c r="T15" s="3">
        <v>1</v>
      </c>
      <c r="U15" s="3">
        <f>IF($H15="","",N15+Q15+S15)</f>
      </c>
      <c r="V15" s="3">
        <f>IF($H15="","",I15-J15-O15-P15-Q15-R15-S15-T15)</f>
      </c>
      <c r="W15" s="3">
        <f>IF($H15="","",(V15-AE15)/H15*100)</f>
      </c>
      <c r="X15" s="3">
        <f>IF($H15="","",J15-U15)</f>
      </c>
      <c r="AF15" s="3">
        <f>IF($H15="","",V15-AE15)</f>
      </c>
    </row>
    <row r="16" spans="1:34" x14ac:dyDescent="0.25">
      <c r="A16" s="1"/>
      <c r="D16" s="2"/>
      <c r="G16" s="3"/>
      <c r="H16" s="3"/>
      <c r="I16" s="3">
        <f>IF($H16="","",H16-G16)</f>
      </c>
      <c r="J16" s="3">
        <f>IF($H16="","",I16*16.67%)</f>
      </c>
      <c r="K16" s="3">
        <f>IF($H16="","",(H16*6.9%)-(H16*6.9%)*10%)</f>
      </c>
      <c r="L16" s="3">
        <f>IF($H16="","",H16*0.35%)</f>
      </c>
      <c r="M16" s="3">
        <v>0.4</v>
      </c>
      <c r="N16" s="3">
        <f>IF($H16="","",(K16+L16+M16)*20%)</f>
      </c>
      <c r="O16" s="3">
        <f>IF($H16="","",K16+L16+M16+N16)</f>
      </c>
      <c r="P16" s="3"/>
      <c r="Q16" s="3"/>
      <c r="R16" s="3"/>
      <c r="S16" s="3">
        <f>IF($H16="","",R16*20%)</f>
      </c>
      <c r="T16" s="3">
        <v>1</v>
      </c>
      <c r="U16" s="3">
        <f>IF($H16="","",N16+Q16+S16)</f>
      </c>
      <c r="V16" s="3">
        <f>IF($H16="","",I16-J16-O16-P16-Q16-R16-S16-T16)</f>
      </c>
      <c r="W16" s="3">
        <f>IF($H16="","",(V16-AE16)/H16*100)</f>
      </c>
      <c r="X16" s="3">
        <f>IF($H16="","",J16-U16)</f>
      </c>
      <c r="AF16" s="3">
        <f>IF($H16="","",V16-AE16)</f>
      </c>
    </row>
    <row r="17" spans="1:34" x14ac:dyDescent="0.25">
      <c r="A17" s="1"/>
      <c r="D17" s="2"/>
      <c r="G17" s="3"/>
      <c r="H17" s="3"/>
      <c r="I17" s="3">
        <f>IF($H17="","",H17-G17)</f>
      </c>
      <c r="J17" s="3">
        <f>IF($H17="","",I17*16.67%)</f>
      </c>
      <c r="K17" s="3">
        <f>IF($H17="","",(H17*6.9%)-(H17*6.9%)*10%)</f>
      </c>
      <c r="L17" s="3">
        <f>IF($H17="","",H17*0.35%)</f>
      </c>
      <c r="M17" s="3">
        <v>0.4</v>
      </c>
      <c r="N17" s="3">
        <f>IF($H17="","",(K17+L17+M17)*20%)</f>
      </c>
      <c r="O17" s="3">
        <f>IF($H17="","",K17+L17+M17+N17)</f>
      </c>
      <c r="P17" s="3"/>
      <c r="Q17" s="3"/>
      <c r="R17" s="3"/>
      <c r="S17" s="3">
        <f>IF($H17="","",R17*20%)</f>
      </c>
      <c r="T17" s="3">
        <v>1</v>
      </c>
      <c r="U17" s="3">
        <f>IF($H17="","",N17+Q17+S17)</f>
      </c>
      <c r="V17" s="3">
        <f>IF($H17="","",I17-J17-O17-P17-Q17-R17-S17-T17)</f>
      </c>
      <c r="W17" s="3">
        <f>IF($H17="","",(V17-AE17)/H17*100)</f>
      </c>
      <c r="X17" s="3">
        <f>IF($H17="","",J17-U17)</f>
      </c>
      <c r="AF17" s="3">
        <f>IF($H17="","",V17-AE17)</f>
      </c>
    </row>
    <row r="18" spans="1:34" x14ac:dyDescent="0.25">
      <c r="A18" s="1"/>
      <c r="D18" s="2"/>
      <c r="G18" s="3"/>
      <c r="H18" s="3"/>
      <c r="I18" s="3">
        <f>IF($H18="","",H18-G18)</f>
      </c>
      <c r="J18" s="3">
        <f>IF($H18="","",I18*16.67%)</f>
      </c>
      <c r="K18" s="3">
        <f>IF($H18="","",(H18*6.9%)-(H18*6.9%)*10%)</f>
      </c>
      <c r="L18" s="3">
        <f>IF($H18="","",H18*0.35%)</f>
      </c>
      <c r="M18" s="3">
        <v>0.4</v>
      </c>
      <c r="N18" s="3">
        <f>IF($H18="","",(K18+L18+M18)*20%)</f>
      </c>
      <c r="O18" s="3">
        <f>IF($H18="","",K18+L18+M18+N18)</f>
      </c>
      <c r="P18" s="3"/>
      <c r="Q18" s="3"/>
      <c r="R18" s="3"/>
      <c r="S18" s="3">
        <f>IF($H18="","",R18*20%)</f>
      </c>
      <c r="T18" s="3">
        <v>1</v>
      </c>
      <c r="U18" s="3">
        <f>IF($H18="","",N18+Q18+S18)</f>
      </c>
      <c r="V18" s="3">
        <f>IF($H18="","",I18-J18-O18-P18-Q18-R18-S18-T18)</f>
      </c>
      <c r="W18" s="3">
        <f>IF($H18="","",(V18-AE18)/H18*100)</f>
      </c>
      <c r="X18" s="3">
        <f>IF($H18="","",J18-U18)</f>
      </c>
      <c r="AF18" s="3">
        <f>IF($H18="","",V18-AE18)</f>
      </c>
    </row>
    <row r="19" spans="1:34" x14ac:dyDescent="0.25">
      <c r="A19" s="1"/>
      <c r="D19" s="2"/>
      <c r="G19" s="3"/>
      <c r="H19" s="3"/>
      <c r="I19" s="3">
        <f>IF($H19="","",H19-G19)</f>
      </c>
      <c r="J19" s="3">
        <f>IF($H19="","",I19*16.67%)</f>
      </c>
      <c r="K19" s="3">
        <f>IF($H19="","",(H19*6.9%)-(H19*6.9%)*10%)</f>
      </c>
      <c r="L19" s="3">
        <f>IF($H19="","",H19*0.35%)</f>
      </c>
      <c r="M19" s="3">
        <v>0.4</v>
      </c>
      <c r="N19" s="3">
        <f>IF($H19="","",(K19+L19+M19)*20%)</f>
      </c>
      <c r="O19" s="3">
        <f>IF($H19="","",K19+L19+M19+N19)</f>
      </c>
      <c r="P19" s="3"/>
      <c r="Q19" s="3"/>
      <c r="R19" s="3"/>
      <c r="S19" s="3">
        <f>IF($H19="","",R19*20%)</f>
      </c>
      <c r="T19" s="3">
        <v>1</v>
      </c>
      <c r="U19" s="3">
        <f>IF($H19="","",N19+Q19+S19)</f>
      </c>
      <c r="V19" s="3">
        <f>IF($H19="","",I19-J19-O19-P19-Q19-R19-S19-T19)</f>
      </c>
      <c r="W19" s="3">
        <f>IF($H19="","",(V19-AE19)/H19*100)</f>
      </c>
      <c r="X19" s="3">
        <f>IF($H19="","",J19-U19)</f>
      </c>
      <c r="AF19" s="3">
        <f>IF($H19="","",V19-AE19)</f>
      </c>
    </row>
    <row r="20" spans="1:34" x14ac:dyDescent="0.25">
      <c r="A20" s="1"/>
      <c r="D20" s="2"/>
      <c r="G20" s="3"/>
      <c r="H20" s="3"/>
      <c r="I20" s="3">
        <f>IF($H20="","",H20-G20)</f>
      </c>
      <c r="J20" s="3">
        <f>IF($H20="","",I20*16.67%)</f>
      </c>
      <c r="K20" s="3">
        <f>IF($H20="","",(H20*6.9%)-(H20*6.9%)*10%)</f>
      </c>
      <c r="L20" s="3">
        <f>IF($H20="","",H20*0.35%)</f>
      </c>
      <c r="M20" s="3">
        <v>0.4</v>
      </c>
      <c r="N20" s="3">
        <f>IF($H20="","",(K20+L20+M20)*20%)</f>
      </c>
      <c r="O20" s="3">
        <f>IF($H20="","",K20+L20+M20+N20)</f>
      </c>
      <c r="P20" s="3"/>
      <c r="Q20" s="3"/>
      <c r="R20" s="3"/>
      <c r="S20" s="3">
        <f>IF($H20="","",R20*20%)</f>
      </c>
      <c r="T20" s="3">
        <v>1</v>
      </c>
      <c r="U20" s="3">
        <f>IF($H20="","",N20+Q20+S20)</f>
      </c>
      <c r="V20" s="3">
        <f>IF($H20="","",I20-J20-O20-P20-Q20-R20-S20-T20)</f>
      </c>
      <c r="W20" s="3">
        <f>IF($H20="","",(V20-AE20)/H20*100)</f>
      </c>
      <c r="X20" s="3">
        <f>IF($H20="","",J20-U20)</f>
      </c>
      <c r="AF20" s="3">
        <f>IF($H20="","",V20-AE20)</f>
      </c>
    </row>
    <row r="21" spans="1:34" x14ac:dyDescent="0.25">
      <c r="A21" s="1"/>
      <c r="D21" s="2"/>
      <c r="G21" s="3"/>
      <c r="H21" s="3"/>
      <c r="I21" s="3">
        <f>IF($H21="","",H21-G21)</f>
      </c>
      <c r="J21" s="3">
        <f>IF($H21="","",I21*16.67%)</f>
      </c>
      <c r="K21" s="3">
        <f>IF($H21="","",(H21*6.9%)-(H21*6.9%)*10%)</f>
      </c>
      <c r="L21" s="3">
        <f>IF($H21="","",H21*0.35%)</f>
      </c>
      <c r="M21" s="3">
        <v>0.4</v>
      </c>
      <c r="N21" s="3">
        <f>IF($H21="","",(K21+L21+M21)*20%)</f>
      </c>
      <c r="O21" s="3">
        <f>IF($H21="","",K21+L21+M21+N21)</f>
      </c>
      <c r="P21" s="3"/>
      <c r="Q21" s="3"/>
      <c r="R21" s="3"/>
      <c r="S21" s="3">
        <f>IF($H21="","",R21*20%)</f>
      </c>
      <c r="T21" s="3">
        <v>1</v>
      </c>
      <c r="U21" s="3">
        <f>IF($H21="","",N21+Q21+S21)</f>
      </c>
      <c r="V21" s="3">
        <f>IF($H21="","",I21-J21-O21-P21-Q21-R21-S21-T21)</f>
      </c>
      <c r="W21" s="3">
        <f>IF($H21="","",(V21-AE21)/H21*100)</f>
      </c>
      <c r="X21" s="3">
        <f>IF($H21="","",J21-U21)</f>
      </c>
      <c r="AF21" s="3">
        <f>IF($H21="","",V21-AE21)</f>
      </c>
    </row>
    <row r="22" spans="1:34" x14ac:dyDescent="0.25">
      <c r="A22" s="1"/>
      <c r="D22" s="2"/>
      <c r="G22" s="3"/>
      <c r="H22" s="3"/>
      <c r="I22" s="3">
        <f>IF($H22="","",H22-G22)</f>
      </c>
      <c r="J22" s="3">
        <f>IF($H22="","",I22*16.67%)</f>
      </c>
      <c r="K22" s="3">
        <f>IF($H22="","",(H22*6.9%)-(H22*6.9%)*10%)</f>
      </c>
      <c r="L22" s="3">
        <f>IF($H22="","",H22*0.35%)</f>
      </c>
      <c r="M22" s="3">
        <v>0.4</v>
      </c>
      <c r="N22" s="3">
        <f>IF($H22="","",(K22+L22+M22)*20%)</f>
      </c>
      <c r="O22" s="3">
        <f>IF($H22="","",K22+L22+M22+N22)</f>
      </c>
      <c r="P22" s="3"/>
      <c r="Q22" s="3"/>
      <c r="R22" s="3"/>
      <c r="S22" s="3">
        <f>IF($H22="","",R22*20%)</f>
      </c>
      <c r="T22" s="3">
        <v>1</v>
      </c>
      <c r="U22" s="3">
        <f>IF($H22="","",N22+Q22+S22)</f>
      </c>
      <c r="V22" s="3">
        <f>IF($H22="","",I22-J22-O22-P22-Q22-R22-S22-T22)</f>
      </c>
      <c r="W22" s="3">
        <f>IF($H22="","",(V22-AE22)/H22*100)</f>
      </c>
      <c r="X22" s="3">
        <f>IF($H22="","",J22-U22)</f>
      </c>
      <c r="AF22" s="3">
        <f>IF($H22="","",V22-AE22)</f>
      </c>
    </row>
    <row r="23" spans="1:34" x14ac:dyDescent="0.25">
      <c r="A23" s="1"/>
      <c r="D23" s="2"/>
      <c r="G23" s="3"/>
      <c r="H23" s="3"/>
      <c r="I23" s="3">
        <f>IF($H23="","",H23-G23)</f>
      </c>
      <c r="J23" s="3">
        <f>IF($H23="","",I23*16.67%)</f>
      </c>
      <c r="K23" s="3">
        <f>IF($H23="","",(H23*6.9%)-(H23*6.9%)*10%)</f>
      </c>
      <c r="L23" s="3">
        <f>IF($H23="","",H23*0.35%)</f>
      </c>
      <c r="M23" s="3">
        <v>0.4</v>
      </c>
      <c r="N23" s="3">
        <f>IF($H23="","",(K23+L23+M23)*20%)</f>
      </c>
      <c r="O23" s="3">
        <f>IF($H23="","",K23+L23+M23+N23)</f>
      </c>
      <c r="P23" s="3"/>
      <c r="Q23" s="3"/>
      <c r="R23" s="3"/>
      <c r="S23" s="3">
        <f>IF($H23="","",R23*20%)</f>
      </c>
      <c r="T23" s="3">
        <v>1</v>
      </c>
      <c r="U23" s="3">
        <f>IF($H23="","",N23+Q23+S23)</f>
      </c>
      <c r="V23" s="3">
        <f>IF($H23="","",I23-J23-O23-P23-Q23-R23-S23-T23)</f>
      </c>
      <c r="W23" s="3">
        <f>IF($H23="","",(V23-AE23)/H23*100)</f>
      </c>
      <c r="X23" s="3">
        <f>IF($H23="","",J23-U23)</f>
      </c>
      <c r="AF23" s="3">
        <f>IF($H23="","",V23-AE23)</f>
      </c>
    </row>
    <row r="24" spans="1:34" x14ac:dyDescent="0.25">
      <c r="A24" s="1"/>
      <c r="D24" s="2"/>
      <c r="G24" s="3"/>
      <c r="H24" s="3"/>
      <c r="I24" s="3">
        <f>IF($H24="","",H24-G24)</f>
      </c>
      <c r="J24" s="3">
        <f>IF($H24="","",I24*16.67%)</f>
      </c>
      <c r="K24" s="3">
        <f>IF($H24="","",(H24*6.9%)-(H24*6.9%)*10%)</f>
      </c>
      <c r="L24" s="3">
        <f>IF($H24="","",H24*0.35%)</f>
      </c>
      <c r="M24" s="3">
        <v>0.4</v>
      </c>
      <c r="N24" s="3">
        <f>IF($H24="","",(K24+L24+M24)*20%)</f>
      </c>
      <c r="O24" s="3">
        <f>IF($H24="","",K24+L24+M24+N24)</f>
      </c>
      <c r="P24" s="3"/>
      <c r="Q24" s="3"/>
      <c r="R24" s="3"/>
      <c r="S24" s="3">
        <f>IF($H24="","",R24*20%)</f>
      </c>
      <c r="T24" s="3">
        <v>1</v>
      </c>
      <c r="U24" s="3">
        <f>IF($H24="","",N24+Q24+S24)</f>
      </c>
      <c r="V24" s="3">
        <f>IF($H24="","",I24-J24-O24-P24-Q24-R24-S24-T24)</f>
      </c>
      <c r="W24" s="3">
        <f>IF($H24="","",(V24-AE24)/H24*100)</f>
      </c>
      <c r="X24" s="3">
        <f>IF($H24="","",J24-U24)</f>
      </c>
      <c r="AF24" s="3">
        <f>IF($H24="","",V24-AE24)</f>
      </c>
    </row>
    <row r="25" spans="1:34" x14ac:dyDescent="0.25">
      <c r="A25" s="1"/>
      <c r="D25" s="2"/>
      <c r="G25" s="3"/>
      <c r="H25" s="3"/>
      <c r="I25" s="3">
        <f>IF($H25="","",H25-G25)</f>
      </c>
      <c r="J25" s="3">
        <f>IF($H25="","",I25*16.67%)</f>
      </c>
      <c r="K25" s="3">
        <f>IF($H25="","",(H25*6.9%)-(H25*6.9%)*10%)</f>
      </c>
      <c r="L25" s="3">
        <f>IF($H25="","",H25*0.35%)</f>
      </c>
      <c r="M25" s="3">
        <v>0.4</v>
      </c>
      <c r="N25" s="3">
        <f>IF($H25="","",(K25+L25+M25)*20%)</f>
      </c>
      <c r="O25" s="3">
        <f>IF($H25="","",K25+L25+M25+N25)</f>
      </c>
      <c r="P25" s="3"/>
      <c r="Q25" s="3"/>
      <c r="R25" s="3"/>
      <c r="S25" s="3">
        <f>IF($H25="","",R25*20%)</f>
      </c>
      <c r="T25" s="3">
        <v>1</v>
      </c>
      <c r="U25" s="3">
        <f>IF($H25="","",N25+Q25+S25)</f>
      </c>
      <c r="V25" s="3">
        <f>IF($H25="","",I25-J25-O25-P25-Q25-R25-S25-T25)</f>
      </c>
      <c r="W25" s="3">
        <f>IF($H25="","",(V25-AE25)/H25*100)</f>
      </c>
      <c r="X25" s="3">
        <f>IF($H25="","",J25-U25)</f>
      </c>
      <c r="AF25" s="3">
        <f>IF($H25="","",V25-AE25)</f>
      </c>
    </row>
    <row r="26" spans="1:34" x14ac:dyDescent="0.25">
      <c r="A26" s="1"/>
      <c r="D26" s="2"/>
      <c r="G26" s="3"/>
      <c r="H26" s="3"/>
      <c r="I26" s="3">
        <f>IF($H26="","",H26-G26)</f>
      </c>
      <c r="J26" s="3">
        <f>IF($H26="","",I26*16.67%)</f>
      </c>
      <c r="K26" s="3">
        <f>IF($H26="","",(H26*6.9%)-(H26*6.9%)*10%)</f>
      </c>
      <c r="L26" s="3">
        <f>IF($H26="","",H26*0.35%)</f>
      </c>
      <c r="M26" s="3">
        <v>0.4</v>
      </c>
      <c r="N26" s="3">
        <f>IF($H26="","",(K26+L26+M26)*20%)</f>
      </c>
      <c r="O26" s="3">
        <f>IF($H26="","",K26+L26+M26+N26)</f>
      </c>
      <c r="P26" s="3"/>
      <c r="Q26" s="3"/>
      <c r="R26" s="3"/>
      <c r="S26" s="3">
        <f>IF($H26="","",R26*20%)</f>
      </c>
      <c r="T26" s="3">
        <v>1</v>
      </c>
      <c r="U26" s="3">
        <f>IF($H26="","",N26+Q26+S26)</f>
      </c>
      <c r="V26" s="3">
        <f>IF($H26="","",I26-J26-O26-P26-Q26-R26-S26-T26)</f>
      </c>
      <c r="W26" s="3">
        <f>IF($H26="","",(V26-AE26)/H26*100)</f>
      </c>
      <c r="X26" s="3">
        <f>IF($H26="","",J26-U26)</f>
      </c>
      <c r="AF26" s="3">
        <f>IF($H26="","",V26-AE26)</f>
      </c>
    </row>
    <row r="27" spans="1:34" x14ac:dyDescent="0.25">
      <c r="A27" s="1"/>
      <c r="D27" s="2"/>
      <c r="G27" s="3"/>
      <c r="H27" s="3"/>
      <c r="I27" s="3">
        <f>IF($H27="","",H27-G27)</f>
      </c>
      <c r="J27" s="3">
        <f>IF($H27="","",I27*16.67%)</f>
      </c>
      <c r="K27" s="3">
        <f>IF($H27="","",(H27*6.9%)-(H27*6.9%)*10%)</f>
      </c>
      <c r="L27" s="3">
        <f>IF($H27="","",H27*0.35%)</f>
      </c>
      <c r="M27" s="3">
        <v>0.4</v>
      </c>
      <c r="N27" s="3">
        <f>IF($H27="","",(K27+L27+M27)*20%)</f>
      </c>
      <c r="O27" s="3">
        <f>IF($H27="","",K27+L27+M27+N27)</f>
      </c>
      <c r="P27" s="3"/>
      <c r="Q27" s="3"/>
      <c r="R27" s="3"/>
      <c r="S27" s="3">
        <f>IF($H27="","",R27*20%)</f>
      </c>
      <c r="T27" s="3">
        <v>1</v>
      </c>
      <c r="U27" s="3">
        <f>IF($H27="","",N27+Q27+S27)</f>
      </c>
      <c r="V27" s="3">
        <f>IF($H27="","",I27-J27-O27-P27-Q27-R27-S27-T27)</f>
      </c>
      <c r="W27" s="3">
        <f>IF($H27="","",(V27-AE27)/H27*100)</f>
      </c>
      <c r="X27" s="3">
        <f>IF($H27="","",J27-U27)</f>
      </c>
      <c r="AF27" s="3">
        <f>IF($H27="","",V27-AE27)</f>
      </c>
    </row>
    <row r="28" spans="1:34" x14ac:dyDescent="0.25">
      <c r="A28" s="1"/>
      <c r="D28" s="2"/>
      <c r="G28" s="3"/>
      <c r="H28" s="3"/>
      <c r="I28" s="3">
        <f>IF($H28="","",H28-G28)</f>
      </c>
      <c r="J28" s="3">
        <f>IF($H28="","",I28*16.67%)</f>
      </c>
      <c r="K28" s="3">
        <f>IF($H28="","",(H28*6.9%)-(H28*6.9%)*10%)</f>
      </c>
      <c r="L28" s="3">
        <f>IF($H28="","",H28*0.35%)</f>
      </c>
      <c r="M28" s="3">
        <v>0.4</v>
      </c>
      <c r="N28" s="3">
        <f>IF($H28="","",(K28+L28+M28)*20%)</f>
      </c>
      <c r="O28" s="3">
        <f>IF($H28="","",K28+L28+M28+N28)</f>
      </c>
      <c r="P28" s="3"/>
      <c r="Q28" s="3"/>
      <c r="R28" s="3"/>
      <c r="S28" s="3">
        <f>IF($H28="","",R28*20%)</f>
      </c>
      <c r="T28" s="3">
        <v>1</v>
      </c>
      <c r="U28" s="3">
        <f>IF($H28="","",N28+Q28+S28)</f>
      </c>
      <c r="V28" s="3">
        <f>IF($H28="","",I28-J28-O28-P28-Q28-R28-S28-T28)</f>
      </c>
      <c r="W28" s="3">
        <f>IF($H28="","",(V28-AE28)/H28*100)</f>
      </c>
      <c r="X28" s="3">
        <f>IF($H28="","",J28-U28)</f>
      </c>
      <c r="AF28" s="3">
        <f>IF($H28="","",V28-AE28)</f>
      </c>
    </row>
    <row r="29" spans="1:34" x14ac:dyDescent="0.25">
      <c r="A29" s="1"/>
      <c r="D29" s="2"/>
      <c r="G29" s="3"/>
      <c r="H29" s="3"/>
      <c r="I29" s="3">
        <f>IF($H29="","",H29-G29)</f>
      </c>
      <c r="J29" s="3">
        <f>IF($H29="","",I29*16.67%)</f>
      </c>
      <c r="K29" s="3">
        <f>IF($H29="","",(H29*6.9%)-(H29*6.9%)*10%)</f>
      </c>
      <c r="L29" s="3">
        <f>IF($H29="","",H29*0.35%)</f>
      </c>
      <c r="M29" s="3">
        <v>0.4</v>
      </c>
      <c r="N29" s="3">
        <f>IF($H29="","",(K29+L29+M29)*20%)</f>
      </c>
      <c r="O29" s="3">
        <f>IF($H29="","",K29+L29+M29+N29)</f>
      </c>
      <c r="P29" s="3"/>
      <c r="Q29" s="3"/>
      <c r="R29" s="3"/>
      <c r="S29" s="3">
        <f>IF($H29="","",R29*20%)</f>
      </c>
      <c r="T29" s="3">
        <v>1</v>
      </c>
      <c r="U29" s="3">
        <f>IF($H29="","",N29+Q29+S29)</f>
      </c>
      <c r="V29" s="3">
        <f>IF($H29="","",I29-J29-O29-P29-Q29-R29-S29-T29)</f>
      </c>
      <c r="W29" s="3">
        <f>IF($H29="","",(V29-AE29)/H29*100)</f>
      </c>
      <c r="X29" s="3">
        <f>IF($H29="","",J29-U29)</f>
      </c>
      <c r="AF29" s="3">
        <f>IF($H29="","",V29-AE29)</f>
      </c>
    </row>
    <row r="30" spans="1:34" x14ac:dyDescent="0.25">
      <c r="A30" s="1"/>
      <c r="D30" s="2"/>
      <c r="G30" s="3"/>
      <c r="H30" s="3"/>
      <c r="I30" s="3">
        <f>IF($H30="","",H30-G30)</f>
      </c>
      <c r="J30" s="3">
        <f>IF($H30="","",I30*16.67%)</f>
      </c>
      <c r="K30" s="3">
        <f>IF($H30="","",(H30*6.9%)-(H30*6.9%)*10%)</f>
      </c>
      <c r="L30" s="3">
        <f>IF($H30="","",H30*0.35%)</f>
      </c>
      <c r="M30" s="3">
        <v>0.4</v>
      </c>
      <c r="N30" s="3">
        <f>IF($H30="","",(K30+L30+M30)*20%)</f>
      </c>
      <c r="O30" s="3">
        <f>IF($H30="","",K30+L30+M30+N30)</f>
      </c>
      <c r="P30" s="3"/>
      <c r="Q30" s="3"/>
      <c r="R30" s="3"/>
      <c r="S30" s="3">
        <f>IF($H30="","",R30*20%)</f>
      </c>
      <c r="T30" s="3">
        <v>1</v>
      </c>
      <c r="U30" s="3">
        <f>IF($H30="","",N30+Q30+S30)</f>
      </c>
      <c r="V30" s="3">
        <f>IF($H30="","",I30-J30-O30-P30-Q30-R30-S30-T30)</f>
      </c>
      <c r="W30" s="3">
        <f>IF($H30="","",(V30-AE30)/H30*100)</f>
      </c>
      <c r="X30" s="3">
        <f>IF($H30="","",J30-U30)</f>
      </c>
      <c r="AF30" s="3">
        <f>IF($H30="","",V30-AE30)</f>
      </c>
    </row>
    <row r="31" spans="1:34" x14ac:dyDescent="0.25">
      <c r="A31" s="1"/>
      <c r="D31" s="2"/>
      <c r="G31" s="3"/>
      <c r="H31" s="3"/>
      <c r="I31" s="3">
        <f>IF($H31="","",H31-G31)</f>
      </c>
      <c r="J31" s="3">
        <f>IF($H31="","",I31*16.67%)</f>
      </c>
      <c r="K31" s="3">
        <f>IF($H31="","",(H31*6.9%)-(H31*6.9%)*10%)</f>
      </c>
      <c r="L31" s="3">
        <f>IF($H31="","",H31*0.35%)</f>
      </c>
      <c r="M31" s="3">
        <v>0.4</v>
      </c>
      <c r="N31" s="3">
        <f>IF($H31="","",(K31+L31+M31)*20%)</f>
      </c>
      <c r="O31" s="3">
        <f>IF($H31="","",K31+L31+M31+N31)</f>
      </c>
      <c r="P31" s="3"/>
      <c r="Q31" s="3"/>
      <c r="R31" s="3"/>
      <c r="S31" s="3">
        <f>IF($H31="","",R31*20%)</f>
      </c>
      <c r="T31" s="3">
        <v>1</v>
      </c>
      <c r="U31" s="3">
        <f>IF($H31="","",N31+Q31+S31)</f>
      </c>
      <c r="V31" s="3">
        <f>IF($H31="","",I31-J31-O31-P31-Q31-R31-S31-T31)</f>
      </c>
      <c r="W31" s="3">
        <f>IF($H31="","",(V31-AE31)/H31*100)</f>
      </c>
      <c r="X31" s="3">
        <f>IF($H31="","",J31-U31)</f>
      </c>
      <c r="AF31" s="3">
        <f>IF($H31="","",V31-AE31)</f>
      </c>
    </row>
    <row r="32" spans="1:34" x14ac:dyDescent="0.25">
      <c r="A32" s="1"/>
      <c r="D32" s="2"/>
      <c r="G32" s="3"/>
      <c r="H32" s="3"/>
      <c r="I32" s="3">
        <f>IF($H32="","",H32-G32)</f>
      </c>
      <c r="J32" s="3">
        <f>IF($H32="","",I32*16.67%)</f>
      </c>
      <c r="K32" s="3">
        <f>IF($H32="","",(H32*6.9%)-(H32*6.9%)*10%)</f>
      </c>
      <c r="L32" s="3">
        <f>IF($H32="","",H32*0.35%)</f>
      </c>
      <c r="M32" s="3">
        <v>0.4</v>
      </c>
      <c r="N32" s="3">
        <f>IF($H32="","",(K32+L32+M32)*20%)</f>
      </c>
      <c r="O32" s="3">
        <f>IF($H32="","",K32+L32+M32+N32)</f>
      </c>
      <c r="P32" s="3"/>
      <c r="Q32" s="3"/>
      <c r="R32" s="3"/>
      <c r="S32" s="3">
        <f>IF($H32="","",R32*20%)</f>
      </c>
      <c r="T32" s="3">
        <v>1</v>
      </c>
      <c r="U32" s="3">
        <f>IF($H32="","",N32+Q32+S32)</f>
      </c>
      <c r="V32" s="3">
        <f>IF($H32="","",I32-J32-O32-P32-Q32-R32-S32-T32)</f>
      </c>
      <c r="W32" s="3">
        <f>IF($H32="","",(V32-AE32)/H32*100)</f>
      </c>
      <c r="X32" s="3">
        <f>IF($H32="","",J32-U32)</f>
      </c>
      <c r="AF32" s="3">
        <f>IF($H32="","",V32-AE32)</f>
      </c>
    </row>
    <row r="33" spans="1:34" x14ac:dyDescent="0.25">
      <c r="A33" s="1"/>
      <c r="D33" s="2"/>
      <c r="G33" s="3"/>
      <c r="H33" s="3"/>
      <c r="I33" s="3">
        <f>IF($H33="","",H33-G33)</f>
      </c>
      <c r="J33" s="3">
        <f>IF($H33="","",I33*16.67%)</f>
      </c>
      <c r="K33" s="3">
        <f>IF($H33="","",(H33*6.9%)-(H33*6.9%)*10%)</f>
      </c>
      <c r="L33" s="3">
        <f>IF($H33="","",H33*0.35%)</f>
      </c>
      <c r="M33" s="3">
        <v>0.4</v>
      </c>
      <c r="N33" s="3">
        <f>IF($H33="","",(K33+L33+M33)*20%)</f>
      </c>
      <c r="O33" s="3">
        <f>IF($H33="","",K33+L33+M33+N33)</f>
      </c>
      <c r="P33" s="3"/>
      <c r="Q33" s="3"/>
      <c r="R33" s="3"/>
      <c r="S33" s="3">
        <f>IF($H33="","",R33*20%)</f>
      </c>
      <c r="T33" s="3">
        <v>1</v>
      </c>
      <c r="U33" s="3">
        <f>IF($H33="","",N33+Q33+S33)</f>
      </c>
      <c r="V33" s="3">
        <f>IF($H33="","",I33-J33-O33-P33-Q33-R33-S33-T33)</f>
      </c>
      <c r="W33" s="3">
        <f>IF($H33="","",(V33-AE33)/H33*100)</f>
      </c>
      <c r="X33" s="3">
        <f>IF($H33="","",J33-U33)</f>
      </c>
      <c r="AF33" s="3">
        <f>IF($H33="","",V33-AE33)</f>
      </c>
    </row>
    <row r="34" spans="1:34" x14ac:dyDescent="0.25">
      <c r="A34" s="1"/>
      <c r="D34" s="2"/>
      <c r="G34" s="3"/>
      <c r="H34" s="3"/>
      <c r="I34" s="3">
        <f>IF($H34="","",H34-G34)</f>
      </c>
      <c r="J34" s="3">
        <f>IF($H34="","",I34*16.67%)</f>
      </c>
      <c r="K34" s="3">
        <f>IF($H34="","",(H34*6.9%)-(H34*6.9%)*10%)</f>
      </c>
      <c r="L34" s="3">
        <f>IF($H34="","",H34*0.35%)</f>
      </c>
      <c r="M34" s="3">
        <v>0.4</v>
      </c>
      <c r="N34" s="3">
        <f>IF($H34="","",(K34+L34+M34)*20%)</f>
      </c>
      <c r="O34" s="3">
        <f>IF($H34="","",K34+L34+M34+N34)</f>
      </c>
      <c r="P34" s="3"/>
      <c r="Q34" s="3"/>
      <c r="R34" s="3"/>
      <c r="S34" s="3">
        <f>IF($H34="","",R34*20%)</f>
      </c>
      <c r="T34" s="3">
        <v>1</v>
      </c>
      <c r="U34" s="3">
        <f>IF($H34="","",N34+Q34+S34)</f>
      </c>
      <c r="V34" s="3">
        <f>IF($H34="","",I34-J34-O34-P34-Q34-R34-S34-T34)</f>
      </c>
      <c r="W34" s="3">
        <f>IF($H34="","",(V34-AE34)/H34*100)</f>
      </c>
      <c r="X34" s="3">
        <f>IF($H34="","",J34-U34)</f>
      </c>
      <c r="AF34" s="3">
        <f>IF($H34="","",V34-AE34)</f>
      </c>
    </row>
    <row r="35" spans="1:34" x14ac:dyDescent="0.25">
      <c r="A35" s="1"/>
      <c r="D35" s="2"/>
      <c r="G35" s="3"/>
      <c r="H35" s="3"/>
      <c r="I35" s="3">
        <f>IF($H35="","",H35-G35)</f>
      </c>
      <c r="J35" s="3">
        <f>IF($H35="","",I35*16.67%)</f>
      </c>
      <c r="K35" s="3">
        <f>IF($H35="","",(H35*6.9%)-(H35*6.9%)*10%)</f>
      </c>
      <c r="L35" s="3">
        <f>IF($H35="","",H35*0.35%)</f>
      </c>
      <c r="M35" s="3">
        <v>0.4</v>
      </c>
      <c r="N35" s="3">
        <f>IF($H35="","",(K35+L35+M35)*20%)</f>
      </c>
      <c r="O35" s="3">
        <f>IF($H35="","",K35+L35+M35+N35)</f>
      </c>
      <c r="P35" s="3"/>
      <c r="Q35" s="3"/>
      <c r="R35" s="3"/>
      <c r="S35" s="3">
        <f>IF($H35="","",R35*20%)</f>
      </c>
      <c r="T35" s="3">
        <v>1</v>
      </c>
      <c r="U35" s="3">
        <f>IF($H35="","",N35+Q35+S35)</f>
      </c>
      <c r="V35" s="3">
        <f>IF($H35="","",I35-J35-O35-P35-Q35-R35-S35-T35)</f>
      </c>
      <c r="W35" s="3">
        <f>IF($H35="","",(V35-AE35)/H35*100)</f>
      </c>
      <c r="X35" s="3">
        <f>IF($H35="","",J35-U35)</f>
      </c>
      <c r="AF35" s="3">
        <f>IF($H35="","",V35-AE35)</f>
      </c>
    </row>
    <row r="36" spans="1:34" x14ac:dyDescent="0.25">
      <c r="A36" s="1"/>
      <c r="D36" s="2"/>
      <c r="G36" s="3"/>
      <c r="H36" s="3"/>
      <c r="I36" s="3">
        <f>IF($H36="","",H36-G36)</f>
      </c>
      <c r="J36" s="3">
        <f>IF($H36="","",I36*16.67%)</f>
      </c>
      <c r="K36" s="3">
        <f>IF($H36="","",(H36*6.9%)-(H36*6.9%)*10%)</f>
      </c>
      <c r="L36" s="3">
        <f>IF($H36="","",H36*0.35%)</f>
      </c>
      <c r="M36" s="3">
        <v>0.4</v>
      </c>
      <c r="N36" s="3">
        <f>IF($H36="","",(K36+L36+M36)*20%)</f>
      </c>
      <c r="O36" s="3">
        <f>IF($H36="","",K36+L36+M36+N36)</f>
      </c>
      <c r="P36" s="3"/>
      <c r="Q36" s="3"/>
      <c r="R36" s="3"/>
      <c r="S36" s="3">
        <f>IF($H36="","",R36*20%)</f>
      </c>
      <c r="T36" s="3">
        <v>1</v>
      </c>
      <c r="U36" s="3">
        <f>IF($H36="","",N36+Q36+S36)</f>
      </c>
      <c r="V36" s="3">
        <f>IF($H36="","",I36-J36-O36-P36-Q36-R36-S36-T36)</f>
      </c>
      <c r="W36" s="3">
        <f>IF($H36="","",(V36-AE36)/H36*100)</f>
      </c>
      <c r="X36" s="3">
        <f>IF($H36="","",J36-U36)</f>
      </c>
      <c r="AF36" s="3">
        <f>IF($H36="","",V36-AE36)</f>
      </c>
    </row>
    <row r="37" spans="1:34" x14ac:dyDescent="0.25">
      <c r="A37" s="1"/>
      <c r="D37" s="2"/>
      <c r="G37" s="3"/>
      <c r="H37" s="3"/>
      <c r="I37" s="3">
        <f>IF($H37="","",H37-G37)</f>
      </c>
      <c r="J37" s="3">
        <f>IF($H37="","",I37*16.67%)</f>
      </c>
      <c r="K37" s="3">
        <f>IF($H37="","",(H37*6.9%)-(H37*6.9%)*10%)</f>
      </c>
      <c r="L37" s="3">
        <f>IF($H37="","",H37*0.35%)</f>
      </c>
      <c r="M37" s="3">
        <v>0.4</v>
      </c>
      <c r="N37" s="3">
        <f>IF($H37="","",(K37+L37+M37)*20%)</f>
      </c>
      <c r="O37" s="3">
        <f>IF($H37="","",K37+L37+M37+N37)</f>
      </c>
      <c r="P37" s="3"/>
      <c r="Q37" s="3"/>
      <c r="R37" s="3"/>
      <c r="S37" s="3">
        <f>IF($H37="","",R37*20%)</f>
      </c>
      <c r="T37" s="3">
        <v>1</v>
      </c>
      <c r="U37" s="3">
        <f>IF($H37="","",N37+Q37+S37)</f>
      </c>
      <c r="V37" s="3">
        <f>IF($H37="","",I37-J37-O37-P37-Q37-R37-S37-T37)</f>
      </c>
      <c r="W37" s="3">
        <f>IF($H37="","",(V37-AE37)/H37*100)</f>
      </c>
      <c r="X37" s="3">
        <f>IF($H37="","",J37-U37)</f>
      </c>
      <c r="AF37" s="3">
        <f>IF($H37="","",V37-AE37)</f>
      </c>
    </row>
    <row r="38" spans="1:34" x14ac:dyDescent="0.25">
      <c r="A38" s="1"/>
      <c r="D38" s="2"/>
      <c r="G38" s="3"/>
      <c r="H38" s="3"/>
      <c r="I38" s="3">
        <f>IF($H38="","",H38-G38)</f>
      </c>
      <c r="J38" s="3">
        <f>IF($H38="","",I38*16.67%)</f>
      </c>
      <c r="K38" s="3">
        <f>IF($H38="","",(H38*6.9%)-(H38*6.9%)*10%)</f>
      </c>
      <c r="L38" s="3">
        <f>IF($H38="","",H38*0.35%)</f>
      </c>
      <c r="M38" s="3">
        <v>0.4</v>
      </c>
      <c r="N38" s="3">
        <f>IF($H38="","",(K38+L38+M38)*20%)</f>
      </c>
      <c r="O38" s="3">
        <f>IF($H38="","",K38+L38+M38+N38)</f>
      </c>
      <c r="P38" s="3"/>
      <c r="Q38" s="3"/>
      <c r="R38" s="3"/>
      <c r="S38" s="3">
        <f>IF($H38="","",R38*20%)</f>
      </c>
      <c r="T38" s="3">
        <v>1</v>
      </c>
      <c r="U38" s="3">
        <f>IF($H38="","",N38+Q38+S38)</f>
      </c>
      <c r="V38" s="3">
        <f>IF($H38="","",I38-J38-O38-P38-Q38-R38-S38-T38)</f>
      </c>
      <c r="W38" s="3">
        <f>IF($H38="","",(V38-AE38)/H38*100)</f>
      </c>
      <c r="X38" s="3">
        <f>IF($H38="","",J38-U38)</f>
      </c>
      <c r="AF38" s="3">
        <f>IF($H38="","",V38-AE38)</f>
      </c>
    </row>
    <row r="39" spans="1:34" x14ac:dyDescent="0.25">
      <c r="A39" s="1"/>
      <c r="D39" s="2"/>
      <c r="G39" s="3"/>
      <c r="H39" s="3"/>
      <c r="I39" s="3">
        <f>IF($H39="","",H39-G39)</f>
      </c>
      <c r="J39" s="3">
        <f>IF($H39="","",I39*16.67%)</f>
      </c>
      <c r="K39" s="3">
        <f>IF($H39="","",(H39*6.9%)-(H39*6.9%)*10%)</f>
      </c>
      <c r="L39" s="3">
        <f>IF($H39="","",H39*0.35%)</f>
      </c>
      <c r="M39" s="3">
        <v>0.4</v>
      </c>
      <c r="N39" s="3">
        <f>IF($H39="","",(K39+L39+M39)*20%)</f>
      </c>
      <c r="O39" s="3">
        <f>IF($H39="","",K39+L39+M39+N39)</f>
      </c>
      <c r="P39" s="3"/>
      <c r="Q39" s="3"/>
      <c r="R39" s="3"/>
      <c r="S39" s="3">
        <f>IF($H39="","",R39*20%)</f>
      </c>
      <c r="T39" s="3">
        <v>1</v>
      </c>
      <c r="U39" s="3">
        <f>IF($H39="","",N39+Q39+S39)</f>
      </c>
      <c r="V39" s="3">
        <f>IF($H39="","",I39-J39-O39-P39-Q39-R39-S39-T39)</f>
      </c>
      <c r="W39" s="3">
        <f>IF($H39="","",(V39-AE39)/H39*100)</f>
      </c>
      <c r="X39" s="3">
        <f>IF($H39="","",J39-U39)</f>
      </c>
      <c r="AF39" s="3">
        <f>IF($H39="","",V39-AE39)</f>
      </c>
    </row>
    <row r="40" spans="1:34" x14ac:dyDescent="0.25">
      <c r="A40" s="1"/>
      <c r="D40" s="2"/>
      <c r="G40" s="3"/>
      <c r="H40" s="3"/>
      <c r="I40" s="3">
        <f>IF($H40="","",H40-G40)</f>
      </c>
      <c r="J40" s="3">
        <f>IF($H40="","",I40*16.67%)</f>
      </c>
      <c r="K40" s="3">
        <f>IF($H40="","",(H40*6.9%)-(H40*6.9%)*10%)</f>
      </c>
      <c r="L40" s="3">
        <f>IF($H40="","",H40*0.35%)</f>
      </c>
      <c r="M40" s="3">
        <v>0.4</v>
      </c>
      <c r="N40" s="3">
        <f>IF($H40="","",(K40+L40+M40)*20%)</f>
      </c>
      <c r="O40" s="3">
        <f>IF($H40="","",K40+L40+M40+N40)</f>
      </c>
      <c r="P40" s="3"/>
      <c r="Q40" s="3"/>
      <c r="R40" s="3"/>
      <c r="S40" s="3">
        <f>IF($H40="","",R40*20%)</f>
      </c>
      <c r="T40" s="3">
        <v>1</v>
      </c>
      <c r="U40" s="3">
        <f>IF($H40="","",N40+Q40+S40)</f>
      </c>
      <c r="V40" s="3">
        <f>IF($H40="","",I40-J40-O40-P40-Q40-R40-S40-T40)</f>
      </c>
      <c r="W40" s="3">
        <f>IF($H40="","",(V40-AE40)/H40*100)</f>
      </c>
      <c r="X40" s="3">
        <f>IF($H40="","",J40-U40)</f>
      </c>
      <c r="AF40" s="3">
        <f>IF($H40="","",V40-AE40)</f>
      </c>
    </row>
    <row r="41" spans="1:34" x14ac:dyDescent="0.25">
      <c r="A41" s="1"/>
      <c r="D41" s="2"/>
      <c r="G41" s="3"/>
      <c r="H41" s="3"/>
      <c r="I41" s="3">
        <f>IF($H41="","",H41-G41)</f>
      </c>
      <c r="J41" s="3">
        <f>IF($H41="","",I41*16.67%)</f>
      </c>
      <c r="K41" s="3">
        <f>IF($H41="","",(H41*6.9%)-(H41*6.9%)*10%)</f>
      </c>
      <c r="L41" s="3">
        <f>IF($H41="","",H41*0.35%)</f>
      </c>
      <c r="M41" s="3">
        <v>0.4</v>
      </c>
      <c r="N41" s="3">
        <f>IF($H41="","",(K41+L41+M41)*20%)</f>
      </c>
      <c r="O41" s="3">
        <f>IF($H41="","",K41+L41+M41+N41)</f>
      </c>
      <c r="P41" s="3"/>
      <c r="Q41" s="3"/>
      <c r="R41" s="3"/>
      <c r="S41" s="3">
        <f>IF($H41="","",R41*20%)</f>
      </c>
      <c r="T41" s="3">
        <v>1</v>
      </c>
      <c r="U41" s="3">
        <f>IF($H41="","",N41+Q41+S41)</f>
      </c>
      <c r="V41" s="3">
        <f>IF($H41="","",I41-J41-O41-P41-Q41-R41-S41-T41)</f>
      </c>
      <c r="W41" s="3">
        <f>IF($H41="","",(V41-AE41)/H41*100)</f>
      </c>
      <c r="X41" s="3">
        <f>IF($H41="","",J41-U41)</f>
      </c>
      <c r="AF41" s="3">
        <f>IF($H41="","",V41-AE41)</f>
      </c>
    </row>
    <row r="42" spans="1:34" x14ac:dyDescent="0.25">
      <c r="A42" s="1"/>
      <c r="D42" s="2"/>
      <c r="G42" s="3"/>
      <c r="H42" s="3"/>
      <c r="I42" s="3">
        <f>IF($H42="","",H42-G42)</f>
      </c>
      <c r="J42" s="3">
        <f>IF($H42="","",I42*16.67%)</f>
      </c>
      <c r="K42" s="3">
        <f>IF($H42="","",(H42*6.9%)-(H42*6.9%)*10%)</f>
      </c>
      <c r="L42" s="3">
        <f>IF($H42="","",H42*0.35%)</f>
      </c>
      <c r="M42" s="3">
        <v>0.4</v>
      </c>
      <c r="N42" s="3">
        <f>IF($H42="","",(K42+L42+M42)*20%)</f>
      </c>
      <c r="O42" s="3">
        <f>IF($H42="","",K42+L42+M42+N42)</f>
      </c>
      <c r="P42" s="3"/>
      <c r="Q42" s="3"/>
      <c r="R42" s="3"/>
      <c r="S42" s="3">
        <f>IF($H42="","",R42*20%)</f>
      </c>
      <c r="T42" s="3">
        <v>1</v>
      </c>
      <c r="U42" s="3">
        <f>IF($H42="","",N42+Q42+S42)</f>
      </c>
      <c r="V42" s="3">
        <f>IF($H42="","",I42-J42-O42-P42-Q42-R42-S42-T42)</f>
      </c>
      <c r="W42" s="3">
        <f>IF($H42="","",(V42-AE42)/H42*100)</f>
      </c>
      <c r="X42" s="3">
        <f>IF($H42="","",J42-U42)</f>
      </c>
      <c r="AF42" s="3">
        <f>IF($H42="","",V42-AE42)</f>
      </c>
    </row>
    <row r="43" spans="1:34" x14ac:dyDescent="0.25">
      <c r="A43" s="1"/>
      <c r="D43" s="2"/>
      <c r="G43" s="3"/>
      <c r="H43" s="3"/>
      <c r="I43" s="3">
        <f>IF($H43="","",H43-G43)</f>
      </c>
      <c r="J43" s="3">
        <f>IF($H43="","",I43*16.67%)</f>
      </c>
      <c r="K43" s="3">
        <f>IF($H43="","",(H43*6.9%)-(H43*6.9%)*10%)</f>
      </c>
      <c r="L43" s="3">
        <f>IF($H43="","",H43*0.35%)</f>
      </c>
      <c r="M43" s="3">
        <v>0.4</v>
      </c>
      <c r="N43" s="3">
        <f>IF($H43="","",(K43+L43+M43)*20%)</f>
      </c>
      <c r="O43" s="3">
        <f>IF($H43="","",K43+L43+M43+N43)</f>
      </c>
      <c r="P43" s="3"/>
      <c r="Q43" s="3"/>
      <c r="R43" s="3"/>
      <c r="S43" s="3">
        <f>IF($H43="","",R43*20%)</f>
      </c>
      <c r="T43" s="3">
        <v>1</v>
      </c>
      <c r="U43" s="3">
        <f>IF($H43="","",N43+Q43+S43)</f>
      </c>
      <c r="V43" s="3">
        <f>IF($H43="","",I43-J43-O43-P43-Q43-R43-S43-T43)</f>
      </c>
      <c r="W43" s="3">
        <f>IF($H43="","",(V43-AE43)/H43*100)</f>
      </c>
      <c r="X43" s="3">
        <f>IF($H43="","",J43-U43)</f>
      </c>
      <c r="AF43" s="3">
        <f>IF($H43="","",V43-AE43)</f>
      </c>
    </row>
    <row r="44" spans="1:34" x14ac:dyDescent="0.25">
      <c r="A44" s="1"/>
      <c r="D44" s="2"/>
      <c r="G44" s="3"/>
      <c r="H44" s="3"/>
      <c r="I44" s="3">
        <f>IF($H44="","",H44-G44)</f>
      </c>
      <c r="J44" s="3">
        <f>IF($H44="","",I44*16.67%)</f>
      </c>
      <c r="K44" s="3">
        <f>IF($H44="","",(H44*6.9%)-(H44*6.9%)*10%)</f>
      </c>
      <c r="L44" s="3">
        <f>IF($H44="","",H44*0.35%)</f>
      </c>
      <c r="M44" s="3">
        <v>0.4</v>
      </c>
      <c r="N44" s="3">
        <f>IF($H44="","",(K44+L44+M44)*20%)</f>
      </c>
      <c r="O44" s="3">
        <f>IF($H44="","",K44+L44+M44+N44)</f>
      </c>
      <c r="P44" s="3"/>
      <c r="Q44" s="3"/>
      <c r="R44" s="3"/>
      <c r="S44" s="3">
        <f>IF($H44="","",R44*20%)</f>
      </c>
      <c r="T44" s="3">
        <v>1</v>
      </c>
      <c r="U44" s="3">
        <f>IF($H44="","",N44+Q44+S44)</f>
      </c>
      <c r="V44" s="3">
        <f>IF($H44="","",I44-J44-O44-P44-Q44-R44-S44-T44)</f>
      </c>
      <c r="W44" s="3">
        <f>IF($H44="","",(V44-AE44)/H44*100)</f>
      </c>
      <c r="X44" s="3">
        <f>IF($H44="","",J44-U44)</f>
      </c>
      <c r="AF44" s="3">
        <f>IF($H44="","",V44-AE44)</f>
      </c>
    </row>
    <row r="45" spans="1:34" x14ac:dyDescent="0.25">
      <c r="A45" s="1"/>
      <c r="D45" s="2"/>
      <c r="G45" s="3"/>
      <c r="H45" s="3"/>
      <c r="I45" s="3">
        <f>IF($H45="","",H45-G45)</f>
      </c>
      <c r="J45" s="3">
        <f>IF($H45="","",I45*16.67%)</f>
      </c>
      <c r="K45" s="3">
        <f>IF($H45="","",(H45*6.9%)-(H45*6.9%)*10%)</f>
      </c>
      <c r="L45" s="3">
        <f>IF($H45="","",H45*0.35%)</f>
      </c>
      <c r="M45" s="3">
        <v>0.4</v>
      </c>
      <c r="N45" s="3">
        <f>IF($H45="","",(K45+L45+M45)*20%)</f>
      </c>
      <c r="O45" s="3">
        <f>IF($H45="","",K45+L45+M45+N45)</f>
      </c>
      <c r="P45" s="3"/>
      <c r="Q45" s="3"/>
      <c r="R45" s="3"/>
      <c r="S45" s="3">
        <f>IF($H45="","",R45*20%)</f>
      </c>
      <c r="T45" s="3">
        <v>1</v>
      </c>
      <c r="U45" s="3">
        <f>IF($H45="","",N45+Q45+S45)</f>
      </c>
      <c r="V45" s="3">
        <f>IF($H45="","",I45-J45-O45-P45-Q45-R45-S45-T45)</f>
      </c>
      <c r="W45" s="3">
        <f>IF($H45="","",(V45-AE45)/H45*100)</f>
      </c>
      <c r="X45" s="3">
        <f>IF($H45="","",J45-U45)</f>
      </c>
      <c r="AF45" s="3">
        <f>IF($H45="","",V45-AE45)</f>
      </c>
    </row>
    <row r="46" spans="1:34" x14ac:dyDescent="0.25">
      <c r="A46" s="1"/>
      <c r="D46" s="2"/>
      <c r="G46" s="3"/>
      <c r="H46" s="3"/>
      <c r="I46" s="3">
        <f>IF($H46="","",H46-G46)</f>
      </c>
      <c r="J46" s="3">
        <f>IF($H46="","",I46*16.67%)</f>
      </c>
      <c r="K46" s="3">
        <f>IF($H46="","",(H46*6.9%)-(H46*6.9%)*10%)</f>
      </c>
      <c r="L46" s="3">
        <f>IF($H46="","",H46*0.35%)</f>
      </c>
      <c r="M46" s="3">
        <v>0.4</v>
      </c>
      <c r="N46" s="3">
        <f>IF($H46="","",(K46+L46+M46)*20%)</f>
      </c>
      <c r="O46" s="3">
        <f>IF($H46="","",K46+L46+M46+N46)</f>
      </c>
      <c r="P46" s="3"/>
      <c r="Q46" s="3"/>
      <c r="R46" s="3"/>
      <c r="S46" s="3">
        <f>IF($H46="","",R46*20%)</f>
      </c>
      <c r="T46" s="3">
        <v>1</v>
      </c>
      <c r="U46" s="3">
        <f>IF($H46="","",N46+Q46+S46)</f>
      </c>
      <c r="V46" s="3">
        <f>IF($H46="","",I46-J46-O46-P46-Q46-R46-S46-T46)</f>
      </c>
      <c r="W46" s="3">
        <f>IF($H46="","",(V46-AE46)/H46*100)</f>
      </c>
      <c r="X46" s="3">
        <f>IF($H46="","",J46-U46)</f>
      </c>
      <c r="AF46" s="3">
        <f>IF($H46="","",V46-AE46)</f>
      </c>
    </row>
    <row r="47" spans="1:34" x14ac:dyDescent="0.25">
      <c r="A47" s="1"/>
      <c r="D47" s="2"/>
      <c r="G47" s="3"/>
      <c r="H47" s="3"/>
      <c r="I47" s="3">
        <f>IF($H47="","",H47-G47)</f>
      </c>
      <c r="J47" s="3">
        <f>IF($H47="","",I47*16.67%)</f>
      </c>
      <c r="K47" s="3">
        <f>IF($H47="","",(H47*6.9%)-(H47*6.9%)*10%)</f>
      </c>
      <c r="L47" s="3">
        <f>IF($H47="","",H47*0.35%)</f>
      </c>
      <c r="M47" s="3">
        <v>0.4</v>
      </c>
      <c r="N47" s="3">
        <f>IF($H47="","",(K47+L47+M47)*20%)</f>
      </c>
      <c r="O47" s="3">
        <f>IF($H47="","",K47+L47+M47+N47)</f>
      </c>
      <c r="P47" s="3"/>
      <c r="Q47" s="3"/>
      <c r="R47" s="3"/>
      <c r="S47" s="3">
        <f>IF($H47="","",R47*20%)</f>
      </c>
      <c r="T47" s="3">
        <v>1</v>
      </c>
      <c r="U47" s="3">
        <f>IF($H47="","",N47+Q47+S47)</f>
      </c>
      <c r="V47" s="3">
        <f>IF($H47="","",I47-J47-O47-P47-Q47-R47-S47-T47)</f>
      </c>
      <c r="W47" s="3">
        <f>IF($H47="","",(V47-AE47)/H47*100)</f>
      </c>
      <c r="X47" s="3">
        <f>IF($H47="","",J47-U47)</f>
      </c>
      <c r="AF47" s="3">
        <f>IF($H47="","",V47-AE47)</f>
      </c>
    </row>
    <row r="48" spans="1:34" x14ac:dyDescent="0.25">
      <c r="A48" s="1"/>
      <c r="D48" s="2"/>
      <c r="G48" s="3"/>
      <c r="H48" s="3"/>
      <c r="I48" s="3">
        <f>IF($H48="","",H48-G48)</f>
      </c>
      <c r="J48" s="3">
        <f>IF($H48="","",I48*16.67%)</f>
      </c>
      <c r="K48" s="3">
        <f>IF($H48="","",(H48*6.9%)-(H48*6.9%)*10%)</f>
      </c>
      <c r="L48" s="3">
        <f>IF($H48="","",H48*0.35%)</f>
      </c>
      <c r="M48" s="3">
        <v>0.4</v>
      </c>
      <c r="N48" s="3">
        <f>IF($H48="","",(K48+L48+M48)*20%)</f>
      </c>
      <c r="O48" s="3">
        <f>IF($H48="","",K48+L48+M48+N48)</f>
      </c>
      <c r="P48" s="3"/>
      <c r="Q48" s="3"/>
      <c r="R48" s="3"/>
      <c r="S48" s="3">
        <f>IF($H48="","",R48*20%)</f>
      </c>
      <c r="T48" s="3">
        <v>1</v>
      </c>
      <c r="U48" s="3">
        <f>IF($H48="","",N48+Q48+S48)</f>
      </c>
      <c r="V48" s="3">
        <f>IF($H48="","",I48-J48-O48-P48-Q48-R48-S48-T48)</f>
      </c>
      <c r="W48" s="3">
        <f>IF($H48="","",(V48-AE48)/H48*100)</f>
      </c>
      <c r="X48" s="3">
        <f>IF($H48="","",J48-U48)</f>
      </c>
      <c r="AF48" s="3">
        <f>IF($H48="","",V48-AE48)</f>
      </c>
    </row>
    <row r="49" spans="1:34" x14ac:dyDescent="0.25">
      <c r="A49" s="1"/>
      <c r="D49" s="2"/>
      <c r="G49" s="3"/>
      <c r="H49" s="3"/>
      <c r="I49" s="3">
        <f>IF($H49="","",H49-G49)</f>
      </c>
      <c r="J49" s="3">
        <f>IF($H49="","",I49*16.67%)</f>
      </c>
      <c r="K49" s="3">
        <f>IF($H49="","",(H49*6.9%)-(H49*6.9%)*10%)</f>
      </c>
      <c r="L49" s="3">
        <f>IF($H49="","",H49*0.35%)</f>
      </c>
      <c r="M49" s="3">
        <v>0.4</v>
      </c>
      <c r="N49" s="3">
        <f>IF($H49="","",(K49+L49+M49)*20%)</f>
      </c>
      <c r="O49" s="3">
        <f>IF($H49="","",K49+L49+M49+N49)</f>
      </c>
      <c r="P49" s="3"/>
      <c r="Q49" s="3"/>
      <c r="R49" s="3"/>
      <c r="S49" s="3">
        <f>IF($H49="","",R49*20%)</f>
      </c>
      <c r="T49" s="3">
        <v>1</v>
      </c>
      <c r="U49" s="3">
        <f>IF($H49="","",N49+Q49+S49)</f>
      </c>
      <c r="V49" s="3">
        <f>IF($H49="","",I49-J49-O49-P49-Q49-R49-S49-T49)</f>
      </c>
      <c r="W49" s="3">
        <f>IF($H49="","",(V49-AE49)/H49*100)</f>
      </c>
      <c r="X49" s="3">
        <f>IF($H49="","",J49-U49)</f>
      </c>
      <c r="AF49" s="3">
        <f>IF($H49="","",V49-AE49)</f>
      </c>
    </row>
    <row r="50" spans="1:34" x14ac:dyDescent="0.25">
      <c r="A50" s="1"/>
      <c r="D50" s="2"/>
      <c r="G50" s="3"/>
      <c r="H50" s="3"/>
      <c r="I50" s="3">
        <f>IF($H50="","",H50-G50)</f>
      </c>
      <c r="J50" s="3">
        <f>IF($H50="","",I50*16.67%)</f>
      </c>
      <c r="K50" s="3">
        <f>IF($H50="","",(H50*6.9%)-(H50*6.9%)*10%)</f>
      </c>
      <c r="L50" s="3">
        <f>IF($H50="","",H50*0.35%)</f>
      </c>
      <c r="M50" s="3">
        <v>0.4</v>
      </c>
      <c r="N50" s="3">
        <f>IF($H50="","",(K50+L50+M50)*20%)</f>
      </c>
      <c r="O50" s="3">
        <f>IF($H50="","",K50+L50+M50+N50)</f>
      </c>
      <c r="P50" s="3"/>
      <c r="Q50" s="3"/>
      <c r="R50" s="3"/>
      <c r="S50" s="3">
        <f>IF($H50="","",R50*20%)</f>
      </c>
      <c r="T50" s="3">
        <v>1</v>
      </c>
      <c r="U50" s="3">
        <f>IF($H50="","",N50+Q50+S50)</f>
      </c>
      <c r="V50" s="3">
        <f>IF($H50="","",I50-J50-O50-P50-Q50-R50-S50-T50)</f>
      </c>
      <c r="W50" s="3">
        <f>IF($H50="","",(V50-AE50)/H50*100)</f>
      </c>
      <c r="X50" s="3">
        <f>IF($H50="","",J50-U50)</f>
      </c>
      <c r="AF50" s="3">
        <f>IF($H50="","",V50-AE50)</f>
      </c>
    </row>
    <row r="51" spans="1:34" x14ac:dyDescent="0.25">
      <c r="A51" s="1"/>
      <c r="D51" s="2"/>
      <c r="G51" s="3"/>
      <c r="H51" s="3"/>
      <c r="I51" s="3">
        <f>IF($H51="","",H51-G51)</f>
      </c>
      <c r="J51" s="3">
        <f>IF($H51="","",I51*16.67%)</f>
      </c>
      <c r="K51" s="3">
        <f>IF($H51="","",(H51*6.9%)-(H51*6.9%)*10%)</f>
      </c>
      <c r="L51" s="3">
        <f>IF($H51="","",H51*0.35%)</f>
      </c>
      <c r="M51" s="3">
        <v>0.4</v>
      </c>
      <c r="N51" s="3">
        <f>IF($H51="","",(K51+L51+M51)*20%)</f>
      </c>
      <c r="O51" s="3">
        <f>IF($H51="","",K51+L51+M51+N51)</f>
      </c>
      <c r="P51" s="3"/>
      <c r="Q51" s="3"/>
      <c r="R51" s="3"/>
      <c r="S51" s="3">
        <f>IF($H51="","",R51*20%)</f>
      </c>
      <c r="T51" s="3">
        <v>1</v>
      </c>
      <c r="U51" s="3">
        <f>IF($H51="","",N51+Q51+S51)</f>
      </c>
      <c r="V51" s="3">
        <f>IF($H51="","",I51-J51-O51-P51-Q51-R51-S51-T51)</f>
      </c>
      <c r="W51" s="3">
        <f>IF($H51="","",(V51-AE51)/H51*100)</f>
      </c>
      <c r="X51" s="3">
        <f>IF($H51="","",J51-U51)</f>
      </c>
      <c r="AF51" s="3">
        <f>IF($H51="","",V51-AE51)</f>
      </c>
    </row>
    <row r="52" spans="1:34" x14ac:dyDescent="0.25">
      <c r="A52" s="1"/>
      <c r="D52" s="2"/>
      <c r="G52" s="3"/>
      <c r="H52" s="3"/>
      <c r="I52" s="3">
        <f>IF($H52="","",H52-G52)</f>
      </c>
      <c r="J52" s="3">
        <f>IF($H52="","",I52*16.67%)</f>
      </c>
      <c r="K52" s="3">
        <f>IF($H52="","",(H52*6.9%)-(H52*6.9%)*10%)</f>
      </c>
      <c r="L52" s="3">
        <f>IF($H52="","",H52*0.35%)</f>
      </c>
      <c r="M52" s="3">
        <v>0.4</v>
      </c>
      <c r="N52" s="3">
        <f>IF($H52="","",(K52+L52+M52)*20%)</f>
      </c>
      <c r="O52" s="3">
        <f>IF($H52="","",K52+L52+M52+N52)</f>
      </c>
      <c r="P52" s="3"/>
      <c r="Q52" s="3"/>
      <c r="R52" s="3"/>
      <c r="S52" s="3">
        <f>IF($H52="","",R52*20%)</f>
      </c>
      <c r="T52" s="3">
        <v>1</v>
      </c>
      <c r="U52" s="3">
        <f>IF($H52="","",N52+Q52+S52)</f>
      </c>
      <c r="V52" s="3">
        <f>IF($H52="","",I52-J52-O52-P52-Q52-R52-S52-T52)</f>
      </c>
      <c r="W52" s="3">
        <f>IF($H52="","",(V52-AE52)/H52*100)</f>
      </c>
      <c r="X52" s="3">
        <f>IF($H52="","",J52-U52)</f>
      </c>
      <c r="AF52" s="3">
        <f>IF($H52="","",V52-AE52)</f>
      </c>
    </row>
    <row r="53" spans="1:34" x14ac:dyDescent="0.25">
      <c r="A53" s="1"/>
      <c r="D53" s="2"/>
      <c r="G53" s="3"/>
      <c r="H53" s="3"/>
      <c r="I53" s="3">
        <f>IF($H53="","",H53-G53)</f>
      </c>
      <c r="J53" s="3">
        <f>IF($H53="","",I53*16.67%)</f>
      </c>
      <c r="K53" s="3">
        <f>IF($H53="","",(H53*6.9%)-(H53*6.9%)*10%)</f>
      </c>
      <c r="L53" s="3">
        <f>IF($H53="","",H53*0.35%)</f>
      </c>
      <c r="M53" s="3">
        <v>0.4</v>
      </c>
      <c r="N53" s="3">
        <f>IF($H53="","",(K53+L53+M53)*20%)</f>
      </c>
      <c r="O53" s="3">
        <f>IF($H53="","",K53+L53+M53+N53)</f>
      </c>
      <c r="P53" s="3"/>
      <c r="Q53" s="3"/>
      <c r="R53" s="3"/>
      <c r="S53" s="3">
        <f>IF($H53="","",R53*20%)</f>
      </c>
      <c r="T53" s="3">
        <v>1</v>
      </c>
      <c r="U53" s="3">
        <f>IF($H53="","",N53+Q53+S53)</f>
      </c>
      <c r="V53" s="3">
        <f>IF($H53="","",I53-J53-O53-P53-Q53-R53-S53-T53)</f>
      </c>
      <c r="W53" s="3">
        <f>IF($H53="","",(V53-AE53)/H53*100)</f>
      </c>
      <c r="X53" s="3">
        <f>IF($H53="","",J53-U53)</f>
      </c>
      <c r="AF53" s="3">
        <f>IF($H53="","",V53-AE53)</f>
      </c>
    </row>
    <row r="54" spans="1:34" x14ac:dyDescent="0.25">
      <c r="A54" s="1"/>
      <c r="D54" s="2"/>
      <c r="G54" s="3"/>
      <c r="H54" s="3"/>
      <c r="I54" s="3">
        <f>IF($H54="","",H54-G54)</f>
      </c>
      <c r="J54" s="3">
        <f>IF($H54="","",I54*16.67%)</f>
      </c>
      <c r="K54" s="3">
        <f>IF($H54="","",(H54*6.9%)-(H54*6.9%)*10%)</f>
      </c>
      <c r="L54" s="3">
        <f>IF($H54="","",H54*0.35%)</f>
      </c>
      <c r="M54" s="3">
        <v>0.4</v>
      </c>
      <c r="N54" s="3">
        <f>IF($H54="","",(K54+L54+M54)*20%)</f>
      </c>
      <c r="O54" s="3">
        <f>IF($H54="","",K54+L54+M54+N54)</f>
      </c>
      <c r="P54" s="3"/>
      <c r="Q54" s="3"/>
      <c r="R54" s="3"/>
      <c r="S54" s="3">
        <f>IF($H54="","",R54*20%)</f>
      </c>
      <c r="T54" s="3">
        <v>1</v>
      </c>
      <c r="U54" s="3">
        <f>IF($H54="","",N54+Q54+S54)</f>
      </c>
      <c r="V54" s="3">
        <f>IF($H54="","",I54-J54-O54-P54-Q54-R54-S54-T54)</f>
      </c>
      <c r="W54" s="3">
        <f>IF($H54="","",(V54-AE54)/H54*100)</f>
      </c>
      <c r="X54" s="3">
        <f>IF($H54="","",J54-U54)</f>
      </c>
      <c r="AF54" s="3">
        <f>IF($H54="","",V54-AE54)</f>
      </c>
    </row>
    <row r="55" spans="1:34" x14ac:dyDescent="0.25">
      <c r="A55" s="1"/>
      <c r="D55" s="2"/>
      <c r="G55" s="3"/>
      <c r="H55" s="3"/>
      <c r="I55" s="3">
        <f>IF($H55="","",H55-G55)</f>
      </c>
      <c r="J55" s="3">
        <f>IF($H55="","",I55*16.67%)</f>
      </c>
      <c r="K55" s="3">
        <f>IF($H55="","",(H55*6.9%)-(H55*6.9%)*10%)</f>
      </c>
      <c r="L55" s="3">
        <f>IF($H55="","",H55*0.35%)</f>
      </c>
      <c r="M55" s="3">
        <v>0.4</v>
      </c>
      <c r="N55" s="3">
        <f>IF($H55="","",(K55+L55+M55)*20%)</f>
      </c>
      <c r="O55" s="3">
        <f>IF($H55="","",K55+L55+M55+N55)</f>
      </c>
      <c r="P55" s="3"/>
      <c r="Q55" s="3"/>
      <c r="R55" s="3"/>
      <c r="S55" s="3">
        <f>IF($H55="","",R55*20%)</f>
      </c>
      <c r="T55" s="3">
        <v>1</v>
      </c>
      <c r="U55" s="3">
        <f>IF($H55="","",N55+Q55+S55)</f>
      </c>
      <c r="V55" s="3">
        <f>IF($H55="","",I55-J55-O55-P55-Q55-R55-S55-T55)</f>
      </c>
      <c r="W55" s="3">
        <f>IF($H55="","",(V55-AE55)/H55*100)</f>
      </c>
      <c r="X55" s="3">
        <f>IF($H55="","",J55-U55)</f>
      </c>
      <c r="AF55" s="3">
        <f>IF($H55="","",V55-AE55)</f>
      </c>
    </row>
    <row r="56" spans="1:34" x14ac:dyDescent="0.25">
      <c r="A56" s="1"/>
      <c r="D56" s="2"/>
      <c r="G56" s="3"/>
      <c r="H56" s="3"/>
      <c r="I56" s="3">
        <f>IF($H56="","",H56-G56)</f>
      </c>
      <c r="J56" s="3">
        <f>IF($H56="","",I56*16.67%)</f>
      </c>
      <c r="K56" s="3">
        <f>IF($H56="","",(H56*6.9%)-(H56*6.9%)*10%)</f>
      </c>
      <c r="L56" s="3">
        <f>IF($H56="","",H56*0.35%)</f>
      </c>
      <c r="M56" s="3">
        <v>0.4</v>
      </c>
      <c r="N56" s="3">
        <f>IF($H56="","",(K56+L56+M56)*20%)</f>
      </c>
      <c r="O56" s="3">
        <f>IF($H56="","",K56+L56+M56+N56)</f>
      </c>
      <c r="P56" s="3"/>
      <c r="Q56" s="3"/>
      <c r="R56" s="3"/>
      <c r="S56" s="3">
        <f>IF($H56="","",R56*20%)</f>
      </c>
      <c r="T56" s="3">
        <v>1</v>
      </c>
      <c r="U56" s="3">
        <f>IF($H56="","",N56+Q56+S56)</f>
      </c>
      <c r="V56" s="3">
        <f>IF($H56="","",I56-J56-O56-P56-Q56-R56-S56-T56)</f>
      </c>
      <c r="W56" s="3">
        <f>IF($H56="","",(V56-AE56)/H56*100)</f>
      </c>
      <c r="X56" s="3">
        <f>IF($H56="","",J56-U56)</f>
      </c>
      <c r="AF56" s="3">
        <f>IF($H56="","",V56-AE56)</f>
      </c>
    </row>
    <row r="57" spans="1:34" x14ac:dyDescent="0.25">
      <c r="A57" s="1"/>
      <c r="D57" s="2"/>
      <c r="G57" s="3"/>
      <c r="H57" s="3"/>
      <c r="I57" s="3">
        <f>IF($H57="","",H57-G57)</f>
      </c>
      <c r="J57" s="3">
        <f>IF($H57="","",I57*16.67%)</f>
      </c>
      <c r="K57" s="3">
        <f>IF($H57="","",(H57*6.9%)-(H57*6.9%)*10%)</f>
      </c>
      <c r="L57" s="3">
        <f>IF($H57="","",H57*0.35%)</f>
      </c>
      <c r="M57" s="3">
        <v>0.4</v>
      </c>
      <c r="N57" s="3">
        <f>IF($H57="","",(K57+L57+M57)*20%)</f>
      </c>
      <c r="O57" s="3">
        <f>IF($H57="","",K57+L57+M57+N57)</f>
      </c>
      <c r="P57" s="3"/>
      <c r="Q57" s="3"/>
      <c r="R57" s="3"/>
      <c r="S57" s="3">
        <f>IF($H57="","",R57*20%)</f>
      </c>
      <c r="T57" s="3">
        <v>1</v>
      </c>
      <c r="U57" s="3">
        <f>IF($H57="","",N57+Q57+S57)</f>
      </c>
      <c r="V57" s="3">
        <f>IF($H57="","",I57-J57-O57-P57-Q57-R57-S57-T57)</f>
      </c>
      <c r="W57" s="3">
        <f>IF($H57="","",(V57-AE57)/H57*100)</f>
      </c>
      <c r="X57" s="3">
        <f>IF($H57="","",J57-U57)</f>
      </c>
      <c r="AF57" s="3">
        <f>IF($H57="","",V57-AE57)</f>
      </c>
    </row>
    <row r="58" spans="1:34" x14ac:dyDescent="0.25">
      <c r="A58" s="1"/>
      <c r="D58" s="2"/>
      <c r="G58" s="3"/>
      <c r="H58" s="3"/>
      <c r="I58" s="3">
        <f>IF($H58="","",H58-G58)</f>
      </c>
      <c r="J58" s="3">
        <f>IF($H58="","",I58*16.67%)</f>
      </c>
      <c r="K58" s="3">
        <f>IF($H58="","",(H58*6.9%)-(H58*6.9%)*10%)</f>
      </c>
      <c r="L58" s="3">
        <f>IF($H58="","",H58*0.35%)</f>
      </c>
      <c r="M58" s="3">
        <v>0.4</v>
      </c>
      <c r="N58" s="3">
        <f>IF($H58="","",(K58+L58+M58)*20%)</f>
      </c>
      <c r="O58" s="3">
        <f>IF($H58="","",K58+L58+M58+N58)</f>
      </c>
      <c r="P58" s="3"/>
      <c r="Q58" s="3"/>
      <c r="R58" s="3"/>
      <c r="S58" s="3">
        <f>IF($H58="","",R58*20%)</f>
      </c>
      <c r="T58" s="3">
        <v>1</v>
      </c>
      <c r="U58" s="3">
        <f>IF($H58="","",N58+Q58+S58)</f>
      </c>
      <c r="V58" s="3">
        <f>IF($H58="","",I58-J58-O58-P58-Q58-R58-S58-T58)</f>
      </c>
      <c r="W58" s="3">
        <f>IF($H58="","",(V58-AE58)/H58*100)</f>
      </c>
      <c r="X58" s="3">
        <f>IF($H58="","",J58-U58)</f>
      </c>
      <c r="AF58" s="3">
        <f>IF($H58="","",V58-AE58)</f>
      </c>
    </row>
    <row r="59" spans="1:34" x14ac:dyDescent="0.25">
      <c r="A59" s="1"/>
      <c r="D59" s="2"/>
      <c r="G59" s="3"/>
      <c r="H59" s="3"/>
      <c r="I59" s="3">
        <f>IF($H59="","",H59-G59)</f>
      </c>
      <c r="J59" s="3">
        <f>IF($H59="","",I59*16.67%)</f>
      </c>
      <c r="K59" s="3">
        <f>IF($H59="","",(H59*6.9%)-(H59*6.9%)*10%)</f>
      </c>
      <c r="L59" s="3">
        <f>IF($H59="","",H59*0.35%)</f>
      </c>
      <c r="M59" s="3">
        <v>0.4</v>
      </c>
      <c r="N59" s="3">
        <f>IF($H59="","",(K59+L59+M59)*20%)</f>
      </c>
      <c r="O59" s="3">
        <f>IF($H59="","",K59+L59+M59+N59)</f>
      </c>
      <c r="P59" s="3"/>
      <c r="Q59" s="3"/>
      <c r="R59" s="3"/>
      <c r="S59" s="3">
        <f>IF($H59="","",R59*20%)</f>
      </c>
      <c r="T59" s="3">
        <v>1</v>
      </c>
      <c r="U59" s="3">
        <f>IF($H59="","",N59+Q59+S59)</f>
      </c>
      <c r="V59" s="3">
        <f>IF($H59="","",I59-J59-O59-P59-Q59-R59-S59-T59)</f>
      </c>
      <c r="W59" s="3">
        <f>IF($H59="","",(V59-AE59)/H59*100)</f>
      </c>
      <c r="X59" s="3">
        <f>IF($H59="","",J59-U59)</f>
      </c>
      <c r="AF59" s="3">
        <f>IF($H59="","",V59-AE59)</f>
      </c>
    </row>
    <row r="60" spans="1:34" x14ac:dyDescent="0.25">
      <c r="A60" s="1"/>
      <c r="D60" s="2"/>
      <c r="G60" s="3"/>
      <c r="H60" s="3"/>
      <c r="I60" s="3">
        <f>IF($H60="","",H60-G60)</f>
      </c>
      <c r="J60" s="3">
        <f>IF($H60="","",I60*16.67%)</f>
      </c>
      <c r="K60" s="3">
        <f>IF($H60="","",(H60*6.9%)-(H60*6.9%)*10%)</f>
      </c>
      <c r="L60" s="3">
        <f>IF($H60="","",H60*0.35%)</f>
      </c>
      <c r="M60" s="3">
        <v>0.4</v>
      </c>
      <c r="N60" s="3">
        <f>IF($H60="","",(K60+L60+M60)*20%)</f>
      </c>
      <c r="O60" s="3">
        <f>IF($H60="","",K60+L60+M60+N60)</f>
      </c>
      <c r="P60" s="3"/>
      <c r="Q60" s="3"/>
      <c r="R60" s="3"/>
      <c r="S60" s="3">
        <f>IF($H60="","",R60*20%)</f>
      </c>
      <c r="T60" s="3">
        <v>1</v>
      </c>
      <c r="U60" s="3">
        <f>IF($H60="","",N60+Q60+S60)</f>
      </c>
      <c r="V60" s="3">
        <f>IF($H60="","",I60-J60-O60-P60-Q60-R60-S60-T60)</f>
      </c>
      <c r="W60" s="3">
        <f>IF($H60="","",(V60-AE60)/H60*100)</f>
      </c>
      <c r="X60" s="3">
        <f>IF($H60="","",J60-U60)</f>
      </c>
      <c r="AF60" s="3">
        <f>IF($H60="","",V60-AE60)</f>
      </c>
    </row>
    <row r="61" spans="1:34" x14ac:dyDescent="0.25">
      <c r="A61" s="1"/>
      <c r="D61" s="2"/>
      <c r="G61" s="3"/>
      <c r="H61" s="3"/>
      <c r="I61" s="3">
        <f>IF($H61="","",H61-G61)</f>
      </c>
      <c r="J61" s="3">
        <f>IF($H61="","",I61*16.67%)</f>
      </c>
      <c r="K61" s="3">
        <f>IF($H61="","",(H61*6.9%)-(H61*6.9%)*10%)</f>
      </c>
      <c r="L61" s="3">
        <f>IF($H61="","",H61*0.35%)</f>
      </c>
      <c r="M61" s="3">
        <v>0.4</v>
      </c>
      <c r="N61" s="3">
        <f>IF($H61="","",(K61+L61+M61)*20%)</f>
      </c>
      <c r="O61" s="3">
        <f>IF($H61="","",K61+L61+M61+N61)</f>
      </c>
      <c r="P61" s="3"/>
      <c r="Q61" s="3"/>
      <c r="R61" s="3"/>
      <c r="S61" s="3">
        <f>IF($H61="","",R61*20%)</f>
      </c>
      <c r="T61" s="3">
        <v>1</v>
      </c>
      <c r="U61" s="3">
        <f>IF($H61="","",N61+Q61+S61)</f>
      </c>
      <c r="V61" s="3">
        <f>IF($H61="","",I61-J61-O61-P61-Q61-R61-S61-T61)</f>
      </c>
      <c r="W61" s="3">
        <f>IF($H61="","",(V61-AE61)/H61*100)</f>
      </c>
      <c r="X61" s="3">
        <f>IF($H61="","",J61-U61)</f>
      </c>
      <c r="AF61" s="3">
        <f>IF($H61="","",V61-AE61)</f>
      </c>
    </row>
    <row r="62" spans="1:34" x14ac:dyDescent="0.25">
      <c r="A62" s="1"/>
      <c r="D62" s="2"/>
      <c r="G62" s="3"/>
      <c r="H62" s="3"/>
      <c r="I62" s="3">
        <f>IF($H62="","",H62-G62)</f>
      </c>
      <c r="J62" s="3">
        <f>IF($H62="","",I62*16.67%)</f>
      </c>
      <c r="K62" s="3">
        <f>IF($H62="","",(H62*6.9%)-(H62*6.9%)*10%)</f>
      </c>
      <c r="L62" s="3">
        <f>IF($H62="","",H62*0.35%)</f>
      </c>
      <c r="M62" s="3">
        <v>0.4</v>
      </c>
      <c r="N62" s="3">
        <f>IF($H62="","",(K62+L62+M62)*20%)</f>
      </c>
      <c r="O62" s="3">
        <f>IF($H62="","",K62+L62+M62+N62)</f>
      </c>
      <c r="P62" s="3"/>
      <c r="Q62" s="3"/>
      <c r="R62" s="3"/>
      <c r="S62" s="3">
        <f>IF($H62="","",R62*20%)</f>
      </c>
      <c r="T62" s="3">
        <v>1</v>
      </c>
      <c r="U62" s="3">
        <f>IF($H62="","",N62+Q62+S62)</f>
      </c>
      <c r="V62" s="3">
        <f>IF($H62="","",I62-J62-O62-P62-Q62-R62-S62-T62)</f>
      </c>
      <c r="W62" s="3">
        <f>IF($H62="","",(V62-AE62)/H62*100)</f>
      </c>
      <c r="X62" s="3">
        <f>IF($H62="","",J62-U62)</f>
      </c>
      <c r="AF62" s="3">
        <f>IF($H62="","",V62-AE62)</f>
      </c>
    </row>
    <row r="63" spans="1:34" x14ac:dyDescent="0.25">
      <c r="A63" s="1"/>
      <c r="D63" s="2"/>
      <c r="G63" s="3"/>
      <c r="H63" s="3"/>
      <c r="I63" s="3">
        <f>IF($H63="","",H63-G63)</f>
      </c>
      <c r="J63" s="3">
        <f>IF($H63="","",I63*16.67%)</f>
      </c>
      <c r="K63" s="3">
        <f>IF($H63="","",(H63*6.9%)-(H63*6.9%)*10%)</f>
      </c>
      <c r="L63" s="3">
        <f>IF($H63="","",H63*0.35%)</f>
      </c>
      <c r="M63" s="3">
        <v>0.4</v>
      </c>
      <c r="N63" s="3">
        <f>IF($H63="","",(K63+L63+M63)*20%)</f>
      </c>
      <c r="O63" s="3">
        <f>IF($H63="","",K63+L63+M63+N63)</f>
      </c>
      <c r="P63" s="3"/>
      <c r="Q63" s="3"/>
      <c r="R63" s="3"/>
      <c r="S63" s="3">
        <f>IF($H63="","",R63*20%)</f>
      </c>
      <c r="T63" s="3">
        <v>1</v>
      </c>
      <c r="U63" s="3">
        <f>IF($H63="","",N63+Q63+S63)</f>
      </c>
      <c r="V63" s="3">
        <f>IF($H63="","",I63-J63-O63-P63-Q63-R63-S63-T63)</f>
      </c>
      <c r="W63" s="3">
        <f>IF($H63="","",(V63-AE63)/H63*100)</f>
      </c>
      <c r="X63" s="3">
        <f>IF($H63="","",J63-U63)</f>
      </c>
      <c r="AF63" s="3">
        <f>IF($H63="","",V63-AE63)</f>
      </c>
    </row>
    <row r="64" spans="1:34" x14ac:dyDescent="0.25">
      <c r="A64" s="1"/>
      <c r="D64" s="2"/>
      <c r="G64" s="3"/>
      <c r="H64" s="3"/>
      <c r="I64" s="3">
        <f>IF($H64="","",H64-G64)</f>
      </c>
      <c r="J64" s="3">
        <f>IF($H64="","",I64*16.67%)</f>
      </c>
      <c r="K64" s="3">
        <f>IF($H64="","",(H64*6.9%)-(H64*6.9%)*10%)</f>
      </c>
      <c r="L64" s="3">
        <f>IF($H64="","",H64*0.35%)</f>
      </c>
      <c r="M64" s="3">
        <v>0.4</v>
      </c>
      <c r="N64" s="3">
        <f>IF($H64="","",(K64+L64+M64)*20%)</f>
      </c>
      <c r="O64" s="3">
        <f>IF($H64="","",K64+L64+M64+N64)</f>
      </c>
      <c r="P64" s="3"/>
      <c r="Q64" s="3"/>
      <c r="R64" s="3"/>
      <c r="S64" s="3">
        <f>IF($H64="","",R64*20%)</f>
      </c>
      <c r="T64" s="3">
        <v>1</v>
      </c>
      <c r="U64" s="3">
        <f>IF($H64="","",N64+Q64+S64)</f>
      </c>
      <c r="V64" s="3">
        <f>IF($H64="","",I64-J64-O64-P64-Q64-R64-S64-T64)</f>
      </c>
      <c r="W64" s="3">
        <f>IF($H64="","",(V64-AE64)/H64*100)</f>
      </c>
      <c r="X64" s="3">
        <f>IF($H64="","",J64-U64)</f>
      </c>
      <c r="AF64" s="3">
        <f>IF($H64="","",V64-AE64)</f>
      </c>
    </row>
    <row r="65" spans="1:34" x14ac:dyDescent="0.25">
      <c r="A65" s="1"/>
      <c r="D65" s="2"/>
      <c r="G65" s="3"/>
      <c r="H65" s="3"/>
      <c r="I65" s="3">
        <f>IF($H65="","",H65-G65)</f>
      </c>
      <c r="J65" s="3">
        <f>IF($H65="","",I65*16.67%)</f>
      </c>
      <c r="K65" s="3">
        <f>IF($H65="","",(H65*6.9%)-(H65*6.9%)*10%)</f>
      </c>
      <c r="L65" s="3">
        <f>IF($H65="","",H65*0.35%)</f>
      </c>
      <c r="M65" s="3">
        <v>0.4</v>
      </c>
      <c r="N65" s="3">
        <f>IF($H65="","",(K65+L65+M65)*20%)</f>
      </c>
      <c r="O65" s="3">
        <f>IF($H65="","",K65+L65+M65+N65)</f>
      </c>
      <c r="P65" s="3"/>
      <c r="Q65" s="3"/>
      <c r="R65" s="3"/>
      <c r="S65" s="3">
        <f>IF($H65="","",R65*20%)</f>
      </c>
      <c r="T65" s="3">
        <v>1</v>
      </c>
      <c r="U65" s="3">
        <f>IF($H65="","",N65+Q65+S65)</f>
      </c>
      <c r="V65" s="3">
        <f>IF($H65="","",I65-J65-O65-P65-Q65-R65-S65-T65)</f>
      </c>
      <c r="W65" s="3">
        <f>IF($H65="","",(V65-AE65)/H65*100)</f>
      </c>
      <c r="X65" s="3">
        <f>IF($H65="","",J65-U65)</f>
      </c>
      <c r="AF65" s="3">
        <f>IF($H65="","",V65-AE65)</f>
      </c>
    </row>
    <row r="66" spans="1:34" x14ac:dyDescent="0.25">
      <c r="A66" s="1"/>
      <c r="D66" s="2"/>
      <c r="G66" s="3"/>
      <c r="H66" s="3"/>
      <c r="I66" s="3">
        <f>IF($H66="","",H66-G66)</f>
      </c>
      <c r="J66" s="3">
        <f>IF($H66="","",I66*16.67%)</f>
      </c>
      <c r="K66" s="3">
        <f>IF($H66="","",(H66*6.9%)-(H66*6.9%)*10%)</f>
      </c>
      <c r="L66" s="3">
        <f>IF($H66="","",H66*0.35%)</f>
      </c>
      <c r="M66" s="3">
        <v>0.4</v>
      </c>
      <c r="N66" s="3">
        <f>IF($H66="","",(K66+L66+M66)*20%)</f>
      </c>
      <c r="O66" s="3">
        <f>IF($H66="","",K66+L66+M66+N66)</f>
      </c>
      <c r="P66" s="3"/>
      <c r="Q66" s="3"/>
      <c r="R66" s="3"/>
      <c r="S66" s="3">
        <f>IF($H66="","",R66*20%)</f>
      </c>
      <c r="T66" s="3">
        <v>1</v>
      </c>
      <c r="U66" s="3">
        <f>IF($H66="","",N66+Q66+S66)</f>
      </c>
      <c r="V66" s="3">
        <f>IF($H66="","",I66-J66-O66-P66-Q66-R66-S66-T66)</f>
      </c>
      <c r="W66" s="3">
        <f>IF($H66="","",(V66-AE66)/H66*100)</f>
      </c>
      <c r="X66" s="3">
        <f>IF($H66="","",J66-U66)</f>
      </c>
      <c r="AF66" s="3">
        <f>IF($H66="","",V66-AE66)</f>
      </c>
    </row>
    <row r="67" spans="1:34" x14ac:dyDescent="0.25">
      <c r="A67" s="1"/>
      <c r="D67" s="2"/>
      <c r="G67" s="3"/>
      <c r="H67" s="3"/>
      <c r="I67" s="3">
        <f>IF($H67="","",H67-G67)</f>
      </c>
      <c r="J67" s="3">
        <f>IF($H67="","",I67*16.67%)</f>
      </c>
      <c r="K67" s="3">
        <f>IF($H67="","",(H67*6.9%)-(H67*6.9%)*10%)</f>
      </c>
      <c r="L67" s="3">
        <f>IF($H67="","",H67*0.35%)</f>
      </c>
      <c r="M67" s="3">
        <v>0.4</v>
      </c>
      <c r="N67" s="3">
        <f>IF($H67="","",(K67+L67+M67)*20%)</f>
      </c>
      <c r="O67" s="3">
        <f>IF($H67="","",K67+L67+M67+N67)</f>
      </c>
      <c r="P67" s="3"/>
      <c r="Q67" s="3"/>
      <c r="R67" s="3"/>
      <c r="S67" s="3">
        <f>IF($H67="","",R67*20%)</f>
      </c>
      <c r="T67" s="3">
        <v>1</v>
      </c>
      <c r="U67" s="3">
        <f>IF($H67="","",N67+Q67+S67)</f>
      </c>
      <c r="V67" s="3">
        <f>IF($H67="","",I67-J67-O67-P67-Q67-R67-S67-T67)</f>
      </c>
      <c r="W67" s="3">
        <f>IF($H67="","",(V67-AE67)/H67*100)</f>
      </c>
      <c r="X67" s="3">
        <f>IF($H67="","",J67-U67)</f>
      </c>
      <c r="AF67" s="3">
        <f>IF($H67="","",V67-AE67)</f>
      </c>
    </row>
    <row r="68" spans="1:34" x14ac:dyDescent="0.25">
      <c r="A68" s="1"/>
      <c r="D68" s="2"/>
      <c r="G68" s="3"/>
      <c r="H68" s="3"/>
      <c r="I68" s="3">
        <f>IF($H68="","",H68-G68)</f>
      </c>
      <c r="J68" s="3">
        <f>IF($H68="","",I68*16.67%)</f>
      </c>
      <c r="K68" s="3">
        <f>IF($H68="","",(H68*6.9%)-(H68*6.9%)*10%)</f>
      </c>
      <c r="L68" s="3">
        <f>IF($H68="","",H68*0.35%)</f>
      </c>
      <c r="M68" s="3">
        <v>0.4</v>
      </c>
      <c r="N68" s="3">
        <f>IF($H68="","",(K68+L68+M68)*20%)</f>
      </c>
      <c r="O68" s="3">
        <f>IF($H68="","",K68+L68+M68+N68)</f>
      </c>
      <c r="P68" s="3"/>
      <c r="Q68" s="3"/>
      <c r="R68" s="3"/>
      <c r="S68" s="3">
        <f>IF($H68="","",R68*20%)</f>
      </c>
      <c r="T68" s="3">
        <v>1</v>
      </c>
      <c r="U68" s="3">
        <f>IF($H68="","",N68+Q68+S68)</f>
      </c>
      <c r="V68" s="3">
        <f>IF($H68="","",I68-J68-O68-P68-Q68-R68-S68-T68)</f>
      </c>
      <c r="W68" s="3">
        <f>IF($H68="","",(V68-AE68)/H68*100)</f>
      </c>
      <c r="X68" s="3">
        <f>IF($H68="","",J68-U68)</f>
      </c>
      <c r="AF68" s="3">
        <f>IF($H68="","",V68-AE68)</f>
      </c>
    </row>
    <row r="69" spans="1:34" x14ac:dyDescent="0.25">
      <c r="A69" s="1"/>
      <c r="D69" s="2"/>
      <c r="G69" s="3"/>
      <c r="H69" s="3"/>
      <c r="I69" s="3">
        <f>IF($H69="","",H69-G69)</f>
      </c>
      <c r="J69" s="3">
        <f>IF($H69="","",I69*16.67%)</f>
      </c>
      <c r="K69" s="3">
        <f>IF($H69="","",(H69*6.9%)-(H69*6.9%)*10%)</f>
      </c>
      <c r="L69" s="3">
        <f>IF($H69="","",H69*0.35%)</f>
      </c>
      <c r="M69" s="3">
        <v>0.4</v>
      </c>
      <c r="N69" s="3">
        <f>IF($H69="","",(K69+L69+M69)*20%)</f>
      </c>
      <c r="O69" s="3">
        <f>IF($H69="","",K69+L69+M69+N69)</f>
      </c>
      <c r="P69" s="3"/>
      <c r="Q69" s="3"/>
      <c r="R69" s="3"/>
      <c r="S69" s="3">
        <f>IF($H69="","",R69*20%)</f>
      </c>
      <c r="T69" s="3">
        <v>1</v>
      </c>
      <c r="U69" s="3">
        <f>IF($H69="","",N69+Q69+S69)</f>
      </c>
      <c r="V69" s="3">
        <f>IF($H69="","",I69-J69-O69-P69-Q69-R69-S69-T69)</f>
      </c>
      <c r="W69" s="3">
        <f>IF($H69="","",(V69-AE69)/H69*100)</f>
      </c>
      <c r="X69" s="3">
        <f>IF($H69="","",J69-U69)</f>
      </c>
      <c r="AF69" s="3">
        <f>IF($H69="","",V69-AE69)</f>
      </c>
    </row>
    <row r="70" spans="1:34" x14ac:dyDescent="0.25">
      <c r="A70" s="1"/>
      <c r="D70" s="2"/>
      <c r="G70" s="3"/>
      <c r="H70" s="3"/>
      <c r="I70" s="3">
        <f>IF($H70="","",H70-G70)</f>
      </c>
      <c r="J70" s="3">
        <f>IF($H70="","",I70*16.67%)</f>
      </c>
      <c r="K70" s="3">
        <f>IF($H70="","",(H70*6.9%)-(H70*6.9%)*10%)</f>
      </c>
      <c r="L70" s="3">
        <f>IF($H70="","",H70*0.35%)</f>
      </c>
      <c r="M70" s="3">
        <v>0.4</v>
      </c>
      <c r="N70" s="3">
        <f>IF($H70="","",(K70+L70+M70)*20%)</f>
      </c>
      <c r="O70" s="3">
        <f>IF($H70="","",K70+L70+M70+N70)</f>
      </c>
      <c r="P70" s="3"/>
      <c r="Q70" s="3"/>
      <c r="R70" s="3"/>
      <c r="S70" s="3">
        <f>IF($H70="","",R70*20%)</f>
      </c>
      <c r="T70" s="3">
        <v>1</v>
      </c>
      <c r="U70" s="3">
        <f>IF($H70="","",N70+Q70+S70)</f>
      </c>
      <c r="V70" s="3">
        <f>IF($H70="","",I70-J70-O70-P70-Q70-R70-S70-T70)</f>
      </c>
      <c r="W70" s="3">
        <f>IF($H70="","",(V70-AE70)/H70*100)</f>
      </c>
      <c r="X70" s="3">
        <f>IF($H70="","",J70-U70)</f>
      </c>
      <c r="AF70" s="3">
        <f>IF($H70="","",V70-AE70)</f>
      </c>
    </row>
    <row r="71" spans="1:34" x14ac:dyDescent="0.25">
      <c r="A71" s="1"/>
      <c r="D71" s="2"/>
      <c r="G71" s="3"/>
      <c r="H71" s="3"/>
      <c r="I71" s="3">
        <f>IF($H71="","",H71-G71)</f>
      </c>
      <c r="J71" s="3">
        <f>IF($H71="","",I71*16.67%)</f>
      </c>
      <c r="K71" s="3">
        <f>IF($H71="","",(H71*6.9%)-(H71*6.9%)*10%)</f>
      </c>
      <c r="L71" s="3">
        <f>IF($H71="","",H71*0.35%)</f>
      </c>
      <c r="M71" s="3">
        <v>0.4</v>
      </c>
      <c r="N71" s="3">
        <f>IF($H71="","",(K71+L71+M71)*20%)</f>
      </c>
      <c r="O71" s="3">
        <f>IF($H71="","",K71+L71+M71+N71)</f>
      </c>
      <c r="P71" s="3"/>
      <c r="Q71" s="3"/>
      <c r="R71" s="3"/>
      <c r="S71" s="3">
        <f>IF($H71="","",R71*20%)</f>
      </c>
      <c r="T71" s="3">
        <v>1</v>
      </c>
      <c r="U71" s="3">
        <f>IF($H71="","",N71+Q71+S71)</f>
      </c>
      <c r="V71" s="3">
        <f>IF($H71="","",I71-J71-O71-P71-Q71-R71-S71-T71)</f>
      </c>
      <c r="W71" s="3">
        <f>IF($H71="","",(V71-AE71)/H71*100)</f>
      </c>
      <c r="X71" s="3">
        <f>IF($H71="","",J71-U71)</f>
      </c>
      <c r="AF71" s="3">
        <f>IF($H71="","",V71-AE71)</f>
      </c>
    </row>
    <row r="72" spans="1:34" x14ac:dyDescent="0.25">
      <c r="A72" s="1"/>
      <c r="D72" s="2"/>
      <c r="G72" s="3"/>
      <c r="H72" s="3"/>
      <c r="I72" s="3">
        <f>IF($H72="","",H72-G72)</f>
      </c>
      <c r="J72" s="3">
        <f>IF($H72="","",I72*16.67%)</f>
      </c>
      <c r="K72" s="3">
        <f>IF($H72="","",(H72*6.9%)-(H72*6.9%)*10%)</f>
      </c>
      <c r="L72" s="3">
        <f>IF($H72="","",H72*0.35%)</f>
      </c>
      <c r="M72" s="3">
        <v>0.4</v>
      </c>
      <c r="N72" s="3">
        <f>IF($H72="","",(K72+L72+M72)*20%)</f>
      </c>
      <c r="O72" s="3">
        <f>IF($H72="","",K72+L72+M72+N72)</f>
      </c>
      <c r="P72" s="3"/>
      <c r="Q72" s="3"/>
      <c r="R72" s="3"/>
      <c r="S72" s="3">
        <f>IF($H72="","",R72*20%)</f>
      </c>
      <c r="T72" s="3">
        <v>1</v>
      </c>
      <c r="U72" s="3">
        <f>IF($H72="","",N72+Q72+S72)</f>
      </c>
      <c r="V72" s="3">
        <f>IF($H72="","",I72-J72-O72-P72-Q72-R72-S72-T72)</f>
      </c>
      <c r="W72" s="3">
        <f>IF($H72="","",(V72-AE72)/H72*100)</f>
      </c>
      <c r="X72" s="3">
        <f>IF($H72="","",J72-U72)</f>
      </c>
      <c r="AF72" s="3">
        <f>IF($H72="","",V72-AE72)</f>
      </c>
    </row>
    <row r="73" spans="1:34" x14ac:dyDescent="0.25">
      <c r="A73" s="1"/>
      <c r="D73" s="2"/>
      <c r="G73" s="3"/>
      <c r="H73" s="3"/>
      <c r="I73" s="3">
        <f>IF($H73="","",H73-G73)</f>
      </c>
      <c r="J73" s="3">
        <f>IF($H73="","",I73*16.67%)</f>
      </c>
      <c r="K73" s="3">
        <f>IF($H73="","",(H73*6.9%)-(H73*6.9%)*10%)</f>
      </c>
      <c r="L73" s="3">
        <f>IF($H73="","",H73*0.35%)</f>
      </c>
      <c r="M73" s="3">
        <v>0.4</v>
      </c>
      <c r="N73" s="3">
        <f>IF($H73="","",(K73+L73+M73)*20%)</f>
      </c>
      <c r="O73" s="3">
        <f>IF($H73="","",K73+L73+M73+N73)</f>
      </c>
      <c r="P73" s="3"/>
      <c r="Q73" s="3"/>
      <c r="R73" s="3"/>
      <c r="S73" s="3">
        <f>IF($H73="","",R73*20%)</f>
      </c>
      <c r="T73" s="3">
        <v>1</v>
      </c>
      <c r="U73" s="3">
        <f>IF($H73="","",N73+Q73+S73)</f>
      </c>
      <c r="V73" s="3">
        <f>IF($H73="","",I73-J73-O73-P73-Q73-R73-S73-T73)</f>
      </c>
      <c r="W73" s="3">
        <f>IF($H73="","",(V73-AE73)/H73*100)</f>
      </c>
      <c r="X73" s="3">
        <f>IF($H73="","",J73-U73)</f>
      </c>
      <c r="AF73" s="3">
        <f>IF($H73="","",V73-AE73)</f>
      </c>
    </row>
    <row r="74" spans="1:34" x14ac:dyDescent="0.25">
      <c r="A74" s="1"/>
      <c r="D74" s="2"/>
      <c r="G74" s="3"/>
      <c r="H74" s="3"/>
      <c r="I74" s="3">
        <f>IF($H74="","",H74-G74)</f>
      </c>
      <c r="J74" s="3">
        <f>IF($H74="","",I74*16.67%)</f>
      </c>
      <c r="K74" s="3">
        <f>IF($H74="","",(H74*6.9%)-(H74*6.9%)*10%)</f>
      </c>
      <c r="L74" s="3">
        <f>IF($H74="","",H74*0.35%)</f>
      </c>
      <c r="M74" s="3">
        <v>0.4</v>
      </c>
      <c r="N74" s="3">
        <f>IF($H74="","",(K74+L74+M74)*20%)</f>
      </c>
      <c r="O74" s="3">
        <f>IF($H74="","",K74+L74+M74+N74)</f>
      </c>
      <c r="P74" s="3"/>
      <c r="Q74" s="3"/>
      <c r="R74" s="3"/>
      <c r="S74" s="3">
        <f>IF($H74="","",R74*20%)</f>
      </c>
      <c r="T74" s="3">
        <v>1</v>
      </c>
      <c r="U74" s="3">
        <f>IF($H74="","",N74+Q74+S74)</f>
      </c>
      <c r="V74" s="3">
        <f>IF($H74="","",I74-J74-O74-P74-Q74-R74-S74-T74)</f>
      </c>
      <c r="W74" s="3">
        <f>IF($H74="","",(V74-AE74)/H74*100)</f>
      </c>
      <c r="X74" s="3">
        <f>IF($H74="","",J74-U74)</f>
      </c>
      <c r="AF74" s="3">
        <f>IF($H74="","",V74-AE74)</f>
      </c>
    </row>
    <row r="75" spans="1:34" x14ac:dyDescent="0.25">
      <c r="A75" s="1"/>
      <c r="D75" s="2"/>
      <c r="G75" s="3"/>
      <c r="H75" s="3"/>
      <c r="I75" s="3">
        <f>IF($H75="","",H75-G75)</f>
      </c>
      <c r="J75" s="3">
        <f>IF($H75="","",I75*16.67%)</f>
      </c>
      <c r="K75" s="3">
        <f>IF($H75="","",(H75*6.9%)-(H75*6.9%)*10%)</f>
      </c>
      <c r="L75" s="3">
        <f>IF($H75="","",H75*0.35%)</f>
      </c>
      <c r="M75" s="3">
        <v>0.4</v>
      </c>
      <c r="N75" s="3">
        <f>IF($H75="","",(K75+L75+M75)*20%)</f>
      </c>
      <c r="O75" s="3">
        <f>IF($H75="","",K75+L75+M75+N75)</f>
      </c>
      <c r="P75" s="3"/>
      <c r="Q75" s="3"/>
      <c r="R75" s="3"/>
      <c r="S75" s="3">
        <f>IF($H75="","",R75*20%)</f>
      </c>
      <c r="T75" s="3">
        <v>1</v>
      </c>
      <c r="U75" s="3">
        <f>IF($H75="","",N75+Q75+S75)</f>
      </c>
      <c r="V75" s="3">
        <f>IF($H75="","",I75-J75-O75-P75-Q75-R75-S75-T75)</f>
      </c>
      <c r="W75" s="3">
        <f>IF($H75="","",(V75-AE75)/H75*100)</f>
      </c>
      <c r="X75" s="3">
        <f>IF($H75="","",J75-U75)</f>
      </c>
      <c r="AF75" s="3">
        <f>IF($H75="","",V75-AE75)</f>
      </c>
    </row>
    <row r="76" spans="1:34" x14ac:dyDescent="0.25">
      <c r="A76" s="1"/>
      <c r="D76" s="2"/>
      <c r="G76" s="3"/>
      <c r="H76" s="3"/>
      <c r="I76" s="3">
        <f>IF($H76="","",H76-G76)</f>
      </c>
      <c r="J76" s="3">
        <f>IF($H76="","",I76*16.67%)</f>
      </c>
      <c r="K76" s="3">
        <f>IF($H76="","",(H76*6.9%)-(H76*6.9%)*10%)</f>
      </c>
      <c r="L76" s="3">
        <f>IF($H76="","",H76*0.35%)</f>
      </c>
      <c r="M76" s="3">
        <v>0.4</v>
      </c>
      <c r="N76" s="3">
        <f>IF($H76="","",(K76+L76+M76)*20%)</f>
      </c>
      <c r="O76" s="3">
        <f>IF($H76="","",K76+L76+M76+N76)</f>
      </c>
      <c r="P76" s="3"/>
      <c r="Q76" s="3"/>
      <c r="R76" s="3"/>
      <c r="S76" s="3">
        <f>IF($H76="","",R76*20%)</f>
      </c>
      <c r="T76" s="3">
        <v>1</v>
      </c>
      <c r="U76" s="3">
        <f>IF($H76="","",N76+Q76+S76)</f>
      </c>
      <c r="V76" s="3">
        <f>IF($H76="","",I76-J76-O76-P76-Q76-R76-S76-T76)</f>
      </c>
      <c r="W76" s="3">
        <f>IF($H76="","",(V76-AE76)/H76*100)</f>
      </c>
      <c r="X76" s="3">
        <f>IF($H76="","",J76-U76)</f>
      </c>
      <c r="AF76" s="3">
        <f>IF($H76="","",V76-AE76)</f>
      </c>
    </row>
    <row r="77" spans="1:34" x14ac:dyDescent="0.25">
      <c r="A77" s="1"/>
      <c r="D77" s="2"/>
      <c r="G77" s="3"/>
      <c r="H77" s="3"/>
      <c r="I77" s="3">
        <f>IF($H77="","",H77-G77)</f>
      </c>
      <c r="J77" s="3">
        <f>IF($H77="","",I77*16.67%)</f>
      </c>
      <c r="K77" s="3">
        <f>IF($H77="","",(H77*6.9%)-(H77*6.9%)*10%)</f>
      </c>
      <c r="L77" s="3">
        <f>IF($H77="","",H77*0.35%)</f>
      </c>
      <c r="M77" s="3">
        <v>0.4</v>
      </c>
      <c r="N77" s="3">
        <f>IF($H77="","",(K77+L77+M77)*20%)</f>
      </c>
      <c r="O77" s="3">
        <f>IF($H77="","",K77+L77+M77+N77)</f>
      </c>
      <c r="P77" s="3"/>
      <c r="Q77" s="3"/>
      <c r="R77" s="3"/>
      <c r="S77" s="3">
        <f>IF($H77="","",R77*20%)</f>
      </c>
      <c r="T77" s="3">
        <v>1</v>
      </c>
      <c r="U77" s="3">
        <f>IF($H77="","",N77+Q77+S77)</f>
      </c>
      <c r="V77" s="3">
        <f>IF($H77="","",I77-J77-O77-P77-Q77-R77-S77-T77)</f>
      </c>
      <c r="W77" s="3">
        <f>IF($H77="","",(V77-AE77)/H77*100)</f>
      </c>
      <c r="X77" s="3">
        <f>IF($H77="","",J77-U77)</f>
      </c>
      <c r="AF77" s="3">
        <f>IF($H77="","",V77-AE77)</f>
      </c>
    </row>
    <row r="78" spans="1:34" x14ac:dyDescent="0.25">
      <c r="A78" s="1"/>
      <c r="D78" s="2"/>
      <c r="G78" s="3"/>
      <c r="H78" s="3"/>
      <c r="I78" s="3">
        <f>IF($H78="","",H78-G78)</f>
      </c>
      <c r="J78" s="3">
        <f>IF($H78="","",I78*16.67%)</f>
      </c>
      <c r="K78" s="3">
        <f>IF($H78="","",(H78*6.9%)-(H78*6.9%)*10%)</f>
      </c>
      <c r="L78" s="3">
        <f>IF($H78="","",H78*0.35%)</f>
      </c>
      <c r="M78" s="3">
        <v>0.4</v>
      </c>
      <c r="N78" s="3">
        <f>IF($H78="","",(K78+L78+M78)*20%)</f>
      </c>
      <c r="O78" s="3">
        <f>IF($H78="","",K78+L78+M78+N78)</f>
      </c>
      <c r="P78" s="3"/>
      <c r="Q78" s="3"/>
      <c r="R78" s="3"/>
      <c r="S78" s="3">
        <f>IF($H78="","",R78*20%)</f>
      </c>
      <c r="T78" s="3">
        <v>1</v>
      </c>
      <c r="U78" s="3">
        <f>IF($H78="","",N78+Q78+S78)</f>
      </c>
      <c r="V78" s="3">
        <f>IF($H78="","",I78-J78-O78-P78-Q78-R78-S78-T78)</f>
      </c>
      <c r="W78" s="3">
        <f>IF($H78="","",(V78-AE78)/H78*100)</f>
      </c>
      <c r="X78" s="3">
        <f>IF($H78="","",J78-U78)</f>
      </c>
      <c r="AF78" s="3">
        <f>IF($H78="","",V78-AE78)</f>
      </c>
    </row>
    <row r="79" spans="1:34" x14ac:dyDescent="0.25">
      <c r="A79" s="1"/>
      <c r="D79" s="2"/>
      <c r="G79" s="3"/>
      <c r="H79" s="3"/>
      <c r="I79" s="3">
        <f>IF($H79="","",H79-G79)</f>
      </c>
      <c r="J79" s="3">
        <f>IF($H79="","",I79*16.67%)</f>
      </c>
      <c r="K79" s="3">
        <f>IF($H79="","",(H79*6.9%)-(H79*6.9%)*10%)</f>
      </c>
      <c r="L79" s="3">
        <f>IF($H79="","",H79*0.35%)</f>
      </c>
      <c r="M79" s="3">
        <v>0.4</v>
      </c>
      <c r="N79" s="3">
        <f>IF($H79="","",(K79+L79+M79)*20%)</f>
      </c>
      <c r="O79" s="3">
        <f>IF($H79="","",K79+L79+M79+N79)</f>
      </c>
      <c r="P79" s="3"/>
      <c r="Q79" s="3"/>
      <c r="R79" s="3"/>
      <c r="S79" s="3">
        <f>IF($H79="","",R79*20%)</f>
      </c>
      <c r="T79" s="3">
        <v>1</v>
      </c>
      <c r="U79" s="3">
        <f>IF($H79="","",N79+Q79+S79)</f>
      </c>
      <c r="V79" s="3">
        <f>IF($H79="","",I79-J79-O79-P79-Q79-R79-S79-T79)</f>
      </c>
      <c r="W79" s="3">
        <f>IF($H79="","",(V79-AE79)/H79*100)</f>
      </c>
      <c r="X79" s="3">
        <f>IF($H79="","",J79-U79)</f>
      </c>
      <c r="AF79" s="3">
        <f>IF($H79="","",V79-AE79)</f>
      </c>
    </row>
    <row r="80" spans="1:34" x14ac:dyDescent="0.25">
      <c r="A80" s="1"/>
      <c r="D80" s="2"/>
      <c r="G80" s="3"/>
      <c r="H80" s="3"/>
      <c r="I80" s="3">
        <f>IF($H80="","",H80-G80)</f>
      </c>
      <c r="J80" s="3">
        <f>IF($H80="","",I80*16.67%)</f>
      </c>
      <c r="K80" s="3">
        <f>IF($H80="","",(H80*6.9%)-(H80*6.9%)*10%)</f>
      </c>
      <c r="L80" s="3">
        <f>IF($H80="","",H80*0.35%)</f>
      </c>
      <c r="M80" s="3">
        <v>0.4</v>
      </c>
      <c r="N80" s="3">
        <f>IF($H80="","",(K80+L80+M80)*20%)</f>
      </c>
      <c r="O80" s="3">
        <f>IF($H80="","",K80+L80+M80+N80)</f>
      </c>
      <c r="P80" s="3"/>
      <c r="Q80" s="3"/>
      <c r="R80" s="3"/>
      <c r="S80" s="3">
        <f>IF($H80="","",R80*20%)</f>
      </c>
      <c r="T80" s="3">
        <v>1</v>
      </c>
      <c r="U80" s="3">
        <f>IF($H80="","",N80+Q80+S80)</f>
      </c>
      <c r="V80" s="3">
        <f>IF($H80="","",I80-J80-O80-P80-Q80-R80-S80-T80)</f>
      </c>
      <c r="W80" s="3">
        <f>IF($H80="","",(V80-AE80)/H80*100)</f>
      </c>
      <c r="X80" s="3">
        <f>IF($H80="","",J80-U80)</f>
      </c>
      <c r="AF80" s="3">
        <f>IF($H80="","",V80-AE80)</f>
      </c>
    </row>
    <row r="81" spans="1:34" x14ac:dyDescent="0.25">
      <c r="A81" s="1"/>
      <c r="D81" s="2"/>
      <c r="G81" s="3"/>
      <c r="H81" s="3"/>
      <c r="I81" s="3">
        <f>IF($H81="","",H81-G81)</f>
      </c>
      <c r="J81" s="3">
        <f>IF($H81="","",I81*16.67%)</f>
      </c>
      <c r="K81" s="3">
        <f>IF($H81="","",(H81*6.9%)-(H81*6.9%)*10%)</f>
      </c>
      <c r="L81" s="3">
        <f>IF($H81="","",H81*0.35%)</f>
      </c>
      <c r="M81" s="3">
        <v>0.4</v>
      </c>
      <c r="N81" s="3">
        <f>IF($H81="","",(K81+L81+M81)*20%)</f>
      </c>
      <c r="O81" s="3">
        <f>IF($H81="","",K81+L81+M81+N81)</f>
      </c>
      <c r="P81" s="3"/>
      <c r="Q81" s="3"/>
      <c r="R81" s="3"/>
      <c r="S81" s="3">
        <f>IF($H81="","",R81*20%)</f>
      </c>
      <c r="T81" s="3">
        <v>1</v>
      </c>
      <c r="U81" s="3">
        <f>IF($H81="","",N81+Q81+S81)</f>
      </c>
      <c r="V81" s="3">
        <f>IF($H81="","",I81-J81-O81-P81-Q81-R81-S81-T81)</f>
      </c>
      <c r="W81" s="3">
        <f>IF($H81="","",(V81-AE81)/H81*100)</f>
      </c>
      <c r="X81" s="3">
        <f>IF($H81="","",J81-U81)</f>
      </c>
      <c r="AF81" s="3">
        <f>IF($H81="","",V81-AE81)</f>
      </c>
    </row>
    <row r="82" spans="1:34" x14ac:dyDescent="0.25">
      <c r="A82" s="1"/>
      <c r="D82" s="2"/>
      <c r="G82" s="3"/>
      <c r="H82" s="3"/>
      <c r="I82" s="3">
        <f>IF($H82="","",H82-G82)</f>
      </c>
      <c r="J82" s="3">
        <f>IF($H82="","",I82*16.67%)</f>
      </c>
      <c r="K82" s="3">
        <f>IF($H82="","",(H82*6.9%)-(H82*6.9%)*10%)</f>
      </c>
      <c r="L82" s="3">
        <f>IF($H82="","",H82*0.35%)</f>
      </c>
      <c r="M82" s="3">
        <v>0.4</v>
      </c>
      <c r="N82" s="3">
        <f>IF($H82="","",(K82+L82+M82)*20%)</f>
      </c>
      <c r="O82" s="3">
        <f>IF($H82="","",K82+L82+M82+N82)</f>
      </c>
      <c r="P82" s="3"/>
      <c r="Q82" s="3"/>
      <c r="R82" s="3"/>
      <c r="S82" s="3">
        <f>IF($H82="","",R82*20%)</f>
      </c>
      <c r="T82" s="3">
        <v>1</v>
      </c>
      <c r="U82" s="3">
        <f>IF($H82="","",N82+Q82+S82)</f>
      </c>
      <c r="V82" s="3">
        <f>IF($H82="","",I82-J82-O82-P82-Q82-R82-S82-T82)</f>
      </c>
      <c r="W82" s="3">
        <f>IF($H82="","",(V82-AE82)/H82*100)</f>
      </c>
      <c r="X82" s="3">
        <f>IF($H82="","",J82-U82)</f>
      </c>
      <c r="AF82" s="3">
        <f>IF($H82="","",V82-AE82)</f>
      </c>
    </row>
    <row r="83" spans="1:34" x14ac:dyDescent="0.25">
      <c r="A83" s="1"/>
      <c r="D83" s="2"/>
      <c r="G83" s="3"/>
      <c r="H83" s="3"/>
      <c r="I83" s="3">
        <f>IF($H83="","",H83-G83)</f>
      </c>
      <c r="J83" s="3">
        <f>IF($H83="","",I83*16.67%)</f>
      </c>
      <c r="K83" s="3">
        <f>IF($H83="","",(H83*6.9%)-(H83*6.9%)*10%)</f>
      </c>
      <c r="L83" s="3">
        <f>IF($H83="","",H83*0.35%)</f>
      </c>
      <c r="M83" s="3">
        <v>0.4</v>
      </c>
      <c r="N83" s="3">
        <f>IF($H83="","",(K83+L83+M83)*20%)</f>
      </c>
      <c r="O83" s="3">
        <f>IF($H83="","",K83+L83+M83+N83)</f>
      </c>
      <c r="P83" s="3"/>
      <c r="Q83" s="3"/>
      <c r="R83" s="3"/>
      <c r="S83" s="3">
        <f>IF($H83="","",R83*20%)</f>
      </c>
      <c r="T83" s="3">
        <v>1</v>
      </c>
      <c r="U83" s="3">
        <f>IF($H83="","",N83+Q83+S83)</f>
      </c>
      <c r="V83" s="3">
        <f>IF($H83="","",I83-J83-O83-P83-Q83-R83-S83-T83)</f>
      </c>
      <c r="W83" s="3">
        <f>IF($H83="","",(V83-AE83)/H83*100)</f>
      </c>
      <c r="X83" s="3">
        <f>IF($H83="","",J83-U83)</f>
      </c>
      <c r="AF83" s="3">
        <f>IF($H83="","",V83-AE83)</f>
      </c>
    </row>
    <row r="84" spans="1:34" x14ac:dyDescent="0.25">
      <c r="A84" s="1"/>
      <c r="D84" s="2"/>
      <c r="G84" s="3"/>
      <c r="H84" s="3"/>
      <c r="I84" s="3">
        <f>IF($H84="","",H84-G84)</f>
      </c>
      <c r="J84" s="3">
        <f>IF($H84="","",I84*16.67%)</f>
      </c>
      <c r="K84" s="3">
        <f>IF($H84="","",(H84*6.9%)-(H84*6.9%)*10%)</f>
      </c>
      <c r="L84" s="3">
        <f>IF($H84="","",H84*0.35%)</f>
      </c>
      <c r="M84" s="3">
        <v>0.4</v>
      </c>
      <c r="N84" s="3">
        <f>IF($H84="","",(K84+L84+M84)*20%)</f>
      </c>
      <c r="O84" s="3">
        <f>IF($H84="","",K84+L84+M84+N84)</f>
      </c>
      <c r="P84" s="3"/>
      <c r="Q84" s="3"/>
      <c r="R84" s="3"/>
      <c r="S84" s="3">
        <f>IF($H84="","",R84*20%)</f>
      </c>
      <c r="T84" s="3">
        <v>1</v>
      </c>
      <c r="U84" s="3">
        <f>IF($H84="","",N84+Q84+S84)</f>
      </c>
      <c r="V84" s="3">
        <f>IF($H84="","",I84-J84-O84-P84-Q84-R84-S84-T84)</f>
      </c>
      <c r="W84" s="3">
        <f>IF($H84="","",(V84-AE84)/H84*100)</f>
      </c>
      <c r="X84" s="3">
        <f>IF($H84="","",J84-U84)</f>
      </c>
      <c r="AF84" s="3">
        <f>IF($H84="","",V84-AE84)</f>
      </c>
    </row>
    <row r="85" spans="1:34" x14ac:dyDescent="0.25">
      <c r="A85" s="1"/>
      <c r="D85" s="2"/>
      <c r="G85" s="3"/>
      <c r="H85" s="3"/>
      <c r="I85" s="3">
        <f>IF($H85="","",H85-G85)</f>
      </c>
      <c r="J85" s="3">
        <f>IF($H85="","",I85*16.67%)</f>
      </c>
      <c r="K85" s="3">
        <f>IF($H85="","",(H85*6.9%)-(H85*6.9%)*10%)</f>
      </c>
      <c r="L85" s="3">
        <f>IF($H85="","",H85*0.35%)</f>
      </c>
      <c r="M85" s="3">
        <v>0.4</v>
      </c>
      <c r="N85" s="3">
        <f>IF($H85="","",(K85+L85+M85)*20%)</f>
      </c>
      <c r="O85" s="3">
        <f>IF($H85="","",K85+L85+M85+N85)</f>
      </c>
      <c r="P85" s="3"/>
      <c r="Q85" s="3"/>
      <c r="R85" s="3"/>
      <c r="S85" s="3">
        <f>IF($H85="","",R85*20%)</f>
      </c>
      <c r="T85" s="3">
        <v>1</v>
      </c>
      <c r="U85" s="3">
        <f>IF($H85="","",N85+Q85+S85)</f>
      </c>
      <c r="V85" s="3">
        <f>IF($H85="","",I85-J85-O85-P85-Q85-R85-S85-T85)</f>
      </c>
      <c r="W85" s="3">
        <f>IF($H85="","",(V85-AE85)/H85*100)</f>
      </c>
      <c r="X85" s="3">
        <f>IF($H85="","",J85-U85)</f>
      </c>
      <c r="AF85" s="3">
        <f>IF($H85="","",V85-AE85)</f>
      </c>
    </row>
    <row r="86" spans="1:34" x14ac:dyDescent="0.25">
      <c r="A86" s="1"/>
      <c r="D86" s="2"/>
      <c r="G86" s="3"/>
      <c r="H86" s="3"/>
      <c r="I86" s="3">
        <f>IF($H86="","",H86-G86)</f>
      </c>
      <c r="J86" s="3">
        <f>IF($H86="","",I86*16.67%)</f>
      </c>
      <c r="K86" s="3">
        <f>IF($H86="","",(H86*6.9%)-(H86*6.9%)*10%)</f>
      </c>
      <c r="L86" s="3">
        <f>IF($H86="","",H86*0.35%)</f>
      </c>
      <c r="M86" s="3">
        <v>0.4</v>
      </c>
      <c r="N86" s="3">
        <f>IF($H86="","",(K86+L86+M86)*20%)</f>
      </c>
      <c r="O86" s="3">
        <f>IF($H86="","",K86+L86+M86+N86)</f>
      </c>
      <c r="P86" s="3"/>
      <c r="Q86" s="3"/>
      <c r="R86" s="3"/>
      <c r="S86" s="3">
        <f>IF($H86="","",R86*20%)</f>
      </c>
      <c r="T86" s="3">
        <v>1</v>
      </c>
      <c r="U86" s="3">
        <f>IF($H86="","",N86+Q86+S86)</f>
      </c>
      <c r="V86" s="3">
        <f>IF($H86="","",I86-J86-O86-P86-Q86-R86-S86-T86)</f>
      </c>
      <c r="W86" s="3">
        <f>IF($H86="","",(V86-AE86)/H86*100)</f>
      </c>
      <c r="X86" s="3">
        <f>IF($H86="","",J86-U86)</f>
      </c>
      <c r="AF86" s="3">
        <f>IF($H86="","",V86-AE86)</f>
      </c>
    </row>
    <row r="87" spans="1:34" x14ac:dyDescent="0.25">
      <c r="A87" s="1"/>
      <c r="D87" s="2"/>
      <c r="G87" s="3"/>
      <c r="H87" s="3"/>
      <c r="I87" s="3">
        <f>IF($H87="","",H87-G87)</f>
      </c>
      <c r="J87" s="3">
        <f>IF($H87="","",I87*16.67%)</f>
      </c>
      <c r="K87" s="3">
        <f>IF($H87="","",(H87*6.9%)-(H87*6.9%)*10%)</f>
      </c>
      <c r="L87" s="3">
        <f>IF($H87="","",H87*0.35%)</f>
      </c>
      <c r="M87" s="3">
        <v>0.4</v>
      </c>
      <c r="N87" s="3">
        <f>IF($H87="","",(K87+L87+M87)*20%)</f>
      </c>
      <c r="O87" s="3">
        <f>IF($H87="","",K87+L87+M87+N87)</f>
      </c>
      <c r="P87" s="3"/>
      <c r="Q87" s="3"/>
      <c r="R87" s="3"/>
      <c r="S87" s="3">
        <f>IF($H87="","",R87*20%)</f>
      </c>
      <c r="T87" s="3">
        <v>1</v>
      </c>
      <c r="U87" s="3">
        <f>IF($H87="","",N87+Q87+S87)</f>
      </c>
      <c r="V87" s="3">
        <f>IF($H87="","",I87-J87-O87-P87-Q87-R87-S87-T87)</f>
      </c>
      <c r="W87" s="3">
        <f>IF($H87="","",(V87-AE87)/H87*100)</f>
      </c>
      <c r="X87" s="3">
        <f>IF($H87="","",J87-U87)</f>
      </c>
      <c r="AF87" s="3">
        <f>IF($H87="","",V87-AE87)</f>
      </c>
    </row>
    <row r="88" spans="1:34" x14ac:dyDescent="0.25">
      <c r="A88" s="1"/>
      <c r="D88" s="2"/>
      <c r="G88" s="3"/>
      <c r="H88" s="3"/>
      <c r="I88" s="3">
        <f>IF($H88="","",H88-G88)</f>
      </c>
      <c r="J88" s="3">
        <f>IF($H88="","",I88*16.67%)</f>
      </c>
      <c r="K88" s="3">
        <f>IF($H88="","",(H88*6.9%)-(H88*6.9%)*10%)</f>
      </c>
      <c r="L88" s="3">
        <f>IF($H88="","",H88*0.35%)</f>
      </c>
      <c r="M88" s="3">
        <v>0.4</v>
      </c>
      <c r="N88" s="3">
        <f>IF($H88="","",(K88+L88+M88)*20%)</f>
      </c>
      <c r="O88" s="3">
        <f>IF($H88="","",K88+L88+M88+N88)</f>
      </c>
      <c r="P88" s="3"/>
      <c r="Q88" s="3"/>
      <c r="R88" s="3"/>
      <c r="S88" s="3">
        <f>IF($H88="","",R88*20%)</f>
      </c>
      <c r="T88" s="3">
        <v>1</v>
      </c>
      <c r="U88" s="3">
        <f>IF($H88="","",N88+Q88+S88)</f>
      </c>
      <c r="V88" s="3">
        <f>IF($H88="","",I88-J88-O88-P88-Q88-R88-S88-T88)</f>
      </c>
      <c r="W88" s="3">
        <f>IF($H88="","",(V88-AE88)/H88*100)</f>
      </c>
      <c r="X88" s="3">
        <f>IF($H88="","",J88-U88)</f>
      </c>
      <c r="AF88" s="3">
        <f>IF($H88="","",V88-AE88)</f>
      </c>
    </row>
    <row r="89" spans="1:34" x14ac:dyDescent="0.25">
      <c r="A89" s="1"/>
      <c r="D89" s="2"/>
      <c r="G89" s="3"/>
      <c r="H89" s="3"/>
      <c r="I89" s="3">
        <f>IF($H89="","",H89-G89)</f>
      </c>
      <c r="J89" s="3">
        <f>IF($H89="","",I89*16.67%)</f>
      </c>
      <c r="K89" s="3">
        <f>IF($H89="","",(H89*6.9%)-(H89*6.9%)*10%)</f>
      </c>
      <c r="L89" s="3">
        <f>IF($H89="","",H89*0.35%)</f>
      </c>
      <c r="M89" s="3">
        <v>0.4</v>
      </c>
      <c r="N89" s="3">
        <f>IF($H89="","",(K89+L89+M89)*20%)</f>
      </c>
      <c r="O89" s="3">
        <f>IF($H89="","",K89+L89+M89+N89)</f>
      </c>
      <c r="P89" s="3"/>
      <c r="Q89" s="3"/>
      <c r="R89" s="3"/>
      <c r="S89" s="3">
        <f>IF($H89="","",R89*20%)</f>
      </c>
      <c r="T89" s="3">
        <v>1</v>
      </c>
      <c r="U89" s="3">
        <f>IF($H89="","",N89+Q89+S89)</f>
      </c>
      <c r="V89" s="3">
        <f>IF($H89="","",I89-J89-O89-P89-Q89-R89-S89-T89)</f>
      </c>
      <c r="W89" s="3">
        <f>IF($H89="","",(V89-AE89)/H89*100)</f>
      </c>
      <c r="X89" s="3">
        <f>IF($H89="","",J89-U89)</f>
      </c>
      <c r="AF89" s="3">
        <f>IF($H89="","",V89-AE89)</f>
      </c>
    </row>
    <row r="90" spans="1:34" x14ac:dyDescent="0.25">
      <c r="A90" s="1"/>
      <c r="D90" s="2"/>
      <c r="G90" s="3"/>
      <c r="H90" s="3"/>
      <c r="I90" s="3">
        <f>IF($H90="","",H90-G90)</f>
      </c>
      <c r="J90" s="3">
        <f>IF($H90="","",I90*16.67%)</f>
      </c>
      <c r="K90" s="3">
        <f>IF($H90="","",(H90*6.9%)-(H90*6.9%)*10%)</f>
      </c>
      <c r="L90" s="3">
        <f>IF($H90="","",H90*0.35%)</f>
      </c>
      <c r="M90" s="3">
        <v>0.4</v>
      </c>
      <c r="N90" s="3">
        <f>IF($H90="","",(K90+L90+M90)*20%)</f>
      </c>
      <c r="O90" s="3">
        <f>IF($H90="","",K90+L90+M90+N90)</f>
      </c>
      <c r="P90" s="3"/>
      <c r="Q90" s="3"/>
      <c r="R90" s="3"/>
      <c r="S90" s="3">
        <f>IF($H90="","",R90*20%)</f>
      </c>
      <c r="T90" s="3">
        <v>1</v>
      </c>
      <c r="U90" s="3">
        <f>IF($H90="","",N90+Q90+S90)</f>
      </c>
      <c r="V90" s="3">
        <f>IF($H90="","",I90-J90-O90-P90-Q90-R90-S90-T90)</f>
      </c>
      <c r="W90" s="3">
        <f>IF($H90="","",(V90-AE90)/H90*100)</f>
      </c>
      <c r="X90" s="3">
        <f>IF($H90="","",J90-U90)</f>
      </c>
      <c r="AF90" s="3">
        <f>IF($H90="","",V90-AE90)</f>
      </c>
    </row>
    <row r="91" spans="1:34" x14ac:dyDescent="0.25">
      <c r="A91" s="1"/>
      <c r="D91" s="2"/>
      <c r="G91" s="3"/>
      <c r="H91" s="3"/>
      <c r="I91" s="3">
        <f>IF($H91="","",H91-G91)</f>
      </c>
      <c r="J91" s="3">
        <f>IF($H91="","",I91*16.67%)</f>
      </c>
      <c r="K91" s="3">
        <f>IF($H91="","",(H91*6.9%)-(H91*6.9%)*10%)</f>
      </c>
      <c r="L91" s="3">
        <f>IF($H91="","",H91*0.35%)</f>
      </c>
      <c r="M91" s="3">
        <v>0.4</v>
      </c>
      <c r="N91" s="3">
        <f>IF($H91="","",(K91+L91+M91)*20%)</f>
      </c>
      <c r="O91" s="3">
        <f>IF($H91="","",K91+L91+M91+N91)</f>
      </c>
      <c r="P91" s="3"/>
      <c r="Q91" s="3"/>
      <c r="R91" s="3"/>
      <c r="S91" s="3">
        <f>IF($H91="","",R91*20%)</f>
      </c>
      <c r="T91" s="3">
        <v>1</v>
      </c>
      <c r="U91" s="3">
        <f>IF($H91="","",N91+Q91+S91)</f>
      </c>
      <c r="V91" s="3">
        <f>IF($H91="","",I91-J91-O91-P91-Q91-R91-S91-T91)</f>
      </c>
      <c r="W91" s="3">
        <f>IF($H91="","",(V91-AE91)/H91*100)</f>
      </c>
      <c r="X91" s="3">
        <f>IF($H91="","",J91-U91)</f>
      </c>
      <c r="AF91" s="3">
        <f>IF($H91="","",V91-AE91)</f>
      </c>
    </row>
    <row r="92" spans="1:34" x14ac:dyDescent="0.25">
      <c r="A92" s="1"/>
      <c r="D92" s="2"/>
      <c r="G92" s="3"/>
      <c r="H92" s="3"/>
      <c r="I92" s="3">
        <f>IF($H92="","",H92-G92)</f>
      </c>
      <c r="J92" s="3">
        <f>IF($H92="","",I92*16.67%)</f>
      </c>
      <c r="K92" s="3">
        <f>IF($H92="","",(H92*6.9%)-(H92*6.9%)*10%)</f>
      </c>
      <c r="L92" s="3">
        <f>IF($H92="","",H92*0.35%)</f>
      </c>
      <c r="M92" s="3">
        <v>0.4</v>
      </c>
      <c r="N92" s="3">
        <f>IF($H92="","",(K92+L92+M92)*20%)</f>
      </c>
      <c r="O92" s="3">
        <f>IF($H92="","",K92+L92+M92+N92)</f>
      </c>
      <c r="P92" s="3"/>
      <c r="Q92" s="3"/>
      <c r="R92" s="3"/>
      <c r="S92" s="3">
        <f>IF($H92="","",R92*20%)</f>
      </c>
      <c r="T92" s="3">
        <v>1</v>
      </c>
      <c r="U92" s="3">
        <f>IF($H92="","",N92+Q92+S92)</f>
      </c>
      <c r="V92" s="3">
        <f>IF($H92="","",I92-J92-O92-P92-Q92-R92-S92-T92)</f>
      </c>
      <c r="W92" s="3">
        <f>IF($H92="","",(V92-AE92)/H92*100)</f>
      </c>
      <c r="X92" s="3">
        <f>IF($H92="","",J92-U92)</f>
      </c>
      <c r="AF92" s="3">
        <f>IF($H92="","",V92-AE92)</f>
      </c>
    </row>
    <row r="93" spans="1:34" x14ac:dyDescent="0.25">
      <c r="A93" s="1"/>
      <c r="D93" s="2"/>
      <c r="G93" s="3"/>
      <c r="H93" s="3"/>
      <c r="I93" s="3">
        <f>IF($H93="","",H93-G93)</f>
      </c>
      <c r="J93" s="3">
        <f>IF($H93="","",I93*16.67%)</f>
      </c>
      <c r="K93" s="3">
        <f>IF($H93="","",(H93*6.9%)-(H93*6.9%)*10%)</f>
      </c>
      <c r="L93" s="3">
        <f>IF($H93="","",H93*0.35%)</f>
      </c>
      <c r="M93" s="3">
        <v>0.4</v>
      </c>
      <c r="N93" s="3">
        <f>IF($H93="","",(K93+L93+M93)*20%)</f>
      </c>
      <c r="O93" s="3">
        <f>IF($H93="","",K93+L93+M93+N93)</f>
      </c>
      <c r="P93" s="3"/>
      <c r="Q93" s="3"/>
      <c r="R93" s="3"/>
      <c r="S93" s="3">
        <f>IF($H93="","",R93*20%)</f>
      </c>
      <c r="T93" s="3">
        <v>1</v>
      </c>
      <c r="U93" s="3">
        <f>IF($H93="","",N93+Q93+S93)</f>
      </c>
      <c r="V93" s="3">
        <f>IF($H93="","",I93-J93-O93-P93-Q93-R93-S93-T93)</f>
      </c>
      <c r="W93" s="3">
        <f>IF($H93="","",(V93-AE93)/H93*100)</f>
      </c>
      <c r="X93" s="3">
        <f>IF($H93="","",J93-U93)</f>
      </c>
      <c r="AF93" s="3">
        <f>IF($H93="","",V93-AE93)</f>
      </c>
    </row>
    <row r="94" spans="1:34" x14ac:dyDescent="0.25">
      <c r="A94" s="1"/>
      <c r="D94" s="2"/>
      <c r="G94" s="3"/>
      <c r="H94" s="3"/>
      <c r="I94" s="3">
        <f>IF($H94="","",H94-G94)</f>
      </c>
      <c r="J94" s="3">
        <f>IF($H94="","",I94*16.67%)</f>
      </c>
      <c r="K94" s="3">
        <f>IF($H94="","",(H94*6.9%)-(H94*6.9%)*10%)</f>
      </c>
      <c r="L94" s="3">
        <f>IF($H94="","",H94*0.35%)</f>
      </c>
      <c r="M94" s="3">
        <v>0.4</v>
      </c>
      <c r="N94" s="3">
        <f>IF($H94="","",(K94+L94+M94)*20%)</f>
      </c>
      <c r="O94" s="3">
        <f>IF($H94="","",K94+L94+M94+N94)</f>
      </c>
      <c r="P94" s="3"/>
      <c r="Q94" s="3"/>
      <c r="R94" s="3"/>
      <c r="S94" s="3">
        <f>IF($H94="","",R94*20%)</f>
      </c>
      <c r="T94" s="3">
        <v>1</v>
      </c>
      <c r="U94" s="3">
        <f>IF($H94="","",N94+Q94+S94)</f>
      </c>
      <c r="V94" s="3">
        <f>IF($H94="","",I94-J94-O94-P94-Q94-R94-S94-T94)</f>
      </c>
      <c r="W94" s="3">
        <f>IF($H94="","",(V94-AE94)/H94*100)</f>
      </c>
      <c r="X94" s="3">
        <f>IF($H94="","",J94-U94)</f>
      </c>
      <c r="AF94" s="3">
        <f>IF($H94="","",V94-AE94)</f>
      </c>
    </row>
    <row r="95" spans="1:34" x14ac:dyDescent="0.25">
      <c r="A95" s="1"/>
      <c r="D95" s="2"/>
      <c r="G95" s="3"/>
      <c r="H95" s="3"/>
      <c r="I95" s="3">
        <f>IF($H95="","",H95-G95)</f>
      </c>
      <c r="J95" s="3">
        <f>IF($H95="","",I95*16.67%)</f>
      </c>
      <c r="K95" s="3">
        <f>IF($H95="","",(H95*6.9%)-(H95*6.9%)*10%)</f>
      </c>
      <c r="L95" s="3">
        <f>IF($H95="","",H95*0.35%)</f>
      </c>
      <c r="M95" s="3">
        <v>0.4</v>
      </c>
      <c r="N95" s="3">
        <f>IF($H95="","",(K95+L95+M95)*20%)</f>
      </c>
      <c r="O95" s="3">
        <f>IF($H95="","",K95+L95+M95+N95)</f>
      </c>
      <c r="P95" s="3"/>
      <c r="Q95" s="3"/>
      <c r="R95" s="3"/>
      <c r="S95" s="3">
        <f>IF($H95="","",R95*20%)</f>
      </c>
      <c r="T95" s="3">
        <v>1</v>
      </c>
      <c r="U95" s="3">
        <f>IF($H95="","",N95+Q95+S95)</f>
      </c>
      <c r="V95" s="3">
        <f>IF($H95="","",I95-J95-O95-P95-Q95-R95-S95-T95)</f>
      </c>
      <c r="W95" s="3">
        <f>IF($H95="","",(V95-AE95)/H95*100)</f>
      </c>
      <c r="X95" s="3">
        <f>IF($H95="","",J95-U95)</f>
      </c>
      <c r="AF95" s="3">
        <f>IF($H95="","",V95-AE95)</f>
      </c>
    </row>
    <row r="96" spans="1:34" x14ac:dyDescent="0.25">
      <c r="A96" s="1"/>
      <c r="D96" s="2"/>
      <c r="G96" s="3"/>
      <c r="H96" s="3"/>
      <c r="I96" s="3">
        <f>IF($H96="","",H96-G96)</f>
      </c>
      <c r="J96" s="3">
        <f>IF($H96="","",I96*16.67%)</f>
      </c>
      <c r="K96" s="3">
        <f>IF($H96="","",(H96*6.9%)-(H96*6.9%)*10%)</f>
      </c>
      <c r="L96" s="3">
        <f>IF($H96="","",H96*0.35%)</f>
      </c>
      <c r="M96" s="3">
        <v>0.4</v>
      </c>
      <c r="N96" s="3">
        <f>IF($H96="","",(K96+L96+M96)*20%)</f>
      </c>
      <c r="O96" s="3">
        <f>IF($H96="","",K96+L96+M96+N96)</f>
      </c>
      <c r="P96" s="3"/>
      <c r="Q96" s="3"/>
      <c r="R96" s="3"/>
      <c r="S96" s="3">
        <f>IF($H96="","",R96*20%)</f>
      </c>
      <c r="T96" s="3">
        <v>1</v>
      </c>
      <c r="U96" s="3">
        <f>IF($H96="","",N96+Q96+S96)</f>
      </c>
      <c r="V96" s="3">
        <f>IF($H96="","",I96-J96-O96-P96-Q96-R96-S96-T96)</f>
      </c>
      <c r="W96" s="3">
        <f>IF($H96="","",(V96-AE96)/H96*100)</f>
      </c>
      <c r="X96" s="3">
        <f>IF($H96="","",J96-U96)</f>
      </c>
      <c r="AF96" s="3">
        <f>IF($H96="","",V96-AE96)</f>
      </c>
    </row>
    <row r="97" spans="1:34" x14ac:dyDescent="0.25">
      <c r="A97" s="1"/>
      <c r="D97" s="2"/>
      <c r="G97" s="3"/>
      <c r="H97" s="3"/>
      <c r="I97" s="3">
        <f>IF($H97="","",H97-G97)</f>
      </c>
      <c r="J97" s="3">
        <f>IF($H97="","",I97*16.67%)</f>
      </c>
      <c r="K97" s="3">
        <f>IF($H97="","",(H97*6.9%)-(H97*6.9%)*10%)</f>
      </c>
      <c r="L97" s="3">
        <f>IF($H97="","",H97*0.35%)</f>
      </c>
      <c r="M97" s="3">
        <v>0.4</v>
      </c>
      <c r="N97" s="3">
        <f>IF($H97="","",(K97+L97+M97)*20%)</f>
      </c>
      <c r="O97" s="3">
        <f>IF($H97="","",K97+L97+M97+N97)</f>
      </c>
      <c r="P97" s="3"/>
      <c r="Q97" s="3"/>
      <c r="R97" s="3"/>
      <c r="S97" s="3">
        <f>IF($H97="","",R97*20%)</f>
      </c>
      <c r="T97" s="3">
        <v>1</v>
      </c>
      <c r="U97" s="3">
        <f>IF($H97="","",N97+Q97+S97)</f>
      </c>
      <c r="V97" s="3">
        <f>IF($H97="","",I97-J97-O97-P97-Q97-R97-S97-T97)</f>
      </c>
      <c r="W97" s="3">
        <f>IF($H97="","",(V97-AE97)/H97*100)</f>
      </c>
      <c r="X97" s="3">
        <f>IF($H97="","",J97-U97)</f>
      </c>
      <c r="AF97" s="3">
        <f>IF($H97="","",V97-AE97)</f>
      </c>
    </row>
    <row r="98" spans="1:34" x14ac:dyDescent="0.25">
      <c r="A98" s="1"/>
      <c r="D98" s="2"/>
      <c r="G98" s="3"/>
      <c r="H98" s="3"/>
      <c r="I98" s="3">
        <f>IF($H98="","",H98-G98)</f>
      </c>
      <c r="J98" s="3">
        <f>IF($H98="","",I98*16.67%)</f>
      </c>
      <c r="K98" s="3">
        <f>IF($H98="","",(H98*6.9%)-(H98*6.9%)*10%)</f>
      </c>
      <c r="L98" s="3">
        <f>IF($H98="","",H98*0.35%)</f>
      </c>
      <c r="M98" s="3">
        <v>0.4</v>
      </c>
      <c r="N98" s="3">
        <f>IF($H98="","",(K98+L98+M98)*20%)</f>
      </c>
      <c r="O98" s="3">
        <f>IF($H98="","",K98+L98+M98+N98)</f>
      </c>
      <c r="P98" s="3"/>
      <c r="Q98" s="3"/>
      <c r="R98" s="3"/>
      <c r="S98" s="3">
        <f>IF($H98="","",R98*20%)</f>
      </c>
      <c r="T98" s="3">
        <v>1</v>
      </c>
      <c r="U98" s="3">
        <f>IF($H98="","",N98+Q98+S98)</f>
      </c>
      <c r="V98" s="3">
        <f>IF($H98="","",I98-J98-O98-P98-Q98-R98-S98-T98)</f>
      </c>
      <c r="W98" s="3">
        <f>IF($H98="","",(V98-AE98)/H98*100)</f>
      </c>
      <c r="X98" s="3">
        <f>IF($H98="","",J98-U98)</f>
      </c>
      <c r="AF98" s="3">
        <f>IF($H98="","",V98-AE98)</f>
      </c>
    </row>
    <row r="99" spans="1:34" x14ac:dyDescent="0.25">
      <c r="A99" s="1"/>
      <c r="D99" s="2"/>
      <c r="G99" s="3"/>
      <c r="H99" s="3"/>
      <c r="I99" s="3">
        <f>IF($H99="","",H99-G99)</f>
      </c>
      <c r="J99" s="3">
        <f>IF($H99="","",I99*16.67%)</f>
      </c>
      <c r="K99" s="3">
        <f>IF($H99="","",(H99*6.9%)-(H99*6.9%)*10%)</f>
      </c>
      <c r="L99" s="3">
        <f>IF($H99="","",H99*0.35%)</f>
      </c>
      <c r="M99" s="3">
        <v>0.4</v>
      </c>
      <c r="N99" s="3">
        <f>IF($H99="","",(K99+L99+M99)*20%)</f>
      </c>
      <c r="O99" s="3">
        <f>IF($H99="","",K99+L99+M99+N99)</f>
      </c>
      <c r="P99" s="3"/>
      <c r="Q99" s="3"/>
      <c r="R99" s="3"/>
      <c r="S99" s="3">
        <f>IF($H99="","",R99*20%)</f>
      </c>
      <c r="T99" s="3">
        <v>1</v>
      </c>
      <c r="U99" s="3">
        <f>IF($H99="","",N99+Q99+S99)</f>
      </c>
      <c r="V99" s="3">
        <f>IF($H99="","",I99-J99-O99-P99-Q99-R99-S99-T99)</f>
      </c>
      <c r="W99" s="3">
        <f>IF($H99="","",(V99-AE99)/H99*100)</f>
      </c>
      <c r="X99" s="3">
        <f>IF($H99="","",J99-U99)</f>
      </c>
      <c r="AF99" s="3">
        <f>IF($H99="","",V99-AE99)</f>
      </c>
    </row>
    <row r="100" spans="1:34" x14ac:dyDescent="0.25">
      <c r="A100" s="1"/>
      <c r="D100" s="2"/>
      <c r="G100" s="3"/>
      <c r="H100" s="3"/>
      <c r="I100" s="3">
        <f>IF($H100="","",H100-G100)</f>
      </c>
      <c r="J100" s="3">
        <f>IF($H100="","",I100*16.67%)</f>
      </c>
      <c r="K100" s="3">
        <f>IF($H100="","",(H100*6.9%)-(H100*6.9%)*10%)</f>
      </c>
      <c r="L100" s="3">
        <f>IF($H100="","",H100*0.35%)</f>
      </c>
      <c r="M100" s="3">
        <v>0.4</v>
      </c>
      <c r="N100" s="3">
        <f>IF($H100="","",(K100+L100+M100)*20%)</f>
      </c>
      <c r="O100" s="3">
        <f>IF($H100="","",K100+L100+M100+N100)</f>
      </c>
      <c r="P100" s="3"/>
      <c r="Q100" s="3"/>
      <c r="R100" s="3"/>
      <c r="S100" s="3">
        <f>IF($H100="","",R100*20%)</f>
      </c>
      <c r="T100" s="3">
        <v>1</v>
      </c>
      <c r="U100" s="3">
        <f>IF($H100="","",N100+Q100+S100)</f>
      </c>
      <c r="V100" s="3">
        <f>IF($H100="","",I100-J100-O100-P100-Q100-R100-S100-T100)</f>
      </c>
      <c r="W100" s="3">
        <f>IF($H100="","",(V100-AE100)/H100*100)</f>
      </c>
      <c r="X100" s="3">
        <f>IF($H100="","",J100-U100)</f>
      </c>
      <c r="AF100" s="3">
        <f>IF($H100="","",V100-AE100)</f>
      </c>
    </row>
    <row r="101" spans="1:34" x14ac:dyDescent="0.25">
      <c r="A101" s="1"/>
      <c r="D101" s="2"/>
      <c r="G101" s="3"/>
      <c r="H101" s="3"/>
      <c r="I101" s="3">
        <f>IF($H101="","",H101-G101)</f>
      </c>
      <c r="J101" s="3">
        <f>IF($H101="","",I101*16.67%)</f>
      </c>
      <c r="K101" s="3">
        <f>IF($H101="","",(H101*6.9%)-(H101*6.9%)*10%)</f>
      </c>
      <c r="L101" s="3">
        <f>IF($H101="","",H101*0.35%)</f>
      </c>
      <c r="M101" s="3">
        <v>0.4</v>
      </c>
      <c r="N101" s="3">
        <f>IF($H101="","",(K101+L101+M101)*20%)</f>
      </c>
      <c r="O101" s="3">
        <f>IF($H101="","",K101+L101+M101+N101)</f>
      </c>
      <c r="P101" s="3"/>
      <c r="Q101" s="3"/>
      <c r="R101" s="3"/>
      <c r="S101" s="3">
        <f>IF($H101="","",R101*20%)</f>
      </c>
      <c r="T101" s="3">
        <v>1</v>
      </c>
      <c r="U101" s="3">
        <f>IF($H101="","",N101+Q101+S101)</f>
      </c>
      <c r="V101" s="3">
        <f>IF($H101="","",I101-J101-O101-P101-Q101-R101-S101-T101)</f>
      </c>
      <c r="W101" s="3">
        <f>IF($H101="","",(V101-AE101)/H101*100)</f>
      </c>
      <c r="X101" s="3">
        <f>IF($H101="","",J101-U101)</f>
      </c>
      <c r="AF101" s="3">
        <f>IF($H101="","",V101-AE101)</f>
      </c>
    </row>
    <row r="102" spans="1:34" x14ac:dyDescent="0.25">
      <c r="A102" s="1"/>
      <c r="D102" s="2"/>
      <c r="G102" s="3"/>
      <c r="H102" s="3"/>
      <c r="I102" s="3">
        <f>IF($H102="","",H102-G102)</f>
      </c>
      <c r="J102" s="3">
        <f>IF($H102="","",I102*16.67%)</f>
      </c>
      <c r="K102" s="3">
        <f>IF($H102="","",(H102*6.9%)-(H102*6.9%)*10%)</f>
      </c>
      <c r="L102" s="3">
        <f>IF($H102="","",H102*0.35%)</f>
      </c>
      <c r="M102" s="3">
        <v>0.4</v>
      </c>
      <c r="N102" s="3">
        <f>IF($H102="","",(K102+L102+M102)*20%)</f>
      </c>
      <c r="O102" s="3">
        <f>IF($H102="","",K102+L102+M102+N102)</f>
      </c>
      <c r="P102" s="3"/>
      <c r="Q102" s="3"/>
      <c r="R102" s="3"/>
      <c r="S102" s="3">
        <f>IF($H102="","",R102*20%)</f>
      </c>
      <c r="T102" s="3">
        <v>1</v>
      </c>
      <c r="U102" s="3">
        <f>IF($H102="","",N102+Q102+S102)</f>
      </c>
      <c r="V102" s="3">
        <f>IF($H102="","",I102-J102-O102-P102-Q102-R102-S102-T102)</f>
      </c>
      <c r="W102" s="3">
        <f>IF($H102="","",(V102-AE102)/H102*100)</f>
      </c>
      <c r="X102" s="3">
        <f>IF($H102="","",J102-U102)</f>
      </c>
      <c r="AF102" s="3">
        <f>IF($H102="","",V102-AE102)</f>
      </c>
    </row>
    <row r="103" spans="1:34" x14ac:dyDescent="0.25">
      <c r="A103" s="1"/>
      <c r="D103" s="2"/>
      <c r="G103" s="3"/>
      <c r="H103" s="3"/>
      <c r="I103" s="3">
        <f>IF($H103="","",H103-G103)</f>
      </c>
      <c r="J103" s="3">
        <f>IF($H103="","",I103*16.67%)</f>
      </c>
      <c r="K103" s="3">
        <f>IF($H103="","",(H103*6.9%)-(H103*6.9%)*10%)</f>
      </c>
      <c r="L103" s="3">
        <f>IF($H103="","",H103*0.35%)</f>
      </c>
      <c r="M103" s="3">
        <v>0.4</v>
      </c>
      <c r="N103" s="3">
        <f>IF($H103="","",(K103+L103+M103)*20%)</f>
      </c>
      <c r="O103" s="3">
        <f>IF($H103="","",K103+L103+M103+N103)</f>
      </c>
      <c r="P103" s="3"/>
      <c r="Q103" s="3"/>
      <c r="R103" s="3"/>
      <c r="S103" s="3">
        <f>IF($H103="","",R103*20%)</f>
      </c>
      <c r="T103" s="3">
        <v>1</v>
      </c>
      <c r="U103" s="3">
        <f>IF($H103="","",N103+Q103+S103)</f>
      </c>
      <c r="V103" s="3">
        <f>IF($H103="","",I103-J103-O103-P103-Q103-R103-S103-T103)</f>
      </c>
      <c r="W103" s="3">
        <f>IF($H103="","",(V103-AE103)/H103*100)</f>
      </c>
      <c r="X103" s="3">
        <f>IF($H103="","",J103-U103)</f>
      </c>
      <c r="AF103" s="3">
        <f>IF($H103="","",V103-AE103)</f>
      </c>
    </row>
    <row r="104" spans="1:34" x14ac:dyDescent="0.25">
      <c r="A104" s="1"/>
      <c r="D104" s="2"/>
      <c r="G104" s="3"/>
      <c r="H104" s="3"/>
      <c r="I104" s="3">
        <f>IF($H104="","",H104-G104)</f>
      </c>
      <c r="J104" s="3">
        <f>IF($H104="","",I104*16.67%)</f>
      </c>
      <c r="K104" s="3">
        <f>IF($H104="","",(H104*6.9%)-(H104*6.9%)*10%)</f>
      </c>
      <c r="L104" s="3">
        <f>IF($H104="","",H104*0.35%)</f>
      </c>
      <c r="M104" s="3">
        <v>0.4</v>
      </c>
      <c r="N104" s="3">
        <f>IF($H104="","",(K104+L104+M104)*20%)</f>
      </c>
      <c r="O104" s="3">
        <f>IF($H104="","",K104+L104+M104+N104)</f>
      </c>
      <c r="P104" s="3"/>
      <c r="Q104" s="3"/>
      <c r="R104" s="3"/>
      <c r="S104" s="3">
        <f>IF($H104="","",R104*20%)</f>
      </c>
      <c r="T104" s="3">
        <v>1</v>
      </c>
      <c r="U104" s="3">
        <f>IF($H104="","",N104+Q104+S104)</f>
      </c>
      <c r="V104" s="3">
        <f>IF($H104="","",I104-J104-O104-P104-Q104-R104-S104-T104)</f>
      </c>
      <c r="W104" s="3">
        <f>IF($H104="","",(V104-AE104)/H104*100)</f>
      </c>
      <c r="X104" s="3">
        <f>IF($H104="","",J104-U104)</f>
      </c>
      <c r="AF104" s="3">
        <f>IF($H104="","",V104-AE104)</f>
      </c>
    </row>
    <row r="105" spans="1:34" x14ac:dyDescent="0.25">
      <c r="A105" s="1"/>
      <c r="D105" s="2"/>
      <c r="G105" s="3"/>
      <c r="H105" s="3"/>
      <c r="I105" s="3">
        <f>IF($H105="","",H105-G105)</f>
      </c>
      <c r="J105" s="3">
        <f>IF($H105="","",I105*16.67%)</f>
      </c>
      <c r="K105" s="3">
        <f>IF($H105="","",(H105*6.9%)-(H105*6.9%)*10%)</f>
      </c>
      <c r="L105" s="3">
        <f>IF($H105="","",H105*0.35%)</f>
      </c>
      <c r="M105" s="3">
        <v>0.4</v>
      </c>
      <c r="N105" s="3">
        <f>IF($H105="","",(K105+L105+M105)*20%)</f>
      </c>
      <c r="O105" s="3">
        <f>IF($H105="","",K105+L105+M105+N105)</f>
      </c>
      <c r="P105" s="3"/>
      <c r="Q105" s="3"/>
      <c r="R105" s="3"/>
      <c r="S105" s="3">
        <f>IF($H105="","",R105*20%)</f>
      </c>
      <c r="T105" s="3">
        <v>1</v>
      </c>
      <c r="U105" s="3">
        <f>IF($H105="","",N105+Q105+S105)</f>
      </c>
      <c r="V105" s="3">
        <f>IF($H105="","",I105-J105-O105-P105-Q105-R105-S105-T105)</f>
      </c>
      <c r="W105" s="3">
        <f>IF($H105="","",(V105-AE105)/H105*100)</f>
      </c>
      <c r="X105" s="3">
        <f>IF($H105="","",J105-U105)</f>
      </c>
      <c r="AF105" s="3">
        <f>IF($H105="","",V105-AE105)</f>
      </c>
    </row>
    <row r="106" spans="1:34" x14ac:dyDescent="0.25">
      <c r="A106" s="1"/>
      <c r="D106" s="2"/>
      <c r="G106" s="3"/>
      <c r="H106" s="3"/>
      <c r="I106" s="3">
        <f>IF($H106="","",H106-G106)</f>
      </c>
      <c r="J106" s="3">
        <f>IF($H106="","",I106*16.67%)</f>
      </c>
      <c r="K106" s="3">
        <f>IF($H106="","",(H106*6.9%)-(H106*6.9%)*10%)</f>
      </c>
      <c r="L106" s="3">
        <f>IF($H106="","",H106*0.35%)</f>
      </c>
      <c r="M106" s="3">
        <v>0.4</v>
      </c>
      <c r="N106" s="3">
        <f>IF($H106="","",(K106+L106+M106)*20%)</f>
      </c>
      <c r="O106" s="3">
        <f>IF($H106="","",K106+L106+M106+N106)</f>
      </c>
      <c r="P106" s="3"/>
      <c r="Q106" s="3"/>
      <c r="R106" s="3"/>
      <c r="S106" s="3">
        <f>IF($H106="","",R106*20%)</f>
      </c>
      <c r="T106" s="3">
        <v>1</v>
      </c>
      <c r="U106" s="3">
        <f>IF($H106="","",N106+Q106+S106)</f>
      </c>
      <c r="V106" s="3">
        <f>IF($H106="","",I106-J106-O106-P106-Q106-R106-S106-T106)</f>
      </c>
      <c r="W106" s="3">
        <f>IF($H106="","",(V106-AE106)/H106*100)</f>
      </c>
      <c r="X106" s="3">
        <f>IF($H106="","",J106-U106)</f>
      </c>
      <c r="AF106" s="3">
        <f>IF($H106="","",V106-AE106)</f>
      </c>
    </row>
    <row r="107" spans="1:34" x14ac:dyDescent="0.25">
      <c r="A107" s="1"/>
      <c r="D107" s="2"/>
      <c r="G107" s="3"/>
      <c r="H107" s="3"/>
      <c r="I107" s="3">
        <f>IF($H107="","",H107-G107)</f>
      </c>
      <c r="J107" s="3">
        <f>IF($H107="","",I107*16.67%)</f>
      </c>
      <c r="K107" s="3">
        <f>IF($H107="","",(H107*6.9%)-(H107*6.9%)*10%)</f>
      </c>
      <c r="L107" s="3">
        <f>IF($H107="","",H107*0.35%)</f>
      </c>
      <c r="M107" s="3">
        <v>0.4</v>
      </c>
      <c r="N107" s="3">
        <f>IF($H107="","",(K107+L107+M107)*20%)</f>
      </c>
      <c r="O107" s="3">
        <f>IF($H107="","",K107+L107+M107+N107)</f>
      </c>
      <c r="P107" s="3"/>
      <c r="Q107" s="3"/>
      <c r="R107" s="3"/>
      <c r="S107" s="3">
        <f>IF($H107="","",R107*20%)</f>
      </c>
      <c r="T107" s="3">
        <v>1</v>
      </c>
      <c r="U107" s="3">
        <f>IF($H107="","",N107+Q107+S107)</f>
      </c>
      <c r="V107" s="3">
        <f>IF($H107="","",I107-J107-O107-P107-Q107-R107-S107-T107)</f>
      </c>
      <c r="W107" s="3">
        <f>IF($H107="","",(V107-AE107)/H107*100)</f>
      </c>
      <c r="X107" s="3">
        <f>IF($H107="","",J107-U107)</f>
      </c>
      <c r="AF107" s="3">
        <f>IF($H107="","",V107-AE107)</f>
      </c>
    </row>
    <row r="108" spans="1:34" x14ac:dyDescent="0.25">
      <c r="A108" s="1"/>
      <c r="D108" s="2"/>
      <c r="G108" s="3"/>
      <c r="H108" s="3"/>
      <c r="I108" s="3">
        <f>IF($H108="","",H108-G108)</f>
      </c>
      <c r="J108" s="3">
        <f>IF($H108="","",I108*16.67%)</f>
      </c>
      <c r="K108" s="3">
        <f>IF($H108="","",(H108*6.9%)-(H108*6.9%)*10%)</f>
      </c>
      <c r="L108" s="3">
        <f>IF($H108="","",H108*0.35%)</f>
      </c>
      <c r="M108" s="3">
        <v>0.4</v>
      </c>
      <c r="N108" s="3">
        <f>IF($H108="","",(K108+L108+M108)*20%)</f>
      </c>
      <c r="O108" s="3">
        <f>IF($H108="","",K108+L108+M108+N108)</f>
      </c>
      <c r="P108" s="3"/>
      <c r="Q108" s="3"/>
      <c r="R108" s="3"/>
      <c r="S108" s="3">
        <f>IF($H108="","",R108*20%)</f>
      </c>
      <c r="T108" s="3">
        <v>1</v>
      </c>
      <c r="U108" s="3">
        <f>IF($H108="","",N108+Q108+S108)</f>
      </c>
      <c r="V108" s="3">
        <f>IF($H108="","",I108-J108-O108-P108-Q108-R108-S108-T108)</f>
      </c>
      <c r="W108" s="3">
        <f>IF($H108="","",(V108-AE108)/H108*100)</f>
      </c>
      <c r="X108" s="3">
        <f>IF($H108="","",J108-U108)</f>
      </c>
      <c r="AF108" s="3">
        <f>IF($H108="","",V108-AE108)</f>
      </c>
    </row>
    <row r="109" spans="1:34" x14ac:dyDescent="0.25">
      <c r="A109" s="1"/>
      <c r="D109" s="2"/>
      <c r="G109" s="3"/>
      <c r="H109" s="3"/>
      <c r="I109" s="3">
        <f>IF($H109="","",H109-G109)</f>
      </c>
      <c r="J109" s="3">
        <f>IF($H109="","",I109*16.67%)</f>
      </c>
      <c r="K109" s="3">
        <f>IF($H109="","",(H109*6.9%)-(H109*6.9%)*10%)</f>
      </c>
      <c r="L109" s="3">
        <f>IF($H109="","",H109*0.35%)</f>
      </c>
      <c r="M109" s="3">
        <v>0.4</v>
      </c>
      <c r="N109" s="3">
        <f>IF($H109="","",(K109+L109+M109)*20%)</f>
      </c>
      <c r="O109" s="3">
        <f>IF($H109="","",K109+L109+M109+N109)</f>
      </c>
      <c r="P109" s="3"/>
      <c r="Q109" s="3"/>
      <c r="R109" s="3"/>
      <c r="S109" s="3">
        <f>IF($H109="","",R109*20%)</f>
      </c>
      <c r="T109" s="3">
        <v>1</v>
      </c>
      <c r="U109" s="3">
        <f>IF($H109="","",N109+Q109+S109)</f>
      </c>
      <c r="V109" s="3">
        <f>IF($H109="","",I109-J109-O109-P109-Q109-R109-S109-T109)</f>
      </c>
      <c r="W109" s="3">
        <f>IF($H109="","",(V109-AE109)/H109*100)</f>
      </c>
      <c r="X109" s="3">
        <f>IF($H109="","",J109-U109)</f>
      </c>
      <c r="AF109" s="3">
        <f>IF($H109="","",V109-AE109)</f>
      </c>
    </row>
    <row r="110" spans="1:34" x14ac:dyDescent="0.25">
      <c r="A110" s="1"/>
      <c r="D110" s="2"/>
      <c r="G110" s="3"/>
      <c r="H110" s="3"/>
      <c r="I110" s="3">
        <f>IF($H110="","",H110-G110)</f>
      </c>
      <c r="J110" s="3">
        <f>IF($H110="","",I110*16.67%)</f>
      </c>
      <c r="K110" s="3">
        <f>IF($H110="","",(H110*6.9%)-(H110*6.9%)*10%)</f>
      </c>
      <c r="L110" s="3">
        <f>IF($H110="","",H110*0.35%)</f>
      </c>
      <c r="M110" s="3">
        <v>0.4</v>
      </c>
      <c r="N110" s="3">
        <f>IF($H110="","",(K110+L110+M110)*20%)</f>
      </c>
      <c r="O110" s="3">
        <f>IF($H110="","",K110+L110+M110+N110)</f>
      </c>
      <c r="P110" s="3"/>
      <c r="Q110" s="3"/>
      <c r="R110" s="3"/>
      <c r="S110" s="3">
        <f>IF($H110="","",R110*20%)</f>
      </c>
      <c r="T110" s="3">
        <v>1</v>
      </c>
      <c r="U110" s="3">
        <f>IF($H110="","",N110+Q110+S110)</f>
      </c>
      <c r="V110" s="3">
        <f>IF($H110="","",I110-J110-O110-P110-Q110-R110-S110-T110)</f>
      </c>
      <c r="W110" s="3">
        <f>IF($H110="","",(V110-AE110)/H110*100)</f>
      </c>
      <c r="X110" s="3">
        <f>IF($H110="","",J110-U110)</f>
      </c>
      <c r="AF110" s="3">
        <f>IF($H110="","",V110-AE110)</f>
      </c>
    </row>
    <row r="111" spans="1:34" x14ac:dyDescent="0.25">
      <c r="A111" s="1"/>
      <c r="D111" s="2"/>
      <c r="G111" s="3"/>
      <c r="H111" s="3"/>
      <c r="I111" s="3">
        <f>IF($H111="","",H111-G111)</f>
      </c>
      <c r="J111" s="3">
        <f>IF($H111="","",I111*16.67%)</f>
      </c>
      <c r="K111" s="3">
        <f>IF($H111="","",(H111*6.9%)-(H111*6.9%)*10%)</f>
      </c>
      <c r="L111" s="3">
        <f>IF($H111="","",H111*0.35%)</f>
      </c>
      <c r="M111" s="3">
        <v>0.4</v>
      </c>
      <c r="N111" s="3">
        <f>IF($H111="","",(K111+L111+M111)*20%)</f>
      </c>
      <c r="O111" s="3">
        <f>IF($H111="","",K111+L111+M111+N111)</f>
      </c>
      <c r="P111" s="3"/>
      <c r="Q111" s="3"/>
      <c r="R111" s="3"/>
      <c r="S111" s="3">
        <f>IF($H111="","",R111*20%)</f>
      </c>
      <c r="T111" s="3">
        <v>1</v>
      </c>
      <c r="U111" s="3">
        <f>IF($H111="","",N111+Q111+S111)</f>
      </c>
      <c r="V111" s="3">
        <f>IF($H111="","",I111-J111-O111-P111-Q111-R111-S111-T111)</f>
      </c>
      <c r="W111" s="3">
        <f>IF($H111="","",(V111-AE111)/H111*100)</f>
      </c>
      <c r="X111" s="3">
        <f>IF($H111="","",J111-U111)</f>
      </c>
      <c r="AF111" s="3">
        <f>IF($H111="","",V111-AE111)</f>
      </c>
    </row>
    <row r="112" spans="1:34" x14ac:dyDescent="0.25">
      <c r="A112" s="1"/>
      <c r="D112" s="2"/>
      <c r="G112" s="3"/>
      <c r="H112" s="3"/>
      <c r="I112" s="3">
        <f>IF($H112="","",H112-G112)</f>
      </c>
      <c r="J112" s="3">
        <f>IF($H112="","",I112*16.67%)</f>
      </c>
      <c r="K112" s="3">
        <f>IF($H112="","",(H112*6.9%)-(H112*6.9%)*10%)</f>
      </c>
      <c r="L112" s="3">
        <f>IF($H112="","",H112*0.35%)</f>
      </c>
      <c r="M112" s="3">
        <v>0.4</v>
      </c>
      <c r="N112" s="3">
        <f>IF($H112="","",(K112+L112+M112)*20%)</f>
      </c>
      <c r="O112" s="3">
        <f>IF($H112="","",K112+L112+M112+N112)</f>
      </c>
      <c r="P112" s="3"/>
      <c r="Q112" s="3"/>
      <c r="R112" s="3"/>
      <c r="S112" s="3">
        <f>IF($H112="","",R112*20%)</f>
      </c>
      <c r="T112" s="3">
        <v>1</v>
      </c>
      <c r="U112" s="3">
        <f>IF($H112="","",N112+Q112+S112)</f>
      </c>
      <c r="V112" s="3">
        <f>IF($H112="","",I112-J112-O112-P112-Q112-R112-S112-T112)</f>
      </c>
      <c r="W112" s="3">
        <f>IF($H112="","",(V112-AE112)/H112*100)</f>
      </c>
      <c r="X112" s="3">
        <f>IF($H112="","",J112-U112)</f>
      </c>
      <c r="AF112" s="3">
        <f>IF($H112="","",V112-AE112)</f>
      </c>
    </row>
    <row r="113" spans="1:34" x14ac:dyDescent="0.25">
      <c r="A113" s="1"/>
      <c r="D113" s="2"/>
      <c r="G113" s="3"/>
      <c r="H113" s="3"/>
      <c r="I113" s="3">
        <f>IF($H113="","",H113-G113)</f>
      </c>
      <c r="J113" s="3">
        <f>IF($H113="","",I113*16.67%)</f>
      </c>
      <c r="K113" s="3">
        <f>IF($H113="","",(H113*6.9%)-(H113*6.9%)*10%)</f>
      </c>
      <c r="L113" s="3">
        <f>IF($H113="","",H113*0.35%)</f>
      </c>
      <c r="M113" s="3">
        <v>0.4</v>
      </c>
      <c r="N113" s="3">
        <f>IF($H113="","",(K113+L113+M113)*20%)</f>
      </c>
      <c r="O113" s="3">
        <f>IF($H113="","",K113+L113+M113+N113)</f>
      </c>
      <c r="P113" s="3"/>
      <c r="Q113" s="3"/>
      <c r="R113" s="3"/>
      <c r="S113" s="3">
        <f>IF($H113="","",R113*20%)</f>
      </c>
      <c r="T113" s="3">
        <v>1</v>
      </c>
      <c r="U113" s="3">
        <f>IF($H113="","",N113+Q113+S113)</f>
      </c>
      <c r="V113" s="3">
        <f>IF($H113="","",I113-J113-O113-P113-Q113-R113-S113-T113)</f>
      </c>
      <c r="W113" s="3">
        <f>IF($H113="","",(V113-AE113)/H113*100)</f>
      </c>
      <c r="X113" s="3">
        <f>IF($H113="","",J113-U113)</f>
      </c>
      <c r="AF113" s="3">
        <f>IF($H113="","",V113-AE113)</f>
      </c>
    </row>
    <row r="114" spans="1:34" x14ac:dyDescent="0.25">
      <c r="A114" s="1"/>
      <c r="D114" s="2"/>
      <c r="G114" s="3"/>
      <c r="H114" s="3"/>
      <c r="I114" s="3">
        <f>IF($H114="","",H114-G114)</f>
      </c>
      <c r="J114" s="3">
        <f>IF($H114="","",I114*16.67%)</f>
      </c>
      <c r="K114" s="3">
        <f>IF($H114="","",(H114*6.9%)-(H114*6.9%)*10%)</f>
      </c>
      <c r="L114" s="3">
        <f>IF($H114="","",H114*0.35%)</f>
      </c>
      <c r="M114" s="3">
        <v>0.4</v>
      </c>
      <c r="N114" s="3">
        <f>IF($H114="","",(K114+L114+M114)*20%)</f>
      </c>
      <c r="O114" s="3">
        <f>IF($H114="","",K114+L114+M114+N114)</f>
      </c>
      <c r="P114" s="3"/>
      <c r="Q114" s="3"/>
      <c r="R114" s="3"/>
      <c r="S114" s="3">
        <f>IF($H114="","",R114*20%)</f>
      </c>
      <c r="T114" s="3">
        <v>1</v>
      </c>
      <c r="U114" s="3">
        <f>IF($H114="","",N114+Q114+S114)</f>
      </c>
      <c r="V114" s="3">
        <f>IF($H114="","",I114-J114-O114-P114-Q114-R114-S114-T114)</f>
      </c>
      <c r="W114" s="3">
        <f>IF($H114="","",(V114-AE114)/H114*100)</f>
      </c>
      <c r="X114" s="3">
        <f>IF($H114="","",J114-U114)</f>
      </c>
      <c r="AF114" s="3">
        <f>IF($H114="","",V114-AE114)</f>
      </c>
    </row>
    <row r="115" spans="1:34" x14ac:dyDescent="0.25">
      <c r="A115" s="1"/>
      <c r="D115" s="2"/>
      <c r="G115" s="3"/>
      <c r="H115" s="3"/>
      <c r="I115" s="3">
        <f>IF($H115="","",H115-G115)</f>
      </c>
      <c r="J115" s="3">
        <f>IF($H115="","",I115*16.67%)</f>
      </c>
      <c r="K115" s="3">
        <f>IF($H115="","",(H115*6.9%)-(H115*6.9%)*10%)</f>
      </c>
      <c r="L115" s="3">
        <f>IF($H115="","",H115*0.35%)</f>
      </c>
      <c r="M115" s="3">
        <v>0.4</v>
      </c>
      <c r="N115" s="3">
        <f>IF($H115="","",(K115+L115+M115)*20%)</f>
      </c>
      <c r="O115" s="3">
        <f>IF($H115="","",K115+L115+M115+N115)</f>
      </c>
      <c r="P115" s="3"/>
      <c r="Q115" s="3"/>
      <c r="R115" s="3"/>
      <c r="S115" s="3">
        <f>IF($H115="","",R115*20%)</f>
      </c>
      <c r="T115" s="3">
        <v>1</v>
      </c>
      <c r="U115" s="3">
        <f>IF($H115="","",N115+Q115+S115)</f>
      </c>
      <c r="V115" s="3">
        <f>IF($H115="","",I115-J115-O115-P115-Q115-R115-S115-T115)</f>
      </c>
      <c r="W115" s="3">
        <f>IF($H115="","",(V115-AE115)/H115*100)</f>
      </c>
      <c r="X115" s="3">
        <f>IF($H115="","",J115-U115)</f>
      </c>
      <c r="AF115" s="3">
        <f>IF($H115="","",V115-AE115)</f>
      </c>
    </row>
    <row r="116" spans="1:34" x14ac:dyDescent="0.25">
      <c r="A116" s="1"/>
      <c r="D116" s="2"/>
      <c r="G116" s="3"/>
      <c r="H116" s="3"/>
      <c r="I116" s="3">
        <f>IF($H116="","",H116-G116)</f>
      </c>
      <c r="J116" s="3">
        <f>IF($H116="","",I116*16.67%)</f>
      </c>
      <c r="K116" s="3">
        <f>IF($H116="","",(H116*6.9%)-(H116*6.9%)*10%)</f>
      </c>
      <c r="L116" s="3">
        <f>IF($H116="","",H116*0.35%)</f>
      </c>
      <c r="M116" s="3">
        <v>0.4</v>
      </c>
      <c r="N116" s="3">
        <f>IF($H116="","",(K116+L116+M116)*20%)</f>
      </c>
      <c r="O116" s="3">
        <f>IF($H116="","",K116+L116+M116+N116)</f>
      </c>
      <c r="P116" s="3"/>
      <c r="Q116" s="3"/>
      <c r="R116" s="3"/>
      <c r="S116" s="3">
        <f>IF($H116="","",R116*20%)</f>
      </c>
      <c r="T116" s="3">
        <v>1</v>
      </c>
      <c r="U116" s="3">
        <f>IF($H116="","",N116+Q116+S116)</f>
      </c>
      <c r="V116" s="3">
        <f>IF($H116="","",I116-J116-O116-P116-Q116-R116-S116-T116)</f>
      </c>
      <c r="W116" s="3">
        <f>IF($H116="","",(V116-AE116)/H116*100)</f>
      </c>
      <c r="X116" s="3">
        <f>IF($H116="","",J116-U116)</f>
      </c>
      <c r="AF116" s="3">
        <f>IF($H116="","",V116-AE116)</f>
      </c>
    </row>
    <row r="117" spans="1:34" x14ac:dyDescent="0.25">
      <c r="A117" s="1"/>
      <c r="D117" s="2"/>
      <c r="G117" s="3"/>
      <c r="H117" s="3"/>
      <c r="I117" s="3">
        <f>IF($H117="","",H117-G117)</f>
      </c>
      <c r="J117" s="3">
        <f>IF($H117="","",I117*16.67%)</f>
      </c>
      <c r="K117" s="3">
        <f>IF($H117="","",(H117*6.9%)-(H117*6.9%)*10%)</f>
      </c>
      <c r="L117" s="3">
        <f>IF($H117="","",H117*0.35%)</f>
      </c>
      <c r="M117" s="3">
        <v>0.4</v>
      </c>
      <c r="N117" s="3">
        <f>IF($H117="","",(K117+L117+M117)*20%)</f>
      </c>
      <c r="O117" s="3">
        <f>IF($H117="","",K117+L117+M117+N117)</f>
      </c>
      <c r="P117" s="3"/>
      <c r="Q117" s="3"/>
      <c r="R117" s="3"/>
      <c r="S117" s="3">
        <f>IF($H117="","",R117*20%)</f>
      </c>
      <c r="T117" s="3">
        <v>1</v>
      </c>
      <c r="U117" s="3">
        <f>IF($H117="","",N117+Q117+S117)</f>
      </c>
      <c r="V117" s="3">
        <f>IF($H117="","",I117-J117-O117-P117-Q117-R117-S117-T117)</f>
      </c>
      <c r="W117" s="3">
        <f>IF($H117="","",(V117-AE117)/H117*100)</f>
      </c>
      <c r="X117" s="3">
        <f>IF($H117="","",J117-U117)</f>
      </c>
      <c r="AF117" s="3">
        <f>IF($H117="","",V117-AE117)</f>
      </c>
    </row>
    <row r="118" spans="1:34" x14ac:dyDescent="0.25">
      <c r="A118" s="1"/>
      <c r="D118" s="2"/>
      <c r="G118" s="3"/>
      <c r="H118" s="3"/>
      <c r="I118" s="3">
        <f>IF($H118="","",H118-G118)</f>
      </c>
      <c r="J118" s="3">
        <f>IF($H118="","",I118*16.67%)</f>
      </c>
      <c r="K118" s="3">
        <f>IF($H118="","",(H118*6.9%)-(H118*6.9%)*10%)</f>
      </c>
      <c r="L118" s="3">
        <f>IF($H118="","",H118*0.35%)</f>
      </c>
      <c r="M118" s="3">
        <v>0.4</v>
      </c>
      <c r="N118" s="3">
        <f>IF($H118="","",(K118+L118+M118)*20%)</f>
      </c>
      <c r="O118" s="3">
        <f>IF($H118="","",K118+L118+M118+N118)</f>
      </c>
      <c r="P118" s="3"/>
      <c r="Q118" s="3"/>
      <c r="R118" s="3"/>
      <c r="S118" s="3">
        <f>IF($H118="","",R118*20%)</f>
      </c>
      <c r="T118" s="3">
        <v>1</v>
      </c>
      <c r="U118" s="3">
        <f>IF($H118="","",N118+Q118+S118)</f>
      </c>
      <c r="V118" s="3">
        <f>IF($H118="","",I118-J118-O118-P118-Q118-R118-S118-T118)</f>
      </c>
      <c r="W118" s="3">
        <f>IF($H118="","",(V118-AE118)/H118*100)</f>
      </c>
      <c r="X118" s="3">
        <f>IF($H118="","",J118-U118)</f>
      </c>
      <c r="AF118" s="3">
        <f>IF($H118="","",V118-AE118)</f>
      </c>
    </row>
    <row r="119" spans="1:34" x14ac:dyDescent="0.25">
      <c r="A119" s="1"/>
      <c r="D119" s="2"/>
      <c r="G119" s="3"/>
      <c r="H119" s="3"/>
      <c r="I119" s="3">
        <f>IF($H119="","",H119-G119)</f>
      </c>
      <c r="J119" s="3">
        <f>IF($H119="","",I119*16.67%)</f>
      </c>
      <c r="K119" s="3">
        <f>IF($H119="","",(H119*6.9%)-(H119*6.9%)*10%)</f>
      </c>
      <c r="L119" s="3">
        <f>IF($H119="","",H119*0.35%)</f>
      </c>
      <c r="M119" s="3">
        <v>0.4</v>
      </c>
      <c r="N119" s="3">
        <f>IF($H119="","",(K119+L119+M119)*20%)</f>
      </c>
      <c r="O119" s="3">
        <f>IF($H119="","",K119+L119+M119+N119)</f>
      </c>
      <c r="P119" s="3"/>
      <c r="Q119" s="3"/>
      <c r="R119" s="3"/>
      <c r="S119" s="3">
        <f>IF($H119="","",R119*20%)</f>
      </c>
      <c r="T119" s="3">
        <v>1</v>
      </c>
      <c r="U119" s="3">
        <f>IF($H119="","",N119+Q119+S119)</f>
      </c>
      <c r="V119" s="3">
        <f>IF($H119="","",I119-J119-O119-P119-Q119-R119-S119-T119)</f>
      </c>
      <c r="W119" s="3">
        <f>IF($H119="","",(V119-AE119)/H119*100)</f>
      </c>
      <c r="X119" s="3">
        <f>IF($H119="","",J119-U119)</f>
      </c>
      <c r="AF119" s="3">
        <f>IF($H119="","",V119-AE119)</f>
      </c>
    </row>
    <row r="120" spans="1:34" x14ac:dyDescent="0.25">
      <c r="A120" s="1"/>
      <c r="D120" s="2"/>
      <c r="G120" s="3"/>
      <c r="H120" s="3"/>
      <c r="I120" s="3">
        <f>IF($H120="","",H120-G120)</f>
      </c>
      <c r="J120" s="3">
        <f>IF($H120="","",I120*16.67%)</f>
      </c>
      <c r="K120" s="3">
        <f>IF($H120="","",(H120*6.9%)-(H120*6.9%)*10%)</f>
      </c>
      <c r="L120" s="3">
        <f>IF($H120="","",H120*0.35%)</f>
      </c>
      <c r="M120" s="3">
        <v>0.4</v>
      </c>
      <c r="N120" s="3">
        <f>IF($H120="","",(K120+L120+M120)*20%)</f>
      </c>
      <c r="O120" s="3">
        <f>IF($H120="","",K120+L120+M120+N120)</f>
      </c>
      <c r="P120" s="3"/>
      <c r="Q120" s="3"/>
      <c r="R120" s="3"/>
      <c r="S120" s="3">
        <f>IF($H120="","",R120*20%)</f>
      </c>
      <c r="T120" s="3">
        <v>1</v>
      </c>
      <c r="U120" s="3">
        <f>IF($H120="","",N120+Q120+S120)</f>
      </c>
      <c r="V120" s="3">
        <f>IF($H120="","",I120-J120-O120-P120-Q120-R120-S120-T120)</f>
      </c>
      <c r="W120" s="3">
        <f>IF($H120="","",(V120-AE120)/H120*100)</f>
      </c>
      <c r="X120" s="3">
        <f>IF($H120="","",J120-U120)</f>
      </c>
      <c r="AF120" s="3">
        <f>IF($H120="","",V120-AE120)</f>
      </c>
    </row>
    <row r="121" spans="1:34" x14ac:dyDescent="0.25">
      <c r="A121" s="1"/>
      <c r="D121" s="2"/>
      <c r="G121" s="3"/>
      <c r="H121" s="3"/>
      <c r="I121" s="3">
        <f>IF($H121="","",H121-G121)</f>
      </c>
      <c r="J121" s="3">
        <f>IF($H121="","",I121*16.67%)</f>
      </c>
      <c r="K121" s="3">
        <f>IF($H121="","",(H121*6.9%)-(H121*6.9%)*10%)</f>
      </c>
      <c r="L121" s="3">
        <f>IF($H121="","",H121*0.35%)</f>
      </c>
      <c r="M121" s="3">
        <v>0.4</v>
      </c>
      <c r="N121" s="3">
        <f>IF($H121="","",(K121+L121+M121)*20%)</f>
      </c>
      <c r="O121" s="3">
        <f>IF($H121="","",K121+L121+M121+N121)</f>
      </c>
      <c r="P121" s="3"/>
      <c r="Q121" s="3"/>
      <c r="R121" s="3"/>
      <c r="S121" s="3">
        <f>IF($H121="","",R121*20%)</f>
      </c>
      <c r="T121" s="3">
        <v>1</v>
      </c>
      <c r="U121" s="3">
        <f>IF($H121="","",N121+Q121+S121)</f>
      </c>
      <c r="V121" s="3">
        <f>IF($H121="","",I121-J121-O121-P121-Q121-R121-S121-T121)</f>
      </c>
      <c r="W121" s="3">
        <f>IF($H121="","",(V121-AE121)/H121*100)</f>
      </c>
      <c r="X121" s="3">
        <f>IF($H121="","",J121-U121)</f>
      </c>
      <c r="AF121" s="3">
        <f>IF($H121="","",V121-AE121)</f>
      </c>
    </row>
    <row r="122" spans="1:34" x14ac:dyDescent="0.25">
      <c r="A122" s="1"/>
      <c r="D122" s="2"/>
      <c r="G122" s="3"/>
      <c r="H122" s="3"/>
      <c r="I122" s="3">
        <f>IF($H122="","",H122-G122)</f>
      </c>
      <c r="J122" s="3">
        <f>IF($H122="","",I122*16.67%)</f>
      </c>
      <c r="K122" s="3">
        <f>IF($H122="","",(H122*6.9%)-(H122*6.9%)*10%)</f>
      </c>
      <c r="L122" s="3">
        <f>IF($H122="","",H122*0.35%)</f>
      </c>
      <c r="M122" s="3">
        <v>0.4</v>
      </c>
      <c r="N122" s="3">
        <f>IF($H122="","",(K122+L122+M122)*20%)</f>
      </c>
      <c r="O122" s="3">
        <f>IF($H122="","",K122+L122+M122+N122)</f>
      </c>
      <c r="P122" s="3"/>
      <c r="Q122" s="3"/>
      <c r="R122" s="3"/>
      <c r="S122" s="3">
        <f>IF($H122="","",R122*20%)</f>
      </c>
      <c r="T122" s="3">
        <v>1</v>
      </c>
      <c r="U122" s="3">
        <f>IF($H122="","",N122+Q122+S122)</f>
      </c>
      <c r="V122" s="3">
        <f>IF($H122="","",I122-J122-O122-P122-Q122-R122-S122-T122)</f>
      </c>
      <c r="W122" s="3">
        <f>IF($H122="","",(V122-AE122)/H122*100)</f>
      </c>
      <c r="X122" s="3">
        <f>IF($H122="","",J122-U122)</f>
      </c>
      <c r="AF122" s="3">
        <f>IF($H122="","",V122-AE122)</f>
      </c>
    </row>
    <row r="123" spans="1:34" x14ac:dyDescent="0.25">
      <c r="A123" s="1"/>
      <c r="D123" s="2"/>
      <c r="G123" s="3"/>
      <c r="H123" s="3"/>
      <c r="I123" s="3">
        <f>IF($H123="","",H123-G123)</f>
      </c>
      <c r="J123" s="3">
        <f>IF($H123="","",I123*16.67%)</f>
      </c>
      <c r="K123" s="3">
        <f>IF($H123="","",(H123*6.9%)-(H123*6.9%)*10%)</f>
      </c>
      <c r="L123" s="3">
        <f>IF($H123="","",H123*0.35%)</f>
      </c>
      <c r="M123" s="3">
        <v>0.4</v>
      </c>
      <c r="N123" s="3">
        <f>IF($H123="","",(K123+L123+M123)*20%)</f>
      </c>
      <c r="O123" s="3">
        <f>IF($H123="","",K123+L123+M123+N123)</f>
      </c>
      <c r="P123" s="3"/>
      <c r="Q123" s="3"/>
      <c r="R123" s="3"/>
      <c r="S123" s="3">
        <f>IF($H123="","",R123*20%)</f>
      </c>
      <c r="T123" s="3">
        <v>1</v>
      </c>
      <c r="U123" s="3">
        <f>IF($H123="","",N123+Q123+S123)</f>
      </c>
      <c r="V123" s="3">
        <f>IF($H123="","",I123-J123-O123-P123-Q123-R123-S123-T123)</f>
      </c>
      <c r="W123" s="3">
        <f>IF($H123="","",(V123-AE123)/H123*100)</f>
      </c>
      <c r="X123" s="3">
        <f>IF($H123="","",J123-U123)</f>
      </c>
      <c r="AF123" s="3">
        <f>IF($H123="","",V123-AE123)</f>
      </c>
    </row>
    <row r="124" spans="1:34" x14ac:dyDescent="0.25">
      <c r="A124" s="1"/>
      <c r="D124" s="2"/>
      <c r="G124" s="3"/>
      <c r="H124" s="3"/>
      <c r="I124" s="3">
        <f>IF($H124="","",H124-G124)</f>
      </c>
      <c r="J124" s="3">
        <f>IF($H124="","",I124*16.67%)</f>
      </c>
      <c r="K124" s="3">
        <f>IF($H124="","",(H124*6.9%)-(H124*6.9%)*10%)</f>
      </c>
      <c r="L124" s="3">
        <f>IF($H124="","",H124*0.35%)</f>
      </c>
      <c r="M124" s="3">
        <v>0.4</v>
      </c>
      <c r="N124" s="3">
        <f>IF($H124="","",(K124+L124+M124)*20%)</f>
      </c>
      <c r="O124" s="3">
        <f>IF($H124="","",K124+L124+M124+N124)</f>
      </c>
      <c r="P124" s="3"/>
      <c r="Q124" s="3"/>
      <c r="R124" s="3"/>
      <c r="S124" s="3">
        <f>IF($H124="","",R124*20%)</f>
      </c>
      <c r="T124" s="3">
        <v>1</v>
      </c>
      <c r="U124" s="3">
        <f>IF($H124="","",N124+Q124+S124)</f>
      </c>
      <c r="V124" s="3">
        <f>IF($H124="","",I124-J124-O124-P124-Q124-R124-S124-T124)</f>
      </c>
      <c r="W124" s="3">
        <f>IF($H124="","",(V124-AE124)/H124*100)</f>
      </c>
      <c r="X124" s="3">
        <f>IF($H124="","",J124-U124)</f>
      </c>
      <c r="AF124" s="3">
        <f>IF($H124="","",V124-AE124)</f>
      </c>
    </row>
    <row r="125" spans="1:34" x14ac:dyDescent="0.25">
      <c r="A125" s="1"/>
      <c r="D125" s="2"/>
      <c r="G125" s="3"/>
      <c r="H125" s="3"/>
      <c r="I125" s="3">
        <f>IF($H125="","",H125-G125)</f>
      </c>
      <c r="J125" s="3">
        <f>IF($H125="","",I125*16.67%)</f>
      </c>
      <c r="K125" s="3">
        <f>IF($H125="","",(H125*6.9%)-(H125*6.9%)*10%)</f>
      </c>
      <c r="L125" s="3">
        <f>IF($H125="","",H125*0.35%)</f>
      </c>
      <c r="M125" s="3">
        <v>0.4</v>
      </c>
      <c r="N125" s="3">
        <f>IF($H125="","",(K125+L125+M125)*20%)</f>
      </c>
      <c r="O125" s="3">
        <f>IF($H125="","",K125+L125+M125+N125)</f>
      </c>
      <c r="P125" s="3"/>
      <c r="Q125" s="3"/>
      <c r="R125" s="3"/>
      <c r="S125" s="3">
        <f>IF($H125="","",R125*20%)</f>
      </c>
      <c r="T125" s="3">
        <v>1</v>
      </c>
      <c r="U125" s="3">
        <f>IF($H125="","",N125+Q125+S125)</f>
      </c>
      <c r="V125" s="3">
        <f>IF($H125="","",I125-J125-O125-P125-Q125-R125-S125-T125)</f>
      </c>
      <c r="W125" s="3">
        <f>IF($H125="","",(V125-AE125)/H125*100)</f>
      </c>
      <c r="X125" s="3">
        <f>IF($H125="","",J125-U125)</f>
      </c>
      <c r="AF125" s="3">
        <f>IF($H125="","",V125-AE125)</f>
      </c>
    </row>
    <row r="126" spans="1:34" x14ac:dyDescent="0.25">
      <c r="A126" s="1"/>
      <c r="D126" s="2"/>
      <c r="G126" s="3"/>
      <c r="H126" s="3"/>
      <c r="I126" s="3">
        <f>IF($H126="","",H126-G126)</f>
      </c>
      <c r="J126" s="3">
        <f>IF($H126="","",I126*16.67%)</f>
      </c>
      <c r="K126" s="3">
        <f>IF($H126="","",(H126*6.9%)-(H126*6.9%)*10%)</f>
      </c>
      <c r="L126" s="3">
        <f>IF($H126="","",H126*0.35%)</f>
      </c>
      <c r="M126" s="3">
        <v>0.4</v>
      </c>
      <c r="N126" s="3">
        <f>IF($H126="","",(K126+L126+M126)*20%)</f>
      </c>
      <c r="O126" s="3">
        <f>IF($H126="","",K126+L126+M126+N126)</f>
      </c>
      <c r="P126" s="3"/>
      <c r="Q126" s="3"/>
      <c r="R126" s="3"/>
      <c r="S126" s="3">
        <f>IF($H126="","",R126*20%)</f>
      </c>
      <c r="T126" s="3">
        <v>1</v>
      </c>
      <c r="U126" s="3">
        <f>IF($H126="","",N126+Q126+S126)</f>
      </c>
      <c r="V126" s="3">
        <f>IF($H126="","",I126-J126-O126-P126-Q126-R126-S126-T126)</f>
      </c>
      <c r="W126" s="3">
        <f>IF($H126="","",(V126-AE126)/H126*100)</f>
      </c>
      <c r="X126" s="3">
        <f>IF($H126="","",J126-U126)</f>
      </c>
      <c r="AF126" s="3">
        <f>IF($H126="","",V126-AE126)</f>
      </c>
    </row>
    <row r="127" spans="1:34" x14ac:dyDescent="0.25">
      <c r="A127" s="1"/>
      <c r="D127" s="2"/>
      <c r="G127" s="3"/>
      <c r="H127" s="3"/>
      <c r="I127" s="3">
        <f>IF($H127="","",H127-G127)</f>
      </c>
      <c r="J127" s="3">
        <f>IF($H127="","",I127*16.67%)</f>
      </c>
      <c r="K127" s="3">
        <f>IF($H127="","",(H127*6.9%)-(H127*6.9%)*10%)</f>
      </c>
      <c r="L127" s="3">
        <f>IF($H127="","",H127*0.35%)</f>
      </c>
      <c r="M127" s="3">
        <v>0.4</v>
      </c>
      <c r="N127" s="3">
        <f>IF($H127="","",(K127+L127+M127)*20%)</f>
      </c>
      <c r="O127" s="3">
        <f>IF($H127="","",K127+L127+M127+N127)</f>
      </c>
      <c r="P127" s="3"/>
      <c r="Q127" s="3"/>
      <c r="R127" s="3"/>
      <c r="S127" s="3">
        <f>IF($H127="","",R127*20%)</f>
      </c>
      <c r="T127" s="3">
        <v>1</v>
      </c>
      <c r="U127" s="3">
        <f>IF($H127="","",N127+Q127+S127)</f>
      </c>
      <c r="V127" s="3">
        <f>IF($H127="","",I127-J127-O127-P127-Q127-R127-S127-T127)</f>
      </c>
      <c r="W127" s="3">
        <f>IF($H127="","",(V127-AE127)/H127*100)</f>
      </c>
      <c r="X127" s="3">
        <f>IF($H127="","",J127-U127)</f>
      </c>
      <c r="AF127" s="3">
        <f>IF($H127="","",V127-AE127)</f>
      </c>
    </row>
    <row r="128" spans="1:34" x14ac:dyDescent="0.25">
      <c r="A128" s="1"/>
      <c r="D128" s="2"/>
      <c r="G128" s="3"/>
      <c r="H128" s="3"/>
      <c r="I128" s="3">
        <f>IF($H128="","",H128-G128)</f>
      </c>
      <c r="J128" s="3">
        <f>IF($H128="","",I128*16.67%)</f>
      </c>
      <c r="K128" s="3">
        <f>IF($H128="","",(H128*6.9%)-(H128*6.9%)*10%)</f>
      </c>
      <c r="L128" s="3">
        <f>IF($H128="","",H128*0.35%)</f>
      </c>
      <c r="M128" s="3">
        <v>0.4</v>
      </c>
      <c r="N128" s="3">
        <f>IF($H128="","",(K128+L128+M128)*20%)</f>
      </c>
      <c r="O128" s="3">
        <f>IF($H128="","",K128+L128+M128+N128)</f>
      </c>
      <c r="P128" s="3"/>
      <c r="Q128" s="3"/>
      <c r="R128" s="3"/>
      <c r="S128" s="3">
        <f>IF($H128="","",R128*20%)</f>
      </c>
      <c r="T128" s="3">
        <v>1</v>
      </c>
      <c r="U128" s="3">
        <f>IF($H128="","",N128+Q128+S128)</f>
      </c>
      <c r="V128" s="3">
        <f>IF($H128="","",I128-J128-O128-P128-Q128-R128-S128-T128)</f>
      </c>
      <c r="W128" s="3">
        <f>IF($H128="","",(V128-AE128)/H128*100)</f>
      </c>
      <c r="X128" s="3">
        <f>IF($H128="","",J128-U128)</f>
      </c>
      <c r="AF128" s="3">
        <f>IF($H128="","",V128-AE128)</f>
      </c>
    </row>
    <row r="129" spans="1:34" x14ac:dyDescent="0.25">
      <c r="A129" s="1"/>
      <c r="D129" s="2"/>
      <c r="G129" s="3"/>
      <c r="H129" s="3"/>
      <c r="I129" s="3">
        <f>IF($H129="","",H129-G129)</f>
      </c>
      <c r="J129" s="3">
        <f>IF($H129="","",I129*16.67%)</f>
      </c>
      <c r="K129" s="3">
        <f>IF($H129="","",(H129*6.9%)-(H129*6.9%)*10%)</f>
      </c>
      <c r="L129" s="3">
        <f>IF($H129="","",H129*0.35%)</f>
      </c>
      <c r="M129" s="3">
        <v>0.4</v>
      </c>
      <c r="N129" s="3">
        <f>IF($H129="","",(K129+L129+M129)*20%)</f>
      </c>
      <c r="O129" s="3">
        <f>IF($H129="","",K129+L129+M129+N129)</f>
      </c>
      <c r="P129" s="3"/>
      <c r="Q129" s="3"/>
      <c r="R129" s="3"/>
      <c r="S129" s="3">
        <f>IF($H129="","",R129*20%)</f>
      </c>
      <c r="T129" s="3">
        <v>1</v>
      </c>
      <c r="U129" s="3">
        <f>IF($H129="","",N129+Q129+S129)</f>
      </c>
      <c r="V129" s="3">
        <f>IF($H129="","",I129-J129-O129-P129-Q129-R129-S129-T129)</f>
      </c>
      <c r="W129" s="3">
        <f>IF($H129="","",(V129-AE129)/H129*100)</f>
      </c>
      <c r="X129" s="3">
        <f>IF($H129="","",J129-U129)</f>
      </c>
      <c r="AF129" s="3">
        <f>IF($H129="","",V129-AE129)</f>
      </c>
    </row>
    <row r="130" spans="1:34" x14ac:dyDescent="0.25">
      <c r="A130" s="1"/>
      <c r="D130" s="2"/>
      <c r="G130" s="3"/>
      <c r="H130" s="3"/>
      <c r="I130" s="3">
        <f>IF($H130="","",H130-G130)</f>
      </c>
      <c r="J130" s="3">
        <f>IF($H130="","",I130*16.67%)</f>
      </c>
      <c r="K130" s="3">
        <f>IF($H130="","",(H130*6.9%)-(H130*6.9%)*10%)</f>
      </c>
      <c r="L130" s="3">
        <f>IF($H130="","",H130*0.35%)</f>
      </c>
      <c r="M130" s="3">
        <v>0.4</v>
      </c>
      <c r="N130" s="3">
        <f>IF($H130="","",(K130+L130+M130)*20%)</f>
      </c>
      <c r="O130" s="3">
        <f>IF($H130="","",K130+L130+M130+N130)</f>
      </c>
      <c r="P130" s="3"/>
      <c r="Q130" s="3"/>
      <c r="R130" s="3"/>
      <c r="S130" s="3">
        <f>IF($H130="","",R130*20%)</f>
      </c>
      <c r="T130" s="3">
        <v>1</v>
      </c>
      <c r="U130" s="3">
        <f>IF($H130="","",N130+Q130+S130)</f>
      </c>
      <c r="V130" s="3">
        <f>IF($H130="","",I130-J130-O130-P130-Q130-R130-S130-T130)</f>
      </c>
      <c r="W130" s="3">
        <f>IF($H130="","",(V130-AE130)/H130*100)</f>
      </c>
      <c r="X130" s="3">
        <f>IF($H130="","",J130-U130)</f>
      </c>
      <c r="AF130" s="3">
        <f>IF($H130="","",V130-AE130)</f>
      </c>
    </row>
    <row r="131" spans="1:34" x14ac:dyDescent="0.25">
      <c r="A131" s="1"/>
      <c r="D131" s="2"/>
      <c r="G131" s="3"/>
      <c r="H131" s="3"/>
      <c r="I131" s="3">
        <f>IF($H131="","",H131-G131)</f>
      </c>
      <c r="J131" s="3">
        <f>IF($H131="","",I131*16.67%)</f>
      </c>
      <c r="K131" s="3">
        <f>IF($H131="","",(H131*6.9%)-(H131*6.9%)*10%)</f>
      </c>
      <c r="L131" s="3">
        <f>IF($H131="","",H131*0.35%)</f>
      </c>
      <c r="M131" s="3">
        <v>0.4</v>
      </c>
      <c r="N131" s="3">
        <f>IF($H131="","",(K131+L131+M131)*20%)</f>
      </c>
      <c r="O131" s="3">
        <f>IF($H131="","",K131+L131+M131+N131)</f>
      </c>
      <c r="P131" s="3"/>
      <c r="Q131" s="3"/>
      <c r="R131" s="3"/>
      <c r="S131" s="3">
        <f>IF($H131="","",R131*20%)</f>
      </c>
      <c r="T131" s="3">
        <v>1</v>
      </c>
      <c r="U131" s="3">
        <f>IF($H131="","",N131+Q131+S131)</f>
      </c>
      <c r="V131" s="3">
        <f>IF($H131="","",I131-J131-O131-P131-Q131-R131-S131-T131)</f>
      </c>
      <c r="W131" s="3">
        <f>IF($H131="","",(V131-AE131)/H131*100)</f>
      </c>
      <c r="X131" s="3">
        <f>IF($H131="","",J131-U131)</f>
      </c>
      <c r="AF131" s="3">
        <f>IF($H131="","",V131-AE131)</f>
      </c>
    </row>
    <row r="132" spans="1:34" x14ac:dyDescent="0.25">
      <c r="A132" s="1"/>
      <c r="D132" s="2"/>
      <c r="G132" s="3"/>
      <c r="H132" s="3"/>
      <c r="I132" s="3">
        <f>IF($H132="","",H132-G132)</f>
      </c>
      <c r="J132" s="3">
        <f>IF($H132="","",I132*16.67%)</f>
      </c>
      <c r="K132" s="3">
        <f>IF($H132="","",(H132*6.9%)-(H132*6.9%)*10%)</f>
      </c>
      <c r="L132" s="3">
        <f>IF($H132="","",H132*0.35%)</f>
      </c>
      <c r="M132" s="3">
        <v>0.4</v>
      </c>
      <c r="N132" s="3">
        <f>IF($H132="","",(K132+L132+M132)*20%)</f>
      </c>
      <c r="O132" s="3">
        <f>IF($H132="","",K132+L132+M132+N132)</f>
      </c>
      <c r="P132" s="3"/>
      <c r="Q132" s="3"/>
      <c r="R132" s="3"/>
      <c r="S132" s="3">
        <f>IF($H132="","",R132*20%)</f>
      </c>
      <c r="T132" s="3">
        <v>1</v>
      </c>
      <c r="U132" s="3">
        <f>IF($H132="","",N132+Q132+S132)</f>
      </c>
      <c r="V132" s="3">
        <f>IF($H132="","",I132-J132-O132-P132-Q132-R132-S132-T132)</f>
      </c>
      <c r="W132" s="3">
        <f>IF($H132="","",(V132-AE132)/H132*100)</f>
      </c>
      <c r="X132" s="3">
        <f>IF($H132="","",J132-U132)</f>
      </c>
      <c r="AF132" s="3">
        <f>IF($H132="","",V132-AE132)</f>
      </c>
    </row>
    <row r="133" spans="1:34" x14ac:dyDescent="0.25">
      <c r="A133" s="1"/>
      <c r="D133" s="2"/>
      <c r="G133" s="3"/>
      <c r="H133" s="3"/>
      <c r="I133" s="3">
        <f>IF($H133="","",H133-G133)</f>
      </c>
      <c r="J133" s="3">
        <f>IF($H133="","",I133*16.67%)</f>
      </c>
      <c r="K133" s="3">
        <f>IF($H133="","",(H133*6.9%)-(H133*6.9%)*10%)</f>
      </c>
      <c r="L133" s="3">
        <f>IF($H133="","",H133*0.35%)</f>
      </c>
      <c r="M133" s="3">
        <v>0.4</v>
      </c>
      <c r="N133" s="3">
        <f>IF($H133="","",(K133+L133+M133)*20%)</f>
      </c>
      <c r="O133" s="3">
        <f>IF($H133="","",K133+L133+M133+N133)</f>
      </c>
      <c r="P133" s="3"/>
      <c r="Q133" s="3"/>
      <c r="R133" s="3"/>
      <c r="S133" s="3">
        <f>IF($H133="","",R133*20%)</f>
      </c>
      <c r="T133" s="3">
        <v>1</v>
      </c>
      <c r="U133" s="3">
        <f>IF($H133="","",N133+Q133+S133)</f>
      </c>
      <c r="V133" s="3">
        <f>IF($H133="","",I133-J133-O133-P133-Q133-R133-S133-T133)</f>
      </c>
      <c r="W133" s="3">
        <f>IF($H133="","",(V133-AE133)/H133*100)</f>
      </c>
      <c r="X133" s="3">
        <f>IF($H133="","",J133-U133)</f>
      </c>
      <c r="AF133" s="3">
        <f>IF($H133="","",V133-AE133)</f>
      </c>
    </row>
    <row r="134" spans="1:34" x14ac:dyDescent="0.25">
      <c r="A134" s="1"/>
      <c r="D134" s="2"/>
      <c r="G134" s="3"/>
      <c r="H134" s="3"/>
      <c r="I134" s="3">
        <f>IF($H134="","",H134-G134)</f>
      </c>
      <c r="J134" s="3">
        <f>IF($H134="","",I134*16.67%)</f>
      </c>
      <c r="K134" s="3">
        <f>IF($H134="","",(H134*6.9%)-(H134*6.9%)*10%)</f>
      </c>
      <c r="L134" s="3">
        <f>IF($H134="","",H134*0.35%)</f>
      </c>
      <c r="M134" s="3">
        <v>0.4</v>
      </c>
      <c r="N134" s="3">
        <f>IF($H134="","",(K134+L134+M134)*20%)</f>
      </c>
      <c r="O134" s="3">
        <f>IF($H134="","",K134+L134+M134+N134)</f>
      </c>
      <c r="P134" s="3"/>
      <c r="Q134" s="3"/>
      <c r="R134" s="3"/>
      <c r="S134" s="3">
        <f>IF($H134="","",R134*20%)</f>
      </c>
      <c r="T134" s="3">
        <v>1</v>
      </c>
      <c r="U134" s="3">
        <f>IF($H134="","",N134+Q134+S134)</f>
      </c>
      <c r="V134" s="3">
        <f>IF($H134="","",I134-J134-O134-P134-Q134-R134-S134-T134)</f>
      </c>
      <c r="W134" s="3">
        <f>IF($H134="","",(V134-AE134)/H134*100)</f>
      </c>
      <c r="X134" s="3">
        <f>IF($H134="","",J134-U134)</f>
      </c>
      <c r="AF134" s="3">
        <f>IF($H134="","",V134-AE134)</f>
      </c>
    </row>
    <row r="135" spans="1:34" x14ac:dyDescent="0.25">
      <c r="A135" s="1"/>
      <c r="D135" s="2"/>
      <c r="G135" s="3"/>
      <c r="H135" s="3"/>
      <c r="I135" s="3">
        <f>IF($H135="","",H135-G135)</f>
      </c>
      <c r="J135" s="3">
        <f>IF($H135="","",I135*16.67%)</f>
      </c>
      <c r="K135" s="3">
        <f>IF($H135="","",(H135*6.9%)-(H135*6.9%)*10%)</f>
      </c>
      <c r="L135" s="3">
        <f>IF($H135="","",H135*0.35%)</f>
      </c>
      <c r="M135" s="3">
        <v>0.4</v>
      </c>
      <c r="N135" s="3">
        <f>IF($H135="","",(K135+L135+M135)*20%)</f>
      </c>
      <c r="O135" s="3">
        <f>IF($H135="","",K135+L135+M135+N135)</f>
      </c>
      <c r="P135" s="3"/>
      <c r="Q135" s="3"/>
      <c r="R135" s="3"/>
      <c r="S135" s="3">
        <f>IF($H135="","",R135*20%)</f>
      </c>
      <c r="T135" s="3">
        <v>1</v>
      </c>
      <c r="U135" s="3">
        <f>IF($H135="","",N135+Q135+S135)</f>
      </c>
      <c r="V135" s="3">
        <f>IF($H135="","",I135-J135-O135-P135-Q135-R135-S135-T135)</f>
      </c>
      <c r="W135" s="3">
        <f>IF($H135="","",(V135-AE135)/H135*100)</f>
      </c>
      <c r="X135" s="3">
        <f>IF($H135="","",J135-U135)</f>
      </c>
      <c r="AF135" s="3">
        <f>IF($H135="","",V135-AE135)</f>
      </c>
    </row>
    <row r="136" spans="1:34" x14ac:dyDescent="0.25">
      <c r="A136" s="1"/>
      <c r="D136" s="2"/>
      <c r="G136" s="3"/>
      <c r="H136" s="3"/>
      <c r="I136" s="3">
        <f>IF($H136="","",H136-G136)</f>
      </c>
      <c r="J136" s="3">
        <f>IF($H136="","",I136*16.67%)</f>
      </c>
      <c r="K136" s="3">
        <f>IF($H136="","",(H136*6.9%)-(H136*6.9%)*10%)</f>
      </c>
      <c r="L136" s="3">
        <f>IF($H136="","",H136*0.35%)</f>
      </c>
      <c r="M136" s="3">
        <v>0.4</v>
      </c>
      <c r="N136" s="3">
        <f>IF($H136="","",(K136+L136+M136)*20%)</f>
      </c>
      <c r="O136" s="3">
        <f>IF($H136="","",K136+L136+M136+N136)</f>
      </c>
      <c r="P136" s="3"/>
      <c r="Q136" s="3"/>
      <c r="R136" s="3"/>
      <c r="S136" s="3">
        <f>IF($H136="","",R136*20%)</f>
      </c>
      <c r="T136" s="3">
        <v>1</v>
      </c>
      <c r="U136" s="3">
        <f>IF($H136="","",N136+Q136+S136)</f>
      </c>
      <c r="V136" s="3">
        <f>IF($H136="","",I136-J136-O136-P136-Q136-R136-S136-T136)</f>
      </c>
      <c r="W136" s="3">
        <f>IF($H136="","",(V136-AE136)/H136*100)</f>
      </c>
      <c r="X136" s="3">
        <f>IF($H136="","",J136-U136)</f>
      </c>
      <c r="AF136" s="3">
        <f>IF($H136="","",V136-AE136)</f>
      </c>
    </row>
    <row r="137" spans="1:34" x14ac:dyDescent="0.25">
      <c r="A137" s="1"/>
      <c r="D137" s="2"/>
      <c r="G137" s="3"/>
      <c r="H137" s="3"/>
      <c r="I137" s="3">
        <f>IF($H137="","",H137-G137)</f>
      </c>
      <c r="J137" s="3">
        <f>IF($H137="","",I137*16.67%)</f>
      </c>
      <c r="K137" s="3">
        <f>IF($H137="","",(H137*6.9%)-(H137*6.9%)*10%)</f>
      </c>
      <c r="L137" s="3">
        <f>IF($H137="","",H137*0.35%)</f>
      </c>
      <c r="M137" s="3">
        <v>0.4</v>
      </c>
      <c r="N137" s="3">
        <f>IF($H137="","",(K137+L137+M137)*20%)</f>
      </c>
      <c r="O137" s="3">
        <f>IF($H137="","",K137+L137+M137+N137)</f>
      </c>
      <c r="P137" s="3"/>
      <c r="Q137" s="3"/>
      <c r="R137" s="3"/>
      <c r="S137" s="3">
        <f>IF($H137="","",R137*20%)</f>
      </c>
      <c r="T137" s="3">
        <v>1</v>
      </c>
      <c r="U137" s="3">
        <f>IF($H137="","",N137+Q137+S137)</f>
      </c>
      <c r="V137" s="3">
        <f>IF($H137="","",I137-J137-O137-P137-Q137-R137-S137-T137)</f>
      </c>
      <c r="W137" s="3">
        <f>IF($H137="","",(V137-AE137)/H137*100)</f>
      </c>
      <c r="X137" s="3">
        <f>IF($H137="","",J137-U137)</f>
      </c>
      <c r="AF137" s="3">
        <f>IF($H137="","",V137-AE137)</f>
      </c>
    </row>
    <row r="138" spans="1:34" x14ac:dyDescent="0.25">
      <c r="A138" s="1"/>
      <c r="D138" s="2"/>
      <c r="G138" s="3"/>
      <c r="H138" s="3"/>
      <c r="I138" s="3">
        <f>IF($H138="","",H138-G138)</f>
      </c>
      <c r="J138" s="3">
        <f>IF($H138="","",I138*16.67%)</f>
      </c>
      <c r="K138" s="3">
        <f>IF($H138="","",(H138*6.9%)-(H138*6.9%)*10%)</f>
      </c>
      <c r="L138" s="3">
        <f>IF($H138="","",H138*0.35%)</f>
      </c>
      <c r="M138" s="3">
        <v>0.4</v>
      </c>
      <c r="N138" s="3">
        <f>IF($H138="","",(K138+L138+M138)*20%)</f>
      </c>
      <c r="O138" s="3">
        <f>IF($H138="","",K138+L138+M138+N138)</f>
      </c>
      <c r="P138" s="3"/>
      <c r="Q138" s="3"/>
      <c r="R138" s="3"/>
      <c r="S138" s="3">
        <f>IF($H138="","",R138*20%)</f>
      </c>
      <c r="T138" s="3">
        <v>1</v>
      </c>
      <c r="U138" s="3">
        <f>IF($H138="","",N138+Q138+S138)</f>
      </c>
      <c r="V138" s="3">
        <f>IF($H138="","",I138-J138-O138-P138-Q138-R138-S138-T138)</f>
      </c>
      <c r="W138" s="3">
        <f>IF($H138="","",(V138-AE138)/H138*100)</f>
      </c>
      <c r="X138" s="3">
        <f>IF($H138="","",J138-U138)</f>
      </c>
      <c r="AF138" s="3">
        <f>IF($H138="","",V138-AE138)</f>
      </c>
    </row>
    <row r="139" spans="1:34" x14ac:dyDescent="0.25">
      <c r="A139" s="1"/>
      <c r="D139" s="2"/>
      <c r="G139" s="3"/>
      <c r="H139" s="3"/>
      <c r="I139" s="3">
        <f>IF($H139="","",H139-G139)</f>
      </c>
      <c r="J139" s="3">
        <f>IF($H139="","",I139*16.67%)</f>
      </c>
      <c r="K139" s="3">
        <f>IF($H139="","",(H139*6.9%)-(H139*6.9%)*10%)</f>
      </c>
      <c r="L139" s="3">
        <f>IF($H139="","",H139*0.35%)</f>
      </c>
      <c r="M139" s="3">
        <v>0.4</v>
      </c>
      <c r="N139" s="3">
        <f>IF($H139="","",(K139+L139+M139)*20%)</f>
      </c>
      <c r="O139" s="3">
        <f>IF($H139="","",K139+L139+M139+N139)</f>
      </c>
      <c r="P139" s="3"/>
      <c r="Q139" s="3"/>
      <c r="R139" s="3"/>
      <c r="S139" s="3">
        <f>IF($H139="","",R139*20%)</f>
      </c>
      <c r="T139" s="3">
        <v>1</v>
      </c>
      <c r="U139" s="3">
        <f>IF($H139="","",N139+Q139+S139)</f>
      </c>
      <c r="V139" s="3">
        <f>IF($H139="","",I139-J139-O139-P139-Q139-R139-S139-T139)</f>
      </c>
      <c r="W139" s="3">
        <f>IF($H139="","",(V139-AE139)/H139*100)</f>
      </c>
      <c r="X139" s="3">
        <f>IF($H139="","",J139-U139)</f>
      </c>
      <c r="AF139" s="3">
        <f>IF($H139="","",V139-AE139)</f>
      </c>
    </row>
    <row r="140" spans="1:34" x14ac:dyDescent="0.25">
      <c r="A140" s="1"/>
      <c r="D140" s="2"/>
      <c r="G140" s="3"/>
      <c r="H140" s="3"/>
      <c r="I140" s="3">
        <f>IF($H140="","",H140-G140)</f>
      </c>
      <c r="J140" s="3">
        <f>IF($H140="","",I140*16.67%)</f>
      </c>
      <c r="K140" s="3">
        <f>IF($H140="","",(H140*6.9%)-(H140*6.9%)*10%)</f>
      </c>
      <c r="L140" s="3">
        <f>IF($H140="","",H140*0.35%)</f>
      </c>
      <c r="M140" s="3">
        <v>0.4</v>
      </c>
      <c r="N140" s="3">
        <f>IF($H140="","",(K140+L140+M140)*20%)</f>
      </c>
      <c r="O140" s="3">
        <f>IF($H140="","",K140+L140+M140+N140)</f>
      </c>
      <c r="P140" s="3"/>
      <c r="Q140" s="3"/>
      <c r="R140" s="3"/>
      <c r="S140" s="3">
        <f>IF($H140="","",R140*20%)</f>
      </c>
      <c r="T140" s="3">
        <v>1</v>
      </c>
      <c r="U140" s="3">
        <f>IF($H140="","",N140+Q140+S140)</f>
      </c>
      <c r="V140" s="3">
        <f>IF($H140="","",I140-J140-O140-P140-Q140-R140-S140-T140)</f>
      </c>
      <c r="W140" s="3">
        <f>IF($H140="","",(V140-AE140)/H140*100)</f>
      </c>
      <c r="X140" s="3">
        <f>IF($H140="","",J140-U140)</f>
      </c>
      <c r="AF140" s="3">
        <f>IF($H140="","",V140-AE140)</f>
      </c>
    </row>
    <row r="141" spans="1:34" x14ac:dyDescent="0.25">
      <c r="A141" s="1"/>
      <c r="D141" s="2"/>
      <c r="G141" s="3"/>
      <c r="H141" s="3"/>
      <c r="I141" s="3">
        <f>IF($H141="","",H141-G141)</f>
      </c>
      <c r="J141" s="3">
        <f>IF($H141="","",I141*16.67%)</f>
      </c>
      <c r="K141" s="3">
        <f>IF($H141="","",(H141*6.9%)-(H141*6.9%)*10%)</f>
      </c>
      <c r="L141" s="3">
        <f>IF($H141="","",H141*0.35%)</f>
      </c>
      <c r="M141" s="3">
        <v>0.4</v>
      </c>
      <c r="N141" s="3">
        <f>IF($H141="","",(K141+L141+M141)*20%)</f>
      </c>
      <c r="O141" s="3">
        <f>IF($H141="","",K141+L141+M141+N141)</f>
      </c>
      <c r="P141" s="3"/>
      <c r="Q141" s="3"/>
      <c r="R141" s="3"/>
      <c r="S141" s="3">
        <f>IF($H141="","",R141*20%)</f>
      </c>
      <c r="T141" s="3">
        <v>1</v>
      </c>
      <c r="U141" s="3">
        <f>IF($H141="","",N141+Q141+S141)</f>
      </c>
      <c r="V141" s="3">
        <f>IF($H141="","",I141-J141-O141-P141-Q141-R141-S141-T141)</f>
      </c>
      <c r="W141" s="3">
        <f>IF($H141="","",(V141-AE141)/H141*100)</f>
      </c>
      <c r="X141" s="3">
        <f>IF($H141="","",J141-U141)</f>
      </c>
      <c r="AF141" s="3">
        <f>IF($H141="","",V141-AE141)</f>
      </c>
    </row>
    <row r="142" spans="1:34" x14ac:dyDescent="0.25">
      <c r="A142" s="1"/>
      <c r="D142" s="2"/>
      <c r="G142" s="3"/>
      <c r="H142" s="3"/>
      <c r="I142" s="3">
        <f>IF($H142="","",H142-G142)</f>
      </c>
      <c r="J142" s="3">
        <f>IF($H142="","",I142*16.67%)</f>
      </c>
      <c r="K142" s="3">
        <f>IF($H142="","",(H142*6.9%)-(H142*6.9%)*10%)</f>
      </c>
      <c r="L142" s="3">
        <f>IF($H142="","",H142*0.35%)</f>
      </c>
      <c r="M142" s="3">
        <v>0.4</v>
      </c>
      <c r="N142" s="3">
        <f>IF($H142="","",(K142+L142+M142)*20%)</f>
      </c>
      <c r="O142" s="3">
        <f>IF($H142="","",K142+L142+M142+N142)</f>
      </c>
      <c r="P142" s="3"/>
      <c r="Q142" s="3"/>
      <c r="R142" s="3"/>
      <c r="S142" s="3">
        <f>IF($H142="","",R142*20%)</f>
      </c>
      <c r="T142" s="3">
        <v>1</v>
      </c>
      <c r="U142" s="3">
        <f>IF($H142="","",N142+Q142+S142)</f>
      </c>
      <c r="V142" s="3">
        <f>IF($H142="","",I142-J142-O142-P142-Q142-R142-S142-T142)</f>
      </c>
      <c r="W142" s="3">
        <f>IF($H142="","",(V142-AE142)/H142*100)</f>
      </c>
      <c r="X142" s="3">
        <f>IF($H142="","",J142-U142)</f>
      </c>
      <c r="AF142" s="3">
        <f>IF($H142="","",V142-AE142)</f>
      </c>
    </row>
    <row r="143" spans="1:34" x14ac:dyDescent="0.25">
      <c r="A143" s="1"/>
      <c r="D143" s="2"/>
      <c r="G143" s="3"/>
      <c r="H143" s="3"/>
      <c r="I143" s="3">
        <f>IF($H143="","",H143-G143)</f>
      </c>
      <c r="J143" s="3">
        <f>IF($H143="","",I143*16.67%)</f>
      </c>
      <c r="K143" s="3">
        <f>IF($H143="","",(H143*6.9%)-(H143*6.9%)*10%)</f>
      </c>
      <c r="L143" s="3">
        <f>IF($H143="","",H143*0.35%)</f>
      </c>
      <c r="M143" s="3">
        <v>0.4</v>
      </c>
      <c r="N143" s="3">
        <f>IF($H143="","",(K143+L143+M143)*20%)</f>
      </c>
      <c r="O143" s="3">
        <f>IF($H143="","",K143+L143+M143+N143)</f>
      </c>
      <c r="P143" s="3"/>
      <c r="Q143" s="3"/>
      <c r="R143" s="3"/>
      <c r="S143" s="3">
        <f>IF($H143="","",R143*20%)</f>
      </c>
      <c r="T143" s="3">
        <v>1</v>
      </c>
      <c r="U143" s="3">
        <f>IF($H143="","",N143+Q143+S143)</f>
      </c>
      <c r="V143" s="3">
        <f>IF($H143="","",I143-J143-O143-P143-Q143-R143-S143-T143)</f>
      </c>
      <c r="W143" s="3">
        <f>IF($H143="","",(V143-AE143)/H143*100)</f>
      </c>
      <c r="X143" s="3">
        <f>IF($H143="","",J143-U143)</f>
      </c>
      <c r="AF143" s="3">
        <f>IF($H143="","",V143-AE143)</f>
      </c>
    </row>
    <row r="144" spans="1:34" x14ac:dyDescent="0.25">
      <c r="A144" s="1"/>
      <c r="D144" s="2"/>
      <c r="G144" s="3"/>
      <c r="H144" s="3"/>
      <c r="I144" s="3">
        <f>IF($H144="","",H144-G144)</f>
      </c>
      <c r="J144" s="3">
        <f>IF($H144="","",I144*16.67%)</f>
      </c>
      <c r="K144" s="3">
        <f>IF($H144="","",(H144*6.9%)-(H144*6.9%)*10%)</f>
      </c>
      <c r="L144" s="3">
        <f>IF($H144="","",H144*0.35%)</f>
      </c>
      <c r="M144" s="3">
        <v>0.4</v>
      </c>
      <c r="N144" s="3">
        <f>IF($H144="","",(K144+L144+M144)*20%)</f>
      </c>
      <c r="O144" s="3">
        <f>IF($H144="","",K144+L144+M144+N144)</f>
      </c>
      <c r="P144" s="3"/>
      <c r="Q144" s="3"/>
      <c r="R144" s="3"/>
      <c r="S144" s="3">
        <f>IF($H144="","",R144*20%)</f>
      </c>
      <c r="T144" s="3">
        <v>1</v>
      </c>
      <c r="U144" s="3">
        <f>IF($H144="","",N144+Q144+S144)</f>
      </c>
      <c r="V144" s="3">
        <f>IF($H144="","",I144-J144-O144-P144-Q144-R144-S144-T144)</f>
      </c>
      <c r="W144" s="3">
        <f>IF($H144="","",(V144-AE144)/H144*100)</f>
      </c>
      <c r="X144" s="3">
        <f>IF($H144="","",J144-U144)</f>
      </c>
      <c r="AF144" s="3">
        <f>IF($H144="","",V144-AE144)</f>
      </c>
    </row>
    <row r="145" spans="1:34" x14ac:dyDescent="0.25">
      <c r="A145" s="1"/>
      <c r="D145" s="2"/>
      <c r="G145" s="3"/>
      <c r="H145" s="3"/>
      <c r="I145" s="3">
        <f>IF($H145="","",H145-G145)</f>
      </c>
      <c r="J145" s="3">
        <f>IF($H145="","",I145*16.67%)</f>
      </c>
      <c r="K145" s="3">
        <f>IF($H145="","",(H145*6.9%)-(H145*6.9%)*10%)</f>
      </c>
      <c r="L145" s="3">
        <f>IF($H145="","",H145*0.35%)</f>
      </c>
      <c r="M145" s="3">
        <v>0.4</v>
      </c>
      <c r="N145" s="3">
        <f>IF($H145="","",(K145+L145+M145)*20%)</f>
      </c>
      <c r="O145" s="3">
        <f>IF($H145="","",K145+L145+M145+N145)</f>
      </c>
      <c r="P145" s="3"/>
      <c r="Q145" s="3"/>
      <c r="R145" s="3"/>
      <c r="S145" s="3">
        <f>IF($H145="","",R145*20%)</f>
      </c>
      <c r="T145" s="3">
        <v>1</v>
      </c>
      <c r="U145" s="3">
        <f>IF($H145="","",N145+Q145+S145)</f>
      </c>
      <c r="V145" s="3">
        <f>IF($H145="","",I145-J145-O145-P145-Q145-R145-S145-T145)</f>
      </c>
      <c r="W145" s="3">
        <f>IF($H145="","",(V145-AE145)/H145*100)</f>
      </c>
      <c r="X145" s="3">
        <f>IF($H145="","",J145-U145)</f>
      </c>
      <c r="AF145" s="3">
        <f>IF($H145="","",V145-AE145)</f>
      </c>
    </row>
    <row r="146" spans="1:34" x14ac:dyDescent="0.25">
      <c r="A146" s="1"/>
      <c r="D146" s="2"/>
      <c r="G146" s="3"/>
      <c r="H146" s="3"/>
      <c r="I146" s="3">
        <f>IF($H146="","",H146-G146)</f>
      </c>
      <c r="J146" s="3">
        <f>IF($H146="","",I146*16.67%)</f>
      </c>
      <c r="K146" s="3">
        <f>IF($H146="","",(H146*6.9%)-(H146*6.9%)*10%)</f>
      </c>
      <c r="L146" s="3">
        <f>IF($H146="","",H146*0.35%)</f>
      </c>
      <c r="M146" s="3">
        <v>0.4</v>
      </c>
      <c r="N146" s="3">
        <f>IF($H146="","",(K146+L146+M146)*20%)</f>
      </c>
      <c r="O146" s="3">
        <f>IF($H146="","",K146+L146+M146+N146)</f>
      </c>
      <c r="P146" s="3"/>
      <c r="Q146" s="3"/>
      <c r="R146" s="3"/>
      <c r="S146" s="3">
        <f>IF($H146="","",R146*20%)</f>
      </c>
      <c r="T146" s="3">
        <v>1</v>
      </c>
      <c r="U146" s="3">
        <f>IF($H146="","",N146+Q146+S146)</f>
      </c>
      <c r="V146" s="3">
        <f>IF($H146="","",I146-J146-O146-P146-Q146-R146-S146-T146)</f>
      </c>
      <c r="W146" s="3">
        <f>IF($H146="","",(V146-AE146)/H146*100)</f>
      </c>
      <c r="X146" s="3">
        <f>IF($H146="","",J146-U146)</f>
      </c>
      <c r="AF146" s="3">
        <f>IF($H146="","",V146-AE146)</f>
      </c>
    </row>
    <row r="147" spans="1:34" x14ac:dyDescent="0.25">
      <c r="A147" s="1"/>
      <c r="D147" s="2"/>
      <c r="G147" s="3"/>
      <c r="H147" s="3"/>
      <c r="I147" s="3">
        <f>IF($H147="","",H147-G147)</f>
      </c>
      <c r="J147" s="3">
        <f>IF($H147="","",I147*16.67%)</f>
      </c>
      <c r="K147" s="3">
        <f>IF($H147="","",(H147*6.9%)-(H147*6.9%)*10%)</f>
      </c>
      <c r="L147" s="3">
        <f>IF($H147="","",H147*0.35%)</f>
      </c>
      <c r="M147" s="3">
        <v>0.4</v>
      </c>
      <c r="N147" s="3">
        <f>IF($H147="","",(K147+L147+M147)*20%)</f>
      </c>
      <c r="O147" s="3">
        <f>IF($H147="","",K147+L147+M147+N147)</f>
      </c>
      <c r="P147" s="3"/>
      <c r="Q147" s="3"/>
      <c r="R147" s="3"/>
      <c r="S147" s="3">
        <f>IF($H147="","",R147*20%)</f>
      </c>
      <c r="T147" s="3">
        <v>1</v>
      </c>
      <c r="U147" s="3">
        <f>IF($H147="","",N147+Q147+S147)</f>
      </c>
      <c r="V147" s="3">
        <f>IF($H147="","",I147-J147-O147-P147-Q147-R147-S147-T147)</f>
      </c>
      <c r="W147" s="3">
        <f>IF($H147="","",(V147-AE147)/H147*100)</f>
      </c>
      <c r="X147" s="3">
        <f>IF($H147="","",J147-U147)</f>
      </c>
      <c r="AF147" s="3">
        <f>IF($H147="","",V147-AE147)</f>
      </c>
    </row>
    <row r="148" spans="1:34" x14ac:dyDescent="0.25">
      <c r="A148" s="1"/>
      <c r="D148" s="2"/>
      <c r="G148" s="3"/>
      <c r="H148" s="3"/>
      <c r="I148" s="3">
        <f>IF($H148="","",H148-G148)</f>
      </c>
      <c r="J148" s="3">
        <f>IF($H148="","",I148*16.67%)</f>
      </c>
      <c r="K148" s="3">
        <f>IF($H148="","",(H148*6.9%)-(H148*6.9%)*10%)</f>
      </c>
      <c r="L148" s="3">
        <f>IF($H148="","",H148*0.35%)</f>
      </c>
      <c r="M148" s="3">
        <v>0.4</v>
      </c>
      <c r="N148" s="3">
        <f>IF($H148="","",(K148+L148+M148)*20%)</f>
      </c>
      <c r="O148" s="3">
        <f>IF($H148="","",K148+L148+M148+N148)</f>
      </c>
      <c r="P148" s="3"/>
      <c r="Q148" s="3"/>
      <c r="R148" s="3"/>
      <c r="S148" s="3">
        <f>IF($H148="","",R148*20%)</f>
      </c>
      <c r="T148" s="3">
        <v>1</v>
      </c>
      <c r="U148" s="3">
        <f>IF($H148="","",N148+Q148+S148)</f>
      </c>
      <c r="V148" s="3">
        <f>IF($H148="","",I148-J148-O148-P148-Q148-R148-S148-T148)</f>
      </c>
      <c r="W148" s="3">
        <f>IF($H148="","",(V148-AE148)/H148*100)</f>
      </c>
      <c r="X148" s="3">
        <f>IF($H148="","",J148-U148)</f>
      </c>
      <c r="AF148" s="3">
        <f>IF($H148="","",V148-AE148)</f>
      </c>
    </row>
    <row r="149" spans="1:34" x14ac:dyDescent="0.25">
      <c r="A149" s="1"/>
      <c r="D149" s="2"/>
      <c r="G149" s="3"/>
      <c r="H149" s="3"/>
      <c r="I149" s="3">
        <f>IF($H149="","",H149-G149)</f>
      </c>
      <c r="J149" s="3">
        <f>IF($H149="","",I149*16.67%)</f>
      </c>
      <c r="K149" s="3">
        <f>IF($H149="","",(H149*6.9%)-(H149*6.9%)*10%)</f>
      </c>
      <c r="L149" s="3">
        <f>IF($H149="","",H149*0.35%)</f>
      </c>
      <c r="M149" s="3">
        <v>0.4</v>
      </c>
      <c r="N149" s="3">
        <f>IF($H149="","",(K149+L149+M149)*20%)</f>
      </c>
      <c r="O149" s="3">
        <f>IF($H149="","",K149+L149+M149+N149)</f>
      </c>
      <c r="P149" s="3"/>
      <c r="Q149" s="3"/>
      <c r="R149" s="3"/>
      <c r="S149" s="3">
        <f>IF($H149="","",R149*20%)</f>
      </c>
      <c r="T149" s="3">
        <v>1</v>
      </c>
      <c r="U149" s="3">
        <f>IF($H149="","",N149+Q149+S149)</f>
      </c>
      <c r="V149" s="3">
        <f>IF($H149="","",I149-J149-O149-P149-Q149-R149-S149-T149)</f>
      </c>
      <c r="W149" s="3">
        <f>IF($H149="","",(V149-AE149)/H149*100)</f>
      </c>
      <c r="X149" s="3">
        <f>IF($H149="","",J149-U149)</f>
      </c>
      <c r="AF149" s="3">
        <f>IF($H149="","",V149-AE149)</f>
      </c>
    </row>
    <row r="150" spans="1:34" x14ac:dyDescent="0.25">
      <c r="A150" s="1"/>
      <c r="D150" s="2"/>
      <c r="G150" s="3"/>
      <c r="H150" s="3"/>
      <c r="I150" s="3">
        <f>IF($H150="","",H150-G150)</f>
      </c>
      <c r="J150" s="3">
        <f>IF($H150="","",I150*16.67%)</f>
      </c>
      <c r="K150" s="3">
        <f>IF($H150="","",(H150*6.9%)-(H150*6.9%)*10%)</f>
      </c>
      <c r="L150" s="3">
        <f>IF($H150="","",H150*0.35%)</f>
      </c>
      <c r="M150" s="3">
        <v>0.4</v>
      </c>
      <c r="N150" s="3">
        <f>IF($H150="","",(K150+L150+M150)*20%)</f>
      </c>
      <c r="O150" s="3">
        <f>IF($H150="","",K150+L150+M150+N150)</f>
      </c>
      <c r="P150" s="3"/>
      <c r="Q150" s="3"/>
      <c r="R150" s="3"/>
      <c r="S150" s="3">
        <f>IF($H150="","",R150*20%)</f>
      </c>
      <c r="T150" s="3">
        <v>1</v>
      </c>
      <c r="U150" s="3">
        <f>IF($H150="","",N150+Q150+S150)</f>
      </c>
      <c r="V150" s="3">
        <f>IF($H150="","",I150-J150-O150-P150-Q150-R150-S150-T150)</f>
      </c>
      <c r="W150" s="3">
        <f>IF($H150="","",(V150-AE150)/H150*100)</f>
      </c>
      <c r="X150" s="3">
        <f>IF($H150="","",J150-U150)</f>
      </c>
      <c r="AF150" s="3">
        <f>IF($H150="","",V150-AE150)</f>
      </c>
    </row>
    <row r="151" spans="1:34" x14ac:dyDescent="0.25">
      <c r="A151" s="1"/>
      <c r="D151" s="2"/>
      <c r="G151" s="3"/>
      <c r="H151" s="3"/>
      <c r="I151" s="3">
        <f>IF($H151="","",H151-G151)</f>
      </c>
      <c r="J151" s="3">
        <f>IF($H151="","",I151*16.67%)</f>
      </c>
      <c r="K151" s="3">
        <f>IF($H151="","",(H151*6.9%)-(H151*6.9%)*10%)</f>
      </c>
      <c r="L151" s="3">
        <f>IF($H151="","",H151*0.35%)</f>
      </c>
      <c r="M151" s="3">
        <v>0.4</v>
      </c>
      <c r="N151" s="3">
        <f>IF($H151="","",(K151+L151+M151)*20%)</f>
      </c>
      <c r="O151" s="3">
        <f>IF($H151="","",K151+L151+M151+N151)</f>
      </c>
      <c r="P151" s="3"/>
      <c r="Q151" s="3"/>
      <c r="R151" s="3"/>
      <c r="S151" s="3">
        <f>IF($H151="","",R151*20%)</f>
      </c>
      <c r="T151" s="3">
        <v>1</v>
      </c>
      <c r="U151" s="3">
        <f>IF($H151="","",N151+Q151+S151)</f>
      </c>
      <c r="V151" s="3">
        <f>IF($H151="","",I151-J151-O151-P151-Q151-R151-S151-T151)</f>
      </c>
      <c r="W151" s="3">
        <f>IF($H151="","",(V151-AE151)/H151*100)</f>
      </c>
      <c r="X151" s="3">
        <f>IF($H151="","",J151-U151)</f>
      </c>
      <c r="AF151" s="3">
        <f>IF($H151="","",V151-AE151)</f>
      </c>
    </row>
    <row r="152" spans="1:34" x14ac:dyDescent="0.25">
      <c r="A152" s="1"/>
      <c r="D152" s="2"/>
      <c r="G152" s="3"/>
      <c r="H152" s="3"/>
      <c r="I152" s="3">
        <f>IF($H152="","",H152-G152)</f>
      </c>
      <c r="J152" s="3">
        <f>IF($H152="","",I152*16.67%)</f>
      </c>
      <c r="K152" s="3">
        <f>IF($H152="","",(H152*6.9%)-(H152*6.9%)*10%)</f>
      </c>
      <c r="L152" s="3">
        <f>IF($H152="","",H152*0.35%)</f>
      </c>
      <c r="M152" s="3">
        <v>0.4</v>
      </c>
      <c r="N152" s="3">
        <f>IF($H152="","",(K152+L152+M152)*20%)</f>
      </c>
      <c r="O152" s="3">
        <f>IF($H152="","",K152+L152+M152+N152)</f>
      </c>
      <c r="P152" s="3"/>
      <c r="Q152" s="3"/>
      <c r="R152" s="3"/>
      <c r="S152" s="3">
        <f>IF($H152="","",R152*20%)</f>
      </c>
      <c r="T152" s="3">
        <v>1</v>
      </c>
      <c r="U152" s="3">
        <f>IF($H152="","",N152+Q152+S152)</f>
      </c>
      <c r="V152" s="3">
        <f>IF($H152="","",I152-J152-O152-P152-Q152-R152-S152-T152)</f>
      </c>
      <c r="W152" s="3">
        <f>IF($H152="","",(V152-AE152)/H152*100)</f>
      </c>
      <c r="X152" s="3">
        <f>IF($H152="","",J152-U152)</f>
      </c>
      <c r="AF152" s="3">
        <f>IF($H152="","",V152-AE152)</f>
      </c>
    </row>
    <row r="153" spans="1:34" x14ac:dyDescent="0.25">
      <c r="A153" s="1"/>
      <c r="D153" s="2"/>
      <c r="G153" s="3"/>
      <c r="H153" s="3"/>
      <c r="I153" s="3">
        <f>IF($H153="","",H153-G153)</f>
      </c>
      <c r="J153" s="3">
        <f>IF($H153="","",I153*16.67%)</f>
      </c>
      <c r="K153" s="3">
        <f>IF($H153="","",(H153*6.9%)-(H153*6.9%)*10%)</f>
      </c>
      <c r="L153" s="3">
        <f>IF($H153="","",H153*0.35%)</f>
      </c>
      <c r="M153" s="3">
        <v>0.4</v>
      </c>
      <c r="N153" s="3">
        <f>IF($H153="","",(K153+L153+M153)*20%)</f>
      </c>
      <c r="O153" s="3">
        <f>IF($H153="","",K153+L153+M153+N153)</f>
      </c>
      <c r="P153" s="3"/>
      <c r="Q153" s="3"/>
      <c r="R153" s="3"/>
      <c r="S153" s="3">
        <f>IF($H153="","",R153*20%)</f>
      </c>
      <c r="T153" s="3">
        <v>1</v>
      </c>
      <c r="U153" s="3">
        <f>IF($H153="","",N153+Q153+S153)</f>
      </c>
      <c r="V153" s="3">
        <f>IF($H153="","",I153-J153-O153-P153-Q153-R153-S153-T153)</f>
      </c>
      <c r="W153" s="3">
        <f>IF($H153="","",(V153-AE153)/H153*100)</f>
      </c>
      <c r="X153" s="3">
        <f>IF($H153="","",J153-U153)</f>
      </c>
      <c r="AF153" s="3">
        <f>IF($H153="","",V153-AE153)</f>
      </c>
    </row>
    <row r="154" spans="1:34" x14ac:dyDescent="0.25">
      <c r="A154" s="1"/>
      <c r="D154" s="2"/>
      <c r="G154" s="3"/>
      <c r="H154" s="3"/>
      <c r="I154" s="3">
        <f>IF($H154="","",H154-G154)</f>
      </c>
      <c r="J154" s="3">
        <f>IF($H154="","",I154*16.67%)</f>
      </c>
      <c r="K154" s="3">
        <f>IF($H154="","",(H154*6.9%)-(H154*6.9%)*10%)</f>
      </c>
      <c r="L154" s="3">
        <f>IF($H154="","",H154*0.35%)</f>
      </c>
      <c r="M154" s="3">
        <v>0.4</v>
      </c>
      <c r="N154" s="3">
        <f>IF($H154="","",(K154+L154+M154)*20%)</f>
      </c>
      <c r="O154" s="3">
        <f>IF($H154="","",K154+L154+M154+N154)</f>
      </c>
      <c r="P154" s="3"/>
      <c r="Q154" s="3"/>
      <c r="R154" s="3"/>
      <c r="S154" s="3">
        <f>IF($H154="","",R154*20%)</f>
      </c>
      <c r="T154" s="3">
        <v>1</v>
      </c>
      <c r="U154" s="3">
        <f>IF($H154="","",N154+Q154+S154)</f>
      </c>
      <c r="V154" s="3">
        <f>IF($H154="","",I154-J154-O154-P154-Q154-R154-S154-T154)</f>
      </c>
      <c r="W154" s="3">
        <f>IF($H154="","",(V154-AE154)/H154*100)</f>
      </c>
      <c r="X154" s="3">
        <f>IF($H154="","",J154-U154)</f>
      </c>
      <c r="AF154" s="3">
        <f>IF($H154="","",V154-AE154)</f>
      </c>
    </row>
    <row r="155" spans="1:34" x14ac:dyDescent="0.25">
      <c r="A155" s="1"/>
      <c r="D155" s="2"/>
      <c r="G155" s="3"/>
      <c r="H155" s="3"/>
      <c r="I155" s="3">
        <f>IF($H155="","",H155-G155)</f>
      </c>
      <c r="J155" s="3">
        <f>IF($H155="","",I155*16.67%)</f>
      </c>
      <c r="K155" s="3">
        <f>IF($H155="","",(H155*6.9%)-(H155*6.9%)*10%)</f>
      </c>
      <c r="L155" s="3">
        <f>IF($H155="","",H155*0.35%)</f>
      </c>
      <c r="M155" s="3">
        <v>0.4</v>
      </c>
      <c r="N155" s="3">
        <f>IF($H155="","",(K155+L155+M155)*20%)</f>
      </c>
      <c r="O155" s="3">
        <f>IF($H155="","",K155+L155+M155+N155)</f>
      </c>
      <c r="P155" s="3"/>
      <c r="Q155" s="3"/>
      <c r="R155" s="3"/>
      <c r="S155" s="3">
        <f>IF($H155="","",R155*20%)</f>
      </c>
      <c r="T155" s="3">
        <v>1</v>
      </c>
      <c r="U155" s="3">
        <f>IF($H155="","",N155+Q155+S155)</f>
      </c>
      <c r="V155" s="3">
        <f>IF($H155="","",I155-J155-O155-P155-Q155-R155-S155-T155)</f>
      </c>
      <c r="W155" s="3">
        <f>IF($H155="","",(V155-AE155)/H155*100)</f>
      </c>
      <c r="X155" s="3">
        <f>IF($H155="","",J155-U155)</f>
      </c>
      <c r="AF155" s="3">
        <f>IF($H155="","",V155-AE155)</f>
      </c>
    </row>
    <row r="156" spans="1:34" x14ac:dyDescent="0.25">
      <c r="A156" s="1"/>
      <c r="D156" s="2"/>
      <c r="G156" s="3"/>
      <c r="H156" s="3"/>
      <c r="I156" s="3">
        <f>IF($H156="","",H156-G156)</f>
      </c>
      <c r="J156" s="3">
        <f>IF($H156="","",I156*16.67%)</f>
      </c>
      <c r="K156" s="3">
        <f>IF($H156="","",(H156*6.9%)-(H156*6.9%)*10%)</f>
      </c>
      <c r="L156" s="3">
        <f>IF($H156="","",H156*0.35%)</f>
      </c>
      <c r="M156" s="3">
        <v>0.4</v>
      </c>
      <c r="N156" s="3">
        <f>IF($H156="","",(K156+L156+M156)*20%)</f>
      </c>
      <c r="O156" s="3">
        <f>IF($H156="","",K156+L156+M156+N156)</f>
      </c>
      <c r="P156" s="3"/>
      <c r="Q156" s="3"/>
      <c r="R156" s="3"/>
      <c r="S156" s="3">
        <f>IF($H156="","",R156*20%)</f>
      </c>
      <c r="T156" s="3">
        <v>1</v>
      </c>
      <c r="U156" s="3">
        <f>IF($H156="","",N156+Q156+S156)</f>
      </c>
      <c r="V156" s="3">
        <f>IF($H156="","",I156-J156-O156-P156-Q156-R156-S156-T156)</f>
      </c>
      <c r="W156" s="3">
        <f>IF($H156="","",(V156-AE156)/H156*100)</f>
      </c>
      <c r="X156" s="3">
        <f>IF($H156="","",J156-U156)</f>
      </c>
      <c r="AF156" s="3">
        <f>IF($H156="","",V156-AE156)</f>
      </c>
    </row>
    <row r="157" spans="1:34" x14ac:dyDescent="0.25">
      <c r="A157" s="1"/>
      <c r="D157" s="2"/>
      <c r="G157" s="3"/>
      <c r="H157" s="3"/>
      <c r="I157" s="3">
        <f>IF($H157="","",H157-G157)</f>
      </c>
      <c r="J157" s="3">
        <f>IF($H157="","",I157*16.67%)</f>
      </c>
      <c r="K157" s="3">
        <f>IF($H157="","",(H157*6.9%)-(H157*6.9%)*10%)</f>
      </c>
      <c r="L157" s="3">
        <f>IF($H157="","",H157*0.35%)</f>
      </c>
      <c r="M157" s="3">
        <v>0.4</v>
      </c>
      <c r="N157" s="3">
        <f>IF($H157="","",(K157+L157+M157)*20%)</f>
      </c>
      <c r="O157" s="3">
        <f>IF($H157="","",K157+L157+M157+N157)</f>
      </c>
      <c r="P157" s="3"/>
      <c r="Q157" s="3"/>
      <c r="R157" s="3"/>
      <c r="S157" s="3">
        <f>IF($H157="","",R157*20%)</f>
      </c>
      <c r="T157" s="3">
        <v>1</v>
      </c>
      <c r="U157" s="3">
        <f>IF($H157="","",N157+Q157+S157)</f>
      </c>
      <c r="V157" s="3">
        <f>IF($H157="","",I157-J157-O157-P157-Q157-R157-S157-T157)</f>
      </c>
      <c r="W157" s="3">
        <f>IF($H157="","",(V157-AE157)/H157*100)</f>
      </c>
      <c r="X157" s="3">
        <f>IF($H157="","",J157-U157)</f>
      </c>
      <c r="AF157" s="3">
        <f>IF($H157="","",V157-AE157)</f>
      </c>
    </row>
    <row r="158" spans="1:34" x14ac:dyDescent="0.25">
      <c r="A158" s="1"/>
      <c r="D158" s="2"/>
      <c r="G158" s="3"/>
      <c r="H158" s="3"/>
      <c r="I158" s="3">
        <f>IF($H158="","",H158-G158)</f>
      </c>
      <c r="J158" s="3">
        <f>IF($H158="","",I158*16.67%)</f>
      </c>
      <c r="K158" s="3">
        <f>IF($H158="","",(H158*6.9%)-(H158*6.9%)*10%)</f>
      </c>
      <c r="L158" s="3">
        <f>IF($H158="","",H158*0.35%)</f>
      </c>
      <c r="M158" s="3">
        <v>0.4</v>
      </c>
      <c r="N158" s="3">
        <f>IF($H158="","",(K158+L158+M158)*20%)</f>
      </c>
      <c r="O158" s="3">
        <f>IF($H158="","",K158+L158+M158+N158)</f>
      </c>
      <c r="P158" s="3"/>
      <c r="Q158" s="3"/>
      <c r="R158" s="3"/>
      <c r="S158" s="3">
        <f>IF($H158="","",R158*20%)</f>
      </c>
      <c r="T158" s="3">
        <v>1</v>
      </c>
      <c r="U158" s="3">
        <f>IF($H158="","",N158+Q158+S158)</f>
      </c>
      <c r="V158" s="3">
        <f>IF($H158="","",I158-J158-O158-P158-Q158-R158-S158-T158)</f>
      </c>
      <c r="W158" s="3">
        <f>IF($H158="","",(V158-AE158)/H158*100)</f>
      </c>
      <c r="X158" s="3">
        <f>IF($H158="","",J158-U158)</f>
      </c>
      <c r="AF158" s="3">
        <f>IF($H158="","",V158-AE158)</f>
      </c>
    </row>
    <row r="159" spans="1:34" x14ac:dyDescent="0.25">
      <c r="A159" s="1"/>
      <c r="D159" s="2"/>
      <c r="G159" s="3"/>
      <c r="H159" s="3"/>
      <c r="I159" s="3">
        <f>IF($H159="","",H159-G159)</f>
      </c>
      <c r="J159" s="3">
        <f>IF($H159="","",I159*16.67%)</f>
      </c>
      <c r="K159" s="3">
        <f>IF($H159="","",(H159*6.9%)-(H159*6.9%)*10%)</f>
      </c>
      <c r="L159" s="3">
        <f>IF($H159="","",H159*0.35%)</f>
      </c>
      <c r="M159" s="3">
        <v>0.4</v>
      </c>
      <c r="N159" s="3">
        <f>IF($H159="","",(K159+L159+M159)*20%)</f>
      </c>
      <c r="O159" s="3">
        <f>IF($H159="","",K159+L159+M159+N159)</f>
      </c>
      <c r="P159" s="3"/>
      <c r="Q159" s="3"/>
      <c r="R159" s="3"/>
      <c r="S159" s="3">
        <f>IF($H159="","",R159*20%)</f>
      </c>
      <c r="T159" s="3">
        <v>1</v>
      </c>
      <c r="U159" s="3">
        <f>IF($H159="","",N159+Q159+S159)</f>
      </c>
      <c r="V159" s="3">
        <f>IF($H159="","",I159-J159-O159-P159-Q159-R159-S159-T159)</f>
      </c>
      <c r="W159" s="3">
        <f>IF($H159="","",(V159-AE159)/H159*100)</f>
      </c>
      <c r="X159" s="3">
        <f>IF($H159="","",J159-U159)</f>
      </c>
      <c r="AF159" s="3">
        <f>IF($H159="","",V159-AE159)</f>
      </c>
    </row>
    <row r="160" spans="1:34" x14ac:dyDescent="0.25">
      <c r="A160" s="1"/>
      <c r="D160" s="2"/>
      <c r="G160" s="3"/>
      <c r="H160" s="3"/>
      <c r="I160" s="3">
        <f>IF($H160="","",H160-G160)</f>
      </c>
      <c r="J160" s="3">
        <f>IF($H160="","",I160*16.67%)</f>
      </c>
      <c r="K160" s="3">
        <f>IF($H160="","",(H160*6.9%)-(H160*6.9%)*10%)</f>
      </c>
      <c r="L160" s="3">
        <f>IF($H160="","",H160*0.35%)</f>
      </c>
      <c r="M160" s="3">
        <v>0.4</v>
      </c>
      <c r="N160" s="3">
        <f>IF($H160="","",(K160+L160+M160)*20%)</f>
      </c>
      <c r="O160" s="3">
        <f>IF($H160="","",K160+L160+M160+N160)</f>
      </c>
      <c r="P160" s="3"/>
      <c r="Q160" s="3"/>
      <c r="R160" s="3"/>
      <c r="S160" s="3">
        <f>IF($H160="","",R160*20%)</f>
      </c>
      <c r="T160" s="3">
        <v>1</v>
      </c>
      <c r="U160" s="3">
        <f>IF($H160="","",N160+Q160+S160)</f>
      </c>
      <c r="V160" s="3">
        <f>IF($H160="","",I160-J160-O160-P160-Q160-R160-S160-T160)</f>
      </c>
      <c r="W160" s="3">
        <f>IF($H160="","",(V160-AE160)/H160*100)</f>
      </c>
      <c r="X160" s="3">
        <f>IF($H160="","",J160-U160)</f>
      </c>
      <c r="AF160" s="3">
        <f>IF($H160="","",V160-AE160)</f>
      </c>
    </row>
    <row r="161" spans="1:34" x14ac:dyDescent="0.25">
      <c r="A161" s="1"/>
      <c r="D161" s="2"/>
      <c r="G161" s="3"/>
      <c r="H161" s="3"/>
      <c r="I161" s="3">
        <f>IF($H161="","",H161-G161)</f>
      </c>
      <c r="J161" s="3">
        <f>IF($H161="","",I161*16.67%)</f>
      </c>
      <c r="K161" s="3">
        <f>IF($H161="","",(H161*6.9%)-(H161*6.9%)*10%)</f>
      </c>
      <c r="L161" s="3">
        <f>IF($H161="","",H161*0.35%)</f>
      </c>
      <c r="M161" s="3">
        <v>0.4</v>
      </c>
      <c r="N161" s="3">
        <f>IF($H161="","",(K161+L161+M161)*20%)</f>
      </c>
      <c r="O161" s="3">
        <f>IF($H161="","",K161+L161+M161+N161)</f>
      </c>
      <c r="P161" s="3"/>
      <c r="Q161" s="3"/>
      <c r="R161" s="3"/>
      <c r="S161" s="3">
        <f>IF($H161="","",R161*20%)</f>
      </c>
      <c r="T161" s="3">
        <v>1</v>
      </c>
      <c r="U161" s="3">
        <f>IF($H161="","",N161+Q161+S161)</f>
      </c>
      <c r="V161" s="3">
        <f>IF($H161="","",I161-J161-O161-P161-Q161-R161-S161-T161)</f>
      </c>
      <c r="W161" s="3">
        <f>IF($H161="","",(V161-AE161)/H161*100)</f>
      </c>
      <c r="X161" s="3">
        <f>IF($H161="","",J161-U161)</f>
      </c>
      <c r="AF161" s="3">
        <f>IF($H161="","",V161-AE161)</f>
      </c>
    </row>
    <row r="162" spans="1:34" x14ac:dyDescent="0.25">
      <c r="A162" s="1"/>
      <c r="D162" s="2"/>
      <c r="G162" s="3"/>
      <c r="H162" s="3"/>
      <c r="I162" s="3">
        <f>IF($H162="","",H162-G162)</f>
      </c>
      <c r="J162" s="3">
        <f>IF($H162="","",I162*16.67%)</f>
      </c>
      <c r="K162" s="3">
        <f>IF($H162="","",(H162*6.9%)-(H162*6.9%)*10%)</f>
      </c>
      <c r="L162" s="3">
        <f>IF($H162="","",H162*0.35%)</f>
      </c>
      <c r="M162" s="3">
        <v>0.4</v>
      </c>
      <c r="N162" s="3">
        <f>IF($H162="","",(K162+L162+M162)*20%)</f>
      </c>
      <c r="O162" s="3">
        <f>IF($H162="","",K162+L162+M162+N162)</f>
      </c>
      <c r="P162" s="3"/>
      <c r="Q162" s="3"/>
      <c r="R162" s="3"/>
      <c r="S162" s="3">
        <f>IF($H162="","",R162*20%)</f>
      </c>
      <c r="T162" s="3">
        <v>1</v>
      </c>
      <c r="U162" s="3">
        <f>IF($H162="","",N162+Q162+S162)</f>
      </c>
      <c r="V162" s="3">
        <f>IF($H162="","",I162-J162-O162-P162-Q162-R162-S162-T162)</f>
      </c>
      <c r="W162" s="3">
        <f>IF($H162="","",(V162-AE162)/H162*100)</f>
      </c>
      <c r="X162" s="3">
        <f>IF($H162="","",J162-U162)</f>
      </c>
      <c r="AF162" s="3">
        <f>IF($H162="","",V162-AE162)</f>
      </c>
    </row>
    <row r="163" spans="1:34" x14ac:dyDescent="0.25">
      <c r="A163" s="1"/>
      <c r="D163" s="2"/>
      <c r="G163" s="3"/>
      <c r="H163" s="3"/>
      <c r="I163" s="3">
        <f>IF($H163="","",H163-G163)</f>
      </c>
      <c r="J163" s="3">
        <f>IF($H163="","",I163*16.67%)</f>
      </c>
      <c r="K163" s="3">
        <f>IF($H163="","",(H163*6.9%)-(H163*6.9%)*10%)</f>
      </c>
      <c r="L163" s="3">
        <f>IF($H163="","",H163*0.35%)</f>
      </c>
      <c r="M163" s="3">
        <v>0.4</v>
      </c>
      <c r="N163" s="3">
        <f>IF($H163="","",(K163+L163+M163)*20%)</f>
      </c>
      <c r="O163" s="3">
        <f>IF($H163="","",K163+L163+M163+N163)</f>
      </c>
      <c r="P163" s="3"/>
      <c r="Q163" s="3"/>
      <c r="R163" s="3"/>
      <c r="S163" s="3">
        <f>IF($H163="","",R163*20%)</f>
      </c>
      <c r="T163" s="3">
        <v>1</v>
      </c>
      <c r="U163" s="3">
        <f>IF($H163="","",N163+Q163+S163)</f>
      </c>
      <c r="V163" s="3">
        <f>IF($H163="","",I163-J163-O163-P163-Q163-R163-S163-T163)</f>
      </c>
      <c r="W163" s="3">
        <f>IF($H163="","",(V163-AE163)/H163*100)</f>
      </c>
      <c r="X163" s="3">
        <f>IF($H163="","",J163-U163)</f>
      </c>
      <c r="AF163" s="3">
        <f>IF($H163="","",V163-AE163)</f>
      </c>
    </row>
    <row r="164" spans="1:34" x14ac:dyDescent="0.25">
      <c r="A164" s="1"/>
      <c r="D164" s="2"/>
      <c r="G164" s="3"/>
      <c r="H164" s="3"/>
      <c r="I164" s="3">
        <f>IF($H164="","",H164-G164)</f>
      </c>
      <c r="J164" s="3">
        <f>IF($H164="","",I164*16.67%)</f>
      </c>
      <c r="K164" s="3">
        <f>IF($H164="","",(H164*6.9%)-(H164*6.9%)*10%)</f>
      </c>
      <c r="L164" s="3">
        <f>IF($H164="","",H164*0.35%)</f>
      </c>
      <c r="M164" s="3">
        <v>0.4</v>
      </c>
      <c r="N164" s="3">
        <f>IF($H164="","",(K164+L164+M164)*20%)</f>
      </c>
      <c r="O164" s="3">
        <f>IF($H164="","",K164+L164+M164+N164)</f>
      </c>
      <c r="P164" s="3"/>
      <c r="Q164" s="3"/>
      <c r="R164" s="3"/>
      <c r="S164" s="3">
        <f>IF($H164="","",R164*20%)</f>
      </c>
      <c r="T164" s="3">
        <v>1</v>
      </c>
      <c r="U164" s="3">
        <f>IF($H164="","",N164+Q164+S164)</f>
      </c>
      <c r="V164" s="3">
        <f>IF($H164="","",I164-J164-O164-P164-Q164-R164-S164-T164)</f>
      </c>
      <c r="W164" s="3">
        <f>IF($H164="","",(V164-AE164)/H164*100)</f>
      </c>
      <c r="X164" s="3">
        <f>IF($H164="","",J164-U164)</f>
      </c>
      <c r="AF164" s="3">
        <f>IF($H164="","",V164-AE164)</f>
      </c>
    </row>
    <row r="165" spans="1:34" x14ac:dyDescent="0.25">
      <c r="A165" s="1"/>
      <c r="D165" s="2"/>
      <c r="G165" s="3"/>
      <c r="H165" s="3"/>
      <c r="I165" s="3">
        <f>IF($H165="","",H165-G165)</f>
      </c>
      <c r="J165" s="3">
        <f>IF($H165="","",I165*16.67%)</f>
      </c>
      <c r="K165" s="3">
        <f>IF($H165="","",(H165*6.9%)-(H165*6.9%)*10%)</f>
      </c>
      <c r="L165" s="3">
        <f>IF($H165="","",H165*0.35%)</f>
      </c>
      <c r="M165" s="3">
        <v>0.4</v>
      </c>
      <c r="N165" s="3">
        <f>IF($H165="","",(K165+L165+M165)*20%)</f>
      </c>
      <c r="O165" s="3">
        <f>IF($H165="","",K165+L165+M165+N165)</f>
      </c>
      <c r="P165" s="3"/>
      <c r="Q165" s="3"/>
      <c r="R165" s="3"/>
      <c r="S165" s="3">
        <f>IF($H165="","",R165*20%)</f>
      </c>
      <c r="T165" s="3">
        <v>1</v>
      </c>
      <c r="U165" s="3">
        <f>IF($H165="","",N165+Q165+S165)</f>
      </c>
      <c r="V165" s="3">
        <f>IF($H165="","",I165-J165-O165-P165-Q165-R165-S165-T165)</f>
      </c>
      <c r="W165" s="3">
        <f>IF($H165="","",(V165-AE165)/H165*100)</f>
      </c>
      <c r="X165" s="3">
        <f>IF($H165="","",J165-U165)</f>
      </c>
      <c r="AF165" s="3">
        <f>IF($H165="","",V165-AE165)</f>
      </c>
    </row>
    <row r="166" spans="1:34" x14ac:dyDescent="0.25">
      <c r="A166" s="1"/>
      <c r="D166" s="2"/>
      <c r="G166" s="3"/>
      <c r="H166" s="3"/>
      <c r="I166" s="3">
        <f>IF($H166="","",H166-G166)</f>
      </c>
      <c r="J166" s="3">
        <f>IF($H166="","",I166*16.67%)</f>
      </c>
      <c r="K166" s="3">
        <f>IF($H166="","",(H166*6.9%)-(H166*6.9%)*10%)</f>
      </c>
      <c r="L166" s="3">
        <f>IF($H166="","",H166*0.35%)</f>
      </c>
      <c r="M166" s="3">
        <v>0.4</v>
      </c>
      <c r="N166" s="3">
        <f>IF($H166="","",(K166+L166+M166)*20%)</f>
      </c>
      <c r="O166" s="3">
        <f>IF($H166="","",K166+L166+M166+N166)</f>
      </c>
      <c r="P166" s="3"/>
      <c r="Q166" s="3"/>
      <c r="R166" s="3"/>
      <c r="S166" s="3">
        <f>IF($H166="","",R166*20%)</f>
      </c>
      <c r="T166" s="3">
        <v>1</v>
      </c>
      <c r="U166" s="3">
        <f>IF($H166="","",N166+Q166+S166)</f>
      </c>
      <c r="V166" s="3">
        <f>IF($H166="","",I166-J166-O166-P166-Q166-R166-S166-T166)</f>
      </c>
      <c r="W166" s="3">
        <f>IF($H166="","",(V166-AE166)/H166*100)</f>
      </c>
      <c r="X166" s="3">
        <f>IF($H166="","",J166-U166)</f>
      </c>
      <c r="AF166" s="3">
        <f>IF($H166="","",V166-AE166)</f>
      </c>
    </row>
    <row r="167" spans="1:34" x14ac:dyDescent="0.25">
      <c r="A167" s="1"/>
      <c r="D167" s="2"/>
      <c r="G167" s="3"/>
      <c r="H167" s="3"/>
      <c r="I167" s="3">
        <f>IF($H167="","",H167-G167)</f>
      </c>
      <c r="J167" s="3">
        <f>IF($H167="","",I167*16.67%)</f>
      </c>
      <c r="K167" s="3">
        <f>IF($H167="","",(H167*6.9%)-(H167*6.9%)*10%)</f>
      </c>
      <c r="L167" s="3">
        <f>IF($H167="","",H167*0.35%)</f>
      </c>
      <c r="M167" s="3">
        <v>0.4</v>
      </c>
      <c r="N167" s="3">
        <f>IF($H167="","",(K167+L167+M167)*20%)</f>
      </c>
      <c r="O167" s="3">
        <f>IF($H167="","",K167+L167+M167+N167)</f>
      </c>
      <c r="P167" s="3"/>
      <c r="Q167" s="3"/>
      <c r="R167" s="3"/>
      <c r="S167" s="3">
        <f>IF($H167="","",R167*20%)</f>
      </c>
      <c r="T167" s="3">
        <v>1</v>
      </c>
      <c r="U167" s="3">
        <f>IF($H167="","",N167+Q167+S167)</f>
      </c>
      <c r="V167" s="3">
        <f>IF($H167="","",I167-J167-O167-P167-Q167-R167-S167-T167)</f>
      </c>
      <c r="W167" s="3">
        <f>IF($H167="","",(V167-AE167)/H167*100)</f>
      </c>
      <c r="X167" s="3">
        <f>IF($H167="","",J167-U167)</f>
      </c>
      <c r="AF167" s="3">
        <f>IF($H167="","",V167-AE167)</f>
      </c>
    </row>
    <row r="168" spans="1:34" x14ac:dyDescent="0.25">
      <c r="A168" s="1"/>
      <c r="D168" s="2"/>
      <c r="G168" s="3"/>
      <c r="H168" s="3"/>
      <c r="I168" s="3">
        <f>IF($H168="","",H168-G168)</f>
      </c>
      <c r="J168" s="3">
        <f>IF($H168="","",I168*16.67%)</f>
      </c>
      <c r="K168" s="3">
        <f>IF($H168="","",(H168*6.9%)-(H168*6.9%)*10%)</f>
      </c>
      <c r="L168" s="3">
        <f>IF($H168="","",H168*0.35%)</f>
      </c>
      <c r="M168" s="3">
        <v>0.4</v>
      </c>
      <c r="N168" s="3">
        <f>IF($H168="","",(K168+L168+M168)*20%)</f>
      </c>
      <c r="O168" s="3">
        <f>IF($H168="","",K168+L168+M168+N168)</f>
      </c>
      <c r="P168" s="3"/>
      <c r="Q168" s="3"/>
      <c r="R168" s="3"/>
      <c r="S168" s="3">
        <f>IF($H168="","",R168*20%)</f>
      </c>
      <c r="T168" s="3">
        <v>1</v>
      </c>
      <c r="U168" s="3">
        <f>IF($H168="","",N168+Q168+S168)</f>
      </c>
      <c r="V168" s="3">
        <f>IF($H168="","",I168-J168-O168-P168-Q168-R168-S168-T168)</f>
      </c>
      <c r="W168" s="3">
        <f>IF($H168="","",(V168-AE168)/H168*100)</f>
      </c>
      <c r="X168" s="3">
        <f>IF($H168="","",J168-U168)</f>
      </c>
      <c r="AF168" s="3">
        <f>IF($H168="","",V168-AE168)</f>
      </c>
    </row>
    <row r="169" spans="1:34" x14ac:dyDescent="0.25">
      <c r="A169" s="1"/>
      <c r="D169" s="2"/>
      <c r="G169" s="3"/>
      <c r="H169" s="3"/>
      <c r="I169" s="3">
        <f>IF($H169="","",H169-G169)</f>
      </c>
      <c r="J169" s="3">
        <f>IF($H169="","",I169*16.67%)</f>
      </c>
      <c r="K169" s="3">
        <f>IF($H169="","",(H169*6.9%)-(H169*6.9%)*10%)</f>
      </c>
      <c r="L169" s="3">
        <f>IF($H169="","",H169*0.35%)</f>
      </c>
      <c r="M169" s="3">
        <v>0.4</v>
      </c>
      <c r="N169" s="3">
        <f>IF($H169="","",(K169+L169+M169)*20%)</f>
      </c>
      <c r="O169" s="3">
        <f>IF($H169="","",K169+L169+M169+N169)</f>
      </c>
      <c r="P169" s="3"/>
      <c r="Q169" s="3"/>
      <c r="R169" s="3"/>
      <c r="S169" s="3">
        <f>IF($H169="","",R169*20%)</f>
      </c>
      <c r="T169" s="3">
        <v>1</v>
      </c>
      <c r="U169" s="3">
        <f>IF($H169="","",N169+Q169+S169)</f>
      </c>
      <c r="V169" s="3">
        <f>IF($H169="","",I169-J169-O169-P169-Q169-R169-S169-T169)</f>
      </c>
      <c r="W169" s="3">
        <f>IF($H169="","",(V169-AE169)/H169*100)</f>
      </c>
      <c r="X169" s="3">
        <f>IF($H169="","",J169-U169)</f>
      </c>
      <c r="AF169" s="3">
        <f>IF($H169="","",V169-AE169)</f>
      </c>
    </row>
    <row r="170" spans="1:34" x14ac:dyDescent="0.25">
      <c r="A170" s="1"/>
      <c r="D170" s="2"/>
      <c r="G170" s="3"/>
      <c r="H170" s="3"/>
      <c r="I170" s="3">
        <f>IF($H170="","",H170-G170)</f>
      </c>
      <c r="J170" s="3">
        <f>IF($H170="","",I170*16.67%)</f>
      </c>
      <c r="K170" s="3">
        <f>IF($H170="","",(H170*6.9%)-(H170*6.9%)*10%)</f>
      </c>
      <c r="L170" s="3">
        <f>IF($H170="","",H170*0.35%)</f>
      </c>
      <c r="M170" s="3">
        <v>0.4</v>
      </c>
      <c r="N170" s="3">
        <f>IF($H170="","",(K170+L170+M170)*20%)</f>
      </c>
      <c r="O170" s="3">
        <f>IF($H170="","",K170+L170+M170+N170)</f>
      </c>
      <c r="P170" s="3"/>
      <c r="Q170" s="3"/>
      <c r="R170" s="3"/>
      <c r="S170" s="3">
        <f>IF($H170="","",R170*20%)</f>
      </c>
      <c r="T170" s="3">
        <v>1</v>
      </c>
      <c r="U170" s="3">
        <f>IF($H170="","",N170+Q170+S170)</f>
      </c>
      <c r="V170" s="3">
        <f>IF($H170="","",I170-J170-O170-P170-Q170-R170-S170-T170)</f>
      </c>
      <c r="W170" s="3">
        <f>IF($H170="","",(V170-AE170)/H170*100)</f>
      </c>
      <c r="X170" s="3">
        <f>IF($H170="","",J170-U170)</f>
      </c>
      <c r="AF170" s="3">
        <f>IF($H170="","",V170-AE170)</f>
      </c>
    </row>
    <row r="171" spans="1:34" x14ac:dyDescent="0.25">
      <c r="A171" s="1"/>
      <c r="D171" s="2"/>
      <c r="G171" s="3"/>
      <c r="H171" s="3"/>
      <c r="I171" s="3">
        <f>IF($H171="","",H171-G171)</f>
      </c>
      <c r="J171" s="3">
        <f>IF($H171="","",I171*16.67%)</f>
      </c>
      <c r="K171" s="3">
        <f>IF($H171="","",(H171*6.9%)-(H171*6.9%)*10%)</f>
      </c>
      <c r="L171" s="3">
        <f>IF($H171="","",H171*0.35%)</f>
      </c>
      <c r="M171" s="3">
        <v>0.4</v>
      </c>
      <c r="N171" s="3">
        <f>IF($H171="","",(K171+L171+M171)*20%)</f>
      </c>
      <c r="O171" s="3">
        <f>IF($H171="","",K171+L171+M171+N171)</f>
      </c>
      <c r="P171" s="3"/>
      <c r="Q171" s="3"/>
      <c r="R171" s="3"/>
      <c r="S171" s="3">
        <f>IF($H171="","",R171*20%)</f>
      </c>
      <c r="T171" s="3">
        <v>1</v>
      </c>
      <c r="U171" s="3">
        <f>IF($H171="","",N171+Q171+S171)</f>
      </c>
      <c r="V171" s="3">
        <f>IF($H171="","",I171-J171-O171-P171-Q171-R171-S171-T171)</f>
      </c>
      <c r="W171" s="3">
        <f>IF($H171="","",(V171-AE171)/H171*100)</f>
      </c>
      <c r="X171" s="3">
        <f>IF($H171="","",J171-U171)</f>
      </c>
      <c r="AF171" s="3">
        <f>IF($H171="","",V171-AE171)</f>
      </c>
    </row>
    <row r="172" spans="1:34" x14ac:dyDescent="0.25">
      <c r="A172" s="1"/>
      <c r="D172" s="2"/>
      <c r="G172" s="3"/>
      <c r="H172" s="3"/>
      <c r="I172" s="3">
        <f>IF($H172="","",H172-G172)</f>
      </c>
      <c r="J172" s="3">
        <f>IF($H172="","",I172*16.67%)</f>
      </c>
      <c r="K172" s="3">
        <f>IF($H172="","",(H172*6.9%)-(H172*6.9%)*10%)</f>
      </c>
      <c r="L172" s="3">
        <f>IF($H172="","",H172*0.35%)</f>
      </c>
      <c r="M172" s="3">
        <v>0.4</v>
      </c>
      <c r="N172" s="3">
        <f>IF($H172="","",(K172+L172+M172)*20%)</f>
      </c>
      <c r="O172" s="3">
        <f>IF($H172="","",K172+L172+M172+N172)</f>
      </c>
      <c r="P172" s="3"/>
      <c r="Q172" s="3"/>
      <c r="R172" s="3"/>
      <c r="S172" s="3">
        <f>IF($H172="","",R172*20%)</f>
      </c>
      <c r="T172" s="3">
        <v>1</v>
      </c>
      <c r="U172" s="3">
        <f>IF($H172="","",N172+Q172+S172)</f>
      </c>
      <c r="V172" s="3">
        <f>IF($H172="","",I172-J172-O172-P172-Q172-R172-S172-T172)</f>
      </c>
      <c r="W172" s="3">
        <f>IF($H172="","",(V172-AE172)/H172*100)</f>
      </c>
      <c r="X172" s="3">
        <f>IF($H172="","",J172-U172)</f>
      </c>
      <c r="AF172" s="3">
        <f>IF($H172="","",V172-AE172)</f>
      </c>
    </row>
    <row r="173" spans="1:34" x14ac:dyDescent="0.25">
      <c r="A173" s="1"/>
      <c r="D173" s="2"/>
      <c r="G173" s="3"/>
      <c r="H173" s="3"/>
      <c r="I173" s="3">
        <f>IF($H173="","",H173-G173)</f>
      </c>
      <c r="J173" s="3">
        <f>IF($H173="","",I173*16.67%)</f>
      </c>
      <c r="K173" s="3">
        <f>IF($H173="","",(H173*6.9%)-(H173*6.9%)*10%)</f>
      </c>
      <c r="L173" s="3">
        <f>IF($H173="","",H173*0.35%)</f>
      </c>
      <c r="M173" s="3">
        <v>0.4</v>
      </c>
      <c r="N173" s="3">
        <f>IF($H173="","",(K173+L173+M173)*20%)</f>
      </c>
      <c r="O173" s="3">
        <f>IF($H173="","",K173+L173+M173+N173)</f>
      </c>
      <c r="P173" s="3"/>
      <c r="Q173" s="3"/>
      <c r="R173" s="3"/>
      <c r="S173" s="3">
        <f>IF($H173="","",R173*20%)</f>
      </c>
      <c r="T173" s="3">
        <v>1</v>
      </c>
      <c r="U173" s="3">
        <f>IF($H173="","",N173+Q173+S173)</f>
      </c>
      <c r="V173" s="3">
        <f>IF($H173="","",I173-J173-O173-P173-Q173-R173-S173-T173)</f>
      </c>
      <c r="W173" s="3">
        <f>IF($H173="","",(V173-AE173)/H173*100)</f>
      </c>
      <c r="X173" s="3">
        <f>IF($H173="","",J173-U173)</f>
      </c>
      <c r="AF173" s="3">
        <f>IF($H173="","",V173-AE173)</f>
      </c>
    </row>
    <row r="174" spans="1:34" x14ac:dyDescent="0.25">
      <c r="A174" s="1"/>
      <c r="D174" s="2"/>
      <c r="G174" s="3"/>
      <c r="H174" s="3"/>
      <c r="I174" s="3">
        <f>IF($H174="","",H174-G174)</f>
      </c>
      <c r="J174" s="3">
        <f>IF($H174="","",I174*16.67%)</f>
      </c>
      <c r="K174" s="3">
        <f>IF($H174="","",(H174*6.9%)-(H174*6.9%)*10%)</f>
      </c>
      <c r="L174" s="3">
        <f>IF($H174="","",H174*0.35%)</f>
      </c>
      <c r="M174" s="3">
        <v>0.4</v>
      </c>
      <c r="N174" s="3">
        <f>IF($H174="","",(K174+L174+M174)*20%)</f>
      </c>
      <c r="O174" s="3">
        <f>IF($H174="","",K174+L174+M174+N174)</f>
      </c>
      <c r="P174" s="3"/>
      <c r="Q174" s="3"/>
      <c r="R174" s="3"/>
      <c r="S174" s="3">
        <f>IF($H174="","",R174*20%)</f>
      </c>
      <c r="T174" s="3">
        <v>1</v>
      </c>
      <c r="U174" s="3">
        <f>IF($H174="","",N174+Q174+S174)</f>
      </c>
      <c r="V174" s="3">
        <f>IF($H174="","",I174-J174-O174-P174-Q174-R174-S174-T174)</f>
      </c>
      <c r="W174" s="3">
        <f>IF($H174="","",(V174-AE174)/H174*100)</f>
      </c>
      <c r="X174" s="3">
        <f>IF($H174="","",J174-U174)</f>
      </c>
      <c r="AF174" s="3">
        <f>IF($H174="","",V174-AE174)</f>
      </c>
    </row>
    <row r="175" spans="1:34" x14ac:dyDescent="0.25">
      <c r="A175" s="1"/>
      <c r="D175" s="2"/>
      <c r="G175" s="3"/>
      <c r="H175" s="3"/>
      <c r="I175" s="3">
        <f>IF($H175="","",H175-G175)</f>
      </c>
      <c r="J175" s="3">
        <f>IF($H175="","",I175*16.67%)</f>
      </c>
      <c r="K175" s="3">
        <f>IF($H175="","",(H175*6.9%)-(H175*6.9%)*10%)</f>
      </c>
      <c r="L175" s="3">
        <f>IF($H175="","",H175*0.35%)</f>
      </c>
      <c r="M175" s="3">
        <v>0.4</v>
      </c>
      <c r="N175" s="3">
        <f>IF($H175="","",(K175+L175+M175)*20%)</f>
      </c>
      <c r="O175" s="3">
        <f>IF($H175="","",K175+L175+M175+N175)</f>
      </c>
      <c r="P175" s="3"/>
      <c r="Q175" s="3"/>
      <c r="R175" s="3"/>
      <c r="S175" s="3">
        <f>IF($H175="","",R175*20%)</f>
      </c>
      <c r="T175" s="3">
        <v>1</v>
      </c>
      <c r="U175" s="3">
        <f>IF($H175="","",N175+Q175+S175)</f>
      </c>
      <c r="V175" s="3">
        <f>IF($H175="","",I175-J175-O175-P175-Q175-R175-S175-T175)</f>
      </c>
      <c r="W175" s="3">
        <f>IF($H175="","",(V175-AE175)/H175*100)</f>
      </c>
      <c r="X175" s="3">
        <f>IF($H175="","",J175-U175)</f>
      </c>
      <c r="AF175" s="3">
        <f>IF($H175="","",V175-AE175)</f>
      </c>
    </row>
    <row r="176" spans="1:34" x14ac:dyDescent="0.25">
      <c r="A176" s="1"/>
      <c r="D176" s="2"/>
      <c r="G176" s="3"/>
      <c r="H176" s="3"/>
      <c r="I176" s="3">
        <f>IF($H176="","",H176-G176)</f>
      </c>
      <c r="J176" s="3">
        <f>IF($H176="","",I176*16.67%)</f>
      </c>
      <c r="K176" s="3">
        <f>IF($H176="","",(H176*6.9%)-(H176*6.9%)*10%)</f>
      </c>
      <c r="L176" s="3">
        <f>IF($H176="","",H176*0.35%)</f>
      </c>
      <c r="M176" s="3">
        <v>0.4</v>
      </c>
      <c r="N176" s="3">
        <f>IF($H176="","",(K176+L176+M176)*20%)</f>
      </c>
      <c r="O176" s="3">
        <f>IF($H176="","",K176+L176+M176+N176)</f>
      </c>
      <c r="P176" s="3"/>
      <c r="Q176" s="3"/>
      <c r="R176" s="3"/>
      <c r="S176" s="3">
        <f>IF($H176="","",R176*20%)</f>
      </c>
      <c r="T176" s="3">
        <v>1</v>
      </c>
      <c r="U176" s="3">
        <f>IF($H176="","",N176+Q176+S176)</f>
      </c>
      <c r="V176" s="3">
        <f>IF($H176="","",I176-J176-O176-P176-Q176-R176-S176-T176)</f>
      </c>
      <c r="W176" s="3">
        <f>IF($H176="","",(V176-AE176)/H176*100)</f>
      </c>
      <c r="X176" s="3">
        <f>IF($H176="","",J176-U176)</f>
      </c>
      <c r="AF176" s="3">
        <f>IF($H176="","",V176-AE176)</f>
      </c>
    </row>
    <row r="177" spans="1:34" x14ac:dyDescent="0.25">
      <c r="A177" s="1"/>
      <c r="D177" s="2"/>
      <c r="G177" s="3"/>
      <c r="H177" s="3"/>
      <c r="I177" s="3">
        <f>IF($H177="","",H177-G177)</f>
      </c>
      <c r="J177" s="3">
        <f>IF($H177="","",I177*16.67%)</f>
      </c>
      <c r="K177" s="3">
        <f>IF($H177="","",(H177*6.9%)-(H177*6.9%)*10%)</f>
      </c>
      <c r="L177" s="3">
        <f>IF($H177="","",H177*0.35%)</f>
      </c>
      <c r="M177" s="3">
        <v>0.4</v>
      </c>
      <c r="N177" s="3">
        <f>IF($H177="","",(K177+L177+M177)*20%)</f>
      </c>
      <c r="O177" s="3">
        <f>IF($H177="","",K177+L177+M177+N177)</f>
      </c>
      <c r="P177" s="3"/>
      <c r="Q177" s="3"/>
      <c r="R177" s="3"/>
      <c r="S177" s="3">
        <f>IF($H177="","",R177*20%)</f>
      </c>
      <c r="T177" s="3">
        <v>1</v>
      </c>
      <c r="U177" s="3">
        <f>IF($H177="","",N177+Q177+S177)</f>
      </c>
      <c r="V177" s="3">
        <f>IF($H177="","",I177-J177-O177-P177-Q177-R177-S177-T177)</f>
      </c>
      <c r="W177" s="3">
        <f>IF($H177="","",(V177-AE177)/H177*100)</f>
      </c>
      <c r="X177" s="3">
        <f>IF($H177="","",J177-U177)</f>
      </c>
      <c r="AF177" s="3">
        <f>IF($H177="","",V177-AE177)</f>
      </c>
    </row>
    <row r="178" spans="1:34" x14ac:dyDescent="0.25">
      <c r="A178" s="1"/>
      <c r="D178" s="2"/>
      <c r="G178" s="3"/>
      <c r="H178" s="3"/>
      <c r="I178" s="3">
        <f>IF($H178="","",H178-G178)</f>
      </c>
      <c r="J178" s="3">
        <f>IF($H178="","",I178*16.67%)</f>
      </c>
      <c r="K178" s="3">
        <f>IF($H178="","",(H178*6.9%)-(H178*6.9%)*10%)</f>
      </c>
      <c r="L178" s="3">
        <f>IF($H178="","",H178*0.35%)</f>
      </c>
      <c r="M178" s="3">
        <v>0.4</v>
      </c>
      <c r="N178" s="3">
        <f>IF($H178="","",(K178+L178+M178)*20%)</f>
      </c>
      <c r="O178" s="3">
        <f>IF($H178="","",K178+L178+M178+N178)</f>
      </c>
      <c r="P178" s="3"/>
      <c r="Q178" s="3"/>
      <c r="R178" s="3"/>
      <c r="S178" s="3">
        <f>IF($H178="","",R178*20%)</f>
      </c>
      <c r="T178" s="3">
        <v>1</v>
      </c>
      <c r="U178" s="3">
        <f>IF($H178="","",N178+Q178+S178)</f>
      </c>
      <c r="V178" s="3">
        <f>IF($H178="","",I178-J178-O178-P178-Q178-R178-S178-T178)</f>
      </c>
      <c r="W178" s="3">
        <f>IF($H178="","",(V178-AE178)/H178*100)</f>
      </c>
      <c r="X178" s="3">
        <f>IF($H178="","",J178-U178)</f>
      </c>
      <c r="AF178" s="3">
        <f>IF($H178="","",V178-AE178)</f>
      </c>
    </row>
    <row r="179" spans="1:34" x14ac:dyDescent="0.25">
      <c r="A179" s="1"/>
      <c r="D179" s="2"/>
      <c r="G179" s="3"/>
      <c r="H179" s="3"/>
      <c r="I179" s="3">
        <f>IF($H179="","",H179-G179)</f>
      </c>
      <c r="J179" s="3">
        <f>IF($H179="","",I179*16.67%)</f>
      </c>
      <c r="K179" s="3">
        <f>IF($H179="","",(H179*6.9%)-(H179*6.9%)*10%)</f>
      </c>
      <c r="L179" s="3">
        <f>IF($H179="","",H179*0.35%)</f>
      </c>
      <c r="M179" s="3">
        <v>0.4</v>
      </c>
      <c r="N179" s="3">
        <f>IF($H179="","",(K179+L179+M179)*20%)</f>
      </c>
      <c r="O179" s="3">
        <f>IF($H179="","",K179+L179+M179+N179)</f>
      </c>
      <c r="P179" s="3"/>
      <c r="Q179" s="3"/>
      <c r="R179" s="3"/>
      <c r="S179" s="3">
        <f>IF($H179="","",R179*20%)</f>
      </c>
      <c r="T179" s="3">
        <v>1</v>
      </c>
      <c r="U179" s="3">
        <f>IF($H179="","",N179+Q179+S179)</f>
      </c>
      <c r="V179" s="3">
        <f>IF($H179="","",I179-J179-O179-P179-Q179-R179-S179-T179)</f>
      </c>
      <c r="W179" s="3">
        <f>IF($H179="","",(V179-AE179)/H179*100)</f>
      </c>
      <c r="X179" s="3">
        <f>IF($H179="","",J179-U179)</f>
      </c>
      <c r="AF179" s="3">
        <f>IF($H179="","",V179-AE179)</f>
      </c>
    </row>
    <row r="180" spans="1:34" x14ac:dyDescent="0.25">
      <c r="A180" s="1"/>
      <c r="D180" s="2"/>
      <c r="G180" s="3"/>
      <c r="H180" s="3"/>
      <c r="I180" s="3">
        <f>IF($H180="","",H180-G180)</f>
      </c>
      <c r="J180" s="3">
        <f>IF($H180="","",I180*16.67%)</f>
      </c>
      <c r="K180" s="3">
        <f>IF($H180="","",(H180*6.9%)-(H180*6.9%)*10%)</f>
      </c>
      <c r="L180" s="3">
        <f>IF($H180="","",H180*0.35%)</f>
      </c>
      <c r="M180" s="3">
        <v>0.4</v>
      </c>
      <c r="N180" s="3">
        <f>IF($H180="","",(K180+L180+M180)*20%)</f>
      </c>
      <c r="O180" s="3">
        <f>IF($H180="","",K180+L180+M180+N180)</f>
      </c>
      <c r="P180" s="3"/>
      <c r="Q180" s="3"/>
      <c r="R180" s="3"/>
      <c r="S180" s="3">
        <f>IF($H180="","",R180*20%)</f>
      </c>
      <c r="T180" s="3">
        <v>1</v>
      </c>
      <c r="U180" s="3">
        <f>IF($H180="","",N180+Q180+S180)</f>
      </c>
      <c r="V180" s="3">
        <f>IF($H180="","",I180-J180-O180-P180-Q180-R180-S180-T180)</f>
      </c>
      <c r="W180" s="3">
        <f>IF($H180="","",(V180-AE180)/H180*100)</f>
      </c>
      <c r="X180" s="3">
        <f>IF($H180="","",J180-U180)</f>
      </c>
      <c r="AF180" s="3">
        <f>IF($H180="","",V180-AE180)</f>
      </c>
    </row>
    <row r="181" spans="1:34" x14ac:dyDescent="0.25">
      <c r="A181" s="1"/>
      <c r="D181" s="2"/>
      <c r="G181" s="3"/>
      <c r="H181" s="3"/>
      <c r="I181" s="3">
        <f>IF($H181="","",H181-G181)</f>
      </c>
      <c r="J181" s="3">
        <f>IF($H181="","",I181*16.67%)</f>
      </c>
      <c r="K181" s="3">
        <f>IF($H181="","",(H181*6.9%)-(H181*6.9%)*10%)</f>
      </c>
      <c r="L181" s="3">
        <f>IF($H181="","",H181*0.35%)</f>
      </c>
      <c r="M181" s="3">
        <v>0.4</v>
      </c>
      <c r="N181" s="3">
        <f>IF($H181="","",(K181+L181+M181)*20%)</f>
      </c>
      <c r="O181" s="3">
        <f>IF($H181="","",K181+L181+M181+N181)</f>
      </c>
      <c r="P181" s="3"/>
      <c r="Q181" s="3"/>
      <c r="R181" s="3"/>
      <c r="S181" s="3">
        <f>IF($H181="","",R181*20%)</f>
      </c>
      <c r="T181" s="3">
        <v>1</v>
      </c>
      <c r="U181" s="3">
        <f>IF($H181="","",N181+Q181+S181)</f>
      </c>
      <c r="V181" s="3">
        <f>IF($H181="","",I181-J181-O181-P181-Q181-R181-S181-T181)</f>
      </c>
      <c r="W181" s="3">
        <f>IF($H181="","",(V181-AE181)/H181*100)</f>
      </c>
      <c r="X181" s="3">
        <f>IF($H181="","",J181-U181)</f>
      </c>
      <c r="AF181" s="3">
        <f>IF($H181="","",V181-AE181)</f>
      </c>
    </row>
    <row r="182" spans="1:34" x14ac:dyDescent="0.25">
      <c r="A182" s="1"/>
      <c r="D182" s="2"/>
      <c r="G182" s="3"/>
      <c r="H182" s="3"/>
      <c r="I182" s="3">
        <f>IF($H182="","",H182-G182)</f>
      </c>
      <c r="J182" s="3">
        <f>IF($H182="","",I182*16.67%)</f>
      </c>
      <c r="K182" s="3">
        <f>IF($H182="","",(H182*6.9%)-(H182*6.9%)*10%)</f>
      </c>
      <c r="L182" s="3">
        <f>IF($H182="","",H182*0.35%)</f>
      </c>
      <c r="M182" s="3">
        <v>0.4</v>
      </c>
      <c r="N182" s="3">
        <f>IF($H182="","",(K182+L182+M182)*20%)</f>
      </c>
      <c r="O182" s="3">
        <f>IF($H182="","",K182+L182+M182+N182)</f>
      </c>
      <c r="P182" s="3"/>
      <c r="Q182" s="3"/>
      <c r="R182" s="3"/>
      <c r="S182" s="3">
        <f>IF($H182="","",R182*20%)</f>
      </c>
      <c r="T182" s="3">
        <v>1</v>
      </c>
      <c r="U182" s="3">
        <f>IF($H182="","",N182+Q182+S182)</f>
      </c>
      <c r="V182" s="3">
        <f>IF($H182="","",I182-J182-O182-P182-Q182-R182-S182-T182)</f>
      </c>
      <c r="W182" s="3">
        <f>IF($H182="","",(V182-AE182)/H182*100)</f>
      </c>
      <c r="X182" s="3">
        <f>IF($H182="","",J182-U182)</f>
      </c>
      <c r="AF182" s="3">
        <f>IF($H182="","",V182-AE182)</f>
      </c>
    </row>
    <row r="183" spans="1:34" x14ac:dyDescent="0.25">
      <c r="A183" s="1"/>
      <c r="D183" s="2"/>
      <c r="G183" s="3"/>
      <c r="H183" s="3"/>
      <c r="I183" s="3">
        <f>IF($H183="","",H183-G183)</f>
      </c>
      <c r="J183" s="3">
        <f>IF($H183="","",I183*16.67%)</f>
      </c>
      <c r="K183" s="3">
        <f>IF($H183="","",(H183*6.9%)-(H183*6.9%)*10%)</f>
      </c>
      <c r="L183" s="3">
        <f>IF($H183="","",H183*0.35%)</f>
      </c>
      <c r="M183" s="3">
        <v>0.4</v>
      </c>
      <c r="N183" s="3">
        <f>IF($H183="","",(K183+L183+M183)*20%)</f>
      </c>
      <c r="O183" s="3">
        <f>IF($H183="","",K183+L183+M183+N183)</f>
      </c>
      <c r="P183" s="3"/>
      <c r="Q183" s="3"/>
      <c r="R183" s="3"/>
      <c r="S183" s="3">
        <f>IF($H183="","",R183*20%)</f>
      </c>
      <c r="T183" s="3">
        <v>1</v>
      </c>
      <c r="U183" s="3">
        <f>IF($H183="","",N183+Q183+S183)</f>
      </c>
      <c r="V183" s="3">
        <f>IF($H183="","",I183-J183-O183-P183-Q183-R183-S183-T183)</f>
      </c>
      <c r="W183" s="3">
        <f>IF($H183="","",(V183-AE183)/H183*100)</f>
      </c>
      <c r="X183" s="3">
        <f>IF($H183="","",J183-U183)</f>
      </c>
      <c r="AF183" s="3">
        <f>IF($H183="","",V183-AE183)</f>
      </c>
    </row>
    <row r="184" spans="1:34" x14ac:dyDescent="0.25">
      <c r="A184" s="1"/>
      <c r="D184" s="2"/>
      <c r="G184" s="3"/>
      <c r="H184" s="3"/>
      <c r="I184" s="3">
        <f>IF($H184="","",H184-G184)</f>
      </c>
      <c r="J184" s="3">
        <f>IF($H184="","",I184*16.67%)</f>
      </c>
      <c r="K184" s="3">
        <f>IF($H184="","",(H184*6.9%)-(H184*6.9%)*10%)</f>
      </c>
      <c r="L184" s="3">
        <f>IF($H184="","",H184*0.35%)</f>
      </c>
      <c r="M184" s="3">
        <v>0.4</v>
      </c>
      <c r="N184" s="3">
        <f>IF($H184="","",(K184+L184+M184)*20%)</f>
      </c>
      <c r="O184" s="3">
        <f>IF($H184="","",K184+L184+M184+N184)</f>
      </c>
      <c r="P184" s="3"/>
      <c r="Q184" s="3"/>
      <c r="R184" s="3"/>
      <c r="S184" s="3">
        <f>IF($H184="","",R184*20%)</f>
      </c>
      <c r="T184" s="3">
        <v>1</v>
      </c>
      <c r="U184" s="3">
        <f>IF($H184="","",N184+Q184+S184)</f>
      </c>
      <c r="V184" s="3">
        <f>IF($H184="","",I184-J184-O184-P184-Q184-R184-S184-T184)</f>
      </c>
      <c r="W184" s="3">
        <f>IF($H184="","",(V184-AE184)/H184*100)</f>
      </c>
      <c r="X184" s="3">
        <f>IF($H184="","",J184-U184)</f>
      </c>
      <c r="AF184" s="3">
        <f>IF($H184="","",V184-AE184)</f>
      </c>
    </row>
    <row r="185" spans="1:34" x14ac:dyDescent="0.25">
      <c r="A185" s="1"/>
      <c r="D185" s="2"/>
      <c r="G185" s="3"/>
      <c r="H185" s="3"/>
      <c r="I185" s="3">
        <f>IF($H185="","",H185-G185)</f>
      </c>
      <c r="J185" s="3">
        <f>IF($H185="","",I185*16.67%)</f>
      </c>
      <c r="K185" s="3">
        <f>IF($H185="","",(H185*6.9%)-(H185*6.9%)*10%)</f>
      </c>
      <c r="L185" s="3">
        <f>IF($H185="","",H185*0.35%)</f>
      </c>
      <c r="M185" s="3">
        <v>0.4</v>
      </c>
      <c r="N185" s="3">
        <f>IF($H185="","",(K185+L185+M185)*20%)</f>
      </c>
      <c r="O185" s="3">
        <f>IF($H185="","",K185+L185+M185+N185)</f>
      </c>
      <c r="P185" s="3"/>
      <c r="Q185" s="3"/>
      <c r="R185" s="3"/>
      <c r="S185" s="3">
        <f>IF($H185="","",R185*20%)</f>
      </c>
      <c r="T185" s="3">
        <v>1</v>
      </c>
      <c r="U185" s="3">
        <f>IF($H185="","",N185+Q185+S185)</f>
      </c>
      <c r="V185" s="3">
        <f>IF($H185="","",I185-J185-O185-P185-Q185-R185-S185-T185)</f>
      </c>
      <c r="W185" s="3">
        <f>IF($H185="","",(V185-AE185)/H185*100)</f>
      </c>
      <c r="X185" s="3">
        <f>IF($H185="","",J185-U185)</f>
      </c>
      <c r="AF185" s="3">
        <f>IF($H185="","",V185-AE185)</f>
      </c>
    </row>
    <row r="186" spans="1:34" x14ac:dyDescent="0.25">
      <c r="A186" s="1"/>
      <c r="D186" s="2"/>
      <c r="G186" s="3"/>
      <c r="H186" s="3"/>
      <c r="I186" s="3">
        <f>IF($H186="","",H186-G186)</f>
      </c>
      <c r="J186" s="3">
        <f>IF($H186="","",I186*16.67%)</f>
      </c>
      <c r="K186" s="3">
        <f>IF($H186="","",(H186*6.9%)-(H186*6.9%)*10%)</f>
      </c>
      <c r="L186" s="3">
        <f>IF($H186="","",H186*0.35%)</f>
      </c>
      <c r="M186" s="3">
        <v>0.4</v>
      </c>
      <c r="N186" s="3">
        <f>IF($H186="","",(K186+L186+M186)*20%)</f>
      </c>
      <c r="O186" s="3">
        <f>IF($H186="","",K186+L186+M186+N186)</f>
      </c>
      <c r="P186" s="3"/>
      <c r="Q186" s="3"/>
      <c r="R186" s="3"/>
      <c r="S186" s="3">
        <f>IF($H186="","",R186*20%)</f>
      </c>
      <c r="T186" s="3">
        <v>1</v>
      </c>
      <c r="U186" s="3">
        <f>IF($H186="","",N186+Q186+S186)</f>
      </c>
      <c r="V186" s="3">
        <f>IF($H186="","",I186-J186-O186-P186-Q186-R186-S186-T186)</f>
      </c>
      <c r="W186" s="3">
        <f>IF($H186="","",(V186-AE186)/H186*100)</f>
      </c>
      <c r="X186" s="3">
        <f>IF($H186="","",J186-U186)</f>
      </c>
      <c r="AF186" s="3">
        <f>IF($H186="","",V186-AE186)</f>
      </c>
    </row>
    <row r="187" spans="1:34" x14ac:dyDescent="0.25">
      <c r="A187" s="1"/>
      <c r="D187" s="2"/>
      <c r="G187" s="3"/>
      <c r="H187" s="3"/>
      <c r="I187" s="3">
        <f>IF($H187="","",H187-G187)</f>
      </c>
      <c r="J187" s="3">
        <f>IF($H187="","",I187*16.67%)</f>
      </c>
      <c r="K187" s="3">
        <f>IF($H187="","",(H187*6.9%)-(H187*6.9%)*10%)</f>
      </c>
      <c r="L187" s="3">
        <f>IF($H187="","",H187*0.35%)</f>
      </c>
      <c r="M187" s="3">
        <v>0.4</v>
      </c>
      <c r="N187" s="3">
        <f>IF($H187="","",(K187+L187+M187)*20%)</f>
      </c>
      <c r="O187" s="3">
        <f>IF($H187="","",K187+L187+M187+N187)</f>
      </c>
      <c r="P187" s="3"/>
      <c r="Q187" s="3"/>
      <c r="R187" s="3"/>
      <c r="S187" s="3">
        <f>IF($H187="","",R187*20%)</f>
      </c>
      <c r="T187" s="3">
        <v>1</v>
      </c>
      <c r="U187" s="3">
        <f>IF($H187="","",N187+Q187+S187)</f>
      </c>
      <c r="V187" s="3">
        <f>IF($H187="","",I187-J187-O187-P187-Q187-R187-S187-T187)</f>
      </c>
      <c r="W187" s="3">
        <f>IF($H187="","",(V187-AE187)/H187*100)</f>
      </c>
      <c r="X187" s="3">
        <f>IF($H187="","",J187-U187)</f>
      </c>
      <c r="AF187" s="3">
        <f>IF($H187="","",V187-AE187)</f>
      </c>
    </row>
    <row r="188" spans="1:34" x14ac:dyDescent="0.25">
      <c r="A188" s="1"/>
      <c r="D188" s="2"/>
      <c r="G188" s="3"/>
      <c r="H188" s="3"/>
      <c r="I188" s="3">
        <f>IF($H188="","",H188-G188)</f>
      </c>
      <c r="J188" s="3">
        <f>IF($H188="","",I188*16.67%)</f>
      </c>
      <c r="K188" s="3">
        <f>IF($H188="","",(H188*6.9%)-(H188*6.9%)*10%)</f>
      </c>
      <c r="L188" s="3">
        <f>IF($H188="","",H188*0.35%)</f>
      </c>
      <c r="M188" s="3">
        <v>0.4</v>
      </c>
      <c r="N188" s="3">
        <f>IF($H188="","",(K188+L188+M188)*20%)</f>
      </c>
      <c r="O188" s="3">
        <f>IF($H188="","",K188+L188+M188+N188)</f>
      </c>
      <c r="P188" s="3"/>
      <c r="Q188" s="3"/>
      <c r="R188" s="3"/>
      <c r="S188" s="3">
        <f>IF($H188="","",R188*20%)</f>
      </c>
      <c r="T188" s="3">
        <v>1</v>
      </c>
      <c r="U188" s="3">
        <f>IF($H188="","",N188+Q188+S188)</f>
      </c>
      <c r="V188" s="3">
        <f>IF($H188="","",I188-J188-O188-P188-Q188-R188-S188-T188)</f>
      </c>
      <c r="W188" s="3">
        <f>IF($H188="","",(V188-AE188)/H188*100)</f>
      </c>
      <c r="X188" s="3">
        <f>IF($H188="","",J188-U188)</f>
      </c>
      <c r="AF188" s="3">
        <f>IF($H188="","",V188-AE188)</f>
      </c>
    </row>
    <row r="189" spans="1:34" x14ac:dyDescent="0.25">
      <c r="A189" s="1"/>
      <c r="D189" s="2"/>
      <c r="G189" s="3"/>
      <c r="H189" s="3"/>
      <c r="I189" s="3">
        <f>IF($H189="","",H189-G189)</f>
      </c>
      <c r="J189" s="3">
        <f>IF($H189="","",I189*16.67%)</f>
      </c>
      <c r="K189" s="3">
        <f>IF($H189="","",(H189*6.9%)-(H189*6.9%)*10%)</f>
      </c>
      <c r="L189" s="3">
        <f>IF($H189="","",H189*0.35%)</f>
      </c>
      <c r="M189" s="3">
        <v>0.4</v>
      </c>
      <c r="N189" s="3">
        <f>IF($H189="","",(K189+L189+M189)*20%)</f>
      </c>
      <c r="O189" s="3">
        <f>IF($H189="","",K189+L189+M189+N189)</f>
      </c>
      <c r="P189" s="3"/>
      <c r="Q189" s="3"/>
      <c r="R189" s="3"/>
      <c r="S189" s="3">
        <f>IF($H189="","",R189*20%)</f>
      </c>
      <c r="T189" s="3">
        <v>1</v>
      </c>
      <c r="U189" s="3">
        <f>IF($H189="","",N189+Q189+S189)</f>
      </c>
      <c r="V189" s="3">
        <f>IF($H189="","",I189-J189-O189-P189-Q189-R189-S189-T189)</f>
      </c>
      <c r="W189" s="3">
        <f>IF($H189="","",(V189-AE189)/H189*100)</f>
      </c>
      <c r="X189" s="3">
        <f>IF($H189="","",J189-U189)</f>
      </c>
      <c r="AF189" s="3">
        <f>IF($H189="","",V189-AE189)</f>
      </c>
    </row>
    <row r="190" spans="1:34" x14ac:dyDescent="0.25">
      <c r="A190" s="1"/>
      <c r="D190" s="2"/>
      <c r="G190" s="3"/>
      <c r="H190" s="3"/>
      <c r="I190" s="3">
        <f>IF($H190="","",H190-G190)</f>
      </c>
      <c r="J190" s="3">
        <f>IF($H190="","",I190*16.67%)</f>
      </c>
      <c r="K190" s="3">
        <f>IF($H190="","",(H190*6.9%)-(H190*6.9%)*10%)</f>
      </c>
      <c r="L190" s="3">
        <f>IF($H190="","",H190*0.35%)</f>
      </c>
      <c r="M190" s="3">
        <v>0.4</v>
      </c>
      <c r="N190" s="3">
        <f>IF($H190="","",(K190+L190+M190)*20%)</f>
      </c>
      <c r="O190" s="3">
        <f>IF($H190="","",K190+L190+M190+N190)</f>
      </c>
      <c r="P190" s="3"/>
      <c r="Q190" s="3"/>
      <c r="R190" s="3"/>
      <c r="S190" s="3">
        <f>IF($H190="","",R190*20%)</f>
      </c>
      <c r="T190" s="3">
        <v>1</v>
      </c>
      <c r="U190" s="3">
        <f>IF($H190="","",N190+Q190+S190)</f>
      </c>
      <c r="V190" s="3">
        <f>IF($H190="","",I190-J190-O190-P190-Q190-R190-S190-T190)</f>
      </c>
      <c r="W190" s="3">
        <f>IF($H190="","",(V190-AE190)/H190*100)</f>
      </c>
      <c r="X190" s="3">
        <f>IF($H190="","",J190-U190)</f>
      </c>
      <c r="AF190" s="3">
        <f>IF($H190="","",V190-AE190)</f>
      </c>
    </row>
    <row r="191" spans="1:34" x14ac:dyDescent="0.25">
      <c r="A191" s="1"/>
      <c r="D191" s="2"/>
      <c r="G191" s="3"/>
      <c r="H191" s="3"/>
      <c r="I191" s="3">
        <f>IF($H191="","",H191-G191)</f>
      </c>
      <c r="J191" s="3">
        <f>IF($H191="","",I191*16.67%)</f>
      </c>
      <c r="K191" s="3">
        <f>IF($H191="","",(H191*6.9%)-(H191*6.9%)*10%)</f>
      </c>
      <c r="L191" s="3">
        <f>IF($H191="","",H191*0.35%)</f>
      </c>
      <c r="M191" s="3">
        <v>0.4</v>
      </c>
      <c r="N191" s="3">
        <f>IF($H191="","",(K191+L191+M191)*20%)</f>
      </c>
      <c r="O191" s="3">
        <f>IF($H191="","",K191+L191+M191+N191)</f>
      </c>
      <c r="P191" s="3"/>
      <c r="Q191" s="3"/>
      <c r="R191" s="3"/>
      <c r="S191" s="3">
        <f>IF($H191="","",R191*20%)</f>
      </c>
      <c r="T191" s="3">
        <v>1</v>
      </c>
      <c r="U191" s="3">
        <f>IF($H191="","",N191+Q191+S191)</f>
      </c>
      <c r="V191" s="3">
        <f>IF($H191="","",I191-J191-O191-P191-Q191-R191-S191-T191)</f>
      </c>
      <c r="W191" s="3">
        <f>IF($H191="","",(V191-AE191)/H191*100)</f>
      </c>
      <c r="X191" s="3">
        <f>IF($H191="","",J191-U191)</f>
      </c>
      <c r="AF191" s="3">
        <f>IF($H191="","",V191-AE191)</f>
      </c>
    </row>
    <row r="192" spans="1:34" x14ac:dyDescent="0.25">
      <c r="A192" s="1"/>
      <c r="D192" s="2"/>
      <c r="G192" s="3"/>
      <c r="H192" s="3"/>
      <c r="I192" s="3">
        <f>IF($H192="","",H192-G192)</f>
      </c>
      <c r="J192" s="3">
        <f>IF($H192="","",I192*16.67%)</f>
      </c>
      <c r="K192" s="3">
        <f>IF($H192="","",(H192*6.9%)-(H192*6.9%)*10%)</f>
      </c>
      <c r="L192" s="3">
        <f>IF($H192="","",H192*0.35%)</f>
      </c>
      <c r="M192" s="3">
        <v>0.4</v>
      </c>
      <c r="N192" s="3">
        <f>IF($H192="","",(K192+L192+M192)*20%)</f>
      </c>
      <c r="O192" s="3">
        <f>IF($H192="","",K192+L192+M192+N192)</f>
      </c>
      <c r="P192" s="3"/>
      <c r="Q192" s="3"/>
      <c r="R192" s="3"/>
      <c r="S192" s="3">
        <f>IF($H192="","",R192*20%)</f>
      </c>
      <c r="T192" s="3">
        <v>1</v>
      </c>
      <c r="U192" s="3">
        <f>IF($H192="","",N192+Q192+S192)</f>
      </c>
      <c r="V192" s="3">
        <f>IF($H192="","",I192-J192-O192-P192-Q192-R192-S192-T192)</f>
      </c>
      <c r="W192" s="3">
        <f>IF($H192="","",(V192-AE192)/H192*100)</f>
      </c>
      <c r="X192" s="3">
        <f>IF($H192="","",J192-U192)</f>
      </c>
      <c r="AF192" s="3">
        <f>IF($H192="","",V192-AE192)</f>
      </c>
    </row>
    <row r="193" spans="1:34" x14ac:dyDescent="0.25">
      <c r="A193" s="1"/>
      <c r="D193" s="2"/>
      <c r="G193" s="3"/>
      <c r="H193" s="3"/>
      <c r="I193" s="3">
        <f>IF($H193="","",H193-G193)</f>
      </c>
      <c r="J193" s="3">
        <f>IF($H193="","",I193*16.67%)</f>
      </c>
      <c r="K193" s="3">
        <f>IF($H193="","",(H193*6.9%)-(H193*6.9%)*10%)</f>
      </c>
      <c r="L193" s="3">
        <f>IF($H193="","",H193*0.35%)</f>
      </c>
      <c r="M193" s="3">
        <v>0.4</v>
      </c>
      <c r="N193" s="3">
        <f>IF($H193="","",(K193+L193+M193)*20%)</f>
      </c>
      <c r="O193" s="3">
        <f>IF($H193="","",K193+L193+M193+N193)</f>
      </c>
      <c r="P193" s="3"/>
      <c r="Q193" s="3"/>
      <c r="R193" s="3"/>
      <c r="S193" s="3">
        <f>IF($H193="","",R193*20%)</f>
      </c>
      <c r="T193" s="3">
        <v>1</v>
      </c>
      <c r="U193" s="3">
        <f>IF($H193="","",N193+Q193+S193)</f>
      </c>
      <c r="V193" s="3">
        <f>IF($H193="","",I193-J193-O193-P193-Q193-R193-S193-T193)</f>
      </c>
      <c r="W193" s="3">
        <f>IF($H193="","",(V193-AE193)/H193*100)</f>
      </c>
      <c r="X193" s="3">
        <f>IF($H193="","",J193-U193)</f>
      </c>
      <c r="AF193" s="3">
        <f>IF($H193="","",V193-AE193)</f>
      </c>
    </row>
    <row r="194" spans="1:34" x14ac:dyDescent="0.25">
      <c r="A194" s="1"/>
      <c r="D194" s="2"/>
      <c r="G194" s="3"/>
      <c r="H194" s="3"/>
      <c r="I194" s="3">
        <f>IF($H194="","",H194-G194)</f>
      </c>
      <c r="J194" s="3">
        <f>IF($H194="","",I194*16.67%)</f>
      </c>
      <c r="K194" s="3">
        <f>IF($H194="","",(H194*6.9%)-(H194*6.9%)*10%)</f>
      </c>
      <c r="L194" s="3">
        <f>IF($H194="","",H194*0.35%)</f>
      </c>
      <c r="M194" s="3">
        <v>0.4</v>
      </c>
      <c r="N194" s="3">
        <f>IF($H194="","",(K194+L194+M194)*20%)</f>
      </c>
      <c r="O194" s="3">
        <f>IF($H194="","",K194+L194+M194+N194)</f>
      </c>
      <c r="P194" s="3"/>
      <c r="Q194" s="3"/>
      <c r="R194" s="3"/>
      <c r="S194" s="3">
        <f>IF($H194="","",R194*20%)</f>
      </c>
      <c r="T194" s="3">
        <v>1</v>
      </c>
      <c r="U194" s="3">
        <f>IF($H194="","",N194+Q194+S194)</f>
      </c>
      <c r="V194" s="3">
        <f>IF($H194="","",I194-J194-O194-P194-Q194-R194-S194-T194)</f>
      </c>
      <c r="W194" s="3">
        <f>IF($H194="","",(V194-AE194)/H194*100)</f>
      </c>
      <c r="X194" s="3">
        <f>IF($H194="","",J194-U194)</f>
      </c>
      <c r="AF194" s="3">
        <f>IF($H194="","",V194-AE194)</f>
      </c>
    </row>
    <row r="195" spans="1:34" x14ac:dyDescent="0.25">
      <c r="A195" s="1"/>
      <c r="D195" s="2"/>
      <c r="G195" s="3"/>
      <c r="H195" s="3"/>
      <c r="I195" s="3">
        <f>IF($H195="","",H195-G195)</f>
      </c>
      <c r="J195" s="3">
        <f>IF($H195="","",I195*16.67%)</f>
      </c>
      <c r="K195" s="3">
        <f>IF($H195="","",(H195*6.9%)-(H195*6.9%)*10%)</f>
      </c>
      <c r="L195" s="3">
        <f>IF($H195="","",H195*0.35%)</f>
      </c>
      <c r="M195" s="3">
        <v>0.4</v>
      </c>
      <c r="N195" s="3">
        <f>IF($H195="","",(K195+L195+M195)*20%)</f>
      </c>
      <c r="O195" s="3">
        <f>IF($H195="","",K195+L195+M195+N195)</f>
      </c>
      <c r="P195" s="3"/>
      <c r="Q195" s="3"/>
      <c r="R195" s="3"/>
      <c r="S195" s="3">
        <f>IF($H195="","",R195*20%)</f>
      </c>
      <c r="T195" s="3">
        <v>1</v>
      </c>
      <c r="U195" s="3">
        <f>IF($H195="","",N195+Q195+S195)</f>
      </c>
      <c r="V195" s="3">
        <f>IF($H195="","",I195-J195-O195-P195-Q195-R195-S195-T195)</f>
      </c>
      <c r="W195" s="3">
        <f>IF($H195="","",(V195-AE195)/H195*100)</f>
      </c>
      <c r="X195" s="3">
        <f>IF($H195="","",J195-U195)</f>
      </c>
      <c r="AF195" s="3">
        <f>IF($H195="","",V195-AE195)</f>
      </c>
    </row>
    <row r="196" spans="1:34" x14ac:dyDescent="0.25">
      <c r="A196" s="1"/>
      <c r="D196" s="2"/>
      <c r="G196" s="3"/>
      <c r="H196" s="3"/>
      <c r="I196" s="3">
        <f>IF($H196="","",H196-G196)</f>
      </c>
      <c r="J196" s="3">
        <f>IF($H196="","",I196*16.67%)</f>
      </c>
      <c r="K196" s="3">
        <f>IF($H196="","",(H196*6.9%)-(H196*6.9%)*10%)</f>
      </c>
      <c r="L196" s="3">
        <f>IF($H196="","",H196*0.35%)</f>
      </c>
      <c r="M196" s="3">
        <v>0.4</v>
      </c>
      <c r="N196" s="3">
        <f>IF($H196="","",(K196+L196+M196)*20%)</f>
      </c>
      <c r="O196" s="3">
        <f>IF($H196="","",K196+L196+M196+N196)</f>
      </c>
      <c r="P196" s="3"/>
      <c r="Q196" s="3"/>
      <c r="R196" s="3"/>
      <c r="S196" s="3">
        <f>IF($H196="","",R196*20%)</f>
      </c>
      <c r="T196" s="3">
        <v>1</v>
      </c>
      <c r="U196" s="3">
        <f>IF($H196="","",N196+Q196+S196)</f>
      </c>
      <c r="V196" s="3">
        <f>IF($H196="","",I196-J196-O196-P196-Q196-R196-S196-T196)</f>
      </c>
      <c r="W196" s="3">
        <f>IF($H196="","",(V196-AE196)/H196*100)</f>
      </c>
      <c r="X196" s="3">
        <f>IF($H196="","",J196-U196)</f>
      </c>
      <c r="AF196" s="3">
        <f>IF($H196="","",V196-AE196)</f>
      </c>
    </row>
    <row r="197" spans="1:34" x14ac:dyDescent="0.25">
      <c r="A197" s="1"/>
      <c r="D197" s="2"/>
      <c r="G197" s="3"/>
      <c r="H197" s="3"/>
      <c r="I197" s="3">
        <f>IF($H197="","",H197-G197)</f>
      </c>
      <c r="J197" s="3">
        <f>IF($H197="","",I197*16.67%)</f>
      </c>
      <c r="K197" s="3">
        <f>IF($H197="","",(H197*6.9%)-(H197*6.9%)*10%)</f>
      </c>
      <c r="L197" s="3">
        <f>IF($H197="","",H197*0.35%)</f>
      </c>
      <c r="M197" s="3">
        <v>0.4</v>
      </c>
      <c r="N197" s="3">
        <f>IF($H197="","",(K197+L197+M197)*20%)</f>
      </c>
      <c r="O197" s="3">
        <f>IF($H197="","",K197+L197+M197+N197)</f>
      </c>
      <c r="P197" s="3"/>
      <c r="Q197" s="3"/>
      <c r="R197" s="3"/>
      <c r="S197" s="3">
        <f>IF($H197="","",R197*20%)</f>
      </c>
      <c r="T197" s="3">
        <v>1</v>
      </c>
      <c r="U197" s="3">
        <f>IF($H197="","",N197+Q197+S197)</f>
      </c>
      <c r="V197" s="3">
        <f>IF($H197="","",I197-J197-O197-P197-Q197-R197-S197-T197)</f>
      </c>
      <c r="W197" s="3">
        <f>IF($H197="","",(V197-AE197)/H197*100)</f>
      </c>
      <c r="X197" s="3">
        <f>IF($H197="","",J197-U197)</f>
      </c>
      <c r="AF197" s="3">
        <f>IF($H197="","",V197-AE197)</f>
      </c>
    </row>
    <row r="198" spans="1:34" x14ac:dyDescent="0.25">
      <c r="A198" s="1"/>
      <c r="D198" s="2"/>
      <c r="G198" s="3"/>
      <c r="H198" s="3"/>
      <c r="I198" s="3">
        <f>IF($H198="","",H198-G198)</f>
      </c>
      <c r="J198" s="3">
        <f>IF($H198="","",I198*16.67%)</f>
      </c>
      <c r="K198" s="3">
        <f>IF($H198="","",(H198*6.9%)-(H198*6.9%)*10%)</f>
      </c>
      <c r="L198" s="3">
        <f>IF($H198="","",H198*0.35%)</f>
      </c>
      <c r="M198" s="3">
        <v>0.4</v>
      </c>
      <c r="N198" s="3">
        <f>IF($H198="","",(K198+L198+M198)*20%)</f>
      </c>
      <c r="O198" s="3">
        <f>IF($H198="","",K198+L198+M198+N198)</f>
      </c>
      <c r="P198" s="3"/>
      <c r="Q198" s="3"/>
      <c r="R198" s="3"/>
      <c r="S198" s="3">
        <f>IF($H198="","",R198*20%)</f>
      </c>
      <c r="T198" s="3">
        <v>1</v>
      </c>
      <c r="U198" s="3">
        <f>IF($H198="","",N198+Q198+S198)</f>
      </c>
      <c r="V198" s="3">
        <f>IF($H198="","",I198-J198-O198-P198-Q198-R198-S198-T198)</f>
      </c>
      <c r="W198" s="3">
        <f>IF($H198="","",(V198-AE198)/H198*100)</f>
      </c>
      <c r="X198" s="3">
        <f>IF($H198="","",J198-U198)</f>
      </c>
      <c r="AF198" s="3">
        <f>IF($H198="","",V198-AE198)</f>
      </c>
    </row>
    <row r="199" spans="1:34" x14ac:dyDescent="0.25">
      <c r="A199" s="1"/>
      <c r="D199" s="2"/>
      <c r="G199" s="3"/>
      <c r="H199" s="3"/>
      <c r="I199" s="3">
        <f>IF($H199="","",H199-G199)</f>
      </c>
      <c r="J199" s="3">
        <f>IF($H199="","",I199*16.67%)</f>
      </c>
      <c r="K199" s="3">
        <f>IF($H199="","",(H199*6.9%)-(H199*6.9%)*10%)</f>
      </c>
      <c r="L199" s="3">
        <f>IF($H199="","",H199*0.35%)</f>
      </c>
      <c r="M199" s="3">
        <v>0.4</v>
      </c>
      <c r="N199" s="3">
        <f>IF($H199="","",(K199+L199+M199)*20%)</f>
      </c>
      <c r="O199" s="3">
        <f>IF($H199="","",K199+L199+M199+N199)</f>
      </c>
      <c r="P199" s="3"/>
      <c r="Q199" s="3"/>
      <c r="R199" s="3"/>
      <c r="S199" s="3">
        <f>IF($H199="","",R199*20%)</f>
      </c>
      <c r="T199" s="3">
        <v>1</v>
      </c>
      <c r="U199" s="3">
        <f>IF($H199="","",N199+Q199+S199)</f>
      </c>
      <c r="V199" s="3">
        <f>IF($H199="","",I199-J199-O199-P199-Q199-R199-S199-T199)</f>
      </c>
      <c r="W199" s="3">
        <f>IF($H199="","",(V199-AE199)/H199*100)</f>
      </c>
      <c r="X199" s="3">
        <f>IF($H199="","",J199-U199)</f>
      </c>
      <c r="AF199" s="3">
        <f>IF($H199="","",V199-AE199)</f>
      </c>
    </row>
    <row r="200" spans="1:34" x14ac:dyDescent="0.25">
      <c r="A200" s="1"/>
      <c r="D200" s="2"/>
      <c r="G200" s="3"/>
      <c r="H200" s="3"/>
      <c r="I200" s="3">
        <f>IF($H200="","",H200-G200)</f>
      </c>
      <c r="J200" s="3">
        <f>IF($H200="","",I200*16.67%)</f>
      </c>
      <c r="K200" s="3">
        <f>IF($H200="","",(H200*6.9%)-(H200*6.9%)*10%)</f>
      </c>
      <c r="L200" s="3">
        <f>IF($H200="","",H200*0.35%)</f>
      </c>
      <c r="M200" s="3">
        <v>0.4</v>
      </c>
      <c r="N200" s="3">
        <f>IF($H200="","",(K200+L200+M200)*20%)</f>
      </c>
      <c r="O200" s="3">
        <f>IF($H200="","",K200+L200+M200+N200)</f>
      </c>
      <c r="P200" s="3"/>
      <c r="Q200" s="3"/>
      <c r="R200" s="3"/>
      <c r="S200" s="3">
        <f>IF($H200="","",R200*20%)</f>
      </c>
      <c r="T200" s="3">
        <v>1</v>
      </c>
      <c r="U200" s="3">
        <f>IF($H200="","",N200+Q200+S200)</f>
      </c>
      <c r="V200" s="3">
        <f>IF($H200="","",I200-J200-O200-P200-Q200-R200-S200-T200)</f>
      </c>
      <c r="W200" s="3">
        <f>IF($H200="","",(V200-AE200)/H200*100)</f>
      </c>
      <c r="X200" s="3">
        <f>IF($H200="","",J200-U200)</f>
      </c>
      <c r="AF200" s="3">
        <f>IF($H200="","",V200-AE200)</f>
      </c>
    </row>
    <row r="201" spans="1:34" x14ac:dyDescent="0.25">
      <c r="A201" s="1"/>
      <c r="D201" s="2"/>
      <c r="G201" s="3"/>
      <c r="H201" s="3"/>
      <c r="I201" s="3">
        <f>IF($H201="","",H201-G201)</f>
      </c>
      <c r="J201" s="3">
        <f>IF($H201="","",I201*16.67%)</f>
      </c>
      <c r="K201" s="3">
        <f>IF($H201="","",(H201*6.9%)-(H201*6.9%)*10%)</f>
      </c>
      <c r="L201" s="3">
        <f>IF($H201="","",H201*0.35%)</f>
      </c>
      <c r="M201" s="3">
        <v>0.4</v>
      </c>
      <c r="N201" s="3">
        <f>IF($H201="","",(K201+L201+M201)*20%)</f>
      </c>
      <c r="O201" s="3">
        <f>IF($H201="","",K201+L201+M201+N201)</f>
      </c>
      <c r="P201" s="3"/>
      <c r="Q201" s="3"/>
      <c r="R201" s="3"/>
      <c r="S201" s="3">
        <f>IF($H201="","",R201*20%)</f>
      </c>
      <c r="T201" s="3">
        <v>1</v>
      </c>
      <c r="U201" s="3">
        <f>IF($H201="","",N201+Q201+S201)</f>
      </c>
      <c r="V201" s="3">
        <f>IF($H201="","",I201-J201-O201-P201-Q201-R201-S201-T201)</f>
      </c>
      <c r="W201" s="3">
        <f>IF($H201="","",(V201-AE201)/H201*100)</f>
      </c>
      <c r="X201" s="3">
        <f>IF($H201="","",J201-U201)</f>
      </c>
      <c r="AF201" s="3">
        <f>IF($H201="","",V201-AE201)</f>
      </c>
    </row>
    <row r="202" spans="1:34" x14ac:dyDescent="0.25">
      <c r="A202" s="1"/>
      <c r="D202" s="2"/>
      <c r="G202" s="3"/>
      <c r="H202" s="3"/>
      <c r="I202" s="3">
        <f>IF($H202="","",H202-G202)</f>
      </c>
      <c r="J202" s="3">
        <f>IF($H202="","",I202*16.67%)</f>
      </c>
      <c r="K202" s="3">
        <f>IF($H202="","",(H202*6.9%)-(H202*6.9%)*10%)</f>
      </c>
      <c r="L202" s="3">
        <f>IF($H202="","",H202*0.35%)</f>
      </c>
      <c r="M202" s="3">
        <v>0.4</v>
      </c>
      <c r="N202" s="3">
        <f>IF($H202="","",(K202+L202+M202)*20%)</f>
      </c>
      <c r="O202" s="3">
        <f>IF($H202="","",K202+L202+M202+N202)</f>
      </c>
      <c r="P202" s="3"/>
      <c r="Q202" s="3"/>
      <c r="R202" s="3"/>
      <c r="S202" s="3">
        <f>IF($H202="","",R202*20%)</f>
      </c>
      <c r="T202" s="3">
        <v>1</v>
      </c>
      <c r="U202" s="3">
        <f>IF($H202="","",N202+Q202+S202)</f>
      </c>
      <c r="V202" s="3">
        <f>IF($H202="","",I202-J202-O202-P202-Q202-R202-S202-T202)</f>
      </c>
      <c r="W202" s="3">
        <f>IF($H202="","",(V202-AE202)/H202*100)</f>
      </c>
      <c r="X202" s="3">
        <f>IF($H202="","",J202-U202)</f>
      </c>
      <c r="AF202" s="3">
        <f>IF($H202="","",V202-AE202)</f>
      </c>
    </row>
    <row r="203" spans="1:34" s="4" customFormat="1" x14ac:dyDescent="0.25">
      <c r="A203" s="5" t="s">
        <v>40</v>
      </c>
      <c r="B203" s="4"/>
      <c r="C203" s="4"/>
      <c r="D203" s="4"/>
      <c r="E203" s="4"/>
      <c r="F203" s="6">
        <f>SUM(F2:F202)</f>
      </c>
      <c r="G203" s="6">
        <f>SUM(G2:G202)</f>
      </c>
      <c r="H203" s="6">
        <f>SUM(H2:H202)</f>
      </c>
      <c r="I203" s="6">
        <f>SUM(I2:I202)</f>
      </c>
      <c r="J203" s="6">
        <f>SUM(J2:J202)</f>
      </c>
      <c r="K203" s="6">
        <f>SUM(K2:K202)</f>
      </c>
      <c r="L203" s="6">
        <f>SUM(L2:L202)</f>
      </c>
      <c r="M203" s="6">
        <f>SUM(M2:M202)</f>
      </c>
      <c r="N203" s="6">
        <f>SUM(N2:N202)</f>
      </c>
      <c r="O203" s="6">
        <f>SUM(O2:O202)</f>
      </c>
      <c r="P203" s="6">
        <f>SUM(P2:P202)</f>
      </c>
      <c r="Q203" s="6">
        <f>SUM(Q2:Q202)</f>
      </c>
      <c r="R203" s="6">
        <f>SUM(R2:R202)</f>
      </c>
      <c r="S203" s="6">
        <f>SUM(S2:S202)</f>
      </c>
      <c r="T203" s="6">
        <f>SUM(T2:T202)</f>
      </c>
      <c r="U203" s="6">
        <f>SUM(U2:U202)</f>
      </c>
      <c r="V203" s="6">
        <f>SUM(V2:V202)</f>
      </c>
      <c r="W203" s="6">
        <f>IFERROR((V203-AE203)/H203*100,0)</f>
      </c>
      <c r="X203" s="6">
        <f>SUM(X2:X202)</f>
      </c>
      <c r="Y203" s="4"/>
      <c r="Z203" s="4"/>
      <c r="AA203" s="4"/>
      <c r="AB203" s="4"/>
      <c r="AC203" s="4"/>
      <c r="AD203" s="4"/>
      <c r="AE203" s="6">
        <f>SUM(AE2:AE202)</f>
      </c>
      <c r="AF203" s="6">
        <f>SUM(AF2:AF202)</f>
      </c>
      <c r="AG203" s="4"/>
      <c r="AH20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EBAY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2026-08-02T14:51:27Z</dcterms:created>
  <dcterms:modified xsi:type="dcterms:W3CDTF">2026-08-02T14:51:27Z</dcterms:modified>
</cp:coreProperties>
</file>