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3" name="BM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<sst xmlns="http://schemas.openxmlformats.org/spreadsheetml/2006/main" count="55" uniqueCount="51">
  <si>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</si>
  <si>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</si>
  <si>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</si>
  <si>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</si>
  <si>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</si>
  <si>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</si>
  <si>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</si>
  <si>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</si>
  <si>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</si>
  <si>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</si>
  <si>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</si>
  <si>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Customer Care Fees</t>
  </si>
  <si>
    <t>Postage</t>
  </si>
  <si>
    <t>P. VAT</t>
  </si>
  <si>
    <t>Accessories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</si>
  <si>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</si>
  <si>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</si>
  <si>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</si>
  <si>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</si>
  <si>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</si>
  <si>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</si>
  <si>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</si>
  <si>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</si>
  <si>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</si>
  <si>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</si>
  <si>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</si>
  <si>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</si>
  <si>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</si>
  <si>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BM-7781</t>
  </si>
  <si>
    <t>S22-128-GRN</t>
  </si>
  <si>
    <t>350100000015838</t>
  </si>
  <si>
    <t>PHONEBOX DIRECT</t>
  </si>
  <si>
    <t/>
  </si>
  <si>
    <t>TOTAL</t>
  </si>
  <si>
    <t>SALES TEMPLATE — same columns as the Sales Report</t>
  </si>
  <si>
    <t>What this is</t>
  </si>
  <si>
    <t>One sheet per marketplace (BM),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</si>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</sst>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34</v>
      </c>
      <c r="B1" t="s">
        <v>32</v>
      </c>
    </row>
    <row r="3" spans="1:2" x14ac:dyDescent="0.25">
      <c r="A3" s="4" t="s">
        <v>35</v>
      </c>
      <c r="B3" s="8" t="s">
        <v>36</v>
      </c>
    </row>
    <row r="4" spans="1:2" x14ac:dyDescent="0.25">
      <c r="A4" s="4" t="s">
        <v>37</v>
      </c>
      <c r="B4" s="8" t="s">
        <v>38</v>
      </c>
    </row>
    <row r="5" spans="1:2" x14ac:dyDescent="0.25">
      <c r="A5" s="4" t="s">
        <v>39</v>
      </c>
      <c r="B5" s="8" t="s">
        <v>40</v>
      </c>
    </row>
    <row r="6" spans="1:2" x14ac:dyDescent="0.25">
      <c r="A6" s="4" t="s">
        <v>41</v>
      </c>
      <c r="B6" s="8" t="s">
        <v>42</v>
      </c>
    </row>
    <row r="7" spans="1:2" x14ac:dyDescent="0.25">
      <c r="A7" s="4" t="s">
        <v>43</v>
      </c>
      <c r="B7" s="8" t="s">
        <v>44</v>
      </c>
    </row>
    <row r="8" spans="1:2" x14ac:dyDescent="0.25">
      <c r="A8" s="4" t="s">
        <v>45</v>
      </c>
      <c r="B8" s="8" t="s">
        <v>46</v>
      </c>
    </row>
    <row r="9" spans="1:2" x14ac:dyDescent="0.25">
      <c r="A9" s="4" t="s">
        <v>47</v>
      </c>
      <c r="B9" s="8" t="s">
        <v>48</v>
      </c>
    </row>
    <row r="10" spans="1:2" x14ac:dyDescent="0.25">
      <c r="A10" s="4" t="s">
        <v>49</v>
      </c>
      <c r="B10" s="8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31</v>
      </c>
      <c r="F2">
        <v>1</v>
      </c>
      <c r="G2" s="3">
        <v>240</v>
      </c>
      <c r="H2" s="3">
        <v>329</v>
      </c>
      <c r="I2" s="3">
        <f>IF($H2="","",H2-G2)</f>
      </c>
      <c r="J2" s="3">
        <f>IF($H2="","",I2*16.67%)</f>
      </c>
      <c r="K2" s="3">
        <f>IF($H2="","",H2/100*11)</f>
      </c>
      <c r="L2" s="3">
        <v>8.99</v>
      </c>
      <c r="M2" s="3">
        <v>8</v>
      </c>
      <c r="N2" s="3">
        <f>IF($H2="","",M2*20%)</f>
      </c>
      <c r="O2" s="3">
        <v>1</v>
      </c>
      <c r="P2" s="3">
        <f>IF($H2="","",I2-J2-K2-L2-M2-N2-O2)</f>
      </c>
      <c r="Q2" s="3">
        <f>IF($H2="","",(P2-Y2)/G2*100)</f>
      </c>
      <c r="R2" s="3">
        <f>IF($H2="","",J2-N2)</f>
      </c>
      <c r="S2" t="s">
        <v>32</v>
      </c>
      <c r="T2" t="s">
        <v>29</v>
      </c>
      <c r="Z2" s="3">
        <f>IF($H2="","",P2-Y2)</f>
      </c>
      <c r="AA2" t="s">
        <v>32</v>
      </c>
      <c r="AB2" t="s">
        <v>32</v>
      </c>
    </row>
    <row r="3" spans="1:28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IF($H3="","",H3/100*11)</f>
      </c>
      <c r="L3" s="3">
        <v>8.99</v>
      </c>
      <c r="M3" s="3"/>
      <c r="N3" s="3">
        <f>IF($H3="","",M3*20%)</f>
      </c>
      <c r="O3" s="3">
        <v>1</v>
      </c>
      <c r="P3" s="3">
        <f>IF($H3="","",I3-J3-K3-L3-M3-N3-O3)</f>
      </c>
      <c r="Q3" s="3">
        <f>IF($H3="","",(P3-Y3)/G3*100)</f>
      </c>
      <c r="R3" s="3">
        <f>IF($H3="","",J3-N3)</f>
      </c>
      <c r="Z3" s="3">
        <f>IF($H3="","",P3-Y3)</f>
      </c>
    </row>
    <row r="4" spans="1:28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IF($H4="","",H4/100*11)</f>
      </c>
      <c r="L4" s="3">
        <v>8.99</v>
      </c>
      <c r="M4" s="3"/>
      <c r="N4" s="3">
        <f>IF($H4="","",M4*20%)</f>
      </c>
      <c r="O4" s="3">
        <v>1</v>
      </c>
      <c r="P4" s="3">
        <f>IF($H4="","",I4-J4-K4-L4-M4-N4-O4)</f>
      </c>
      <c r="Q4" s="3">
        <f>IF($H4="","",(P4-Y4)/G4*100)</f>
      </c>
      <c r="R4" s="3">
        <f>IF($H4="","",J4-N4)</f>
      </c>
      <c r="Z4" s="3">
        <f>IF($H4="","",P4-Y4)</f>
      </c>
    </row>
    <row r="5" spans="1:28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IF($H5="","",H5/100*11)</f>
      </c>
      <c r="L5" s="3">
        <v>8.99</v>
      </c>
      <c r="M5" s="3"/>
      <c r="N5" s="3">
        <f>IF($H5="","",M5*20%)</f>
      </c>
      <c r="O5" s="3">
        <v>1</v>
      </c>
      <c r="P5" s="3">
        <f>IF($H5="","",I5-J5-K5-L5-M5-N5-O5)</f>
      </c>
      <c r="Q5" s="3">
        <f>IF($H5="","",(P5-Y5)/G5*100)</f>
      </c>
      <c r="R5" s="3">
        <f>IF($H5="","",J5-N5)</f>
      </c>
      <c r="Z5" s="3">
        <f>IF($H5="","",P5-Y5)</f>
      </c>
    </row>
    <row r="6" spans="1:28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IF($H6="","",H6/100*11)</f>
      </c>
      <c r="L6" s="3">
        <v>8.99</v>
      </c>
      <c r="M6" s="3"/>
      <c r="N6" s="3">
        <f>IF($H6="","",M6*20%)</f>
      </c>
      <c r="O6" s="3">
        <v>1</v>
      </c>
      <c r="P6" s="3">
        <f>IF($H6="","",I6-J6-K6-L6-M6-N6-O6)</f>
      </c>
      <c r="Q6" s="3">
        <f>IF($H6="","",(P6-Y6)/G6*100)</f>
      </c>
      <c r="R6" s="3">
        <f>IF($H6="","",J6-N6)</f>
      </c>
      <c r="Z6" s="3">
        <f>IF($H6="","",P6-Y6)</f>
      </c>
    </row>
    <row r="7" spans="1:28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IF($H7="","",H7/100*11)</f>
      </c>
      <c r="L7" s="3">
        <v>8.99</v>
      </c>
      <c r="M7" s="3"/>
      <c r="N7" s="3">
        <f>IF($H7="","",M7*20%)</f>
      </c>
      <c r="O7" s="3">
        <v>1</v>
      </c>
      <c r="P7" s="3">
        <f>IF($H7="","",I7-J7-K7-L7-M7-N7-O7)</f>
      </c>
      <c r="Q7" s="3">
        <f>IF($H7="","",(P7-Y7)/G7*100)</f>
      </c>
      <c r="R7" s="3">
        <f>IF($H7="","",J7-N7)</f>
      </c>
      <c r="Z7" s="3">
        <f>IF($H7="","",P7-Y7)</f>
      </c>
    </row>
    <row r="8" spans="1:28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IF($H8="","",H8/100*11)</f>
      </c>
      <c r="L8" s="3">
        <v>8.99</v>
      </c>
      <c r="M8" s="3"/>
      <c r="N8" s="3">
        <f>IF($H8="","",M8*20%)</f>
      </c>
      <c r="O8" s="3">
        <v>1</v>
      </c>
      <c r="P8" s="3">
        <f>IF($H8="","",I8-J8-K8-L8-M8-N8-O8)</f>
      </c>
      <c r="Q8" s="3">
        <f>IF($H8="","",(P8-Y8)/G8*100)</f>
      </c>
      <c r="R8" s="3">
        <f>IF($H8="","",J8-N8)</f>
      </c>
      <c r="Z8" s="3">
        <f>IF($H8="","",P8-Y8)</f>
      </c>
    </row>
    <row r="9" spans="1:28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IF($H9="","",H9/100*11)</f>
      </c>
      <c r="L9" s="3">
        <v>8.99</v>
      </c>
      <c r="M9" s="3"/>
      <c r="N9" s="3">
        <f>IF($H9="","",M9*20%)</f>
      </c>
      <c r="O9" s="3">
        <v>1</v>
      </c>
      <c r="P9" s="3">
        <f>IF($H9="","",I9-J9-K9-L9-M9-N9-O9)</f>
      </c>
      <c r="Q9" s="3">
        <f>IF($H9="","",(P9-Y9)/G9*100)</f>
      </c>
      <c r="R9" s="3">
        <f>IF($H9="","",J9-N9)</f>
      </c>
      <c r="Z9" s="3">
        <f>IF($H9="","",P9-Y9)</f>
      </c>
    </row>
    <row r="10" spans="1:28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IF($H10="","",H10/100*11)</f>
      </c>
      <c r="L10" s="3">
        <v>8.99</v>
      </c>
      <c r="M10" s="3"/>
      <c r="N10" s="3">
        <f>IF($H10="","",M10*20%)</f>
      </c>
      <c r="O10" s="3">
        <v>1</v>
      </c>
      <c r="P10" s="3">
        <f>IF($H10="","",I10-J10-K10-L10-M10-N10-O10)</f>
      </c>
      <c r="Q10" s="3">
        <f>IF($H10="","",(P10-Y10)/G10*100)</f>
      </c>
      <c r="R10" s="3">
        <f>IF($H10="","",J10-N10)</f>
      </c>
      <c r="Z10" s="3">
        <f>IF($H10="","",P10-Y10)</f>
      </c>
    </row>
    <row r="11" spans="1:28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IF($H11="","",H11/100*11)</f>
      </c>
      <c r="L11" s="3">
        <v>8.99</v>
      </c>
      <c r="M11" s="3"/>
      <c r="N11" s="3">
        <f>IF($H11="","",M11*20%)</f>
      </c>
      <c r="O11" s="3">
        <v>1</v>
      </c>
      <c r="P11" s="3">
        <f>IF($H11="","",I11-J11-K11-L11-M11-N11-O11)</f>
      </c>
      <c r="Q11" s="3">
        <f>IF($H11="","",(P11-Y11)/G11*100)</f>
      </c>
      <c r="R11" s="3">
        <f>IF($H11="","",J11-N11)</f>
      </c>
      <c r="Z11" s="3">
        <f>IF($H11="","",P11-Y11)</f>
      </c>
    </row>
    <row r="12" spans="1:28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IF($H12="","",H12/100*11)</f>
      </c>
      <c r="L12" s="3">
        <v>8.99</v>
      </c>
      <c r="M12" s="3"/>
      <c r="N12" s="3">
        <f>IF($H12="","",M12*20%)</f>
      </c>
      <c r="O12" s="3">
        <v>1</v>
      </c>
      <c r="P12" s="3">
        <f>IF($H12="","",I12-J12-K12-L12-M12-N12-O12)</f>
      </c>
      <c r="Q12" s="3">
        <f>IF($H12="","",(P12-Y12)/G12*100)</f>
      </c>
      <c r="R12" s="3">
        <f>IF($H12="","",J12-N12)</f>
      </c>
      <c r="Z12" s="3">
        <f>IF($H12="","",P12-Y12)</f>
      </c>
    </row>
    <row r="13" spans="1:28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IF($H13="","",H13/100*11)</f>
      </c>
      <c r="L13" s="3">
        <v>8.99</v>
      </c>
      <c r="M13" s="3"/>
      <c r="N13" s="3">
        <f>IF($H13="","",M13*20%)</f>
      </c>
      <c r="O13" s="3">
        <v>1</v>
      </c>
      <c r="P13" s="3">
        <f>IF($H13="","",I13-J13-K13-L13-M13-N13-O13)</f>
      </c>
      <c r="Q13" s="3">
        <f>IF($H13="","",(P13-Y13)/G13*100)</f>
      </c>
      <c r="R13" s="3">
        <f>IF($H13="","",J13-N13)</f>
      </c>
      <c r="Z13" s="3">
        <f>IF($H13="","",P13-Y13)</f>
      </c>
    </row>
    <row r="14" spans="1:28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IF($H14="","",H14/100*11)</f>
      </c>
      <c r="L14" s="3">
        <v>8.99</v>
      </c>
      <c r="M14" s="3"/>
      <c r="N14" s="3">
        <f>IF($H14="","",M14*20%)</f>
      </c>
      <c r="O14" s="3">
        <v>1</v>
      </c>
      <c r="P14" s="3">
        <f>IF($H14="","",I14-J14-K14-L14-M14-N14-O14)</f>
      </c>
      <c r="Q14" s="3">
        <f>IF($H14="","",(P14-Y14)/G14*100)</f>
      </c>
      <c r="R14" s="3">
        <f>IF($H14="","",J14-N14)</f>
      </c>
      <c r="Z14" s="3">
        <f>IF($H14="","",P14-Y14)</f>
      </c>
    </row>
    <row r="15" spans="1:28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IF($H15="","",H15/100*11)</f>
      </c>
      <c r="L15" s="3">
        <v>8.99</v>
      </c>
      <c r="M15" s="3"/>
      <c r="N15" s="3">
        <f>IF($H15="","",M15*20%)</f>
      </c>
      <c r="O15" s="3">
        <v>1</v>
      </c>
      <c r="P15" s="3">
        <f>IF($H15="","",I15-J15-K15-L15-M15-N15-O15)</f>
      </c>
      <c r="Q15" s="3">
        <f>IF($H15="","",(P15-Y15)/G15*100)</f>
      </c>
      <c r="R15" s="3">
        <f>IF($H15="","",J15-N15)</f>
      </c>
      <c r="Z15" s="3">
        <f>IF($H15="","",P15-Y15)</f>
      </c>
    </row>
    <row r="16" spans="1:28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IF($H16="","",H16/100*11)</f>
      </c>
      <c r="L16" s="3">
        <v>8.99</v>
      </c>
      <c r="M16" s="3"/>
      <c r="N16" s="3">
        <f>IF($H16="","",M16*20%)</f>
      </c>
      <c r="O16" s="3">
        <v>1</v>
      </c>
      <c r="P16" s="3">
        <f>IF($H16="","",I16-J16-K16-L16-M16-N16-O16)</f>
      </c>
      <c r="Q16" s="3">
        <f>IF($H16="","",(P16-Y16)/G16*100)</f>
      </c>
      <c r="R16" s="3">
        <f>IF($H16="","",J16-N16)</f>
      </c>
      <c r="Z16" s="3">
        <f>IF($H16="","",P16-Y16)</f>
      </c>
    </row>
    <row r="17" spans="1:28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IF($H17="","",H17/100*11)</f>
      </c>
      <c r="L17" s="3">
        <v>8.99</v>
      </c>
      <c r="M17" s="3"/>
      <c r="N17" s="3">
        <f>IF($H17="","",M17*20%)</f>
      </c>
      <c r="O17" s="3">
        <v>1</v>
      </c>
      <c r="P17" s="3">
        <f>IF($H17="","",I17-J17-K17-L17-M17-N17-O17)</f>
      </c>
      <c r="Q17" s="3">
        <f>IF($H17="","",(P17-Y17)/G17*100)</f>
      </c>
      <c r="R17" s="3">
        <f>IF($H17="","",J17-N17)</f>
      </c>
      <c r="Z17" s="3">
        <f>IF($H17="","",P17-Y17)</f>
      </c>
    </row>
    <row r="18" spans="1:28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IF($H18="","",H18/100*11)</f>
      </c>
      <c r="L18" s="3">
        <v>8.99</v>
      </c>
      <c r="M18" s="3"/>
      <c r="N18" s="3">
        <f>IF($H18="","",M18*20%)</f>
      </c>
      <c r="O18" s="3">
        <v>1</v>
      </c>
      <c r="P18" s="3">
        <f>IF($H18="","",I18-J18-K18-L18-M18-N18-O18)</f>
      </c>
      <c r="Q18" s="3">
        <f>IF($H18="","",(P18-Y18)/G18*100)</f>
      </c>
      <c r="R18" s="3">
        <f>IF($H18="","",J18-N18)</f>
      </c>
      <c r="Z18" s="3">
        <f>IF($H18="","",P18-Y18)</f>
      </c>
    </row>
    <row r="19" spans="1:28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IF($H19="","",H19/100*11)</f>
      </c>
      <c r="L19" s="3">
        <v>8.99</v>
      </c>
      <c r="M19" s="3"/>
      <c r="N19" s="3">
        <f>IF($H19="","",M19*20%)</f>
      </c>
      <c r="O19" s="3">
        <v>1</v>
      </c>
      <c r="P19" s="3">
        <f>IF($H19="","",I19-J19-K19-L19-M19-N19-O19)</f>
      </c>
      <c r="Q19" s="3">
        <f>IF($H19="","",(P19-Y19)/G19*100)</f>
      </c>
      <c r="R19" s="3">
        <f>IF($H19="","",J19-N19)</f>
      </c>
      <c r="Z19" s="3">
        <f>IF($H19="","",P19-Y19)</f>
      </c>
    </row>
    <row r="20" spans="1:28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IF($H20="","",H20/100*11)</f>
      </c>
      <c r="L20" s="3">
        <v>8.99</v>
      </c>
      <c r="M20" s="3"/>
      <c r="N20" s="3">
        <f>IF($H20="","",M20*20%)</f>
      </c>
      <c r="O20" s="3">
        <v>1</v>
      </c>
      <c r="P20" s="3">
        <f>IF($H20="","",I20-J20-K20-L20-M20-N20-O20)</f>
      </c>
      <c r="Q20" s="3">
        <f>IF($H20="","",(P20-Y20)/G20*100)</f>
      </c>
      <c r="R20" s="3">
        <f>IF($H20="","",J20-N20)</f>
      </c>
      <c r="Z20" s="3">
        <f>IF($H20="","",P20-Y20)</f>
      </c>
    </row>
    <row r="21" spans="1:28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IF($H21="","",H21/100*11)</f>
      </c>
      <c r="L21" s="3">
        <v>8.99</v>
      </c>
      <c r="M21" s="3"/>
      <c r="N21" s="3">
        <f>IF($H21="","",M21*20%)</f>
      </c>
      <c r="O21" s="3">
        <v>1</v>
      </c>
      <c r="P21" s="3">
        <f>IF($H21="","",I21-J21-K21-L21-M21-N21-O21)</f>
      </c>
      <c r="Q21" s="3">
        <f>IF($H21="","",(P21-Y21)/G21*100)</f>
      </c>
      <c r="R21" s="3">
        <f>IF($H21="","",J21-N21)</f>
      </c>
      <c r="Z21" s="3">
        <f>IF($H21="","",P21-Y21)</f>
      </c>
    </row>
    <row r="22" spans="1:28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IF($H22="","",H22/100*11)</f>
      </c>
      <c r="L22" s="3">
        <v>8.99</v>
      </c>
      <c r="M22" s="3"/>
      <c r="N22" s="3">
        <f>IF($H22="","",M22*20%)</f>
      </c>
      <c r="O22" s="3">
        <v>1</v>
      </c>
      <c r="P22" s="3">
        <f>IF($H22="","",I22-J22-K22-L22-M22-N22-O22)</f>
      </c>
      <c r="Q22" s="3">
        <f>IF($H22="","",(P22-Y22)/G22*100)</f>
      </c>
      <c r="R22" s="3">
        <f>IF($H22="","",J22-N22)</f>
      </c>
      <c r="Z22" s="3">
        <f>IF($H22="","",P22-Y22)</f>
      </c>
    </row>
    <row r="23" spans="1:28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IF($H23="","",H23/100*11)</f>
      </c>
      <c r="L23" s="3">
        <v>8.99</v>
      </c>
      <c r="M23" s="3"/>
      <c r="N23" s="3">
        <f>IF($H23="","",M23*20%)</f>
      </c>
      <c r="O23" s="3">
        <v>1</v>
      </c>
      <c r="P23" s="3">
        <f>IF($H23="","",I23-J23-K23-L23-M23-N23-O23)</f>
      </c>
      <c r="Q23" s="3">
        <f>IF($H23="","",(P23-Y23)/G23*100)</f>
      </c>
      <c r="R23" s="3">
        <f>IF($H23="","",J23-N23)</f>
      </c>
      <c r="Z23" s="3">
        <f>IF($H23="","",P23-Y23)</f>
      </c>
    </row>
    <row r="24" spans="1:28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IF($H24="","",H24/100*11)</f>
      </c>
      <c r="L24" s="3">
        <v>8.99</v>
      </c>
      <c r="M24" s="3"/>
      <c r="N24" s="3">
        <f>IF($H24="","",M24*20%)</f>
      </c>
      <c r="O24" s="3">
        <v>1</v>
      </c>
      <c r="P24" s="3">
        <f>IF($H24="","",I24-J24-K24-L24-M24-N24-O24)</f>
      </c>
      <c r="Q24" s="3">
        <f>IF($H24="","",(P24-Y24)/G24*100)</f>
      </c>
      <c r="R24" s="3">
        <f>IF($H24="","",J24-N24)</f>
      </c>
      <c r="Z24" s="3">
        <f>IF($H24="","",P24-Y24)</f>
      </c>
    </row>
    <row r="25" spans="1:28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IF($H25="","",H25/100*11)</f>
      </c>
      <c r="L25" s="3">
        <v>8.99</v>
      </c>
      <c r="M25" s="3"/>
      <c r="N25" s="3">
        <f>IF($H25="","",M25*20%)</f>
      </c>
      <c r="O25" s="3">
        <v>1</v>
      </c>
      <c r="P25" s="3">
        <f>IF($H25="","",I25-J25-K25-L25-M25-N25-O25)</f>
      </c>
      <c r="Q25" s="3">
        <f>IF($H25="","",(P25-Y25)/G25*100)</f>
      </c>
      <c r="R25" s="3">
        <f>IF($H25="","",J25-N25)</f>
      </c>
      <c r="Z25" s="3">
        <f>IF($H25="","",P25-Y25)</f>
      </c>
    </row>
    <row r="26" spans="1:28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IF($H26="","",H26/100*11)</f>
      </c>
      <c r="L26" s="3">
        <v>8.99</v>
      </c>
      <c r="M26" s="3"/>
      <c r="N26" s="3">
        <f>IF($H26="","",M26*20%)</f>
      </c>
      <c r="O26" s="3">
        <v>1</v>
      </c>
      <c r="P26" s="3">
        <f>IF($H26="","",I26-J26-K26-L26-M26-N26-O26)</f>
      </c>
      <c r="Q26" s="3">
        <f>IF($H26="","",(P26-Y26)/G26*100)</f>
      </c>
      <c r="R26" s="3">
        <f>IF($H26="","",J26-N26)</f>
      </c>
      <c r="Z26" s="3">
        <f>IF($H26="","",P26-Y26)</f>
      </c>
    </row>
    <row r="27" spans="1:28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IF($H27="","",H27/100*11)</f>
      </c>
      <c r="L27" s="3">
        <v>8.99</v>
      </c>
      <c r="M27" s="3"/>
      <c r="N27" s="3">
        <f>IF($H27="","",M27*20%)</f>
      </c>
      <c r="O27" s="3">
        <v>1</v>
      </c>
      <c r="P27" s="3">
        <f>IF($H27="","",I27-J27-K27-L27-M27-N27-O27)</f>
      </c>
      <c r="Q27" s="3">
        <f>IF($H27="","",(P27-Y27)/G27*100)</f>
      </c>
      <c r="R27" s="3">
        <f>IF($H27="","",J27-N27)</f>
      </c>
      <c r="Z27" s="3">
        <f>IF($H27="","",P27-Y27)</f>
      </c>
    </row>
    <row r="28" spans="1:28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IF($H28="","",H28/100*11)</f>
      </c>
      <c r="L28" s="3">
        <v>8.99</v>
      </c>
      <c r="M28" s="3"/>
      <c r="N28" s="3">
        <f>IF($H28="","",M28*20%)</f>
      </c>
      <c r="O28" s="3">
        <v>1</v>
      </c>
      <c r="P28" s="3">
        <f>IF($H28="","",I28-J28-K28-L28-M28-N28-O28)</f>
      </c>
      <c r="Q28" s="3">
        <f>IF($H28="","",(P28-Y28)/G28*100)</f>
      </c>
      <c r="R28" s="3">
        <f>IF($H28="","",J28-N28)</f>
      </c>
      <c r="Z28" s="3">
        <f>IF($H28="","",P28-Y28)</f>
      </c>
    </row>
    <row r="29" spans="1:28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IF($H29="","",H29/100*11)</f>
      </c>
      <c r="L29" s="3">
        <v>8.99</v>
      </c>
      <c r="M29" s="3"/>
      <c r="N29" s="3">
        <f>IF($H29="","",M29*20%)</f>
      </c>
      <c r="O29" s="3">
        <v>1</v>
      </c>
      <c r="P29" s="3">
        <f>IF($H29="","",I29-J29-K29-L29-M29-N29-O29)</f>
      </c>
      <c r="Q29" s="3">
        <f>IF($H29="","",(P29-Y29)/G29*100)</f>
      </c>
      <c r="R29" s="3">
        <f>IF($H29="","",J29-N29)</f>
      </c>
      <c r="Z29" s="3">
        <f>IF($H29="","",P29-Y29)</f>
      </c>
    </row>
    <row r="30" spans="1:28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IF($H30="","",H30/100*11)</f>
      </c>
      <c r="L30" s="3">
        <v>8.99</v>
      </c>
      <c r="M30" s="3"/>
      <c r="N30" s="3">
        <f>IF($H30="","",M30*20%)</f>
      </c>
      <c r="O30" s="3">
        <v>1</v>
      </c>
      <c r="P30" s="3">
        <f>IF($H30="","",I30-J30-K30-L30-M30-N30-O30)</f>
      </c>
      <c r="Q30" s="3">
        <f>IF($H30="","",(P30-Y30)/G30*100)</f>
      </c>
      <c r="R30" s="3">
        <f>IF($H30="","",J30-N30)</f>
      </c>
      <c r="Z30" s="3">
        <f>IF($H30="","",P30-Y30)</f>
      </c>
    </row>
    <row r="31" spans="1:28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IF($H31="","",H31/100*11)</f>
      </c>
      <c r="L31" s="3">
        <v>8.99</v>
      </c>
      <c r="M31" s="3"/>
      <c r="N31" s="3">
        <f>IF($H31="","",M31*20%)</f>
      </c>
      <c r="O31" s="3">
        <v>1</v>
      </c>
      <c r="P31" s="3">
        <f>IF($H31="","",I31-J31-K31-L31-M31-N31-O31)</f>
      </c>
      <c r="Q31" s="3">
        <f>IF($H31="","",(P31-Y31)/G31*100)</f>
      </c>
      <c r="R31" s="3">
        <f>IF($H31="","",J31-N31)</f>
      </c>
      <c r="Z31" s="3">
        <f>IF($H31="","",P31-Y31)</f>
      </c>
    </row>
    <row r="32" spans="1:28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IF($H32="","",H32/100*11)</f>
      </c>
      <c r="L32" s="3">
        <v>8.99</v>
      </c>
      <c r="M32" s="3"/>
      <c r="N32" s="3">
        <f>IF($H32="","",M32*20%)</f>
      </c>
      <c r="O32" s="3">
        <v>1</v>
      </c>
      <c r="P32" s="3">
        <f>IF($H32="","",I32-J32-K32-L32-M32-N32-O32)</f>
      </c>
      <c r="Q32" s="3">
        <f>IF($H32="","",(P32-Y32)/G32*100)</f>
      </c>
      <c r="R32" s="3">
        <f>IF($H32="","",J32-N32)</f>
      </c>
      <c r="Z32" s="3">
        <f>IF($H32="","",P32-Y32)</f>
      </c>
    </row>
    <row r="33" spans="1:28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IF($H33="","",H33/100*11)</f>
      </c>
      <c r="L33" s="3">
        <v>8.99</v>
      </c>
      <c r="M33" s="3"/>
      <c r="N33" s="3">
        <f>IF($H33="","",M33*20%)</f>
      </c>
      <c r="O33" s="3">
        <v>1</v>
      </c>
      <c r="P33" s="3">
        <f>IF($H33="","",I33-J33-K33-L33-M33-N33-O33)</f>
      </c>
      <c r="Q33" s="3">
        <f>IF($H33="","",(P33-Y33)/G33*100)</f>
      </c>
      <c r="R33" s="3">
        <f>IF($H33="","",J33-N33)</f>
      </c>
      <c r="Z33" s="3">
        <f>IF($H33="","",P33-Y33)</f>
      </c>
    </row>
    <row r="34" spans="1:28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IF($H34="","",H34/100*11)</f>
      </c>
      <c r="L34" s="3">
        <v>8.99</v>
      </c>
      <c r="M34" s="3"/>
      <c r="N34" s="3">
        <f>IF($H34="","",M34*20%)</f>
      </c>
      <c r="O34" s="3">
        <v>1</v>
      </c>
      <c r="P34" s="3">
        <f>IF($H34="","",I34-J34-K34-L34-M34-N34-O34)</f>
      </c>
      <c r="Q34" s="3">
        <f>IF($H34="","",(P34-Y34)/G34*100)</f>
      </c>
      <c r="R34" s="3">
        <f>IF($H34="","",J34-N34)</f>
      </c>
      <c r="Z34" s="3">
        <f>IF($H34="","",P34-Y34)</f>
      </c>
    </row>
    <row r="35" spans="1:28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IF($H35="","",H35/100*11)</f>
      </c>
      <c r="L35" s="3">
        <v>8.99</v>
      </c>
      <c r="M35" s="3"/>
      <c r="N35" s="3">
        <f>IF($H35="","",M35*20%)</f>
      </c>
      <c r="O35" s="3">
        <v>1</v>
      </c>
      <c r="P35" s="3">
        <f>IF($H35="","",I35-J35-K35-L35-M35-N35-O35)</f>
      </c>
      <c r="Q35" s="3">
        <f>IF($H35="","",(P35-Y35)/G35*100)</f>
      </c>
      <c r="R35" s="3">
        <f>IF($H35="","",J35-N35)</f>
      </c>
      <c r="Z35" s="3">
        <f>IF($H35="","",P35-Y35)</f>
      </c>
    </row>
    <row r="36" spans="1:28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IF($H36="","",H36/100*11)</f>
      </c>
      <c r="L36" s="3">
        <v>8.99</v>
      </c>
      <c r="M36" s="3"/>
      <c r="N36" s="3">
        <f>IF($H36="","",M36*20%)</f>
      </c>
      <c r="O36" s="3">
        <v>1</v>
      </c>
      <c r="P36" s="3">
        <f>IF($H36="","",I36-J36-K36-L36-M36-N36-O36)</f>
      </c>
      <c r="Q36" s="3">
        <f>IF($H36="","",(P36-Y36)/G36*100)</f>
      </c>
      <c r="R36" s="3">
        <f>IF($H36="","",J36-N36)</f>
      </c>
      <c r="Z36" s="3">
        <f>IF($H36="","",P36-Y36)</f>
      </c>
    </row>
    <row r="37" spans="1:28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IF($H37="","",H37/100*11)</f>
      </c>
      <c r="L37" s="3">
        <v>8.99</v>
      </c>
      <c r="M37" s="3"/>
      <c r="N37" s="3">
        <f>IF($H37="","",M37*20%)</f>
      </c>
      <c r="O37" s="3">
        <v>1</v>
      </c>
      <c r="P37" s="3">
        <f>IF($H37="","",I37-J37-K37-L37-M37-N37-O37)</f>
      </c>
      <c r="Q37" s="3">
        <f>IF($H37="","",(P37-Y37)/G37*100)</f>
      </c>
      <c r="R37" s="3">
        <f>IF($H37="","",J37-N37)</f>
      </c>
      <c r="Z37" s="3">
        <f>IF($H37="","",P37-Y37)</f>
      </c>
    </row>
    <row r="38" spans="1:28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IF($H38="","",H38/100*11)</f>
      </c>
      <c r="L38" s="3">
        <v>8.99</v>
      </c>
      <c r="M38" s="3"/>
      <c r="N38" s="3">
        <f>IF($H38="","",M38*20%)</f>
      </c>
      <c r="O38" s="3">
        <v>1</v>
      </c>
      <c r="P38" s="3">
        <f>IF($H38="","",I38-J38-K38-L38-M38-N38-O38)</f>
      </c>
      <c r="Q38" s="3">
        <f>IF($H38="","",(P38-Y38)/G38*100)</f>
      </c>
      <c r="R38" s="3">
        <f>IF($H38="","",J38-N38)</f>
      </c>
      <c r="Z38" s="3">
        <f>IF($H38="","",P38-Y38)</f>
      </c>
    </row>
    <row r="39" spans="1:28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IF($H39="","",H39/100*11)</f>
      </c>
      <c r="L39" s="3">
        <v>8.99</v>
      </c>
      <c r="M39" s="3"/>
      <c r="N39" s="3">
        <f>IF($H39="","",M39*20%)</f>
      </c>
      <c r="O39" s="3">
        <v>1</v>
      </c>
      <c r="P39" s="3">
        <f>IF($H39="","",I39-J39-K39-L39-M39-N39-O39)</f>
      </c>
      <c r="Q39" s="3">
        <f>IF($H39="","",(P39-Y39)/G39*100)</f>
      </c>
      <c r="R39" s="3">
        <f>IF($H39="","",J39-N39)</f>
      </c>
      <c r="Z39" s="3">
        <f>IF($H39="","",P39-Y39)</f>
      </c>
    </row>
    <row r="40" spans="1:28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IF($H40="","",H40/100*11)</f>
      </c>
      <c r="L40" s="3">
        <v>8.99</v>
      </c>
      <c r="M40" s="3"/>
      <c r="N40" s="3">
        <f>IF($H40="","",M40*20%)</f>
      </c>
      <c r="O40" s="3">
        <v>1</v>
      </c>
      <c r="P40" s="3">
        <f>IF($H40="","",I40-J40-K40-L40-M40-N40-O40)</f>
      </c>
      <c r="Q40" s="3">
        <f>IF($H40="","",(P40-Y40)/G40*100)</f>
      </c>
      <c r="R40" s="3">
        <f>IF($H40="","",J40-N40)</f>
      </c>
      <c r="Z40" s="3">
        <f>IF($H40="","",P40-Y40)</f>
      </c>
    </row>
    <row r="41" spans="1:28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IF($H41="","",H41/100*11)</f>
      </c>
      <c r="L41" s="3">
        <v>8.99</v>
      </c>
      <c r="M41" s="3"/>
      <c r="N41" s="3">
        <f>IF($H41="","",M41*20%)</f>
      </c>
      <c r="O41" s="3">
        <v>1</v>
      </c>
      <c r="P41" s="3">
        <f>IF($H41="","",I41-J41-K41-L41-M41-N41-O41)</f>
      </c>
      <c r="Q41" s="3">
        <f>IF($H41="","",(P41-Y41)/G41*100)</f>
      </c>
      <c r="R41" s="3">
        <f>IF($H41="","",J41-N41)</f>
      </c>
      <c r="Z41" s="3">
        <f>IF($H41="","",P41-Y41)</f>
      </c>
    </row>
    <row r="42" spans="1:28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IF($H42="","",H42/100*11)</f>
      </c>
      <c r="L42" s="3">
        <v>8.99</v>
      </c>
      <c r="M42" s="3"/>
      <c r="N42" s="3">
        <f>IF($H42="","",M42*20%)</f>
      </c>
      <c r="O42" s="3">
        <v>1</v>
      </c>
      <c r="P42" s="3">
        <f>IF($H42="","",I42-J42-K42-L42-M42-N42-O42)</f>
      </c>
      <c r="Q42" s="3">
        <f>IF($H42="","",(P42-Y42)/G42*100)</f>
      </c>
      <c r="R42" s="3">
        <f>IF($H42="","",J42-N42)</f>
      </c>
      <c r="Z42" s="3">
        <f>IF($H42="","",P42-Y42)</f>
      </c>
    </row>
    <row r="43" spans="1:28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IF($H43="","",H43/100*11)</f>
      </c>
      <c r="L43" s="3">
        <v>8.99</v>
      </c>
      <c r="M43" s="3"/>
      <c r="N43" s="3">
        <f>IF($H43="","",M43*20%)</f>
      </c>
      <c r="O43" s="3">
        <v>1</v>
      </c>
      <c r="P43" s="3">
        <f>IF($H43="","",I43-J43-K43-L43-M43-N43-O43)</f>
      </c>
      <c r="Q43" s="3">
        <f>IF($H43="","",(P43-Y43)/G43*100)</f>
      </c>
      <c r="R43" s="3">
        <f>IF($H43="","",J43-N43)</f>
      </c>
      <c r="Z43" s="3">
        <f>IF($H43="","",P43-Y43)</f>
      </c>
    </row>
    <row r="44" spans="1:28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IF($H44="","",H44/100*11)</f>
      </c>
      <c r="L44" s="3">
        <v>8.99</v>
      </c>
      <c r="M44" s="3"/>
      <c r="N44" s="3">
        <f>IF($H44="","",M44*20%)</f>
      </c>
      <c r="O44" s="3">
        <v>1</v>
      </c>
      <c r="P44" s="3">
        <f>IF($H44="","",I44-J44-K44-L44-M44-N44-O44)</f>
      </c>
      <c r="Q44" s="3">
        <f>IF($H44="","",(P44-Y44)/G44*100)</f>
      </c>
      <c r="R44" s="3">
        <f>IF($H44="","",J44-N44)</f>
      </c>
      <c r="Z44" s="3">
        <f>IF($H44="","",P44-Y44)</f>
      </c>
    </row>
    <row r="45" spans="1:28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IF($H45="","",H45/100*11)</f>
      </c>
      <c r="L45" s="3">
        <v>8.99</v>
      </c>
      <c r="M45" s="3"/>
      <c r="N45" s="3">
        <f>IF($H45="","",M45*20%)</f>
      </c>
      <c r="O45" s="3">
        <v>1</v>
      </c>
      <c r="P45" s="3">
        <f>IF($H45="","",I45-J45-K45-L45-M45-N45-O45)</f>
      </c>
      <c r="Q45" s="3">
        <f>IF($H45="","",(P45-Y45)/G45*100)</f>
      </c>
      <c r="R45" s="3">
        <f>IF($H45="","",J45-N45)</f>
      </c>
      <c r="Z45" s="3">
        <f>IF($H45="","",P45-Y45)</f>
      </c>
    </row>
    <row r="46" spans="1:28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IF($H46="","",H46/100*11)</f>
      </c>
      <c r="L46" s="3">
        <v>8.99</v>
      </c>
      <c r="M46" s="3"/>
      <c r="N46" s="3">
        <f>IF($H46="","",M46*20%)</f>
      </c>
      <c r="O46" s="3">
        <v>1</v>
      </c>
      <c r="P46" s="3">
        <f>IF($H46="","",I46-J46-K46-L46-M46-N46-O46)</f>
      </c>
      <c r="Q46" s="3">
        <f>IF($H46="","",(P46-Y46)/G46*100)</f>
      </c>
      <c r="R46" s="3">
        <f>IF($H46="","",J46-N46)</f>
      </c>
      <c r="Z46" s="3">
        <f>IF($H46="","",P46-Y46)</f>
      </c>
    </row>
    <row r="47" spans="1:28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IF($H47="","",H47/100*11)</f>
      </c>
      <c r="L47" s="3">
        <v>8.99</v>
      </c>
      <c r="M47" s="3"/>
      <c r="N47" s="3">
        <f>IF($H47="","",M47*20%)</f>
      </c>
      <c r="O47" s="3">
        <v>1</v>
      </c>
      <c r="P47" s="3">
        <f>IF($H47="","",I47-J47-K47-L47-M47-N47-O47)</f>
      </c>
      <c r="Q47" s="3">
        <f>IF($H47="","",(P47-Y47)/G47*100)</f>
      </c>
      <c r="R47" s="3">
        <f>IF($H47="","",J47-N47)</f>
      </c>
      <c r="Z47" s="3">
        <f>IF($H47="","",P47-Y47)</f>
      </c>
    </row>
    <row r="48" spans="1:28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IF($H48="","",H48/100*11)</f>
      </c>
      <c r="L48" s="3">
        <v>8.99</v>
      </c>
      <c r="M48" s="3"/>
      <c r="N48" s="3">
        <f>IF($H48="","",M48*20%)</f>
      </c>
      <c r="O48" s="3">
        <v>1</v>
      </c>
      <c r="P48" s="3">
        <f>IF($H48="","",I48-J48-K48-L48-M48-N48-O48)</f>
      </c>
      <c r="Q48" s="3">
        <f>IF($H48="","",(P48-Y48)/G48*100)</f>
      </c>
      <c r="R48" s="3">
        <f>IF($H48="","",J48-N48)</f>
      </c>
      <c r="Z48" s="3">
        <f>IF($H48="","",P48-Y48)</f>
      </c>
    </row>
    <row r="49" spans="1:28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IF($H49="","",H49/100*11)</f>
      </c>
      <c r="L49" s="3">
        <v>8.99</v>
      </c>
      <c r="M49" s="3"/>
      <c r="N49" s="3">
        <f>IF($H49="","",M49*20%)</f>
      </c>
      <c r="O49" s="3">
        <v>1</v>
      </c>
      <c r="P49" s="3">
        <f>IF($H49="","",I49-J49-K49-L49-M49-N49-O49)</f>
      </c>
      <c r="Q49" s="3">
        <f>IF($H49="","",(P49-Y49)/G49*100)</f>
      </c>
      <c r="R49" s="3">
        <f>IF($H49="","",J49-N49)</f>
      </c>
      <c r="Z49" s="3">
        <f>IF($H49="","",P49-Y49)</f>
      </c>
    </row>
    <row r="50" spans="1:28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IF($H50="","",H50/100*11)</f>
      </c>
      <c r="L50" s="3">
        <v>8.99</v>
      </c>
      <c r="M50" s="3"/>
      <c r="N50" s="3">
        <f>IF($H50="","",M50*20%)</f>
      </c>
      <c r="O50" s="3">
        <v>1</v>
      </c>
      <c r="P50" s="3">
        <f>IF($H50="","",I50-J50-K50-L50-M50-N50-O50)</f>
      </c>
      <c r="Q50" s="3">
        <f>IF($H50="","",(P50-Y50)/G50*100)</f>
      </c>
      <c r="R50" s="3">
        <f>IF($H50="","",J50-N50)</f>
      </c>
      <c r="Z50" s="3">
        <f>IF($H50="","",P50-Y50)</f>
      </c>
    </row>
    <row r="51" spans="1:28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IF($H51="","",H51/100*11)</f>
      </c>
      <c r="L51" s="3">
        <v>8.99</v>
      </c>
      <c r="M51" s="3"/>
      <c r="N51" s="3">
        <f>IF($H51="","",M51*20%)</f>
      </c>
      <c r="O51" s="3">
        <v>1</v>
      </c>
      <c r="P51" s="3">
        <f>IF($H51="","",I51-J51-K51-L51-M51-N51-O51)</f>
      </c>
      <c r="Q51" s="3">
        <f>IF($H51="","",(P51-Y51)/G51*100)</f>
      </c>
      <c r="R51" s="3">
        <f>IF($H51="","",J51-N51)</f>
      </c>
      <c r="Z51" s="3">
        <f>IF($H51="","",P51-Y51)</f>
      </c>
    </row>
    <row r="52" spans="1:28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IF($H52="","",H52/100*11)</f>
      </c>
      <c r="L52" s="3">
        <v>8.99</v>
      </c>
      <c r="M52" s="3"/>
      <c r="N52" s="3">
        <f>IF($H52="","",M52*20%)</f>
      </c>
      <c r="O52" s="3">
        <v>1</v>
      </c>
      <c r="P52" s="3">
        <f>IF($H52="","",I52-J52-K52-L52-M52-N52-O52)</f>
      </c>
      <c r="Q52" s="3">
        <f>IF($H52="","",(P52-Y52)/G52*100)</f>
      </c>
      <c r="R52" s="3">
        <f>IF($H52="","",J52-N52)</f>
      </c>
      <c r="Z52" s="3">
        <f>IF($H52="","",P52-Y52)</f>
      </c>
    </row>
    <row r="53" spans="1:28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IF($H53="","",H53/100*11)</f>
      </c>
      <c r="L53" s="3">
        <v>8.99</v>
      </c>
      <c r="M53" s="3"/>
      <c r="N53" s="3">
        <f>IF($H53="","",M53*20%)</f>
      </c>
      <c r="O53" s="3">
        <v>1</v>
      </c>
      <c r="P53" s="3">
        <f>IF($H53="","",I53-J53-K53-L53-M53-N53-O53)</f>
      </c>
      <c r="Q53" s="3">
        <f>IF($H53="","",(P53-Y53)/G53*100)</f>
      </c>
      <c r="R53" s="3">
        <f>IF($H53="","",J53-N53)</f>
      </c>
      <c r="Z53" s="3">
        <f>IF($H53="","",P53-Y53)</f>
      </c>
    </row>
    <row r="54" spans="1:28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IF($H54="","",H54/100*11)</f>
      </c>
      <c r="L54" s="3">
        <v>8.99</v>
      </c>
      <c r="M54" s="3"/>
      <c r="N54" s="3">
        <f>IF($H54="","",M54*20%)</f>
      </c>
      <c r="O54" s="3">
        <v>1</v>
      </c>
      <c r="P54" s="3">
        <f>IF($H54="","",I54-J54-K54-L54-M54-N54-O54)</f>
      </c>
      <c r="Q54" s="3">
        <f>IF($H54="","",(P54-Y54)/G54*100)</f>
      </c>
      <c r="R54" s="3">
        <f>IF($H54="","",J54-N54)</f>
      </c>
      <c r="Z54" s="3">
        <f>IF($H54="","",P54-Y54)</f>
      </c>
    </row>
    <row r="55" spans="1:28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IF($H55="","",H55/100*11)</f>
      </c>
      <c r="L55" s="3">
        <v>8.99</v>
      </c>
      <c r="M55" s="3"/>
      <c r="N55" s="3">
        <f>IF($H55="","",M55*20%)</f>
      </c>
      <c r="O55" s="3">
        <v>1</v>
      </c>
      <c r="P55" s="3">
        <f>IF($H55="","",I55-J55-K55-L55-M55-N55-O55)</f>
      </c>
      <c r="Q55" s="3">
        <f>IF($H55="","",(P55-Y55)/G55*100)</f>
      </c>
      <c r="R55" s="3">
        <f>IF($H55="","",J55-N55)</f>
      </c>
      <c r="Z55" s="3">
        <f>IF($H55="","",P55-Y55)</f>
      </c>
    </row>
    <row r="56" spans="1:28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IF($H56="","",H56/100*11)</f>
      </c>
      <c r="L56" s="3">
        <v>8.99</v>
      </c>
      <c r="M56" s="3"/>
      <c r="N56" s="3">
        <f>IF($H56="","",M56*20%)</f>
      </c>
      <c r="O56" s="3">
        <v>1</v>
      </c>
      <c r="P56" s="3">
        <f>IF($H56="","",I56-J56-K56-L56-M56-N56-O56)</f>
      </c>
      <c r="Q56" s="3">
        <f>IF($H56="","",(P56-Y56)/G56*100)</f>
      </c>
      <c r="R56" s="3">
        <f>IF($H56="","",J56-N56)</f>
      </c>
      <c r="Z56" s="3">
        <f>IF($H56="","",P56-Y56)</f>
      </c>
    </row>
    <row r="57" spans="1:28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IF($H57="","",H57/100*11)</f>
      </c>
      <c r="L57" s="3">
        <v>8.99</v>
      </c>
      <c r="M57" s="3"/>
      <c r="N57" s="3">
        <f>IF($H57="","",M57*20%)</f>
      </c>
      <c r="O57" s="3">
        <v>1</v>
      </c>
      <c r="P57" s="3">
        <f>IF($H57="","",I57-J57-K57-L57-M57-N57-O57)</f>
      </c>
      <c r="Q57" s="3">
        <f>IF($H57="","",(P57-Y57)/G57*100)</f>
      </c>
      <c r="R57" s="3">
        <f>IF($H57="","",J57-N57)</f>
      </c>
      <c r="Z57" s="3">
        <f>IF($H57="","",P57-Y57)</f>
      </c>
    </row>
    <row r="58" spans="1:28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IF($H58="","",H58/100*11)</f>
      </c>
      <c r="L58" s="3">
        <v>8.99</v>
      </c>
      <c r="M58" s="3"/>
      <c r="N58" s="3">
        <f>IF($H58="","",M58*20%)</f>
      </c>
      <c r="O58" s="3">
        <v>1</v>
      </c>
      <c r="P58" s="3">
        <f>IF($H58="","",I58-J58-K58-L58-M58-N58-O58)</f>
      </c>
      <c r="Q58" s="3">
        <f>IF($H58="","",(P58-Y58)/G58*100)</f>
      </c>
      <c r="R58" s="3">
        <f>IF($H58="","",J58-N58)</f>
      </c>
      <c r="Z58" s="3">
        <f>IF($H58="","",P58-Y58)</f>
      </c>
    </row>
    <row r="59" spans="1:28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IF($H59="","",H59/100*11)</f>
      </c>
      <c r="L59" s="3">
        <v>8.99</v>
      </c>
      <c r="M59" s="3"/>
      <c r="N59" s="3">
        <f>IF($H59="","",M59*20%)</f>
      </c>
      <c r="O59" s="3">
        <v>1</v>
      </c>
      <c r="P59" s="3">
        <f>IF($H59="","",I59-J59-K59-L59-M59-N59-O59)</f>
      </c>
      <c r="Q59" s="3">
        <f>IF($H59="","",(P59-Y59)/G59*100)</f>
      </c>
      <c r="R59" s="3">
        <f>IF($H59="","",J59-N59)</f>
      </c>
      <c r="Z59" s="3">
        <f>IF($H59="","",P59-Y59)</f>
      </c>
    </row>
    <row r="60" spans="1:28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IF($H60="","",H60/100*11)</f>
      </c>
      <c r="L60" s="3">
        <v>8.99</v>
      </c>
      <c r="M60" s="3"/>
      <c r="N60" s="3">
        <f>IF($H60="","",M60*20%)</f>
      </c>
      <c r="O60" s="3">
        <v>1</v>
      </c>
      <c r="P60" s="3">
        <f>IF($H60="","",I60-J60-K60-L60-M60-N60-O60)</f>
      </c>
      <c r="Q60" s="3">
        <f>IF($H60="","",(P60-Y60)/G60*100)</f>
      </c>
      <c r="R60" s="3">
        <f>IF($H60="","",J60-N60)</f>
      </c>
      <c r="Z60" s="3">
        <f>IF($H60="","",P60-Y60)</f>
      </c>
    </row>
    <row r="61" spans="1:28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IF($H61="","",H61/100*11)</f>
      </c>
      <c r="L61" s="3">
        <v>8.99</v>
      </c>
      <c r="M61" s="3"/>
      <c r="N61" s="3">
        <f>IF($H61="","",M61*20%)</f>
      </c>
      <c r="O61" s="3">
        <v>1</v>
      </c>
      <c r="P61" s="3">
        <f>IF($H61="","",I61-J61-K61-L61-M61-N61-O61)</f>
      </c>
      <c r="Q61" s="3">
        <f>IF($H61="","",(P61-Y61)/G61*100)</f>
      </c>
      <c r="R61" s="3">
        <f>IF($H61="","",J61-N61)</f>
      </c>
      <c r="Z61" s="3">
        <f>IF($H61="","",P61-Y61)</f>
      </c>
    </row>
    <row r="62" spans="1:28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IF($H62="","",H62/100*11)</f>
      </c>
      <c r="L62" s="3">
        <v>8.99</v>
      </c>
      <c r="M62" s="3"/>
      <c r="N62" s="3">
        <f>IF($H62="","",M62*20%)</f>
      </c>
      <c r="O62" s="3">
        <v>1</v>
      </c>
      <c r="P62" s="3">
        <f>IF($H62="","",I62-J62-K62-L62-M62-N62-O62)</f>
      </c>
      <c r="Q62" s="3">
        <f>IF($H62="","",(P62-Y62)/G62*100)</f>
      </c>
      <c r="R62" s="3">
        <f>IF($H62="","",J62-N62)</f>
      </c>
      <c r="Z62" s="3">
        <f>IF($H62="","",P62-Y62)</f>
      </c>
    </row>
    <row r="63" spans="1:28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IF($H63="","",H63/100*11)</f>
      </c>
      <c r="L63" s="3">
        <v>8.99</v>
      </c>
      <c r="M63" s="3"/>
      <c r="N63" s="3">
        <f>IF($H63="","",M63*20%)</f>
      </c>
      <c r="O63" s="3">
        <v>1</v>
      </c>
      <c r="P63" s="3">
        <f>IF($H63="","",I63-J63-K63-L63-M63-N63-O63)</f>
      </c>
      <c r="Q63" s="3">
        <f>IF($H63="","",(P63-Y63)/G63*100)</f>
      </c>
      <c r="R63" s="3">
        <f>IF($H63="","",J63-N63)</f>
      </c>
      <c r="Z63" s="3">
        <f>IF($H63="","",P63-Y63)</f>
      </c>
    </row>
    <row r="64" spans="1:28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IF($H64="","",H64/100*11)</f>
      </c>
      <c r="L64" s="3">
        <v>8.99</v>
      </c>
      <c r="M64" s="3"/>
      <c r="N64" s="3">
        <f>IF($H64="","",M64*20%)</f>
      </c>
      <c r="O64" s="3">
        <v>1</v>
      </c>
      <c r="P64" s="3">
        <f>IF($H64="","",I64-J64-K64-L64-M64-N64-O64)</f>
      </c>
      <c r="Q64" s="3">
        <f>IF($H64="","",(P64-Y64)/G64*100)</f>
      </c>
      <c r="R64" s="3">
        <f>IF($H64="","",J64-N64)</f>
      </c>
      <c r="Z64" s="3">
        <f>IF($H64="","",P64-Y64)</f>
      </c>
    </row>
    <row r="65" spans="1:28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IF($H65="","",H65/100*11)</f>
      </c>
      <c r="L65" s="3">
        <v>8.99</v>
      </c>
      <c r="M65" s="3"/>
      <c r="N65" s="3">
        <f>IF($H65="","",M65*20%)</f>
      </c>
      <c r="O65" s="3">
        <v>1</v>
      </c>
      <c r="P65" s="3">
        <f>IF($H65="","",I65-J65-K65-L65-M65-N65-O65)</f>
      </c>
      <c r="Q65" s="3">
        <f>IF($H65="","",(P65-Y65)/G65*100)</f>
      </c>
      <c r="R65" s="3">
        <f>IF($H65="","",J65-N65)</f>
      </c>
      <c r="Z65" s="3">
        <f>IF($H65="","",P65-Y65)</f>
      </c>
    </row>
    <row r="66" spans="1:28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IF($H66="","",H66/100*11)</f>
      </c>
      <c r="L66" s="3">
        <v>8.99</v>
      </c>
      <c r="M66" s="3"/>
      <c r="N66" s="3">
        <f>IF($H66="","",M66*20%)</f>
      </c>
      <c r="O66" s="3">
        <v>1</v>
      </c>
      <c r="P66" s="3">
        <f>IF($H66="","",I66-J66-K66-L66-M66-N66-O66)</f>
      </c>
      <c r="Q66" s="3">
        <f>IF($H66="","",(P66-Y66)/G66*100)</f>
      </c>
      <c r="R66" s="3">
        <f>IF($H66="","",J66-N66)</f>
      </c>
      <c r="Z66" s="3">
        <f>IF($H66="","",P66-Y66)</f>
      </c>
    </row>
    <row r="67" spans="1:28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IF($H67="","",H67/100*11)</f>
      </c>
      <c r="L67" s="3">
        <v>8.99</v>
      </c>
      <c r="M67" s="3"/>
      <c r="N67" s="3">
        <f>IF($H67="","",M67*20%)</f>
      </c>
      <c r="O67" s="3">
        <v>1</v>
      </c>
      <c r="P67" s="3">
        <f>IF($H67="","",I67-J67-K67-L67-M67-N67-O67)</f>
      </c>
      <c r="Q67" s="3">
        <f>IF($H67="","",(P67-Y67)/G67*100)</f>
      </c>
      <c r="R67" s="3">
        <f>IF($H67="","",J67-N67)</f>
      </c>
      <c r="Z67" s="3">
        <f>IF($H67="","",P67-Y67)</f>
      </c>
    </row>
    <row r="68" spans="1:28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IF($H68="","",H68/100*11)</f>
      </c>
      <c r="L68" s="3">
        <v>8.99</v>
      </c>
      <c r="M68" s="3"/>
      <c r="N68" s="3">
        <f>IF($H68="","",M68*20%)</f>
      </c>
      <c r="O68" s="3">
        <v>1</v>
      </c>
      <c r="P68" s="3">
        <f>IF($H68="","",I68-J68-K68-L68-M68-N68-O68)</f>
      </c>
      <c r="Q68" s="3">
        <f>IF($H68="","",(P68-Y68)/G68*100)</f>
      </c>
      <c r="R68" s="3">
        <f>IF($H68="","",J68-N68)</f>
      </c>
      <c r="Z68" s="3">
        <f>IF($H68="","",P68-Y68)</f>
      </c>
    </row>
    <row r="69" spans="1:28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IF($H69="","",H69/100*11)</f>
      </c>
      <c r="L69" s="3">
        <v>8.99</v>
      </c>
      <c r="M69" s="3"/>
      <c r="N69" s="3">
        <f>IF($H69="","",M69*20%)</f>
      </c>
      <c r="O69" s="3">
        <v>1</v>
      </c>
      <c r="P69" s="3">
        <f>IF($H69="","",I69-J69-K69-L69-M69-N69-O69)</f>
      </c>
      <c r="Q69" s="3">
        <f>IF($H69="","",(P69-Y69)/G69*100)</f>
      </c>
      <c r="R69" s="3">
        <f>IF($H69="","",J69-N69)</f>
      </c>
      <c r="Z69" s="3">
        <f>IF($H69="","",P69-Y69)</f>
      </c>
    </row>
    <row r="70" spans="1:28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IF($H70="","",H70/100*11)</f>
      </c>
      <c r="L70" s="3">
        <v>8.99</v>
      </c>
      <c r="M70" s="3"/>
      <c r="N70" s="3">
        <f>IF($H70="","",M70*20%)</f>
      </c>
      <c r="O70" s="3">
        <v>1</v>
      </c>
      <c r="P70" s="3">
        <f>IF($H70="","",I70-J70-K70-L70-M70-N70-O70)</f>
      </c>
      <c r="Q70" s="3">
        <f>IF($H70="","",(P70-Y70)/G70*100)</f>
      </c>
      <c r="R70" s="3">
        <f>IF($H70="","",J70-N70)</f>
      </c>
      <c r="Z70" s="3">
        <f>IF($H70="","",P70-Y70)</f>
      </c>
    </row>
    <row r="71" spans="1:28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IF($H71="","",H71/100*11)</f>
      </c>
      <c r="L71" s="3">
        <v>8.99</v>
      </c>
      <c r="M71" s="3"/>
      <c r="N71" s="3">
        <f>IF($H71="","",M71*20%)</f>
      </c>
      <c r="O71" s="3">
        <v>1</v>
      </c>
      <c r="P71" s="3">
        <f>IF($H71="","",I71-J71-K71-L71-M71-N71-O71)</f>
      </c>
      <c r="Q71" s="3">
        <f>IF($H71="","",(P71-Y71)/G71*100)</f>
      </c>
      <c r="R71" s="3">
        <f>IF($H71="","",J71-N71)</f>
      </c>
      <c r="Z71" s="3">
        <f>IF($H71="","",P71-Y71)</f>
      </c>
    </row>
    <row r="72" spans="1:28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IF($H72="","",H72/100*11)</f>
      </c>
      <c r="L72" s="3">
        <v>8.99</v>
      </c>
      <c r="M72" s="3"/>
      <c r="N72" s="3">
        <f>IF($H72="","",M72*20%)</f>
      </c>
      <c r="O72" s="3">
        <v>1</v>
      </c>
      <c r="P72" s="3">
        <f>IF($H72="","",I72-J72-K72-L72-M72-N72-O72)</f>
      </c>
      <c r="Q72" s="3">
        <f>IF($H72="","",(P72-Y72)/G72*100)</f>
      </c>
      <c r="R72" s="3">
        <f>IF($H72="","",J72-N72)</f>
      </c>
      <c r="Z72" s="3">
        <f>IF($H72="","",P72-Y72)</f>
      </c>
    </row>
    <row r="73" spans="1:28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IF($H73="","",H73/100*11)</f>
      </c>
      <c r="L73" s="3">
        <v>8.99</v>
      </c>
      <c r="M73" s="3"/>
      <c r="N73" s="3">
        <f>IF($H73="","",M73*20%)</f>
      </c>
      <c r="O73" s="3">
        <v>1</v>
      </c>
      <c r="P73" s="3">
        <f>IF($H73="","",I73-J73-K73-L73-M73-N73-O73)</f>
      </c>
      <c r="Q73" s="3">
        <f>IF($H73="","",(P73-Y73)/G73*100)</f>
      </c>
      <c r="R73" s="3">
        <f>IF($H73="","",J73-N73)</f>
      </c>
      <c r="Z73" s="3">
        <f>IF($H73="","",P73-Y73)</f>
      </c>
    </row>
    <row r="74" spans="1:28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IF($H74="","",H74/100*11)</f>
      </c>
      <c r="L74" s="3">
        <v>8.99</v>
      </c>
      <c r="M74" s="3"/>
      <c r="N74" s="3">
        <f>IF($H74="","",M74*20%)</f>
      </c>
      <c r="O74" s="3">
        <v>1</v>
      </c>
      <c r="P74" s="3">
        <f>IF($H74="","",I74-J74-K74-L74-M74-N74-O74)</f>
      </c>
      <c r="Q74" s="3">
        <f>IF($H74="","",(P74-Y74)/G74*100)</f>
      </c>
      <c r="R74" s="3">
        <f>IF($H74="","",J74-N74)</f>
      </c>
      <c r="Z74" s="3">
        <f>IF($H74="","",P74-Y74)</f>
      </c>
    </row>
    <row r="75" spans="1:28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IF($H75="","",H75/100*11)</f>
      </c>
      <c r="L75" s="3">
        <v>8.99</v>
      </c>
      <c r="M75" s="3"/>
      <c r="N75" s="3">
        <f>IF($H75="","",M75*20%)</f>
      </c>
      <c r="O75" s="3">
        <v>1</v>
      </c>
      <c r="P75" s="3">
        <f>IF($H75="","",I75-J75-K75-L75-M75-N75-O75)</f>
      </c>
      <c r="Q75" s="3">
        <f>IF($H75="","",(P75-Y75)/G75*100)</f>
      </c>
      <c r="R75" s="3">
        <f>IF($H75="","",J75-N75)</f>
      </c>
      <c r="Z75" s="3">
        <f>IF($H75="","",P75-Y75)</f>
      </c>
    </row>
    <row r="76" spans="1:28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IF($H76="","",H76/100*11)</f>
      </c>
      <c r="L76" s="3">
        <v>8.99</v>
      </c>
      <c r="M76" s="3"/>
      <c r="N76" s="3">
        <f>IF($H76="","",M76*20%)</f>
      </c>
      <c r="O76" s="3">
        <v>1</v>
      </c>
      <c r="P76" s="3">
        <f>IF($H76="","",I76-J76-K76-L76-M76-N76-O76)</f>
      </c>
      <c r="Q76" s="3">
        <f>IF($H76="","",(P76-Y76)/G76*100)</f>
      </c>
      <c r="R76" s="3">
        <f>IF($H76="","",J76-N76)</f>
      </c>
      <c r="Z76" s="3">
        <f>IF($H76="","",P76-Y76)</f>
      </c>
    </row>
    <row r="77" spans="1:28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IF($H77="","",H77/100*11)</f>
      </c>
      <c r="L77" s="3">
        <v>8.99</v>
      </c>
      <c r="M77" s="3"/>
      <c r="N77" s="3">
        <f>IF($H77="","",M77*20%)</f>
      </c>
      <c r="O77" s="3">
        <v>1</v>
      </c>
      <c r="P77" s="3">
        <f>IF($H77="","",I77-J77-K77-L77-M77-N77-O77)</f>
      </c>
      <c r="Q77" s="3">
        <f>IF($H77="","",(P77-Y77)/G77*100)</f>
      </c>
      <c r="R77" s="3">
        <f>IF($H77="","",J77-N77)</f>
      </c>
      <c r="Z77" s="3">
        <f>IF($H77="","",P77-Y77)</f>
      </c>
    </row>
    <row r="78" spans="1:28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IF($H78="","",H78/100*11)</f>
      </c>
      <c r="L78" s="3">
        <v>8.99</v>
      </c>
      <c r="M78" s="3"/>
      <c r="N78" s="3">
        <f>IF($H78="","",M78*20%)</f>
      </c>
      <c r="O78" s="3">
        <v>1</v>
      </c>
      <c r="P78" s="3">
        <f>IF($H78="","",I78-J78-K78-L78-M78-N78-O78)</f>
      </c>
      <c r="Q78" s="3">
        <f>IF($H78="","",(P78-Y78)/G78*100)</f>
      </c>
      <c r="R78" s="3">
        <f>IF($H78="","",J78-N78)</f>
      </c>
      <c r="Z78" s="3">
        <f>IF($H78="","",P78-Y78)</f>
      </c>
    </row>
    <row r="79" spans="1:28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IF($H79="","",H79/100*11)</f>
      </c>
      <c r="L79" s="3">
        <v>8.99</v>
      </c>
      <c r="M79" s="3"/>
      <c r="N79" s="3">
        <f>IF($H79="","",M79*20%)</f>
      </c>
      <c r="O79" s="3">
        <v>1</v>
      </c>
      <c r="P79" s="3">
        <f>IF($H79="","",I79-J79-K79-L79-M79-N79-O79)</f>
      </c>
      <c r="Q79" s="3">
        <f>IF($H79="","",(P79-Y79)/G79*100)</f>
      </c>
      <c r="R79" s="3">
        <f>IF($H79="","",J79-N79)</f>
      </c>
      <c r="Z79" s="3">
        <f>IF($H79="","",P79-Y79)</f>
      </c>
    </row>
    <row r="80" spans="1:28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IF($H80="","",H80/100*11)</f>
      </c>
      <c r="L80" s="3">
        <v>8.99</v>
      </c>
      <c r="M80" s="3"/>
      <c r="N80" s="3">
        <f>IF($H80="","",M80*20%)</f>
      </c>
      <c r="O80" s="3">
        <v>1</v>
      </c>
      <c r="P80" s="3">
        <f>IF($H80="","",I80-J80-K80-L80-M80-N80-O80)</f>
      </c>
      <c r="Q80" s="3">
        <f>IF($H80="","",(P80-Y80)/G80*100)</f>
      </c>
      <c r="R80" s="3">
        <f>IF($H80="","",J80-N80)</f>
      </c>
      <c r="Z80" s="3">
        <f>IF($H80="","",P80-Y80)</f>
      </c>
    </row>
    <row r="81" spans="1:28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IF($H81="","",H81/100*11)</f>
      </c>
      <c r="L81" s="3">
        <v>8.99</v>
      </c>
      <c r="M81" s="3"/>
      <c r="N81" s="3">
        <f>IF($H81="","",M81*20%)</f>
      </c>
      <c r="O81" s="3">
        <v>1</v>
      </c>
      <c r="P81" s="3">
        <f>IF($H81="","",I81-J81-K81-L81-M81-N81-O81)</f>
      </c>
      <c r="Q81" s="3">
        <f>IF($H81="","",(P81-Y81)/G81*100)</f>
      </c>
      <c r="R81" s="3">
        <f>IF($H81="","",J81-N81)</f>
      </c>
      <c r="Z81" s="3">
        <f>IF($H81="","",P81-Y81)</f>
      </c>
    </row>
    <row r="82" spans="1:28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IF($H82="","",H82/100*11)</f>
      </c>
      <c r="L82" s="3">
        <v>8.99</v>
      </c>
      <c r="M82" s="3"/>
      <c r="N82" s="3">
        <f>IF($H82="","",M82*20%)</f>
      </c>
      <c r="O82" s="3">
        <v>1</v>
      </c>
      <c r="P82" s="3">
        <f>IF($H82="","",I82-J82-K82-L82-M82-N82-O82)</f>
      </c>
      <c r="Q82" s="3">
        <f>IF($H82="","",(P82-Y82)/G82*100)</f>
      </c>
      <c r="R82" s="3">
        <f>IF($H82="","",J82-N82)</f>
      </c>
      <c r="Z82" s="3">
        <f>IF($H82="","",P82-Y82)</f>
      </c>
    </row>
    <row r="83" spans="1:28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IF($H83="","",H83/100*11)</f>
      </c>
      <c r="L83" s="3">
        <v>8.99</v>
      </c>
      <c r="M83" s="3"/>
      <c r="N83" s="3">
        <f>IF($H83="","",M83*20%)</f>
      </c>
      <c r="O83" s="3">
        <v>1</v>
      </c>
      <c r="P83" s="3">
        <f>IF($H83="","",I83-J83-K83-L83-M83-N83-O83)</f>
      </c>
      <c r="Q83" s="3">
        <f>IF($H83="","",(P83-Y83)/G83*100)</f>
      </c>
      <c r="R83" s="3">
        <f>IF($H83="","",J83-N83)</f>
      </c>
      <c r="Z83" s="3">
        <f>IF($H83="","",P83-Y83)</f>
      </c>
    </row>
    <row r="84" spans="1:28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IF($H84="","",H84/100*11)</f>
      </c>
      <c r="L84" s="3">
        <v>8.99</v>
      </c>
      <c r="M84" s="3"/>
      <c r="N84" s="3">
        <f>IF($H84="","",M84*20%)</f>
      </c>
      <c r="O84" s="3">
        <v>1</v>
      </c>
      <c r="P84" s="3">
        <f>IF($H84="","",I84-J84-K84-L84-M84-N84-O84)</f>
      </c>
      <c r="Q84" s="3">
        <f>IF($H84="","",(P84-Y84)/G84*100)</f>
      </c>
      <c r="R84" s="3">
        <f>IF($H84="","",J84-N84)</f>
      </c>
      <c r="Z84" s="3">
        <f>IF($H84="","",P84-Y84)</f>
      </c>
    </row>
    <row r="85" spans="1:28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IF($H85="","",H85/100*11)</f>
      </c>
      <c r="L85" s="3">
        <v>8.99</v>
      </c>
      <c r="M85" s="3"/>
      <c r="N85" s="3">
        <f>IF($H85="","",M85*20%)</f>
      </c>
      <c r="O85" s="3">
        <v>1</v>
      </c>
      <c r="P85" s="3">
        <f>IF($H85="","",I85-J85-K85-L85-M85-N85-O85)</f>
      </c>
      <c r="Q85" s="3">
        <f>IF($H85="","",(P85-Y85)/G85*100)</f>
      </c>
      <c r="R85" s="3">
        <f>IF($H85="","",J85-N85)</f>
      </c>
      <c r="Z85" s="3">
        <f>IF($H85="","",P85-Y85)</f>
      </c>
    </row>
    <row r="86" spans="1:28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IF($H86="","",H86/100*11)</f>
      </c>
      <c r="L86" s="3">
        <v>8.99</v>
      </c>
      <c r="M86" s="3"/>
      <c r="N86" s="3">
        <f>IF($H86="","",M86*20%)</f>
      </c>
      <c r="O86" s="3">
        <v>1</v>
      </c>
      <c r="P86" s="3">
        <f>IF($H86="","",I86-J86-K86-L86-M86-N86-O86)</f>
      </c>
      <c r="Q86" s="3">
        <f>IF($H86="","",(P86-Y86)/G86*100)</f>
      </c>
      <c r="R86" s="3">
        <f>IF($H86="","",J86-N86)</f>
      </c>
      <c r="Z86" s="3">
        <f>IF($H86="","",P86-Y86)</f>
      </c>
    </row>
    <row r="87" spans="1:28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IF($H87="","",H87/100*11)</f>
      </c>
      <c r="L87" s="3">
        <v>8.99</v>
      </c>
      <c r="M87" s="3"/>
      <c r="N87" s="3">
        <f>IF($H87="","",M87*20%)</f>
      </c>
      <c r="O87" s="3">
        <v>1</v>
      </c>
      <c r="P87" s="3">
        <f>IF($H87="","",I87-J87-K87-L87-M87-N87-O87)</f>
      </c>
      <c r="Q87" s="3">
        <f>IF($H87="","",(P87-Y87)/G87*100)</f>
      </c>
      <c r="R87" s="3">
        <f>IF($H87="","",J87-N87)</f>
      </c>
      <c r="Z87" s="3">
        <f>IF($H87="","",P87-Y87)</f>
      </c>
    </row>
    <row r="88" spans="1:28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IF($H88="","",H88/100*11)</f>
      </c>
      <c r="L88" s="3">
        <v>8.99</v>
      </c>
      <c r="M88" s="3"/>
      <c r="N88" s="3">
        <f>IF($H88="","",M88*20%)</f>
      </c>
      <c r="O88" s="3">
        <v>1</v>
      </c>
      <c r="P88" s="3">
        <f>IF($H88="","",I88-J88-K88-L88-M88-N88-O88)</f>
      </c>
      <c r="Q88" s="3">
        <f>IF($H88="","",(P88-Y88)/G88*100)</f>
      </c>
      <c r="R88" s="3">
        <f>IF($H88="","",J88-N88)</f>
      </c>
      <c r="Z88" s="3">
        <f>IF($H88="","",P88-Y88)</f>
      </c>
    </row>
    <row r="89" spans="1:28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IF($H89="","",H89/100*11)</f>
      </c>
      <c r="L89" s="3">
        <v>8.99</v>
      </c>
      <c r="M89" s="3"/>
      <c r="N89" s="3">
        <f>IF($H89="","",M89*20%)</f>
      </c>
      <c r="O89" s="3">
        <v>1</v>
      </c>
      <c r="P89" s="3">
        <f>IF($H89="","",I89-J89-K89-L89-M89-N89-O89)</f>
      </c>
      <c r="Q89" s="3">
        <f>IF($H89="","",(P89-Y89)/G89*100)</f>
      </c>
      <c r="R89" s="3">
        <f>IF($H89="","",J89-N89)</f>
      </c>
      <c r="Z89" s="3">
        <f>IF($H89="","",P89-Y89)</f>
      </c>
    </row>
    <row r="90" spans="1:28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IF($H90="","",H90/100*11)</f>
      </c>
      <c r="L90" s="3">
        <v>8.99</v>
      </c>
      <c r="M90" s="3"/>
      <c r="N90" s="3">
        <f>IF($H90="","",M90*20%)</f>
      </c>
      <c r="O90" s="3">
        <v>1</v>
      </c>
      <c r="P90" s="3">
        <f>IF($H90="","",I90-J90-K90-L90-M90-N90-O90)</f>
      </c>
      <c r="Q90" s="3">
        <f>IF($H90="","",(P90-Y90)/G90*100)</f>
      </c>
      <c r="R90" s="3">
        <f>IF($H90="","",J90-N90)</f>
      </c>
      <c r="Z90" s="3">
        <f>IF($H90="","",P90-Y90)</f>
      </c>
    </row>
    <row r="91" spans="1:28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IF($H91="","",H91/100*11)</f>
      </c>
      <c r="L91" s="3">
        <v>8.99</v>
      </c>
      <c r="M91" s="3"/>
      <c r="N91" s="3">
        <f>IF($H91="","",M91*20%)</f>
      </c>
      <c r="O91" s="3">
        <v>1</v>
      </c>
      <c r="P91" s="3">
        <f>IF($H91="","",I91-J91-K91-L91-M91-N91-O91)</f>
      </c>
      <c r="Q91" s="3">
        <f>IF($H91="","",(P91-Y91)/G91*100)</f>
      </c>
      <c r="R91" s="3">
        <f>IF($H91="","",J91-N91)</f>
      </c>
      <c r="Z91" s="3">
        <f>IF($H91="","",P91-Y91)</f>
      </c>
    </row>
    <row r="92" spans="1:28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IF($H92="","",H92/100*11)</f>
      </c>
      <c r="L92" s="3">
        <v>8.99</v>
      </c>
      <c r="M92" s="3"/>
      <c r="N92" s="3">
        <f>IF($H92="","",M92*20%)</f>
      </c>
      <c r="O92" s="3">
        <v>1</v>
      </c>
      <c r="P92" s="3">
        <f>IF($H92="","",I92-J92-K92-L92-M92-N92-O92)</f>
      </c>
      <c r="Q92" s="3">
        <f>IF($H92="","",(P92-Y92)/G92*100)</f>
      </c>
      <c r="R92" s="3">
        <f>IF($H92="","",J92-N92)</f>
      </c>
      <c r="Z92" s="3">
        <f>IF($H92="","",P92-Y92)</f>
      </c>
    </row>
    <row r="93" spans="1:28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IF($H93="","",H93/100*11)</f>
      </c>
      <c r="L93" s="3">
        <v>8.99</v>
      </c>
      <c r="M93" s="3"/>
      <c r="N93" s="3">
        <f>IF($H93="","",M93*20%)</f>
      </c>
      <c r="O93" s="3">
        <v>1</v>
      </c>
      <c r="P93" s="3">
        <f>IF($H93="","",I93-J93-K93-L93-M93-N93-O93)</f>
      </c>
      <c r="Q93" s="3">
        <f>IF($H93="","",(P93-Y93)/G93*100)</f>
      </c>
      <c r="R93" s="3">
        <f>IF($H93="","",J93-N93)</f>
      </c>
      <c r="Z93" s="3">
        <f>IF($H93="","",P93-Y93)</f>
      </c>
    </row>
    <row r="94" spans="1:28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IF($H94="","",H94/100*11)</f>
      </c>
      <c r="L94" s="3">
        <v>8.99</v>
      </c>
      <c r="M94" s="3"/>
      <c r="N94" s="3">
        <f>IF($H94="","",M94*20%)</f>
      </c>
      <c r="O94" s="3">
        <v>1</v>
      </c>
      <c r="P94" s="3">
        <f>IF($H94="","",I94-J94-K94-L94-M94-N94-O94)</f>
      </c>
      <c r="Q94" s="3">
        <f>IF($H94="","",(P94-Y94)/G94*100)</f>
      </c>
      <c r="R94" s="3">
        <f>IF($H94="","",J94-N94)</f>
      </c>
      <c r="Z94" s="3">
        <f>IF($H94="","",P94-Y94)</f>
      </c>
    </row>
    <row r="95" spans="1:28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IF($H95="","",H95/100*11)</f>
      </c>
      <c r="L95" s="3">
        <v>8.99</v>
      </c>
      <c r="M95" s="3"/>
      <c r="N95" s="3">
        <f>IF($H95="","",M95*20%)</f>
      </c>
      <c r="O95" s="3">
        <v>1</v>
      </c>
      <c r="P95" s="3">
        <f>IF($H95="","",I95-J95-K95-L95-M95-N95-O95)</f>
      </c>
      <c r="Q95" s="3">
        <f>IF($H95="","",(P95-Y95)/G95*100)</f>
      </c>
      <c r="R95" s="3">
        <f>IF($H95="","",J95-N95)</f>
      </c>
      <c r="Z95" s="3">
        <f>IF($H95="","",P95-Y95)</f>
      </c>
    </row>
    <row r="96" spans="1:28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IF($H96="","",H96/100*11)</f>
      </c>
      <c r="L96" s="3">
        <v>8.99</v>
      </c>
      <c r="M96" s="3"/>
      <c r="N96" s="3">
        <f>IF($H96="","",M96*20%)</f>
      </c>
      <c r="O96" s="3">
        <v>1</v>
      </c>
      <c r="P96" s="3">
        <f>IF($H96="","",I96-J96-K96-L96-M96-N96-O96)</f>
      </c>
      <c r="Q96" s="3">
        <f>IF($H96="","",(P96-Y96)/G96*100)</f>
      </c>
      <c r="R96" s="3">
        <f>IF($H96="","",J96-N96)</f>
      </c>
      <c r="Z96" s="3">
        <f>IF($H96="","",P96-Y96)</f>
      </c>
    </row>
    <row r="97" spans="1:28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IF($H97="","",H97/100*11)</f>
      </c>
      <c r="L97" s="3">
        <v>8.99</v>
      </c>
      <c r="M97" s="3"/>
      <c r="N97" s="3">
        <f>IF($H97="","",M97*20%)</f>
      </c>
      <c r="O97" s="3">
        <v>1</v>
      </c>
      <c r="P97" s="3">
        <f>IF($H97="","",I97-J97-K97-L97-M97-N97-O97)</f>
      </c>
      <c r="Q97" s="3">
        <f>IF($H97="","",(P97-Y97)/G97*100)</f>
      </c>
      <c r="R97" s="3">
        <f>IF($H97="","",J97-N97)</f>
      </c>
      <c r="Z97" s="3">
        <f>IF($H97="","",P97-Y97)</f>
      </c>
    </row>
    <row r="98" spans="1:28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IF($H98="","",H98/100*11)</f>
      </c>
      <c r="L98" s="3">
        <v>8.99</v>
      </c>
      <c r="M98" s="3"/>
      <c r="N98" s="3">
        <f>IF($H98="","",M98*20%)</f>
      </c>
      <c r="O98" s="3">
        <v>1</v>
      </c>
      <c r="P98" s="3">
        <f>IF($H98="","",I98-J98-K98-L98-M98-N98-O98)</f>
      </c>
      <c r="Q98" s="3">
        <f>IF($H98="","",(P98-Y98)/G98*100)</f>
      </c>
      <c r="R98" s="3">
        <f>IF($H98="","",J98-N98)</f>
      </c>
      <c r="Z98" s="3">
        <f>IF($H98="","",P98-Y98)</f>
      </c>
    </row>
    <row r="99" spans="1:28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IF($H99="","",H99/100*11)</f>
      </c>
      <c r="L99" s="3">
        <v>8.99</v>
      </c>
      <c r="M99" s="3"/>
      <c r="N99" s="3">
        <f>IF($H99="","",M99*20%)</f>
      </c>
      <c r="O99" s="3">
        <v>1</v>
      </c>
      <c r="P99" s="3">
        <f>IF($H99="","",I99-J99-K99-L99-M99-N99-O99)</f>
      </c>
      <c r="Q99" s="3">
        <f>IF($H99="","",(P99-Y99)/G99*100)</f>
      </c>
      <c r="R99" s="3">
        <f>IF($H99="","",J99-N99)</f>
      </c>
      <c r="Z99" s="3">
        <f>IF($H99="","",P99-Y99)</f>
      </c>
    </row>
    <row r="100" spans="1:28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IF($H100="","",H100/100*11)</f>
      </c>
      <c r="L100" s="3">
        <v>8.99</v>
      </c>
      <c r="M100" s="3"/>
      <c r="N100" s="3">
        <f>IF($H100="","",M100*20%)</f>
      </c>
      <c r="O100" s="3">
        <v>1</v>
      </c>
      <c r="P100" s="3">
        <f>IF($H100="","",I100-J100-K100-L100-M100-N100-O100)</f>
      </c>
      <c r="Q100" s="3">
        <f>IF($H100="","",(P100-Y100)/G100*100)</f>
      </c>
      <c r="R100" s="3">
        <f>IF($H100="","",J100-N100)</f>
      </c>
      <c r="Z100" s="3">
        <f>IF($H100="","",P100-Y100)</f>
      </c>
    </row>
    <row r="101" spans="1:28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IF($H101="","",H101/100*11)</f>
      </c>
      <c r="L101" s="3">
        <v>8.99</v>
      </c>
      <c r="M101" s="3"/>
      <c r="N101" s="3">
        <f>IF($H101="","",M101*20%)</f>
      </c>
      <c r="O101" s="3">
        <v>1</v>
      </c>
      <c r="P101" s="3">
        <f>IF($H101="","",I101-J101-K101-L101-M101-N101-O101)</f>
      </c>
      <c r="Q101" s="3">
        <f>IF($H101="","",(P101-Y101)/G101*100)</f>
      </c>
      <c r="R101" s="3">
        <f>IF($H101="","",J101-N101)</f>
      </c>
      <c r="Z101" s="3">
        <f>IF($H101="","",P101-Y101)</f>
      </c>
    </row>
    <row r="102" spans="1:28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IF($H102="","",H102/100*11)</f>
      </c>
      <c r="L102" s="3">
        <v>8.99</v>
      </c>
      <c r="M102" s="3"/>
      <c r="N102" s="3">
        <f>IF($H102="","",M102*20%)</f>
      </c>
      <c r="O102" s="3">
        <v>1</v>
      </c>
      <c r="P102" s="3">
        <f>IF($H102="","",I102-J102-K102-L102-M102-N102-O102)</f>
      </c>
      <c r="Q102" s="3">
        <f>IF($H102="","",(P102-Y102)/G102*100)</f>
      </c>
      <c r="R102" s="3">
        <f>IF($H102="","",J102-N102)</f>
      </c>
      <c r="Z102" s="3">
        <f>IF($H102="","",P102-Y102)</f>
      </c>
    </row>
    <row r="103" spans="1:28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IF($H103="","",H103/100*11)</f>
      </c>
      <c r="L103" s="3">
        <v>8.99</v>
      </c>
      <c r="M103" s="3"/>
      <c r="N103" s="3">
        <f>IF($H103="","",M103*20%)</f>
      </c>
      <c r="O103" s="3">
        <v>1</v>
      </c>
      <c r="P103" s="3">
        <f>IF($H103="","",I103-J103-K103-L103-M103-N103-O103)</f>
      </c>
      <c r="Q103" s="3">
        <f>IF($H103="","",(P103-Y103)/G103*100)</f>
      </c>
      <c r="R103" s="3">
        <f>IF($H103="","",J103-N103)</f>
      </c>
      <c r="Z103" s="3">
        <f>IF($H103="","",P103-Y103)</f>
      </c>
    </row>
    <row r="104" spans="1:28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IF($H104="","",H104/100*11)</f>
      </c>
      <c r="L104" s="3">
        <v>8.99</v>
      </c>
      <c r="M104" s="3"/>
      <c r="N104" s="3">
        <f>IF($H104="","",M104*20%)</f>
      </c>
      <c r="O104" s="3">
        <v>1</v>
      </c>
      <c r="P104" s="3">
        <f>IF($H104="","",I104-J104-K104-L104-M104-N104-O104)</f>
      </c>
      <c r="Q104" s="3">
        <f>IF($H104="","",(P104-Y104)/G104*100)</f>
      </c>
      <c r="R104" s="3">
        <f>IF($H104="","",J104-N104)</f>
      </c>
      <c r="Z104" s="3">
        <f>IF($H104="","",P104-Y104)</f>
      </c>
    </row>
    <row r="105" spans="1:28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IF($H105="","",H105/100*11)</f>
      </c>
      <c r="L105" s="3">
        <v>8.99</v>
      </c>
      <c r="M105" s="3"/>
      <c r="N105" s="3">
        <f>IF($H105="","",M105*20%)</f>
      </c>
      <c r="O105" s="3">
        <v>1</v>
      </c>
      <c r="P105" s="3">
        <f>IF($H105="","",I105-J105-K105-L105-M105-N105-O105)</f>
      </c>
      <c r="Q105" s="3">
        <f>IF($H105="","",(P105-Y105)/G105*100)</f>
      </c>
      <c r="R105" s="3">
        <f>IF($H105="","",J105-N105)</f>
      </c>
      <c r="Z105" s="3">
        <f>IF($H105="","",P105-Y105)</f>
      </c>
    </row>
    <row r="106" spans="1:28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IF($H106="","",H106/100*11)</f>
      </c>
      <c r="L106" s="3">
        <v>8.99</v>
      </c>
      <c r="M106" s="3"/>
      <c r="N106" s="3">
        <f>IF($H106="","",M106*20%)</f>
      </c>
      <c r="O106" s="3">
        <v>1</v>
      </c>
      <c r="P106" s="3">
        <f>IF($H106="","",I106-J106-K106-L106-M106-N106-O106)</f>
      </c>
      <c r="Q106" s="3">
        <f>IF($H106="","",(P106-Y106)/G106*100)</f>
      </c>
      <c r="R106" s="3">
        <f>IF($H106="","",J106-N106)</f>
      </c>
      <c r="Z106" s="3">
        <f>IF($H106="","",P106-Y106)</f>
      </c>
    </row>
    <row r="107" spans="1:28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IF($H107="","",H107/100*11)</f>
      </c>
      <c r="L107" s="3">
        <v>8.99</v>
      </c>
      <c r="M107" s="3"/>
      <c r="N107" s="3">
        <f>IF($H107="","",M107*20%)</f>
      </c>
      <c r="O107" s="3">
        <v>1</v>
      </c>
      <c r="P107" s="3">
        <f>IF($H107="","",I107-J107-K107-L107-M107-N107-O107)</f>
      </c>
      <c r="Q107" s="3">
        <f>IF($H107="","",(P107-Y107)/G107*100)</f>
      </c>
      <c r="R107" s="3">
        <f>IF($H107="","",J107-N107)</f>
      </c>
      <c r="Z107" s="3">
        <f>IF($H107="","",P107-Y107)</f>
      </c>
    </row>
    <row r="108" spans="1:28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IF($H108="","",H108/100*11)</f>
      </c>
      <c r="L108" s="3">
        <v>8.99</v>
      </c>
      <c r="M108" s="3"/>
      <c r="N108" s="3">
        <f>IF($H108="","",M108*20%)</f>
      </c>
      <c r="O108" s="3">
        <v>1</v>
      </c>
      <c r="P108" s="3">
        <f>IF($H108="","",I108-J108-K108-L108-M108-N108-O108)</f>
      </c>
      <c r="Q108" s="3">
        <f>IF($H108="","",(P108-Y108)/G108*100)</f>
      </c>
      <c r="R108" s="3">
        <f>IF($H108="","",J108-N108)</f>
      </c>
      <c r="Z108" s="3">
        <f>IF($H108="","",P108-Y108)</f>
      </c>
    </row>
    <row r="109" spans="1:28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IF($H109="","",H109/100*11)</f>
      </c>
      <c r="L109" s="3">
        <v>8.99</v>
      </c>
      <c r="M109" s="3"/>
      <c r="N109" s="3">
        <f>IF($H109="","",M109*20%)</f>
      </c>
      <c r="O109" s="3">
        <v>1</v>
      </c>
      <c r="P109" s="3">
        <f>IF($H109="","",I109-J109-K109-L109-M109-N109-O109)</f>
      </c>
      <c r="Q109" s="3">
        <f>IF($H109="","",(P109-Y109)/G109*100)</f>
      </c>
      <c r="R109" s="3">
        <f>IF($H109="","",J109-N109)</f>
      </c>
      <c r="Z109" s="3">
        <f>IF($H109="","",P109-Y109)</f>
      </c>
    </row>
    <row r="110" spans="1:28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IF($H110="","",H110/100*11)</f>
      </c>
      <c r="L110" s="3">
        <v>8.99</v>
      </c>
      <c r="M110" s="3"/>
      <c r="N110" s="3">
        <f>IF($H110="","",M110*20%)</f>
      </c>
      <c r="O110" s="3">
        <v>1</v>
      </c>
      <c r="P110" s="3">
        <f>IF($H110="","",I110-J110-K110-L110-M110-N110-O110)</f>
      </c>
      <c r="Q110" s="3">
        <f>IF($H110="","",(P110-Y110)/G110*100)</f>
      </c>
      <c r="R110" s="3">
        <f>IF($H110="","",J110-N110)</f>
      </c>
      <c r="Z110" s="3">
        <f>IF($H110="","",P110-Y110)</f>
      </c>
    </row>
    <row r="111" spans="1:28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IF($H111="","",H111/100*11)</f>
      </c>
      <c r="L111" s="3">
        <v>8.99</v>
      </c>
      <c r="M111" s="3"/>
      <c r="N111" s="3">
        <f>IF($H111="","",M111*20%)</f>
      </c>
      <c r="O111" s="3">
        <v>1</v>
      </c>
      <c r="P111" s="3">
        <f>IF($H111="","",I111-J111-K111-L111-M111-N111-O111)</f>
      </c>
      <c r="Q111" s="3">
        <f>IF($H111="","",(P111-Y111)/G111*100)</f>
      </c>
      <c r="R111" s="3">
        <f>IF($H111="","",J111-N111)</f>
      </c>
      <c r="Z111" s="3">
        <f>IF($H111="","",P111-Y111)</f>
      </c>
    </row>
    <row r="112" spans="1:28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IF($H112="","",H112/100*11)</f>
      </c>
      <c r="L112" s="3">
        <v>8.99</v>
      </c>
      <c r="M112" s="3"/>
      <c r="N112" s="3">
        <f>IF($H112="","",M112*20%)</f>
      </c>
      <c r="O112" s="3">
        <v>1</v>
      </c>
      <c r="P112" s="3">
        <f>IF($H112="","",I112-J112-K112-L112-M112-N112-O112)</f>
      </c>
      <c r="Q112" s="3">
        <f>IF($H112="","",(P112-Y112)/G112*100)</f>
      </c>
      <c r="R112" s="3">
        <f>IF($H112="","",J112-N112)</f>
      </c>
      <c r="Z112" s="3">
        <f>IF($H112="","",P112-Y112)</f>
      </c>
    </row>
    <row r="113" spans="1:28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IF($H113="","",H113/100*11)</f>
      </c>
      <c r="L113" s="3">
        <v>8.99</v>
      </c>
      <c r="M113" s="3"/>
      <c r="N113" s="3">
        <f>IF($H113="","",M113*20%)</f>
      </c>
      <c r="O113" s="3">
        <v>1</v>
      </c>
      <c r="P113" s="3">
        <f>IF($H113="","",I113-J113-K113-L113-M113-N113-O113)</f>
      </c>
      <c r="Q113" s="3">
        <f>IF($H113="","",(P113-Y113)/G113*100)</f>
      </c>
      <c r="R113" s="3">
        <f>IF($H113="","",J113-N113)</f>
      </c>
      <c r="Z113" s="3">
        <f>IF($H113="","",P113-Y113)</f>
      </c>
    </row>
    <row r="114" spans="1:28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IF($H114="","",H114/100*11)</f>
      </c>
      <c r="L114" s="3">
        <v>8.99</v>
      </c>
      <c r="M114" s="3"/>
      <c r="N114" s="3">
        <f>IF($H114="","",M114*20%)</f>
      </c>
      <c r="O114" s="3">
        <v>1</v>
      </c>
      <c r="P114" s="3">
        <f>IF($H114="","",I114-J114-K114-L114-M114-N114-O114)</f>
      </c>
      <c r="Q114" s="3">
        <f>IF($H114="","",(P114-Y114)/G114*100)</f>
      </c>
      <c r="R114" s="3">
        <f>IF($H114="","",J114-N114)</f>
      </c>
      <c r="Z114" s="3">
        <f>IF($H114="","",P114-Y114)</f>
      </c>
    </row>
    <row r="115" spans="1:28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IF($H115="","",H115/100*11)</f>
      </c>
      <c r="L115" s="3">
        <v>8.99</v>
      </c>
      <c r="M115" s="3"/>
      <c r="N115" s="3">
        <f>IF($H115="","",M115*20%)</f>
      </c>
      <c r="O115" s="3">
        <v>1</v>
      </c>
      <c r="P115" s="3">
        <f>IF($H115="","",I115-J115-K115-L115-M115-N115-O115)</f>
      </c>
      <c r="Q115" s="3">
        <f>IF($H115="","",(P115-Y115)/G115*100)</f>
      </c>
      <c r="R115" s="3">
        <f>IF($H115="","",J115-N115)</f>
      </c>
      <c r="Z115" s="3">
        <f>IF($H115="","",P115-Y115)</f>
      </c>
    </row>
    <row r="116" spans="1:28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IF($H116="","",H116/100*11)</f>
      </c>
      <c r="L116" s="3">
        <v>8.99</v>
      </c>
      <c r="M116" s="3"/>
      <c r="N116" s="3">
        <f>IF($H116="","",M116*20%)</f>
      </c>
      <c r="O116" s="3">
        <v>1</v>
      </c>
      <c r="P116" s="3">
        <f>IF($H116="","",I116-J116-K116-L116-M116-N116-O116)</f>
      </c>
      <c r="Q116" s="3">
        <f>IF($H116="","",(P116-Y116)/G116*100)</f>
      </c>
      <c r="R116" s="3">
        <f>IF($H116="","",J116-N116)</f>
      </c>
      <c r="Z116" s="3">
        <f>IF($H116="","",P116-Y116)</f>
      </c>
    </row>
    <row r="117" spans="1:28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IF($H117="","",H117/100*11)</f>
      </c>
      <c r="L117" s="3">
        <v>8.99</v>
      </c>
      <c r="M117" s="3"/>
      <c r="N117" s="3">
        <f>IF($H117="","",M117*20%)</f>
      </c>
      <c r="O117" s="3">
        <v>1</v>
      </c>
      <c r="P117" s="3">
        <f>IF($H117="","",I117-J117-K117-L117-M117-N117-O117)</f>
      </c>
      <c r="Q117" s="3">
        <f>IF($H117="","",(P117-Y117)/G117*100)</f>
      </c>
      <c r="R117" s="3">
        <f>IF($H117="","",J117-N117)</f>
      </c>
      <c r="Z117" s="3">
        <f>IF($H117="","",P117-Y117)</f>
      </c>
    </row>
    <row r="118" spans="1:28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IF($H118="","",H118/100*11)</f>
      </c>
      <c r="L118" s="3">
        <v>8.99</v>
      </c>
      <c r="M118" s="3"/>
      <c r="N118" s="3">
        <f>IF($H118="","",M118*20%)</f>
      </c>
      <c r="O118" s="3">
        <v>1</v>
      </c>
      <c r="P118" s="3">
        <f>IF($H118="","",I118-J118-K118-L118-M118-N118-O118)</f>
      </c>
      <c r="Q118" s="3">
        <f>IF($H118="","",(P118-Y118)/G118*100)</f>
      </c>
      <c r="R118" s="3">
        <f>IF($H118="","",J118-N118)</f>
      </c>
      <c r="Z118" s="3">
        <f>IF($H118="","",P118-Y118)</f>
      </c>
    </row>
    <row r="119" spans="1:28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IF($H119="","",H119/100*11)</f>
      </c>
      <c r="L119" s="3">
        <v>8.99</v>
      </c>
      <c r="M119" s="3"/>
      <c r="N119" s="3">
        <f>IF($H119="","",M119*20%)</f>
      </c>
      <c r="O119" s="3">
        <v>1</v>
      </c>
      <c r="P119" s="3">
        <f>IF($H119="","",I119-J119-K119-L119-M119-N119-O119)</f>
      </c>
      <c r="Q119" s="3">
        <f>IF($H119="","",(P119-Y119)/G119*100)</f>
      </c>
      <c r="R119" s="3">
        <f>IF($H119="","",J119-N119)</f>
      </c>
      <c r="Z119" s="3">
        <f>IF($H119="","",P119-Y119)</f>
      </c>
    </row>
    <row r="120" spans="1:28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IF($H120="","",H120/100*11)</f>
      </c>
      <c r="L120" s="3">
        <v>8.99</v>
      </c>
      <c r="M120" s="3"/>
      <c r="N120" s="3">
        <f>IF($H120="","",M120*20%)</f>
      </c>
      <c r="O120" s="3">
        <v>1</v>
      </c>
      <c r="P120" s="3">
        <f>IF($H120="","",I120-J120-K120-L120-M120-N120-O120)</f>
      </c>
      <c r="Q120" s="3">
        <f>IF($H120="","",(P120-Y120)/G120*100)</f>
      </c>
      <c r="R120" s="3">
        <f>IF($H120="","",J120-N120)</f>
      </c>
      <c r="Z120" s="3">
        <f>IF($H120="","",P120-Y120)</f>
      </c>
    </row>
    <row r="121" spans="1:28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IF($H121="","",H121/100*11)</f>
      </c>
      <c r="L121" s="3">
        <v>8.99</v>
      </c>
      <c r="M121" s="3"/>
      <c r="N121" s="3">
        <f>IF($H121="","",M121*20%)</f>
      </c>
      <c r="O121" s="3">
        <v>1</v>
      </c>
      <c r="P121" s="3">
        <f>IF($H121="","",I121-J121-K121-L121-M121-N121-O121)</f>
      </c>
      <c r="Q121" s="3">
        <f>IF($H121="","",(P121-Y121)/G121*100)</f>
      </c>
      <c r="R121" s="3">
        <f>IF($H121="","",J121-N121)</f>
      </c>
      <c r="Z121" s="3">
        <f>IF($H121="","",P121-Y121)</f>
      </c>
    </row>
    <row r="122" spans="1:28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IF($H122="","",H122/100*11)</f>
      </c>
      <c r="L122" s="3">
        <v>8.99</v>
      </c>
      <c r="M122" s="3"/>
      <c r="N122" s="3">
        <f>IF($H122="","",M122*20%)</f>
      </c>
      <c r="O122" s="3">
        <v>1</v>
      </c>
      <c r="P122" s="3">
        <f>IF($H122="","",I122-J122-K122-L122-M122-N122-O122)</f>
      </c>
      <c r="Q122" s="3">
        <f>IF($H122="","",(P122-Y122)/G122*100)</f>
      </c>
      <c r="R122" s="3">
        <f>IF($H122="","",J122-N122)</f>
      </c>
      <c r="Z122" s="3">
        <f>IF($H122="","",P122-Y122)</f>
      </c>
    </row>
    <row r="123" spans="1:28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IF($H123="","",H123/100*11)</f>
      </c>
      <c r="L123" s="3">
        <v>8.99</v>
      </c>
      <c r="M123" s="3"/>
      <c r="N123" s="3">
        <f>IF($H123="","",M123*20%)</f>
      </c>
      <c r="O123" s="3">
        <v>1</v>
      </c>
      <c r="P123" s="3">
        <f>IF($H123="","",I123-J123-K123-L123-M123-N123-O123)</f>
      </c>
      <c r="Q123" s="3">
        <f>IF($H123="","",(P123-Y123)/G123*100)</f>
      </c>
      <c r="R123" s="3">
        <f>IF($H123="","",J123-N123)</f>
      </c>
      <c r="Z123" s="3">
        <f>IF($H123="","",P123-Y123)</f>
      </c>
    </row>
    <row r="124" spans="1:28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IF($H124="","",H124/100*11)</f>
      </c>
      <c r="L124" s="3">
        <v>8.99</v>
      </c>
      <c r="M124" s="3"/>
      <c r="N124" s="3">
        <f>IF($H124="","",M124*20%)</f>
      </c>
      <c r="O124" s="3">
        <v>1</v>
      </c>
      <c r="P124" s="3">
        <f>IF($H124="","",I124-J124-K124-L124-M124-N124-O124)</f>
      </c>
      <c r="Q124" s="3">
        <f>IF($H124="","",(P124-Y124)/G124*100)</f>
      </c>
      <c r="R124" s="3">
        <f>IF($H124="","",J124-N124)</f>
      </c>
      <c r="Z124" s="3">
        <f>IF($H124="","",P124-Y124)</f>
      </c>
    </row>
    <row r="125" spans="1:28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IF($H125="","",H125/100*11)</f>
      </c>
      <c r="L125" s="3">
        <v>8.99</v>
      </c>
      <c r="M125" s="3"/>
      <c r="N125" s="3">
        <f>IF($H125="","",M125*20%)</f>
      </c>
      <c r="O125" s="3">
        <v>1</v>
      </c>
      <c r="P125" s="3">
        <f>IF($H125="","",I125-J125-K125-L125-M125-N125-O125)</f>
      </c>
      <c r="Q125" s="3">
        <f>IF($H125="","",(P125-Y125)/G125*100)</f>
      </c>
      <c r="R125" s="3">
        <f>IF($H125="","",J125-N125)</f>
      </c>
      <c r="Z125" s="3">
        <f>IF($H125="","",P125-Y125)</f>
      </c>
    </row>
    <row r="126" spans="1:28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IF($H126="","",H126/100*11)</f>
      </c>
      <c r="L126" s="3">
        <v>8.99</v>
      </c>
      <c r="M126" s="3"/>
      <c r="N126" s="3">
        <f>IF($H126="","",M126*20%)</f>
      </c>
      <c r="O126" s="3">
        <v>1</v>
      </c>
      <c r="P126" s="3">
        <f>IF($H126="","",I126-J126-K126-L126-M126-N126-O126)</f>
      </c>
      <c r="Q126" s="3">
        <f>IF($H126="","",(P126-Y126)/G126*100)</f>
      </c>
      <c r="R126" s="3">
        <f>IF($H126="","",J126-N126)</f>
      </c>
      <c r="Z126" s="3">
        <f>IF($H126="","",P126-Y126)</f>
      </c>
    </row>
    <row r="127" spans="1:28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IF($H127="","",H127/100*11)</f>
      </c>
      <c r="L127" s="3">
        <v>8.99</v>
      </c>
      <c r="M127" s="3"/>
      <c r="N127" s="3">
        <f>IF($H127="","",M127*20%)</f>
      </c>
      <c r="O127" s="3">
        <v>1</v>
      </c>
      <c r="P127" s="3">
        <f>IF($H127="","",I127-J127-K127-L127-M127-N127-O127)</f>
      </c>
      <c r="Q127" s="3">
        <f>IF($H127="","",(P127-Y127)/G127*100)</f>
      </c>
      <c r="R127" s="3">
        <f>IF($H127="","",J127-N127)</f>
      </c>
      <c r="Z127" s="3">
        <f>IF($H127="","",P127-Y127)</f>
      </c>
    </row>
    <row r="128" spans="1:28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IF($H128="","",H128/100*11)</f>
      </c>
      <c r="L128" s="3">
        <v>8.99</v>
      </c>
      <c r="M128" s="3"/>
      <c r="N128" s="3">
        <f>IF($H128="","",M128*20%)</f>
      </c>
      <c r="O128" s="3">
        <v>1</v>
      </c>
      <c r="P128" s="3">
        <f>IF($H128="","",I128-J128-K128-L128-M128-N128-O128)</f>
      </c>
      <c r="Q128" s="3">
        <f>IF($H128="","",(P128-Y128)/G128*100)</f>
      </c>
      <c r="R128" s="3">
        <f>IF($H128="","",J128-N128)</f>
      </c>
      <c r="Z128" s="3">
        <f>IF($H128="","",P128-Y128)</f>
      </c>
    </row>
    <row r="129" spans="1:28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IF($H129="","",H129/100*11)</f>
      </c>
      <c r="L129" s="3">
        <v>8.99</v>
      </c>
      <c r="M129" s="3"/>
      <c r="N129" s="3">
        <f>IF($H129="","",M129*20%)</f>
      </c>
      <c r="O129" s="3">
        <v>1</v>
      </c>
      <c r="P129" s="3">
        <f>IF($H129="","",I129-J129-K129-L129-M129-N129-O129)</f>
      </c>
      <c r="Q129" s="3">
        <f>IF($H129="","",(P129-Y129)/G129*100)</f>
      </c>
      <c r="R129" s="3">
        <f>IF($H129="","",J129-N129)</f>
      </c>
      <c r="Z129" s="3">
        <f>IF($H129="","",P129-Y129)</f>
      </c>
    </row>
    <row r="130" spans="1:28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IF($H130="","",H130/100*11)</f>
      </c>
      <c r="L130" s="3">
        <v>8.99</v>
      </c>
      <c r="M130" s="3"/>
      <c r="N130" s="3">
        <f>IF($H130="","",M130*20%)</f>
      </c>
      <c r="O130" s="3">
        <v>1</v>
      </c>
      <c r="P130" s="3">
        <f>IF($H130="","",I130-J130-K130-L130-M130-N130-O130)</f>
      </c>
      <c r="Q130" s="3">
        <f>IF($H130="","",(P130-Y130)/G130*100)</f>
      </c>
      <c r="R130" s="3">
        <f>IF($H130="","",J130-N130)</f>
      </c>
      <c r="Z130" s="3">
        <f>IF($H130="","",P130-Y130)</f>
      </c>
    </row>
    <row r="131" spans="1:28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IF($H131="","",H131/100*11)</f>
      </c>
      <c r="L131" s="3">
        <v>8.99</v>
      </c>
      <c r="M131" s="3"/>
      <c r="N131" s="3">
        <f>IF($H131="","",M131*20%)</f>
      </c>
      <c r="O131" s="3">
        <v>1</v>
      </c>
      <c r="P131" s="3">
        <f>IF($H131="","",I131-J131-K131-L131-M131-N131-O131)</f>
      </c>
      <c r="Q131" s="3">
        <f>IF($H131="","",(P131-Y131)/G131*100)</f>
      </c>
      <c r="R131" s="3">
        <f>IF($H131="","",J131-N131)</f>
      </c>
      <c r="Z131" s="3">
        <f>IF($H131="","",P131-Y131)</f>
      </c>
    </row>
    <row r="132" spans="1:28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IF($H132="","",H132/100*11)</f>
      </c>
      <c r="L132" s="3">
        <v>8.99</v>
      </c>
      <c r="M132" s="3"/>
      <c r="N132" s="3">
        <f>IF($H132="","",M132*20%)</f>
      </c>
      <c r="O132" s="3">
        <v>1</v>
      </c>
      <c r="P132" s="3">
        <f>IF($H132="","",I132-J132-K132-L132-M132-N132-O132)</f>
      </c>
      <c r="Q132" s="3">
        <f>IF($H132="","",(P132-Y132)/G132*100)</f>
      </c>
      <c r="R132" s="3">
        <f>IF($H132="","",J132-N132)</f>
      </c>
      <c r="Z132" s="3">
        <f>IF($H132="","",P132-Y132)</f>
      </c>
    </row>
    <row r="133" spans="1:28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IF($H133="","",H133/100*11)</f>
      </c>
      <c r="L133" s="3">
        <v>8.99</v>
      </c>
      <c r="M133" s="3"/>
      <c r="N133" s="3">
        <f>IF($H133="","",M133*20%)</f>
      </c>
      <c r="O133" s="3">
        <v>1</v>
      </c>
      <c r="P133" s="3">
        <f>IF($H133="","",I133-J133-K133-L133-M133-N133-O133)</f>
      </c>
      <c r="Q133" s="3">
        <f>IF($H133="","",(P133-Y133)/G133*100)</f>
      </c>
      <c r="R133" s="3">
        <f>IF($H133="","",J133-N133)</f>
      </c>
      <c r="Z133" s="3">
        <f>IF($H133="","",P133-Y133)</f>
      </c>
    </row>
    <row r="134" spans="1:28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IF($H134="","",H134/100*11)</f>
      </c>
      <c r="L134" s="3">
        <v>8.99</v>
      </c>
      <c r="M134" s="3"/>
      <c r="N134" s="3">
        <f>IF($H134="","",M134*20%)</f>
      </c>
      <c r="O134" s="3">
        <v>1</v>
      </c>
      <c r="P134" s="3">
        <f>IF($H134="","",I134-J134-K134-L134-M134-N134-O134)</f>
      </c>
      <c r="Q134" s="3">
        <f>IF($H134="","",(P134-Y134)/G134*100)</f>
      </c>
      <c r="R134" s="3">
        <f>IF($H134="","",J134-N134)</f>
      </c>
      <c r="Z134" s="3">
        <f>IF($H134="","",P134-Y134)</f>
      </c>
    </row>
    <row r="135" spans="1:28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IF($H135="","",H135/100*11)</f>
      </c>
      <c r="L135" s="3">
        <v>8.99</v>
      </c>
      <c r="M135" s="3"/>
      <c r="N135" s="3">
        <f>IF($H135="","",M135*20%)</f>
      </c>
      <c r="O135" s="3">
        <v>1</v>
      </c>
      <c r="P135" s="3">
        <f>IF($H135="","",I135-J135-K135-L135-M135-N135-O135)</f>
      </c>
      <c r="Q135" s="3">
        <f>IF($H135="","",(P135-Y135)/G135*100)</f>
      </c>
      <c r="R135" s="3">
        <f>IF($H135="","",J135-N135)</f>
      </c>
      <c r="Z135" s="3">
        <f>IF($H135="","",P135-Y135)</f>
      </c>
    </row>
    <row r="136" spans="1:28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IF($H136="","",H136/100*11)</f>
      </c>
      <c r="L136" s="3">
        <v>8.99</v>
      </c>
      <c r="M136" s="3"/>
      <c r="N136" s="3">
        <f>IF($H136="","",M136*20%)</f>
      </c>
      <c r="O136" s="3">
        <v>1</v>
      </c>
      <c r="P136" s="3">
        <f>IF($H136="","",I136-J136-K136-L136-M136-N136-O136)</f>
      </c>
      <c r="Q136" s="3">
        <f>IF($H136="","",(P136-Y136)/G136*100)</f>
      </c>
      <c r="R136" s="3">
        <f>IF($H136="","",J136-N136)</f>
      </c>
      <c r="Z136" s="3">
        <f>IF($H136="","",P136-Y136)</f>
      </c>
    </row>
    <row r="137" spans="1:28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IF($H137="","",H137/100*11)</f>
      </c>
      <c r="L137" s="3">
        <v>8.99</v>
      </c>
      <c r="M137" s="3"/>
      <c r="N137" s="3">
        <f>IF($H137="","",M137*20%)</f>
      </c>
      <c r="O137" s="3">
        <v>1</v>
      </c>
      <c r="P137" s="3">
        <f>IF($H137="","",I137-J137-K137-L137-M137-N137-O137)</f>
      </c>
      <c r="Q137" s="3">
        <f>IF($H137="","",(P137-Y137)/G137*100)</f>
      </c>
      <c r="R137" s="3">
        <f>IF($H137="","",J137-N137)</f>
      </c>
      <c r="Z137" s="3">
        <f>IF($H137="","",P137-Y137)</f>
      </c>
    </row>
    <row r="138" spans="1:28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IF($H138="","",H138/100*11)</f>
      </c>
      <c r="L138" s="3">
        <v>8.99</v>
      </c>
      <c r="M138" s="3"/>
      <c r="N138" s="3">
        <f>IF($H138="","",M138*20%)</f>
      </c>
      <c r="O138" s="3">
        <v>1</v>
      </c>
      <c r="P138" s="3">
        <f>IF($H138="","",I138-J138-K138-L138-M138-N138-O138)</f>
      </c>
      <c r="Q138" s="3">
        <f>IF($H138="","",(P138-Y138)/G138*100)</f>
      </c>
      <c r="R138" s="3">
        <f>IF($H138="","",J138-N138)</f>
      </c>
      <c r="Z138" s="3">
        <f>IF($H138="","",P138-Y138)</f>
      </c>
    </row>
    <row r="139" spans="1:28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IF($H139="","",H139/100*11)</f>
      </c>
      <c r="L139" s="3">
        <v>8.99</v>
      </c>
      <c r="M139" s="3"/>
      <c r="N139" s="3">
        <f>IF($H139="","",M139*20%)</f>
      </c>
      <c r="O139" s="3">
        <v>1</v>
      </c>
      <c r="P139" s="3">
        <f>IF($H139="","",I139-J139-K139-L139-M139-N139-O139)</f>
      </c>
      <c r="Q139" s="3">
        <f>IF($H139="","",(P139-Y139)/G139*100)</f>
      </c>
      <c r="R139" s="3">
        <f>IF($H139="","",J139-N139)</f>
      </c>
      <c r="Z139" s="3">
        <f>IF($H139="","",P139-Y139)</f>
      </c>
    </row>
    <row r="140" spans="1:28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IF($H140="","",H140/100*11)</f>
      </c>
      <c r="L140" s="3">
        <v>8.99</v>
      </c>
      <c r="M140" s="3"/>
      <c r="N140" s="3">
        <f>IF($H140="","",M140*20%)</f>
      </c>
      <c r="O140" s="3">
        <v>1</v>
      </c>
      <c r="P140" s="3">
        <f>IF($H140="","",I140-J140-K140-L140-M140-N140-O140)</f>
      </c>
      <c r="Q140" s="3">
        <f>IF($H140="","",(P140-Y140)/G140*100)</f>
      </c>
      <c r="R140" s="3">
        <f>IF($H140="","",J140-N140)</f>
      </c>
      <c r="Z140" s="3">
        <f>IF($H140="","",P140-Y140)</f>
      </c>
    </row>
    <row r="141" spans="1:28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IF($H141="","",H141/100*11)</f>
      </c>
      <c r="L141" s="3">
        <v>8.99</v>
      </c>
      <c r="M141" s="3"/>
      <c r="N141" s="3">
        <f>IF($H141="","",M141*20%)</f>
      </c>
      <c r="O141" s="3">
        <v>1</v>
      </c>
      <c r="P141" s="3">
        <f>IF($H141="","",I141-J141-K141-L141-M141-N141-O141)</f>
      </c>
      <c r="Q141" s="3">
        <f>IF($H141="","",(P141-Y141)/G141*100)</f>
      </c>
      <c r="R141" s="3">
        <f>IF($H141="","",J141-N141)</f>
      </c>
      <c r="Z141" s="3">
        <f>IF($H141="","",P141-Y141)</f>
      </c>
    </row>
    <row r="142" spans="1:28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IF($H142="","",H142/100*11)</f>
      </c>
      <c r="L142" s="3">
        <v>8.99</v>
      </c>
      <c r="M142" s="3"/>
      <c r="N142" s="3">
        <f>IF($H142="","",M142*20%)</f>
      </c>
      <c r="O142" s="3">
        <v>1</v>
      </c>
      <c r="P142" s="3">
        <f>IF($H142="","",I142-J142-K142-L142-M142-N142-O142)</f>
      </c>
      <c r="Q142" s="3">
        <f>IF($H142="","",(P142-Y142)/G142*100)</f>
      </c>
      <c r="R142" s="3">
        <f>IF($H142="","",J142-N142)</f>
      </c>
      <c r="Z142" s="3">
        <f>IF($H142="","",P142-Y142)</f>
      </c>
    </row>
    <row r="143" spans="1:28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IF($H143="","",H143/100*11)</f>
      </c>
      <c r="L143" s="3">
        <v>8.99</v>
      </c>
      <c r="M143" s="3"/>
      <c r="N143" s="3">
        <f>IF($H143="","",M143*20%)</f>
      </c>
      <c r="O143" s="3">
        <v>1</v>
      </c>
      <c r="P143" s="3">
        <f>IF($H143="","",I143-J143-K143-L143-M143-N143-O143)</f>
      </c>
      <c r="Q143" s="3">
        <f>IF($H143="","",(P143-Y143)/G143*100)</f>
      </c>
      <c r="R143" s="3">
        <f>IF($H143="","",J143-N143)</f>
      </c>
      <c r="Z143" s="3">
        <f>IF($H143="","",P143-Y143)</f>
      </c>
    </row>
    <row r="144" spans="1:28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IF($H144="","",H144/100*11)</f>
      </c>
      <c r="L144" s="3">
        <v>8.99</v>
      </c>
      <c r="M144" s="3"/>
      <c r="N144" s="3">
        <f>IF($H144="","",M144*20%)</f>
      </c>
      <c r="O144" s="3">
        <v>1</v>
      </c>
      <c r="P144" s="3">
        <f>IF($H144="","",I144-J144-K144-L144-M144-N144-O144)</f>
      </c>
      <c r="Q144" s="3">
        <f>IF($H144="","",(P144-Y144)/G144*100)</f>
      </c>
      <c r="R144" s="3">
        <f>IF($H144="","",J144-N144)</f>
      </c>
      <c r="Z144" s="3">
        <f>IF($H144="","",P144-Y144)</f>
      </c>
    </row>
    <row r="145" spans="1:28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IF($H145="","",H145/100*11)</f>
      </c>
      <c r="L145" s="3">
        <v>8.99</v>
      </c>
      <c r="M145" s="3"/>
      <c r="N145" s="3">
        <f>IF($H145="","",M145*20%)</f>
      </c>
      <c r="O145" s="3">
        <v>1</v>
      </c>
      <c r="P145" s="3">
        <f>IF($H145="","",I145-J145-K145-L145-M145-N145-O145)</f>
      </c>
      <c r="Q145" s="3">
        <f>IF($H145="","",(P145-Y145)/G145*100)</f>
      </c>
      <c r="R145" s="3">
        <f>IF($H145="","",J145-N145)</f>
      </c>
      <c r="Z145" s="3">
        <f>IF($H145="","",P145-Y145)</f>
      </c>
    </row>
    <row r="146" spans="1:28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IF($H146="","",H146/100*11)</f>
      </c>
      <c r="L146" s="3">
        <v>8.99</v>
      </c>
      <c r="M146" s="3"/>
      <c r="N146" s="3">
        <f>IF($H146="","",M146*20%)</f>
      </c>
      <c r="O146" s="3">
        <v>1</v>
      </c>
      <c r="P146" s="3">
        <f>IF($H146="","",I146-J146-K146-L146-M146-N146-O146)</f>
      </c>
      <c r="Q146" s="3">
        <f>IF($H146="","",(P146-Y146)/G146*100)</f>
      </c>
      <c r="R146" s="3">
        <f>IF($H146="","",J146-N146)</f>
      </c>
      <c r="Z146" s="3">
        <f>IF($H146="","",P146-Y146)</f>
      </c>
    </row>
    <row r="147" spans="1:28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IF($H147="","",H147/100*11)</f>
      </c>
      <c r="L147" s="3">
        <v>8.99</v>
      </c>
      <c r="M147" s="3"/>
      <c r="N147" s="3">
        <f>IF($H147="","",M147*20%)</f>
      </c>
      <c r="O147" s="3">
        <v>1</v>
      </c>
      <c r="P147" s="3">
        <f>IF($H147="","",I147-J147-K147-L147-M147-N147-O147)</f>
      </c>
      <c r="Q147" s="3">
        <f>IF($H147="","",(P147-Y147)/G147*100)</f>
      </c>
      <c r="R147" s="3">
        <f>IF($H147="","",J147-N147)</f>
      </c>
      <c r="Z147" s="3">
        <f>IF($H147="","",P147-Y147)</f>
      </c>
    </row>
    <row r="148" spans="1:28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IF($H148="","",H148/100*11)</f>
      </c>
      <c r="L148" s="3">
        <v>8.99</v>
      </c>
      <c r="M148" s="3"/>
      <c r="N148" s="3">
        <f>IF($H148="","",M148*20%)</f>
      </c>
      <c r="O148" s="3">
        <v>1</v>
      </c>
      <c r="P148" s="3">
        <f>IF($H148="","",I148-J148-K148-L148-M148-N148-O148)</f>
      </c>
      <c r="Q148" s="3">
        <f>IF($H148="","",(P148-Y148)/G148*100)</f>
      </c>
      <c r="R148" s="3">
        <f>IF($H148="","",J148-N148)</f>
      </c>
      <c r="Z148" s="3">
        <f>IF($H148="","",P148-Y148)</f>
      </c>
    </row>
    <row r="149" spans="1:28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IF($H149="","",H149/100*11)</f>
      </c>
      <c r="L149" s="3">
        <v>8.99</v>
      </c>
      <c r="M149" s="3"/>
      <c r="N149" s="3">
        <f>IF($H149="","",M149*20%)</f>
      </c>
      <c r="O149" s="3">
        <v>1</v>
      </c>
      <c r="P149" s="3">
        <f>IF($H149="","",I149-J149-K149-L149-M149-N149-O149)</f>
      </c>
      <c r="Q149" s="3">
        <f>IF($H149="","",(P149-Y149)/G149*100)</f>
      </c>
      <c r="R149" s="3">
        <f>IF($H149="","",J149-N149)</f>
      </c>
      <c r="Z149" s="3">
        <f>IF($H149="","",P149-Y149)</f>
      </c>
    </row>
    <row r="150" spans="1:28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IF($H150="","",H150/100*11)</f>
      </c>
      <c r="L150" s="3">
        <v>8.99</v>
      </c>
      <c r="M150" s="3"/>
      <c r="N150" s="3">
        <f>IF($H150="","",M150*20%)</f>
      </c>
      <c r="O150" s="3">
        <v>1</v>
      </c>
      <c r="P150" s="3">
        <f>IF($H150="","",I150-J150-K150-L150-M150-N150-O150)</f>
      </c>
      <c r="Q150" s="3">
        <f>IF($H150="","",(P150-Y150)/G150*100)</f>
      </c>
      <c r="R150" s="3">
        <f>IF($H150="","",J150-N150)</f>
      </c>
      <c r="Z150" s="3">
        <f>IF($H150="","",P150-Y150)</f>
      </c>
    </row>
    <row r="151" spans="1:28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IF($H151="","",H151/100*11)</f>
      </c>
      <c r="L151" s="3">
        <v>8.99</v>
      </c>
      <c r="M151" s="3"/>
      <c r="N151" s="3">
        <f>IF($H151="","",M151*20%)</f>
      </c>
      <c r="O151" s="3">
        <v>1</v>
      </c>
      <c r="P151" s="3">
        <f>IF($H151="","",I151-J151-K151-L151-M151-N151-O151)</f>
      </c>
      <c r="Q151" s="3">
        <f>IF($H151="","",(P151-Y151)/G151*100)</f>
      </c>
      <c r="R151" s="3">
        <f>IF($H151="","",J151-N151)</f>
      </c>
      <c r="Z151" s="3">
        <f>IF($H151="","",P151-Y151)</f>
      </c>
    </row>
    <row r="152" spans="1:28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IF($H152="","",H152/100*11)</f>
      </c>
      <c r="L152" s="3">
        <v>8.99</v>
      </c>
      <c r="M152" s="3"/>
      <c r="N152" s="3">
        <f>IF($H152="","",M152*20%)</f>
      </c>
      <c r="O152" s="3">
        <v>1</v>
      </c>
      <c r="P152" s="3">
        <f>IF($H152="","",I152-J152-K152-L152-M152-N152-O152)</f>
      </c>
      <c r="Q152" s="3">
        <f>IF($H152="","",(P152-Y152)/G152*100)</f>
      </c>
      <c r="R152" s="3">
        <f>IF($H152="","",J152-N152)</f>
      </c>
      <c r="Z152" s="3">
        <f>IF($H152="","",P152-Y152)</f>
      </c>
    </row>
    <row r="153" spans="1:28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IF($H153="","",H153/100*11)</f>
      </c>
      <c r="L153" s="3">
        <v>8.99</v>
      </c>
      <c r="M153" s="3"/>
      <c r="N153" s="3">
        <f>IF($H153="","",M153*20%)</f>
      </c>
      <c r="O153" s="3">
        <v>1</v>
      </c>
      <c r="P153" s="3">
        <f>IF($H153="","",I153-J153-K153-L153-M153-N153-O153)</f>
      </c>
      <c r="Q153" s="3">
        <f>IF($H153="","",(P153-Y153)/G153*100)</f>
      </c>
      <c r="R153" s="3">
        <f>IF($H153="","",J153-N153)</f>
      </c>
      <c r="Z153" s="3">
        <f>IF($H153="","",P153-Y153)</f>
      </c>
    </row>
    <row r="154" spans="1:28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IF($H154="","",H154/100*11)</f>
      </c>
      <c r="L154" s="3">
        <v>8.99</v>
      </c>
      <c r="M154" s="3"/>
      <c r="N154" s="3">
        <f>IF($H154="","",M154*20%)</f>
      </c>
      <c r="O154" s="3">
        <v>1</v>
      </c>
      <c r="P154" s="3">
        <f>IF($H154="","",I154-J154-K154-L154-M154-N154-O154)</f>
      </c>
      <c r="Q154" s="3">
        <f>IF($H154="","",(P154-Y154)/G154*100)</f>
      </c>
      <c r="R154" s="3">
        <f>IF($H154="","",J154-N154)</f>
      </c>
      <c r="Z154" s="3">
        <f>IF($H154="","",P154-Y154)</f>
      </c>
    </row>
    <row r="155" spans="1:28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IF($H155="","",H155/100*11)</f>
      </c>
      <c r="L155" s="3">
        <v>8.99</v>
      </c>
      <c r="M155" s="3"/>
      <c r="N155" s="3">
        <f>IF($H155="","",M155*20%)</f>
      </c>
      <c r="O155" s="3">
        <v>1</v>
      </c>
      <c r="P155" s="3">
        <f>IF($H155="","",I155-J155-K155-L155-M155-N155-O155)</f>
      </c>
      <c r="Q155" s="3">
        <f>IF($H155="","",(P155-Y155)/G155*100)</f>
      </c>
      <c r="R155" s="3">
        <f>IF($H155="","",J155-N155)</f>
      </c>
      <c r="Z155" s="3">
        <f>IF($H155="","",P155-Y155)</f>
      </c>
    </row>
    <row r="156" spans="1:28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IF($H156="","",H156/100*11)</f>
      </c>
      <c r="L156" s="3">
        <v>8.99</v>
      </c>
      <c r="M156" s="3"/>
      <c r="N156" s="3">
        <f>IF($H156="","",M156*20%)</f>
      </c>
      <c r="O156" s="3">
        <v>1</v>
      </c>
      <c r="P156" s="3">
        <f>IF($H156="","",I156-J156-K156-L156-M156-N156-O156)</f>
      </c>
      <c r="Q156" s="3">
        <f>IF($H156="","",(P156-Y156)/G156*100)</f>
      </c>
      <c r="R156" s="3">
        <f>IF($H156="","",J156-N156)</f>
      </c>
      <c r="Z156" s="3">
        <f>IF($H156="","",P156-Y156)</f>
      </c>
    </row>
    <row r="157" spans="1:28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IF($H157="","",H157/100*11)</f>
      </c>
      <c r="L157" s="3">
        <v>8.99</v>
      </c>
      <c r="M157" s="3"/>
      <c r="N157" s="3">
        <f>IF($H157="","",M157*20%)</f>
      </c>
      <c r="O157" s="3">
        <v>1</v>
      </c>
      <c r="P157" s="3">
        <f>IF($H157="","",I157-J157-K157-L157-M157-N157-O157)</f>
      </c>
      <c r="Q157" s="3">
        <f>IF($H157="","",(P157-Y157)/G157*100)</f>
      </c>
      <c r="R157" s="3">
        <f>IF($H157="","",J157-N157)</f>
      </c>
      <c r="Z157" s="3">
        <f>IF($H157="","",P157-Y157)</f>
      </c>
    </row>
    <row r="158" spans="1:28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IF($H158="","",H158/100*11)</f>
      </c>
      <c r="L158" s="3">
        <v>8.99</v>
      </c>
      <c r="M158" s="3"/>
      <c r="N158" s="3">
        <f>IF($H158="","",M158*20%)</f>
      </c>
      <c r="O158" s="3">
        <v>1</v>
      </c>
      <c r="P158" s="3">
        <f>IF($H158="","",I158-J158-K158-L158-M158-N158-O158)</f>
      </c>
      <c r="Q158" s="3">
        <f>IF($H158="","",(P158-Y158)/G158*100)</f>
      </c>
      <c r="R158" s="3">
        <f>IF($H158="","",J158-N158)</f>
      </c>
      <c r="Z158" s="3">
        <f>IF($H158="","",P158-Y158)</f>
      </c>
    </row>
    <row r="159" spans="1:28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IF($H159="","",H159/100*11)</f>
      </c>
      <c r="L159" s="3">
        <v>8.99</v>
      </c>
      <c r="M159" s="3"/>
      <c r="N159" s="3">
        <f>IF($H159="","",M159*20%)</f>
      </c>
      <c r="O159" s="3">
        <v>1</v>
      </c>
      <c r="P159" s="3">
        <f>IF($H159="","",I159-J159-K159-L159-M159-N159-O159)</f>
      </c>
      <c r="Q159" s="3">
        <f>IF($H159="","",(P159-Y159)/G159*100)</f>
      </c>
      <c r="R159" s="3">
        <f>IF($H159="","",J159-N159)</f>
      </c>
      <c r="Z159" s="3">
        <f>IF($H159="","",P159-Y159)</f>
      </c>
    </row>
    <row r="160" spans="1:28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IF($H160="","",H160/100*11)</f>
      </c>
      <c r="L160" s="3">
        <v>8.99</v>
      </c>
      <c r="M160" s="3"/>
      <c r="N160" s="3">
        <f>IF($H160="","",M160*20%)</f>
      </c>
      <c r="O160" s="3">
        <v>1</v>
      </c>
      <c r="P160" s="3">
        <f>IF($H160="","",I160-J160-K160-L160-M160-N160-O160)</f>
      </c>
      <c r="Q160" s="3">
        <f>IF($H160="","",(P160-Y160)/G160*100)</f>
      </c>
      <c r="R160" s="3">
        <f>IF($H160="","",J160-N160)</f>
      </c>
      <c r="Z160" s="3">
        <f>IF($H160="","",P160-Y160)</f>
      </c>
    </row>
    <row r="161" spans="1:28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IF($H161="","",H161/100*11)</f>
      </c>
      <c r="L161" s="3">
        <v>8.99</v>
      </c>
      <c r="M161" s="3"/>
      <c r="N161" s="3">
        <f>IF($H161="","",M161*20%)</f>
      </c>
      <c r="O161" s="3">
        <v>1</v>
      </c>
      <c r="P161" s="3">
        <f>IF($H161="","",I161-J161-K161-L161-M161-N161-O161)</f>
      </c>
      <c r="Q161" s="3">
        <f>IF($H161="","",(P161-Y161)/G161*100)</f>
      </c>
      <c r="R161" s="3">
        <f>IF($H161="","",J161-N161)</f>
      </c>
      <c r="Z161" s="3">
        <f>IF($H161="","",P161-Y161)</f>
      </c>
    </row>
    <row r="162" spans="1:28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IF($H162="","",H162/100*11)</f>
      </c>
      <c r="L162" s="3">
        <v>8.99</v>
      </c>
      <c r="M162" s="3"/>
      <c r="N162" s="3">
        <f>IF($H162="","",M162*20%)</f>
      </c>
      <c r="O162" s="3">
        <v>1</v>
      </c>
      <c r="P162" s="3">
        <f>IF($H162="","",I162-J162-K162-L162-M162-N162-O162)</f>
      </c>
      <c r="Q162" s="3">
        <f>IF($H162="","",(P162-Y162)/G162*100)</f>
      </c>
      <c r="R162" s="3">
        <f>IF($H162="","",J162-N162)</f>
      </c>
      <c r="Z162" s="3">
        <f>IF($H162="","",P162-Y162)</f>
      </c>
    </row>
    <row r="163" spans="1:28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IF($H163="","",H163/100*11)</f>
      </c>
      <c r="L163" s="3">
        <v>8.99</v>
      </c>
      <c r="M163" s="3"/>
      <c r="N163" s="3">
        <f>IF($H163="","",M163*20%)</f>
      </c>
      <c r="O163" s="3">
        <v>1</v>
      </c>
      <c r="P163" s="3">
        <f>IF($H163="","",I163-J163-K163-L163-M163-N163-O163)</f>
      </c>
      <c r="Q163" s="3">
        <f>IF($H163="","",(P163-Y163)/G163*100)</f>
      </c>
      <c r="R163" s="3">
        <f>IF($H163="","",J163-N163)</f>
      </c>
      <c r="Z163" s="3">
        <f>IF($H163="","",P163-Y163)</f>
      </c>
    </row>
    <row r="164" spans="1:28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IF($H164="","",H164/100*11)</f>
      </c>
      <c r="L164" s="3">
        <v>8.99</v>
      </c>
      <c r="M164" s="3"/>
      <c r="N164" s="3">
        <f>IF($H164="","",M164*20%)</f>
      </c>
      <c r="O164" s="3">
        <v>1</v>
      </c>
      <c r="P164" s="3">
        <f>IF($H164="","",I164-J164-K164-L164-M164-N164-O164)</f>
      </c>
      <c r="Q164" s="3">
        <f>IF($H164="","",(P164-Y164)/G164*100)</f>
      </c>
      <c r="R164" s="3">
        <f>IF($H164="","",J164-N164)</f>
      </c>
      <c r="Z164" s="3">
        <f>IF($H164="","",P164-Y164)</f>
      </c>
    </row>
    <row r="165" spans="1:28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IF($H165="","",H165/100*11)</f>
      </c>
      <c r="L165" s="3">
        <v>8.99</v>
      </c>
      <c r="M165" s="3"/>
      <c r="N165" s="3">
        <f>IF($H165="","",M165*20%)</f>
      </c>
      <c r="O165" s="3">
        <v>1</v>
      </c>
      <c r="P165" s="3">
        <f>IF($H165="","",I165-J165-K165-L165-M165-N165-O165)</f>
      </c>
      <c r="Q165" s="3">
        <f>IF($H165="","",(P165-Y165)/G165*100)</f>
      </c>
      <c r="R165" s="3">
        <f>IF($H165="","",J165-N165)</f>
      </c>
      <c r="Z165" s="3">
        <f>IF($H165="","",P165-Y165)</f>
      </c>
    </row>
    <row r="166" spans="1:28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IF($H166="","",H166/100*11)</f>
      </c>
      <c r="L166" s="3">
        <v>8.99</v>
      </c>
      <c r="M166" s="3"/>
      <c r="N166" s="3">
        <f>IF($H166="","",M166*20%)</f>
      </c>
      <c r="O166" s="3">
        <v>1</v>
      </c>
      <c r="P166" s="3">
        <f>IF($H166="","",I166-J166-K166-L166-M166-N166-O166)</f>
      </c>
      <c r="Q166" s="3">
        <f>IF($H166="","",(P166-Y166)/G166*100)</f>
      </c>
      <c r="R166" s="3">
        <f>IF($H166="","",J166-N166)</f>
      </c>
      <c r="Z166" s="3">
        <f>IF($H166="","",P166-Y166)</f>
      </c>
    </row>
    <row r="167" spans="1:28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IF($H167="","",H167/100*11)</f>
      </c>
      <c r="L167" s="3">
        <v>8.99</v>
      </c>
      <c r="M167" s="3"/>
      <c r="N167" s="3">
        <f>IF($H167="","",M167*20%)</f>
      </c>
      <c r="O167" s="3">
        <v>1</v>
      </c>
      <c r="P167" s="3">
        <f>IF($H167="","",I167-J167-K167-L167-M167-N167-O167)</f>
      </c>
      <c r="Q167" s="3">
        <f>IF($H167="","",(P167-Y167)/G167*100)</f>
      </c>
      <c r="R167" s="3">
        <f>IF($H167="","",J167-N167)</f>
      </c>
      <c r="Z167" s="3">
        <f>IF($H167="","",P167-Y167)</f>
      </c>
    </row>
    <row r="168" spans="1:28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IF($H168="","",H168/100*11)</f>
      </c>
      <c r="L168" s="3">
        <v>8.99</v>
      </c>
      <c r="M168" s="3"/>
      <c r="N168" s="3">
        <f>IF($H168="","",M168*20%)</f>
      </c>
      <c r="O168" s="3">
        <v>1</v>
      </c>
      <c r="P168" s="3">
        <f>IF($H168="","",I168-J168-K168-L168-M168-N168-O168)</f>
      </c>
      <c r="Q168" s="3">
        <f>IF($H168="","",(P168-Y168)/G168*100)</f>
      </c>
      <c r="R168" s="3">
        <f>IF($H168="","",J168-N168)</f>
      </c>
      <c r="Z168" s="3">
        <f>IF($H168="","",P168-Y168)</f>
      </c>
    </row>
    <row r="169" spans="1:28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IF($H169="","",H169/100*11)</f>
      </c>
      <c r="L169" s="3">
        <v>8.99</v>
      </c>
      <c r="M169" s="3"/>
      <c r="N169" s="3">
        <f>IF($H169="","",M169*20%)</f>
      </c>
      <c r="O169" s="3">
        <v>1</v>
      </c>
      <c r="P169" s="3">
        <f>IF($H169="","",I169-J169-K169-L169-M169-N169-O169)</f>
      </c>
      <c r="Q169" s="3">
        <f>IF($H169="","",(P169-Y169)/G169*100)</f>
      </c>
      <c r="R169" s="3">
        <f>IF($H169="","",J169-N169)</f>
      </c>
      <c r="Z169" s="3">
        <f>IF($H169="","",P169-Y169)</f>
      </c>
    </row>
    <row r="170" spans="1:28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IF($H170="","",H170/100*11)</f>
      </c>
      <c r="L170" s="3">
        <v>8.99</v>
      </c>
      <c r="M170" s="3"/>
      <c r="N170" s="3">
        <f>IF($H170="","",M170*20%)</f>
      </c>
      <c r="O170" s="3">
        <v>1</v>
      </c>
      <c r="P170" s="3">
        <f>IF($H170="","",I170-J170-K170-L170-M170-N170-O170)</f>
      </c>
      <c r="Q170" s="3">
        <f>IF($H170="","",(P170-Y170)/G170*100)</f>
      </c>
      <c r="R170" s="3">
        <f>IF($H170="","",J170-N170)</f>
      </c>
      <c r="Z170" s="3">
        <f>IF($H170="","",P170-Y170)</f>
      </c>
    </row>
    <row r="171" spans="1:28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IF($H171="","",H171/100*11)</f>
      </c>
      <c r="L171" s="3">
        <v>8.99</v>
      </c>
      <c r="M171" s="3"/>
      <c r="N171" s="3">
        <f>IF($H171="","",M171*20%)</f>
      </c>
      <c r="O171" s="3">
        <v>1</v>
      </c>
      <c r="P171" s="3">
        <f>IF($H171="","",I171-J171-K171-L171-M171-N171-O171)</f>
      </c>
      <c r="Q171" s="3">
        <f>IF($H171="","",(P171-Y171)/G171*100)</f>
      </c>
      <c r="R171" s="3">
        <f>IF($H171="","",J171-N171)</f>
      </c>
      <c r="Z171" s="3">
        <f>IF($H171="","",P171-Y171)</f>
      </c>
    </row>
    <row r="172" spans="1:28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IF($H172="","",H172/100*11)</f>
      </c>
      <c r="L172" s="3">
        <v>8.99</v>
      </c>
      <c r="M172" s="3"/>
      <c r="N172" s="3">
        <f>IF($H172="","",M172*20%)</f>
      </c>
      <c r="O172" s="3">
        <v>1</v>
      </c>
      <c r="P172" s="3">
        <f>IF($H172="","",I172-J172-K172-L172-M172-N172-O172)</f>
      </c>
      <c r="Q172" s="3">
        <f>IF($H172="","",(P172-Y172)/G172*100)</f>
      </c>
      <c r="R172" s="3">
        <f>IF($H172="","",J172-N172)</f>
      </c>
      <c r="Z172" s="3">
        <f>IF($H172="","",P172-Y172)</f>
      </c>
    </row>
    <row r="173" spans="1:28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IF($H173="","",H173/100*11)</f>
      </c>
      <c r="L173" s="3">
        <v>8.99</v>
      </c>
      <c r="M173" s="3"/>
      <c r="N173" s="3">
        <f>IF($H173="","",M173*20%)</f>
      </c>
      <c r="O173" s="3">
        <v>1</v>
      </c>
      <c r="P173" s="3">
        <f>IF($H173="","",I173-J173-K173-L173-M173-N173-O173)</f>
      </c>
      <c r="Q173" s="3">
        <f>IF($H173="","",(P173-Y173)/G173*100)</f>
      </c>
      <c r="R173" s="3">
        <f>IF($H173="","",J173-N173)</f>
      </c>
      <c r="Z173" s="3">
        <f>IF($H173="","",P173-Y173)</f>
      </c>
    </row>
    <row r="174" spans="1:28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IF($H174="","",H174/100*11)</f>
      </c>
      <c r="L174" s="3">
        <v>8.99</v>
      </c>
      <c r="M174" s="3"/>
      <c r="N174" s="3">
        <f>IF($H174="","",M174*20%)</f>
      </c>
      <c r="O174" s="3">
        <v>1</v>
      </c>
      <c r="P174" s="3">
        <f>IF($H174="","",I174-J174-K174-L174-M174-N174-O174)</f>
      </c>
      <c r="Q174" s="3">
        <f>IF($H174="","",(P174-Y174)/G174*100)</f>
      </c>
      <c r="R174" s="3">
        <f>IF($H174="","",J174-N174)</f>
      </c>
      <c r="Z174" s="3">
        <f>IF($H174="","",P174-Y174)</f>
      </c>
    </row>
    <row r="175" spans="1:28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IF($H175="","",H175/100*11)</f>
      </c>
      <c r="L175" s="3">
        <v>8.99</v>
      </c>
      <c r="M175" s="3"/>
      <c r="N175" s="3">
        <f>IF($H175="","",M175*20%)</f>
      </c>
      <c r="O175" s="3">
        <v>1</v>
      </c>
      <c r="P175" s="3">
        <f>IF($H175="","",I175-J175-K175-L175-M175-N175-O175)</f>
      </c>
      <c r="Q175" s="3">
        <f>IF($H175="","",(P175-Y175)/G175*100)</f>
      </c>
      <c r="R175" s="3">
        <f>IF($H175="","",J175-N175)</f>
      </c>
      <c r="Z175" s="3">
        <f>IF($H175="","",P175-Y175)</f>
      </c>
    </row>
    <row r="176" spans="1:28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IF($H176="","",H176/100*11)</f>
      </c>
      <c r="L176" s="3">
        <v>8.99</v>
      </c>
      <c r="M176" s="3"/>
      <c r="N176" s="3">
        <f>IF($H176="","",M176*20%)</f>
      </c>
      <c r="O176" s="3">
        <v>1</v>
      </c>
      <c r="P176" s="3">
        <f>IF($H176="","",I176-J176-K176-L176-M176-N176-O176)</f>
      </c>
      <c r="Q176" s="3">
        <f>IF($H176="","",(P176-Y176)/G176*100)</f>
      </c>
      <c r="R176" s="3">
        <f>IF($H176="","",J176-N176)</f>
      </c>
      <c r="Z176" s="3">
        <f>IF($H176="","",P176-Y176)</f>
      </c>
    </row>
    <row r="177" spans="1:28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IF($H177="","",H177/100*11)</f>
      </c>
      <c r="L177" s="3">
        <v>8.99</v>
      </c>
      <c r="M177" s="3"/>
      <c r="N177" s="3">
        <f>IF($H177="","",M177*20%)</f>
      </c>
      <c r="O177" s="3">
        <v>1</v>
      </c>
      <c r="P177" s="3">
        <f>IF($H177="","",I177-J177-K177-L177-M177-N177-O177)</f>
      </c>
      <c r="Q177" s="3">
        <f>IF($H177="","",(P177-Y177)/G177*100)</f>
      </c>
      <c r="R177" s="3">
        <f>IF($H177="","",J177-N177)</f>
      </c>
      <c r="Z177" s="3">
        <f>IF($H177="","",P177-Y177)</f>
      </c>
    </row>
    <row r="178" spans="1:28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IF($H178="","",H178/100*11)</f>
      </c>
      <c r="L178" s="3">
        <v>8.99</v>
      </c>
      <c r="M178" s="3"/>
      <c r="N178" s="3">
        <f>IF($H178="","",M178*20%)</f>
      </c>
      <c r="O178" s="3">
        <v>1</v>
      </c>
      <c r="P178" s="3">
        <f>IF($H178="","",I178-J178-K178-L178-M178-N178-O178)</f>
      </c>
      <c r="Q178" s="3">
        <f>IF($H178="","",(P178-Y178)/G178*100)</f>
      </c>
      <c r="R178" s="3">
        <f>IF($H178="","",J178-N178)</f>
      </c>
      <c r="Z178" s="3">
        <f>IF($H178="","",P178-Y178)</f>
      </c>
    </row>
    <row r="179" spans="1:28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IF($H179="","",H179/100*11)</f>
      </c>
      <c r="L179" s="3">
        <v>8.99</v>
      </c>
      <c r="M179" s="3"/>
      <c r="N179" s="3">
        <f>IF($H179="","",M179*20%)</f>
      </c>
      <c r="O179" s="3">
        <v>1</v>
      </c>
      <c r="P179" s="3">
        <f>IF($H179="","",I179-J179-K179-L179-M179-N179-O179)</f>
      </c>
      <c r="Q179" s="3">
        <f>IF($H179="","",(P179-Y179)/G179*100)</f>
      </c>
      <c r="R179" s="3">
        <f>IF($H179="","",J179-N179)</f>
      </c>
      <c r="Z179" s="3">
        <f>IF($H179="","",P179-Y179)</f>
      </c>
    </row>
    <row r="180" spans="1:28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IF($H180="","",H180/100*11)</f>
      </c>
      <c r="L180" s="3">
        <v>8.99</v>
      </c>
      <c r="M180" s="3"/>
      <c r="N180" s="3">
        <f>IF($H180="","",M180*20%)</f>
      </c>
      <c r="O180" s="3">
        <v>1</v>
      </c>
      <c r="P180" s="3">
        <f>IF($H180="","",I180-J180-K180-L180-M180-N180-O180)</f>
      </c>
      <c r="Q180" s="3">
        <f>IF($H180="","",(P180-Y180)/G180*100)</f>
      </c>
      <c r="R180" s="3">
        <f>IF($H180="","",J180-N180)</f>
      </c>
      <c r="Z180" s="3">
        <f>IF($H180="","",P180-Y180)</f>
      </c>
    </row>
    <row r="181" spans="1:28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IF($H181="","",H181/100*11)</f>
      </c>
      <c r="L181" s="3">
        <v>8.99</v>
      </c>
      <c r="M181" s="3"/>
      <c r="N181" s="3">
        <f>IF($H181="","",M181*20%)</f>
      </c>
      <c r="O181" s="3">
        <v>1</v>
      </c>
      <c r="P181" s="3">
        <f>IF($H181="","",I181-J181-K181-L181-M181-N181-O181)</f>
      </c>
      <c r="Q181" s="3">
        <f>IF($H181="","",(P181-Y181)/G181*100)</f>
      </c>
      <c r="R181" s="3">
        <f>IF($H181="","",J181-N181)</f>
      </c>
      <c r="Z181" s="3">
        <f>IF($H181="","",P181-Y181)</f>
      </c>
    </row>
    <row r="182" spans="1:28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IF($H182="","",H182/100*11)</f>
      </c>
      <c r="L182" s="3">
        <v>8.99</v>
      </c>
      <c r="M182" s="3"/>
      <c r="N182" s="3">
        <f>IF($H182="","",M182*20%)</f>
      </c>
      <c r="O182" s="3">
        <v>1</v>
      </c>
      <c r="P182" s="3">
        <f>IF($H182="","",I182-J182-K182-L182-M182-N182-O182)</f>
      </c>
      <c r="Q182" s="3">
        <f>IF($H182="","",(P182-Y182)/G182*100)</f>
      </c>
      <c r="R182" s="3">
        <f>IF($H182="","",J182-N182)</f>
      </c>
      <c r="Z182" s="3">
        <f>IF($H182="","",P182-Y182)</f>
      </c>
    </row>
    <row r="183" spans="1:28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IF($H183="","",H183/100*11)</f>
      </c>
      <c r="L183" s="3">
        <v>8.99</v>
      </c>
      <c r="M183" s="3"/>
      <c r="N183" s="3">
        <f>IF($H183="","",M183*20%)</f>
      </c>
      <c r="O183" s="3">
        <v>1</v>
      </c>
      <c r="P183" s="3">
        <f>IF($H183="","",I183-J183-K183-L183-M183-N183-O183)</f>
      </c>
      <c r="Q183" s="3">
        <f>IF($H183="","",(P183-Y183)/G183*100)</f>
      </c>
      <c r="R183" s="3">
        <f>IF($H183="","",J183-N183)</f>
      </c>
      <c r="Z183" s="3">
        <f>IF($H183="","",P183-Y183)</f>
      </c>
    </row>
    <row r="184" spans="1:28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IF($H184="","",H184/100*11)</f>
      </c>
      <c r="L184" s="3">
        <v>8.99</v>
      </c>
      <c r="M184" s="3"/>
      <c r="N184" s="3">
        <f>IF($H184="","",M184*20%)</f>
      </c>
      <c r="O184" s="3">
        <v>1</v>
      </c>
      <c r="P184" s="3">
        <f>IF($H184="","",I184-J184-K184-L184-M184-N184-O184)</f>
      </c>
      <c r="Q184" s="3">
        <f>IF($H184="","",(P184-Y184)/G184*100)</f>
      </c>
      <c r="R184" s="3">
        <f>IF($H184="","",J184-N184)</f>
      </c>
      <c r="Z184" s="3">
        <f>IF($H184="","",P184-Y184)</f>
      </c>
    </row>
    <row r="185" spans="1:28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IF($H185="","",H185/100*11)</f>
      </c>
      <c r="L185" s="3">
        <v>8.99</v>
      </c>
      <c r="M185" s="3"/>
      <c r="N185" s="3">
        <f>IF($H185="","",M185*20%)</f>
      </c>
      <c r="O185" s="3">
        <v>1</v>
      </c>
      <c r="P185" s="3">
        <f>IF($H185="","",I185-J185-K185-L185-M185-N185-O185)</f>
      </c>
      <c r="Q185" s="3">
        <f>IF($H185="","",(P185-Y185)/G185*100)</f>
      </c>
      <c r="R185" s="3">
        <f>IF($H185="","",J185-N185)</f>
      </c>
      <c r="Z185" s="3">
        <f>IF($H185="","",P185-Y185)</f>
      </c>
    </row>
    <row r="186" spans="1:28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IF($H186="","",H186/100*11)</f>
      </c>
      <c r="L186" s="3">
        <v>8.99</v>
      </c>
      <c r="M186" s="3"/>
      <c r="N186" s="3">
        <f>IF($H186="","",M186*20%)</f>
      </c>
      <c r="O186" s="3">
        <v>1</v>
      </c>
      <c r="P186" s="3">
        <f>IF($H186="","",I186-J186-K186-L186-M186-N186-O186)</f>
      </c>
      <c r="Q186" s="3">
        <f>IF($H186="","",(P186-Y186)/G186*100)</f>
      </c>
      <c r="R186" s="3">
        <f>IF($H186="","",J186-N186)</f>
      </c>
      <c r="Z186" s="3">
        <f>IF($H186="","",P186-Y186)</f>
      </c>
    </row>
    <row r="187" spans="1:28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IF($H187="","",H187/100*11)</f>
      </c>
      <c r="L187" s="3">
        <v>8.99</v>
      </c>
      <c r="M187" s="3"/>
      <c r="N187" s="3">
        <f>IF($H187="","",M187*20%)</f>
      </c>
      <c r="O187" s="3">
        <v>1</v>
      </c>
      <c r="P187" s="3">
        <f>IF($H187="","",I187-J187-K187-L187-M187-N187-O187)</f>
      </c>
      <c r="Q187" s="3">
        <f>IF($H187="","",(P187-Y187)/G187*100)</f>
      </c>
      <c r="R187" s="3">
        <f>IF($H187="","",J187-N187)</f>
      </c>
      <c r="Z187" s="3">
        <f>IF($H187="","",P187-Y187)</f>
      </c>
    </row>
    <row r="188" spans="1:28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IF($H188="","",H188/100*11)</f>
      </c>
      <c r="L188" s="3">
        <v>8.99</v>
      </c>
      <c r="M188" s="3"/>
      <c r="N188" s="3">
        <f>IF($H188="","",M188*20%)</f>
      </c>
      <c r="O188" s="3">
        <v>1</v>
      </c>
      <c r="P188" s="3">
        <f>IF($H188="","",I188-J188-K188-L188-M188-N188-O188)</f>
      </c>
      <c r="Q188" s="3">
        <f>IF($H188="","",(P188-Y188)/G188*100)</f>
      </c>
      <c r="R188" s="3">
        <f>IF($H188="","",J188-N188)</f>
      </c>
      <c r="Z188" s="3">
        <f>IF($H188="","",P188-Y188)</f>
      </c>
    </row>
    <row r="189" spans="1:28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IF($H189="","",H189/100*11)</f>
      </c>
      <c r="L189" s="3">
        <v>8.99</v>
      </c>
      <c r="M189" s="3"/>
      <c r="N189" s="3">
        <f>IF($H189="","",M189*20%)</f>
      </c>
      <c r="O189" s="3">
        <v>1</v>
      </c>
      <c r="P189" s="3">
        <f>IF($H189="","",I189-J189-K189-L189-M189-N189-O189)</f>
      </c>
      <c r="Q189" s="3">
        <f>IF($H189="","",(P189-Y189)/G189*100)</f>
      </c>
      <c r="R189" s="3">
        <f>IF($H189="","",J189-N189)</f>
      </c>
      <c r="Z189" s="3">
        <f>IF($H189="","",P189-Y189)</f>
      </c>
    </row>
    <row r="190" spans="1:28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IF($H190="","",H190/100*11)</f>
      </c>
      <c r="L190" s="3">
        <v>8.99</v>
      </c>
      <c r="M190" s="3"/>
      <c r="N190" s="3">
        <f>IF($H190="","",M190*20%)</f>
      </c>
      <c r="O190" s="3">
        <v>1</v>
      </c>
      <c r="P190" s="3">
        <f>IF($H190="","",I190-J190-K190-L190-M190-N190-O190)</f>
      </c>
      <c r="Q190" s="3">
        <f>IF($H190="","",(P190-Y190)/G190*100)</f>
      </c>
      <c r="R190" s="3">
        <f>IF($H190="","",J190-N190)</f>
      </c>
      <c r="Z190" s="3">
        <f>IF($H190="","",P190-Y190)</f>
      </c>
    </row>
    <row r="191" spans="1:28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IF($H191="","",H191/100*11)</f>
      </c>
      <c r="L191" s="3">
        <v>8.99</v>
      </c>
      <c r="M191" s="3"/>
      <c r="N191" s="3">
        <f>IF($H191="","",M191*20%)</f>
      </c>
      <c r="O191" s="3">
        <v>1</v>
      </c>
      <c r="P191" s="3">
        <f>IF($H191="","",I191-J191-K191-L191-M191-N191-O191)</f>
      </c>
      <c r="Q191" s="3">
        <f>IF($H191="","",(P191-Y191)/G191*100)</f>
      </c>
      <c r="R191" s="3">
        <f>IF($H191="","",J191-N191)</f>
      </c>
      <c r="Z191" s="3">
        <f>IF($H191="","",P191-Y191)</f>
      </c>
    </row>
    <row r="192" spans="1:28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IF($H192="","",H192/100*11)</f>
      </c>
      <c r="L192" s="3">
        <v>8.99</v>
      </c>
      <c r="M192" s="3"/>
      <c r="N192" s="3">
        <f>IF($H192="","",M192*20%)</f>
      </c>
      <c r="O192" s="3">
        <v>1</v>
      </c>
      <c r="P192" s="3">
        <f>IF($H192="","",I192-J192-K192-L192-M192-N192-O192)</f>
      </c>
      <c r="Q192" s="3">
        <f>IF($H192="","",(P192-Y192)/G192*100)</f>
      </c>
      <c r="R192" s="3">
        <f>IF($H192="","",J192-N192)</f>
      </c>
      <c r="Z192" s="3">
        <f>IF($H192="","",P192-Y192)</f>
      </c>
    </row>
    <row r="193" spans="1:28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IF($H193="","",H193/100*11)</f>
      </c>
      <c r="L193" s="3">
        <v>8.99</v>
      </c>
      <c r="M193" s="3"/>
      <c r="N193" s="3">
        <f>IF($H193="","",M193*20%)</f>
      </c>
      <c r="O193" s="3">
        <v>1</v>
      </c>
      <c r="P193" s="3">
        <f>IF($H193="","",I193-J193-K193-L193-M193-N193-O193)</f>
      </c>
      <c r="Q193" s="3">
        <f>IF($H193="","",(P193-Y193)/G193*100)</f>
      </c>
      <c r="R193" s="3">
        <f>IF($H193="","",J193-N193)</f>
      </c>
      <c r="Z193" s="3">
        <f>IF($H193="","",P193-Y193)</f>
      </c>
    </row>
    <row r="194" spans="1:28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IF($H194="","",H194/100*11)</f>
      </c>
      <c r="L194" s="3">
        <v>8.99</v>
      </c>
      <c r="M194" s="3"/>
      <c r="N194" s="3">
        <f>IF($H194="","",M194*20%)</f>
      </c>
      <c r="O194" s="3">
        <v>1</v>
      </c>
      <c r="P194" s="3">
        <f>IF($H194="","",I194-J194-K194-L194-M194-N194-O194)</f>
      </c>
      <c r="Q194" s="3">
        <f>IF($H194="","",(P194-Y194)/G194*100)</f>
      </c>
      <c r="R194" s="3">
        <f>IF($H194="","",J194-N194)</f>
      </c>
      <c r="Z194" s="3">
        <f>IF($H194="","",P194-Y194)</f>
      </c>
    </row>
    <row r="195" spans="1:28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IF($H195="","",H195/100*11)</f>
      </c>
      <c r="L195" s="3">
        <v>8.99</v>
      </c>
      <c r="M195" s="3"/>
      <c r="N195" s="3">
        <f>IF($H195="","",M195*20%)</f>
      </c>
      <c r="O195" s="3">
        <v>1</v>
      </c>
      <c r="P195" s="3">
        <f>IF($H195="","",I195-J195-K195-L195-M195-N195-O195)</f>
      </c>
      <c r="Q195" s="3">
        <f>IF($H195="","",(P195-Y195)/G195*100)</f>
      </c>
      <c r="R195" s="3">
        <f>IF($H195="","",J195-N195)</f>
      </c>
      <c r="Z195" s="3">
        <f>IF($H195="","",P195-Y195)</f>
      </c>
    </row>
    <row r="196" spans="1:28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IF($H196="","",H196/100*11)</f>
      </c>
      <c r="L196" s="3">
        <v>8.99</v>
      </c>
      <c r="M196" s="3"/>
      <c r="N196" s="3">
        <f>IF($H196="","",M196*20%)</f>
      </c>
      <c r="O196" s="3">
        <v>1</v>
      </c>
      <c r="P196" s="3">
        <f>IF($H196="","",I196-J196-K196-L196-M196-N196-O196)</f>
      </c>
      <c r="Q196" s="3">
        <f>IF($H196="","",(P196-Y196)/G196*100)</f>
      </c>
      <c r="R196" s="3">
        <f>IF($H196="","",J196-N196)</f>
      </c>
      <c r="Z196" s="3">
        <f>IF($H196="","",P196-Y196)</f>
      </c>
    </row>
    <row r="197" spans="1:28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IF($H197="","",H197/100*11)</f>
      </c>
      <c r="L197" s="3">
        <v>8.99</v>
      </c>
      <c r="M197" s="3"/>
      <c r="N197" s="3">
        <f>IF($H197="","",M197*20%)</f>
      </c>
      <c r="O197" s="3">
        <v>1</v>
      </c>
      <c r="P197" s="3">
        <f>IF($H197="","",I197-J197-K197-L197-M197-N197-O197)</f>
      </c>
      <c r="Q197" s="3">
        <f>IF($H197="","",(P197-Y197)/G197*100)</f>
      </c>
      <c r="R197" s="3">
        <f>IF($H197="","",J197-N197)</f>
      </c>
      <c r="Z197" s="3">
        <f>IF($H197="","",P197-Y197)</f>
      </c>
    </row>
    <row r="198" spans="1:28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IF($H198="","",H198/100*11)</f>
      </c>
      <c r="L198" s="3">
        <v>8.99</v>
      </c>
      <c r="M198" s="3"/>
      <c r="N198" s="3">
        <f>IF($H198="","",M198*20%)</f>
      </c>
      <c r="O198" s="3">
        <v>1</v>
      </c>
      <c r="P198" s="3">
        <f>IF($H198="","",I198-J198-K198-L198-M198-N198-O198)</f>
      </c>
      <c r="Q198" s="3">
        <f>IF($H198="","",(P198-Y198)/G198*100)</f>
      </c>
      <c r="R198" s="3">
        <f>IF($H198="","",J198-N198)</f>
      </c>
      <c r="Z198" s="3">
        <f>IF($H198="","",P198-Y198)</f>
      </c>
    </row>
    <row r="199" spans="1:28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IF($H199="","",H199/100*11)</f>
      </c>
      <c r="L199" s="3">
        <v>8.99</v>
      </c>
      <c r="M199" s="3"/>
      <c r="N199" s="3">
        <f>IF($H199="","",M199*20%)</f>
      </c>
      <c r="O199" s="3">
        <v>1</v>
      </c>
      <c r="P199" s="3">
        <f>IF($H199="","",I199-J199-K199-L199-M199-N199-O199)</f>
      </c>
      <c r="Q199" s="3">
        <f>IF($H199="","",(P199-Y199)/G199*100)</f>
      </c>
      <c r="R199" s="3">
        <f>IF($H199="","",J199-N199)</f>
      </c>
      <c r="Z199" s="3">
        <f>IF($H199="","",P199-Y199)</f>
      </c>
    </row>
    <row r="200" spans="1:28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IF($H200="","",H200/100*11)</f>
      </c>
      <c r="L200" s="3">
        <v>8.99</v>
      </c>
      <c r="M200" s="3"/>
      <c r="N200" s="3">
        <f>IF($H200="","",M200*20%)</f>
      </c>
      <c r="O200" s="3">
        <v>1</v>
      </c>
      <c r="P200" s="3">
        <f>IF($H200="","",I200-J200-K200-L200-M200-N200-O200)</f>
      </c>
      <c r="Q200" s="3">
        <f>IF($H200="","",(P200-Y200)/G200*100)</f>
      </c>
      <c r="R200" s="3">
        <f>IF($H200="","",J200-N200)</f>
      </c>
      <c r="Z200" s="3">
        <f>IF($H200="","",P200-Y200)</f>
      </c>
    </row>
    <row r="201" spans="1:28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IF($H201="","",H201/100*11)</f>
      </c>
      <c r="L201" s="3">
        <v>8.99</v>
      </c>
      <c r="M201" s="3"/>
      <c r="N201" s="3">
        <f>IF($H201="","",M201*20%)</f>
      </c>
      <c r="O201" s="3">
        <v>1</v>
      </c>
      <c r="P201" s="3">
        <f>IF($H201="","",I201-J201-K201-L201-M201-N201-O201)</f>
      </c>
      <c r="Q201" s="3">
        <f>IF($H201="","",(P201-Y201)/G201*100)</f>
      </c>
      <c r="R201" s="3">
        <f>IF($H201="","",J201-N201)</f>
      </c>
      <c r="Z201" s="3">
        <f>IF($H201="","",P201-Y201)</f>
      </c>
    </row>
    <row r="202" spans="1:28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IF($H202="","",H202/100*11)</f>
      </c>
      <c r="L202" s="3">
        <v>8.99</v>
      </c>
      <c r="M202" s="3"/>
      <c r="N202" s="3">
        <f>IF($H202="","",M202*20%)</f>
      </c>
      <c r="O202" s="3">
        <v>1</v>
      </c>
      <c r="P202" s="3">
        <f>IF($H202="","",I202-J202-K202-L202-M202-N202-O202)</f>
      </c>
      <c r="Q202" s="3">
        <f>IF($H202="","",(P202-Y202)/G202*100)</f>
      </c>
      <c r="R202" s="3">
        <f>IF($H202="","",J202-N202)</f>
      </c>
      <c r="Z202" s="3">
        <f>IF($H202="","",P202-Y202)</f>
      </c>
    </row>
    <row r="203" spans="1:28" s="4" customFormat="1" x14ac:dyDescent="0.25">
      <c r="A203" s="5" t="s">
        <v>33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IFERROR((P203-Y203)/G203*100,0)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BM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2026-08-02T17:34:16Z</dcterms:created>
  <dcterms:modified xsi:type="dcterms:W3CDTF">2026-08-02T17:34:16Z</dcterms:modified>
</cp:coreProperties>
</file>