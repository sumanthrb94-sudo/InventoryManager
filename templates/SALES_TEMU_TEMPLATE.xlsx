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6" name="TEMU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<sst xmlns="http://schemas.openxmlformats.org/spreadsheetml/2006/main" count="61" uniqueCount="58">
  <si>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</si>
  <si>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</si>
  <si>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</si>
  <si>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</si>
  <si>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</si>
  <si>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</si>
  <si>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</si>
  <si>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</si>
  <si>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</si>
  <si>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</si>
  <si>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</si>
  <si>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</si>
  <si>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</si>
  <si>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</si>
  <si>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Commission VAT</t>
  </si>
  <si>
    <t>Commission+VAT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</si>
  <si>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</si>
  <si>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</si>
  <si>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</si>
  <si>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</si>
  <si>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</si>
  <si>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</si>
  <si>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</si>
  <si>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</si>
  <si>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</si>
  <si>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</si>
  <si>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</si>
  <si>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</si>
  <si>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Net GP £</t>
  </si>
  <si>
    <t>Return Date</t>
  </si>
  <si>
    <t>Outcome</t>
  </si>
  <si>
    <t>Shipping Legs</t>
  </si>
  <si>
    <t>Return Reason</t>
  </si>
  <si>
    <t>Comments</t>
  </si>
  <si>
    <t>PO-210-07053322437751959</t>
  </si>
  <si>
    <t>SG-A17-128GB-OB</t>
  </si>
  <si>
    <t>350901801557294</t>
  </si>
  <si>
    <t>Samsung Galaxy A17 128GB</t>
  </si>
  <si>
    <t/>
  </si>
  <si>
    <t>MHL</t>
  </si>
  <si>
    <t>TOTAL</t>
  </si>
  <si>
    <t>SALES TEMPLATE — same columns as the Sales Report</t>
  </si>
  <si>
    <t>What this is</t>
  </si>
  <si>
    <t>One sheet per marketplace (TEMU),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</si>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</sst>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41</v>
      </c>
      <c r="B1" t="s">
        <v>38</v>
      </c>
    </row>
    <row r="3" spans="1:2" x14ac:dyDescent="0.25">
      <c r="A3" s="4" t="s">
        <v>42</v>
      </c>
      <c r="B3" s="8" t="s">
        <v>43</v>
      </c>
    </row>
    <row r="4" spans="1:2" x14ac:dyDescent="0.25">
      <c r="A4" s="4" t="s">
        <v>44</v>
      </c>
      <c r="B4" s="8" t="s">
        <v>45</v>
      </c>
    </row>
    <row r="5" spans="1:2" x14ac:dyDescent="0.25">
      <c r="A5" s="4" t="s">
        <v>46</v>
      </c>
      <c r="B5" s="8" t="s">
        <v>47</v>
      </c>
    </row>
    <row r="6" spans="1:2" x14ac:dyDescent="0.25">
      <c r="A6" s="4" t="s">
        <v>48</v>
      </c>
      <c r="B6" s="8" t="s">
        <v>49</v>
      </c>
    </row>
    <row r="7" spans="1:2" x14ac:dyDescent="0.25">
      <c r="A7" s="4" t="s">
        <v>50</v>
      </c>
      <c r="B7" s="8" t="s">
        <v>51</v>
      </c>
    </row>
    <row r="8" spans="1:2" x14ac:dyDescent="0.25">
      <c r="A8" s="4" t="s">
        <v>52</v>
      </c>
      <c r="B8" s="8" t="s">
        <v>53</v>
      </c>
    </row>
    <row r="9" spans="1:2" x14ac:dyDescent="0.25">
      <c r="A9" s="4" t="s">
        <v>54</v>
      </c>
      <c r="B9" s="8" t="s">
        <v>55</v>
      </c>
    </row>
    <row r="10" spans="1:2" x14ac:dyDescent="0.25">
      <c r="A10" s="4" t="s">
        <v>56</v>
      </c>
      <c r="B10" s="8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 x14ac:dyDescent="0.25">
      <c r="A2" s="1">
        <v>46235.5</v>
      </c>
      <c r="B2" t="s">
        <v>34</v>
      </c>
      <c r="C2" t="s">
        <v>35</v>
      </c>
      <c r="D2" s="2" t="s">
        <v>36</v>
      </c>
      <c r="E2" t="s">
        <v>37</v>
      </c>
      <c r="F2" t="s">
        <v>38</v>
      </c>
      <c r="G2" t="s">
        <v>38</v>
      </c>
      <c r="H2" t="s">
        <v>39</v>
      </c>
      <c r="I2">
        <v>1</v>
      </c>
      <c r="J2" s="3">
        <v>55</v>
      </c>
      <c r="K2" s="3">
        <v>83.99</v>
      </c>
      <c r="L2" s="3">
        <f>K2-J2</f>
      </c>
      <c r="M2" s="3">
        <f>L2*16.67%</f>
      </c>
      <c r="N2" s="3">
        <f>K2*4.61%</f>
      </c>
      <c r="O2" s="3">
        <f>N2*20%</f>
      </c>
      <c r="P2" s="3">
        <f>N2+O2</f>
      </c>
      <c r="Q2" s="3">
        <v>6.3</v>
      </c>
      <c r="R2" s="3">
        <f>Q2*20%</f>
      </c>
      <c r="S2" s="3">
        <v>1</v>
      </c>
      <c r="T2" s="3">
        <f>R2</f>
      </c>
      <c r="U2" s="3">
        <f>L2-M2-N2-Q2-R2-S2</f>
      </c>
      <c r="V2" s="3">
        <f>(U2-AB2)/J2*100</f>
      </c>
      <c r="W2" s="3">
        <f>M2-T2</f>
      </c>
      <c r="AC2" s="3">
        <f>U2-AB2</f>
      </c>
      <c r="AH2" t="s">
        <v>38</v>
      </c>
    </row>
    <row r="3" spans="1:29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IF($K3="","",K3*3.96%)</f>
      </c>
      <c r="O3" s="3">
        <f>IF($K3="","",N3*20%)</f>
      </c>
      <c r="P3" s="3">
        <f>IF($K3="","",N3+O3)</f>
      </c>
      <c r="Q3" s="3"/>
      <c r="R3" s="3">
        <f>IF($K3="","",Q3*20%)</f>
      </c>
      <c r="S3" s="3">
        <v>1</v>
      </c>
      <c r="T3" s="3">
        <f>IF($K3="","",R3)</f>
      </c>
      <c r="U3" s="3">
        <f>IF($K3="","",L3-M3-N3-Q3-R3-S3)</f>
      </c>
      <c r="V3" s="3">
        <f>IF($K3="","",(U3-AB3)/J3*100)</f>
      </c>
      <c r="W3" s="3">
        <f>IF($K3="","",M3-T3)</f>
      </c>
      <c r="AC3" s="3">
        <f>IF($K3="","",U3-AB3)</f>
      </c>
    </row>
    <row r="4" spans="1:29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IF($K4="","",K4*3.96%)</f>
      </c>
      <c r="O4" s="3">
        <f>IF($K4="","",N4*20%)</f>
      </c>
      <c r="P4" s="3">
        <f>IF($K4="","",N4+O4)</f>
      </c>
      <c r="Q4" s="3"/>
      <c r="R4" s="3">
        <f>IF($K4="","",Q4*20%)</f>
      </c>
      <c r="S4" s="3">
        <v>1</v>
      </c>
      <c r="T4" s="3">
        <f>IF($K4="","",R4)</f>
      </c>
      <c r="U4" s="3">
        <f>IF($K4="","",L4-M4-N4-Q4-R4-S4)</f>
      </c>
      <c r="V4" s="3">
        <f>IF($K4="","",(U4-AB4)/J4*100)</f>
      </c>
      <c r="W4" s="3">
        <f>IF($K4="","",M4-T4)</f>
      </c>
      <c r="AC4" s="3">
        <f>IF($K4="","",U4-AB4)</f>
      </c>
    </row>
    <row r="5" spans="1:29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IF($K5="","",K5*3.96%)</f>
      </c>
      <c r="O5" s="3">
        <f>IF($K5="","",N5*20%)</f>
      </c>
      <c r="P5" s="3">
        <f>IF($K5="","",N5+O5)</f>
      </c>
      <c r="Q5" s="3"/>
      <c r="R5" s="3">
        <f>IF($K5="","",Q5*20%)</f>
      </c>
      <c r="S5" s="3">
        <v>1</v>
      </c>
      <c r="T5" s="3">
        <f>IF($K5="","",R5)</f>
      </c>
      <c r="U5" s="3">
        <f>IF($K5="","",L5-M5-N5-Q5-R5-S5)</f>
      </c>
      <c r="V5" s="3">
        <f>IF($K5="","",(U5-AB5)/J5*100)</f>
      </c>
      <c r="W5" s="3">
        <f>IF($K5="","",M5-T5)</f>
      </c>
      <c r="AC5" s="3">
        <f>IF($K5="","",U5-AB5)</f>
      </c>
    </row>
    <row r="6" spans="1:29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IF($K6="","",K6*3.96%)</f>
      </c>
      <c r="O6" s="3">
        <f>IF($K6="","",N6*20%)</f>
      </c>
      <c r="P6" s="3">
        <f>IF($K6="","",N6+O6)</f>
      </c>
      <c r="Q6" s="3"/>
      <c r="R6" s="3">
        <f>IF($K6="","",Q6*20%)</f>
      </c>
      <c r="S6" s="3">
        <v>1</v>
      </c>
      <c r="T6" s="3">
        <f>IF($K6="","",R6)</f>
      </c>
      <c r="U6" s="3">
        <f>IF($K6="","",L6-M6-N6-Q6-R6-S6)</f>
      </c>
      <c r="V6" s="3">
        <f>IF($K6="","",(U6-AB6)/J6*100)</f>
      </c>
      <c r="W6" s="3">
        <f>IF($K6="","",M6-T6)</f>
      </c>
      <c r="AC6" s="3">
        <f>IF($K6="","",U6-AB6)</f>
      </c>
    </row>
    <row r="7" spans="1:29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IF($K7="","",K7*3.96%)</f>
      </c>
      <c r="O7" s="3">
        <f>IF($K7="","",N7*20%)</f>
      </c>
      <c r="P7" s="3">
        <f>IF($K7="","",N7+O7)</f>
      </c>
      <c r="Q7" s="3"/>
      <c r="R7" s="3">
        <f>IF($K7="","",Q7*20%)</f>
      </c>
      <c r="S7" s="3">
        <v>1</v>
      </c>
      <c r="T7" s="3">
        <f>IF($K7="","",R7)</f>
      </c>
      <c r="U7" s="3">
        <f>IF($K7="","",L7-M7-N7-Q7-R7-S7)</f>
      </c>
      <c r="V7" s="3">
        <f>IF($K7="","",(U7-AB7)/J7*100)</f>
      </c>
      <c r="W7" s="3">
        <f>IF($K7="","",M7-T7)</f>
      </c>
      <c r="AC7" s="3">
        <f>IF($K7="","",U7-AB7)</f>
      </c>
    </row>
    <row r="8" spans="1:29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IF($K8="","",K8*3.96%)</f>
      </c>
      <c r="O8" s="3">
        <f>IF($K8="","",N8*20%)</f>
      </c>
      <c r="P8" s="3">
        <f>IF($K8="","",N8+O8)</f>
      </c>
      <c r="Q8" s="3"/>
      <c r="R8" s="3">
        <f>IF($K8="","",Q8*20%)</f>
      </c>
      <c r="S8" s="3">
        <v>1</v>
      </c>
      <c r="T8" s="3">
        <f>IF($K8="","",R8)</f>
      </c>
      <c r="U8" s="3">
        <f>IF($K8="","",L8-M8-N8-Q8-R8-S8)</f>
      </c>
      <c r="V8" s="3">
        <f>IF($K8="","",(U8-AB8)/J8*100)</f>
      </c>
      <c r="W8" s="3">
        <f>IF($K8="","",M8-T8)</f>
      </c>
      <c r="AC8" s="3">
        <f>IF($K8="","",U8-AB8)</f>
      </c>
    </row>
    <row r="9" spans="1:29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IF($K9="","",K9*3.96%)</f>
      </c>
      <c r="O9" s="3">
        <f>IF($K9="","",N9*20%)</f>
      </c>
      <c r="P9" s="3">
        <f>IF($K9="","",N9+O9)</f>
      </c>
      <c r="Q9" s="3"/>
      <c r="R9" s="3">
        <f>IF($K9="","",Q9*20%)</f>
      </c>
      <c r="S9" s="3">
        <v>1</v>
      </c>
      <c r="T9" s="3">
        <f>IF($K9="","",R9)</f>
      </c>
      <c r="U9" s="3">
        <f>IF($K9="","",L9-M9-N9-Q9-R9-S9)</f>
      </c>
      <c r="V9" s="3">
        <f>IF($K9="","",(U9-AB9)/J9*100)</f>
      </c>
      <c r="W9" s="3">
        <f>IF($K9="","",M9-T9)</f>
      </c>
      <c r="AC9" s="3">
        <f>IF($K9="","",U9-AB9)</f>
      </c>
    </row>
    <row r="10" spans="1:29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IF($K10="","",K10*3.96%)</f>
      </c>
      <c r="O10" s="3">
        <f>IF($K10="","",N10*20%)</f>
      </c>
      <c r="P10" s="3">
        <f>IF($K10="","",N10+O10)</f>
      </c>
      <c r="Q10" s="3"/>
      <c r="R10" s="3">
        <f>IF($K10="","",Q10*20%)</f>
      </c>
      <c r="S10" s="3">
        <v>1</v>
      </c>
      <c r="T10" s="3">
        <f>IF($K10="","",R10)</f>
      </c>
      <c r="U10" s="3">
        <f>IF($K10="","",L10-M10-N10-Q10-R10-S10)</f>
      </c>
      <c r="V10" s="3">
        <f>IF($K10="","",(U10-AB10)/J10*100)</f>
      </c>
      <c r="W10" s="3">
        <f>IF($K10="","",M10-T10)</f>
      </c>
      <c r="AC10" s="3">
        <f>IF($K10="","",U10-AB10)</f>
      </c>
    </row>
    <row r="11" spans="1:29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IF($K11="","",K11*3.96%)</f>
      </c>
      <c r="O11" s="3">
        <f>IF($K11="","",N11*20%)</f>
      </c>
      <c r="P11" s="3">
        <f>IF($K11="","",N11+O11)</f>
      </c>
      <c r="Q11" s="3"/>
      <c r="R11" s="3">
        <f>IF($K11="","",Q11*20%)</f>
      </c>
      <c r="S11" s="3">
        <v>1</v>
      </c>
      <c r="T11" s="3">
        <f>IF($K11="","",R11)</f>
      </c>
      <c r="U11" s="3">
        <f>IF($K11="","",L11-M11-N11-Q11-R11-S11)</f>
      </c>
      <c r="V11" s="3">
        <f>IF($K11="","",(U11-AB11)/J11*100)</f>
      </c>
      <c r="W11" s="3">
        <f>IF($K11="","",M11-T11)</f>
      </c>
      <c r="AC11" s="3">
        <f>IF($K11="","",U11-AB11)</f>
      </c>
    </row>
    <row r="12" spans="1:29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IF($K12="","",K12*3.96%)</f>
      </c>
      <c r="O12" s="3">
        <f>IF($K12="","",N12*20%)</f>
      </c>
      <c r="P12" s="3">
        <f>IF($K12="","",N12+O12)</f>
      </c>
      <c r="Q12" s="3"/>
      <c r="R12" s="3">
        <f>IF($K12="","",Q12*20%)</f>
      </c>
      <c r="S12" s="3">
        <v>1</v>
      </c>
      <c r="T12" s="3">
        <f>IF($K12="","",R12)</f>
      </c>
      <c r="U12" s="3">
        <f>IF($K12="","",L12-M12-N12-Q12-R12-S12)</f>
      </c>
      <c r="V12" s="3">
        <f>IF($K12="","",(U12-AB12)/J12*100)</f>
      </c>
      <c r="W12" s="3">
        <f>IF($K12="","",M12-T12)</f>
      </c>
      <c r="AC12" s="3">
        <f>IF($K12="","",U12-AB12)</f>
      </c>
    </row>
    <row r="13" spans="1:29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IF($K13="","",K13*3.96%)</f>
      </c>
      <c r="O13" s="3">
        <f>IF($K13="","",N13*20%)</f>
      </c>
      <c r="P13" s="3">
        <f>IF($K13="","",N13+O13)</f>
      </c>
      <c r="Q13" s="3"/>
      <c r="R13" s="3">
        <f>IF($K13="","",Q13*20%)</f>
      </c>
      <c r="S13" s="3">
        <v>1</v>
      </c>
      <c r="T13" s="3">
        <f>IF($K13="","",R13)</f>
      </c>
      <c r="U13" s="3">
        <f>IF($K13="","",L13-M13-N13-Q13-R13-S13)</f>
      </c>
      <c r="V13" s="3">
        <f>IF($K13="","",(U13-AB13)/J13*100)</f>
      </c>
      <c r="W13" s="3">
        <f>IF($K13="","",M13-T13)</f>
      </c>
      <c r="AC13" s="3">
        <f>IF($K13="","",U13-AB13)</f>
      </c>
    </row>
    <row r="14" spans="1:29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IF($K14="","",K14*3.96%)</f>
      </c>
      <c r="O14" s="3">
        <f>IF($K14="","",N14*20%)</f>
      </c>
      <c r="P14" s="3">
        <f>IF($K14="","",N14+O14)</f>
      </c>
      <c r="Q14" s="3"/>
      <c r="R14" s="3">
        <f>IF($K14="","",Q14*20%)</f>
      </c>
      <c r="S14" s="3">
        <v>1</v>
      </c>
      <c r="T14" s="3">
        <f>IF($K14="","",R14)</f>
      </c>
      <c r="U14" s="3">
        <f>IF($K14="","",L14-M14-N14-Q14-R14-S14)</f>
      </c>
      <c r="V14" s="3">
        <f>IF($K14="","",(U14-AB14)/J14*100)</f>
      </c>
      <c r="W14" s="3">
        <f>IF($K14="","",M14-T14)</f>
      </c>
      <c r="AC14" s="3">
        <f>IF($K14="","",U14-AB14)</f>
      </c>
    </row>
    <row r="15" spans="1:29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IF($K15="","",K15*3.96%)</f>
      </c>
      <c r="O15" s="3">
        <f>IF($K15="","",N15*20%)</f>
      </c>
      <c r="P15" s="3">
        <f>IF($K15="","",N15+O15)</f>
      </c>
      <c r="Q15" s="3"/>
      <c r="R15" s="3">
        <f>IF($K15="","",Q15*20%)</f>
      </c>
      <c r="S15" s="3">
        <v>1</v>
      </c>
      <c r="T15" s="3">
        <f>IF($K15="","",R15)</f>
      </c>
      <c r="U15" s="3">
        <f>IF($K15="","",L15-M15-N15-Q15-R15-S15)</f>
      </c>
      <c r="V15" s="3">
        <f>IF($K15="","",(U15-AB15)/J15*100)</f>
      </c>
      <c r="W15" s="3">
        <f>IF($K15="","",M15-T15)</f>
      </c>
      <c r="AC15" s="3">
        <f>IF($K15="","",U15-AB15)</f>
      </c>
    </row>
    <row r="16" spans="1:29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IF($K16="","",K16*3.96%)</f>
      </c>
      <c r="O16" s="3">
        <f>IF($K16="","",N16*20%)</f>
      </c>
      <c r="P16" s="3">
        <f>IF($K16="","",N16+O16)</f>
      </c>
      <c r="Q16" s="3"/>
      <c r="R16" s="3">
        <f>IF($K16="","",Q16*20%)</f>
      </c>
      <c r="S16" s="3">
        <v>1</v>
      </c>
      <c r="T16" s="3">
        <f>IF($K16="","",R16)</f>
      </c>
      <c r="U16" s="3">
        <f>IF($K16="","",L16-M16-N16-Q16-R16-S16)</f>
      </c>
      <c r="V16" s="3">
        <f>IF($K16="","",(U16-AB16)/J16*100)</f>
      </c>
      <c r="W16" s="3">
        <f>IF($K16="","",M16-T16)</f>
      </c>
      <c r="AC16" s="3">
        <f>IF($K16="","",U16-AB16)</f>
      </c>
    </row>
    <row r="17" spans="1:29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IF($K17="","",K17*3.96%)</f>
      </c>
      <c r="O17" s="3">
        <f>IF($K17="","",N17*20%)</f>
      </c>
      <c r="P17" s="3">
        <f>IF($K17="","",N17+O17)</f>
      </c>
      <c r="Q17" s="3"/>
      <c r="R17" s="3">
        <f>IF($K17="","",Q17*20%)</f>
      </c>
      <c r="S17" s="3">
        <v>1</v>
      </c>
      <c r="T17" s="3">
        <f>IF($K17="","",R17)</f>
      </c>
      <c r="U17" s="3">
        <f>IF($K17="","",L17-M17-N17-Q17-R17-S17)</f>
      </c>
      <c r="V17" s="3">
        <f>IF($K17="","",(U17-AB17)/J17*100)</f>
      </c>
      <c r="W17" s="3">
        <f>IF($K17="","",M17-T17)</f>
      </c>
      <c r="AC17" s="3">
        <f>IF($K17="","",U17-AB17)</f>
      </c>
    </row>
    <row r="18" spans="1:29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IF($K18="","",K18*3.96%)</f>
      </c>
      <c r="O18" s="3">
        <f>IF($K18="","",N18*20%)</f>
      </c>
      <c r="P18" s="3">
        <f>IF($K18="","",N18+O18)</f>
      </c>
      <c r="Q18" s="3"/>
      <c r="R18" s="3">
        <f>IF($K18="","",Q18*20%)</f>
      </c>
      <c r="S18" s="3">
        <v>1</v>
      </c>
      <c r="T18" s="3">
        <f>IF($K18="","",R18)</f>
      </c>
      <c r="U18" s="3">
        <f>IF($K18="","",L18-M18-N18-Q18-R18-S18)</f>
      </c>
      <c r="V18" s="3">
        <f>IF($K18="","",(U18-AB18)/J18*100)</f>
      </c>
      <c r="W18" s="3">
        <f>IF($K18="","",M18-T18)</f>
      </c>
      <c r="AC18" s="3">
        <f>IF($K18="","",U18-AB18)</f>
      </c>
    </row>
    <row r="19" spans="1:29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IF($K19="","",K19*3.96%)</f>
      </c>
      <c r="O19" s="3">
        <f>IF($K19="","",N19*20%)</f>
      </c>
      <c r="P19" s="3">
        <f>IF($K19="","",N19+O19)</f>
      </c>
      <c r="Q19" s="3"/>
      <c r="R19" s="3">
        <f>IF($K19="","",Q19*20%)</f>
      </c>
      <c r="S19" s="3">
        <v>1</v>
      </c>
      <c r="T19" s="3">
        <f>IF($K19="","",R19)</f>
      </c>
      <c r="U19" s="3">
        <f>IF($K19="","",L19-M19-N19-Q19-R19-S19)</f>
      </c>
      <c r="V19" s="3">
        <f>IF($K19="","",(U19-AB19)/J19*100)</f>
      </c>
      <c r="W19" s="3">
        <f>IF($K19="","",M19-T19)</f>
      </c>
      <c r="AC19" s="3">
        <f>IF($K19="","",U19-AB19)</f>
      </c>
    </row>
    <row r="20" spans="1:29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IF($K20="","",K20*3.96%)</f>
      </c>
      <c r="O20" s="3">
        <f>IF($K20="","",N20*20%)</f>
      </c>
      <c r="P20" s="3">
        <f>IF($K20="","",N20+O20)</f>
      </c>
      <c r="Q20" s="3"/>
      <c r="R20" s="3">
        <f>IF($K20="","",Q20*20%)</f>
      </c>
      <c r="S20" s="3">
        <v>1</v>
      </c>
      <c r="T20" s="3">
        <f>IF($K20="","",R20)</f>
      </c>
      <c r="U20" s="3">
        <f>IF($K20="","",L20-M20-N20-Q20-R20-S20)</f>
      </c>
      <c r="V20" s="3">
        <f>IF($K20="","",(U20-AB20)/J20*100)</f>
      </c>
      <c r="W20" s="3">
        <f>IF($K20="","",M20-T20)</f>
      </c>
      <c r="AC20" s="3">
        <f>IF($K20="","",U20-AB20)</f>
      </c>
    </row>
    <row r="21" spans="1:29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IF($K21="","",K21*3.96%)</f>
      </c>
      <c r="O21" s="3">
        <f>IF($K21="","",N21*20%)</f>
      </c>
      <c r="P21" s="3">
        <f>IF($K21="","",N21+O21)</f>
      </c>
      <c r="Q21" s="3"/>
      <c r="R21" s="3">
        <f>IF($K21="","",Q21*20%)</f>
      </c>
      <c r="S21" s="3">
        <v>1</v>
      </c>
      <c r="T21" s="3">
        <f>IF($K21="","",R21)</f>
      </c>
      <c r="U21" s="3">
        <f>IF($K21="","",L21-M21-N21-Q21-R21-S21)</f>
      </c>
      <c r="V21" s="3">
        <f>IF($K21="","",(U21-AB21)/J21*100)</f>
      </c>
      <c r="W21" s="3">
        <f>IF($K21="","",M21-T21)</f>
      </c>
      <c r="AC21" s="3">
        <f>IF($K21="","",U21-AB21)</f>
      </c>
    </row>
    <row r="22" spans="1:29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IF($K22="","",K22*3.96%)</f>
      </c>
      <c r="O22" s="3">
        <f>IF($K22="","",N22*20%)</f>
      </c>
      <c r="P22" s="3">
        <f>IF($K22="","",N22+O22)</f>
      </c>
      <c r="Q22" s="3"/>
      <c r="R22" s="3">
        <f>IF($K22="","",Q22*20%)</f>
      </c>
      <c r="S22" s="3">
        <v>1</v>
      </c>
      <c r="T22" s="3">
        <f>IF($K22="","",R22)</f>
      </c>
      <c r="U22" s="3">
        <f>IF($K22="","",L22-M22-N22-Q22-R22-S22)</f>
      </c>
      <c r="V22" s="3">
        <f>IF($K22="","",(U22-AB22)/J22*100)</f>
      </c>
      <c r="W22" s="3">
        <f>IF($K22="","",M22-T22)</f>
      </c>
      <c r="AC22" s="3">
        <f>IF($K22="","",U22-AB22)</f>
      </c>
    </row>
    <row r="23" spans="1:29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IF($K23="","",K23*3.96%)</f>
      </c>
      <c r="O23" s="3">
        <f>IF($K23="","",N23*20%)</f>
      </c>
      <c r="P23" s="3">
        <f>IF($K23="","",N23+O23)</f>
      </c>
      <c r="Q23" s="3"/>
      <c r="R23" s="3">
        <f>IF($K23="","",Q23*20%)</f>
      </c>
      <c r="S23" s="3">
        <v>1</v>
      </c>
      <c r="T23" s="3">
        <f>IF($K23="","",R23)</f>
      </c>
      <c r="U23" s="3">
        <f>IF($K23="","",L23-M23-N23-Q23-R23-S23)</f>
      </c>
      <c r="V23" s="3">
        <f>IF($K23="","",(U23-AB23)/J23*100)</f>
      </c>
      <c r="W23" s="3">
        <f>IF($K23="","",M23-T23)</f>
      </c>
      <c r="AC23" s="3">
        <f>IF($K23="","",U23-AB23)</f>
      </c>
    </row>
    <row r="24" spans="1:29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IF($K24="","",K24*3.96%)</f>
      </c>
      <c r="O24" s="3">
        <f>IF($K24="","",N24*20%)</f>
      </c>
      <c r="P24" s="3">
        <f>IF($K24="","",N24+O24)</f>
      </c>
      <c r="Q24" s="3"/>
      <c r="R24" s="3">
        <f>IF($K24="","",Q24*20%)</f>
      </c>
      <c r="S24" s="3">
        <v>1</v>
      </c>
      <c r="T24" s="3">
        <f>IF($K24="","",R24)</f>
      </c>
      <c r="U24" s="3">
        <f>IF($K24="","",L24-M24-N24-Q24-R24-S24)</f>
      </c>
      <c r="V24" s="3">
        <f>IF($K24="","",(U24-AB24)/J24*100)</f>
      </c>
      <c r="W24" s="3">
        <f>IF($K24="","",M24-T24)</f>
      </c>
      <c r="AC24" s="3">
        <f>IF($K24="","",U24-AB24)</f>
      </c>
    </row>
    <row r="25" spans="1:29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IF($K25="","",K25*3.96%)</f>
      </c>
      <c r="O25" s="3">
        <f>IF($K25="","",N25*20%)</f>
      </c>
      <c r="P25" s="3">
        <f>IF($K25="","",N25+O25)</f>
      </c>
      <c r="Q25" s="3"/>
      <c r="R25" s="3">
        <f>IF($K25="","",Q25*20%)</f>
      </c>
      <c r="S25" s="3">
        <v>1</v>
      </c>
      <c r="T25" s="3">
        <f>IF($K25="","",R25)</f>
      </c>
      <c r="U25" s="3">
        <f>IF($K25="","",L25-M25-N25-Q25-R25-S25)</f>
      </c>
      <c r="V25" s="3">
        <f>IF($K25="","",(U25-AB25)/J25*100)</f>
      </c>
      <c r="W25" s="3">
        <f>IF($K25="","",M25-T25)</f>
      </c>
      <c r="AC25" s="3">
        <f>IF($K25="","",U25-AB25)</f>
      </c>
    </row>
    <row r="26" spans="1:29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IF($K26="","",K26*3.96%)</f>
      </c>
      <c r="O26" s="3">
        <f>IF($K26="","",N26*20%)</f>
      </c>
      <c r="P26" s="3">
        <f>IF($K26="","",N26+O26)</f>
      </c>
      <c r="Q26" s="3"/>
      <c r="R26" s="3">
        <f>IF($K26="","",Q26*20%)</f>
      </c>
      <c r="S26" s="3">
        <v>1</v>
      </c>
      <c r="T26" s="3">
        <f>IF($K26="","",R26)</f>
      </c>
      <c r="U26" s="3">
        <f>IF($K26="","",L26-M26-N26-Q26-R26-S26)</f>
      </c>
      <c r="V26" s="3">
        <f>IF($K26="","",(U26-AB26)/J26*100)</f>
      </c>
      <c r="W26" s="3">
        <f>IF($K26="","",M26-T26)</f>
      </c>
      <c r="AC26" s="3">
        <f>IF($K26="","",U26-AB26)</f>
      </c>
    </row>
    <row r="27" spans="1:29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IF($K27="","",K27*3.96%)</f>
      </c>
      <c r="O27" s="3">
        <f>IF($K27="","",N27*20%)</f>
      </c>
      <c r="P27" s="3">
        <f>IF($K27="","",N27+O27)</f>
      </c>
      <c r="Q27" s="3"/>
      <c r="R27" s="3">
        <f>IF($K27="","",Q27*20%)</f>
      </c>
      <c r="S27" s="3">
        <v>1</v>
      </c>
      <c r="T27" s="3">
        <f>IF($K27="","",R27)</f>
      </c>
      <c r="U27" s="3">
        <f>IF($K27="","",L27-M27-N27-Q27-R27-S27)</f>
      </c>
      <c r="V27" s="3">
        <f>IF($K27="","",(U27-AB27)/J27*100)</f>
      </c>
      <c r="W27" s="3">
        <f>IF($K27="","",M27-T27)</f>
      </c>
      <c r="AC27" s="3">
        <f>IF($K27="","",U27-AB27)</f>
      </c>
    </row>
    <row r="28" spans="1:29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IF($K28="","",K28*3.96%)</f>
      </c>
      <c r="O28" s="3">
        <f>IF($K28="","",N28*20%)</f>
      </c>
      <c r="P28" s="3">
        <f>IF($K28="","",N28+O28)</f>
      </c>
      <c r="Q28" s="3"/>
      <c r="R28" s="3">
        <f>IF($K28="","",Q28*20%)</f>
      </c>
      <c r="S28" s="3">
        <v>1</v>
      </c>
      <c r="T28" s="3">
        <f>IF($K28="","",R28)</f>
      </c>
      <c r="U28" s="3">
        <f>IF($K28="","",L28-M28-N28-Q28-R28-S28)</f>
      </c>
      <c r="V28" s="3">
        <f>IF($K28="","",(U28-AB28)/J28*100)</f>
      </c>
      <c r="W28" s="3">
        <f>IF($K28="","",M28-T28)</f>
      </c>
      <c r="AC28" s="3">
        <f>IF($K28="","",U28-AB28)</f>
      </c>
    </row>
    <row r="29" spans="1:29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IF($K29="","",K29*3.96%)</f>
      </c>
      <c r="O29" s="3">
        <f>IF($K29="","",N29*20%)</f>
      </c>
      <c r="P29" s="3">
        <f>IF($K29="","",N29+O29)</f>
      </c>
      <c r="Q29" s="3"/>
      <c r="R29" s="3">
        <f>IF($K29="","",Q29*20%)</f>
      </c>
      <c r="S29" s="3">
        <v>1</v>
      </c>
      <c r="T29" s="3">
        <f>IF($K29="","",R29)</f>
      </c>
      <c r="U29" s="3">
        <f>IF($K29="","",L29-M29-N29-Q29-R29-S29)</f>
      </c>
      <c r="V29" s="3">
        <f>IF($K29="","",(U29-AB29)/J29*100)</f>
      </c>
      <c r="W29" s="3">
        <f>IF($K29="","",M29-T29)</f>
      </c>
      <c r="AC29" s="3">
        <f>IF($K29="","",U29-AB29)</f>
      </c>
    </row>
    <row r="30" spans="1:29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IF($K30="","",K30*3.96%)</f>
      </c>
      <c r="O30" s="3">
        <f>IF($K30="","",N30*20%)</f>
      </c>
      <c r="P30" s="3">
        <f>IF($K30="","",N30+O30)</f>
      </c>
      <c r="Q30" s="3"/>
      <c r="R30" s="3">
        <f>IF($K30="","",Q30*20%)</f>
      </c>
      <c r="S30" s="3">
        <v>1</v>
      </c>
      <c r="T30" s="3">
        <f>IF($K30="","",R30)</f>
      </c>
      <c r="U30" s="3">
        <f>IF($K30="","",L30-M30-N30-Q30-R30-S30)</f>
      </c>
      <c r="V30" s="3">
        <f>IF($K30="","",(U30-AB30)/J30*100)</f>
      </c>
      <c r="W30" s="3">
        <f>IF($K30="","",M30-T30)</f>
      </c>
      <c r="AC30" s="3">
        <f>IF($K30="","",U30-AB30)</f>
      </c>
    </row>
    <row r="31" spans="1:29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IF($K31="","",K31*3.96%)</f>
      </c>
      <c r="O31" s="3">
        <f>IF($K31="","",N31*20%)</f>
      </c>
      <c r="P31" s="3">
        <f>IF($K31="","",N31+O31)</f>
      </c>
      <c r="Q31" s="3"/>
      <c r="R31" s="3">
        <f>IF($K31="","",Q31*20%)</f>
      </c>
      <c r="S31" s="3">
        <v>1</v>
      </c>
      <c r="T31" s="3">
        <f>IF($K31="","",R31)</f>
      </c>
      <c r="U31" s="3">
        <f>IF($K31="","",L31-M31-N31-Q31-R31-S31)</f>
      </c>
      <c r="V31" s="3">
        <f>IF($K31="","",(U31-AB31)/J31*100)</f>
      </c>
      <c r="W31" s="3">
        <f>IF($K31="","",M31-T31)</f>
      </c>
      <c r="AC31" s="3">
        <f>IF($K31="","",U31-AB31)</f>
      </c>
    </row>
    <row r="32" spans="1:29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IF($K32="","",K32*3.96%)</f>
      </c>
      <c r="O32" s="3">
        <f>IF($K32="","",N32*20%)</f>
      </c>
      <c r="P32" s="3">
        <f>IF($K32="","",N32+O32)</f>
      </c>
      <c r="Q32" s="3"/>
      <c r="R32" s="3">
        <f>IF($K32="","",Q32*20%)</f>
      </c>
      <c r="S32" s="3">
        <v>1</v>
      </c>
      <c r="T32" s="3">
        <f>IF($K32="","",R32)</f>
      </c>
      <c r="U32" s="3">
        <f>IF($K32="","",L32-M32-N32-Q32-R32-S32)</f>
      </c>
      <c r="V32" s="3">
        <f>IF($K32="","",(U32-AB32)/J32*100)</f>
      </c>
      <c r="W32" s="3">
        <f>IF($K32="","",M32-T32)</f>
      </c>
      <c r="AC32" s="3">
        <f>IF($K32="","",U32-AB32)</f>
      </c>
    </row>
    <row r="33" spans="1:29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IF($K33="","",K33*3.96%)</f>
      </c>
      <c r="O33" s="3">
        <f>IF($K33="","",N33*20%)</f>
      </c>
      <c r="P33" s="3">
        <f>IF($K33="","",N33+O33)</f>
      </c>
      <c r="Q33" s="3"/>
      <c r="R33" s="3">
        <f>IF($K33="","",Q33*20%)</f>
      </c>
      <c r="S33" s="3">
        <v>1</v>
      </c>
      <c r="T33" s="3">
        <f>IF($K33="","",R33)</f>
      </c>
      <c r="U33" s="3">
        <f>IF($K33="","",L33-M33-N33-Q33-R33-S33)</f>
      </c>
      <c r="V33" s="3">
        <f>IF($K33="","",(U33-AB33)/J33*100)</f>
      </c>
      <c r="W33" s="3">
        <f>IF($K33="","",M33-T33)</f>
      </c>
      <c r="AC33" s="3">
        <f>IF($K33="","",U33-AB33)</f>
      </c>
    </row>
    <row r="34" spans="1:29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IF($K34="","",K34*3.96%)</f>
      </c>
      <c r="O34" s="3">
        <f>IF($K34="","",N34*20%)</f>
      </c>
      <c r="P34" s="3">
        <f>IF($K34="","",N34+O34)</f>
      </c>
      <c r="Q34" s="3"/>
      <c r="R34" s="3">
        <f>IF($K34="","",Q34*20%)</f>
      </c>
      <c r="S34" s="3">
        <v>1</v>
      </c>
      <c r="T34" s="3">
        <f>IF($K34="","",R34)</f>
      </c>
      <c r="U34" s="3">
        <f>IF($K34="","",L34-M34-N34-Q34-R34-S34)</f>
      </c>
      <c r="V34" s="3">
        <f>IF($K34="","",(U34-AB34)/J34*100)</f>
      </c>
      <c r="W34" s="3">
        <f>IF($K34="","",M34-T34)</f>
      </c>
      <c r="AC34" s="3">
        <f>IF($K34="","",U34-AB34)</f>
      </c>
    </row>
    <row r="35" spans="1:29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IF($K35="","",K35*3.96%)</f>
      </c>
      <c r="O35" s="3">
        <f>IF($K35="","",N35*20%)</f>
      </c>
      <c r="P35" s="3">
        <f>IF($K35="","",N35+O35)</f>
      </c>
      <c r="Q35" s="3"/>
      <c r="R35" s="3">
        <f>IF($K35="","",Q35*20%)</f>
      </c>
      <c r="S35" s="3">
        <v>1</v>
      </c>
      <c r="T35" s="3">
        <f>IF($K35="","",R35)</f>
      </c>
      <c r="U35" s="3">
        <f>IF($K35="","",L35-M35-N35-Q35-R35-S35)</f>
      </c>
      <c r="V35" s="3">
        <f>IF($K35="","",(U35-AB35)/J35*100)</f>
      </c>
      <c r="W35" s="3">
        <f>IF($K35="","",M35-T35)</f>
      </c>
      <c r="AC35" s="3">
        <f>IF($K35="","",U35-AB35)</f>
      </c>
    </row>
    <row r="36" spans="1:29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IF($K36="","",K36*3.96%)</f>
      </c>
      <c r="O36" s="3">
        <f>IF($K36="","",N36*20%)</f>
      </c>
      <c r="P36" s="3">
        <f>IF($K36="","",N36+O36)</f>
      </c>
      <c r="Q36" s="3"/>
      <c r="R36" s="3">
        <f>IF($K36="","",Q36*20%)</f>
      </c>
      <c r="S36" s="3">
        <v>1</v>
      </c>
      <c r="T36" s="3">
        <f>IF($K36="","",R36)</f>
      </c>
      <c r="U36" s="3">
        <f>IF($K36="","",L36-M36-N36-Q36-R36-S36)</f>
      </c>
      <c r="V36" s="3">
        <f>IF($K36="","",(U36-AB36)/J36*100)</f>
      </c>
      <c r="W36" s="3">
        <f>IF($K36="","",M36-T36)</f>
      </c>
      <c r="AC36" s="3">
        <f>IF($K36="","",U36-AB36)</f>
      </c>
    </row>
    <row r="37" spans="1:29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IF($K37="","",K37*3.96%)</f>
      </c>
      <c r="O37" s="3">
        <f>IF($K37="","",N37*20%)</f>
      </c>
      <c r="P37" s="3">
        <f>IF($K37="","",N37+O37)</f>
      </c>
      <c r="Q37" s="3"/>
      <c r="R37" s="3">
        <f>IF($K37="","",Q37*20%)</f>
      </c>
      <c r="S37" s="3">
        <v>1</v>
      </c>
      <c r="T37" s="3">
        <f>IF($K37="","",R37)</f>
      </c>
      <c r="U37" s="3">
        <f>IF($K37="","",L37-M37-N37-Q37-R37-S37)</f>
      </c>
      <c r="V37" s="3">
        <f>IF($K37="","",(U37-AB37)/J37*100)</f>
      </c>
      <c r="W37" s="3">
        <f>IF($K37="","",M37-T37)</f>
      </c>
      <c r="AC37" s="3">
        <f>IF($K37="","",U37-AB37)</f>
      </c>
    </row>
    <row r="38" spans="1:29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IF($K38="","",K38*3.96%)</f>
      </c>
      <c r="O38" s="3">
        <f>IF($K38="","",N38*20%)</f>
      </c>
      <c r="P38" s="3">
        <f>IF($K38="","",N38+O38)</f>
      </c>
      <c r="Q38" s="3"/>
      <c r="R38" s="3">
        <f>IF($K38="","",Q38*20%)</f>
      </c>
      <c r="S38" s="3">
        <v>1</v>
      </c>
      <c r="T38" s="3">
        <f>IF($K38="","",R38)</f>
      </c>
      <c r="U38" s="3">
        <f>IF($K38="","",L38-M38-N38-Q38-R38-S38)</f>
      </c>
      <c r="V38" s="3">
        <f>IF($K38="","",(U38-AB38)/J38*100)</f>
      </c>
      <c r="W38" s="3">
        <f>IF($K38="","",M38-T38)</f>
      </c>
      <c r="AC38" s="3">
        <f>IF($K38="","",U38-AB38)</f>
      </c>
    </row>
    <row r="39" spans="1:29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IF($K39="","",K39*3.96%)</f>
      </c>
      <c r="O39" s="3">
        <f>IF($K39="","",N39*20%)</f>
      </c>
      <c r="P39" s="3">
        <f>IF($K39="","",N39+O39)</f>
      </c>
      <c r="Q39" s="3"/>
      <c r="R39" s="3">
        <f>IF($K39="","",Q39*20%)</f>
      </c>
      <c r="S39" s="3">
        <v>1</v>
      </c>
      <c r="T39" s="3">
        <f>IF($K39="","",R39)</f>
      </c>
      <c r="U39" s="3">
        <f>IF($K39="","",L39-M39-N39-Q39-R39-S39)</f>
      </c>
      <c r="V39" s="3">
        <f>IF($K39="","",(U39-AB39)/J39*100)</f>
      </c>
      <c r="W39" s="3">
        <f>IF($K39="","",M39-T39)</f>
      </c>
      <c r="AC39" s="3">
        <f>IF($K39="","",U39-AB39)</f>
      </c>
    </row>
    <row r="40" spans="1:29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IF($K40="","",K40*3.96%)</f>
      </c>
      <c r="O40" s="3">
        <f>IF($K40="","",N40*20%)</f>
      </c>
      <c r="P40" s="3">
        <f>IF($K40="","",N40+O40)</f>
      </c>
      <c r="Q40" s="3"/>
      <c r="R40" s="3">
        <f>IF($K40="","",Q40*20%)</f>
      </c>
      <c r="S40" s="3">
        <v>1</v>
      </c>
      <c r="T40" s="3">
        <f>IF($K40="","",R40)</f>
      </c>
      <c r="U40" s="3">
        <f>IF($K40="","",L40-M40-N40-Q40-R40-S40)</f>
      </c>
      <c r="V40" s="3">
        <f>IF($K40="","",(U40-AB40)/J40*100)</f>
      </c>
      <c r="W40" s="3">
        <f>IF($K40="","",M40-T40)</f>
      </c>
      <c r="AC40" s="3">
        <f>IF($K40="","",U40-AB40)</f>
      </c>
    </row>
    <row r="41" spans="1:29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IF($K41="","",K41*3.96%)</f>
      </c>
      <c r="O41" s="3">
        <f>IF($K41="","",N41*20%)</f>
      </c>
      <c r="P41" s="3">
        <f>IF($K41="","",N41+O41)</f>
      </c>
      <c r="Q41" s="3"/>
      <c r="R41" s="3">
        <f>IF($K41="","",Q41*20%)</f>
      </c>
      <c r="S41" s="3">
        <v>1</v>
      </c>
      <c r="T41" s="3">
        <f>IF($K41="","",R41)</f>
      </c>
      <c r="U41" s="3">
        <f>IF($K41="","",L41-M41-N41-Q41-R41-S41)</f>
      </c>
      <c r="V41" s="3">
        <f>IF($K41="","",(U41-AB41)/J41*100)</f>
      </c>
      <c r="W41" s="3">
        <f>IF($K41="","",M41-T41)</f>
      </c>
      <c r="AC41" s="3">
        <f>IF($K41="","",U41-AB41)</f>
      </c>
    </row>
    <row r="42" spans="1:29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IF($K42="","",K42*3.96%)</f>
      </c>
      <c r="O42" s="3">
        <f>IF($K42="","",N42*20%)</f>
      </c>
      <c r="P42" s="3">
        <f>IF($K42="","",N42+O42)</f>
      </c>
      <c r="Q42" s="3"/>
      <c r="R42" s="3">
        <f>IF($K42="","",Q42*20%)</f>
      </c>
      <c r="S42" s="3">
        <v>1</v>
      </c>
      <c r="T42" s="3">
        <f>IF($K42="","",R42)</f>
      </c>
      <c r="U42" s="3">
        <f>IF($K42="","",L42-M42-N42-Q42-R42-S42)</f>
      </c>
      <c r="V42" s="3">
        <f>IF($K42="","",(U42-AB42)/J42*100)</f>
      </c>
      <c r="W42" s="3">
        <f>IF($K42="","",M42-T42)</f>
      </c>
      <c r="AC42" s="3">
        <f>IF($K42="","",U42-AB42)</f>
      </c>
    </row>
    <row r="43" spans="1:29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IF($K43="","",K43*3.96%)</f>
      </c>
      <c r="O43" s="3">
        <f>IF($K43="","",N43*20%)</f>
      </c>
      <c r="P43" s="3">
        <f>IF($K43="","",N43+O43)</f>
      </c>
      <c r="Q43" s="3"/>
      <c r="R43" s="3">
        <f>IF($K43="","",Q43*20%)</f>
      </c>
      <c r="S43" s="3">
        <v>1</v>
      </c>
      <c r="T43" s="3">
        <f>IF($K43="","",R43)</f>
      </c>
      <c r="U43" s="3">
        <f>IF($K43="","",L43-M43-N43-Q43-R43-S43)</f>
      </c>
      <c r="V43" s="3">
        <f>IF($K43="","",(U43-AB43)/J43*100)</f>
      </c>
      <c r="W43" s="3">
        <f>IF($K43="","",M43-T43)</f>
      </c>
      <c r="AC43" s="3">
        <f>IF($K43="","",U43-AB43)</f>
      </c>
    </row>
    <row r="44" spans="1:29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IF($K44="","",K44*3.96%)</f>
      </c>
      <c r="O44" s="3">
        <f>IF($K44="","",N44*20%)</f>
      </c>
      <c r="P44" s="3">
        <f>IF($K44="","",N44+O44)</f>
      </c>
      <c r="Q44" s="3"/>
      <c r="R44" s="3">
        <f>IF($K44="","",Q44*20%)</f>
      </c>
      <c r="S44" s="3">
        <v>1</v>
      </c>
      <c r="T44" s="3">
        <f>IF($K44="","",R44)</f>
      </c>
      <c r="U44" s="3">
        <f>IF($K44="","",L44-M44-N44-Q44-R44-S44)</f>
      </c>
      <c r="V44" s="3">
        <f>IF($K44="","",(U44-AB44)/J44*100)</f>
      </c>
      <c r="W44" s="3">
        <f>IF($K44="","",M44-T44)</f>
      </c>
      <c r="AC44" s="3">
        <f>IF($K44="","",U44-AB44)</f>
      </c>
    </row>
    <row r="45" spans="1:29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IF($K45="","",K45*3.96%)</f>
      </c>
      <c r="O45" s="3">
        <f>IF($K45="","",N45*20%)</f>
      </c>
      <c r="P45" s="3">
        <f>IF($K45="","",N45+O45)</f>
      </c>
      <c r="Q45" s="3"/>
      <c r="R45" s="3">
        <f>IF($K45="","",Q45*20%)</f>
      </c>
      <c r="S45" s="3">
        <v>1</v>
      </c>
      <c r="T45" s="3">
        <f>IF($K45="","",R45)</f>
      </c>
      <c r="U45" s="3">
        <f>IF($K45="","",L45-M45-N45-Q45-R45-S45)</f>
      </c>
      <c r="V45" s="3">
        <f>IF($K45="","",(U45-AB45)/J45*100)</f>
      </c>
      <c r="W45" s="3">
        <f>IF($K45="","",M45-T45)</f>
      </c>
      <c r="AC45" s="3">
        <f>IF($K45="","",U45-AB45)</f>
      </c>
    </row>
    <row r="46" spans="1:29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IF($K46="","",K46*3.96%)</f>
      </c>
      <c r="O46" s="3">
        <f>IF($K46="","",N46*20%)</f>
      </c>
      <c r="P46" s="3">
        <f>IF($K46="","",N46+O46)</f>
      </c>
      <c r="Q46" s="3"/>
      <c r="R46" s="3">
        <f>IF($K46="","",Q46*20%)</f>
      </c>
      <c r="S46" s="3">
        <v>1</v>
      </c>
      <c r="T46" s="3">
        <f>IF($K46="","",R46)</f>
      </c>
      <c r="U46" s="3">
        <f>IF($K46="","",L46-M46-N46-Q46-R46-S46)</f>
      </c>
      <c r="V46" s="3">
        <f>IF($K46="","",(U46-AB46)/J46*100)</f>
      </c>
      <c r="W46" s="3">
        <f>IF($K46="","",M46-T46)</f>
      </c>
      <c r="AC46" s="3">
        <f>IF($K46="","",U46-AB46)</f>
      </c>
    </row>
    <row r="47" spans="1:29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IF($K47="","",K47*3.96%)</f>
      </c>
      <c r="O47" s="3">
        <f>IF($K47="","",N47*20%)</f>
      </c>
      <c r="P47" s="3">
        <f>IF($K47="","",N47+O47)</f>
      </c>
      <c r="Q47" s="3"/>
      <c r="R47" s="3">
        <f>IF($K47="","",Q47*20%)</f>
      </c>
      <c r="S47" s="3">
        <v>1</v>
      </c>
      <c r="T47" s="3">
        <f>IF($K47="","",R47)</f>
      </c>
      <c r="U47" s="3">
        <f>IF($K47="","",L47-M47-N47-Q47-R47-S47)</f>
      </c>
      <c r="V47" s="3">
        <f>IF($K47="","",(U47-AB47)/J47*100)</f>
      </c>
      <c r="W47" s="3">
        <f>IF($K47="","",M47-T47)</f>
      </c>
      <c r="AC47" s="3">
        <f>IF($K47="","",U47-AB47)</f>
      </c>
    </row>
    <row r="48" spans="1:29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IF($K48="","",K48*3.96%)</f>
      </c>
      <c r="O48" s="3">
        <f>IF($K48="","",N48*20%)</f>
      </c>
      <c r="P48" s="3">
        <f>IF($K48="","",N48+O48)</f>
      </c>
      <c r="Q48" s="3"/>
      <c r="R48" s="3">
        <f>IF($K48="","",Q48*20%)</f>
      </c>
      <c r="S48" s="3">
        <v>1</v>
      </c>
      <c r="T48" s="3">
        <f>IF($K48="","",R48)</f>
      </c>
      <c r="U48" s="3">
        <f>IF($K48="","",L48-M48-N48-Q48-R48-S48)</f>
      </c>
      <c r="V48" s="3">
        <f>IF($K48="","",(U48-AB48)/J48*100)</f>
      </c>
      <c r="W48" s="3">
        <f>IF($K48="","",M48-T48)</f>
      </c>
      <c r="AC48" s="3">
        <f>IF($K48="","",U48-AB48)</f>
      </c>
    </row>
    <row r="49" spans="1:29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IF($K49="","",K49*3.96%)</f>
      </c>
      <c r="O49" s="3">
        <f>IF($K49="","",N49*20%)</f>
      </c>
      <c r="P49" s="3">
        <f>IF($K49="","",N49+O49)</f>
      </c>
      <c r="Q49" s="3"/>
      <c r="R49" s="3">
        <f>IF($K49="","",Q49*20%)</f>
      </c>
      <c r="S49" s="3">
        <v>1</v>
      </c>
      <c r="T49" s="3">
        <f>IF($K49="","",R49)</f>
      </c>
      <c r="U49" s="3">
        <f>IF($K49="","",L49-M49-N49-Q49-R49-S49)</f>
      </c>
      <c r="V49" s="3">
        <f>IF($K49="","",(U49-AB49)/J49*100)</f>
      </c>
      <c r="W49" s="3">
        <f>IF($K49="","",M49-T49)</f>
      </c>
      <c r="AC49" s="3">
        <f>IF($K49="","",U49-AB49)</f>
      </c>
    </row>
    <row r="50" spans="1:29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IF($K50="","",K50*3.96%)</f>
      </c>
      <c r="O50" s="3">
        <f>IF($K50="","",N50*20%)</f>
      </c>
      <c r="P50" s="3">
        <f>IF($K50="","",N50+O50)</f>
      </c>
      <c r="Q50" s="3"/>
      <c r="R50" s="3">
        <f>IF($K50="","",Q50*20%)</f>
      </c>
      <c r="S50" s="3">
        <v>1</v>
      </c>
      <c r="T50" s="3">
        <f>IF($K50="","",R50)</f>
      </c>
      <c r="U50" s="3">
        <f>IF($K50="","",L50-M50-N50-Q50-R50-S50)</f>
      </c>
      <c r="V50" s="3">
        <f>IF($K50="","",(U50-AB50)/J50*100)</f>
      </c>
      <c r="W50" s="3">
        <f>IF($K50="","",M50-T50)</f>
      </c>
      <c r="AC50" s="3">
        <f>IF($K50="","",U50-AB50)</f>
      </c>
    </row>
    <row r="51" spans="1:29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IF($K51="","",K51*3.96%)</f>
      </c>
      <c r="O51" s="3">
        <f>IF($K51="","",N51*20%)</f>
      </c>
      <c r="P51" s="3">
        <f>IF($K51="","",N51+O51)</f>
      </c>
      <c r="Q51" s="3"/>
      <c r="R51" s="3">
        <f>IF($K51="","",Q51*20%)</f>
      </c>
      <c r="S51" s="3">
        <v>1</v>
      </c>
      <c r="T51" s="3">
        <f>IF($K51="","",R51)</f>
      </c>
      <c r="U51" s="3">
        <f>IF($K51="","",L51-M51-N51-Q51-R51-S51)</f>
      </c>
      <c r="V51" s="3">
        <f>IF($K51="","",(U51-AB51)/J51*100)</f>
      </c>
      <c r="W51" s="3">
        <f>IF($K51="","",M51-T51)</f>
      </c>
      <c r="AC51" s="3">
        <f>IF($K51="","",U51-AB51)</f>
      </c>
    </row>
    <row r="52" spans="1:29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IF($K52="","",K52*3.96%)</f>
      </c>
      <c r="O52" s="3">
        <f>IF($K52="","",N52*20%)</f>
      </c>
      <c r="P52" s="3">
        <f>IF($K52="","",N52+O52)</f>
      </c>
      <c r="Q52" s="3"/>
      <c r="R52" s="3">
        <f>IF($K52="","",Q52*20%)</f>
      </c>
      <c r="S52" s="3">
        <v>1</v>
      </c>
      <c r="T52" s="3">
        <f>IF($K52="","",R52)</f>
      </c>
      <c r="U52" s="3">
        <f>IF($K52="","",L52-M52-N52-Q52-R52-S52)</f>
      </c>
      <c r="V52" s="3">
        <f>IF($K52="","",(U52-AB52)/J52*100)</f>
      </c>
      <c r="W52" s="3">
        <f>IF($K52="","",M52-T52)</f>
      </c>
      <c r="AC52" s="3">
        <f>IF($K52="","",U52-AB52)</f>
      </c>
    </row>
    <row r="53" spans="1:29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IF($K53="","",K53*3.96%)</f>
      </c>
      <c r="O53" s="3">
        <f>IF($K53="","",N53*20%)</f>
      </c>
      <c r="P53" s="3">
        <f>IF($K53="","",N53+O53)</f>
      </c>
      <c r="Q53" s="3"/>
      <c r="R53" s="3">
        <f>IF($K53="","",Q53*20%)</f>
      </c>
      <c r="S53" s="3">
        <v>1</v>
      </c>
      <c r="T53" s="3">
        <f>IF($K53="","",R53)</f>
      </c>
      <c r="U53" s="3">
        <f>IF($K53="","",L53-M53-N53-Q53-R53-S53)</f>
      </c>
      <c r="V53" s="3">
        <f>IF($K53="","",(U53-AB53)/J53*100)</f>
      </c>
      <c r="W53" s="3">
        <f>IF($K53="","",M53-T53)</f>
      </c>
      <c r="AC53" s="3">
        <f>IF($K53="","",U53-AB53)</f>
      </c>
    </row>
    <row r="54" spans="1:29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IF($K54="","",K54*3.96%)</f>
      </c>
      <c r="O54" s="3">
        <f>IF($K54="","",N54*20%)</f>
      </c>
      <c r="P54" s="3">
        <f>IF($K54="","",N54+O54)</f>
      </c>
      <c r="Q54" s="3"/>
      <c r="R54" s="3">
        <f>IF($K54="","",Q54*20%)</f>
      </c>
      <c r="S54" s="3">
        <v>1</v>
      </c>
      <c r="T54" s="3">
        <f>IF($K54="","",R54)</f>
      </c>
      <c r="U54" s="3">
        <f>IF($K54="","",L54-M54-N54-Q54-R54-S54)</f>
      </c>
      <c r="V54" s="3">
        <f>IF($K54="","",(U54-AB54)/J54*100)</f>
      </c>
      <c r="W54" s="3">
        <f>IF($K54="","",M54-T54)</f>
      </c>
      <c r="AC54" s="3">
        <f>IF($K54="","",U54-AB54)</f>
      </c>
    </row>
    <row r="55" spans="1:29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IF($K55="","",K55*3.96%)</f>
      </c>
      <c r="O55" s="3">
        <f>IF($K55="","",N55*20%)</f>
      </c>
      <c r="P55" s="3">
        <f>IF($K55="","",N55+O55)</f>
      </c>
      <c r="Q55" s="3"/>
      <c r="R55" s="3">
        <f>IF($K55="","",Q55*20%)</f>
      </c>
      <c r="S55" s="3">
        <v>1</v>
      </c>
      <c r="T55" s="3">
        <f>IF($K55="","",R55)</f>
      </c>
      <c r="U55" s="3">
        <f>IF($K55="","",L55-M55-N55-Q55-R55-S55)</f>
      </c>
      <c r="V55" s="3">
        <f>IF($K55="","",(U55-AB55)/J55*100)</f>
      </c>
      <c r="W55" s="3">
        <f>IF($K55="","",M55-T55)</f>
      </c>
      <c r="AC55" s="3">
        <f>IF($K55="","",U55-AB55)</f>
      </c>
    </row>
    <row r="56" spans="1:29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IF($K56="","",K56*3.96%)</f>
      </c>
      <c r="O56" s="3">
        <f>IF($K56="","",N56*20%)</f>
      </c>
      <c r="P56" s="3">
        <f>IF($K56="","",N56+O56)</f>
      </c>
      <c r="Q56" s="3"/>
      <c r="R56" s="3">
        <f>IF($K56="","",Q56*20%)</f>
      </c>
      <c r="S56" s="3">
        <v>1</v>
      </c>
      <c r="T56" s="3">
        <f>IF($K56="","",R56)</f>
      </c>
      <c r="U56" s="3">
        <f>IF($K56="","",L56-M56-N56-Q56-R56-S56)</f>
      </c>
      <c r="V56" s="3">
        <f>IF($K56="","",(U56-AB56)/J56*100)</f>
      </c>
      <c r="W56" s="3">
        <f>IF($K56="","",M56-T56)</f>
      </c>
      <c r="AC56" s="3">
        <f>IF($K56="","",U56-AB56)</f>
      </c>
    </row>
    <row r="57" spans="1:29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IF($K57="","",K57*3.96%)</f>
      </c>
      <c r="O57" s="3">
        <f>IF($K57="","",N57*20%)</f>
      </c>
      <c r="P57" s="3">
        <f>IF($K57="","",N57+O57)</f>
      </c>
      <c r="Q57" s="3"/>
      <c r="R57" s="3">
        <f>IF($K57="","",Q57*20%)</f>
      </c>
      <c r="S57" s="3">
        <v>1</v>
      </c>
      <c r="T57" s="3">
        <f>IF($K57="","",R57)</f>
      </c>
      <c r="U57" s="3">
        <f>IF($K57="","",L57-M57-N57-Q57-R57-S57)</f>
      </c>
      <c r="V57" s="3">
        <f>IF($K57="","",(U57-AB57)/J57*100)</f>
      </c>
      <c r="W57" s="3">
        <f>IF($K57="","",M57-T57)</f>
      </c>
      <c r="AC57" s="3">
        <f>IF($K57="","",U57-AB57)</f>
      </c>
    </row>
    <row r="58" spans="1:29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IF($K58="","",K58*3.96%)</f>
      </c>
      <c r="O58" s="3">
        <f>IF($K58="","",N58*20%)</f>
      </c>
      <c r="P58" s="3">
        <f>IF($K58="","",N58+O58)</f>
      </c>
      <c r="Q58" s="3"/>
      <c r="R58" s="3">
        <f>IF($K58="","",Q58*20%)</f>
      </c>
      <c r="S58" s="3">
        <v>1</v>
      </c>
      <c r="T58" s="3">
        <f>IF($K58="","",R58)</f>
      </c>
      <c r="U58" s="3">
        <f>IF($K58="","",L58-M58-N58-Q58-R58-S58)</f>
      </c>
      <c r="V58" s="3">
        <f>IF($K58="","",(U58-AB58)/J58*100)</f>
      </c>
      <c r="W58" s="3">
        <f>IF($K58="","",M58-T58)</f>
      </c>
      <c r="AC58" s="3">
        <f>IF($K58="","",U58-AB58)</f>
      </c>
    </row>
    <row r="59" spans="1:29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IF($K59="","",K59*3.96%)</f>
      </c>
      <c r="O59" s="3">
        <f>IF($K59="","",N59*20%)</f>
      </c>
      <c r="P59" s="3">
        <f>IF($K59="","",N59+O59)</f>
      </c>
      <c r="Q59" s="3"/>
      <c r="R59" s="3">
        <f>IF($K59="","",Q59*20%)</f>
      </c>
      <c r="S59" s="3">
        <v>1</v>
      </c>
      <c r="T59" s="3">
        <f>IF($K59="","",R59)</f>
      </c>
      <c r="U59" s="3">
        <f>IF($K59="","",L59-M59-N59-Q59-R59-S59)</f>
      </c>
      <c r="V59" s="3">
        <f>IF($K59="","",(U59-AB59)/J59*100)</f>
      </c>
      <c r="W59" s="3">
        <f>IF($K59="","",M59-T59)</f>
      </c>
      <c r="AC59" s="3">
        <f>IF($K59="","",U59-AB59)</f>
      </c>
    </row>
    <row r="60" spans="1:29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IF($K60="","",K60*3.96%)</f>
      </c>
      <c r="O60" s="3">
        <f>IF($K60="","",N60*20%)</f>
      </c>
      <c r="P60" s="3">
        <f>IF($K60="","",N60+O60)</f>
      </c>
      <c r="Q60" s="3"/>
      <c r="R60" s="3">
        <f>IF($K60="","",Q60*20%)</f>
      </c>
      <c r="S60" s="3">
        <v>1</v>
      </c>
      <c r="T60" s="3">
        <f>IF($K60="","",R60)</f>
      </c>
      <c r="U60" s="3">
        <f>IF($K60="","",L60-M60-N60-Q60-R60-S60)</f>
      </c>
      <c r="V60" s="3">
        <f>IF($K60="","",(U60-AB60)/J60*100)</f>
      </c>
      <c r="W60" s="3">
        <f>IF($K60="","",M60-T60)</f>
      </c>
      <c r="AC60" s="3">
        <f>IF($K60="","",U60-AB60)</f>
      </c>
    </row>
    <row r="61" spans="1:29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IF($K61="","",K61*3.96%)</f>
      </c>
      <c r="O61" s="3">
        <f>IF($K61="","",N61*20%)</f>
      </c>
      <c r="P61" s="3">
        <f>IF($K61="","",N61+O61)</f>
      </c>
      <c r="Q61" s="3"/>
      <c r="R61" s="3">
        <f>IF($K61="","",Q61*20%)</f>
      </c>
      <c r="S61" s="3">
        <v>1</v>
      </c>
      <c r="T61" s="3">
        <f>IF($K61="","",R61)</f>
      </c>
      <c r="U61" s="3">
        <f>IF($K61="","",L61-M61-N61-Q61-R61-S61)</f>
      </c>
      <c r="V61" s="3">
        <f>IF($K61="","",(U61-AB61)/J61*100)</f>
      </c>
      <c r="W61" s="3">
        <f>IF($K61="","",M61-T61)</f>
      </c>
      <c r="AC61" s="3">
        <f>IF($K61="","",U61-AB61)</f>
      </c>
    </row>
    <row r="62" spans="1:29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IF($K62="","",K62*3.96%)</f>
      </c>
      <c r="O62" s="3">
        <f>IF($K62="","",N62*20%)</f>
      </c>
      <c r="P62" s="3">
        <f>IF($K62="","",N62+O62)</f>
      </c>
      <c r="Q62" s="3"/>
      <c r="R62" s="3">
        <f>IF($K62="","",Q62*20%)</f>
      </c>
      <c r="S62" s="3">
        <v>1</v>
      </c>
      <c r="T62" s="3">
        <f>IF($K62="","",R62)</f>
      </c>
      <c r="U62" s="3">
        <f>IF($K62="","",L62-M62-N62-Q62-R62-S62)</f>
      </c>
      <c r="V62" s="3">
        <f>IF($K62="","",(U62-AB62)/J62*100)</f>
      </c>
      <c r="W62" s="3">
        <f>IF($K62="","",M62-T62)</f>
      </c>
      <c r="AC62" s="3">
        <f>IF($K62="","",U62-AB62)</f>
      </c>
    </row>
    <row r="63" spans="1:29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IF($K63="","",K63*3.96%)</f>
      </c>
      <c r="O63" s="3">
        <f>IF($K63="","",N63*20%)</f>
      </c>
      <c r="P63" s="3">
        <f>IF($K63="","",N63+O63)</f>
      </c>
      <c r="Q63" s="3"/>
      <c r="R63" s="3">
        <f>IF($K63="","",Q63*20%)</f>
      </c>
      <c r="S63" s="3">
        <v>1</v>
      </c>
      <c r="T63" s="3">
        <f>IF($K63="","",R63)</f>
      </c>
      <c r="U63" s="3">
        <f>IF($K63="","",L63-M63-N63-Q63-R63-S63)</f>
      </c>
      <c r="V63" s="3">
        <f>IF($K63="","",(U63-AB63)/J63*100)</f>
      </c>
      <c r="W63" s="3">
        <f>IF($K63="","",M63-T63)</f>
      </c>
      <c r="AC63" s="3">
        <f>IF($K63="","",U63-AB63)</f>
      </c>
    </row>
    <row r="64" spans="1:29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IF($K64="","",K64*3.96%)</f>
      </c>
      <c r="O64" s="3">
        <f>IF($K64="","",N64*20%)</f>
      </c>
      <c r="P64" s="3">
        <f>IF($K64="","",N64+O64)</f>
      </c>
      <c r="Q64" s="3"/>
      <c r="R64" s="3">
        <f>IF($K64="","",Q64*20%)</f>
      </c>
      <c r="S64" s="3">
        <v>1</v>
      </c>
      <c r="T64" s="3">
        <f>IF($K64="","",R64)</f>
      </c>
      <c r="U64" s="3">
        <f>IF($K64="","",L64-M64-N64-Q64-R64-S64)</f>
      </c>
      <c r="V64" s="3">
        <f>IF($K64="","",(U64-AB64)/J64*100)</f>
      </c>
      <c r="W64" s="3">
        <f>IF($K64="","",M64-T64)</f>
      </c>
      <c r="AC64" s="3">
        <f>IF($K64="","",U64-AB64)</f>
      </c>
    </row>
    <row r="65" spans="1:29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IF($K65="","",K65*3.96%)</f>
      </c>
      <c r="O65" s="3">
        <f>IF($K65="","",N65*20%)</f>
      </c>
      <c r="P65" s="3">
        <f>IF($K65="","",N65+O65)</f>
      </c>
      <c r="Q65" s="3"/>
      <c r="R65" s="3">
        <f>IF($K65="","",Q65*20%)</f>
      </c>
      <c r="S65" s="3">
        <v>1</v>
      </c>
      <c r="T65" s="3">
        <f>IF($K65="","",R65)</f>
      </c>
      <c r="U65" s="3">
        <f>IF($K65="","",L65-M65-N65-Q65-R65-S65)</f>
      </c>
      <c r="V65" s="3">
        <f>IF($K65="","",(U65-AB65)/J65*100)</f>
      </c>
      <c r="W65" s="3">
        <f>IF($K65="","",M65-T65)</f>
      </c>
      <c r="AC65" s="3">
        <f>IF($K65="","",U65-AB65)</f>
      </c>
    </row>
    <row r="66" spans="1:29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IF($K66="","",K66*3.96%)</f>
      </c>
      <c r="O66" s="3">
        <f>IF($K66="","",N66*20%)</f>
      </c>
      <c r="P66" s="3">
        <f>IF($K66="","",N66+O66)</f>
      </c>
      <c r="Q66" s="3"/>
      <c r="R66" s="3">
        <f>IF($K66="","",Q66*20%)</f>
      </c>
      <c r="S66" s="3">
        <v>1</v>
      </c>
      <c r="T66" s="3">
        <f>IF($K66="","",R66)</f>
      </c>
      <c r="U66" s="3">
        <f>IF($K66="","",L66-M66-N66-Q66-R66-S66)</f>
      </c>
      <c r="V66" s="3">
        <f>IF($K66="","",(U66-AB66)/J66*100)</f>
      </c>
      <c r="W66" s="3">
        <f>IF($K66="","",M66-T66)</f>
      </c>
      <c r="AC66" s="3">
        <f>IF($K66="","",U66-AB66)</f>
      </c>
    </row>
    <row r="67" spans="1:29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IF($K67="","",K67*3.96%)</f>
      </c>
      <c r="O67" s="3">
        <f>IF($K67="","",N67*20%)</f>
      </c>
      <c r="P67" s="3">
        <f>IF($K67="","",N67+O67)</f>
      </c>
      <c r="Q67" s="3"/>
      <c r="R67" s="3">
        <f>IF($K67="","",Q67*20%)</f>
      </c>
      <c r="S67" s="3">
        <v>1</v>
      </c>
      <c r="T67" s="3">
        <f>IF($K67="","",R67)</f>
      </c>
      <c r="U67" s="3">
        <f>IF($K67="","",L67-M67-N67-Q67-R67-S67)</f>
      </c>
      <c r="V67" s="3">
        <f>IF($K67="","",(U67-AB67)/J67*100)</f>
      </c>
      <c r="W67" s="3">
        <f>IF($K67="","",M67-T67)</f>
      </c>
      <c r="AC67" s="3">
        <f>IF($K67="","",U67-AB67)</f>
      </c>
    </row>
    <row r="68" spans="1:29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IF($K68="","",K68*3.96%)</f>
      </c>
      <c r="O68" s="3">
        <f>IF($K68="","",N68*20%)</f>
      </c>
      <c r="P68" s="3">
        <f>IF($K68="","",N68+O68)</f>
      </c>
      <c r="Q68" s="3"/>
      <c r="R68" s="3">
        <f>IF($K68="","",Q68*20%)</f>
      </c>
      <c r="S68" s="3">
        <v>1</v>
      </c>
      <c r="T68" s="3">
        <f>IF($K68="","",R68)</f>
      </c>
      <c r="U68" s="3">
        <f>IF($K68="","",L68-M68-N68-Q68-R68-S68)</f>
      </c>
      <c r="V68" s="3">
        <f>IF($K68="","",(U68-AB68)/J68*100)</f>
      </c>
      <c r="W68" s="3">
        <f>IF($K68="","",M68-T68)</f>
      </c>
      <c r="AC68" s="3">
        <f>IF($K68="","",U68-AB68)</f>
      </c>
    </row>
    <row r="69" spans="1:29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IF($K69="","",K69*3.96%)</f>
      </c>
      <c r="O69" s="3">
        <f>IF($K69="","",N69*20%)</f>
      </c>
      <c r="P69" s="3">
        <f>IF($K69="","",N69+O69)</f>
      </c>
      <c r="Q69" s="3"/>
      <c r="R69" s="3">
        <f>IF($K69="","",Q69*20%)</f>
      </c>
      <c r="S69" s="3">
        <v>1</v>
      </c>
      <c r="T69" s="3">
        <f>IF($K69="","",R69)</f>
      </c>
      <c r="U69" s="3">
        <f>IF($K69="","",L69-M69-N69-Q69-R69-S69)</f>
      </c>
      <c r="V69" s="3">
        <f>IF($K69="","",(U69-AB69)/J69*100)</f>
      </c>
      <c r="W69" s="3">
        <f>IF($K69="","",M69-T69)</f>
      </c>
      <c r="AC69" s="3">
        <f>IF($K69="","",U69-AB69)</f>
      </c>
    </row>
    <row r="70" spans="1:29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IF($K70="","",K70*3.96%)</f>
      </c>
      <c r="O70" s="3">
        <f>IF($K70="","",N70*20%)</f>
      </c>
      <c r="P70" s="3">
        <f>IF($K70="","",N70+O70)</f>
      </c>
      <c r="Q70" s="3"/>
      <c r="R70" s="3">
        <f>IF($K70="","",Q70*20%)</f>
      </c>
      <c r="S70" s="3">
        <v>1</v>
      </c>
      <c r="T70" s="3">
        <f>IF($K70="","",R70)</f>
      </c>
      <c r="U70" s="3">
        <f>IF($K70="","",L70-M70-N70-Q70-R70-S70)</f>
      </c>
      <c r="V70" s="3">
        <f>IF($K70="","",(U70-AB70)/J70*100)</f>
      </c>
      <c r="W70" s="3">
        <f>IF($K70="","",M70-T70)</f>
      </c>
      <c r="AC70" s="3">
        <f>IF($K70="","",U70-AB70)</f>
      </c>
    </row>
    <row r="71" spans="1:29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IF($K71="","",K71*3.96%)</f>
      </c>
      <c r="O71" s="3">
        <f>IF($K71="","",N71*20%)</f>
      </c>
      <c r="P71" s="3">
        <f>IF($K71="","",N71+O71)</f>
      </c>
      <c r="Q71" s="3"/>
      <c r="R71" s="3">
        <f>IF($K71="","",Q71*20%)</f>
      </c>
      <c r="S71" s="3">
        <v>1</v>
      </c>
      <c r="T71" s="3">
        <f>IF($K71="","",R71)</f>
      </c>
      <c r="U71" s="3">
        <f>IF($K71="","",L71-M71-N71-Q71-R71-S71)</f>
      </c>
      <c r="V71" s="3">
        <f>IF($K71="","",(U71-AB71)/J71*100)</f>
      </c>
      <c r="W71" s="3">
        <f>IF($K71="","",M71-T71)</f>
      </c>
      <c r="AC71" s="3">
        <f>IF($K71="","",U71-AB71)</f>
      </c>
    </row>
    <row r="72" spans="1:29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IF($K72="","",K72*3.96%)</f>
      </c>
      <c r="O72" s="3">
        <f>IF($K72="","",N72*20%)</f>
      </c>
      <c r="P72" s="3">
        <f>IF($K72="","",N72+O72)</f>
      </c>
      <c r="Q72" s="3"/>
      <c r="R72" s="3">
        <f>IF($K72="","",Q72*20%)</f>
      </c>
      <c r="S72" s="3">
        <v>1</v>
      </c>
      <c r="T72" s="3">
        <f>IF($K72="","",R72)</f>
      </c>
      <c r="U72" s="3">
        <f>IF($K72="","",L72-M72-N72-Q72-R72-S72)</f>
      </c>
      <c r="V72" s="3">
        <f>IF($K72="","",(U72-AB72)/J72*100)</f>
      </c>
      <c r="W72" s="3">
        <f>IF($K72="","",M72-T72)</f>
      </c>
      <c r="AC72" s="3">
        <f>IF($K72="","",U72-AB72)</f>
      </c>
    </row>
    <row r="73" spans="1:29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IF($K73="","",K73*3.96%)</f>
      </c>
      <c r="O73" s="3">
        <f>IF($K73="","",N73*20%)</f>
      </c>
      <c r="P73" s="3">
        <f>IF($K73="","",N73+O73)</f>
      </c>
      <c r="Q73" s="3"/>
      <c r="R73" s="3">
        <f>IF($K73="","",Q73*20%)</f>
      </c>
      <c r="S73" s="3">
        <v>1</v>
      </c>
      <c r="T73" s="3">
        <f>IF($K73="","",R73)</f>
      </c>
      <c r="U73" s="3">
        <f>IF($K73="","",L73-M73-N73-Q73-R73-S73)</f>
      </c>
      <c r="V73" s="3">
        <f>IF($K73="","",(U73-AB73)/J73*100)</f>
      </c>
      <c r="W73" s="3">
        <f>IF($K73="","",M73-T73)</f>
      </c>
      <c r="AC73" s="3">
        <f>IF($K73="","",U73-AB73)</f>
      </c>
    </row>
    <row r="74" spans="1:29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IF($K74="","",K74*3.96%)</f>
      </c>
      <c r="O74" s="3">
        <f>IF($K74="","",N74*20%)</f>
      </c>
      <c r="P74" s="3">
        <f>IF($K74="","",N74+O74)</f>
      </c>
      <c r="Q74" s="3"/>
      <c r="R74" s="3">
        <f>IF($K74="","",Q74*20%)</f>
      </c>
      <c r="S74" s="3">
        <v>1</v>
      </c>
      <c r="T74" s="3">
        <f>IF($K74="","",R74)</f>
      </c>
      <c r="U74" s="3">
        <f>IF($K74="","",L74-M74-N74-Q74-R74-S74)</f>
      </c>
      <c r="V74" s="3">
        <f>IF($K74="","",(U74-AB74)/J74*100)</f>
      </c>
      <c r="W74" s="3">
        <f>IF($K74="","",M74-T74)</f>
      </c>
      <c r="AC74" s="3">
        <f>IF($K74="","",U74-AB74)</f>
      </c>
    </row>
    <row r="75" spans="1:29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IF($K75="","",K75*3.96%)</f>
      </c>
      <c r="O75" s="3">
        <f>IF($K75="","",N75*20%)</f>
      </c>
      <c r="P75" s="3">
        <f>IF($K75="","",N75+O75)</f>
      </c>
      <c r="Q75" s="3"/>
      <c r="R75" s="3">
        <f>IF($K75="","",Q75*20%)</f>
      </c>
      <c r="S75" s="3">
        <v>1</v>
      </c>
      <c r="T75" s="3">
        <f>IF($K75="","",R75)</f>
      </c>
      <c r="U75" s="3">
        <f>IF($K75="","",L75-M75-N75-Q75-R75-S75)</f>
      </c>
      <c r="V75" s="3">
        <f>IF($K75="","",(U75-AB75)/J75*100)</f>
      </c>
      <c r="W75" s="3">
        <f>IF($K75="","",M75-T75)</f>
      </c>
      <c r="AC75" s="3">
        <f>IF($K75="","",U75-AB75)</f>
      </c>
    </row>
    <row r="76" spans="1:29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IF($K76="","",K76*3.96%)</f>
      </c>
      <c r="O76" s="3">
        <f>IF($K76="","",N76*20%)</f>
      </c>
      <c r="P76" s="3">
        <f>IF($K76="","",N76+O76)</f>
      </c>
      <c r="Q76" s="3"/>
      <c r="R76" s="3">
        <f>IF($K76="","",Q76*20%)</f>
      </c>
      <c r="S76" s="3">
        <v>1</v>
      </c>
      <c r="T76" s="3">
        <f>IF($K76="","",R76)</f>
      </c>
      <c r="U76" s="3">
        <f>IF($K76="","",L76-M76-N76-Q76-R76-S76)</f>
      </c>
      <c r="V76" s="3">
        <f>IF($K76="","",(U76-AB76)/J76*100)</f>
      </c>
      <c r="W76" s="3">
        <f>IF($K76="","",M76-T76)</f>
      </c>
      <c r="AC76" s="3">
        <f>IF($K76="","",U76-AB76)</f>
      </c>
    </row>
    <row r="77" spans="1:29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IF($K77="","",K77*3.96%)</f>
      </c>
      <c r="O77" s="3">
        <f>IF($K77="","",N77*20%)</f>
      </c>
      <c r="P77" s="3">
        <f>IF($K77="","",N77+O77)</f>
      </c>
      <c r="Q77" s="3"/>
      <c r="R77" s="3">
        <f>IF($K77="","",Q77*20%)</f>
      </c>
      <c r="S77" s="3">
        <v>1</v>
      </c>
      <c r="T77" s="3">
        <f>IF($K77="","",R77)</f>
      </c>
      <c r="U77" s="3">
        <f>IF($K77="","",L77-M77-N77-Q77-R77-S77)</f>
      </c>
      <c r="V77" s="3">
        <f>IF($K77="","",(U77-AB77)/J77*100)</f>
      </c>
      <c r="W77" s="3">
        <f>IF($K77="","",M77-T77)</f>
      </c>
      <c r="AC77" s="3">
        <f>IF($K77="","",U77-AB77)</f>
      </c>
    </row>
    <row r="78" spans="1:29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IF($K78="","",K78*3.96%)</f>
      </c>
      <c r="O78" s="3">
        <f>IF($K78="","",N78*20%)</f>
      </c>
      <c r="P78" s="3">
        <f>IF($K78="","",N78+O78)</f>
      </c>
      <c r="Q78" s="3"/>
      <c r="R78" s="3">
        <f>IF($K78="","",Q78*20%)</f>
      </c>
      <c r="S78" s="3">
        <v>1</v>
      </c>
      <c r="T78" s="3">
        <f>IF($K78="","",R78)</f>
      </c>
      <c r="U78" s="3">
        <f>IF($K78="","",L78-M78-N78-Q78-R78-S78)</f>
      </c>
      <c r="V78" s="3">
        <f>IF($K78="","",(U78-AB78)/J78*100)</f>
      </c>
      <c r="W78" s="3">
        <f>IF($K78="","",M78-T78)</f>
      </c>
      <c r="AC78" s="3">
        <f>IF($K78="","",U78-AB78)</f>
      </c>
    </row>
    <row r="79" spans="1:29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IF($K79="","",K79*3.96%)</f>
      </c>
      <c r="O79" s="3">
        <f>IF($K79="","",N79*20%)</f>
      </c>
      <c r="P79" s="3">
        <f>IF($K79="","",N79+O79)</f>
      </c>
      <c r="Q79" s="3"/>
      <c r="R79" s="3">
        <f>IF($K79="","",Q79*20%)</f>
      </c>
      <c r="S79" s="3">
        <v>1</v>
      </c>
      <c r="T79" s="3">
        <f>IF($K79="","",R79)</f>
      </c>
      <c r="U79" s="3">
        <f>IF($K79="","",L79-M79-N79-Q79-R79-S79)</f>
      </c>
      <c r="V79" s="3">
        <f>IF($K79="","",(U79-AB79)/J79*100)</f>
      </c>
      <c r="W79" s="3">
        <f>IF($K79="","",M79-T79)</f>
      </c>
      <c r="AC79" s="3">
        <f>IF($K79="","",U79-AB79)</f>
      </c>
    </row>
    <row r="80" spans="1:29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IF($K80="","",K80*3.96%)</f>
      </c>
      <c r="O80" s="3">
        <f>IF($K80="","",N80*20%)</f>
      </c>
      <c r="P80" s="3">
        <f>IF($K80="","",N80+O80)</f>
      </c>
      <c r="Q80" s="3"/>
      <c r="R80" s="3">
        <f>IF($K80="","",Q80*20%)</f>
      </c>
      <c r="S80" s="3">
        <v>1</v>
      </c>
      <c r="T80" s="3">
        <f>IF($K80="","",R80)</f>
      </c>
      <c r="U80" s="3">
        <f>IF($K80="","",L80-M80-N80-Q80-R80-S80)</f>
      </c>
      <c r="V80" s="3">
        <f>IF($K80="","",(U80-AB80)/J80*100)</f>
      </c>
      <c r="W80" s="3">
        <f>IF($K80="","",M80-T80)</f>
      </c>
      <c r="AC80" s="3">
        <f>IF($K80="","",U80-AB80)</f>
      </c>
    </row>
    <row r="81" spans="1:29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IF($K81="","",K81*3.96%)</f>
      </c>
      <c r="O81" s="3">
        <f>IF($K81="","",N81*20%)</f>
      </c>
      <c r="P81" s="3">
        <f>IF($K81="","",N81+O81)</f>
      </c>
      <c r="Q81" s="3"/>
      <c r="R81" s="3">
        <f>IF($K81="","",Q81*20%)</f>
      </c>
      <c r="S81" s="3">
        <v>1</v>
      </c>
      <c r="T81" s="3">
        <f>IF($K81="","",R81)</f>
      </c>
      <c r="U81" s="3">
        <f>IF($K81="","",L81-M81-N81-Q81-R81-S81)</f>
      </c>
      <c r="V81" s="3">
        <f>IF($K81="","",(U81-AB81)/J81*100)</f>
      </c>
      <c r="W81" s="3">
        <f>IF($K81="","",M81-T81)</f>
      </c>
      <c r="AC81" s="3">
        <f>IF($K81="","",U81-AB81)</f>
      </c>
    </row>
    <row r="82" spans="1:29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IF($K82="","",K82*3.96%)</f>
      </c>
      <c r="O82" s="3">
        <f>IF($K82="","",N82*20%)</f>
      </c>
      <c r="P82" s="3">
        <f>IF($K82="","",N82+O82)</f>
      </c>
      <c r="Q82" s="3"/>
      <c r="R82" s="3">
        <f>IF($K82="","",Q82*20%)</f>
      </c>
      <c r="S82" s="3">
        <v>1</v>
      </c>
      <c r="T82" s="3">
        <f>IF($K82="","",R82)</f>
      </c>
      <c r="U82" s="3">
        <f>IF($K82="","",L82-M82-N82-Q82-R82-S82)</f>
      </c>
      <c r="V82" s="3">
        <f>IF($K82="","",(U82-AB82)/J82*100)</f>
      </c>
      <c r="W82" s="3">
        <f>IF($K82="","",M82-T82)</f>
      </c>
      <c r="AC82" s="3">
        <f>IF($K82="","",U82-AB82)</f>
      </c>
    </row>
    <row r="83" spans="1:29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IF($K83="","",K83*3.96%)</f>
      </c>
      <c r="O83" s="3">
        <f>IF($K83="","",N83*20%)</f>
      </c>
      <c r="P83" s="3">
        <f>IF($K83="","",N83+O83)</f>
      </c>
      <c r="Q83" s="3"/>
      <c r="R83" s="3">
        <f>IF($K83="","",Q83*20%)</f>
      </c>
      <c r="S83" s="3">
        <v>1</v>
      </c>
      <c r="T83" s="3">
        <f>IF($K83="","",R83)</f>
      </c>
      <c r="U83" s="3">
        <f>IF($K83="","",L83-M83-N83-Q83-R83-S83)</f>
      </c>
      <c r="V83" s="3">
        <f>IF($K83="","",(U83-AB83)/J83*100)</f>
      </c>
      <c r="W83" s="3">
        <f>IF($K83="","",M83-T83)</f>
      </c>
      <c r="AC83" s="3">
        <f>IF($K83="","",U83-AB83)</f>
      </c>
    </row>
    <row r="84" spans="1:29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IF($K84="","",K84*3.96%)</f>
      </c>
      <c r="O84" s="3">
        <f>IF($K84="","",N84*20%)</f>
      </c>
      <c r="P84" s="3">
        <f>IF($K84="","",N84+O84)</f>
      </c>
      <c r="Q84" s="3"/>
      <c r="R84" s="3">
        <f>IF($K84="","",Q84*20%)</f>
      </c>
      <c r="S84" s="3">
        <v>1</v>
      </c>
      <c r="T84" s="3">
        <f>IF($K84="","",R84)</f>
      </c>
      <c r="U84" s="3">
        <f>IF($K84="","",L84-M84-N84-Q84-R84-S84)</f>
      </c>
      <c r="V84" s="3">
        <f>IF($K84="","",(U84-AB84)/J84*100)</f>
      </c>
      <c r="W84" s="3">
        <f>IF($K84="","",M84-T84)</f>
      </c>
      <c r="AC84" s="3">
        <f>IF($K84="","",U84-AB84)</f>
      </c>
    </row>
    <row r="85" spans="1:29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IF($K85="","",K85*3.96%)</f>
      </c>
      <c r="O85" s="3">
        <f>IF($K85="","",N85*20%)</f>
      </c>
      <c r="P85" s="3">
        <f>IF($K85="","",N85+O85)</f>
      </c>
      <c r="Q85" s="3"/>
      <c r="R85" s="3">
        <f>IF($K85="","",Q85*20%)</f>
      </c>
      <c r="S85" s="3">
        <v>1</v>
      </c>
      <c r="T85" s="3">
        <f>IF($K85="","",R85)</f>
      </c>
      <c r="U85" s="3">
        <f>IF($K85="","",L85-M85-N85-Q85-R85-S85)</f>
      </c>
      <c r="V85" s="3">
        <f>IF($K85="","",(U85-AB85)/J85*100)</f>
      </c>
      <c r="W85" s="3">
        <f>IF($K85="","",M85-T85)</f>
      </c>
      <c r="AC85" s="3">
        <f>IF($K85="","",U85-AB85)</f>
      </c>
    </row>
    <row r="86" spans="1:29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IF($K86="","",K86*3.96%)</f>
      </c>
      <c r="O86" s="3">
        <f>IF($K86="","",N86*20%)</f>
      </c>
      <c r="P86" s="3">
        <f>IF($K86="","",N86+O86)</f>
      </c>
      <c r="Q86" s="3"/>
      <c r="R86" s="3">
        <f>IF($K86="","",Q86*20%)</f>
      </c>
      <c r="S86" s="3">
        <v>1</v>
      </c>
      <c r="T86" s="3">
        <f>IF($K86="","",R86)</f>
      </c>
      <c r="U86" s="3">
        <f>IF($K86="","",L86-M86-N86-Q86-R86-S86)</f>
      </c>
      <c r="V86" s="3">
        <f>IF($K86="","",(U86-AB86)/J86*100)</f>
      </c>
      <c r="W86" s="3">
        <f>IF($K86="","",M86-T86)</f>
      </c>
      <c r="AC86" s="3">
        <f>IF($K86="","",U86-AB86)</f>
      </c>
    </row>
    <row r="87" spans="1:29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IF($K87="","",K87*3.96%)</f>
      </c>
      <c r="O87" s="3">
        <f>IF($K87="","",N87*20%)</f>
      </c>
      <c r="P87" s="3">
        <f>IF($K87="","",N87+O87)</f>
      </c>
      <c r="Q87" s="3"/>
      <c r="R87" s="3">
        <f>IF($K87="","",Q87*20%)</f>
      </c>
      <c r="S87" s="3">
        <v>1</v>
      </c>
      <c r="T87" s="3">
        <f>IF($K87="","",R87)</f>
      </c>
      <c r="U87" s="3">
        <f>IF($K87="","",L87-M87-N87-Q87-R87-S87)</f>
      </c>
      <c r="V87" s="3">
        <f>IF($K87="","",(U87-AB87)/J87*100)</f>
      </c>
      <c r="W87" s="3">
        <f>IF($K87="","",M87-T87)</f>
      </c>
      <c r="AC87" s="3">
        <f>IF($K87="","",U87-AB87)</f>
      </c>
    </row>
    <row r="88" spans="1:29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IF($K88="","",K88*3.96%)</f>
      </c>
      <c r="O88" s="3">
        <f>IF($K88="","",N88*20%)</f>
      </c>
      <c r="P88" s="3">
        <f>IF($K88="","",N88+O88)</f>
      </c>
      <c r="Q88" s="3"/>
      <c r="R88" s="3">
        <f>IF($K88="","",Q88*20%)</f>
      </c>
      <c r="S88" s="3">
        <v>1</v>
      </c>
      <c r="T88" s="3">
        <f>IF($K88="","",R88)</f>
      </c>
      <c r="U88" s="3">
        <f>IF($K88="","",L88-M88-N88-Q88-R88-S88)</f>
      </c>
      <c r="V88" s="3">
        <f>IF($K88="","",(U88-AB88)/J88*100)</f>
      </c>
      <c r="W88" s="3">
        <f>IF($K88="","",M88-T88)</f>
      </c>
      <c r="AC88" s="3">
        <f>IF($K88="","",U88-AB88)</f>
      </c>
    </row>
    <row r="89" spans="1:29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IF($K89="","",K89*3.96%)</f>
      </c>
      <c r="O89" s="3">
        <f>IF($K89="","",N89*20%)</f>
      </c>
      <c r="P89" s="3">
        <f>IF($K89="","",N89+O89)</f>
      </c>
      <c r="Q89" s="3"/>
      <c r="R89" s="3">
        <f>IF($K89="","",Q89*20%)</f>
      </c>
      <c r="S89" s="3">
        <v>1</v>
      </c>
      <c r="T89" s="3">
        <f>IF($K89="","",R89)</f>
      </c>
      <c r="U89" s="3">
        <f>IF($K89="","",L89-M89-N89-Q89-R89-S89)</f>
      </c>
      <c r="V89" s="3">
        <f>IF($K89="","",(U89-AB89)/J89*100)</f>
      </c>
      <c r="W89" s="3">
        <f>IF($K89="","",M89-T89)</f>
      </c>
      <c r="AC89" s="3">
        <f>IF($K89="","",U89-AB89)</f>
      </c>
    </row>
    <row r="90" spans="1:29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IF($K90="","",K90*3.96%)</f>
      </c>
      <c r="O90" s="3">
        <f>IF($K90="","",N90*20%)</f>
      </c>
      <c r="P90" s="3">
        <f>IF($K90="","",N90+O90)</f>
      </c>
      <c r="Q90" s="3"/>
      <c r="R90" s="3">
        <f>IF($K90="","",Q90*20%)</f>
      </c>
      <c r="S90" s="3">
        <v>1</v>
      </c>
      <c r="T90" s="3">
        <f>IF($K90="","",R90)</f>
      </c>
      <c r="U90" s="3">
        <f>IF($K90="","",L90-M90-N90-Q90-R90-S90)</f>
      </c>
      <c r="V90" s="3">
        <f>IF($K90="","",(U90-AB90)/J90*100)</f>
      </c>
      <c r="W90" s="3">
        <f>IF($K90="","",M90-T90)</f>
      </c>
      <c r="AC90" s="3">
        <f>IF($K90="","",U90-AB90)</f>
      </c>
    </row>
    <row r="91" spans="1:29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IF($K91="","",K91*3.96%)</f>
      </c>
      <c r="O91" s="3">
        <f>IF($K91="","",N91*20%)</f>
      </c>
      <c r="P91" s="3">
        <f>IF($K91="","",N91+O91)</f>
      </c>
      <c r="Q91" s="3"/>
      <c r="R91" s="3">
        <f>IF($K91="","",Q91*20%)</f>
      </c>
      <c r="S91" s="3">
        <v>1</v>
      </c>
      <c r="T91" s="3">
        <f>IF($K91="","",R91)</f>
      </c>
      <c r="U91" s="3">
        <f>IF($K91="","",L91-M91-N91-Q91-R91-S91)</f>
      </c>
      <c r="V91" s="3">
        <f>IF($K91="","",(U91-AB91)/J91*100)</f>
      </c>
      <c r="W91" s="3">
        <f>IF($K91="","",M91-T91)</f>
      </c>
      <c r="AC91" s="3">
        <f>IF($K91="","",U91-AB91)</f>
      </c>
    </row>
    <row r="92" spans="1:29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IF($K92="","",K92*3.96%)</f>
      </c>
      <c r="O92" s="3">
        <f>IF($K92="","",N92*20%)</f>
      </c>
      <c r="P92" s="3">
        <f>IF($K92="","",N92+O92)</f>
      </c>
      <c r="Q92" s="3"/>
      <c r="R92" s="3">
        <f>IF($K92="","",Q92*20%)</f>
      </c>
      <c r="S92" s="3">
        <v>1</v>
      </c>
      <c r="T92" s="3">
        <f>IF($K92="","",R92)</f>
      </c>
      <c r="U92" s="3">
        <f>IF($K92="","",L92-M92-N92-Q92-R92-S92)</f>
      </c>
      <c r="V92" s="3">
        <f>IF($K92="","",(U92-AB92)/J92*100)</f>
      </c>
      <c r="W92" s="3">
        <f>IF($K92="","",M92-T92)</f>
      </c>
      <c r="AC92" s="3">
        <f>IF($K92="","",U92-AB92)</f>
      </c>
    </row>
    <row r="93" spans="1:29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IF($K93="","",K93*3.96%)</f>
      </c>
      <c r="O93" s="3">
        <f>IF($K93="","",N93*20%)</f>
      </c>
      <c r="P93" s="3">
        <f>IF($K93="","",N93+O93)</f>
      </c>
      <c r="Q93" s="3"/>
      <c r="R93" s="3">
        <f>IF($K93="","",Q93*20%)</f>
      </c>
      <c r="S93" s="3">
        <v>1</v>
      </c>
      <c r="T93" s="3">
        <f>IF($K93="","",R93)</f>
      </c>
      <c r="U93" s="3">
        <f>IF($K93="","",L93-M93-N93-Q93-R93-S93)</f>
      </c>
      <c r="V93" s="3">
        <f>IF($K93="","",(U93-AB93)/J93*100)</f>
      </c>
      <c r="W93" s="3">
        <f>IF($K93="","",M93-T93)</f>
      </c>
      <c r="AC93" s="3">
        <f>IF($K93="","",U93-AB93)</f>
      </c>
    </row>
    <row r="94" spans="1:29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IF($K94="","",K94*3.96%)</f>
      </c>
      <c r="O94" s="3">
        <f>IF($K94="","",N94*20%)</f>
      </c>
      <c r="P94" s="3">
        <f>IF($K94="","",N94+O94)</f>
      </c>
      <c r="Q94" s="3"/>
      <c r="R94" s="3">
        <f>IF($K94="","",Q94*20%)</f>
      </c>
      <c r="S94" s="3">
        <v>1</v>
      </c>
      <c r="T94" s="3">
        <f>IF($K94="","",R94)</f>
      </c>
      <c r="U94" s="3">
        <f>IF($K94="","",L94-M94-N94-Q94-R94-S94)</f>
      </c>
      <c r="V94" s="3">
        <f>IF($K94="","",(U94-AB94)/J94*100)</f>
      </c>
      <c r="W94" s="3">
        <f>IF($K94="","",M94-T94)</f>
      </c>
      <c r="AC94" s="3">
        <f>IF($K94="","",U94-AB94)</f>
      </c>
    </row>
    <row r="95" spans="1:29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IF($K95="","",K95*3.96%)</f>
      </c>
      <c r="O95" s="3">
        <f>IF($K95="","",N95*20%)</f>
      </c>
      <c r="P95" s="3">
        <f>IF($K95="","",N95+O95)</f>
      </c>
      <c r="Q95" s="3"/>
      <c r="R95" s="3">
        <f>IF($K95="","",Q95*20%)</f>
      </c>
      <c r="S95" s="3">
        <v>1</v>
      </c>
      <c r="T95" s="3">
        <f>IF($K95="","",R95)</f>
      </c>
      <c r="U95" s="3">
        <f>IF($K95="","",L95-M95-N95-Q95-R95-S95)</f>
      </c>
      <c r="V95" s="3">
        <f>IF($K95="","",(U95-AB95)/J95*100)</f>
      </c>
      <c r="W95" s="3">
        <f>IF($K95="","",M95-T95)</f>
      </c>
      <c r="AC95" s="3">
        <f>IF($K95="","",U95-AB95)</f>
      </c>
    </row>
    <row r="96" spans="1:29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IF($K96="","",K96*3.96%)</f>
      </c>
      <c r="O96" s="3">
        <f>IF($K96="","",N96*20%)</f>
      </c>
      <c r="P96" s="3">
        <f>IF($K96="","",N96+O96)</f>
      </c>
      <c r="Q96" s="3"/>
      <c r="R96" s="3">
        <f>IF($K96="","",Q96*20%)</f>
      </c>
      <c r="S96" s="3">
        <v>1</v>
      </c>
      <c r="T96" s="3">
        <f>IF($K96="","",R96)</f>
      </c>
      <c r="U96" s="3">
        <f>IF($K96="","",L96-M96-N96-Q96-R96-S96)</f>
      </c>
      <c r="V96" s="3">
        <f>IF($K96="","",(U96-AB96)/J96*100)</f>
      </c>
      <c r="W96" s="3">
        <f>IF($K96="","",M96-T96)</f>
      </c>
      <c r="AC96" s="3">
        <f>IF($K96="","",U96-AB96)</f>
      </c>
    </row>
    <row r="97" spans="1:29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IF($K97="","",K97*3.96%)</f>
      </c>
      <c r="O97" s="3">
        <f>IF($K97="","",N97*20%)</f>
      </c>
      <c r="P97" s="3">
        <f>IF($K97="","",N97+O97)</f>
      </c>
      <c r="Q97" s="3"/>
      <c r="R97" s="3">
        <f>IF($K97="","",Q97*20%)</f>
      </c>
      <c r="S97" s="3">
        <v>1</v>
      </c>
      <c r="T97" s="3">
        <f>IF($K97="","",R97)</f>
      </c>
      <c r="U97" s="3">
        <f>IF($K97="","",L97-M97-N97-Q97-R97-S97)</f>
      </c>
      <c r="V97" s="3">
        <f>IF($K97="","",(U97-AB97)/J97*100)</f>
      </c>
      <c r="W97" s="3">
        <f>IF($K97="","",M97-T97)</f>
      </c>
      <c r="AC97" s="3">
        <f>IF($K97="","",U97-AB97)</f>
      </c>
    </row>
    <row r="98" spans="1:29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IF($K98="","",K98*3.96%)</f>
      </c>
      <c r="O98" s="3">
        <f>IF($K98="","",N98*20%)</f>
      </c>
      <c r="P98" s="3">
        <f>IF($K98="","",N98+O98)</f>
      </c>
      <c r="Q98" s="3"/>
      <c r="R98" s="3">
        <f>IF($K98="","",Q98*20%)</f>
      </c>
      <c r="S98" s="3">
        <v>1</v>
      </c>
      <c r="T98" s="3">
        <f>IF($K98="","",R98)</f>
      </c>
      <c r="U98" s="3">
        <f>IF($K98="","",L98-M98-N98-Q98-R98-S98)</f>
      </c>
      <c r="V98" s="3">
        <f>IF($K98="","",(U98-AB98)/J98*100)</f>
      </c>
      <c r="W98" s="3">
        <f>IF($K98="","",M98-T98)</f>
      </c>
      <c r="AC98" s="3">
        <f>IF($K98="","",U98-AB98)</f>
      </c>
    </row>
    <row r="99" spans="1:29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IF($K99="","",K99*3.96%)</f>
      </c>
      <c r="O99" s="3">
        <f>IF($K99="","",N99*20%)</f>
      </c>
      <c r="P99" s="3">
        <f>IF($K99="","",N99+O99)</f>
      </c>
      <c r="Q99" s="3"/>
      <c r="R99" s="3">
        <f>IF($K99="","",Q99*20%)</f>
      </c>
      <c r="S99" s="3">
        <v>1</v>
      </c>
      <c r="T99" s="3">
        <f>IF($K99="","",R99)</f>
      </c>
      <c r="U99" s="3">
        <f>IF($K99="","",L99-M99-N99-Q99-R99-S99)</f>
      </c>
      <c r="V99" s="3">
        <f>IF($K99="","",(U99-AB99)/J99*100)</f>
      </c>
      <c r="W99" s="3">
        <f>IF($K99="","",M99-T99)</f>
      </c>
      <c r="AC99" s="3">
        <f>IF($K99="","",U99-AB99)</f>
      </c>
    </row>
    <row r="100" spans="1:29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IF($K100="","",K100*3.96%)</f>
      </c>
      <c r="O100" s="3">
        <f>IF($K100="","",N100*20%)</f>
      </c>
      <c r="P100" s="3">
        <f>IF($K100="","",N100+O100)</f>
      </c>
      <c r="Q100" s="3"/>
      <c r="R100" s="3">
        <f>IF($K100="","",Q100*20%)</f>
      </c>
      <c r="S100" s="3">
        <v>1</v>
      </c>
      <c r="T100" s="3">
        <f>IF($K100="","",R100)</f>
      </c>
      <c r="U100" s="3">
        <f>IF($K100="","",L100-M100-N100-Q100-R100-S100)</f>
      </c>
      <c r="V100" s="3">
        <f>IF($K100="","",(U100-AB100)/J100*100)</f>
      </c>
      <c r="W100" s="3">
        <f>IF($K100="","",M100-T100)</f>
      </c>
      <c r="AC100" s="3">
        <f>IF($K100="","",U100-AB100)</f>
      </c>
    </row>
    <row r="101" spans="1:29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IF($K101="","",K101*3.96%)</f>
      </c>
      <c r="O101" s="3">
        <f>IF($K101="","",N101*20%)</f>
      </c>
      <c r="P101" s="3">
        <f>IF($K101="","",N101+O101)</f>
      </c>
      <c r="Q101" s="3"/>
      <c r="R101" s="3">
        <f>IF($K101="","",Q101*20%)</f>
      </c>
      <c r="S101" s="3">
        <v>1</v>
      </c>
      <c r="T101" s="3">
        <f>IF($K101="","",R101)</f>
      </c>
      <c r="U101" s="3">
        <f>IF($K101="","",L101-M101-N101-Q101-R101-S101)</f>
      </c>
      <c r="V101" s="3">
        <f>IF($K101="","",(U101-AB101)/J101*100)</f>
      </c>
      <c r="W101" s="3">
        <f>IF($K101="","",M101-T101)</f>
      </c>
      <c r="AC101" s="3">
        <f>IF($K101="","",U101-AB101)</f>
      </c>
    </row>
    <row r="102" spans="1:29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IF($K102="","",K102*3.96%)</f>
      </c>
      <c r="O102" s="3">
        <f>IF($K102="","",N102*20%)</f>
      </c>
      <c r="P102" s="3">
        <f>IF($K102="","",N102+O102)</f>
      </c>
      <c r="Q102" s="3"/>
      <c r="R102" s="3">
        <f>IF($K102="","",Q102*20%)</f>
      </c>
      <c r="S102" s="3">
        <v>1</v>
      </c>
      <c r="T102" s="3">
        <f>IF($K102="","",R102)</f>
      </c>
      <c r="U102" s="3">
        <f>IF($K102="","",L102-M102-N102-Q102-R102-S102)</f>
      </c>
      <c r="V102" s="3">
        <f>IF($K102="","",(U102-AB102)/J102*100)</f>
      </c>
      <c r="W102" s="3">
        <f>IF($K102="","",M102-T102)</f>
      </c>
      <c r="AC102" s="3">
        <f>IF($K102="","",U102-AB102)</f>
      </c>
    </row>
    <row r="103" spans="1:29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IF($K103="","",K103*3.96%)</f>
      </c>
      <c r="O103" s="3">
        <f>IF($K103="","",N103*20%)</f>
      </c>
      <c r="P103" s="3">
        <f>IF($K103="","",N103+O103)</f>
      </c>
      <c r="Q103" s="3"/>
      <c r="R103" s="3">
        <f>IF($K103="","",Q103*20%)</f>
      </c>
      <c r="S103" s="3">
        <v>1</v>
      </c>
      <c r="T103" s="3">
        <f>IF($K103="","",R103)</f>
      </c>
      <c r="U103" s="3">
        <f>IF($K103="","",L103-M103-N103-Q103-R103-S103)</f>
      </c>
      <c r="V103" s="3">
        <f>IF($K103="","",(U103-AB103)/J103*100)</f>
      </c>
      <c r="W103" s="3">
        <f>IF($K103="","",M103-T103)</f>
      </c>
      <c r="AC103" s="3">
        <f>IF($K103="","",U103-AB103)</f>
      </c>
    </row>
    <row r="104" spans="1:29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IF($K104="","",K104*3.96%)</f>
      </c>
      <c r="O104" s="3">
        <f>IF($K104="","",N104*20%)</f>
      </c>
      <c r="P104" s="3">
        <f>IF($K104="","",N104+O104)</f>
      </c>
      <c r="Q104" s="3"/>
      <c r="R104" s="3">
        <f>IF($K104="","",Q104*20%)</f>
      </c>
      <c r="S104" s="3">
        <v>1</v>
      </c>
      <c r="T104" s="3">
        <f>IF($K104="","",R104)</f>
      </c>
      <c r="U104" s="3">
        <f>IF($K104="","",L104-M104-N104-Q104-R104-S104)</f>
      </c>
      <c r="V104" s="3">
        <f>IF($K104="","",(U104-AB104)/J104*100)</f>
      </c>
      <c r="W104" s="3">
        <f>IF($K104="","",M104-T104)</f>
      </c>
      <c r="AC104" s="3">
        <f>IF($K104="","",U104-AB104)</f>
      </c>
    </row>
    <row r="105" spans="1:29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IF($K105="","",K105*3.96%)</f>
      </c>
      <c r="O105" s="3">
        <f>IF($K105="","",N105*20%)</f>
      </c>
      <c r="P105" s="3">
        <f>IF($K105="","",N105+O105)</f>
      </c>
      <c r="Q105" s="3"/>
      <c r="R105" s="3">
        <f>IF($K105="","",Q105*20%)</f>
      </c>
      <c r="S105" s="3">
        <v>1</v>
      </c>
      <c r="T105" s="3">
        <f>IF($K105="","",R105)</f>
      </c>
      <c r="U105" s="3">
        <f>IF($K105="","",L105-M105-N105-Q105-R105-S105)</f>
      </c>
      <c r="V105" s="3">
        <f>IF($K105="","",(U105-AB105)/J105*100)</f>
      </c>
      <c r="W105" s="3">
        <f>IF($K105="","",M105-T105)</f>
      </c>
      <c r="AC105" s="3">
        <f>IF($K105="","",U105-AB105)</f>
      </c>
    </row>
    <row r="106" spans="1:29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IF($K106="","",K106*3.96%)</f>
      </c>
      <c r="O106" s="3">
        <f>IF($K106="","",N106*20%)</f>
      </c>
      <c r="P106" s="3">
        <f>IF($K106="","",N106+O106)</f>
      </c>
      <c r="Q106" s="3"/>
      <c r="R106" s="3">
        <f>IF($K106="","",Q106*20%)</f>
      </c>
      <c r="S106" s="3">
        <v>1</v>
      </c>
      <c r="T106" s="3">
        <f>IF($K106="","",R106)</f>
      </c>
      <c r="U106" s="3">
        <f>IF($K106="","",L106-M106-N106-Q106-R106-S106)</f>
      </c>
      <c r="V106" s="3">
        <f>IF($K106="","",(U106-AB106)/J106*100)</f>
      </c>
      <c r="W106" s="3">
        <f>IF($K106="","",M106-T106)</f>
      </c>
      <c r="AC106" s="3">
        <f>IF($K106="","",U106-AB106)</f>
      </c>
    </row>
    <row r="107" spans="1:29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IF($K107="","",K107*3.96%)</f>
      </c>
      <c r="O107" s="3">
        <f>IF($K107="","",N107*20%)</f>
      </c>
      <c r="P107" s="3">
        <f>IF($K107="","",N107+O107)</f>
      </c>
      <c r="Q107" s="3"/>
      <c r="R107" s="3">
        <f>IF($K107="","",Q107*20%)</f>
      </c>
      <c r="S107" s="3">
        <v>1</v>
      </c>
      <c r="T107" s="3">
        <f>IF($K107="","",R107)</f>
      </c>
      <c r="U107" s="3">
        <f>IF($K107="","",L107-M107-N107-Q107-R107-S107)</f>
      </c>
      <c r="V107" s="3">
        <f>IF($K107="","",(U107-AB107)/J107*100)</f>
      </c>
      <c r="W107" s="3">
        <f>IF($K107="","",M107-T107)</f>
      </c>
      <c r="AC107" s="3">
        <f>IF($K107="","",U107-AB107)</f>
      </c>
    </row>
    <row r="108" spans="1:29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IF($K108="","",K108*3.96%)</f>
      </c>
      <c r="O108" s="3">
        <f>IF($K108="","",N108*20%)</f>
      </c>
      <c r="P108" s="3">
        <f>IF($K108="","",N108+O108)</f>
      </c>
      <c r="Q108" s="3"/>
      <c r="R108" s="3">
        <f>IF($K108="","",Q108*20%)</f>
      </c>
      <c r="S108" s="3">
        <v>1</v>
      </c>
      <c r="T108" s="3">
        <f>IF($K108="","",R108)</f>
      </c>
      <c r="U108" s="3">
        <f>IF($K108="","",L108-M108-N108-Q108-R108-S108)</f>
      </c>
      <c r="V108" s="3">
        <f>IF($K108="","",(U108-AB108)/J108*100)</f>
      </c>
      <c r="W108" s="3">
        <f>IF($K108="","",M108-T108)</f>
      </c>
      <c r="AC108" s="3">
        <f>IF($K108="","",U108-AB108)</f>
      </c>
    </row>
    <row r="109" spans="1:29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IF($K109="","",K109*3.96%)</f>
      </c>
      <c r="O109" s="3">
        <f>IF($K109="","",N109*20%)</f>
      </c>
      <c r="P109" s="3">
        <f>IF($K109="","",N109+O109)</f>
      </c>
      <c r="Q109" s="3"/>
      <c r="R109" s="3">
        <f>IF($K109="","",Q109*20%)</f>
      </c>
      <c r="S109" s="3">
        <v>1</v>
      </c>
      <c r="T109" s="3">
        <f>IF($K109="","",R109)</f>
      </c>
      <c r="U109" s="3">
        <f>IF($K109="","",L109-M109-N109-Q109-R109-S109)</f>
      </c>
      <c r="V109" s="3">
        <f>IF($K109="","",(U109-AB109)/J109*100)</f>
      </c>
      <c r="W109" s="3">
        <f>IF($K109="","",M109-T109)</f>
      </c>
      <c r="AC109" s="3">
        <f>IF($K109="","",U109-AB109)</f>
      </c>
    </row>
    <row r="110" spans="1:29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IF($K110="","",K110*3.96%)</f>
      </c>
      <c r="O110" s="3">
        <f>IF($K110="","",N110*20%)</f>
      </c>
      <c r="P110" s="3">
        <f>IF($K110="","",N110+O110)</f>
      </c>
      <c r="Q110" s="3"/>
      <c r="R110" s="3">
        <f>IF($K110="","",Q110*20%)</f>
      </c>
      <c r="S110" s="3">
        <v>1</v>
      </c>
      <c r="T110" s="3">
        <f>IF($K110="","",R110)</f>
      </c>
      <c r="U110" s="3">
        <f>IF($K110="","",L110-M110-N110-Q110-R110-S110)</f>
      </c>
      <c r="V110" s="3">
        <f>IF($K110="","",(U110-AB110)/J110*100)</f>
      </c>
      <c r="W110" s="3">
        <f>IF($K110="","",M110-T110)</f>
      </c>
      <c r="AC110" s="3">
        <f>IF($K110="","",U110-AB110)</f>
      </c>
    </row>
    <row r="111" spans="1:29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IF($K111="","",K111*3.96%)</f>
      </c>
      <c r="O111" s="3">
        <f>IF($K111="","",N111*20%)</f>
      </c>
      <c r="P111" s="3">
        <f>IF($K111="","",N111+O111)</f>
      </c>
      <c r="Q111" s="3"/>
      <c r="R111" s="3">
        <f>IF($K111="","",Q111*20%)</f>
      </c>
      <c r="S111" s="3">
        <v>1</v>
      </c>
      <c r="T111" s="3">
        <f>IF($K111="","",R111)</f>
      </c>
      <c r="U111" s="3">
        <f>IF($K111="","",L111-M111-N111-Q111-R111-S111)</f>
      </c>
      <c r="V111" s="3">
        <f>IF($K111="","",(U111-AB111)/J111*100)</f>
      </c>
      <c r="W111" s="3">
        <f>IF($K111="","",M111-T111)</f>
      </c>
      <c r="AC111" s="3">
        <f>IF($K111="","",U111-AB111)</f>
      </c>
    </row>
    <row r="112" spans="1:29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IF($K112="","",K112*3.96%)</f>
      </c>
      <c r="O112" s="3">
        <f>IF($K112="","",N112*20%)</f>
      </c>
      <c r="P112" s="3">
        <f>IF($K112="","",N112+O112)</f>
      </c>
      <c r="Q112" s="3"/>
      <c r="R112" s="3">
        <f>IF($K112="","",Q112*20%)</f>
      </c>
      <c r="S112" s="3">
        <v>1</v>
      </c>
      <c r="T112" s="3">
        <f>IF($K112="","",R112)</f>
      </c>
      <c r="U112" s="3">
        <f>IF($K112="","",L112-M112-N112-Q112-R112-S112)</f>
      </c>
      <c r="V112" s="3">
        <f>IF($K112="","",(U112-AB112)/J112*100)</f>
      </c>
      <c r="W112" s="3">
        <f>IF($K112="","",M112-T112)</f>
      </c>
      <c r="AC112" s="3">
        <f>IF($K112="","",U112-AB112)</f>
      </c>
    </row>
    <row r="113" spans="1:29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IF($K113="","",K113*3.96%)</f>
      </c>
      <c r="O113" s="3">
        <f>IF($K113="","",N113*20%)</f>
      </c>
      <c r="P113" s="3">
        <f>IF($K113="","",N113+O113)</f>
      </c>
      <c r="Q113" s="3"/>
      <c r="R113" s="3">
        <f>IF($K113="","",Q113*20%)</f>
      </c>
      <c r="S113" s="3">
        <v>1</v>
      </c>
      <c r="T113" s="3">
        <f>IF($K113="","",R113)</f>
      </c>
      <c r="U113" s="3">
        <f>IF($K113="","",L113-M113-N113-Q113-R113-S113)</f>
      </c>
      <c r="V113" s="3">
        <f>IF($K113="","",(U113-AB113)/J113*100)</f>
      </c>
      <c r="W113" s="3">
        <f>IF($K113="","",M113-T113)</f>
      </c>
      <c r="AC113" s="3">
        <f>IF($K113="","",U113-AB113)</f>
      </c>
    </row>
    <row r="114" spans="1:29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IF($K114="","",K114*3.96%)</f>
      </c>
      <c r="O114" s="3">
        <f>IF($K114="","",N114*20%)</f>
      </c>
      <c r="P114" s="3">
        <f>IF($K114="","",N114+O114)</f>
      </c>
      <c r="Q114" s="3"/>
      <c r="R114" s="3">
        <f>IF($K114="","",Q114*20%)</f>
      </c>
      <c r="S114" s="3">
        <v>1</v>
      </c>
      <c r="T114" s="3">
        <f>IF($K114="","",R114)</f>
      </c>
      <c r="U114" s="3">
        <f>IF($K114="","",L114-M114-N114-Q114-R114-S114)</f>
      </c>
      <c r="V114" s="3">
        <f>IF($K114="","",(U114-AB114)/J114*100)</f>
      </c>
      <c r="W114" s="3">
        <f>IF($K114="","",M114-T114)</f>
      </c>
      <c r="AC114" s="3">
        <f>IF($K114="","",U114-AB114)</f>
      </c>
    </row>
    <row r="115" spans="1:29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IF($K115="","",K115*3.96%)</f>
      </c>
      <c r="O115" s="3">
        <f>IF($K115="","",N115*20%)</f>
      </c>
      <c r="P115" s="3">
        <f>IF($K115="","",N115+O115)</f>
      </c>
      <c r="Q115" s="3"/>
      <c r="R115" s="3">
        <f>IF($K115="","",Q115*20%)</f>
      </c>
      <c r="S115" s="3">
        <v>1</v>
      </c>
      <c r="T115" s="3">
        <f>IF($K115="","",R115)</f>
      </c>
      <c r="U115" s="3">
        <f>IF($K115="","",L115-M115-N115-Q115-R115-S115)</f>
      </c>
      <c r="V115" s="3">
        <f>IF($K115="","",(U115-AB115)/J115*100)</f>
      </c>
      <c r="W115" s="3">
        <f>IF($K115="","",M115-T115)</f>
      </c>
      <c r="AC115" s="3">
        <f>IF($K115="","",U115-AB115)</f>
      </c>
    </row>
    <row r="116" spans="1:29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IF($K116="","",K116*3.96%)</f>
      </c>
      <c r="O116" s="3">
        <f>IF($K116="","",N116*20%)</f>
      </c>
      <c r="P116" s="3">
        <f>IF($K116="","",N116+O116)</f>
      </c>
      <c r="Q116" s="3"/>
      <c r="R116" s="3">
        <f>IF($K116="","",Q116*20%)</f>
      </c>
      <c r="S116" s="3">
        <v>1</v>
      </c>
      <c r="T116" s="3">
        <f>IF($K116="","",R116)</f>
      </c>
      <c r="U116" s="3">
        <f>IF($K116="","",L116-M116-N116-Q116-R116-S116)</f>
      </c>
      <c r="V116" s="3">
        <f>IF($K116="","",(U116-AB116)/J116*100)</f>
      </c>
      <c r="W116" s="3">
        <f>IF($K116="","",M116-T116)</f>
      </c>
      <c r="AC116" s="3">
        <f>IF($K116="","",U116-AB116)</f>
      </c>
    </row>
    <row r="117" spans="1:29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IF($K117="","",K117*3.96%)</f>
      </c>
      <c r="O117" s="3">
        <f>IF($K117="","",N117*20%)</f>
      </c>
      <c r="P117" s="3">
        <f>IF($K117="","",N117+O117)</f>
      </c>
      <c r="Q117" s="3"/>
      <c r="R117" s="3">
        <f>IF($K117="","",Q117*20%)</f>
      </c>
      <c r="S117" s="3">
        <v>1</v>
      </c>
      <c r="T117" s="3">
        <f>IF($K117="","",R117)</f>
      </c>
      <c r="U117" s="3">
        <f>IF($K117="","",L117-M117-N117-Q117-R117-S117)</f>
      </c>
      <c r="V117" s="3">
        <f>IF($K117="","",(U117-AB117)/J117*100)</f>
      </c>
      <c r="W117" s="3">
        <f>IF($K117="","",M117-T117)</f>
      </c>
      <c r="AC117" s="3">
        <f>IF($K117="","",U117-AB117)</f>
      </c>
    </row>
    <row r="118" spans="1:29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IF($K118="","",K118*3.96%)</f>
      </c>
      <c r="O118" s="3">
        <f>IF($K118="","",N118*20%)</f>
      </c>
      <c r="P118" s="3">
        <f>IF($K118="","",N118+O118)</f>
      </c>
      <c r="Q118" s="3"/>
      <c r="R118" s="3">
        <f>IF($K118="","",Q118*20%)</f>
      </c>
      <c r="S118" s="3">
        <v>1</v>
      </c>
      <c r="T118" s="3">
        <f>IF($K118="","",R118)</f>
      </c>
      <c r="U118" s="3">
        <f>IF($K118="","",L118-M118-N118-Q118-R118-S118)</f>
      </c>
      <c r="V118" s="3">
        <f>IF($K118="","",(U118-AB118)/J118*100)</f>
      </c>
      <c r="W118" s="3">
        <f>IF($K118="","",M118-T118)</f>
      </c>
      <c r="AC118" s="3">
        <f>IF($K118="","",U118-AB118)</f>
      </c>
    </row>
    <row r="119" spans="1:29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IF($K119="","",K119*3.96%)</f>
      </c>
      <c r="O119" s="3">
        <f>IF($K119="","",N119*20%)</f>
      </c>
      <c r="P119" s="3">
        <f>IF($K119="","",N119+O119)</f>
      </c>
      <c r="Q119" s="3"/>
      <c r="R119" s="3">
        <f>IF($K119="","",Q119*20%)</f>
      </c>
      <c r="S119" s="3">
        <v>1</v>
      </c>
      <c r="T119" s="3">
        <f>IF($K119="","",R119)</f>
      </c>
      <c r="U119" s="3">
        <f>IF($K119="","",L119-M119-N119-Q119-R119-S119)</f>
      </c>
      <c r="V119" s="3">
        <f>IF($K119="","",(U119-AB119)/J119*100)</f>
      </c>
      <c r="W119" s="3">
        <f>IF($K119="","",M119-T119)</f>
      </c>
      <c r="AC119" s="3">
        <f>IF($K119="","",U119-AB119)</f>
      </c>
    </row>
    <row r="120" spans="1:29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IF($K120="","",K120*3.96%)</f>
      </c>
      <c r="O120" s="3">
        <f>IF($K120="","",N120*20%)</f>
      </c>
      <c r="P120" s="3">
        <f>IF($K120="","",N120+O120)</f>
      </c>
      <c r="Q120" s="3"/>
      <c r="R120" s="3">
        <f>IF($K120="","",Q120*20%)</f>
      </c>
      <c r="S120" s="3">
        <v>1</v>
      </c>
      <c r="T120" s="3">
        <f>IF($K120="","",R120)</f>
      </c>
      <c r="U120" s="3">
        <f>IF($K120="","",L120-M120-N120-Q120-R120-S120)</f>
      </c>
      <c r="V120" s="3">
        <f>IF($K120="","",(U120-AB120)/J120*100)</f>
      </c>
      <c r="W120" s="3">
        <f>IF($K120="","",M120-T120)</f>
      </c>
      <c r="AC120" s="3">
        <f>IF($K120="","",U120-AB120)</f>
      </c>
    </row>
    <row r="121" spans="1:29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IF($K121="","",K121*3.96%)</f>
      </c>
      <c r="O121" s="3">
        <f>IF($K121="","",N121*20%)</f>
      </c>
      <c r="P121" s="3">
        <f>IF($K121="","",N121+O121)</f>
      </c>
      <c r="Q121" s="3"/>
      <c r="R121" s="3">
        <f>IF($K121="","",Q121*20%)</f>
      </c>
      <c r="S121" s="3">
        <v>1</v>
      </c>
      <c r="T121" s="3">
        <f>IF($K121="","",R121)</f>
      </c>
      <c r="U121" s="3">
        <f>IF($K121="","",L121-M121-N121-Q121-R121-S121)</f>
      </c>
      <c r="V121" s="3">
        <f>IF($K121="","",(U121-AB121)/J121*100)</f>
      </c>
      <c r="W121" s="3">
        <f>IF($K121="","",M121-T121)</f>
      </c>
      <c r="AC121" s="3">
        <f>IF($K121="","",U121-AB121)</f>
      </c>
    </row>
    <row r="122" spans="1:29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IF($K122="","",K122*3.96%)</f>
      </c>
      <c r="O122" s="3">
        <f>IF($K122="","",N122*20%)</f>
      </c>
      <c r="P122" s="3">
        <f>IF($K122="","",N122+O122)</f>
      </c>
      <c r="Q122" s="3"/>
      <c r="R122" s="3">
        <f>IF($K122="","",Q122*20%)</f>
      </c>
      <c r="S122" s="3">
        <v>1</v>
      </c>
      <c r="T122" s="3">
        <f>IF($K122="","",R122)</f>
      </c>
      <c r="U122" s="3">
        <f>IF($K122="","",L122-M122-N122-Q122-R122-S122)</f>
      </c>
      <c r="V122" s="3">
        <f>IF($K122="","",(U122-AB122)/J122*100)</f>
      </c>
      <c r="W122" s="3">
        <f>IF($K122="","",M122-T122)</f>
      </c>
      <c r="AC122" s="3">
        <f>IF($K122="","",U122-AB122)</f>
      </c>
    </row>
    <row r="123" spans="1:29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IF($K123="","",K123*3.96%)</f>
      </c>
      <c r="O123" s="3">
        <f>IF($K123="","",N123*20%)</f>
      </c>
      <c r="P123" s="3">
        <f>IF($K123="","",N123+O123)</f>
      </c>
      <c r="Q123" s="3"/>
      <c r="R123" s="3">
        <f>IF($K123="","",Q123*20%)</f>
      </c>
      <c r="S123" s="3">
        <v>1</v>
      </c>
      <c r="T123" s="3">
        <f>IF($K123="","",R123)</f>
      </c>
      <c r="U123" s="3">
        <f>IF($K123="","",L123-M123-N123-Q123-R123-S123)</f>
      </c>
      <c r="V123" s="3">
        <f>IF($K123="","",(U123-AB123)/J123*100)</f>
      </c>
      <c r="W123" s="3">
        <f>IF($K123="","",M123-T123)</f>
      </c>
      <c r="AC123" s="3">
        <f>IF($K123="","",U123-AB123)</f>
      </c>
    </row>
    <row r="124" spans="1:29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IF($K124="","",K124*3.96%)</f>
      </c>
      <c r="O124" s="3">
        <f>IF($K124="","",N124*20%)</f>
      </c>
      <c r="P124" s="3">
        <f>IF($K124="","",N124+O124)</f>
      </c>
      <c r="Q124" s="3"/>
      <c r="R124" s="3">
        <f>IF($K124="","",Q124*20%)</f>
      </c>
      <c r="S124" s="3">
        <v>1</v>
      </c>
      <c r="T124" s="3">
        <f>IF($K124="","",R124)</f>
      </c>
      <c r="U124" s="3">
        <f>IF($K124="","",L124-M124-N124-Q124-R124-S124)</f>
      </c>
      <c r="V124" s="3">
        <f>IF($K124="","",(U124-AB124)/J124*100)</f>
      </c>
      <c r="W124" s="3">
        <f>IF($K124="","",M124-T124)</f>
      </c>
      <c r="AC124" s="3">
        <f>IF($K124="","",U124-AB124)</f>
      </c>
    </row>
    <row r="125" spans="1:29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IF($K125="","",K125*3.96%)</f>
      </c>
      <c r="O125" s="3">
        <f>IF($K125="","",N125*20%)</f>
      </c>
      <c r="P125" s="3">
        <f>IF($K125="","",N125+O125)</f>
      </c>
      <c r="Q125" s="3"/>
      <c r="R125" s="3">
        <f>IF($K125="","",Q125*20%)</f>
      </c>
      <c r="S125" s="3">
        <v>1</v>
      </c>
      <c r="T125" s="3">
        <f>IF($K125="","",R125)</f>
      </c>
      <c r="U125" s="3">
        <f>IF($K125="","",L125-M125-N125-Q125-R125-S125)</f>
      </c>
      <c r="V125" s="3">
        <f>IF($K125="","",(U125-AB125)/J125*100)</f>
      </c>
      <c r="W125" s="3">
        <f>IF($K125="","",M125-T125)</f>
      </c>
      <c r="AC125" s="3">
        <f>IF($K125="","",U125-AB125)</f>
      </c>
    </row>
    <row r="126" spans="1:29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IF($K126="","",K126*3.96%)</f>
      </c>
      <c r="O126" s="3">
        <f>IF($K126="","",N126*20%)</f>
      </c>
      <c r="P126" s="3">
        <f>IF($K126="","",N126+O126)</f>
      </c>
      <c r="Q126" s="3"/>
      <c r="R126" s="3">
        <f>IF($K126="","",Q126*20%)</f>
      </c>
      <c r="S126" s="3">
        <v>1</v>
      </c>
      <c r="T126" s="3">
        <f>IF($K126="","",R126)</f>
      </c>
      <c r="U126" s="3">
        <f>IF($K126="","",L126-M126-N126-Q126-R126-S126)</f>
      </c>
      <c r="V126" s="3">
        <f>IF($K126="","",(U126-AB126)/J126*100)</f>
      </c>
      <c r="W126" s="3">
        <f>IF($K126="","",M126-T126)</f>
      </c>
      <c r="AC126" s="3">
        <f>IF($K126="","",U126-AB126)</f>
      </c>
    </row>
    <row r="127" spans="1:29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IF($K127="","",K127*3.96%)</f>
      </c>
      <c r="O127" s="3">
        <f>IF($K127="","",N127*20%)</f>
      </c>
      <c r="P127" s="3">
        <f>IF($K127="","",N127+O127)</f>
      </c>
      <c r="Q127" s="3"/>
      <c r="R127" s="3">
        <f>IF($K127="","",Q127*20%)</f>
      </c>
      <c r="S127" s="3">
        <v>1</v>
      </c>
      <c r="T127" s="3">
        <f>IF($K127="","",R127)</f>
      </c>
      <c r="U127" s="3">
        <f>IF($K127="","",L127-M127-N127-Q127-R127-S127)</f>
      </c>
      <c r="V127" s="3">
        <f>IF($K127="","",(U127-AB127)/J127*100)</f>
      </c>
      <c r="W127" s="3">
        <f>IF($K127="","",M127-T127)</f>
      </c>
      <c r="AC127" s="3">
        <f>IF($K127="","",U127-AB127)</f>
      </c>
    </row>
    <row r="128" spans="1:29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IF($K128="","",K128*3.96%)</f>
      </c>
      <c r="O128" s="3">
        <f>IF($K128="","",N128*20%)</f>
      </c>
      <c r="P128" s="3">
        <f>IF($K128="","",N128+O128)</f>
      </c>
      <c r="Q128" s="3"/>
      <c r="R128" s="3">
        <f>IF($K128="","",Q128*20%)</f>
      </c>
      <c r="S128" s="3">
        <v>1</v>
      </c>
      <c r="T128" s="3">
        <f>IF($K128="","",R128)</f>
      </c>
      <c r="U128" s="3">
        <f>IF($K128="","",L128-M128-N128-Q128-R128-S128)</f>
      </c>
      <c r="V128" s="3">
        <f>IF($K128="","",(U128-AB128)/J128*100)</f>
      </c>
      <c r="W128" s="3">
        <f>IF($K128="","",M128-T128)</f>
      </c>
      <c r="AC128" s="3">
        <f>IF($K128="","",U128-AB128)</f>
      </c>
    </row>
    <row r="129" spans="1:29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IF($K129="","",K129*3.96%)</f>
      </c>
      <c r="O129" s="3">
        <f>IF($K129="","",N129*20%)</f>
      </c>
      <c r="P129" s="3">
        <f>IF($K129="","",N129+O129)</f>
      </c>
      <c r="Q129" s="3"/>
      <c r="R129" s="3">
        <f>IF($K129="","",Q129*20%)</f>
      </c>
      <c r="S129" s="3">
        <v>1</v>
      </c>
      <c r="T129" s="3">
        <f>IF($K129="","",R129)</f>
      </c>
      <c r="U129" s="3">
        <f>IF($K129="","",L129-M129-N129-Q129-R129-S129)</f>
      </c>
      <c r="V129" s="3">
        <f>IF($K129="","",(U129-AB129)/J129*100)</f>
      </c>
      <c r="W129" s="3">
        <f>IF($K129="","",M129-T129)</f>
      </c>
      <c r="AC129" s="3">
        <f>IF($K129="","",U129-AB129)</f>
      </c>
    </row>
    <row r="130" spans="1:29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IF($K130="","",K130*3.96%)</f>
      </c>
      <c r="O130" s="3">
        <f>IF($K130="","",N130*20%)</f>
      </c>
      <c r="P130" s="3">
        <f>IF($K130="","",N130+O130)</f>
      </c>
      <c r="Q130" s="3"/>
      <c r="R130" s="3">
        <f>IF($K130="","",Q130*20%)</f>
      </c>
      <c r="S130" s="3">
        <v>1</v>
      </c>
      <c r="T130" s="3">
        <f>IF($K130="","",R130)</f>
      </c>
      <c r="U130" s="3">
        <f>IF($K130="","",L130-M130-N130-Q130-R130-S130)</f>
      </c>
      <c r="V130" s="3">
        <f>IF($K130="","",(U130-AB130)/J130*100)</f>
      </c>
      <c r="W130" s="3">
        <f>IF($K130="","",M130-T130)</f>
      </c>
      <c r="AC130" s="3">
        <f>IF($K130="","",U130-AB130)</f>
      </c>
    </row>
    <row r="131" spans="1:29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IF($K131="","",K131*3.96%)</f>
      </c>
      <c r="O131" s="3">
        <f>IF($K131="","",N131*20%)</f>
      </c>
      <c r="P131" s="3">
        <f>IF($K131="","",N131+O131)</f>
      </c>
      <c r="Q131" s="3"/>
      <c r="R131" s="3">
        <f>IF($K131="","",Q131*20%)</f>
      </c>
      <c r="S131" s="3">
        <v>1</v>
      </c>
      <c r="T131" s="3">
        <f>IF($K131="","",R131)</f>
      </c>
      <c r="U131" s="3">
        <f>IF($K131="","",L131-M131-N131-Q131-R131-S131)</f>
      </c>
      <c r="V131" s="3">
        <f>IF($K131="","",(U131-AB131)/J131*100)</f>
      </c>
      <c r="W131" s="3">
        <f>IF($K131="","",M131-T131)</f>
      </c>
      <c r="AC131" s="3">
        <f>IF($K131="","",U131-AB131)</f>
      </c>
    </row>
    <row r="132" spans="1:29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IF($K132="","",K132*3.96%)</f>
      </c>
      <c r="O132" s="3">
        <f>IF($K132="","",N132*20%)</f>
      </c>
      <c r="P132" s="3">
        <f>IF($K132="","",N132+O132)</f>
      </c>
      <c r="Q132" s="3"/>
      <c r="R132" s="3">
        <f>IF($K132="","",Q132*20%)</f>
      </c>
      <c r="S132" s="3">
        <v>1</v>
      </c>
      <c r="T132" s="3">
        <f>IF($K132="","",R132)</f>
      </c>
      <c r="U132" s="3">
        <f>IF($K132="","",L132-M132-N132-Q132-R132-S132)</f>
      </c>
      <c r="V132" s="3">
        <f>IF($K132="","",(U132-AB132)/J132*100)</f>
      </c>
      <c r="W132" s="3">
        <f>IF($K132="","",M132-T132)</f>
      </c>
      <c r="AC132" s="3">
        <f>IF($K132="","",U132-AB132)</f>
      </c>
    </row>
    <row r="133" spans="1:29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IF($K133="","",K133*3.96%)</f>
      </c>
      <c r="O133" s="3">
        <f>IF($K133="","",N133*20%)</f>
      </c>
      <c r="P133" s="3">
        <f>IF($K133="","",N133+O133)</f>
      </c>
      <c r="Q133" s="3"/>
      <c r="R133" s="3">
        <f>IF($K133="","",Q133*20%)</f>
      </c>
      <c r="S133" s="3">
        <v>1</v>
      </c>
      <c r="T133" s="3">
        <f>IF($K133="","",R133)</f>
      </c>
      <c r="U133" s="3">
        <f>IF($K133="","",L133-M133-N133-Q133-R133-S133)</f>
      </c>
      <c r="V133" s="3">
        <f>IF($K133="","",(U133-AB133)/J133*100)</f>
      </c>
      <c r="W133" s="3">
        <f>IF($K133="","",M133-T133)</f>
      </c>
      <c r="AC133" s="3">
        <f>IF($K133="","",U133-AB133)</f>
      </c>
    </row>
    <row r="134" spans="1:29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IF($K134="","",K134*3.96%)</f>
      </c>
      <c r="O134" s="3">
        <f>IF($K134="","",N134*20%)</f>
      </c>
      <c r="P134" s="3">
        <f>IF($K134="","",N134+O134)</f>
      </c>
      <c r="Q134" s="3"/>
      <c r="R134" s="3">
        <f>IF($K134="","",Q134*20%)</f>
      </c>
      <c r="S134" s="3">
        <v>1</v>
      </c>
      <c r="T134" s="3">
        <f>IF($K134="","",R134)</f>
      </c>
      <c r="U134" s="3">
        <f>IF($K134="","",L134-M134-N134-Q134-R134-S134)</f>
      </c>
      <c r="V134" s="3">
        <f>IF($K134="","",(U134-AB134)/J134*100)</f>
      </c>
      <c r="W134" s="3">
        <f>IF($K134="","",M134-T134)</f>
      </c>
      <c r="AC134" s="3">
        <f>IF($K134="","",U134-AB134)</f>
      </c>
    </row>
    <row r="135" spans="1:29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IF($K135="","",K135*3.96%)</f>
      </c>
      <c r="O135" s="3">
        <f>IF($K135="","",N135*20%)</f>
      </c>
      <c r="P135" s="3">
        <f>IF($K135="","",N135+O135)</f>
      </c>
      <c r="Q135" s="3"/>
      <c r="R135" s="3">
        <f>IF($K135="","",Q135*20%)</f>
      </c>
      <c r="S135" s="3">
        <v>1</v>
      </c>
      <c r="T135" s="3">
        <f>IF($K135="","",R135)</f>
      </c>
      <c r="U135" s="3">
        <f>IF($K135="","",L135-M135-N135-Q135-R135-S135)</f>
      </c>
      <c r="V135" s="3">
        <f>IF($K135="","",(U135-AB135)/J135*100)</f>
      </c>
      <c r="W135" s="3">
        <f>IF($K135="","",M135-T135)</f>
      </c>
      <c r="AC135" s="3">
        <f>IF($K135="","",U135-AB135)</f>
      </c>
    </row>
    <row r="136" spans="1:29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IF($K136="","",K136*3.96%)</f>
      </c>
      <c r="O136" s="3">
        <f>IF($K136="","",N136*20%)</f>
      </c>
      <c r="P136" s="3">
        <f>IF($K136="","",N136+O136)</f>
      </c>
      <c r="Q136" s="3"/>
      <c r="R136" s="3">
        <f>IF($K136="","",Q136*20%)</f>
      </c>
      <c r="S136" s="3">
        <v>1</v>
      </c>
      <c r="T136" s="3">
        <f>IF($K136="","",R136)</f>
      </c>
      <c r="U136" s="3">
        <f>IF($K136="","",L136-M136-N136-Q136-R136-S136)</f>
      </c>
      <c r="V136" s="3">
        <f>IF($K136="","",(U136-AB136)/J136*100)</f>
      </c>
      <c r="W136" s="3">
        <f>IF($K136="","",M136-T136)</f>
      </c>
      <c r="AC136" s="3">
        <f>IF($K136="","",U136-AB136)</f>
      </c>
    </row>
    <row r="137" spans="1:29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IF($K137="","",K137*3.96%)</f>
      </c>
      <c r="O137" s="3">
        <f>IF($K137="","",N137*20%)</f>
      </c>
      <c r="P137" s="3">
        <f>IF($K137="","",N137+O137)</f>
      </c>
      <c r="Q137" s="3"/>
      <c r="R137" s="3">
        <f>IF($K137="","",Q137*20%)</f>
      </c>
      <c r="S137" s="3">
        <v>1</v>
      </c>
      <c r="T137" s="3">
        <f>IF($K137="","",R137)</f>
      </c>
      <c r="U137" s="3">
        <f>IF($K137="","",L137-M137-N137-Q137-R137-S137)</f>
      </c>
      <c r="V137" s="3">
        <f>IF($K137="","",(U137-AB137)/J137*100)</f>
      </c>
      <c r="W137" s="3">
        <f>IF($K137="","",M137-T137)</f>
      </c>
      <c r="AC137" s="3">
        <f>IF($K137="","",U137-AB137)</f>
      </c>
    </row>
    <row r="138" spans="1:29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IF($K138="","",K138*3.96%)</f>
      </c>
      <c r="O138" s="3">
        <f>IF($K138="","",N138*20%)</f>
      </c>
      <c r="P138" s="3">
        <f>IF($K138="","",N138+O138)</f>
      </c>
      <c r="Q138" s="3"/>
      <c r="R138" s="3">
        <f>IF($K138="","",Q138*20%)</f>
      </c>
      <c r="S138" s="3">
        <v>1</v>
      </c>
      <c r="T138" s="3">
        <f>IF($K138="","",R138)</f>
      </c>
      <c r="U138" s="3">
        <f>IF($K138="","",L138-M138-N138-Q138-R138-S138)</f>
      </c>
      <c r="V138" s="3">
        <f>IF($K138="","",(U138-AB138)/J138*100)</f>
      </c>
      <c r="W138" s="3">
        <f>IF($K138="","",M138-T138)</f>
      </c>
      <c r="AC138" s="3">
        <f>IF($K138="","",U138-AB138)</f>
      </c>
    </row>
    <row r="139" spans="1:29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IF($K139="","",K139*3.96%)</f>
      </c>
      <c r="O139" s="3">
        <f>IF($K139="","",N139*20%)</f>
      </c>
      <c r="P139" s="3">
        <f>IF($K139="","",N139+O139)</f>
      </c>
      <c r="Q139" s="3"/>
      <c r="R139" s="3">
        <f>IF($K139="","",Q139*20%)</f>
      </c>
      <c r="S139" s="3">
        <v>1</v>
      </c>
      <c r="T139" s="3">
        <f>IF($K139="","",R139)</f>
      </c>
      <c r="U139" s="3">
        <f>IF($K139="","",L139-M139-N139-Q139-R139-S139)</f>
      </c>
      <c r="V139" s="3">
        <f>IF($K139="","",(U139-AB139)/J139*100)</f>
      </c>
      <c r="W139" s="3">
        <f>IF($K139="","",M139-T139)</f>
      </c>
      <c r="AC139" s="3">
        <f>IF($K139="","",U139-AB139)</f>
      </c>
    </row>
    <row r="140" spans="1:29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IF($K140="","",K140*3.96%)</f>
      </c>
      <c r="O140" s="3">
        <f>IF($K140="","",N140*20%)</f>
      </c>
      <c r="P140" s="3">
        <f>IF($K140="","",N140+O140)</f>
      </c>
      <c r="Q140" s="3"/>
      <c r="R140" s="3">
        <f>IF($K140="","",Q140*20%)</f>
      </c>
      <c r="S140" s="3">
        <v>1</v>
      </c>
      <c r="T140" s="3">
        <f>IF($K140="","",R140)</f>
      </c>
      <c r="U140" s="3">
        <f>IF($K140="","",L140-M140-N140-Q140-R140-S140)</f>
      </c>
      <c r="V140" s="3">
        <f>IF($K140="","",(U140-AB140)/J140*100)</f>
      </c>
      <c r="W140" s="3">
        <f>IF($K140="","",M140-T140)</f>
      </c>
      <c r="AC140" s="3">
        <f>IF($K140="","",U140-AB140)</f>
      </c>
    </row>
    <row r="141" spans="1:29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IF($K141="","",K141*3.96%)</f>
      </c>
      <c r="O141" s="3">
        <f>IF($K141="","",N141*20%)</f>
      </c>
      <c r="P141" s="3">
        <f>IF($K141="","",N141+O141)</f>
      </c>
      <c r="Q141" s="3"/>
      <c r="R141" s="3">
        <f>IF($K141="","",Q141*20%)</f>
      </c>
      <c r="S141" s="3">
        <v>1</v>
      </c>
      <c r="T141" s="3">
        <f>IF($K141="","",R141)</f>
      </c>
      <c r="U141" s="3">
        <f>IF($K141="","",L141-M141-N141-Q141-R141-S141)</f>
      </c>
      <c r="V141" s="3">
        <f>IF($K141="","",(U141-AB141)/J141*100)</f>
      </c>
      <c r="W141" s="3">
        <f>IF($K141="","",M141-T141)</f>
      </c>
      <c r="AC141" s="3">
        <f>IF($K141="","",U141-AB141)</f>
      </c>
    </row>
    <row r="142" spans="1:29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IF($K142="","",K142*3.96%)</f>
      </c>
      <c r="O142" s="3">
        <f>IF($K142="","",N142*20%)</f>
      </c>
      <c r="P142" s="3">
        <f>IF($K142="","",N142+O142)</f>
      </c>
      <c r="Q142" s="3"/>
      <c r="R142" s="3">
        <f>IF($K142="","",Q142*20%)</f>
      </c>
      <c r="S142" s="3">
        <v>1</v>
      </c>
      <c r="T142" s="3">
        <f>IF($K142="","",R142)</f>
      </c>
      <c r="U142" s="3">
        <f>IF($K142="","",L142-M142-N142-Q142-R142-S142)</f>
      </c>
      <c r="V142" s="3">
        <f>IF($K142="","",(U142-AB142)/J142*100)</f>
      </c>
      <c r="W142" s="3">
        <f>IF($K142="","",M142-T142)</f>
      </c>
      <c r="AC142" s="3">
        <f>IF($K142="","",U142-AB142)</f>
      </c>
    </row>
    <row r="143" spans="1:29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IF($K143="","",K143*3.96%)</f>
      </c>
      <c r="O143" s="3">
        <f>IF($K143="","",N143*20%)</f>
      </c>
      <c r="P143" s="3">
        <f>IF($K143="","",N143+O143)</f>
      </c>
      <c r="Q143" s="3"/>
      <c r="R143" s="3">
        <f>IF($K143="","",Q143*20%)</f>
      </c>
      <c r="S143" s="3">
        <v>1</v>
      </c>
      <c r="T143" s="3">
        <f>IF($K143="","",R143)</f>
      </c>
      <c r="U143" s="3">
        <f>IF($K143="","",L143-M143-N143-Q143-R143-S143)</f>
      </c>
      <c r="V143" s="3">
        <f>IF($K143="","",(U143-AB143)/J143*100)</f>
      </c>
      <c r="W143" s="3">
        <f>IF($K143="","",M143-T143)</f>
      </c>
      <c r="AC143" s="3">
        <f>IF($K143="","",U143-AB143)</f>
      </c>
    </row>
    <row r="144" spans="1:29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IF($K144="","",K144*3.96%)</f>
      </c>
      <c r="O144" s="3">
        <f>IF($K144="","",N144*20%)</f>
      </c>
      <c r="P144" s="3">
        <f>IF($K144="","",N144+O144)</f>
      </c>
      <c r="Q144" s="3"/>
      <c r="R144" s="3">
        <f>IF($K144="","",Q144*20%)</f>
      </c>
      <c r="S144" s="3">
        <v>1</v>
      </c>
      <c r="T144" s="3">
        <f>IF($K144="","",R144)</f>
      </c>
      <c r="U144" s="3">
        <f>IF($K144="","",L144-M144-N144-Q144-R144-S144)</f>
      </c>
      <c r="V144" s="3">
        <f>IF($K144="","",(U144-AB144)/J144*100)</f>
      </c>
      <c r="W144" s="3">
        <f>IF($K144="","",M144-T144)</f>
      </c>
      <c r="AC144" s="3">
        <f>IF($K144="","",U144-AB144)</f>
      </c>
    </row>
    <row r="145" spans="1:29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IF($K145="","",K145*3.96%)</f>
      </c>
      <c r="O145" s="3">
        <f>IF($K145="","",N145*20%)</f>
      </c>
      <c r="P145" s="3">
        <f>IF($K145="","",N145+O145)</f>
      </c>
      <c r="Q145" s="3"/>
      <c r="R145" s="3">
        <f>IF($K145="","",Q145*20%)</f>
      </c>
      <c r="S145" s="3">
        <v>1</v>
      </c>
      <c r="T145" s="3">
        <f>IF($K145="","",R145)</f>
      </c>
      <c r="U145" s="3">
        <f>IF($K145="","",L145-M145-N145-Q145-R145-S145)</f>
      </c>
      <c r="V145" s="3">
        <f>IF($K145="","",(U145-AB145)/J145*100)</f>
      </c>
      <c r="W145" s="3">
        <f>IF($K145="","",M145-T145)</f>
      </c>
      <c r="AC145" s="3">
        <f>IF($K145="","",U145-AB145)</f>
      </c>
    </row>
    <row r="146" spans="1:29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IF($K146="","",K146*3.96%)</f>
      </c>
      <c r="O146" s="3">
        <f>IF($K146="","",N146*20%)</f>
      </c>
      <c r="P146" s="3">
        <f>IF($K146="","",N146+O146)</f>
      </c>
      <c r="Q146" s="3"/>
      <c r="R146" s="3">
        <f>IF($K146="","",Q146*20%)</f>
      </c>
      <c r="S146" s="3">
        <v>1</v>
      </c>
      <c r="T146" s="3">
        <f>IF($K146="","",R146)</f>
      </c>
      <c r="U146" s="3">
        <f>IF($K146="","",L146-M146-N146-Q146-R146-S146)</f>
      </c>
      <c r="V146" s="3">
        <f>IF($K146="","",(U146-AB146)/J146*100)</f>
      </c>
      <c r="W146" s="3">
        <f>IF($K146="","",M146-T146)</f>
      </c>
      <c r="AC146" s="3">
        <f>IF($K146="","",U146-AB146)</f>
      </c>
    </row>
    <row r="147" spans="1:29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IF($K147="","",K147*3.96%)</f>
      </c>
      <c r="O147" s="3">
        <f>IF($K147="","",N147*20%)</f>
      </c>
      <c r="P147" s="3">
        <f>IF($K147="","",N147+O147)</f>
      </c>
      <c r="Q147" s="3"/>
      <c r="R147" s="3">
        <f>IF($K147="","",Q147*20%)</f>
      </c>
      <c r="S147" s="3">
        <v>1</v>
      </c>
      <c r="T147" s="3">
        <f>IF($K147="","",R147)</f>
      </c>
      <c r="U147" s="3">
        <f>IF($K147="","",L147-M147-N147-Q147-R147-S147)</f>
      </c>
      <c r="V147" s="3">
        <f>IF($K147="","",(U147-AB147)/J147*100)</f>
      </c>
      <c r="W147" s="3">
        <f>IF($K147="","",M147-T147)</f>
      </c>
      <c r="AC147" s="3">
        <f>IF($K147="","",U147-AB147)</f>
      </c>
    </row>
    <row r="148" spans="1:29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IF($K148="","",K148*3.96%)</f>
      </c>
      <c r="O148" s="3">
        <f>IF($K148="","",N148*20%)</f>
      </c>
      <c r="P148" s="3">
        <f>IF($K148="","",N148+O148)</f>
      </c>
      <c r="Q148" s="3"/>
      <c r="R148" s="3">
        <f>IF($K148="","",Q148*20%)</f>
      </c>
      <c r="S148" s="3">
        <v>1</v>
      </c>
      <c r="T148" s="3">
        <f>IF($K148="","",R148)</f>
      </c>
      <c r="U148" s="3">
        <f>IF($K148="","",L148-M148-N148-Q148-R148-S148)</f>
      </c>
      <c r="V148" s="3">
        <f>IF($K148="","",(U148-AB148)/J148*100)</f>
      </c>
      <c r="W148" s="3">
        <f>IF($K148="","",M148-T148)</f>
      </c>
      <c r="AC148" s="3">
        <f>IF($K148="","",U148-AB148)</f>
      </c>
    </row>
    <row r="149" spans="1:29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IF($K149="","",K149*3.96%)</f>
      </c>
      <c r="O149" s="3">
        <f>IF($K149="","",N149*20%)</f>
      </c>
      <c r="P149" s="3">
        <f>IF($K149="","",N149+O149)</f>
      </c>
      <c r="Q149" s="3"/>
      <c r="R149" s="3">
        <f>IF($K149="","",Q149*20%)</f>
      </c>
      <c r="S149" s="3">
        <v>1</v>
      </c>
      <c r="T149" s="3">
        <f>IF($K149="","",R149)</f>
      </c>
      <c r="U149" s="3">
        <f>IF($K149="","",L149-M149-N149-Q149-R149-S149)</f>
      </c>
      <c r="V149" s="3">
        <f>IF($K149="","",(U149-AB149)/J149*100)</f>
      </c>
      <c r="W149" s="3">
        <f>IF($K149="","",M149-T149)</f>
      </c>
      <c r="AC149" s="3">
        <f>IF($K149="","",U149-AB149)</f>
      </c>
    </row>
    <row r="150" spans="1:29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IF($K150="","",K150*3.96%)</f>
      </c>
      <c r="O150" s="3">
        <f>IF($K150="","",N150*20%)</f>
      </c>
      <c r="P150" s="3">
        <f>IF($K150="","",N150+O150)</f>
      </c>
      <c r="Q150" s="3"/>
      <c r="R150" s="3">
        <f>IF($K150="","",Q150*20%)</f>
      </c>
      <c r="S150" s="3">
        <v>1</v>
      </c>
      <c r="T150" s="3">
        <f>IF($K150="","",R150)</f>
      </c>
      <c r="U150" s="3">
        <f>IF($K150="","",L150-M150-N150-Q150-R150-S150)</f>
      </c>
      <c r="V150" s="3">
        <f>IF($K150="","",(U150-AB150)/J150*100)</f>
      </c>
      <c r="W150" s="3">
        <f>IF($K150="","",M150-T150)</f>
      </c>
      <c r="AC150" s="3">
        <f>IF($K150="","",U150-AB150)</f>
      </c>
    </row>
    <row r="151" spans="1:29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IF($K151="","",K151*3.96%)</f>
      </c>
      <c r="O151" s="3">
        <f>IF($K151="","",N151*20%)</f>
      </c>
      <c r="P151" s="3">
        <f>IF($K151="","",N151+O151)</f>
      </c>
      <c r="Q151" s="3"/>
      <c r="R151" s="3">
        <f>IF($K151="","",Q151*20%)</f>
      </c>
      <c r="S151" s="3">
        <v>1</v>
      </c>
      <c r="T151" s="3">
        <f>IF($K151="","",R151)</f>
      </c>
      <c r="U151" s="3">
        <f>IF($K151="","",L151-M151-N151-Q151-R151-S151)</f>
      </c>
      <c r="V151" s="3">
        <f>IF($K151="","",(U151-AB151)/J151*100)</f>
      </c>
      <c r="W151" s="3">
        <f>IF($K151="","",M151-T151)</f>
      </c>
      <c r="AC151" s="3">
        <f>IF($K151="","",U151-AB151)</f>
      </c>
    </row>
    <row r="152" spans="1:29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IF($K152="","",K152*3.96%)</f>
      </c>
      <c r="O152" s="3">
        <f>IF($K152="","",N152*20%)</f>
      </c>
      <c r="P152" s="3">
        <f>IF($K152="","",N152+O152)</f>
      </c>
      <c r="Q152" s="3"/>
      <c r="R152" s="3">
        <f>IF($K152="","",Q152*20%)</f>
      </c>
      <c r="S152" s="3">
        <v>1</v>
      </c>
      <c r="T152" s="3">
        <f>IF($K152="","",R152)</f>
      </c>
      <c r="U152" s="3">
        <f>IF($K152="","",L152-M152-N152-Q152-R152-S152)</f>
      </c>
      <c r="V152" s="3">
        <f>IF($K152="","",(U152-AB152)/J152*100)</f>
      </c>
      <c r="W152" s="3">
        <f>IF($K152="","",M152-T152)</f>
      </c>
      <c r="AC152" s="3">
        <f>IF($K152="","",U152-AB152)</f>
      </c>
    </row>
    <row r="153" spans="1:29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IF($K153="","",K153*3.96%)</f>
      </c>
      <c r="O153" s="3">
        <f>IF($K153="","",N153*20%)</f>
      </c>
      <c r="P153" s="3">
        <f>IF($K153="","",N153+O153)</f>
      </c>
      <c r="Q153" s="3"/>
      <c r="R153" s="3">
        <f>IF($K153="","",Q153*20%)</f>
      </c>
      <c r="S153" s="3">
        <v>1</v>
      </c>
      <c r="T153" s="3">
        <f>IF($K153="","",R153)</f>
      </c>
      <c r="U153" s="3">
        <f>IF($K153="","",L153-M153-N153-Q153-R153-S153)</f>
      </c>
      <c r="V153" s="3">
        <f>IF($K153="","",(U153-AB153)/J153*100)</f>
      </c>
      <c r="W153" s="3">
        <f>IF($K153="","",M153-T153)</f>
      </c>
      <c r="AC153" s="3">
        <f>IF($K153="","",U153-AB153)</f>
      </c>
    </row>
    <row r="154" spans="1:29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IF($K154="","",K154*3.96%)</f>
      </c>
      <c r="O154" s="3">
        <f>IF($K154="","",N154*20%)</f>
      </c>
      <c r="P154" s="3">
        <f>IF($K154="","",N154+O154)</f>
      </c>
      <c r="Q154" s="3"/>
      <c r="R154" s="3">
        <f>IF($K154="","",Q154*20%)</f>
      </c>
      <c r="S154" s="3">
        <v>1</v>
      </c>
      <c r="T154" s="3">
        <f>IF($K154="","",R154)</f>
      </c>
      <c r="U154" s="3">
        <f>IF($K154="","",L154-M154-N154-Q154-R154-S154)</f>
      </c>
      <c r="V154" s="3">
        <f>IF($K154="","",(U154-AB154)/J154*100)</f>
      </c>
      <c r="W154" s="3">
        <f>IF($K154="","",M154-T154)</f>
      </c>
      <c r="AC154" s="3">
        <f>IF($K154="","",U154-AB154)</f>
      </c>
    </row>
    <row r="155" spans="1:29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IF($K155="","",K155*3.96%)</f>
      </c>
      <c r="O155" s="3">
        <f>IF($K155="","",N155*20%)</f>
      </c>
      <c r="P155" s="3">
        <f>IF($K155="","",N155+O155)</f>
      </c>
      <c r="Q155" s="3"/>
      <c r="R155" s="3">
        <f>IF($K155="","",Q155*20%)</f>
      </c>
      <c r="S155" s="3">
        <v>1</v>
      </c>
      <c r="T155" s="3">
        <f>IF($K155="","",R155)</f>
      </c>
      <c r="U155" s="3">
        <f>IF($K155="","",L155-M155-N155-Q155-R155-S155)</f>
      </c>
      <c r="V155" s="3">
        <f>IF($K155="","",(U155-AB155)/J155*100)</f>
      </c>
      <c r="W155" s="3">
        <f>IF($K155="","",M155-T155)</f>
      </c>
      <c r="AC155" s="3">
        <f>IF($K155="","",U155-AB155)</f>
      </c>
    </row>
    <row r="156" spans="1:29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IF($K156="","",K156*3.96%)</f>
      </c>
      <c r="O156" s="3">
        <f>IF($K156="","",N156*20%)</f>
      </c>
      <c r="P156" s="3">
        <f>IF($K156="","",N156+O156)</f>
      </c>
      <c r="Q156" s="3"/>
      <c r="R156" s="3">
        <f>IF($K156="","",Q156*20%)</f>
      </c>
      <c r="S156" s="3">
        <v>1</v>
      </c>
      <c r="T156" s="3">
        <f>IF($K156="","",R156)</f>
      </c>
      <c r="U156" s="3">
        <f>IF($K156="","",L156-M156-N156-Q156-R156-S156)</f>
      </c>
      <c r="V156" s="3">
        <f>IF($K156="","",(U156-AB156)/J156*100)</f>
      </c>
      <c r="W156" s="3">
        <f>IF($K156="","",M156-T156)</f>
      </c>
      <c r="AC156" s="3">
        <f>IF($K156="","",U156-AB156)</f>
      </c>
    </row>
    <row r="157" spans="1:29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IF($K157="","",K157*3.96%)</f>
      </c>
      <c r="O157" s="3">
        <f>IF($K157="","",N157*20%)</f>
      </c>
      <c r="P157" s="3">
        <f>IF($K157="","",N157+O157)</f>
      </c>
      <c r="Q157" s="3"/>
      <c r="R157" s="3">
        <f>IF($K157="","",Q157*20%)</f>
      </c>
      <c r="S157" s="3">
        <v>1</v>
      </c>
      <c r="T157" s="3">
        <f>IF($K157="","",R157)</f>
      </c>
      <c r="U157" s="3">
        <f>IF($K157="","",L157-M157-N157-Q157-R157-S157)</f>
      </c>
      <c r="V157" s="3">
        <f>IF($K157="","",(U157-AB157)/J157*100)</f>
      </c>
      <c r="W157" s="3">
        <f>IF($K157="","",M157-T157)</f>
      </c>
      <c r="AC157" s="3">
        <f>IF($K157="","",U157-AB157)</f>
      </c>
    </row>
    <row r="158" spans="1:29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IF($K158="","",K158*3.96%)</f>
      </c>
      <c r="O158" s="3">
        <f>IF($K158="","",N158*20%)</f>
      </c>
      <c r="P158" s="3">
        <f>IF($K158="","",N158+O158)</f>
      </c>
      <c r="Q158" s="3"/>
      <c r="R158" s="3">
        <f>IF($K158="","",Q158*20%)</f>
      </c>
      <c r="S158" s="3">
        <v>1</v>
      </c>
      <c r="T158" s="3">
        <f>IF($K158="","",R158)</f>
      </c>
      <c r="U158" s="3">
        <f>IF($K158="","",L158-M158-N158-Q158-R158-S158)</f>
      </c>
      <c r="V158" s="3">
        <f>IF($K158="","",(U158-AB158)/J158*100)</f>
      </c>
      <c r="W158" s="3">
        <f>IF($K158="","",M158-T158)</f>
      </c>
      <c r="AC158" s="3">
        <f>IF($K158="","",U158-AB158)</f>
      </c>
    </row>
    <row r="159" spans="1:29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IF($K159="","",K159*3.96%)</f>
      </c>
      <c r="O159" s="3">
        <f>IF($K159="","",N159*20%)</f>
      </c>
      <c r="P159" s="3">
        <f>IF($K159="","",N159+O159)</f>
      </c>
      <c r="Q159" s="3"/>
      <c r="R159" s="3">
        <f>IF($K159="","",Q159*20%)</f>
      </c>
      <c r="S159" s="3">
        <v>1</v>
      </c>
      <c r="T159" s="3">
        <f>IF($K159="","",R159)</f>
      </c>
      <c r="U159" s="3">
        <f>IF($K159="","",L159-M159-N159-Q159-R159-S159)</f>
      </c>
      <c r="V159" s="3">
        <f>IF($K159="","",(U159-AB159)/J159*100)</f>
      </c>
      <c r="W159" s="3">
        <f>IF($K159="","",M159-T159)</f>
      </c>
      <c r="AC159" s="3">
        <f>IF($K159="","",U159-AB159)</f>
      </c>
    </row>
    <row r="160" spans="1:29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IF($K160="","",K160*3.96%)</f>
      </c>
      <c r="O160" s="3">
        <f>IF($K160="","",N160*20%)</f>
      </c>
      <c r="P160" s="3">
        <f>IF($K160="","",N160+O160)</f>
      </c>
      <c r="Q160" s="3"/>
      <c r="R160" s="3">
        <f>IF($K160="","",Q160*20%)</f>
      </c>
      <c r="S160" s="3">
        <v>1</v>
      </c>
      <c r="T160" s="3">
        <f>IF($K160="","",R160)</f>
      </c>
      <c r="U160" s="3">
        <f>IF($K160="","",L160-M160-N160-Q160-R160-S160)</f>
      </c>
      <c r="V160" s="3">
        <f>IF($K160="","",(U160-AB160)/J160*100)</f>
      </c>
      <c r="W160" s="3">
        <f>IF($K160="","",M160-T160)</f>
      </c>
      <c r="AC160" s="3">
        <f>IF($K160="","",U160-AB160)</f>
      </c>
    </row>
    <row r="161" spans="1:29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IF($K161="","",K161*3.96%)</f>
      </c>
      <c r="O161" s="3">
        <f>IF($K161="","",N161*20%)</f>
      </c>
      <c r="P161" s="3">
        <f>IF($K161="","",N161+O161)</f>
      </c>
      <c r="Q161" s="3"/>
      <c r="R161" s="3">
        <f>IF($K161="","",Q161*20%)</f>
      </c>
      <c r="S161" s="3">
        <v>1</v>
      </c>
      <c r="T161" s="3">
        <f>IF($K161="","",R161)</f>
      </c>
      <c r="U161" s="3">
        <f>IF($K161="","",L161-M161-N161-Q161-R161-S161)</f>
      </c>
      <c r="V161" s="3">
        <f>IF($K161="","",(U161-AB161)/J161*100)</f>
      </c>
      <c r="W161" s="3">
        <f>IF($K161="","",M161-T161)</f>
      </c>
      <c r="AC161" s="3">
        <f>IF($K161="","",U161-AB161)</f>
      </c>
    </row>
    <row r="162" spans="1:29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IF($K162="","",K162*3.96%)</f>
      </c>
      <c r="O162" s="3">
        <f>IF($K162="","",N162*20%)</f>
      </c>
      <c r="P162" s="3">
        <f>IF($K162="","",N162+O162)</f>
      </c>
      <c r="Q162" s="3"/>
      <c r="R162" s="3">
        <f>IF($K162="","",Q162*20%)</f>
      </c>
      <c r="S162" s="3">
        <v>1</v>
      </c>
      <c r="T162" s="3">
        <f>IF($K162="","",R162)</f>
      </c>
      <c r="U162" s="3">
        <f>IF($K162="","",L162-M162-N162-Q162-R162-S162)</f>
      </c>
      <c r="V162" s="3">
        <f>IF($K162="","",(U162-AB162)/J162*100)</f>
      </c>
      <c r="W162" s="3">
        <f>IF($K162="","",M162-T162)</f>
      </c>
      <c r="AC162" s="3">
        <f>IF($K162="","",U162-AB162)</f>
      </c>
    </row>
    <row r="163" spans="1:29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IF($K163="","",K163*3.96%)</f>
      </c>
      <c r="O163" s="3">
        <f>IF($K163="","",N163*20%)</f>
      </c>
      <c r="P163" s="3">
        <f>IF($K163="","",N163+O163)</f>
      </c>
      <c r="Q163" s="3"/>
      <c r="R163" s="3">
        <f>IF($K163="","",Q163*20%)</f>
      </c>
      <c r="S163" s="3">
        <v>1</v>
      </c>
      <c r="T163" s="3">
        <f>IF($K163="","",R163)</f>
      </c>
      <c r="U163" s="3">
        <f>IF($K163="","",L163-M163-N163-Q163-R163-S163)</f>
      </c>
      <c r="V163" s="3">
        <f>IF($K163="","",(U163-AB163)/J163*100)</f>
      </c>
      <c r="W163" s="3">
        <f>IF($K163="","",M163-T163)</f>
      </c>
      <c r="AC163" s="3">
        <f>IF($K163="","",U163-AB163)</f>
      </c>
    </row>
    <row r="164" spans="1:29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IF($K164="","",K164*3.96%)</f>
      </c>
      <c r="O164" s="3">
        <f>IF($K164="","",N164*20%)</f>
      </c>
      <c r="P164" s="3">
        <f>IF($K164="","",N164+O164)</f>
      </c>
      <c r="Q164" s="3"/>
      <c r="R164" s="3">
        <f>IF($K164="","",Q164*20%)</f>
      </c>
      <c r="S164" s="3">
        <v>1</v>
      </c>
      <c r="T164" s="3">
        <f>IF($K164="","",R164)</f>
      </c>
      <c r="U164" s="3">
        <f>IF($K164="","",L164-M164-N164-Q164-R164-S164)</f>
      </c>
      <c r="V164" s="3">
        <f>IF($K164="","",(U164-AB164)/J164*100)</f>
      </c>
      <c r="W164" s="3">
        <f>IF($K164="","",M164-T164)</f>
      </c>
      <c r="AC164" s="3">
        <f>IF($K164="","",U164-AB164)</f>
      </c>
    </row>
    <row r="165" spans="1:29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IF($K165="","",K165*3.96%)</f>
      </c>
      <c r="O165" s="3">
        <f>IF($K165="","",N165*20%)</f>
      </c>
      <c r="P165" s="3">
        <f>IF($K165="","",N165+O165)</f>
      </c>
      <c r="Q165" s="3"/>
      <c r="R165" s="3">
        <f>IF($K165="","",Q165*20%)</f>
      </c>
      <c r="S165" s="3">
        <v>1</v>
      </c>
      <c r="T165" s="3">
        <f>IF($K165="","",R165)</f>
      </c>
      <c r="U165" s="3">
        <f>IF($K165="","",L165-M165-N165-Q165-R165-S165)</f>
      </c>
      <c r="V165" s="3">
        <f>IF($K165="","",(U165-AB165)/J165*100)</f>
      </c>
      <c r="W165" s="3">
        <f>IF($K165="","",M165-T165)</f>
      </c>
      <c r="AC165" s="3">
        <f>IF($K165="","",U165-AB165)</f>
      </c>
    </row>
    <row r="166" spans="1:29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IF($K166="","",K166*3.96%)</f>
      </c>
      <c r="O166" s="3">
        <f>IF($K166="","",N166*20%)</f>
      </c>
      <c r="P166" s="3">
        <f>IF($K166="","",N166+O166)</f>
      </c>
      <c r="Q166" s="3"/>
      <c r="R166" s="3">
        <f>IF($K166="","",Q166*20%)</f>
      </c>
      <c r="S166" s="3">
        <v>1</v>
      </c>
      <c r="T166" s="3">
        <f>IF($K166="","",R166)</f>
      </c>
      <c r="U166" s="3">
        <f>IF($K166="","",L166-M166-N166-Q166-R166-S166)</f>
      </c>
      <c r="V166" s="3">
        <f>IF($K166="","",(U166-AB166)/J166*100)</f>
      </c>
      <c r="W166" s="3">
        <f>IF($K166="","",M166-T166)</f>
      </c>
      <c r="AC166" s="3">
        <f>IF($K166="","",U166-AB166)</f>
      </c>
    </row>
    <row r="167" spans="1:29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IF($K167="","",K167*3.96%)</f>
      </c>
      <c r="O167" s="3">
        <f>IF($K167="","",N167*20%)</f>
      </c>
      <c r="P167" s="3">
        <f>IF($K167="","",N167+O167)</f>
      </c>
      <c r="Q167" s="3"/>
      <c r="R167" s="3">
        <f>IF($K167="","",Q167*20%)</f>
      </c>
      <c r="S167" s="3">
        <v>1</v>
      </c>
      <c r="T167" s="3">
        <f>IF($K167="","",R167)</f>
      </c>
      <c r="U167" s="3">
        <f>IF($K167="","",L167-M167-N167-Q167-R167-S167)</f>
      </c>
      <c r="V167" s="3">
        <f>IF($K167="","",(U167-AB167)/J167*100)</f>
      </c>
      <c r="W167" s="3">
        <f>IF($K167="","",M167-T167)</f>
      </c>
      <c r="AC167" s="3">
        <f>IF($K167="","",U167-AB167)</f>
      </c>
    </row>
    <row r="168" spans="1:29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IF($K168="","",K168*3.96%)</f>
      </c>
      <c r="O168" s="3">
        <f>IF($K168="","",N168*20%)</f>
      </c>
      <c r="P168" s="3">
        <f>IF($K168="","",N168+O168)</f>
      </c>
      <c r="Q168" s="3"/>
      <c r="R168" s="3">
        <f>IF($K168="","",Q168*20%)</f>
      </c>
      <c r="S168" s="3">
        <v>1</v>
      </c>
      <c r="T168" s="3">
        <f>IF($K168="","",R168)</f>
      </c>
      <c r="U168" s="3">
        <f>IF($K168="","",L168-M168-N168-Q168-R168-S168)</f>
      </c>
      <c r="V168" s="3">
        <f>IF($K168="","",(U168-AB168)/J168*100)</f>
      </c>
      <c r="W168" s="3">
        <f>IF($K168="","",M168-T168)</f>
      </c>
      <c r="AC168" s="3">
        <f>IF($K168="","",U168-AB168)</f>
      </c>
    </row>
    <row r="169" spans="1:29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IF($K169="","",K169*3.96%)</f>
      </c>
      <c r="O169" s="3">
        <f>IF($K169="","",N169*20%)</f>
      </c>
      <c r="P169" s="3">
        <f>IF($K169="","",N169+O169)</f>
      </c>
      <c r="Q169" s="3"/>
      <c r="R169" s="3">
        <f>IF($K169="","",Q169*20%)</f>
      </c>
      <c r="S169" s="3">
        <v>1</v>
      </c>
      <c r="T169" s="3">
        <f>IF($K169="","",R169)</f>
      </c>
      <c r="U169" s="3">
        <f>IF($K169="","",L169-M169-N169-Q169-R169-S169)</f>
      </c>
      <c r="V169" s="3">
        <f>IF($K169="","",(U169-AB169)/J169*100)</f>
      </c>
      <c r="W169" s="3">
        <f>IF($K169="","",M169-T169)</f>
      </c>
      <c r="AC169" s="3">
        <f>IF($K169="","",U169-AB169)</f>
      </c>
    </row>
    <row r="170" spans="1:29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IF($K170="","",K170*3.96%)</f>
      </c>
      <c r="O170" s="3">
        <f>IF($K170="","",N170*20%)</f>
      </c>
      <c r="P170" s="3">
        <f>IF($K170="","",N170+O170)</f>
      </c>
      <c r="Q170" s="3"/>
      <c r="R170" s="3">
        <f>IF($K170="","",Q170*20%)</f>
      </c>
      <c r="S170" s="3">
        <v>1</v>
      </c>
      <c r="T170" s="3">
        <f>IF($K170="","",R170)</f>
      </c>
      <c r="U170" s="3">
        <f>IF($K170="","",L170-M170-N170-Q170-R170-S170)</f>
      </c>
      <c r="V170" s="3">
        <f>IF($K170="","",(U170-AB170)/J170*100)</f>
      </c>
      <c r="W170" s="3">
        <f>IF($K170="","",M170-T170)</f>
      </c>
      <c r="AC170" s="3">
        <f>IF($K170="","",U170-AB170)</f>
      </c>
    </row>
    <row r="171" spans="1:29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IF($K171="","",K171*3.96%)</f>
      </c>
      <c r="O171" s="3">
        <f>IF($K171="","",N171*20%)</f>
      </c>
      <c r="P171" s="3">
        <f>IF($K171="","",N171+O171)</f>
      </c>
      <c r="Q171" s="3"/>
      <c r="R171" s="3">
        <f>IF($K171="","",Q171*20%)</f>
      </c>
      <c r="S171" s="3">
        <v>1</v>
      </c>
      <c r="T171" s="3">
        <f>IF($K171="","",R171)</f>
      </c>
      <c r="U171" s="3">
        <f>IF($K171="","",L171-M171-N171-Q171-R171-S171)</f>
      </c>
      <c r="V171" s="3">
        <f>IF($K171="","",(U171-AB171)/J171*100)</f>
      </c>
      <c r="W171" s="3">
        <f>IF($K171="","",M171-T171)</f>
      </c>
      <c r="AC171" s="3">
        <f>IF($K171="","",U171-AB171)</f>
      </c>
    </row>
    <row r="172" spans="1:29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IF($K172="","",K172*3.96%)</f>
      </c>
      <c r="O172" s="3">
        <f>IF($K172="","",N172*20%)</f>
      </c>
      <c r="P172" s="3">
        <f>IF($K172="","",N172+O172)</f>
      </c>
      <c r="Q172" s="3"/>
      <c r="R172" s="3">
        <f>IF($K172="","",Q172*20%)</f>
      </c>
      <c r="S172" s="3">
        <v>1</v>
      </c>
      <c r="T172" s="3">
        <f>IF($K172="","",R172)</f>
      </c>
      <c r="U172" s="3">
        <f>IF($K172="","",L172-M172-N172-Q172-R172-S172)</f>
      </c>
      <c r="V172" s="3">
        <f>IF($K172="","",(U172-AB172)/J172*100)</f>
      </c>
      <c r="W172" s="3">
        <f>IF($K172="","",M172-T172)</f>
      </c>
      <c r="AC172" s="3">
        <f>IF($K172="","",U172-AB172)</f>
      </c>
    </row>
    <row r="173" spans="1:29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IF($K173="","",K173*3.96%)</f>
      </c>
      <c r="O173" s="3">
        <f>IF($K173="","",N173*20%)</f>
      </c>
      <c r="P173" s="3">
        <f>IF($K173="","",N173+O173)</f>
      </c>
      <c r="Q173" s="3"/>
      <c r="R173" s="3">
        <f>IF($K173="","",Q173*20%)</f>
      </c>
      <c r="S173" s="3">
        <v>1</v>
      </c>
      <c r="T173" s="3">
        <f>IF($K173="","",R173)</f>
      </c>
      <c r="U173" s="3">
        <f>IF($K173="","",L173-M173-N173-Q173-R173-S173)</f>
      </c>
      <c r="V173" s="3">
        <f>IF($K173="","",(U173-AB173)/J173*100)</f>
      </c>
      <c r="W173" s="3">
        <f>IF($K173="","",M173-T173)</f>
      </c>
      <c r="AC173" s="3">
        <f>IF($K173="","",U173-AB173)</f>
      </c>
    </row>
    <row r="174" spans="1:29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IF($K174="","",K174*3.96%)</f>
      </c>
      <c r="O174" s="3">
        <f>IF($K174="","",N174*20%)</f>
      </c>
      <c r="P174" s="3">
        <f>IF($K174="","",N174+O174)</f>
      </c>
      <c r="Q174" s="3"/>
      <c r="R174" s="3">
        <f>IF($K174="","",Q174*20%)</f>
      </c>
      <c r="S174" s="3">
        <v>1</v>
      </c>
      <c r="T174" s="3">
        <f>IF($K174="","",R174)</f>
      </c>
      <c r="U174" s="3">
        <f>IF($K174="","",L174-M174-N174-Q174-R174-S174)</f>
      </c>
      <c r="V174" s="3">
        <f>IF($K174="","",(U174-AB174)/J174*100)</f>
      </c>
      <c r="W174" s="3">
        <f>IF($K174="","",M174-T174)</f>
      </c>
      <c r="AC174" s="3">
        <f>IF($K174="","",U174-AB174)</f>
      </c>
    </row>
    <row r="175" spans="1:29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IF($K175="","",K175*3.96%)</f>
      </c>
      <c r="O175" s="3">
        <f>IF($K175="","",N175*20%)</f>
      </c>
      <c r="P175" s="3">
        <f>IF($K175="","",N175+O175)</f>
      </c>
      <c r="Q175" s="3"/>
      <c r="R175" s="3">
        <f>IF($K175="","",Q175*20%)</f>
      </c>
      <c r="S175" s="3">
        <v>1</v>
      </c>
      <c r="T175" s="3">
        <f>IF($K175="","",R175)</f>
      </c>
      <c r="U175" s="3">
        <f>IF($K175="","",L175-M175-N175-Q175-R175-S175)</f>
      </c>
      <c r="V175" s="3">
        <f>IF($K175="","",(U175-AB175)/J175*100)</f>
      </c>
      <c r="W175" s="3">
        <f>IF($K175="","",M175-T175)</f>
      </c>
      <c r="AC175" s="3">
        <f>IF($K175="","",U175-AB175)</f>
      </c>
    </row>
    <row r="176" spans="1:29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IF($K176="","",K176*3.96%)</f>
      </c>
      <c r="O176" s="3">
        <f>IF($K176="","",N176*20%)</f>
      </c>
      <c r="P176" s="3">
        <f>IF($K176="","",N176+O176)</f>
      </c>
      <c r="Q176" s="3"/>
      <c r="R176" s="3">
        <f>IF($K176="","",Q176*20%)</f>
      </c>
      <c r="S176" s="3">
        <v>1</v>
      </c>
      <c r="T176" s="3">
        <f>IF($K176="","",R176)</f>
      </c>
      <c r="U176" s="3">
        <f>IF($K176="","",L176-M176-N176-Q176-R176-S176)</f>
      </c>
      <c r="V176" s="3">
        <f>IF($K176="","",(U176-AB176)/J176*100)</f>
      </c>
      <c r="W176" s="3">
        <f>IF($K176="","",M176-T176)</f>
      </c>
      <c r="AC176" s="3">
        <f>IF($K176="","",U176-AB176)</f>
      </c>
    </row>
    <row r="177" spans="1:29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IF($K177="","",K177*3.96%)</f>
      </c>
      <c r="O177" s="3">
        <f>IF($K177="","",N177*20%)</f>
      </c>
      <c r="P177" s="3">
        <f>IF($K177="","",N177+O177)</f>
      </c>
      <c r="Q177" s="3"/>
      <c r="R177" s="3">
        <f>IF($K177="","",Q177*20%)</f>
      </c>
      <c r="S177" s="3">
        <v>1</v>
      </c>
      <c r="T177" s="3">
        <f>IF($K177="","",R177)</f>
      </c>
      <c r="U177" s="3">
        <f>IF($K177="","",L177-M177-N177-Q177-R177-S177)</f>
      </c>
      <c r="V177" s="3">
        <f>IF($K177="","",(U177-AB177)/J177*100)</f>
      </c>
      <c r="W177" s="3">
        <f>IF($K177="","",M177-T177)</f>
      </c>
      <c r="AC177" s="3">
        <f>IF($K177="","",U177-AB177)</f>
      </c>
    </row>
    <row r="178" spans="1:29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IF($K178="","",K178*3.96%)</f>
      </c>
      <c r="O178" s="3">
        <f>IF($K178="","",N178*20%)</f>
      </c>
      <c r="P178" s="3">
        <f>IF($K178="","",N178+O178)</f>
      </c>
      <c r="Q178" s="3"/>
      <c r="R178" s="3">
        <f>IF($K178="","",Q178*20%)</f>
      </c>
      <c r="S178" s="3">
        <v>1</v>
      </c>
      <c r="T178" s="3">
        <f>IF($K178="","",R178)</f>
      </c>
      <c r="U178" s="3">
        <f>IF($K178="","",L178-M178-N178-Q178-R178-S178)</f>
      </c>
      <c r="V178" s="3">
        <f>IF($K178="","",(U178-AB178)/J178*100)</f>
      </c>
      <c r="W178" s="3">
        <f>IF($K178="","",M178-T178)</f>
      </c>
      <c r="AC178" s="3">
        <f>IF($K178="","",U178-AB178)</f>
      </c>
    </row>
    <row r="179" spans="1:29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IF($K179="","",K179*3.96%)</f>
      </c>
      <c r="O179" s="3">
        <f>IF($K179="","",N179*20%)</f>
      </c>
      <c r="P179" s="3">
        <f>IF($K179="","",N179+O179)</f>
      </c>
      <c r="Q179" s="3"/>
      <c r="R179" s="3">
        <f>IF($K179="","",Q179*20%)</f>
      </c>
      <c r="S179" s="3">
        <v>1</v>
      </c>
      <c r="T179" s="3">
        <f>IF($K179="","",R179)</f>
      </c>
      <c r="U179" s="3">
        <f>IF($K179="","",L179-M179-N179-Q179-R179-S179)</f>
      </c>
      <c r="V179" s="3">
        <f>IF($K179="","",(U179-AB179)/J179*100)</f>
      </c>
      <c r="W179" s="3">
        <f>IF($K179="","",M179-T179)</f>
      </c>
      <c r="AC179" s="3">
        <f>IF($K179="","",U179-AB179)</f>
      </c>
    </row>
    <row r="180" spans="1:29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IF($K180="","",K180*3.96%)</f>
      </c>
      <c r="O180" s="3">
        <f>IF($K180="","",N180*20%)</f>
      </c>
      <c r="P180" s="3">
        <f>IF($K180="","",N180+O180)</f>
      </c>
      <c r="Q180" s="3"/>
      <c r="R180" s="3">
        <f>IF($K180="","",Q180*20%)</f>
      </c>
      <c r="S180" s="3">
        <v>1</v>
      </c>
      <c r="T180" s="3">
        <f>IF($K180="","",R180)</f>
      </c>
      <c r="U180" s="3">
        <f>IF($K180="","",L180-M180-N180-Q180-R180-S180)</f>
      </c>
      <c r="V180" s="3">
        <f>IF($K180="","",(U180-AB180)/J180*100)</f>
      </c>
      <c r="W180" s="3">
        <f>IF($K180="","",M180-T180)</f>
      </c>
      <c r="AC180" s="3">
        <f>IF($K180="","",U180-AB180)</f>
      </c>
    </row>
    <row r="181" spans="1:29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IF($K181="","",K181*3.96%)</f>
      </c>
      <c r="O181" s="3">
        <f>IF($K181="","",N181*20%)</f>
      </c>
      <c r="P181" s="3">
        <f>IF($K181="","",N181+O181)</f>
      </c>
      <c r="Q181" s="3"/>
      <c r="R181" s="3">
        <f>IF($K181="","",Q181*20%)</f>
      </c>
      <c r="S181" s="3">
        <v>1</v>
      </c>
      <c r="T181" s="3">
        <f>IF($K181="","",R181)</f>
      </c>
      <c r="U181" s="3">
        <f>IF($K181="","",L181-M181-N181-Q181-R181-S181)</f>
      </c>
      <c r="V181" s="3">
        <f>IF($K181="","",(U181-AB181)/J181*100)</f>
      </c>
      <c r="W181" s="3">
        <f>IF($K181="","",M181-T181)</f>
      </c>
      <c r="AC181" s="3">
        <f>IF($K181="","",U181-AB181)</f>
      </c>
    </row>
    <row r="182" spans="1:29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IF($K182="","",K182*3.96%)</f>
      </c>
      <c r="O182" s="3">
        <f>IF($K182="","",N182*20%)</f>
      </c>
      <c r="P182" s="3">
        <f>IF($K182="","",N182+O182)</f>
      </c>
      <c r="Q182" s="3"/>
      <c r="R182" s="3">
        <f>IF($K182="","",Q182*20%)</f>
      </c>
      <c r="S182" s="3">
        <v>1</v>
      </c>
      <c r="T182" s="3">
        <f>IF($K182="","",R182)</f>
      </c>
      <c r="U182" s="3">
        <f>IF($K182="","",L182-M182-N182-Q182-R182-S182)</f>
      </c>
      <c r="V182" s="3">
        <f>IF($K182="","",(U182-AB182)/J182*100)</f>
      </c>
      <c r="W182" s="3">
        <f>IF($K182="","",M182-T182)</f>
      </c>
      <c r="AC182" s="3">
        <f>IF($K182="","",U182-AB182)</f>
      </c>
    </row>
    <row r="183" spans="1:29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IF($K183="","",K183*3.96%)</f>
      </c>
      <c r="O183" s="3">
        <f>IF($K183="","",N183*20%)</f>
      </c>
      <c r="P183" s="3">
        <f>IF($K183="","",N183+O183)</f>
      </c>
      <c r="Q183" s="3"/>
      <c r="R183" s="3">
        <f>IF($K183="","",Q183*20%)</f>
      </c>
      <c r="S183" s="3">
        <v>1</v>
      </c>
      <c r="T183" s="3">
        <f>IF($K183="","",R183)</f>
      </c>
      <c r="U183" s="3">
        <f>IF($K183="","",L183-M183-N183-Q183-R183-S183)</f>
      </c>
      <c r="V183" s="3">
        <f>IF($K183="","",(U183-AB183)/J183*100)</f>
      </c>
      <c r="W183" s="3">
        <f>IF($K183="","",M183-T183)</f>
      </c>
      <c r="AC183" s="3">
        <f>IF($K183="","",U183-AB183)</f>
      </c>
    </row>
    <row r="184" spans="1:29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IF($K184="","",K184*3.96%)</f>
      </c>
      <c r="O184" s="3">
        <f>IF($K184="","",N184*20%)</f>
      </c>
      <c r="P184" s="3">
        <f>IF($K184="","",N184+O184)</f>
      </c>
      <c r="Q184" s="3"/>
      <c r="R184" s="3">
        <f>IF($K184="","",Q184*20%)</f>
      </c>
      <c r="S184" s="3">
        <v>1</v>
      </c>
      <c r="T184" s="3">
        <f>IF($K184="","",R184)</f>
      </c>
      <c r="U184" s="3">
        <f>IF($K184="","",L184-M184-N184-Q184-R184-S184)</f>
      </c>
      <c r="V184" s="3">
        <f>IF($K184="","",(U184-AB184)/J184*100)</f>
      </c>
      <c r="W184" s="3">
        <f>IF($K184="","",M184-T184)</f>
      </c>
      <c r="AC184" s="3">
        <f>IF($K184="","",U184-AB184)</f>
      </c>
    </row>
    <row r="185" spans="1:29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IF($K185="","",K185*3.96%)</f>
      </c>
      <c r="O185" s="3">
        <f>IF($K185="","",N185*20%)</f>
      </c>
      <c r="P185" s="3">
        <f>IF($K185="","",N185+O185)</f>
      </c>
      <c r="Q185" s="3"/>
      <c r="R185" s="3">
        <f>IF($K185="","",Q185*20%)</f>
      </c>
      <c r="S185" s="3">
        <v>1</v>
      </c>
      <c r="T185" s="3">
        <f>IF($K185="","",R185)</f>
      </c>
      <c r="U185" s="3">
        <f>IF($K185="","",L185-M185-N185-Q185-R185-S185)</f>
      </c>
      <c r="V185" s="3">
        <f>IF($K185="","",(U185-AB185)/J185*100)</f>
      </c>
      <c r="W185" s="3">
        <f>IF($K185="","",M185-T185)</f>
      </c>
      <c r="AC185" s="3">
        <f>IF($K185="","",U185-AB185)</f>
      </c>
    </row>
    <row r="186" spans="1:29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IF($K186="","",K186*3.96%)</f>
      </c>
      <c r="O186" s="3">
        <f>IF($K186="","",N186*20%)</f>
      </c>
      <c r="P186" s="3">
        <f>IF($K186="","",N186+O186)</f>
      </c>
      <c r="Q186" s="3"/>
      <c r="R186" s="3">
        <f>IF($K186="","",Q186*20%)</f>
      </c>
      <c r="S186" s="3">
        <v>1</v>
      </c>
      <c r="T186" s="3">
        <f>IF($K186="","",R186)</f>
      </c>
      <c r="U186" s="3">
        <f>IF($K186="","",L186-M186-N186-Q186-R186-S186)</f>
      </c>
      <c r="V186" s="3">
        <f>IF($K186="","",(U186-AB186)/J186*100)</f>
      </c>
      <c r="W186" s="3">
        <f>IF($K186="","",M186-T186)</f>
      </c>
      <c r="AC186" s="3">
        <f>IF($K186="","",U186-AB186)</f>
      </c>
    </row>
    <row r="187" spans="1:29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IF($K187="","",K187*3.96%)</f>
      </c>
      <c r="O187" s="3">
        <f>IF($K187="","",N187*20%)</f>
      </c>
      <c r="P187" s="3">
        <f>IF($K187="","",N187+O187)</f>
      </c>
      <c r="Q187" s="3"/>
      <c r="R187" s="3">
        <f>IF($K187="","",Q187*20%)</f>
      </c>
      <c r="S187" s="3">
        <v>1</v>
      </c>
      <c r="T187" s="3">
        <f>IF($K187="","",R187)</f>
      </c>
      <c r="U187" s="3">
        <f>IF($K187="","",L187-M187-N187-Q187-R187-S187)</f>
      </c>
      <c r="V187" s="3">
        <f>IF($K187="","",(U187-AB187)/J187*100)</f>
      </c>
      <c r="W187" s="3">
        <f>IF($K187="","",M187-T187)</f>
      </c>
      <c r="AC187" s="3">
        <f>IF($K187="","",U187-AB187)</f>
      </c>
    </row>
    <row r="188" spans="1:29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IF($K188="","",K188*3.96%)</f>
      </c>
      <c r="O188" s="3">
        <f>IF($K188="","",N188*20%)</f>
      </c>
      <c r="P188" s="3">
        <f>IF($K188="","",N188+O188)</f>
      </c>
      <c r="Q188" s="3"/>
      <c r="R188" s="3">
        <f>IF($K188="","",Q188*20%)</f>
      </c>
      <c r="S188" s="3">
        <v>1</v>
      </c>
      <c r="T188" s="3">
        <f>IF($K188="","",R188)</f>
      </c>
      <c r="U188" s="3">
        <f>IF($K188="","",L188-M188-N188-Q188-R188-S188)</f>
      </c>
      <c r="V188" s="3">
        <f>IF($K188="","",(U188-AB188)/J188*100)</f>
      </c>
      <c r="W188" s="3">
        <f>IF($K188="","",M188-T188)</f>
      </c>
      <c r="AC188" s="3">
        <f>IF($K188="","",U188-AB188)</f>
      </c>
    </row>
    <row r="189" spans="1:29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IF($K189="","",K189*3.96%)</f>
      </c>
      <c r="O189" s="3">
        <f>IF($K189="","",N189*20%)</f>
      </c>
      <c r="P189" s="3">
        <f>IF($K189="","",N189+O189)</f>
      </c>
      <c r="Q189" s="3"/>
      <c r="R189" s="3">
        <f>IF($K189="","",Q189*20%)</f>
      </c>
      <c r="S189" s="3">
        <v>1</v>
      </c>
      <c r="T189" s="3">
        <f>IF($K189="","",R189)</f>
      </c>
      <c r="U189" s="3">
        <f>IF($K189="","",L189-M189-N189-Q189-R189-S189)</f>
      </c>
      <c r="V189" s="3">
        <f>IF($K189="","",(U189-AB189)/J189*100)</f>
      </c>
      <c r="W189" s="3">
        <f>IF($K189="","",M189-T189)</f>
      </c>
      <c r="AC189" s="3">
        <f>IF($K189="","",U189-AB189)</f>
      </c>
    </row>
    <row r="190" spans="1:29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IF($K190="","",K190*3.96%)</f>
      </c>
      <c r="O190" s="3">
        <f>IF($K190="","",N190*20%)</f>
      </c>
      <c r="P190" s="3">
        <f>IF($K190="","",N190+O190)</f>
      </c>
      <c r="Q190" s="3"/>
      <c r="R190" s="3">
        <f>IF($K190="","",Q190*20%)</f>
      </c>
      <c r="S190" s="3">
        <v>1</v>
      </c>
      <c r="T190" s="3">
        <f>IF($K190="","",R190)</f>
      </c>
      <c r="U190" s="3">
        <f>IF($K190="","",L190-M190-N190-Q190-R190-S190)</f>
      </c>
      <c r="V190" s="3">
        <f>IF($K190="","",(U190-AB190)/J190*100)</f>
      </c>
      <c r="W190" s="3">
        <f>IF($K190="","",M190-T190)</f>
      </c>
      <c r="AC190" s="3">
        <f>IF($K190="","",U190-AB190)</f>
      </c>
    </row>
    <row r="191" spans="1:29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IF($K191="","",K191*3.96%)</f>
      </c>
      <c r="O191" s="3">
        <f>IF($K191="","",N191*20%)</f>
      </c>
      <c r="P191" s="3">
        <f>IF($K191="","",N191+O191)</f>
      </c>
      <c r="Q191" s="3"/>
      <c r="R191" s="3">
        <f>IF($K191="","",Q191*20%)</f>
      </c>
      <c r="S191" s="3">
        <v>1</v>
      </c>
      <c r="T191" s="3">
        <f>IF($K191="","",R191)</f>
      </c>
      <c r="U191" s="3">
        <f>IF($K191="","",L191-M191-N191-Q191-R191-S191)</f>
      </c>
      <c r="V191" s="3">
        <f>IF($K191="","",(U191-AB191)/J191*100)</f>
      </c>
      <c r="W191" s="3">
        <f>IF($K191="","",M191-T191)</f>
      </c>
      <c r="AC191" s="3">
        <f>IF($K191="","",U191-AB191)</f>
      </c>
    </row>
    <row r="192" spans="1:29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IF($K192="","",K192*3.96%)</f>
      </c>
      <c r="O192" s="3">
        <f>IF($K192="","",N192*20%)</f>
      </c>
      <c r="P192" s="3">
        <f>IF($K192="","",N192+O192)</f>
      </c>
      <c r="Q192" s="3"/>
      <c r="R192" s="3">
        <f>IF($K192="","",Q192*20%)</f>
      </c>
      <c r="S192" s="3">
        <v>1</v>
      </c>
      <c r="T192" s="3">
        <f>IF($K192="","",R192)</f>
      </c>
      <c r="U192" s="3">
        <f>IF($K192="","",L192-M192-N192-Q192-R192-S192)</f>
      </c>
      <c r="V192" s="3">
        <f>IF($K192="","",(U192-AB192)/J192*100)</f>
      </c>
      <c r="W192" s="3">
        <f>IF($K192="","",M192-T192)</f>
      </c>
      <c r="AC192" s="3">
        <f>IF($K192="","",U192-AB192)</f>
      </c>
    </row>
    <row r="193" spans="1:29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IF($K193="","",K193*3.96%)</f>
      </c>
      <c r="O193" s="3">
        <f>IF($K193="","",N193*20%)</f>
      </c>
      <c r="P193" s="3">
        <f>IF($K193="","",N193+O193)</f>
      </c>
      <c r="Q193" s="3"/>
      <c r="R193" s="3">
        <f>IF($K193="","",Q193*20%)</f>
      </c>
      <c r="S193" s="3">
        <v>1</v>
      </c>
      <c r="T193" s="3">
        <f>IF($K193="","",R193)</f>
      </c>
      <c r="U193" s="3">
        <f>IF($K193="","",L193-M193-N193-Q193-R193-S193)</f>
      </c>
      <c r="V193" s="3">
        <f>IF($K193="","",(U193-AB193)/J193*100)</f>
      </c>
      <c r="W193" s="3">
        <f>IF($K193="","",M193-T193)</f>
      </c>
      <c r="AC193" s="3">
        <f>IF($K193="","",U193-AB193)</f>
      </c>
    </row>
    <row r="194" spans="1:29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IF($K194="","",K194*3.96%)</f>
      </c>
      <c r="O194" s="3">
        <f>IF($K194="","",N194*20%)</f>
      </c>
      <c r="P194" s="3">
        <f>IF($K194="","",N194+O194)</f>
      </c>
      <c r="Q194" s="3"/>
      <c r="R194" s="3">
        <f>IF($K194="","",Q194*20%)</f>
      </c>
      <c r="S194" s="3">
        <v>1</v>
      </c>
      <c r="T194" s="3">
        <f>IF($K194="","",R194)</f>
      </c>
      <c r="U194" s="3">
        <f>IF($K194="","",L194-M194-N194-Q194-R194-S194)</f>
      </c>
      <c r="V194" s="3">
        <f>IF($K194="","",(U194-AB194)/J194*100)</f>
      </c>
      <c r="W194" s="3">
        <f>IF($K194="","",M194-T194)</f>
      </c>
      <c r="AC194" s="3">
        <f>IF($K194="","",U194-AB194)</f>
      </c>
    </row>
    <row r="195" spans="1:29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IF($K195="","",K195*3.96%)</f>
      </c>
      <c r="O195" s="3">
        <f>IF($K195="","",N195*20%)</f>
      </c>
      <c r="P195" s="3">
        <f>IF($K195="","",N195+O195)</f>
      </c>
      <c r="Q195" s="3"/>
      <c r="R195" s="3">
        <f>IF($K195="","",Q195*20%)</f>
      </c>
      <c r="S195" s="3">
        <v>1</v>
      </c>
      <c r="T195" s="3">
        <f>IF($K195="","",R195)</f>
      </c>
      <c r="U195" s="3">
        <f>IF($K195="","",L195-M195-N195-Q195-R195-S195)</f>
      </c>
      <c r="V195" s="3">
        <f>IF($K195="","",(U195-AB195)/J195*100)</f>
      </c>
      <c r="W195" s="3">
        <f>IF($K195="","",M195-T195)</f>
      </c>
      <c r="AC195" s="3">
        <f>IF($K195="","",U195-AB195)</f>
      </c>
    </row>
    <row r="196" spans="1:29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IF($K196="","",K196*3.96%)</f>
      </c>
      <c r="O196" s="3">
        <f>IF($K196="","",N196*20%)</f>
      </c>
      <c r="P196" s="3">
        <f>IF($K196="","",N196+O196)</f>
      </c>
      <c r="Q196" s="3"/>
      <c r="R196" s="3">
        <f>IF($K196="","",Q196*20%)</f>
      </c>
      <c r="S196" s="3">
        <v>1</v>
      </c>
      <c r="T196" s="3">
        <f>IF($K196="","",R196)</f>
      </c>
      <c r="U196" s="3">
        <f>IF($K196="","",L196-M196-N196-Q196-R196-S196)</f>
      </c>
      <c r="V196" s="3">
        <f>IF($K196="","",(U196-AB196)/J196*100)</f>
      </c>
      <c r="W196" s="3">
        <f>IF($K196="","",M196-T196)</f>
      </c>
      <c r="AC196" s="3">
        <f>IF($K196="","",U196-AB196)</f>
      </c>
    </row>
    <row r="197" spans="1:29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IF($K197="","",K197*3.96%)</f>
      </c>
      <c r="O197" s="3">
        <f>IF($K197="","",N197*20%)</f>
      </c>
      <c r="P197" s="3">
        <f>IF($K197="","",N197+O197)</f>
      </c>
      <c r="Q197" s="3"/>
      <c r="R197" s="3">
        <f>IF($K197="","",Q197*20%)</f>
      </c>
      <c r="S197" s="3">
        <v>1</v>
      </c>
      <c r="T197" s="3">
        <f>IF($K197="","",R197)</f>
      </c>
      <c r="U197" s="3">
        <f>IF($K197="","",L197-M197-N197-Q197-R197-S197)</f>
      </c>
      <c r="V197" s="3">
        <f>IF($K197="","",(U197-AB197)/J197*100)</f>
      </c>
      <c r="W197" s="3">
        <f>IF($K197="","",M197-T197)</f>
      </c>
      <c r="AC197" s="3">
        <f>IF($K197="","",U197-AB197)</f>
      </c>
    </row>
    <row r="198" spans="1:29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IF($K198="","",K198*3.96%)</f>
      </c>
      <c r="O198" s="3">
        <f>IF($K198="","",N198*20%)</f>
      </c>
      <c r="P198" s="3">
        <f>IF($K198="","",N198+O198)</f>
      </c>
      <c r="Q198" s="3"/>
      <c r="R198" s="3">
        <f>IF($K198="","",Q198*20%)</f>
      </c>
      <c r="S198" s="3">
        <v>1</v>
      </c>
      <c r="T198" s="3">
        <f>IF($K198="","",R198)</f>
      </c>
      <c r="U198" s="3">
        <f>IF($K198="","",L198-M198-N198-Q198-R198-S198)</f>
      </c>
      <c r="V198" s="3">
        <f>IF($K198="","",(U198-AB198)/J198*100)</f>
      </c>
      <c r="W198" s="3">
        <f>IF($K198="","",M198-T198)</f>
      </c>
      <c r="AC198" s="3">
        <f>IF($K198="","",U198-AB198)</f>
      </c>
    </row>
    <row r="199" spans="1:29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IF($K199="","",K199*3.96%)</f>
      </c>
      <c r="O199" s="3">
        <f>IF($K199="","",N199*20%)</f>
      </c>
      <c r="P199" s="3">
        <f>IF($K199="","",N199+O199)</f>
      </c>
      <c r="Q199" s="3"/>
      <c r="R199" s="3">
        <f>IF($K199="","",Q199*20%)</f>
      </c>
      <c r="S199" s="3">
        <v>1</v>
      </c>
      <c r="T199" s="3">
        <f>IF($K199="","",R199)</f>
      </c>
      <c r="U199" s="3">
        <f>IF($K199="","",L199-M199-N199-Q199-R199-S199)</f>
      </c>
      <c r="V199" s="3">
        <f>IF($K199="","",(U199-AB199)/J199*100)</f>
      </c>
      <c r="W199" s="3">
        <f>IF($K199="","",M199-T199)</f>
      </c>
      <c r="AC199" s="3">
        <f>IF($K199="","",U199-AB199)</f>
      </c>
    </row>
    <row r="200" spans="1:29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IF($K200="","",K200*3.96%)</f>
      </c>
      <c r="O200" s="3">
        <f>IF($K200="","",N200*20%)</f>
      </c>
      <c r="P200" s="3">
        <f>IF($K200="","",N200+O200)</f>
      </c>
      <c r="Q200" s="3"/>
      <c r="R200" s="3">
        <f>IF($K200="","",Q200*20%)</f>
      </c>
      <c r="S200" s="3">
        <v>1</v>
      </c>
      <c r="T200" s="3">
        <f>IF($K200="","",R200)</f>
      </c>
      <c r="U200" s="3">
        <f>IF($K200="","",L200-M200-N200-Q200-R200-S200)</f>
      </c>
      <c r="V200" s="3">
        <f>IF($K200="","",(U200-AB200)/J200*100)</f>
      </c>
      <c r="W200" s="3">
        <f>IF($K200="","",M200-T200)</f>
      </c>
      <c r="AC200" s="3">
        <f>IF($K200="","",U200-AB200)</f>
      </c>
    </row>
    <row r="201" spans="1:29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IF($K201="","",K201*3.96%)</f>
      </c>
      <c r="O201" s="3">
        <f>IF($K201="","",N201*20%)</f>
      </c>
      <c r="P201" s="3">
        <f>IF($K201="","",N201+O201)</f>
      </c>
      <c r="Q201" s="3"/>
      <c r="R201" s="3">
        <f>IF($K201="","",Q201*20%)</f>
      </c>
      <c r="S201" s="3">
        <v>1</v>
      </c>
      <c r="T201" s="3">
        <f>IF($K201="","",R201)</f>
      </c>
      <c r="U201" s="3">
        <f>IF($K201="","",L201-M201-N201-Q201-R201-S201)</f>
      </c>
      <c r="V201" s="3">
        <f>IF($K201="","",(U201-AB201)/J201*100)</f>
      </c>
      <c r="W201" s="3">
        <f>IF($K201="","",M201-T201)</f>
      </c>
      <c r="AC201" s="3">
        <f>IF($K201="","",U201-AB201)</f>
      </c>
    </row>
    <row r="202" spans="1:29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IF($K202="","",K202*3.96%)</f>
      </c>
      <c r="O202" s="3">
        <f>IF($K202="","",N202*20%)</f>
      </c>
      <c r="P202" s="3">
        <f>IF($K202="","",N202+O202)</f>
      </c>
      <c r="Q202" s="3"/>
      <c r="R202" s="3">
        <f>IF($K202="","",Q202*20%)</f>
      </c>
      <c r="S202" s="3">
        <v>1</v>
      </c>
      <c r="T202" s="3">
        <f>IF($K202="","",R202)</f>
      </c>
      <c r="U202" s="3">
        <f>IF($K202="","",L202-M202-N202-Q202-R202-S202)</f>
      </c>
      <c r="V202" s="3">
        <f>IF($K202="","",(U202-AB202)/J202*100)</f>
      </c>
      <c r="W202" s="3">
        <f>IF($K202="","",M202-T202)</f>
      </c>
      <c r="AC202" s="3">
        <f>IF($K202="","",U202-AB202)</f>
      </c>
    </row>
    <row r="203" spans="1:34" s="4" customFormat="1" x14ac:dyDescent="0.25">
      <c r="A203" s="5" t="s">
        <v>40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IFERROR((U203-AB203)/J203*100,0)</f>
      </c>
      <c r="W203" s="6">
        <f>SUM(W2:W202)</f>
      </c>
      <c r="X203" s="6">
        <f>SUM(X2:X202)</f>
      </c>
      <c r="Y203" s="6">
        <f>SUM(Y2:Y202)</f>
      </c>
      <c r="Z203" s="6">
        <f>SUM(Z2:Z202)</f>
      </c>
      <c r="AA203" s="6">
        <f>SUM(AA2:AA202)</f>
      </c>
      <c r="AB203" s="6">
        <f>SUM(AB2:AB202)</f>
      </c>
      <c r="AC203" s="6">
        <f>SUM(AC2:AC202)</f>
      </c>
      <c r="AD203" s="4"/>
      <c r="AE203" s="4"/>
      <c r="AF203" s="4"/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TEMU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2026-08-29T07:04:47Z</dcterms:created>
  <dcterms:modified xsi:type="dcterms:W3CDTF">2026-08-29T07:04:47Z</dcterms:modified>
</cp:coreProperties>
</file>