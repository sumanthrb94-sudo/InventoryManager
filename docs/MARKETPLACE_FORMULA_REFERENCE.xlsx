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ALE FORMULAS" sheetId="2" state="visible" r:id="rId4"/>
    <sheet name="REFUND — WHAT THE CHANNEL KEEPS" sheetId="3" state="visible" r:id="rId5"/>
    <sheet name="RETURN COST" sheetId="4" state="visible" r:id="rId6"/>
    <sheet name="VA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<sst xmlns="http://schemas.openxmlformats.org/spreadsheetml/2006/main" count="278" uniqueCount="178">
  <si>
    <t xml:space="preserve">MARKETPLACE FORMULA REFERENCE</t>
  </si>
  <si>
    <t xml:space="preserve">Every money formula the Inventory Manager uses, as live Excel formulas. Change any yellow/blue input cell and the sheet recalculates exactly the way the app does.</t>
  </si>
  <si>
    <t xml:space="preserve">HOW TO READ IT</t>
  </si>
  <si>
    <t xml:space="preserve">Yellow cells with blue text = inputs you can change (Buy Price, Sale Price, Postage…).</t>
  </si>
  <si>
    <t xml:space="preserve">Black cells = formulas. The grey column beside each value spells the rule out in words.</t>
  </si>
  <si>
    <t xml:space="preserve">Green rows = check rows pinned to a REAL statement (an Amazon settlement and an eBay transaction page). If a formula ever disagrees with its green row, the formula is wrong, not the statement.</t>
  </si>
  <si>
    <t xml:space="preserve">THE SHEETS</t>
  </si>
  <si>
    <t xml:space="preserve">2 · SALE FORMULAS — the full fee chain for a sale on each of the five marketplaces: commission, VAT lines, postage, accessories, GP, GP% and Total VAT NTP.</t>
  </si>
  <si>
    <t xml:space="preserve">3 · REFUND — WHAT THE CHANNEL KEEPS — the fees a marketplace does NOT give back when a sale is refunded, per channel, with the real orders that proved each rule.</t>
  </si>
  <si>
    <t xml:space="preserve">4 · RETURN COST — the total cost of a return: carriage legs by route, repair invoice, fees kept, supplier credit.</t>
  </si>
  <si>
    <t xml:space="preserve">5 · VAT — margin VAT (the 16.67% of SP−BP), the VAT already paid through each marketplace, and the net tax payable.</t>
  </si>
  <si>
    <t xml:space="preserve">RATE CHANGES ON 15 AUG 2026 (sales before that date use the old rates)</t>
  </si>
  <si>
    <t xml:space="preserve">Back Market: PSF (Payment Seller Fee, SP × 1%) did not exist before 15 Aug 2026.</t>
  </si>
  <si>
    <t xml:space="preserve">Temu: commission was 4.61% before 15 Aug 2026, 3.96% from then on.</t>
  </si>
  <si>
    <t xml:space="preserve">Source of truth: src/lib/platforms.ts, src/lib/returnLoss.ts, src/lib/vat.ts in the app. Generated 28 Aug 2026.</t>
  </si>
  <si>
    <t xml:space="preserve">SALE FORMULAS — what one sale costs, per marketplace</t>
  </si>
  <si>
    <t xml:space="preserve">Change the yellow inputs; every figure below them recalculates. These are the exact formulas the app and the Sales Report use.</t>
  </si>
  <si>
    <t xml:space="preserve">AMAZON  (worked example = real settlement order 203-5323406-8518721)</t>
  </si>
  <si>
    <t xml:space="preserve">Formula (in words)</t>
  </si>
  <si>
    <t xml:space="preserve">Notes</t>
  </si>
  <si>
    <t xml:space="preserve">Buy Price (BP)</t>
  </si>
  <si>
    <t xml:space="preserve">What you paid for the unit.</t>
  </si>
  <si>
    <t xml:space="preserve">Sale Price (SP)</t>
  </si>
  <si>
    <t xml:space="preserve">What the customer paid.</t>
  </si>
  <si>
    <t xml:space="preserve">Postage</t>
  </si>
  <si>
    <t xml:space="preserve">Operator-entered per sale (£0 default).</t>
  </si>
  <si>
    <t xml:space="preserve">SP − BP</t>
  </si>
  <si>
    <t xml:space="preserve">The gross margin.</t>
  </si>
  <si>
    <t xml:space="preserve">Marginal Tax</t>
  </si>
  <si>
    <t xml:space="preserve">(SP − BP) × 16.67%</t>
  </si>
  <si>
    <t xml:space="preserve">The margin-VAT provision — see the VAT sheet.</t>
  </si>
  <si>
    <t xml:space="preserve">Commission</t>
  </si>
  <si>
    <t xml:space="preserve">SP × 7%</t>
  </si>
  <si>
    <t xml:space="preserve">Amazon referral fee.</t>
  </si>
  <si>
    <t xml:space="preserve">C. VAT</t>
  </si>
  <si>
    <t xml:space="preserve">Commission × 20%</t>
  </si>
  <si>
    <t xml:space="preserve">DSF</t>
  </si>
  <si>
    <t xml:space="preserve">Commission × 2%</t>
  </si>
  <si>
    <t xml:space="preserve">Digital services fee.</t>
  </si>
  <si>
    <t xml:space="preserve">DSF VAT</t>
  </si>
  <si>
    <t xml:space="preserve">DSF × 20%</t>
  </si>
  <si>
    <t xml:space="preserve">P. VAT</t>
  </si>
  <si>
    <t xml:space="preserve">Postage × 20%</t>
  </si>
  <si>
    <t xml:space="preserve">Accessories</t>
  </si>
  <si>
    <t xml:space="preserve">flat £1 per handset</t>
  </si>
  <si>
    <t xml:space="preserve">Box + charger shipped with a phone. £0 on a standalone accessory sale.</t>
  </si>
  <si>
    <t xml:space="preserve">Total VAT</t>
  </si>
  <si>
    <t xml:space="preserve">C.VAT + DSF VAT + P.VAT</t>
  </si>
  <si>
    <t xml:space="preserve">VAT already paid through the marketplace — reclaimed against Marginal Tax.</t>
  </si>
  <si>
    <t xml:space="preserve">Gross Profit</t>
  </si>
  <si>
    <t xml:space="preserve">(SP−BP) − MarTax − Comm − C.VAT − DSF − DSF VAT − Postage − P.VAT − Acc</t>
  </si>
  <si>
    <t xml:space="preserve">GP %</t>
  </si>
  <si>
    <t xml:space="preserve">GP ÷ BP × 100</t>
  </si>
  <si>
    <t xml:space="preserve">Profit over what you PAID (margin-over-cost) — same convention on all 5 marketplaces since Aug 2026.</t>
  </si>
  <si>
    <t xml:space="preserve">Total VAT NTP</t>
  </si>
  <si>
    <t xml:space="preserve">Marginal Tax − Total VAT</t>
  </si>
  <si>
    <t xml:space="preserve">Net tax payable on this sale.</t>
  </si>
  <si>
    <t xml:space="preserve">BACK MARKET (BM)</t>
  </si>
  <si>
    <t xml:space="preserve">Operator-entered per sale.</t>
  </si>
  <si>
    <t xml:space="preserve">SP × 11%</t>
  </si>
  <si>
    <t xml:space="preserve">Customer Care Fees</t>
  </si>
  <si>
    <t xml:space="preserve">flat £8.99 per sale</t>
  </si>
  <si>
    <t xml:space="preserve">BM charges this on every order.</t>
  </si>
  <si>
    <t xml:space="preserve">PSF</t>
  </si>
  <si>
    <t xml:space="preserve">SP × 1%</t>
  </si>
  <si>
    <t xml:space="preserve">Payment Seller Fee — exists only from 15 Aug 2026 (0 before).</t>
  </si>
  <si>
    <t xml:space="preserve">(SP−BP) − MarTax − Comm − CCF − PSF − Postage − P.VAT − Acc</t>
  </si>
  <si>
    <t xml:space="preserve">Marginal Tax − P. VAT</t>
  </si>
  <si>
    <t xml:space="preserve">BM has only ONE VAT line (postage VAT), so NTP subtracts just that.</t>
  </si>
  <si>
    <t xml:space="preserve">EBAY  (worked example = real order 11-14953-45167, A32 £84.99)</t>
  </si>
  <si>
    <t xml:space="preserve">Client: "EBAY SHIPPING 4.65". Tiers £1/£2/£8 also used.</t>
  </si>
  <si>
    <t xml:space="preserve">Marketing</t>
  </si>
  <si>
    <t xml:space="preserve">Operator-typed promo spend, £0 on most rows.</t>
  </si>
  <si>
    <t xml:space="preserve">(SP × 6.9%) − 10% of it  (= SP × 6.21%)</t>
  </si>
  <si>
    <t xml:space="preserve">Final value fee after the top-rated seller reduction.</t>
  </si>
  <si>
    <t xml:space="preserve">ROF</t>
  </si>
  <si>
    <t xml:space="preserve">SP × 0.35%</t>
  </si>
  <si>
    <t xml:space="preserve">Regulatory operating fee.</t>
  </si>
  <si>
    <t xml:space="preserve">FVF (fixed)</t>
  </si>
  <si>
    <t xml:space="preserve">flat £0.40 per order</t>
  </si>
  <si>
    <t xml:space="preserve">The one fee eBay NEVER refunds — see the REFUND sheet.</t>
  </si>
  <si>
    <t xml:space="preserve">VAT (on fees)</t>
  </si>
  <si>
    <t xml:space="preserve">(Comm + ROF + FVF) × 20%</t>
  </si>
  <si>
    <t xml:space="preserve">Total Com</t>
  </si>
  <si>
    <t xml:space="preserve">Comm + ROF + FVF + VAT</t>
  </si>
  <si>
    <t xml:space="preserve">On the real order: £7.18.</t>
  </si>
  <si>
    <t xml:space="preserve">zero</t>
  </si>
  <si>
    <t xml:space="preserve">eBay shipping is zero-rated to this operator — the master's P.VAT column reads 0 on every row.</t>
  </si>
  <si>
    <t xml:space="preserve">M. VAT</t>
  </si>
  <si>
    <t xml:space="preserve">Marketing × 20%</t>
  </si>
  <si>
    <t xml:space="preserve">VAT + P.VAT + M.VAT</t>
  </si>
  <si>
    <t xml:space="preserve">(SP−BP) − MarTax − T.Com − Postage − P.VAT − Marketing − M.VAT − Acc</t>
  </si>
  <si>
    <t xml:space="preserve">ONBUY</t>
  </si>
  <si>
    <t xml:space="preserve">VAT 20%</t>
  </si>
  <si>
    <t xml:space="preserve">VAT20 + P.VAT</t>
  </si>
  <si>
    <t xml:space="preserve">(SP−BP) − MarTax − Comm − VAT20 − Postage − P.VAT − Acc</t>
  </si>
  <si>
    <t xml:space="preserve">TEMU</t>
  </si>
  <si>
    <t xml:space="preserve">SP × 3.96%  (4.61% before 15 Aug 2026)</t>
  </si>
  <si>
    <t xml:space="preserve">Client: 'TEMU COMMISSION 3.96'.</t>
  </si>
  <si>
    <t xml:space="preserve">Commission VAT</t>
  </si>
  <si>
    <t xml:space="preserve">Temu VAT-invoices this to the seller as reclaimable input tax — so it is NOT subtracted from GP and NOT in Total VAT.</t>
  </si>
  <si>
    <t xml:space="preserve">P. VAT only</t>
  </si>
  <si>
    <t xml:space="preserve">Commission VAT deliberately excluded — see its note.</t>
  </si>
  <si>
    <t xml:space="preserve">(SP−BP) − MarTax − Comm − Postage − P.VAT − Acc</t>
  </si>
  <si>
    <t xml:space="preserve">Commission VAT excluded (reclaimable).</t>
  </si>
  <si>
    <t xml:space="preserve">REFUND — the fees a marketplace KEEPS when you refund a sale</t>
  </si>
  <si>
    <t xml:space="preserve">A refund is not free even when the customer gets every penny back: the channel keeps part (or all) of the fees it charged. These rules were proved with real statements, one per channel. Green rows are those statements — the formula must reproduce them to the penny.</t>
  </si>
  <si>
    <t xml:space="preserve">Channel</t>
  </si>
  <si>
    <t xml:space="preserve">Rule (what is kept)</t>
  </si>
  <si>
    <t xml:space="preserve">Kept £</t>
  </si>
  <si>
    <t xml:space="preserve">% of SP</t>
  </si>
  <si>
    <t xml:space="preserve">Evidence / notes</t>
  </si>
  <si>
    <t xml:space="preserve">Inputs for the rows below:</t>
  </si>
  <si>
    <t xml:space="preserve">AMAZON</t>
  </si>
  <si>
    <t xml:space="preserve">min( 20% × commission , £5.00 ) + 20% VAT — everything else is refunded</t>
  </si>
  <si>
    <t xml:space="preserve">The "refund administration fee". Real settlement 203-5323406-8518721: SP £308, commission £21.56 → 20% = £4.31 (under the £5 cap) + £0.86 VAT = £5.17 kept. Green row below.</t>
  </si>
  <si>
    <t xml:space="preserve">EBAY</t>
  </si>
  <si>
    <t xml:space="preserve">the fixed £0.40 per-order fee + its VAT — everything else is refunded</t>
  </si>
  <si>
    <t xml:space="preserve">Flat £0.48 whatever the sale price. Real order 11-14953-45167: fees £7.18, credited £6.70, kept £0.48. Green row below.</t>
  </si>
  <si>
    <t xml:space="preserve">BACK MARKET</t>
  </si>
  <si>
    <t xml:space="preserve">EVERYTHING: commission + £8.99 customer care + PSF (1%)</t>
  </si>
  <si>
    <t xml:space="preserve">Operator: "BM DOES NOT REFUND". Not a penny of the fees comes back.</t>
  </si>
  <si>
    <t xml:space="preserve">EVERYTHING: commission + its 20% VAT</t>
  </si>
  <si>
    <t xml:space="preserve">Operator: "ONBUY DOES NOT REFUND".</t>
  </si>
  <si>
    <t xml:space="preserve">Operator: "they don’t even refund a penny on the marketplace fees or the things that they collected".</t>
  </si>
  <si>
    <t xml:space="preserve">CHECK ROWS — the real statements, figure for figure</t>
  </si>
  <si>
    <t xml:space="preserve">Amazon order 203-5323406-8518721 — SP</t>
  </si>
  <si>
    <t xml:space="preserve">commission £21.56 (7% of £308) → kept = min(20%×21.56, 5) × 1.2</t>
  </si>
  <si>
    <t xml:space="preserve">Statement shows: sale netted +£281.60, refund netted −£286.77. Difference £5.17 = exactly this cell.</t>
  </si>
  <si>
    <t xml:space="preserve">eBay order 11-14953-45167 — SP</t>
  </si>
  <si>
    <t xml:space="preserve">fees charged £7.18; eBay credited £6.70 on refund</t>
  </si>
  <si>
    <t xml:space="preserve">The £0.48 kept = £0.40 fixed fee × 1.2 VAT. Same answer both ways — that is the proof.</t>
  </si>
  <si>
    <t xml:space="preserve">When NOTHING is kept: a REPLACEMENT or an out-of-warranty repair keeps the customer’s money — no refund reaches the marketplace, so no fee is kept and this whole sheet charges £0. The fees stand against the original sale, whose GP also stands and already subtracts them.</t>
  </si>
  <si>
    <t xml:space="preserve">RETURN COST — what one return actually costs</t>
  </si>
  <si>
    <t xml:space="preserve">Total return cost = carriage + repair invoice + fees the channel kept − supplier credit. Carriage is billed per LEG the return caused, minus any leg the sale itself already paid for.</t>
  </si>
  <si>
    <t xml:space="preserve">Route</t>
  </si>
  <si>
    <t xml:space="preserve">Revenue</t>
  </si>
  <si>
    <t xml:space="preserve">Journeys</t>
  </si>
  <si>
    <t xml:space="preserve">Legs billed here</t>
  </si>
  <si>
    <t xml:space="preserve">Refund</t>
  </si>
  <si>
    <t xml:space="preserve">zeroed</t>
  </si>
  <si>
    <t xml:space="preserve">Repair, in warranty (customer refunded)</t>
  </si>
  <si>
    <t xml:space="preserve">Repair, out of warranty (customer paid nothing back)</t>
  </si>
  <si>
    <t xml:space="preserve">kept</t>
  </si>
  <si>
    <t xml:space="preserve">Replacement</t>
  </si>
  <si>
    <t xml:space="preserve">Accessory replacement</t>
  </si>
  <si>
    <t xml:space="preserve">Why "journeys − 1" when revenue is kept: the outbound leg was already paid at sale time inside that sale’s own Postage, and a kept-revenue sale’s GP stands — billing it again here would charge 4 legs for 3 journeys. Why a replacement does NOT cost a second handset: the faulty unit comes back and is resold, so net stock is unchanged — both handsets’ buy prices already sit inside their two sales’ GP. Only the carriage is new money.</t>
  </si>
  <si>
    <t xml:space="preserve">WORKED EXAMPLE</t>
  </si>
  <si>
    <t xml:space="preserve">Postage per leg (postage + its VAT)</t>
  </si>
  <si>
    <t xml:space="preserve">e.g. £6.30 postage × 1.2. Snapshotted when the return is taken.</t>
  </si>
  <si>
    <t xml:space="preserve">Legs billed (from the table above)</t>
  </si>
  <si>
    <t xml:space="preserve">Refund = 2. Replacement = 2. Accessory replacement = 3.</t>
  </si>
  <si>
    <t xml:space="preserve">Repair invoice</t>
  </si>
  <si>
    <t xml:space="preserve">Only on a repair route. BLANK is not £0 — an un-entered invoice is flagged as a gap, never counted as free.</t>
  </si>
  <si>
    <t xml:space="preserve">Fees the channel kept</t>
  </si>
  <si>
    <t xml:space="preserve">From the REFUND sheet — £0 when revenue was kept (replacement / OOW repair).</t>
  </si>
  <si>
    <t xml:space="preserve">Supplier credit</t>
  </si>
  <si>
    <t xml:space="preserve">Money recovered from the supplier (return-to-supplier route only). Reduces the total.</t>
  </si>
  <si>
    <t xml:space="preserve">TOTAL RETURN COST</t>
  </si>
  <si>
    <t xml:space="preserve">carriage×legs + repair + fees − credit</t>
  </si>
  <si>
    <t xml:space="preserve">The figure the Returns page and the client report both show.</t>
  </si>
  <si>
    <t xml:space="preserve">VAT — the margin scheme, per sale</t>
  </si>
  <si>
    <t xml:space="preserve">Second-hand margin scheme: VAT is provisioned on the MARGIN (SP − BP), not the sale price — the "16.6%" rule. The app uses the literal 16.67% (≈ 1/6), matching the operator’s master sheet cell =C3*16.67%. VAT already paid through the marketplace (the fee VAT lines) is then reclaimed against it.</t>
  </si>
  <si>
    <t xml:space="preserve">VAT already paid via marketplace (Total VAT)</t>
  </si>
  <si>
    <t xml:space="preserve">The sale’s Total VAT cell — composition per channel in the table below.</t>
  </si>
  <si>
    <t xml:space="preserve">Margin VAT (Marginal Tax)</t>
  </si>
  <si>
    <t xml:space="preserve">The provision on this sale’s margin.</t>
  </si>
  <si>
    <t xml:space="preserve">Net tax payable (Total VAT NTP)</t>
  </si>
  <si>
    <t xml:space="preserve">Margin VAT − VAT already paid</t>
  </si>
  <si>
    <t xml:space="preserve">What this sale contributes to the VAT bill.</t>
  </si>
  <si>
    <t xml:space="preserve">WHAT COUNTS AS "VAT ALREADY PAID", PER CHANNEL</t>
  </si>
  <si>
    <t xml:space="preserve">C. VAT + DSF VAT + P. VAT</t>
  </si>
  <si>
    <t xml:space="preserve">P. VAT only (BM’s sole VAT line)</t>
  </si>
  <si>
    <t xml:space="preserve">VAT-on-fees + P. VAT + M. VAT (P. VAT is 0 — shipping zero-rated)</t>
  </si>
  <si>
    <t xml:space="preserve">VAT 20% (on commission) + P. VAT</t>
  </si>
  <si>
    <t xml:space="preserve">P. VAT only — Commission VAT is separately reclaimable input tax</t>
  </si>
  <si>
    <t xml:space="preserve">LOSS-MAKING SALES: (SP−BP)×16.67% goes NEGATIVE when a unit sells below cost. HMRC’s margin scheme (Notice 718) says a loss-making item owes £0 — the loss cannot offset other items’ margins. The app therefore reports the quarter BOTH ways (as-computed, and with each loss floored at £0) and lists every differing sale for the accountant to rule on.</t>
  </si>
  <si>
    <t xml:space="preserve">REFUNDED SALES are excluded from VAT periods entirely: the money went back, there is no supply to account for.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</si>
</sst>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;&quot;(£&quot;#,##0.00\)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4" t="s">
        <v>15</v>
      </c>
      <c r="B1" s="5"/>
      <c r="C1" s="5"/>
      <c r="D1" s="5"/>
    </row>
    <row r="2" customFormat="false" ht="35.05" hidden="false" customHeight="false" outlineLevel="0" collapsed="false">
      <c r="A2" s="6" t="s">
        <v>16</v>
      </c>
    </row>
    <row r="4" customFormat="false" ht="15" hidden="false" customHeight="false" outlineLevel="0" collapsed="false">
      <c r="A4" s="7" t="s">
        <v>17</v>
      </c>
      <c r="B4" s="8"/>
      <c r="C4" s="7" t="s">
        <v>18</v>
      </c>
      <c r="D4" s="7" t="s">
        <v>19</v>
      </c>
    </row>
    <row r="5" customFormat="false" ht="15" hidden="false" customHeight="false" outlineLevel="0" collapsed="false">
      <c r="A5" s="9" t="s">
        <v>20</v>
      </c>
      <c r="B5" s="10" t="n">
        <v>250</v>
      </c>
      <c r="C5" s="11"/>
      <c r="D5" s="12" t="s">
        <v>21</v>
      </c>
    </row>
    <row r="6" customFormat="false" ht="15" hidden="false" customHeight="false" outlineLevel="0" collapsed="false">
      <c r="A6" s="9" t="s">
        <v>22</v>
      </c>
      <c r="B6" s="10" t="n">
        <v>308</v>
      </c>
      <c r="C6" s="11"/>
      <c r="D6" s="12" t="s">
        <v>23</v>
      </c>
    </row>
    <row r="7" customFormat="false" ht="15" hidden="false" customHeight="false" outlineLevel="0" collapsed="false">
      <c r="A7" s="9" t="s">
        <v>24</v>
      </c>
      <c r="B7" s="10" t="n">
        <v>0</v>
      </c>
      <c r="C7" s="11"/>
      <c r="D7" s="12" t="s">
        <v>25</v>
      </c>
    </row>
    <row r="8" customFormat="false" ht="15" hidden="false" customHeight="false" outlineLevel="0" collapsed="false">
      <c r="A8" s="13" t="s">
        <v>26</v>
      </c>
      <c r="B8" s="14" t="n">
        <f aca="false">B6-B5</f>
        <v>58</v>
      </c>
      <c r="C8" s="11" t="s">
        <v>26</v>
      </c>
      <c r="D8" s="12" t="s">
        <v>27</v>
      </c>
    </row>
    <row r="9" customFormat="false" ht="15" hidden="false" customHeight="false" outlineLevel="0" collapsed="false">
      <c r="A9" s="13" t="s">
        <v>28</v>
      </c>
      <c r="B9" s="14" t="n">
        <f aca="false">B8*16.67%</f>
        <v>9.6686</v>
      </c>
      <c r="C9" s="11" t="s">
        <v>29</v>
      </c>
      <c r="D9" s="12" t="s">
        <v>30</v>
      </c>
    </row>
    <row r="10" customFormat="false" ht="15" hidden="false" customHeight="false" outlineLevel="0" collapsed="false">
      <c r="A10" s="13" t="s">
        <v>31</v>
      </c>
      <c r="B10" s="14" t="n">
        <f aca="false">B6*7%</f>
        <v>21.56</v>
      </c>
      <c r="C10" s="11" t="s">
        <v>32</v>
      </c>
      <c r="D10" s="12" t="s">
        <v>33</v>
      </c>
    </row>
    <row r="11" customFormat="false" ht="15" hidden="false" customHeight="false" outlineLevel="0" collapsed="false">
      <c r="A11" s="13" t="s">
        <v>34</v>
      </c>
      <c r="B11" s="14" t="n">
        <f aca="false">B10*20%</f>
        <v>4.312</v>
      </c>
      <c r="C11" s="11" t="s">
        <v>35</v>
      </c>
      <c r="D11" s="12"/>
    </row>
    <row r="12" customFormat="false" ht="15" hidden="false" customHeight="false" outlineLevel="0" collapsed="false">
      <c r="A12" s="13" t="s">
        <v>36</v>
      </c>
      <c r="B12" s="14" t="n">
        <f aca="false">B10*2%</f>
        <v>0.4312</v>
      </c>
      <c r="C12" s="11" t="s">
        <v>37</v>
      </c>
      <c r="D12" s="12" t="s">
        <v>38</v>
      </c>
    </row>
    <row r="13" customFormat="false" ht="15" hidden="false" customHeight="false" outlineLevel="0" collapsed="false">
      <c r="A13" s="13" t="s">
        <v>39</v>
      </c>
      <c r="B13" s="14" t="n">
        <f aca="false">B12*20%</f>
        <v>0.08624</v>
      </c>
      <c r="C13" s="11" t="s">
        <v>40</v>
      </c>
      <c r="D13" s="12"/>
    </row>
    <row r="14" customFormat="false" ht="15" hidden="false" customHeight="false" outlineLevel="0" collapsed="false">
      <c r="A14" s="13" t="s">
        <v>41</v>
      </c>
      <c r="B14" s="14" t="n">
        <f aca="false">B7*20%</f>
        <v>0</v>
      </c>
      <c r="C14" s="11" t="s">
        <v>42</v>
      </c>
      <c r="D14" s="12"/>
    </row>
    <row r="15" customFormat="false" ht="15" hidden="false" customHeight="false" outlineLevel="0" collapsed="false">
      <c r="A15" s="13" t="s">
        <v>43</v>
      </c>
      <c r="B15" s="14" t="n">
        <v>1</v>
      </c>
      <c r="C15" s="11" t="s">
        <v>44</v>
      </c>
      <c r="D15" s="12" t="s">
        <v>45</v>
      </c>
    </row>
    <row r="16" customFormat="false" ht="15" hidden="false" customHeight="false" outlineLevel="0" collapsed="false">
      <c r="A16" s="13" t="s">
        <v>46</v>
      </c>
      <c r="B16" s="14" t="n">
        <f aca="false">B11+B13+B14</f>
        <v>4.39824</v>
      </c>
      <c r="C16" s="11" t="s">
        <v>47</v>
      </c>
      <c r="D16" s="12" t="s">
        <v>48</v>
      </c>
    </row>
    <row r="17" customFormat="false" ht="15" hidden="false" customHeight="false" outlineLevel="0" collapsed="false">
      <c r="A17" s="13" t="s">
        <v>49</v>
      </c>
      <c r="B17" s="14" t="n">
        <f aca="false">B8-B9-B10-B11-B12-B13-B7-B14-B15</f>
        <v>20.94196</v>
      </c>
      <c r="C17" s="11" t="s">
        <v>50</v>
      </c>
      <c r="D17" s="12"/>
    </row>
    <row r="18" customFormat="false" ht="23.85" hidden="false" customHeight="false" outlineLevel="0" collapsed="false">
      <c r="A18" s="13" t="s">
        <v>51</v>
      </c>
      <c r="B18" s="13" t="n">
        <f aca="false">B17/B5*100</f>
        <v>8.376784</v>
      </c>
      <c r="C18" s="11" t="s">
        <v>52</v>
      </c>
      <c r="D18" s="12" t="s">
        <v>53</v>
      </c>
    </row>
    <row r="19" customFormat="false" ht="15" hidden="false" customHeight="false" outlineLevel="0" collapsed="false">
      <c r="A19" s="13" t="s">
        <v>54</v>
      </c>
      <c r="B19" s="14" t="n">
        <f aca="false">B9-B16</f>
        <v>5.27036</v>
      </c>
      <c r="C19" s="11" t="s">
        <v>55</v>
      </c>
      <c r="D19" s="12" t="s">
        <v>56</v>
      </c>
    </row>
    <row r="21" customFormat="false" ht="15" hidden="false" customHeight="false" outlineLevel="0" collapsed="false">
      <c r="A21" s="7" t="s">
        <v>57</v>
      </c>
      <c r="B21" s="8"/>
      <c r="C21" s="7" t="s">
        <v>18</v>
      </c>
      <c r="D21" s="7" t="s">
        <v>19</v>
      </c>
    </row>
    <row r="22" customFormat="false" ht="15" hidden="false" customHeight="false" outlineLevel="0" collapsed="false">
      <c r="A22" s="9" t="s">
        <v>20</v>
      </c>
      <c r="B22" s="10" t="n">
        <v>100</v>
      </c>
      <c r="C22" s="11"/>
      <c r="D22" s="12"/>
    </row>
    <row r="23" customFormat="false" ht="15" hidden="false" customHeight="false" outlineLevel="0" collapsed="false">
      <c r="A23" s="9" t="s">
        <v>22</v>
      </c>
      <c r="B23" s="10" t="n">
        <v>150</v>
      </c>
      <c r="C23" s="11"/>
      <c r="D23" s="12"/>
    </row>
    <row r="24" customFormat="false" ht="15" hidden="false" customHeight="false" outlineLevel="0" collapsed="false">
      <c r="A24" s="9" t="s">
        <v>24</v>
      </c>
      <c r="B24" s="10" t="n">
        <v>0</v>
      </c>
      <c r="C24" s="11"/>
      <c r="D24" s="12" t="s">
        <v>58</v>
      </c>
    </row>
    <row r="25" customFormat="false" ht="15" hidden="false" customHeight="false" outlineLevel="0" collapsed="false">
      <c r="A25" s="13" t="s">
        <v>26</v>
      </c>
      <c r="B25" s="14" t="n">
        <f aca="false">B23-B22</f>
        <v>50</v>
      </c>
      <c r="C25" s="11" t="s">
        <v>26</v>
      </c>
      <c r="D25" s="12"/>
    </row>
    <row r="26" customFormat="false" ht="15" hidden="false" customHeight="false" outlineLevel="0" collapsed="false">
      <c r="A26" s="13" t="s">
        <v>28</v>
      </c>
      <c r="B26" s="14" t="n">
        <f aca="false">B25*16.67%</f>
        <v>8.335</v>
      </c>
      <c r="C26" s="11" t="s">
        <v>29</v>
      </c>
      <c r="D26" s="12"/>
    </row>
    <row r="27" customFormat="false" ht="15" hidden="false" customHeight="false" outlineLevel="0" collapsed="false">
      <c r="A27" s="13" t="s">
        <v>31</v>
      </c>
      <c r="B27" s="14" t="n">
        <f aca="false">B23*11%</f>
        <v>16.5</v>
      </c>
      <c r="C27" s="11" t="s">
        <v>59</v>
      </c>
      <c r="D27" s="12"/>
    </row>
    <row r="28" customFormat="false" ht="15" hidden="false" customHeight="false" outlineLevel="0" collapsed="false">
      <c r="A28" s="13" t="s">
        <v>60</v>
      </c>
      <c r="B28" s="14" t="n">
        <v>8.99</v>
      </c>
      <c r="C28" s="11" t="s">
        <v>61</v>
      </c>
      <c r="D28" s="12" t="s">
        <v>62</v>
      </c>
    </row>
    <row r="29" customFormat="false" ht="15" hidden="false" customHeight="false" outlineLevel="0" collapsed="false">
      <c r="A29" s="13" t="s">
        <v>63</v>
      </c>
      <c r="B29" s="14" t="n">
        <f aca="false">B23*1%</f>
        <v>1.5</v>
      </c>
      <c r="C29" s="11" t="s">
        <v>64</v>
      </c>
      <c r="D29" s="12" t="s">
        <v>65</v>
      </c>
    </row>
    <row r="30" customFormat="false" ht="15" hidden="false" customHeight="false" outlineLevel="0" collapsed="false">
      <c r="A30" s="13" t="s">
        <v>41</v>
      </c>
      <c r="B30" s="14" t="n">
        <f aca="false">B24*20%</f>
        <v>0</v>
      </c>
      <c r="C30" s="11" t="s">
        <v>42</v>
      </c>
      <c r="D30" s="12"/>
    </row>
    <row r="31" customFormat="false" ht="15" hidden="false" customHeight="false" outlineLevel="0" collapsed="false">
      <c r="A31" s="13" t="s">
        <v>43</v>
      </c>
      <c r="B31" s="14" t="n">
        <v>1</v>
      </c>
      <c r="C31" s="11" t="s">
        <v>44</v>
      </c>
      <c r="D31" s="12"/>
    </row>
    <row r="32" customFormat="false" ht="15" hidden="false" customHeight="false" outlineLevel="0" collapsed="false">
      <c r="A32" s="13" t="s">
        <v>49</v>
      </c>
      <c r="B32" s="14" t="n">
        <f aca="false">B25-B26-B27-B28-B29-B24-B30-B31</f>
        <v>13.675</v>
      </c>
      <c r="C32" s="11" t="s">
        <v>66</v>
      </c>
      <c r="D32" s="12"/>
    </row>
    <row r="33" customFormat="false" ht="15" hidden="false" customHeight="false" outlineLevel="0" collapsed="false">
      <c r="A33" s="13" t="s">
        <v>51</v>
      </c>
      <c r="B33" s="13" t="n">
        <f aca="false">B32/B22*100</f>
        <v>13.675</v>
      </c>
      <c r="C33" s="11" t="s">
        <v>52</v>
      </c>
      <c r="D33" s="12"/>
    </row>
    <row r="34" customFormat="false" ht="15" hidden="false" customHeight="false" outlineLevel="0" collapsed="false">
      <c r="A34" s="13" t="s">
        <v>54</v>
      </c>
      <c r="B34" s="14" t="n">
        <f aca="false">B26-B30</f>
        <v>8.335</v>
      </c>
      <c r="C34" s="11" t="s">
        <v>67</v>
      </c>
      <c r="D34" s="12" t="s">
        <v>68</v>
      </c>
    </row>
    <row r="36" customFormat="false" ht="15" hidden="false" customHeight="false" outlineLevel="0" collapsed="false">
      <c r="A36" s="7" t="s">
        <v>69</v>
      </c>
      <c r="B36" s="8"/>
      <c r="C36" s="7" t="s">
        <v>18</v>
      </c>
      <c r="D36" s="7" t="s">
        <v>19</v>
      </c>
    </row>
    <row r="37" customFormat="false" ht="15" hidden="false" customHeight="false" outlineLevel="0" collapsed="false">
      <c r="A37" s="9" t="s">
        <v>20</v>
      </c>
      <c r="B37" s="10" t="n">
        <v>60</v>
      </c>
      <c r="C37" s="11"/>
      <c r="D37" s="12"/>
    </row>
    <row r="38" customFormat="false" ht="15" hidden="false" customHeight="false" outlineLevel="0" collapsed="false">
      <c r="A38" s="9" t="s">
        <v>22</v>
      </c>
      <c r="B38" s="10" t="n">
        <v>84.99</v>
      </c>
      <c r="C38" s="11"/>
      <c r="D38" s="12"/>
    </row>
    <row r="39" customFormat="false" ht="15" hidden="false" customHeight="false" outlineLevel="0" collapsed="false">
      <c r="A39" s="9" t="s">
        <v>24</v>
      </c>
      <c r="B39" s="10" t="n">
        <v>4.65</v>
      </c>
      <c r="C39" s="11"/>
      <c r="D39" s="12" t="s">
        <v>70</v>
      </c>
    </row>
    <row r="40" customFormat="false" ht="15" hidden="false" customHeight="false" outlineLevel="0" collapsed="false">
      <c r="A40" s="9" t="s">
        <v>71</v>
      </c>
      <c r="B40" s="10" t="n">
        <v>0</v>
      </c>
      <c r="C40" s="11"/>
      <c r="D40" s="12" t="s">
        <v>72</v>
      </c>
    </row>
    <row r="41" customFormat="false" ht="15" hidden="false" customHeight="false" outlineLevel="0" collapsed="false">
      <c r="A41" s="13" t="s">
        <v>26</v>
      </c>
      <c r="B41" s="14" t="n">
        <f aca="false">B38-B37</f>
        <v>24.99</v>
      </c>
      <c r="C41" s="11" t="s">
        <v>26</v>
      </c>
      <c r="D41" s="12"/>
    </row>
    <row r="42" customFormat="false" ht="15" hidden="false" customHeight="false" outlineLevel="0" collapsed="false">
      <c r="A42" s="13" t="s">
        <v>28</v>
      </c>
      <c r="B42" s="14" t="n">
        <f aca="false">B41*16.67%</f>
        <v>4.165833</v>
      </c>
      <c r="C42" s="11" t="s">
        <v>29</v>
      </c>
      <c r="D42" s="12"/>
    </row>
    <row r="43" customFormat="false" ht="15" hidden="false" customHeight="false" outlineLevel="0" collapsed="false">
      <c r="A43" s="13" t="s">
        <v>31</v>
      </c>
      <c r="B43" s="14" t="n">
        <f aca="false">(B38*6.9%)-(B38*6.9%)*10%</f>
        <v>5.277879</v>
      </c>
      <c r="C43" s="11" t="s">
        <v>73</v>
      </c>
      <c r="D43" s="12" t="s">
        <v>74</v>
      </c>
    </row>
    <row r="44" customFormat="false" ht="15" hidden="false" customHeight="false" outlineLevel="0" collapsed="false">
      <c r="A44" s="13" t="s">
        <v>75</v>
      </c>
      <c r="B44" s="14" t="n">
        <f aca="false">B38*0.35%</f>
        <v>0.297465</v>
      </c>
      <c r="C44" s="11" t="s">
        <v>76</v>
      </c>
      <c r="D44" s="12" t="s">
        <v>77</v>
      </c>
    </row>
    <row r="45" customFormat="false" ht="15" hidden="false" customHeight="false" outlineLevel="0" collapsed="false">
      <c r="A45" s="13" t="s">
        <v>78</v>
      </c>
      <c r="B45" s="14" t="n">
        <v>0.4</v>
      </c>
      <c r="C45" s="11" t="s">
        <v>79</v>
      </c>
      <c r="D45" s="12" t="s">
        <v>80</v>
      </c>
    </row>
    <row r="46" customFormat="false" ht="15" hidden="false" customHeight="false" outlineLevel="0" collapsed="false">
      <c r="A46" s="13" t="s">
        <v>81</v>
      </c>
      <c r="B46" s="14" t="n">
        <f aca="false">(B43+B44+B45)*20%</f>
        <v>1.1950688</v>
      </c>
      <c r="C46" s="11" t="s">
        <v>82</v>
      </c>
      <c r="D46" s="12"/>
    </row>
    <row r="47" customFormat="false" ht="15" hidden="false" customHeight="false" outlineLevel="0" collapsed="false">
      <c r="A47" s="13" t="s">
        <v>83</v>
      </c>
      <c r="B47" s="14" t="n">
        <f aca="false">B43+B44+B45+B46</f>
        <v>7.1704128</v>
      </c>
      <c r="C47" s="11" t="s">
        <v>84</v>
      </c>
      <c r="D47" s="12" t="s">
        <v>85</v>
      </c>
    </row>
    <row r="48" customFormat="false" ht="15" hidden="false" customHeight="false" outlineLevel="0" collapsed="false">
      <c r="A48" s="13" t="s">
        <v>41</v>
      </c>
      <c r="B48" s="14" t="n">
        <v>0</v>
      </c>
      <c r="C48" s="11" t="s">
        <v>86</v>
      </c>
      <c r="D48" s="12" t="s">
        <v>87</v>
      </c>
    </row>
    <row r="49" customFormat="false" ht="15" hidden="false" customHeight="false" outlineLevel="0" collapsed="false">
      <c r="A49" s="13" t="s">
        <v>88</v>
      </c>
      <c r="B49" s="14" t="n">
        <f aca="false">B40*20%</f>
        <v>0</v>
      </c>
      <c r="C49" s="11" t="s">
        <v>89</v>
      </c>
      <c r="D49" s="12"/>
    </row>
    <row r="50" customFormat="false" ht="15" hidden="false" customHeight="false" outlineLevel="0" collapsed="false">
      <c r="A50" s="13" t="s">
        <v>43</v>
      </c>
      <c r="B50" s="14" t="n">
        <v>1</v>
      </c>
      <c r="C50" s="11" t="s">
        <v>44</v>
      </c>
      <c r="D50" s="12"/>
    </row>
    <row r="51" customFormat="false" ht="15" hidden="false" customHeight="false" outlineLevel="0" collapsed="false">
      <c r="A51" s="13" t="s">
        <v>46</v>
      </c>
      <c r="B51" s="14" t="n">
        <f aca="false">B46+B48+B49</f>
        <v>1.1950688</v>
      </c>
      <c r="C51" s="11" t="s">
        <v>90</v>
      </c>
      <c r="D51" s="12"/>
    </row>
    <row r="52" customFormat="false" ht="15" hidden="false" customHeight="false" outlineLevel="0" collapsed="false">
      <c r="A52" s="13" t="s">
        <v>49</v>
      </c>
      <c r="B52" s="14" t="n">
        <f aca="false">B41-B42-B47-B39-B48-B40-B49-B50</f>
        <v>8.00375419999999</v>
      </c>
      <c r="C52" s="11" t="s">
        <v>91</v>
      </c>
      <c r="D52" s="12"/>
    </row>
    <row r="53" customFormat="false" ht="15" hidden="false" customHeight="false" outlineLevel="0" collapsed="false">
      <c r="A53" s="13" t="s">
        <v>51</v>
      </c>
      <c r="B53" s="13" t="n">
        <f aca="false">B52/B37*100</f>
        <v>13.3395903333333</v>
      </c>
      <c r="C53" s="11" t="s">
        <v>52</v>
      </c>
      <c r="D53" s="12"/>
    </row>
    <row r="54" customFormat="false" ht="15" hidden="false" customHeight="false" outlineLevel="0" collapsed="false">
      <c r="A54" s="13" t="s">
        <v>54</v>
      </c>
      <c r="B54" s="14" t="n">
        <f aca="false">B42-B51</f>
        <v>2.9707642</v>
      </c>
      <c r="C54" s="11" t="s">
        <v>55</v>
      </c>
      <c r="D54" s="12"/>
    </row>
    <row r="56" customFormat="false" ht="15" hidden="false" customHeight="false" outlineLevel="0" collapsed="false">
      <c r="A56" s="7" t="s">
        <v>92</v>
      </c>
      <c r="B56" s="8"/>
      <c r="C56" s="7" t="s">
        <v>18</v>
      </c>
      <c r="D56" s="7" t="s">
        <v>19</v>
      </c>
    </row>
    <row r="57" customFormat="false" ht="15" hidden="false" customHeight="false" outlineLevel="0" collapsed="false">
      <c r="A57" s="9" t="s">
        <v>20</v>
      </c>
      <c r="B57" s="10" t="n">
        <v>100</v>
      </c>
      <c r="C57" s="11"/>
      <c r="D57" s="12"/>
    </row>
    <row r="58" customFormat="false" ht="15" hidden="false" customHeight="false" outlineLevel="0" collapsed="false">
      <c r="A58" s="9" t="s">
        <v>22</v>
      </c>
      <c r="B58" s="10" t="n">
        <v>150</v>
      </c>
      <c r="C58" s="11"/>
      <c r="D58" s="12"/>
    </row>
    <row r="59" customFormat="false" ht="15" hidden="false" customHeight="false" outlineLevel="0" collapsed="false">
      <c r="A59" s="9" t="s">
        <v>24</v>
      </c>
      <c r="B59" s="10" t="n">
        <v>0</v>
      </c>
      <c r="C59" s="11"/>
      <c r="D59" s="12" t="s">
        <v>58</v>
      </c>
    </row>
    <row r="60" customFormat="false" ht="15" hidden="false" customHeight="false" outlineLevel="0" collapsed="false">
      <c r="A60" s="13" t="s">
        <v>26</v>
      </c>
      <c r="B60" s="14" t="n">
        <f aca="false">B58-B57</f>
        <v>50</v>
      </c>
      <c r="C60" s="11" t="s">
        <v>26</v>
      </c>
      <c r="D60" s="12"/>
    </row>
    <row r="61" customFormat="false" ht="15" hidden="false" customHeight="false" outlineLevel="0" collapsed="false">
      <c r="A61" s="13" t="s">
        <v>28</v>
      </c>
      <c r="B61" s="14" t="n">
        <f aca="false">B60*16.67%</f>
        <v>8.335</v>
      </c>
      <c r="C61" s="11" t="s">
        <v>29</v>
      </c>
      <c r="D61" s="12"/>
    </row>
    <row r="62" customFormat="false" ht="15" hidden="false" customHeight="false" outlineLevel="0" collapsed="false">
      <c r="A62" s="13" t="s">
        <v>31</v>
      </c>
      <c r="B62" s="14" t="n">
        <f aca="false">B58*7%</f>
        <v>10.5</v>
      </c>
      <c r="C62" s="11" t="s">
        <v>32</v>
      </c>
      <c r="D62" s="12"/>
    </row>
    <row r="63" customFormat="false" ht="15" hidden="false" customHeight="false" outlineLevel="0" collapsed="false">
      <c r="A63" s="13" t="s">
        <v>93</v>
      </c>
      <c r="B63" s="14" t="n">
        <f aca="false">B62*20%</f>
        <v>2.1</v>
      </c>
      <c r="C63" s="11" t="s">
        <v>35</v>
      </c>
      <c r="D63" s="12"/>
    </row>
    <row r="64" customFormat="false" ht="15" hidden="false" customHeight="false" outlineLevel="0" collapsed="false">
      <c r="A64" s="13" t="s">
        <v>41</v>
      </c>
      <c r="B64" s="14" t="n">
        <f aca="false">B59*20%</f>
        <v>0</v>
      </c>
      <c r="C64" s="11" t="s">
        <v>42</v>
      </c>
      <c r="D64" s="12"/>
    </row>
    <row r="65" customFormat="false" ht="15" hidden="false" customHeight="false" outlineLevel="0" collapsed="false">
      <c r="A65" s="13" t="s">
        <v>43</v>
      </c>
      <c r="B65" s="14" t="n">
        <v>1</v>
      </c>
      <c r="C65" s="11" t="s">
        <v>44</v>
      </c>
      <c r="D65" s="12"/>
    </row>
    <row r="66" customFormat="false" ht="15" hidden="false" customHeight="false" outlineLevel="0" collapsed="false">
      <c r="A66" s="13" t="s">
        <v>46</v>
      </c>
      <c r="B66" s="14" t="n">
        <f aca="false">B63+B64</f>
        <v>2.1</v>
      </c>
      <c r="C66" s="11" t="s">
        <v>94</v>
      </c>
      <c r="D66" s="12"/>
    </row>
    <row r="67" customFormat="false" ht="15" hidden="false" customHeight="false" outlineLevel="0" collapsed="false">
      <c r="A67" s="13" t="s">
        <v>49</v>
      </c>
      <c r="B67" s="14" t="n">
        <f aca="false">B60-B61-B62-B63-B59-B64-B65</f>
        <v>28.065</v>
      </c>
      <c r="C67" s="11" t="s">
        <v>95</v>
      </c>
      <c r="D67" s="12"/>
    </row>
    <row r="68" customFormat="false" ht="15" hidden="false" customHeight="false" outlineLevel="0" collapsed="false">
      <c r="A68" s="13" t="s">
        <v>51</v>
      </c>
      <c r="B68" s="13" t="n">
        <f aca="false">B67/B57*100</f>
        <v>28.065</v>
      </c>
      <c r="C68" s="11" t="s">
        <v>52</v>
      </c>
      <c r="D68" s="12"/>
    </row>
    <row r="69" customFormat="false" ht="15" hidden="false" customHeight="false" outlineLevel="0" collapsed="false">
      <c r="A69" s="13" t="s">
        <v>54</v>
      </c>
      <c r="B69" s="14" t="n">
        <f aca="false">B61-B66</f>
        <v>6.235</v>
      </c>
      <c r="C69" s="11" t="s">
        <v>55</v>
      </c>
      <c r="D69" s="12"/>
    </row>
    <row r="71" customFormat="false" ht="15" hidden="false" customHeight="false" outlineLevel="0" collapsed="false">
      <c r="A71" s="7" t="s">
        <v>96</v>
      </c>
      <c r="B71" s="8"/>
      <c r="C71" s="7" t="s">
        <v>18</v>
      </c>
      <c r="D71" s="7" t="s">
        <v>19</v>
      </c>
    </row>
    <row r="72" customFormat="false" ht="15" hidden="false" customHeight="false" outlineLevel="0" collapsed="false">
      <c r="A72" s="9" t="s">
        <v>20</v>
      </c>
      <c r="B72" s="10" t="n">
        <v>100</v>
      </c>
      <c r="C72" s="11"/>
      <c r="D72" s="12"/>
    </row>
    <row r="73" customFormat="false" ht="15" hidden="false" customHeight="false" outlineLevel="0" collapsed="false">
      <c r="A73" s="9" t="s">
        <v>22</v>
      </c>
      <c r="B73" s="10" t="n">
        <v>150</v>
      </c>
      <c r="C73" s="11"/>
      <c r="D73" s="12"/>
    </row>
    <row r="74" customFormat="false" ht="15" hidden="false" customHeight="false" outlineLevel="0" collapsed="false">
      <c r="A74" s="9" t="s">
        <v>24</v>
      </c>
      <c r="B74" s="10" t="n">
        <v>0</v>
      </c>
      <c r="C74" s="11"/>
      <c r="D74" s="12" t="s">
        <v>58</v>
      </c>
    </row>
    <row r="75" customFormat="false" ht="15" hidden="false" customHeight="false" outlineLevel="0" collapsed="false">
      <c r="A75" s="13" t="s">
        <v>26</v>
      </c>
      <c r="B75" s="14" t="n">
        <f aca="false">B73-B72</f>
        <v>50</v>
      </c>
      <c r="C75" s="11" t="s">
        <v>26</v>
      </c>
      <c r="D75" s="12"/>
    </row>
    <row r="76" customFormat="false" ht="15" hidden="false" customHeight="false" outlineLevel="0" collapsed="false">
      <c r="A76" s="13" t="s">
        <v>28</v>
      </c>
      <c r="B76" s="14" t="n">
        <f aca="false">B75*16.67%</f>
        <v>8.335</v>
      </c>
      <c r="C76" s="11" t="s">
        <v>29</v>
      </c>
      <c r="D76" s="12"/>
    </row>
    <row r="77" customFormat="false" ht="15" hidden="false" customHeight="false" outlineLevel="0" collapsed="false">
      <c r="A77" s="13" t="s">
        <v>31</v>
      </c>
      <c r="B77" s="14" t="n">
        <f aca="false">B73*3.96%</f>
        <v>5.94</v>
      </c>
      <c r="C77" s="11" t="s">
        <v>97</v>
      </c>
      <c r="D77" s="12" t="s">
        <v>98</v>
      </c>
    </row>
    <row r="78" customFormat="false" ht="23.85" hidden="false" customHeight="false" outlineLevel="0" collapsed="false">
      <c r="A78" s="13" t="s">
        <v>99</v>
      </c>
      <c r="B78" s="14" t="n">
        <f aca="false">B77*20%</f>
        <v>1.188</v>
      </c>
      <c r="C78" s="11" t="s">
        <v>35</v>
      </c>
      <c r="D78" s="12" t="s">
        <v>100</v>
      </c>
    </row>
    <row r="79" customFormat="false" ht="15" hidden="false" customHeight="false" outlineLevel="0" collapsed="false">
      <c r="A79" s="13" t="s">
        <v>41</v>
      </c>
      <c r="B79" s="14" t="n">
        <f aca="false">B74*20%</f>
        <v>0</v>
      </c>
      <c r="C79" s="11" t="s">
        <v>42</v>
      </c>
      <c r="D79" s="12"/>
    </row>
    <row r="80" customFormat="false" ht="15" hidden="false" customHeight="false" outlineLevel="0" collapsed="false">
      <c r="A80" s="13" t="s">
        <v>43</v>
      </c>
      <c r="B80" s="14" t="n">
        <v>1</v>
      </c>
      <c r="C80" s="11" t="s">
        <v>44</v>
      </c>
      <c r="D80" s="12"/>
    </row>
    <row r="81" customFormat="false" ht="15" hidden="false" customHeight="false" outlineLevel="0" collapsed="false">
      <c r="A81" s="13" t="s">
        <v>46</v>
      </c>
      <c r="B81" s="14" t="n">
        <f aca="false">B79</f>
        <v>0</v>
      </c>
      <c r="C81" s="11" t="s">
        <v>101</v>
      </c>
      <c r="D81" s="12" t="s">
        <v>102</v>
      </c>
    </row>
    <row r="82" customFormat="false" ht="15" hidden="false" customHeight="false" outlineLevel="0" collapsed="false">
      <c r="A82" s="13" t="s">
        <v>49</v>
      </c>
      <c r="B82" s="14" t="n">
        <f aca="false">B75-B76-B77-B74-B79-B80</f>
        <v>34.725</v>
      </c>
      <c r="C82" s="11" t="s">
        <v>103</v>
      </c>
      <c r="D82" s="12" t="s">
        <v>104</v>
      </c>
    </row>
    <row r="83" customFormat="false" ht="15" hidden="false" customHeight="false" outlineLevel="0" collapsed="false">
      <c r="A83" s="13" t="s">
        <v>51</v>
      </c>
      <c r="B83" s="13" t="n">
        <f aca="false">B82/B72*100</f>
        <v>34.725</v>
      </c>
      <c r="C83" s="11" t="s">
        <v>52</v>
      </c>
      <c r="D83" s="12"/>
    </row>
    <row r="84" customFormat="false" ht="15" hidden="false" customHeight="false" outlineLevel="0" collapsed="false">
      <c r="A84" s="13" t="s">
        <v>54</v>
      </c>
      <c r="B84" s="14" t="n">
        <f aca="false">B76-B81</f>
        <v>8.335</v>
      </c>
      <c r="C84" s="11" t="s">
        <v>55</v>
      </c>
      <c r="D8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105</v>
      </c>
      <c r="B1" s="5"/>
      <c r="C1" s="5"/>
      <c r="D1" s="5"/>
      <c r="E1" s="5"/>
    </row>
    <row r="2" customFormat="false" ht="23.85" hidden="false" customHeight="true" outlineLevel="0" collapsed="false">
      <c r="A2" s="15" t="s">
        <v>106</v>
      </c>
      <c r="B2" s="15"/>
      <c r="C2" s="15"/>
      <c r="D2" s="15"/>
      <c r="E2" s="15"/>
    </row>
    <row r="4" customFormat="false" ht="15" hidden="false" customHeight="false" outlineLevel="0" collapsed="false">
      <c r="A4" s="16" t="s">
        <v>107</v>
      </c>
      <c r="B4" s="16" t="s">
        <v>108</v>
      </c>
      <c r="C4" s="16" t="s">
        <v>109</v>
      </c>
      <c r="D4" s="16" t="s">
        <v>110</v>
      </c>
      <c r="E4" s="16" t="s">
        <v>111</v>
      </c>
    </row>
    <row r="5" customFormat="false" ht="15" hidden="false" customHeight="false" outlineLevel="0" collapsed="false">
      <c r="A5" s="17" t="s">
        <v>112</v>
      </c>
    </row>
    <row r="6" customFormat="false" ht="15" hidden="false" customHeight="false" outlineLevel="0" collapsed="false">
      <c r="A6" s="18" t="s">
        <v>22</v>
      </c>
      <c r="B6" s="19" t="n">
        <v>150</v>
      </c>
    </row>
    <row r="8" customFormat="false" ht="23.85" hidden="false" customHeight="false" outlineLevel="0" collapsed="false">
      <c r="A8" s="9" t="s">
        <v>113</v>
      </c>
      <c r="B8" s="12" t="s">
        <v>114</v>
      </c>
      <c r="C8" s="14" t="n">
        <f aca="false">MIN(20%*(B6*7%),5)*1.2</f>
        <v>2.52</v>
      </c>
      <c r="D8" s="20" t="n">
        <f aca="false">C8/B6*100</f>
        <v>1.68</v>
      </c>
      <c r="E8" s="12" t="s">
        <v>115</v>
      </c>
    </row>
    <row r="9" customFormat="false" ht="23.85" hidden="false" customHeight="false" outlineLevel="0" collapsed="false">
      <c r="A9" s="9" t="s">
        <v>116</v>
      </c>
      <c r="B9" s="12" t="s">
        <v>117</v>
      </c>
      <c r="C9" s="14" t="n">
        <f aca="false">0.4*1.2</f>
        <v>0.48</v>
      </c>
      <c r="D9" s="20" t="n">
        <f aca="false">C9/B6*100</f>
        <v>0.32</v>
      </c>
      <c r="E9" s="12" t="s">
        <v>118</v>
      </c>
    </row>
    <row r="10" customFormat="false" ht="23.85" hidden="false" customHeight="false" outlineLevel="0" collapsed="false">
      <c r="A10" s="9" t="s">
        <v>119</v>
      </c>
      <c r="B10" s="12" t="s">
        <v>120</v>
      </c>
      <c r="C10" s="14" t="n">
        <f aca="false">B6*11%+8.99+B6*1%</f>
        <v>26.99</v>
      </c>
      <c r="D10" s="20" t="n">
        <f aca="false">C10/B6*100</f>
        <v>17.9933333333333</v>
      </c>
      <c r="E10" s="12" t="s">
        <v>121</v>
      </c>
    </row>
    <row r="11" customFormat="false" ht="15" hidden="false" customHeight="false" outlineLevel="0" collapsed="false">
      <c r="A11" s="9" t="s">
        <v>92</v>
      </c>
      <c r="B11" s="12" t="s">
        <v>122</v>
      </c>
      <c r="C11" s="14" t="n">
        <f aca="false">B6*7%*1.2</f>
        <v>12.6</v>
      </c>
      <c r="D11" s="20" t="n">
        <f aca="false">C11/B6*100</f>
        <v>8.4</v>
      </c>
      <c r="E11" s="12" t="s">
        <v>123</v>
      </c>
    </row>
    <row r="12" customFormat="false" ht="15" hidden="false" customHeight="false" outlineLevel="0" collapsed="false">
      <c r="A12" s="9" t="s">
        <v>96</v>
      </c>
      <c r="B12" s="12" t="s">
        <v>122</v>
      </c>
      <c r="C12" s="14" t="n">
        <f aca="false">B6*3.96%*1.2</f>
        <v>7.128</v>
      </c>
      <c r="D12" s="20" t="n">
        <f aca="false">C12/B6*100</f>
        <v>4.752</v>
      </c>
      <c r="E12" s="12" t="s">
        <v>124</v>
      </c>
    </row>
    <row r="14" customFormat="false" ht="15" hidden="false" customHeight="false" outlineLevel="0" collapsed="false">
      <c r="A14" s="7" t="s">
        <v>125</v>
      </c>
      <c r="B14" s="8"/>
      <c r="C14" s="8"/>
      <c r="D14" s="8"/>
      <c r="E14" s="8"/>
    </row>
    <row r="15" customFormat="false" ht="15" hidden="false" customHeight="false" outlineLevel="0" collapsed="false">
      <c r="A15" s="18" t="s">
        <v>126</v>
      </c>
      <c r="B15" s="19" t="n">
        <v>308</v>
      </c>
    </row>
    <row r="16" customFormat="false" ht="23.85" hidden="false" customHeight="false" outlineLevel="0" collapsed="false">
      <c r="A16" s="21" t="s">
        <v>113</v>
      </c>
      <c r="B16" s="22" t="s">
        <v>127</v>
      </c>
      <c r="C16" s="23" t="n">
        <f aca="false">MIN(20%*21.56,5)*1.2</f>
        <v>5.1744</v>
      </c>
      <c r="D16" s="24" t="n">
        <f aca="false">C16/B15*100</f>
        <v>1.68</v>
      </c>
      <c r="E16" s="22" t="s">
        <v>128</v>
      </c>
    </row>
    <row r="17" customFormat="false" ht="15" hidden="false" customHeight="false" outlineLevel="0" collapsed="false">
      <c r="A17" s="18" t="s">
        <v>129</v>
      </c>
      <c r="B17" s="19" t="n">
        <v>84.99</v>
      </c>
    </row>
    <row r="18" customFormat="false" ht="15" hidden="false" customHeight="false" outlineLevel="0" collapsed="false">
      <c r="A18" s="21" t="s">
        <v>116</v>
      </c>
      <c r="B18" s="22" t="s">
        <v>130</v>
      </c>
      <c r="C18" s="23" t="n">
        <f aca="false">7.18-6.7</f>
        <v>0.48</v>
      </c>
      <c r="D18" s="24" t="n">
        <f aca="false">C18/B17*100</f>
        <v>0.564772326156018</v>
      </c>
      <c r="E18" s="22" t="s">
        <v>131</v>
      </c>
    </row>
    <row r="20" customFormat="false" ht="23.85" hidden="false" customHeight="true" outlineLevel="0" collapsed="false">
      <c r="A20" s="15" t="s">
        <v>132</v>
      </c>
      <c r="B20" s="15"/>
      <c r="C20" s="15"/>
      <c r="D20" s="15"/>
      <c r="E20" s="15"/>
    </row>
  </sheetData>
  <mergeCells count="2"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4" t="s">
        <v>133</v>
      </c>
      <c r="B1" s="5"/>
      <c r="C1" s="5"/>
      <c r="D1" s="5"/>
    </row>
    <row r="2" customFormat="false" ht="15" hidden="false" customHeight="true" outlineLevel="0" collapsed="false">
      <c r="A2" s="15" t="s">
        <v>134</v>
      </c>
      <c r="B2" s="15"/>
      <c r="C2" s="15"/>
      <c r="D2" s="15"/>
    </row>
    <row r="4" customFormat="false" ht="15" hidden="false" customHeight="false" outlineLevel="0" collapsed="false">
      <c r="A4" s="16" t="s">
        <v>135</v>
      </c>
      <c r="B4" s="16" t="s">
        <v>136</v>
      </c>
      <c r="C4" s="16" t="s">
        <v>137</v>
      </c>
      <c r="D4" s="16" t="s">
        <v>138</v>
      </c>
    </row>
    <row r="5" customFormat="false" ht="15" hidden="false" customHeight="false" outlineLevel="0" collapsed="false">
      <c r="A5" s="13" t="s">
        <v>139</v>
      </c>
      <c r="B5" s="13" t="s">
        <v>140</v>
      </c>
      <c r="C5" s="13" t="n">
        <v>2</v>
      </c>
      <c r="D5" s="9" t="n">
        <v>2</v>
      </c>
    </row>
    <row r="6" customFormat="false" ht="15" hidden="false" customHeight="false" outlineLevel="0" collapsed="false">
      <c r="A6" s="13" t="s">
        <v>141</v>
      </c>
      <c r="B6" s="13" t="s">
        <v>140</v>
      </c>
      <c r="C6" s="13" t="n">
        <v>2</v>
      </c>
      <c r="D6" s="9" t="n">
        <v>2</v>
      </c>
    </row>
    <row r="7" customFormat="false" ht="15" hidden="false" customHeight="false" outlineLevel="0" collapsed="false">
      <c r="A7" s="13" t="s">
        <v>142</v>
      </c>
      <c r="B7" s="13" t="s">
        <v>143</v>
      </c>
      <c r="C7" s="13" t="n">
        <v>3</v>
      </c>
      <c r="D7" s="9" t="n">
        <v>2</v>
      </c>
    </row>
    <row r="8" customFormat="false" ht="15" hidden="false" customHeight="false" outlineLevel="0" collapsed="false">
      <c r="A8" s="13" t="s">
        <v>144</v>
      </c>
      <c r="B8" s="13" t="s">
        <v>143</v>
      </c>
      <c r="C8" s="13" t="n">
        <v>3</v>
      </c>
      <c r="D8" s="9" t="n">
        <v>2</v>
      </c>
    </row>
    <row r="9" customFormat="false" ht="15" hidden="false" customHeight="false" outlineLevel="0" collapsed="false">
      <c r="A9" s="13" t="s">
        <v>145</v>
      </c>
      <c r="B9" s="13" t="s">
        <v>140</v>
      </c>
      <c r="C9" s="13" t="n">
        <v>3</v>
      </c>
      <c r="D9" s="9" t="n">
        <v>3</v>
      </c>
    </row>
    <row r="10" customFormat="false" ht="60" hidden="false" customHeight="true" outlineLevel="0" collapsed="false">
      <c r="A10" s="15" t="s">
        <v>146</v>
      </c>
      <c r="B10" s="15"/>
      <c r="C10" s="15"/>
      <c r="D10" s="15"/>
    </row>
    <row r="12" customFormat="false" ht="15" hidden="false" customHeight="false" outlineLevel="0" collapsed="false">
      <c r="A12" s="7" t="s">
        <v>147</v>
      </c>
      <c r="B12" s="8"/>
      <c r="C12" s="8"/>
      <c r="D12" s="8"/>
    </row>
    <row r="13" customFormat="false" ht="15" hidden="false" customHeight="false" outlineLevel="0" collapsed="false">
      <c r="A13" s="9" t="s">
        <v>148</v>
      </c>
      <c r="B13" s="10" t="n">
        <v>7.56</v>
      </c>
      <c r="C13" s="11"/>
      <c r="D13" s="12" t="s">
        <v>149</v>
      </c>
    </row>
    <row r="14" customFormat="false" ht="15" hidden="false" customHeight="false" outlineLevel="0" collapsed="false">
      <c r="A14" s="9" t="s">
        <v>150</v>
      </c>
      <c r="B14" s="25" t="n">
        <v>2</v>
      </c>
      <c r="C14" s="11"/>
      <c r="D14" s="12" t="s">
        <v>151</v>
      </c>
    </row>
    <row r="15" customFormat="false" ht="23.85" hidden="false" customHeight="false" outlineLevel="0" collapsed="false">
      <c r="A15" s="9" t="s">
        <v>152</v>
      </c>
      <c r="B15" s="10" t="n">
        <v>0</v>
      </c>
      <c r="C15" s="11"/>
      <c r="D15" s="12" t="s">
        <v>153</v>
      </c>
    </row>
    <row r="16" customFormat="false" ht="15" hidden="false" customHeight="false" outlineLevel="0" collapsed="false">
      <c r="A16" s="9" t="s">
        <v>154</v>
      </c>
      <c r="B16" s="10" t="n">
        <v>5.17</v>
      </c>
      <c r="C16" s="11"/>
      <c r="D16" s="12" t="s">
        <v>155</v>
      </c>
    </row>
    <row r="17" customFormat="false" ht="15" hidden="false" customHeight="false" outlineLevel="0" collapsed="false">
      <c r="A17" s="9" t="s">
        <v>156</v>
      </c>
      <c r="B17" s="10" t="n">
        <v>0</v>
      </c>
      <c r="C17" s="11"/>
      <c r="D17" s="12" t="s">
        <v>157</v>
      </c>
    </row>
    <row r="18" customFormat="false" ht="15" hidden="false" customHeight="false" outlineLevel="0" collapsed="false">
      <c r="A18" s="13" t="s">
        <v>158</v>
      </c>
      <c r="B18" s="14" t="n">
        <f aca="false">B13*B14+B15+B16-B17</f>
        <v>20.29</v>
      </c>
      <c r="C18" s="11" t="s">
        <v>159</v>
      </c>
      <c r="D18" s="12" t="s">
        <v>160</v>
      </c>
    </row>
  </sheetData>
  <mergeCells count="2"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66"/>
  </cols>
  <sheetData>
    <row r="1" customFormat="false" ht="15" hidden="false" customHeight="false" outlineLevel="0" collapsed="false">
      <c r="A1" s="4" t="s">
        <v>161</v>
      </c>
      <c r="B1" s="5"/>
      <c r="C1" s="5"/>
      <c r="D1" s="5"/>
    </row>
    <row r="2" customFormat="false" ht="23.85" hidden="false" customHeight="true" outlineLevel="0" collapsed="false">
      <c r="A2" s="15" t="s">
        <v>162</v>
      </c>
      <c r="B2" s="15"/>
      <c r="C2" s="15"/>
      <c r="D2" s="15"/>
    </row>
    <row r="4" customFormat="false" ht="15" hidden="false" customHeight="false" outlineLevel="0" collapsed="false">
      <c r="A4" s="9" t="s">
        <v>20</v>
      </c>
      <c r="B4" s="10" t="n">
        <v>250</v>
      </c>
      <c r="C4" s="11"/>
      <c r="D4" s="12"/>
    </row>
    <row r="5" customFormat="false" ht="15" hidden="false" customHeight="false" outlineLevel="0" collapsed="false">
      <c r="A5" s="9" t="s">
        <v>22</v>
      </c>
      <c r="B5" s="10" t="n">
        <v>308</v>
      </c>
      <c r="C5" s="11"/>
      <c r="D5" s="12"/>
    </row>
    <row r="6" customFormat="false" ht="15" hidden="false" customHeight="false" outlineLevel="0" collapsed="false">
      <c r="A6" s="9" t="s">
        <v>163</v>
      </c>
      <c r="B6" s="10" t="n">
        <v>4.41</v>
      </c>
      <c r="C6" s="11"/>
      <c r="D6" s="12" t="s">
        <v>164</v>
      </c>
    </row>
    <row r="7" customFormat="false" ht="15" hidden="false" customHeight="false" outlineLevel="0" collapsed="false">
      <c r="A7" s="13" t="s">
        <v>165</v>
      </c>
      <c r="B7" s="14" t="n">
        <f aca="false">(B5-B4)*16.67%</f>
        <v>9.6686</v>
      </c>
      <c r="C7" s="11" t="s">
        <v>29</v>
      </c>
      <c r="D7" s="12" t="s">
        <v>166</v>
      </c>
    </row>
    <row r="8" customFormat="false" ht="15" hidden="false" customHeight="false" outlineLevel="0" collapsed="false">
      <c r="A8" s="13" t="s">
        <v>167</v>
      </c>
      <c r="B8" s="14" t="n">
        <f aca="false">B7-B6</f>
        <v>5.2586</v>
      </c>
      <c r="C8" s="11" t="s">
        <v>168</v>
      </c>
      <c r="D8" s="12" t="s">
        <v>169</v>
      </c>
    </row>
    <row r="10" customFormat="false" ht="15" hidden="false" customHeight="false" outlineLevel="0" collapsed="false">
      <c r="A10" s="7" t="s">
        <v>170</v>
      </c>
      <c r="B10" s="8"/>
      <c r="C10" s="8"/>
      <c r="D10" s="8"/>
    </row>
    <row r="11" customFormat="false" ht="15" hidden="false" customHeight="true" outlineLevel="0" collapsed="false">
      <c r="A11" s="9" t="s">
        <v>113</v>
      </c>
      <c r="B11" s="12" t="s">
        <v>171</v>
      </c>
      <c r="C11" s="12"/>
      <c r="D11" s="12"/>
    </row>
    <row r="12" customFormat="false" ht="15" hidden="false" customHeight="true" outlineLevel="0" collapsed="false">
      <c r="A12" s="9" t="s">
        <v>119</v>
      </c>
      <c r="B12" s="12" t="s">
        <v>172</v>
      </c>
      <c r="C12" s="12"/>
      <c r="D12" s="12"/>
    </row>
    <row r="13" customFormat="false" ht="15" hidden="false" customHeight="true" outlineLevel="0" collapsed="false">
      <c r="A13" s="9" t="s">
        <v>116</v>
      </c>
      <c r="B13" s="12" t="s">
        <v>173</v>
      </c>
      <c r="C13" s="12"/>
      <c r="D13" s="12"/>
    </row>
    <row r="14" customFormat="false" ht="15" hidden="false" customHeight="true" outlineLevel="0" collapsed="false">
      <c r="A14" s="9" t="s">
        <v>92</v>
      </c>
      <c r="B14" s="12" t="s">
        <v>174</v>
      </c>
      <c r="C14" s="12"/>
      <c r="D14" s="12"/>
    </row>
    <row r="15" customFormat="false" ht="15" hidden="false" customHeight="true" outlineLevel="0" collapsed="false">
      <c r="A15" s="9" t="s">
        <v>96</v>
      </c>
      <c r="B15" s="12" t="s">
        <v>175</v>
      </c>
      <c r="C15" s="12"/>
      <c r="D15" s="12"/>
    </row>
    <row r="17" customFormat="false" ht="42" hidden="false" customHeight="true" outlineLevel="0" collapsed="false">
      <c r="A17" s="15" t="s">
        <v>176</v>
      </c>
      <c r="B17" s="15"/>
      <c r="C17" s="15"/>
      <c r="D17" s="15"/>
    </row>
    <row r="18" customFormat="false" ht="42" hidden="false" customHeight="true" outlineLevel="0" collapsed="false">
      <c r="A18" s="15" t="s">
        <v>177</v>
      </c>
      <c r="B18" s="15"/>
      <c r="C18" s="15"/>
      <c r="D18" s="15"/>
    </row>
  </sheetData>
  <mergeCells count="8">
    <mergeCell ref="A2:D2"/>
    <mergeCell ref="B11:D11"/>
    <mergeCell ref="B12:D12"/>
    <mergeCell ref="B13:D13"/>
    <mergeCell ref="B14:D14"/>
    <mergeCell ref="B15:D15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2026-08-28T21:51:06Z</dcterms:created>
  <dc:creator>openpyxl</dc:creator>
  <dc:description/>
  <dc:language>en-US</dc:language>
  <cp:lastModifiedBy/>
  <dcterms:modified xsi:type="dcterms:W3CDTF">2026-08-28T21:51:06Z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