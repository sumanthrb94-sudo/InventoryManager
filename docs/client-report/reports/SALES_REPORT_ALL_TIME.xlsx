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<sst xmlns="http://schemas.openxmlformats.org/spreadsheetml/2006/main" count="501" uniqueCount="174">
  <si>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</si>
  <si>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</si>
  <si>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</si>
  <si>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</si>
  <si>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</si>
  <si>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</si>
  <si>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</si>
  <si>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</si>
  <si>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</si>
  <si>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</si>
  <si>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</si>
  <si>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</si>
  <si>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</si>
  <si>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</si>
  <si>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</si>
  <si>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</si>
  <si>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</si>
  <si>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</si>
  <si>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</si>
  <si>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</si>
  <si>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</si>
  <si>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</si>
  <si>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</si>
  <si>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</si>
  <si>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</si>
  <si>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</si>
  <si>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</si>
  <si>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</si>
  <si>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</si>
  <si>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</si>
  <si>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</si>
  <si>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</si>
  <si>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</si>
  <si>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</si>
  <si>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</si>
  <si>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</si>
  <si>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</si>
  <si>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</si>
  <si>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</si>
  <si>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</si>
  <si>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</si>
  <si>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</si>
  <si>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</si>
  <si>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</si>
  <si>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</si>
  <si>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</si>
  <si>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</si>
  <si>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</si>
  <si>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</si>
  <si>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</si>
  <si>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</si>
  <si>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</si>
  <si>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</si>
  <si>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</si>
  <si>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</si>
  <si>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</si>
  <si>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AMZ-1009</t>
  </si>
  <si>
    <t>IP14-256-PUR</t>
  </si>
  <si>
    <t>350000000000404</t>
  </si>
  <si>
    <t>iPhone 14</t>
  </si>
  <si>
    <t>BLACK</t>
  </si>
  <si>
    <t>256GB</t>
  </si>
  <si>
    <t>MOBILE WHOLESALE LTD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</si>
  <si>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</si>
  <si>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</si>
  <si>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</si>
  <si>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</si>
  <si>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</si>
  <si>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</si>
  <si>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</si>
  <si>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Replacement</t>
  </si>
  <si>
    <t>Replacement — Face ID intermittent</t>
  </si>
  <si>
    <t>[REPLACED BY IMEI 350000000000404]</t>
  </si>
  <si>
    <t>AMZ-1005</t>
  </si>
  <si>
    <t>IP12-64-BLK</t>
  </si>
  <si>
    <t>350000000000401</t>
  </si>
  <si>
    <t>iPhone 12</t>
  </si>
  <si>
    <t>64GB</t>
  </si>
  <si>
    <t>Refund — Battery health below 85%</t>
  </si>
  <si>
    <t>AMZ-1005-LEGACY</t>
  </si>
  <si>
    <t>AMZ-1001</t>
  </si>
  <si>
    <t>350000000000301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</si>
  <si>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</si>
  <si>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</si>
  <si>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</si>
  <si>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</si>
  <si>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</si>
  <si>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</si>
  <si>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</si>
  <si>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</si>
  <si>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</si>
  <si>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</si>
  <si>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</si>
  <si>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</si>
  <si>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</si>
  <si>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IP12-128-BLK</t>
  </si>
  <si>
    <t>350000000000302</t>
  </si>
  <si>
    <t>128GB</t>
  </si>
  <si>
    <t>EB-2007</t>
  </si>
  <si>
    <t>S22-128-GRN</t>
  </si>
  <si>
    <t>350000000000402</t>
  </si>
  <si>
    <t>In Repair</t>
  </si>
  <si>
    <t>In Repair — Cracked rear glass in transit</t>
  </si>
  <si>
    <t>VAT 20%</t>
  </si>
  <si>
    <t>OB-3001</t>
  </si>
  <si>
    <t>IP13-128-MID</t>
  </si>
  <si>
    <t>350000000000303</t>
  </si>
  <si>
    <t>iPhone 13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</si>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</sst>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356.98+SUM('AMAZON'!$V$9:$V$208)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99.57+SUM('EBAY'!$Y$5:$Y$204)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129.95+SUM('ONBUY'!$S$3:$S$202)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 t="s">
        <v>60</v>
      </c>
      <c r="G2" t="s">
        <v>61</v>
      </c>
      <c r="H2" t="s">
        <v>62</v>
      </c>
      <c r="I2">
        <v>1</v>
      </c>
      <c r="J2" s="4">
        <v>200</v>
      </c>
      <c r="K2" s="4">
        <v>610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64</v>
      </c>
      <c r="F3" s="11" t="s">
        <v>1</v>
      </c>
      <c r="G3" s="11" t="s">
        <v>1</v>
      </c>
      <c r="H3" s="11" t="s">
        <v>62</v>
      </c>
      <c r="I3" s="11">
        <v>1</v>
      </c>
      <c r="J3" s="13">
        <v>3.2</v>
      </c>
      <c r="K3" s="13">
        <v>9.99</v>
      </c>
      <c r="L3" s="13">
        <f>K3-J3</f>
      </c>
      <c r="M3" s="13">
        <f>L3*16.67%</f>
      </c>
      <c r="N3" s="13">
        <f>K3/100*7</f>
      </c>
      <c r="O3" s="13">
        <f>N3*20%</f>
      </c>
      <c r="P3" s="13">
        <f>N3*2%</f>
      </c>
      <c r="Q3" s="13">
        <f>P3*20%</f>
      </c>
      <c r="R3" s="13">
        <v>2.5</v>
      </c>
      <c r="S3" s="13">
        <f>R3*20%</f>
      </c>
      <c r="T3" s="13">
        <v>0</v>
      </c>
      <c r="U3" s="13">
        <f>O3+Q3+S3</f>
      </c>
      <c r="V3" s="13">
        <f>L3-M3-N3-O3-P3-Q3-R3-S3-T3</f>
      </c>
      <c r="W3" s="13">
        <f>(V3-Y3)/J3*100</f>
      </c>
      <c r="X3" s="13">
        <f>M3-U3</f>
      </c>
      <c r="Y3" s="13">
        <v>6</v>
      </c>
      <c r="Z3" s="13">
        <f>V3-Y3</f>
      </c>
      <c r="AA3" s="10">
        <v>46227.5</v>
      </c>
      <c r="AB3" s="11" t="s">
        <v>65</v>
      </c>
      <c r="AC3" s="11">
        <v>2</v>
      </c>
      <c r="AD3" s="11" t="s">
        <v>66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64</v>
      </c>
      <c r="F4" t="s">
        <v>1</v>
      </c>
      <c r="G4" t="s">
        <v>1</v>
      </c>
      <c r="H4" t="s">
        <v>62</v>
      </c>
      <c r="I4">
        <v>4</v>
      </c>
      <c r="J4" s="4">
        <v>12.8</v>
      </c>
      <c r="K4" s="4">
        <v>39.96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2.5</v>
      </c>
      <c r="S4" s="4">
        <f>R4*20%</f>
      </c>
      <c r="T4" s="4">
        <v>0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 t="s">
        <v>60</v>
      </c>
      <c r="G5" s="11" t="s">
        <v>61</v>
      </c>
      <c r="H5" s="11" t="s">
        <v>62</v>
      </c>
      <c r="I5" s="11">
        <v>1</v>
      </c>
      <c r="J5" s="13">
        <v>200</v>
      </c>
      <c r="K5" s="13">
        <v>605</v>
      </c>
      <c r="L5" s="13">
        <f>K5-J5</f>
      </c>
      <c r="M5" s="13">
        <f>L5*16.67%</f>
      </c>
      <c r="N5" s="13">
        <f>K5/100*7</f>
      </c>
      <c r="O5" s="13">
        <f>N5*20%</f>
      </c>
      <c r="P5" s="13">
        <f>N5*2%</f>
      </c>
      <c r="Q5" s="13">
        <f>P5*20%</f>
      </c>
      <c r="R5" s="13">
        <v>8</v>
      </c>
      <c r="S5" s="13">
        <f>R5*20%</f>
      </c>
      <c r="T5" s="13">
        <v>1</v>
      </c>
      <c r="U5" s="13">
        <f>O5+Q5+S5</f>
      </c>
      <c r="V5" s="13">
        <f>L5-M5-N5-O5-P5-Q5-R5-S5-T5</f>
      </c>
      <c r="W5" s="13">
        <f>(V5-Y5)/J5*100</f>
      </c>
      <c r="X5" s="13">
        <f>M5-U5</f>
      </c>
      <c r="Y5" s="13">
        <v>28.799999999999997</v>
      </c>
      <c r="Z5" s="13">
        <f>V5-Y5</f>
      </c>
      <c r="AA5" s="10">
        <v>46226.5</v>
      </c>
      <c r="AB5" s="11" t="s">
        <v>70</v>
      </c>
      <c r="AC5" s="11">
        <v>3</v>
      </c>
      <c r="AD5" s="11" t="s">
        <v>71</v>
      </c>
      <c r="AE5" s="11" t="s">
        <v>72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76</v>
      </c>
      <c r="F6" s="11" t="s">
        <v>60</v>
      </c>
      <c r="G6" s="11" t="s">
        <v>77</v>
      </c>
      <c r="H6" s="11" t="s">
        <v>62</v>
      </c>
      <c r="I6" s="11">
        <v>1</v>
      </c>
      <c r="J6" s="13">
        <v>200</v>
      </c>
      <c r="K6" s="13">
        <v>325</v>
      </c>
      <c r="L6" s="13">
        <f>K6-J6</f>
      </c>
      <c r="M6" s="13">
        <f>L6*16.67%</f>
      </c>
      <c r="N6" s="13">
        <f>K6/100*7</f>
      </c>
      <c r="O6" s="13">
        <f>N6*20%</f>
      </c>
      <c r="P6" s="13">
        <f>N6*2%</f>
      </c>
      <c r="Q6" s="13">
        <f>P6*20%</f>
      </c>
      <c r="R6" s="13">
        <v>8</v>
      </c>
      <c r="S6" s="13">
        <f>R6*20%</f>
      </c>
      <c r="T6" s="13">
        <v>1</v>
      </c>
      <c r="U6" s="13">
        <f>O6+Q6+S6</f>
      </c>
      <c r="V6" s="13">
        <f>L6-M6-N6-O6-P6-Q6-R6-S6-T6</f>
      </c>
      <c r="W6" s="13">
        <f>(V6-Y6)/J6*100</f>
      </c>
      <c r="X6" s="13">
        <f>M6-U6</f>
      </c>
      <c r="Y6" s="13">
        <v>19.2</v>
      </c>
      <c r="Z6" s="13">
        <f>V6-Y6</f>
      </c>
      <c r="AA6" s="10">
        <v>46224.5</v>
      </c>
      <c r="AB6" s="11" t="s">
        <v>65</v>
      </c>
      <c r="AC6" s="11">
        <v>2</v>
      </c>
      <c r="AD6" s="11" t="s">
        <v>78</v>
      </c>
      <c r="AE6" s="11" t="s">
        <v>1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76</v>
      </c>
      <c r="F7" s="11" t="s">
        <v>60</v>
      </c>
      <c r="G7" s="11" t="s">
        <v>77</v>
      </c>
      <c r="H7" s="11" t="s">
        <v>62</v>
      </c>
      <c r="I7" s="11">
        <v>1</v>
      </c>
      <c r="J7" s="13">
        <v>200</v>
      </c>
      <c r="K7" s="13">
        <v>325</v>
      </c>
      <c r="L7" s="13">
        <f>K7-J7</f>
      </c>
      <c r="M7" s="13">
        <f>L7*16.67%</f>
      </c>
      <c r="N7" s="13">
        <f>K7/100*7</f>
      </c>
      <c r="O7" s="13">
        <f>N7*20%</f>
      </c>
      <c r="P7" s="13">
        <f>N7*2%</f>
      </c>
      <c r="Q7" s="13">
        <f>P7*20%</f>
      </c>
      <c r="R7" s="13">
        <v>8</v>
      </c>
      <c r="S7" s="13">
        <f>R7*20%</f>
      </c>
      <c r="T7" s="13">
        <v>1</v>
      </c>
      <c r="U7" s="13">
        <f>O7+Q7+S7</f>
      </c>
      <c r="V7" s="13">
        <f>L7-M7-N7-O7-P7-Q7-R7-S7-T7</f>
      </c>
      <c r="W7" s="13">
        <f>(V7-Y7)/J7*100</f>
      </c>
      <c r="X7" s="13">
        <f>M7-U7</f>
      </c>
      <c r="Y7" s="13">
        <v>19.2</v>
      </c>
      <c r="Z7" s="13">
        <f>V7-Y7</f>
      </c>
      <c r="AA7" s="10">
        <v>46224.5</v>
      </c>
      <c r="AB7" s="11" t="s">
        <v>65</v>
      </c>
      <c r="AC7" s="11">
        <v>2</v>
      </c>
      <c r="AD7" s="11" t="s">
        <v>78</v>
      </c>
      <c r="AE7" s="11" t="s">
        <v>1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76</v>
      </c>
      <c r="F8" t="s">
        <v>60</v>
      </c>
      <c r="G8" t="s">
        <v>77</v>
      </c>
      <c r="H8" t="s">
        <v>62</v>
      </c>
      <c r="I8">
        <v>1</v>
      </c>
      <c r="J8" s="4">
        <v>200</v>
      </c>
      <c r="K8" s="4">
        <v>320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8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82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83</v>
      </c>
      <c r="Q1" t="s">
        <v>84</v>
      </c>
      <c r="R1" t="s">
        <v>43</v>
      </c>
      <c r="S1" t="s">
        <v>44</v>
      </c>
      <c r="T1" t="s">
        <v>45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8"/>
      <c r="D2" s="9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IF($L2="","",(U2-X2)/K2*100)</f>
      </c>
      <c r="W2" s="4">
        <f>IF($L2="","",N2-S2)</f>
      </c>
      <c r="Y2" s="4">
        <f>IF($L2="","",U2-X2)</f>
      </c>
    </row>
    <row r="3" spans="1:30" x14ac:dyDescent="0.25">
      <c r="A3" s="8"/>
      <c r="D3" s="9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IF($L3="","",(U3-X3)/K3*100)</f>
      </c>
      <c r="W3" s="4">
        <f>IF($L3="","",N3-S3)</f>
      </c>
      <c r="Y3" s="4">
        <f>IF($L3="","",U3-X3)</f>
      </c>
    </row>
    <row r="4" spans="1:30" x14ac:dyDescent="0.25">
      <c r="A4" s="8"/>
      <c r="D4" s="9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IF($L4="","",(U4-X4)/K4*100)</f>
      </c>
      <c r="W4" s="4">
        <f>IF($L4="","",N4-S4)</f>
      </c>
      <c r="Y4" s="4">
        <f>IF($L4="","",U4-X4)</f>
      </c>
    </row>
    <row r="5" spans="1:30" x14ac:dyDescent="0.25">
      <c r="A5" s="8"/>
      <c r="D5" s="9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IF($L5="","",(U5-X5)/K5*100)</f>
      </c>
      <c r="W5" s="4">
        <f>IF($L5="","",N5-S5)</f>
      </c>
      <c r="Y5" s="4">
        <f>IF($L5="","",U5-X5)</f>
      </c>
    </row>
    <row r="6" spans="1:30" x14ac:dyDescent="0.25">
      <c r="A6" s="8"/>
      <c r="D6" s="9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IF($L6="","",(U6-X6)/K6*100)</f>
      </c>
      <c r="W6" s="4">
        <f>IF($L6="","",N6-S6)</f>
      </c>
      <c r="Y6" s="4">
        <f>IF($L6="","",U6-X6)</f>
      </c>
    </row>
    <row r="7" spans="1:30" x14ac:dyDescent="0.25">
      <c r="A7" s="8"/>
      <c r="D7" s="9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IF($L7="","",(U7-X7)/K7*100)</f>
      </c>
      <c r="W7" s="4">
        <f>IF($L7="","",N7-S7)</f>
      </c>
      <c r="Y7" s="4">
        <f>IF($L7="","",U7-X7)</f>
      </c>
    </row>
    <row r="8" spans="1:30" x14ac:dyDescent="0.25">
      <c r="A8" s="8"/>
      <c r="D8" s="9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IF($L8="","",(U8-X8)/K8*100)</f>
      </c>
      <c r="W8" s="4">
        <f>IF($L8="","",N8-S8)</f>
      </c>
      <c r="Y8" s="4">
        <f>IF($L8="","",U8-X8)</f>
      </c>
    </row>
    <row r="9" spans="1:30" x14ac:dyDescent="0.25">
      <c r="A9" s="8"/>
      <c r="D9" s="9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IF($L9="","",(U9-X9)/K9*100)</f>
      </c>
      <c r="W9" s="4">
        <f>IF($L9="","",N9-S9)</f>
      </c>
      <c r="Y9" s="4">
        <f>IF($L9="","",U9-X9)</f>
      </c>
    </row>
    <row r="10" spans="1:30" x14ac:dyDescent="0.25">
      <c r="A10" s="8"/>
      <c r="D10" s="9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IF($L10="","",(U10-X10)/K10*100)</f>
      </c>
      <c r="W10" s="4">
        <f>IF($L10="","",N10-S10)</f>
      </c>
      <c r="Y10" s="4">
        <f>IF($L10="","",U10-X10)</f>
      </c>
    </row>
    <row r="11" spans="1:30" x14ac:dyDescent="0.25">
      <c r="A11" s="8"/>
      <c r="D11" s="9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IF($L11="","",(U11-X11)/K11*100)</f>
      </c>
      <c r="W11" s="4">
        <f>IF($L11="","",N11-S11)</f>
      </c>
      <c r="Y11" s="4">
        <f>IF($L11="","",U11-X11)</f>
      </c>
    </row>
    <row r="12" spans="1:30" x14ac:dyDescent="0.25">
      <c r="A12" s="8"/>
      <c r="D12" s="9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IF($L12="","",(U12-X12)/K12*100)</f>
      </c>
      <c r="W12" s="4">
        <f>IF($L12="","",N12-S12)</f>
      </c>
      <c r="Y12" s="4">
        <f>IF($L12="","",U12-X12)</f>
      </c>
    </row>
    <row r="13" spans="1:30" x14ac:dyDescent="0.25">
      <c r="A13" s="8"/>
      <c r="D13" s="9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IF($L13="","",(U13-X13)/K13*100)</f>
      </c>
      <c r="W13" s="4">
        <f>IF($L13="","",N13-S13)</f>
      </c>
      <c r="Y13" s="4">
        <f>IF($L13="","",U13-X13)</f>
      </c>
    </row>
    <row r="14" spans="1:30" x14ac:dyDescent="0.25">
      <c r="A14" s="8"/>
      <c r="D14" s="9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IF($L14="","",(U14-X14)/K14*100)</f>
      </c>
      <c r="W14" s="4">
        <f>IF($L14="","",N14-S14)</f>
      </c>
      <c r="Y14" s="4">
        <f>IF($L14="","",U14-X14)</f>
      </c>
    </row>
    <row r="15" spans="1:30" x14ac:dyDescent="0.25">
      <c r="A15" s="8"/>
      <c r="D15" s="9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IF($L15="","",(U15-X15)/K15*100)</f>
      </c>
      <c r="W15" s="4">
        <f>IF($L15="","",N15-S15)</f>
      </c>
      <c r="Y15" s="4">
        <f>IF($L15="","",U15-X15)</f>
      </c>
    </row>
    <row r="16" spans="1:30" x14ac:dyDescent="0.25">
      <c r="A16" s="8"/>
      <c r="D16" s="9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IF($L16="","",(U16-X16)/K16*100)</f>
      </c>
      <c r="W16" s="4">
        <f>IF($L16="","",N16-S16)</f>
      </c>
      <c r="Y16" s="4">
        <f>IF($L16="","",U16-X16)</f>
      </c>
    </row>
    <row r="17" spans="1:30" x14ac:dyDescent="0.25">
      <c r="A17" s="8"/>
      <c r="D17" s="9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IF($L17="","",(U17-X17)/K17*100)</f>
      </c>
      <c r="W17" s="4">
        <f>IF($L17="","",N17-S17)</f>
      </c>
      <c r="Y17" s="4">
        <f>IF($L17="","",U17-X17)</f>
      </c>
    </row>
    <row r="18" spans="1:30" x14ac:dyDescent="0.25">
      <c r="A18" s="8"/>
      <c r="D18" s="9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IF($L18="","",(U18-X18)/K18*100)</f>
      </c>
      <c r="W18" s="4">
        <f>IF($L18="","",N18-S18)</f>
      </c>
      <c r="Y18" s="4">
        <f>IF($L18="","",U18-X18)</f>
      </c>
    </row>
    <row r="19" spans="1:30" x14ac:dyDescent="0.25">
      <c r="A19" s="8"/>
      <c r="D19" s="9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IF($L19="","",(U19-X19)/K19*100)</f>
      </c>
      <c r="W19" s="4">
        <f>IF($L19="","",N19-S19)</f>
      </c>
      <c r="Y19" s="4">
        <f>IF($L19="","",U19-X19)</f>
      </c>
    </row>
    <row r="20" spans="1:30" x14ac:dyDescent="0.25">
      <c r="A20" s="8"/>
      <c r="D20" s="9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IF($L20="","",(U20-X20)/K20*100)</f>
      </c>
      <c r="W20" s="4">
        <f>IF($L20="","",N20-S20)</f>
      </c>
      <c r="Y20" s="4">
        <f>IF($L20="","",U20-X20)</f>
      </c>
    </row>
    <row r="21" spans="1:30" x14ac:dyDescent="0.25">
      <c r="A21" s="8"/>
      <c r="D21" s="9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IF($L21="","",(U21-X21)/K21*100)</f>
      </c>
      <c r="W21" s="4">
        <f>IF($L21="","",N21-S21)</f>
      </c>
      <c r="Y21" s="4">
        <f>IF($L21="","",U21-X21)</f>
      </c>
    </row>
    <row r="22" spans="1:30" x14ac:dyDescent="0.25">
      <c r="A22" s="8"/>
      <c r="D22" s="9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IF($L22="","",(U22-X22)/K22*100)</f>
      </c>
      <c r="W22" s="4">
        <f>IF($L22="","",N22-S22)</f>
      </c>
      <c r="Y22" s="4">
        <f>IF($L22="","",U22-X22)</f>
      </c>
    </row>
    <row r="23" spans="1:30" x14ac:dyDescent="0.25">
      <c r="A23" s="8"/>
      <c r="D23" s="9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IF($L23="","",(U23-X23)/K23*100)</f>
      </c>
      <c r="W23" s="4">
        <f>IF($L23="","",N23-S23)</f>
      </c>
      <c r="Y23" s="4">
        <f>IF($L23="","",U23-X23)</f>
      </c>
    </row>
    <row r="24" spans="1:30" x14ac:dyDescent="0.25">
      <c r="A24" s="8"/>
      <c r="D24" s="9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IF($L24="","",(U24-X24)/K24*100)</f>
      </c>
      <c r="W24" s="4">
        <f>IF($L24="","",N24-S24)</f>
      </c>
      <c r="Y24" s="4">
        <f>IF($L24="","",U24-X24)</f>
      </c>
    </row>
    <row r="25" spans="1:30" x14ac:dyDescent="0.25">
      <c r="A25" s="8"/>
      <c r="D25" s="9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IF($L25="","",(U25-X25)/K25*100)</f>
      </c>
      <c r="W25" s="4">
        <f>IF($L25="","",N25-S25)</f>
      </c>
      <c r="Y25" s="4">
        <f>IF($L25="","",U25-X25)</f>
      </c>
    </row>
    <row r="26" spans="1:30" x14ac:dyDescent="0.25">
      <c r="A26" s="8"/>
      <c r="D26" s="9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IF($L26="","",(U26-X26)/K26*100)</f>
      </c>
      <c r="W26" s="4">
        <f>IF($L26="","",N26-S26)</f>
      </c>
      <c r="Y26" s="4">
        <f>IF($L26="","",U26-X26)</f>
      </c>
    </row>
    <row r="27" spans="1:30" x14ac:dyDescent="0.25">
      <c r="A27" s="8"/>
      <c r="D27" s="9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IF($L27="","",(U27-X27)/K27*100)</f>
      </c>
      <c r="W27" s="4">
        <f>IF($L27="","",N27-S27)</f>
      </c>
      <c r="Y27" s="4">
        <f>IF($L27="","",U27-X27)</f>
      </c>
    </row>
    <row r="28" spans="1:30" x14ac:dyDescent="0.25">
      <c r="A28" s="8"/>
      <c r="D28" s="9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IF($L28="","",(U28-X28)/K28*100)</f>
      </c>
      <c r="W28" s="4">
        <f>IF($L28="","",N28-S28)</f>
      </c>
      <c r="Y28" s="4">
        <f>IF($L28="","",U28-X28)</f>
      </c>
    </row>
    <row r="29" spans="1:30" x14ac:dyDescent="0.25">
      <c r="A29" s="8"/>
      <c r="D29" s="9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IF($L29="","",(U29-X29)/K29*100)</f>
      </c>
      <c r="W29" s="4">
        <f>IF($L29="","",N29-S29)</f>
      </c>
      <c r="Y29" s="4">
        <f>IF($L29="","",U29-X29)</f>
      </c>
    </row>
    <row r="30" spans="1:30" x14ac:dyDescent="0.25">
      <c r="A30" s="8"/>
      <c r="D30" s="9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IF($L30="","",(U30-X30)/K30*100)</f>
      </c>
      <c r="W30" s="4">
        <f>IF($L30="","",N30-S30)</f>
      </c>
      <c r="Y30" s="4">
        <f>IF($L30="","",U30-X30)</f>
      </c>
    </row>
    <row r="31" spans="1:30" x14ac:dyDescent="0.25">
      <c r="A31" s="8"/>
      <c r="D31" s="9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IF($L31="","",(U31-X31)/K31*100)</f>
      </c>
      <c r="W31" s="4">
        <f>IF($L31="","",N31-S31)</f>
      </c>
      <c r="Y31" s="4">
        <f>IF($L31="","",U31-X31)</f>
      </c>
    </row>
    <row r="32" spans="1:30" x14ac:dyDescent="0.25">
      <c r="A32" s="8"/>
      <c r="D32" s="9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IF($L32="","",(U32-X32)/K32*100)</f>
      </c>
      <c r="W32" s="4">
        <f>IF($L32="","",N32-S32)</f>
      </c>
      <c r="Y32" s="4">
        <f>IF($L32="","",U32-X32)</f>
      </c>
    </row>
    <row r="33" spans="1:30" x14ac:dyDescent="0.25">
      <c r="A33" s="8"/>
      <c r="D33" s="9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IF($L33="","",(U33-X33)/K33*100)</f>
      </c>
      <c r="W33" s="4">
        <f>IF($L33="","",N33-S33)</f>
      </c>
      <c r="Y33" s="4">
        <f>IF($L33="","",U33-X33)</f>
      </c>
    </row>
    <row r="34" spans="1:30" x14ac:dyDescent="0.25">
      <c r="A34" s="8"/>
      <c r="D34" s="9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IF($L34="","",(U34-X34)/K34*100)</f>
      </c>
      <c r="W34" s="4">
        <f>IF($L34="","",N34-S34)</f>
      </c>
      <c r="Y34" s="4">
        <f>IF($L34="","",U34-X34)</f>
      </c>
    </row>
    <row r="35" spans="1:30" x14ac:dyDescent="0.25">
      <c r="A35" s="8"/>
      <c r="D35" s="9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IF($L35="","",(U35-X35)/K35*100)</f>
      </c>
      <c r="W35" s="4">
        <f>IF($L35="","",N35-S35)</f>
      </c>
      <c r="Y35" s="4">
        <f>IF($L35="","",U35-X35)</f>
      </c>
    </row>
    <row r="36" spans="1:30" x14ac:dyDescent="0.25">
      <c r="A36" s="8"/>
      <c r="D36" s="9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IF($L36="","",(U36-X36)/K36*100)</f>
      </c>
      <c r="W36" s="4">
        <f>IF($L36="","",N36-S36)</f>
      </c>
      <c r="Y36" s="4">
        <f>IF($L36="","",U36-X36)</f>
      </c>
    </row>
    <row r="37" spans="1:30" x14ac:dyDescent="0.25">
      <c r="A37" s="8"/>
      <c r="D37" s="9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IF($L37="","",(U37-X37)/K37*100)</f>
      </c>
      <c r="W37" s="4">
        <f>IF($L37="","",N37-S37)</f>
      </c>
      <c r="Y37" s="4">
        <f>IF($L37="","",U37-X37)</f>
      </c>
    </row>
    <row r="38" spans="1:30" x14ac:dyDescent="0.25">
      <c r="A38" s="8"/>
      <c r="D38" s="9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IF($L38="","",(U38-X38)/K38*100)</f>
      </c>
      <c r="W38" s="4">
        <f>IF($L38="","",N38-S38)</f>
      </c>
      <c r="Y38" s="4">
        <f>IF($L38="","",U38-X38)</f>
      </c>
    </row>
    <row r="39" spans="1:30" x14ac:dyDescent="0.25">
      <c r="A39" s="8"/>
      <c r="D39" s="9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IF($L39="","",(U39-X39)/K39*100)</f>
      </c>
      <c r="W39" s="4">
        <f>IF($L39="","",N39-S39)</f>
      </c>
      <c r="Y39" s="4">
        <f>IF($L39="","",U39-X39)</f>
      </c>
    </row>
    <row r="40" spans="1:30" x14ac:dyDescent="0.25">
      <c r="A40" s="8"/>
      <c r="D40" s="9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IF($L40="","",(U40-X40)/K40*100)</f>
      </c>
      <c r="W40" s="4">
        <f>IF($L40="","",N40-S40)</f>
      </c>
      <c r="Y40" s="4">
        <f>IF($L40="","",U40-X40)</f>
      </c>
    </row>
    <row r="41" spans="1:30" x14ac:dyDescent="0.25">
      <c r="A41" s="8"/>
      <c r="D41" s="9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IF($L41="","",(U41-X41)/K41*100)</f>
      </c>
      <c r="W41" s="4">
        <f>IF($L41="","",N41-S41)</f>
      </c>
      <c r="Y41" s="4">
        <f>IF($L41="","",U41-X41)</f>
      </c>
    </row>
    <row r="42" spans="1:30" x14ac:dyDescent="0.25">
      <c r="A42" s="8"/>
      <c r="D42" s="9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IF($L42="","",(U42-X42)/K42*100)</f>
      </c>
      <c r="W42" s="4">
        <f>IF($L42="","",N42-S42)</f>
      </c>
      <c r="Y42" s="4">
        <f>IF($L42="","",U42-X42)</f>
      </c>
    </row>
    <row r="43" spans="1:30" x14ac:dyDescent="0.25">
      <c r="A43" s="8"/>
      <c r="D43" s="9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IF($L43="","",(U43-X43)/K43*100)</f>
      </c>
      <c r="W43" s="4">
        <f>IF($L43="","",N43-S43)</f>
      </c>
      <c r="Y43" s="4">
        <f>IF($L43="","",U43-X43)</f>
      </c>
    </row>
    <row r="44" spans="1:30" x14ac:dyDescent="0.25">
      <c r="A44" s="8"/>
      <c r="D44" s="9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IF($L44="","",(U44-X44)/K44*100)</f>
      </c>
      <c r="W44" s="4">
        <f>IF($L44="","",N44-S44)</f>
      </c>
      <c r="Y44" s="4">
        <f>IF($L44="","",U44-X44)</f>
      </c>
    </row>
    <row r="45" spans="1:30" x14ac:dyDescent="0.25">
      <c r="A45" s="8"/>
      <c r="D45" s="9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IF($L45="","",(U45-X45)/K45*100)</f>
      </c>
      <c r="W45" s="4">
        <f>IF($L45="","",N45-S45)</f>
      </c>
      <c r="Y45" s="4">
        <f>IF($L45="","",U45-X45)</f>
      </c>
    </row>
    <row r="46" spans="1:30" x14ac:dyDescent="0.25">
      <c r="A46" s="8"/>
      <c r="D46" s="9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IF($L46="","",(U46-X46)/K46*100)</f>
      </c>
      <c r="W46" s="4">
        <f>IF($L46="","",N46-S46)</f>
      </c>
      <c r="Y46" s="4">
        <f>IF($L46="","",U46-X46)</f>
      </c>
    </row>
    <row r="47" spans="1:30" x14ac:dyDescent="0.25">
      <c r="A47" s="8"/>
      <c r="D47" s="9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IF($L47="","",(U47-X47)/K47*100)</f>
      </c>
      <c r="W47" s="4">
        <f>IF($L47="","",N47-S47)</f>
      </c>
      <c r="Y47" s="4">
        <f>IF($L47="","",U47-X47)</f>
      </c>
    </row>
    <row r="48" spans="1:30" x14ac:dyDescent="0.25">
      <c r="A48" s="8"/>
      <c r="D48" s="9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IF($L48="","",(U48-X48)/K48*100)</f>
      </c>
      <c r="W48" s="4">
        <f>IF($L48="","",N48-S48)</f>
      </c>
      <c r="Y48" s="4">
        <f>IF($L48="","",U48-X48)</f>
      </c>
    </row>
    <row r="49" spans="1:30" x14ac:dyDescent="0.25">
      <c r="A49" s="8"/>
      <c r="D49" s="9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IF($L49="","",(U49-X49)/K49*100)</f>
      </c>
      <c r="W49" s="4">
        <f>IF($L49="","",N49-S49)</f>
      </c>
      <c r="Y49" s="4">
        <f>IF($L49="","",U49-X49)</f>
      </c>
    </row>
    <row r="50" spans="1:30" x14ac:dyDescent="0.25">
      <c r="A50" s="8"/>
      <c r="D50" s="9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IF($L50="","",(U50-X50)/K50*100)</f>
      </c>
      <c r="W50" s="4">
        <f>IF($L50="","",N50-S50)</f>
      </c>
      <c r="Y50" s="4">
        <f>IF($L50="","",U50-X50)</f>
      </c>
    </row>
    <row r="51" spans="1:30" x14ac:dyDescent="0.25">
      <c r="A51" s="8"/>
      <c r="D51" s="9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IF($L51="","",(U51-X51)/K51*100)</f>
      </c>
      <c r="W51" s="4">
        <f>IF($L51="","",N51-S51)</f>
      </c>
      <c r="Y51" s="4">
        <f>IF($L51="","",U51-X51)</f>
      </c>
    </row>
    <row r="52" spans="1:30" x14ac:dyDescent="0.25">
      <c r="A52" s="8"/>
      <c r="D52" s="9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IF($L52="","",(U52-X52)/K52*100)</f>
      </c>
      <c r="W52" s="4">
        <f>IF($L52="","",N52-S52)</f>
      </c>
      <c r="Y52" s="4">
        <f>IF($L52="","",U52-X52)</f>
      </c>
    </row>
    <row r="53" spans="1:30" x14ac:dyDescent="0.25">
      <c r="A53" s="8"/>
      <c r="D53" s="9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IF($L53="","",(U53-X53)/K53*100)</f>
      </c>
      <c r="W53" s="4">
        <f>IF($L53="","",N53-S53)</f>
      </c>
      <c r="Y53" s="4">
        <f>IF($L53="","",U53-X53)</f>
      </c>
    </row>
    <row r="54" spans="1:30" x14ac:dyDescent="0.25">
      <c r="A54" s="8"/>
      <c r="D54" s="9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IF($L54="","",(U54-X54)/K54*100)</f>
      </c>
      <c r="W54" s="4">
        <f>IF($L54="","",N54-S54)</f>
      </c>
      <c r="Y54" s="4">
        <f>IF($L54="","",U54-X54)</f>
      </c>
    </row>
    <row r="55" spans="1:30" x14ac:dyDescent="0.25">
      <c r="A55" s="8"/>
      <c r="D55" s="9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IF($L55="","",(U55-X55)/K55*100)</f>
      </c>
      <c r="W55" s="4">
        <f>IF($L55="","",N55-S55)</f>
      </c>
      <c r="Y55" s="4">
        <f>IF($L55="","",U55-X55)</f>
      </c>
    </row>
    <row r="56" spans="1:30" x14ac:dyDescent="0.25">
      <c r="A56" s="8"/>
      <c r="D56" s="9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IF($L56="","",(U56-X56)/K56*100)</f>
      </c>
      <c r="W56" s="4">
        <f>IF($L56="","",N56-S56)</f>
      </c>
      <c r="Y56" s="4">
        <f>IF($L56="","",U56-X56)</f>
      </c>
    </row>
    <row r="57" spans="1:30" x14ac:dyDescent="0.25">
      <c r="A57" s="8"/>
      <c r="D57" s="9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IF($L57="","",(U57-X57)/K57*100)</f>
      </c>
      <c r="W57" s="4">
        <f>IF($L57="","",N57-S57)</f>
      </c>
      <c r="Y57" s="4">
        <f>IF($L57="","",U57-X57)</f>
      </c>
    </row>
    <row r="58" spans="1:30" x14ac:dyDescent="0.25">
      <c r="A58" s="8"/>
      <c r="D58" s="9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IF($L58="","",(U58-X58)/K58*100)</f>
      </c>
      <c r="W58" s="4">
        <f>IF($L58="","",N58-S58)</f>
      </c>
      <c r="Y58" s="4">
        <f>IF($L58="","",U58-X58)</f>
      </c>
    </row>
    <row r="59" spans="1:30" x14ac:dyDescent="0.25">
      <c r="A59" s="8"/>
      <c r="D59" s="9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IF($L59="","",(U59-X59)/K59*100)</f>
      </c>
      <c r="W59" s="4">
        <f>IF($L59="","",N59-S59)</f>
      </c>
      <c r="Y59" s="4">
        <f>IF($L59="","",U59-X59)</f>
      </c>
    </row>
    <row r="60" spans="1:30" x14ac:dyDescent="0.25">
      <c r="A60" s="8"/>
      <c r="D60" s="9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IF($L60="","",(U60-X60)/K60*100)</f>
      </c>
      <c r="W60" s="4">
        <f>IF($L60="","",N60-S60)</f>
      </c>
      <c r="Y60" s="4">
        <f>IF($L60="","",U60-X60)</f>
      </c>
    </row>
    <row r="61" spans="1:30" x14ac:dyDescent="0.25">
      <c r="A61" s="8"/>
      <c r="D61" s="9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IF($L61="","",(U61-X61)/K61*100)</f>
      </c>
      <c r="W61" s="4">
        <f>IF($L61="","",N61-S61)</f>
      </c>
      <c r="Y61" s="4">
        <f>IF($L61="","",U61-X61)</f>
      </c>
    </row>
    <row r="62" spans="1:30" x14ac:dyDescent="0.25">
      <c r="A62" s="8"/>
      <c r="D62" s="9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IF($L62="","",(U62-X62)/K62*100)</f>
      </c>
      <c r="W62" s="4">
        <f>IF($L62="","",N62-S62)</f>
      </c>
      <c r="Y62" s="4">
        <f>IF($L62="","",U62-X62)</f>
      </c>
    </row>
    <row r="63" spans="1:30" x14ac:dyDescent="0.25">
      <c r="A63" s="8"/>
      <c r="D63" s="9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IF($L63="","",(U63-X63)/K63*100)</f>
      </c>
      <c r="W63" s="4">
        <f>IF($L63="","",N63-S63)</f>
      </c>
      <c r="Y63" s="4">
        <f>IF($L63="","",U63-X63)</f>
      </c>
    </row>
    <row r="64" spans="1:30" x14ac:dyDescent="0.25">
      <c r="A64" s="8"/>
      <c r="D64" s="9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IF($L64="","",(U64-X64)/K64*100)</f>
      </c>
      <c r="W64" s="4">
        <f>IF($L64="","",N64-S64)</f>
      </c>
      <c r="Y64" s="4">
        <f>IF($L64="","",U64-X64)</f>
      </c>
    </row>
    <row r="65" spans="1:30" x14ac:dyDescent="0.25">
      <c r="A65" s="8"/>
      <c r="D65" s="9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IF($L65="","",(U65-X65)/K65*100)</f>
      </c>
      <c r="W65" s="4">
        <f>IF($L65="","",N65-S65)</f>
      </c>
      <c r="Y65" s="4">
        <f>IF($L65="","",U65-X65)</f>
      </c>
    </row>
    <row r="66" spans="1:30" x14ac:dyDescent="0.25">
      <c r="A66" s="8"/>
      <c r="D66" s="9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IF($L66="","",(U66-X66)/K66*100)</f>
      </c>
      <c r="W66" s="4">
        <f>IF($L66="","",N66-S66)</f>
      </c>
      <c r="Y66" s="4">
        <f>IF($L66="","",U66-X66)</f>
      </c>
    </row>
    <row r="67" spans="1:30" x14ac:dyDescent="0.25">
      <c r="A67" s="8"/>
      <c r="D67" s="9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IF($L67="","",(U67-X67)/K67*100)</f>
      </c>
      <c r="W67" s="4">
        <f>IF($L67="","",N67-S67)</f>
      </c>
      <c r="Y67" s="4">
        <f>IF($L67="","",U67-X67)</f>
      </c>
    </row>
    <row r="68" spans="1:30" x14ac:dyDescent="0.25">
      <c r="A68" s="8"/>
      <c r="D68" s="9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IF($L68="","",(U68-X68)/K68*100)</f>
      </c>
      <c r="W68" s="4">
        <f>IF($L68="","",N68-S68)</f>
      </c>
      <c r="Y68" s="4">
        <f>IF($L68="","",U68-X68)</f>
      </c>
    </row>
    <row r="69" spans="1:30" x14ac:dyDescent="0.25">
      <c r="A69" s="8"/>
      <c r="D69" s="9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IF($L69="","",(U69-X69)/K69*100)</f>
      </c>
      <c r="W69" s="4">
        <f>IF($L69="","",N69-S69)</f>
      </c>
      <c r="Y69" s="4">
        <f>IF($L69="","",U69-X69)</f>
      </c>
    </row>
    <row r="70" spans="1:30" x14ac:dyDescent="0.25">
      <c r="A70" s="8"/>
      <c r="D70" s="9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IF($L70="","",(U70-X70)/K70*100)</f>
      </c>
      <c r="W70" s="4">
        <f>IF($L70="","",N70-S70)</f>
      </c>
      <c r="Y70" s="4">
        <f>IF($L70="","",U70-X70)</f>
      </c>
    </row>
    <row r="71" spans="1:30" x14ac:dyDescent="0.25">
      <c r="A71" s="8"/>
      <c r="D71" s="9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IF($L71="","",(U71-X71)/K71*100)</f>
      </c>
      <c r="W71" s="4">
        <f>IF($L71="","",N71-S71)</f>
      </c>
      <c r="Y71" s="4">
        <f>IF($L71="","",U71-X71)</f>
      </c>
    </row>
    <row r="72" spans="1:30" x14ac:dyDescent="0.25">
      <c r="A72" s="8"/>
      <c r="D72" s="9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IF($L72="","",(U72-X72)/K72*100)</f>
      </c>
      <c r="W72" s="4">
        <f>IF($L72="","",N72-S72)</f>
      </c>
      <c r="Y72" s="4">
        <f>IF($L72="","",U72-X72)</f>
      </c>
    </row>
    <row r="73" spans="1:30" x14ac:dyDescent="0.25">
      <c r="A73" s="8"/>
      <c r="D73" s="9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IF($L73="","",(U73-X73)/K73*100)</f>
      </c>
      <c r="W73" s="4">
        <f>IF($L73="","",N73-S73)</f>
      </c>
      <c r="Y73" s="4">
        <f>IF($L73="","",U73-X73)</f>
      </c>
    </row>
    <row r="74" spans="1:30" x14ac:dyDescent="0.25">
      <c r="A74" s="8"/>
      <c r="D74" s="9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IF($L74="","",(U74-X74)/K74*100)</f>
      </c>
      <c r="W74" s="4">
        <f>IF($L74="","",N74-S74)</f>
      </c>
      <c r="Y74" s="4">
        <f>IF($L74="","",U74-X74)</f>
      </c>
    </row>
    <row r="75" spans="1:30" x14ac:dyDescent="0.25">
      <c r="A75" s="8"/>
      <c r="D75" s="9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IF($L75="","",(U75-X75)/K75*100)</f>
      </c>
      <c r="W75" s="4">
        <f>IF($L75="","",N75-S75)</f>
      </c>
      <c r="Y75" s="4">
        <f>IF($L75="","",U75-X75)</f>
      </c>
    </row>
    <row r="76" spans="1:30" x14ac:dyDescent="0.25">
      <c r="A76" s="8"/>
      <c r="D76" s="9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IF($L76="","",(U76-X76)/K76*100)</f>
      </c>
      <c r="W76" s="4">
        <f>IF($L76="","",N76-S76)</f>
      </c>
      <c r="Y76" s="4">
        <f>IF($L76="","",U76-X76)</f>
      </c>
    </row>
    <row r="77" spans="1:30" x14ac:dyDescent="0.25">
      <c r="A77" s="8"/>
      <c r="D77" s="9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IF($L77="","",(U77-X77)/K77*100)</f>
      </c>
      <c r="W77" s="4">
        <f>IF($L77="","",N77-S77)</f>
      </c>
      <c r="Y77" s="4">
        <f>IF($L77="","",U77-X77)</f>
      </c>
    </row>
    <row r="78" spans="1:30" x14ac:dyDescent="0.25">
      <c r="A78" s="8"/>
      <c r="D78" s="9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IF($L78="","",(U78-X78)/K78*100)</f>
      </c>
      <c r="W78" s="4">
        <f>IF($L78="","",N78-S78)</f>
      </c>
      <c r="Y78" s="4">
        <f>IF($L78="","",U78-X78)</f>
      </c>
    </row>
    <row r="79" spans="1:30" x14ac:dyDescent="0.25">
      <c r="A79" s="8"/>
      <c r="D79" s="9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IF($L79="","",(U79-X79)/K79*100)</f>
      </c>
      <c r="W79" s="4">
        <f>IF($L79="","",N79-S79)</f>
      </c>
      <c r="Y79" s="4">
        <f>IF($L79="","",U79-X79)</f>
      </c>
    </row>
    <row r="80" spans="1:30" x14ac:dyDescent="0.25">
      <c r="A80" s="8"/>
      <c r="D80" s="9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IF($L80="","",(U80-X80)/K80*100)</f>
      </c>
      <c r="W80" s="4">
        <f>IF($L80="","",N80-S80)</f>
      </c>
      <c r="Y80" s="4">
        <f>IF($L80="","",U80-X80)</f>
      </c>
    </row>
    <row r="81" spans="1:30" x14ac:dyDescent="0.25">
      <c r="A81" s="8"/>
      <c r="D81" s="9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IF($L81="","",(U81-X81)/K81*100)</f>
      </c>
      <c r="W81" s="4">
        <f>IF($L81="","",N81-S81)</f>
      </c>
      <c r="Y81" s="4">
        <f>IF($L81="","",U81-X81)</f>
      </c>
    </row>
    <row r="82" spans="1:30" x14ac:dyDescent="0.25">
      <c r="A82" s="8"/>
      <c r="D82" s="9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IF($L82="","",(U82-X82)/K82*100)</f>
      </c>
      <c r="W82" s="4">
        <f>IF($L82="","",N82-S82)</f>
      </c>
      <c r="Y82" s="4">
        <f>IF($L82="","",U82-X82)</f>
      </c>
    </row>
    <row r="83" spans="1:30" x14ac:dyDescent="0.25">
      <c r="A83" s="8"/>
      <c r="D83" s="9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IF($L83="","",(U83-X83)/K83*100)</f>
      </c>
      <c r="W83" s="4">
        <f>IF($L83="","",N83-S83)</f>
      </c>
      <c r="Y83" s="4">
        <f>IF($L83="","",U83-X83)</f>
      </c>
    </row>
    <row r="84" spans="1:30" x14ac:dyDescent="0.25">
      <c r="A84" s="8"/>
      <c r="D84" s="9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IF($L84="","",(U84-X84)/K84*100)</f>
      </c>
      <c r="W84" s="4">
        <f>IF($L84="","",N84-S84)</f>
      </c>
      <c r="Y84" s="4">
        <f>IF($L84="","",U84-X84)</f>
      </c>
    </row>
    <row r="85" spans="1:30" x14ac:dyDescent="0.25">
      <c r="A85" s="8"/>
      <c r="D85" s="9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IF($L85="","",(U85-X85)/K85*100)</f>
      </c>
      <c r="W85" s="4">
        <f>IF($L85="","",N85-S85)</f>
      </c>
      <c r="Y85" s="4">
        <f>IF($L85="","",U85-X85)</f>
      </c>
    </row>
    <row r="86" spans="1:30" x14ac:dyDescent="0.25">
      <c r="A86" s="8"/>
      <c r="D86" s="9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IF($L86="","",(U86-X86)/K86*100)</f>
      </c>
      <c r="W86" s="4">
        <f>IF($L86="","",N86-S86)</f>
      </c>
      <c r="Y86" s="4">
        <f>IF($L86="","",U86-X86)</f>
      </c>
    </row>
    <row r="87" spans="1:30" x14ac:dyDescent="0.25">
      <c r="A87" s="8"/>
      <c r="D87" s="9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IF($L87="","",(U87-X87)/K87*100)</f>
      </c>
      <c r="W87" s="4">
        <f>IF($L87="","",N87-S87)</f>
      </c>
      <c r="Y87" s="4">
        <f>IF($L87="","",U87-X87)</f>
      </c>
    </row>
    <row r="88" spans="1:30" x14ac:dyDescent="0.25">
      <c r="A88" s="8"/>
      <c r="D88" s="9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IF($L88="","",(U88-X88)/K88*100)</f>
      </c>
      <c r="W88" s="4">
        <f>IF($L88="","",N88-S88)</f>
      </c>
      <c r="Y88" s="4">
        <f>IF($L88="","",U88-X88)</f>
      </c>
    </row>
    <row r="89" spans="1:30" x14ac:dyDescent="0.25">
      <c r="A89" s="8"/>
      <c r="D89" s="9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IF($L89="","",(U89-X89)/K89*100)</f>
      </c>
      <c r="W89" s="4">
        <f>IF($L89="","",N89-S89)</f>
      </c>
      <c r="Y89" s="4">
        <f>IF($L89="","",U89-X89)</f>
      </c>
    </row>
    <row r="90" spans="1:30" x14ac:dyDescent="0.25">
      <c r="A90" s="8"/>
      <c r="D90" s="9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IF($L90="","",(U90-X90)/K90*100)</f>
      </c>
      <c r="W90" s="4">
        <f>IF($L90="","",N90-S90)</f>
      </c>
      <c r="Y90" s="4">
        <f>IF($L90="","",U90-X90)</f>
      </c>
    </row>
    <row r="91" spans="1:30" x14ac:dyDescent="0.25">
      <c r="A91" s="8"/>
      <c r="D91" s="9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IF($L91="","",(U91-X91)/K91*100)</f>
      </c>
      <c r="W91" s="4">
        <f>IF($L91="","",N91-S91)</f>
      </c>
      <c r="Y91" s="4">
        <f>IF($L91="","",U91-X91)</f>
      </c>
    </row>
    <row r="92" spans="1:30" x14ac:dyDescent="0.25">
      <c r="A92" s="8"/>
      <c r="D92" s="9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IF($L92="","",(U92-X92)/K92*100)</f>
      </c>
      <c r="W92" s="4">
        <f>IF($L92="","",N92-S92)</f>
      </c>
      <c r="Y92" s="4">
        <f>IF($L92="","",U92-X92)</f>
      </c>
    </row>
    <row r="93" spans="1:30" x14ac:dyDescent="0.25">
      <c r="A93" s="8"/>
      <c r="D93" s="9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IF($L93="","",(U93-X93)/K93*100)</f>
      </c>
      <c r="W93" s="4">
        <f>IF($L93="","",N93-S93)</f>
      </c>
      <c r="Y93" s="4">
        <f>IF($L93="","",U93-X93)</f>
      </c>
    </row>
    <row r="94" spans="1:30" x14ac:dyDescent="0.25">
      <c r="A94" s="8"/>
      <c r="D94" s="9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IF($L94="","",(U94-X94)/K94*100)</f>
      </c>
      <c r="W94" s="4">
        <f>IF($L94="","",N94-S94)</f>
      </c>
      <c r="Y94" s="4">
        <f>IF($L94="","",U94-X94)</f>
      </c>
    </row>
    <row r="95" spans="1:30" x14ac:dyDescent="0.25">
      <c r="A95" s="8"/>
      <c r="D95" s="9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IF($L95="","",(U95-X95)/K95*100)</f>
      </c>
      <c r="W95" s="4">
        <f>IF($L95="","",N95-S95)</f>
      </c>
      <c r="Y95" s="4">
        <f>IF($L95="","",U95-X95)</f>
      </c>
    </row>
    <row r="96" spans="1:30" x14ac:dyDescent="0.25">
      <c r="A96" s="8"/>
      <c r="D96" s="9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IF($L96="","",(U96-X96)/K96*100)</f>
      </c>
      <c r="W96" s="4">
        <f>IF($L96="","",N96-S96)</f>
      </c>
      <c r="Y96" s="4">
        <f>IF($L96="","",U96-X96)</f>
      </c>
    </row>
    <row r="97" spans="1:30" x14ac:dyDescent="0.25">
      <c r="A97" s="8"/>
      <c r="D97" s="9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IF($L97="","",(U97-X97)/K97*100)</f>
      </c>
      <c r="W97" s="4">
        <f>IF($L97="","",N97-S97)</f>
      </c>
      <c r="Y97" s="4">
        <f>IF($L97="","",U97-X97)</f>
      </c>
    </row>
    <row r="98" spans="1:30" x14ac:dyDescent="0.25">
      <c r="A98" s="8"/>
      <c r="D98" s="9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IF($L98="","",(U98-X98)/K98*100)</f>
      </c>
      <c r="W98" s="4">
        <f>IF($L98="","",N98-S98)</f>
      </c>
      <c r="Y98" s="4">
        <f>IF($L98="","",U98-X98)</f>
      </c>
    </row>
    <row r="99" spans="1:30" x14ac:dyDescent="0.25">
      <c r="A99" s="8"/>
      <c r="D99" s="9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IF($L99="","",(U99-X99)/K99*100)</f>
      </c>
      <c r="W99" s="4">
        <f>IF($L99="","",N99-S99)</f>
      </c>
      <c r="Y99" s="4">
        <f>IF($L99="","",U99-X99)</f>
      </c>
    </row>
    <row r="100" spans="1:30" x14ac:dyDescent="0.25">
      <c r="A100" s="8"/>
      <c r="D100" s="9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IF($L100="","",(U100-X100)/K100*100)</f>
      </c>
      <c r="W100" s="4">
        <f>IF($L100="","",N100-S100)</f>
      </c>
      <c r="Y100" s="4">
        <f>IF($L100="","",U100-X100)</f>
      </c>
    </row>
    <row r="101" spans="1:30" x14ac:dyDescent="0.25">
      <c r="A101" s="8"/>
      <c r="D101" s="9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IF($L101="","",(U101-X101)/K101*100)</f>
      </c>
      <c r="W101" s="4">
        <f>IF($L101="","",N101-S101)</f>
      </c>
      <c r="Y101" s="4">
        <f>IF($L101="","",U101-X101)</f>
      </c>
    </row>
    <row r="102" spans="1:30" x14ac:dyDescent="0.25">
      <c r="A102" s="8"/>
      <c r="D102" s="9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IF($L102="","",(U102-X102)/K102*100)</f>
      </c>
      <c r="W102" s="4">
        <f>IF($L102="","",N102-S102)</f>
      </c>
      <c r="Y102" s="4">
        <f>IF($L102="","",U102-X102)</f>
      </c>
    </row>
    <row r="103" spans="1:30" x14ac:dyDescent="0.25">
      <c r="A103" s="8"/>
      <c r="D103" s="9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IF($L103="","",(U103-X103)/K103*100)</f>
      </c>
      <c r="W103" s="4">
        <f>IF($L103="","",N103-S103)</f>
      </c>
      <c r="Y103" s="4">
        <f>IF($L103="","",U103-X103)</f>
      </c>
    </row>
    <row r="104" spans="1:30" x14ac:dyDescent="0.25">
      <c r="A104" s="8"/>
      <c r="D104" s="9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IF($L104="","",(U104-X104)/K104*100)</f>
      </c>
      <c r="W104" s="4">
        <f>IF($L104="","",N104-S104)</f>
      </c>
      <c r="Y104" s="4">
        <f>IF($L104="","",U104-X104)</f>
      </c>
    </row>
    <row r="105" spans="1:30" x14ac:dyDescent="0.25">
      <c r="A105" s="8"/>
      <c r="D105" s="9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IF($L105="","",(U105-X105)/K105*100)</f>
      </c>
      <c r="W105" s="4">
        <f>IF($L105="","",N105-S105)</f>
      </c>
      <c r="Y105" s="4">
        <f>IF($L105="","",U105-X105)</f>
      </c>
    </row>
    <row r="106" spans="1:30" x14ac:dyDescent="0.25">
      <c r="A106" s="8"/>
      <c r="D106" s="9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IF($L106="","",(U106-X106)/K106*100)</f>
      </c>
      <c r="W106" s="4">
        <f>IF($L106="","",N106-S106)</f>
      </c>
      <c r="Y106" s="4">
        <f>IF($L106="","",U106-X106)</f>
      </c>
    </row>
    <row r="107" spans="1:30" x14ac:dyDescent="0.25">
      <c r="A107" s="8"/>
      <c r="D107" s="9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IF($L107="","",(U107-X107)/K107*100)</f>
      </c>
      <c r="W107" s="4">
        <f>IF($L107="","",N107-S107)</f>
      </c>
      <c r="Y107" s="4">
        <f>IF($L107="","",U107-X107)</f>
      </c>
    </row>
    <row r="108" spans="1:30" x14ac:dyDescent="0.25">
      <c r="A108" s="8"/>
      <c r="D108" s="9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IF($L108="","",(U108-X108)/K108*100)</f>
      </c>
      <c r="W108" s="4">
        <f>IF($L108="","",N108-S108)</f>
      </c>
      <c r="Y108" s="4">
        <f>IF($L108="","",U108-X108)</f>
      </c>
    </row>
    <row r="109" spans="1:30" x14ac:dyDescent="0.25">
      <c r="A109" s="8"/>
      <c r="D109" s="9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IF($L109="","",(U109-X109)/K109*100)</f>
      </c>
      <c r="W109" s="4">
        <f>IF($L109="","",N109-S109)</f>
      </c>
      <c r="Y109" s="4">
        <f>IF($L109="","",U109-X109)</f>
      </c>
    </row>
    <row r="110" spans="1:30" x14ac:dyDescent="0.25">
      <c r="A110" s="8"/>
      <c r="D110" s="9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IF($L110="","",(U110-X110)/K110*100)</f>
      </c>
      <c r="W110" s="4">
        <f>IF($L110="","",N110-S110)</f>
      </c>
      <c r="Y110" s="4">
        <f>IF($L110="","",U110-X110)</f>
      </c>
    </row>
    <row r="111" spans="1:30" x14ac:dyDescent="0.25">
      <c r="A111" s="8"/>
      <c r="D111" s="9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IF($L111="","",(U111-X111)/K111*100)</f>
      </c>
      <c r="W111" s="4">
        <f>IF($L111="","",N111-S111)</f>
      </c>
      <c r="Y111" s="4">
        <f>IF($L111="","",U111-X111)</f>
      </c>
    </row>
    <row r="112" spans="1:30" x14ac:dyDescent="0.25">
      <c r="A112" s="8"/>
      <c r="D112" s="9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IF($L112="","",(U112-X112)/K112*100)</f>
      </c>
      <c r="W112" s="4">
        <f>IF($L112="","",N112-S112)</f>
      </c>
      <c r="Y112" s="4">
        <f>IF($L112="","",U112-X112)</f>
      </c>
    </row>
    <row r="113" spans="1:30" x14ac:dyDescent="0.25">
      <c r="A113" s="8"/>
      <c r="D113" s="9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IF($L113="","",(U113-X113)/K113*100)</f>
      </c>
      <c r="W113" s="4">
        <f>IF($L113="","",N113-S113)</f>
      </c>
      <c r="Y113" s="4">
        <f>IF($L113="","",U113-X113)</f>
      </c>
    </row>
    <row r="114" spans="1:30" x14ac:dyDescent="0.25">
      <c r="A114" s="8"/>
      <c r="D114" s="9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IF($L114="","",(U114-X114)/K114*100)</f>
      </c>
      <c r="W114" s="4">
        <f>IF($L114="","",N114-S114)</f>
      </c>
      <c r="Y114" s="4">
        <f>IF($L114="","",U114-X114)</f>
      </c>
    </row>
    <row r="115" spans="1:30" x14ac:dyDescent="0.25">
      <c r="A115" s="8"/>
      <c r="D115" s="9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IF($L115="","",(U115-X115)/K115*100)</f>
      </c>
      <c r="W115" s="4">
        <f>IF($L115="","",N115-S115)</f>
      </c>
      <c r="Y115" s="4">
        <f>IF($L115="","",U115-X115)</f>
      </c>
    </row>
    <row r="116" spans="1:30" x14ac:dyDescent="0.25">
      <c r="A116" s="8"/>
      <c r="D116" s="9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IF($L116="","",(U116-X116)/K116*100)</f>
      </c>
      <c r="W116" s="4">
        <f>IF($L116="","",N116-S116)</f>
      </c>
      <c r="Y116" s="4">
        <f>IF($L116="","",U116-X116)</f>
      </c>
    </row>
    <row r="117" spans="1:30" x14ac:dyDescent="0.25">
      <c r="A117" s="8"/>
      <c r="D117" s="9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IF($L117="","",(U117-X117)/K117*100)</f>
      </c>
      <c r="W117" s="4">
        <f>IF($L117="","",N117-S117)</f>
      </c>
      <c r="Y117" s="4">
        <f>IF($L117="","",U117-X117)</f>
      </c>
    </row>
    <row r="118" spans="1:30" x14ac:dyDescent="0.25">
      <c r="A118" s="8"/>
      <c r="D118" s="9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IF($L118="","",(U118-X118)/K118*100)</f>
      </c>
      <c r="W118" s="4">
        <f>IF($L118="","",N118-S118)</f>
      </c>
      <c r="Y118" s="4">
        <f>IF($L118="","",U118-X118)</f>
      </c>
    </row>
    <row r="119" spans="1:30" x14ac:dyDescent="0.25">
      <c r="A119" s="8"/>
      <c r="D119" s="9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IF($L119="","",(U119-X119)/K119*100)</f>
      </c>
      <c r="W119" s="4">
        <f>IF($L119="","",N119-S119)</f>
      </c>
      <c r="Y119" s="4">
        <f>IF($L119="","",U119-X119)</f>
      </c>
    </row>
    <row r="120" spans="1:30" x14ac:dyDescent="0.25">
      <c r="A120" s="8"/>
      <c r="D120" s="9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IF($L120="","",(U120-X120)/K120*100)</f>
      </c>
      <c r="W120" s="4">
        <f>IF($L120="","",N120-S120)</f>
      </c>
      <c r="Y120" s="4">
        <f>IF($L120="","",U120-X120)</f>
      </c>
    </row>
    <row r="121" spans="1:30" x14ac:dyDescent="0.25">
      <c r="A121" s="8"/>
      <c r="D121" s="9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IF($L121="","",(U121-X121)/K121*100)</f>
      </c>
      <c r="W121" s="4">
        <f>IF($L121="","",N121-S121)</f>
      </c>
      <c r="Y121" s="4">
        <f>IF($L121="","",U121-X121)</f>
      </c>
    </row>
    <row r="122" spans="1:30" x14ac:dyDescent="0.25">
      <c r="A122" s="8"/>
      <c r="D122" s="9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IF($L122="","",(U122-X122)/K122*100)</f>
      </c>
      <c r="W122" s="4">
        <f>IF($L122="","",N122-S122)</f>
      </c>
      <c r="Y122" s="4">
        <f>IF($L122="","",U122-X122)</f>
      </c>
    </row>
    <row r="123" spans="1:30" x14ac:dyDescent="0.25">
      <c r="A123" s="8"/>
      <c r="D123" s="9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IF($L123="","",(U123-X123)/K123*100)</f>
      </c>
      <c r="W123" s="4">
        <f>IF($L123="","",N123-S123)</f>
      </c>
      <c r="Y123" s="4">
        <f>IF($L123="","",U123-X123)</f>
      </c>
    </row>
    <row r="124" spans="1:30" x14ac:dyDescent="0.25">
      <c r="A124" s="8"/>
      <c r="D124" s="9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IF($L124="","",(U124-X124)/K124*100)</f>
      </c>
      <c r="W124" s="4">
        <f>IF($L124="","",N124-S124)</f>
      </c>
      <c r="Y124" s="4">
        <f>IF($L124="","",U124-X124)</f>
      </c>
    </row>
    <row r="125" spans="1:30" x14ac:dyDescent="0.25">
      <c r="A125" s="8"/>
      <c r="D125" s="9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IF($L125="","",(U125-X125)/K125*100)</f>
      </c>
      <c r="W125" s="4">
        <f>IF($L125="","",N125-S125)</f>
      </c>
      <c r="Y125" s="4">
        <f>IF($L125="","",U125-X125)</f>
      </c>
    </row>
    <row r="126" spans="1:30" x14ac:dyDescent="0.25">
      <c r="A126" s="8"/>
      <c r="D126" s="9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IF($L126="","",(U126-X126)/K126*100)</f>
      </c>
      <c r="W126" s="4">
        <f>IF($L126="","",N126-S126)</f>
      </c>
      <c r="Y126" s="4">
        <f>IF($L126="","",U126-X126)</f>
      </c>
    </row>
    <row r="127" spans="1:30" x14ac:dyDescent="0.25">
      <c r="A127" s="8"/>
      <c r="D127" s="9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IF($L127="","",(U127-X127)/K127*100)</f>
      </c>
      <c r="W127" s="4">
        <f>IF($L127="","",N127-S127)</f>
      </c>
      <c r="Y127" s="4">
        <f>IF($L127="","",U127-X127)</f>
      </c>
    </row>
    <row r="128" spans="1:30" x14ac:dyDescent="0.25">
      <c r="A128" s="8"/>
      <c r="D128" s="9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IF($L128="","",(U128-X128)/K128*100)</f>
      </c>
      <c r="W128" s="4">
        <f>IF($L128="","",N128-S128)</f>
      </c>
      <c r="Y128" s="4">
        <f>IF($L128="","",U128-X128)</f>
      </c>
    </row>
    <row r="129" spans="1:30" x14ac:dyDescent="0.25">
      <c r="A129" s="8"/>
      <c r="D129" s="9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IF($L129="","",(U129-X129)/K129*100)</f>
      </c>
      <c r="W129" s="4">
        <f>IF($L129="","",N129-S129)</f>
      </c>
      <c r="Y129" s="4">
        <f>IF($L129="","",U129-X129)</f>
      </c>
    </row>
    <row r="130" spans="1:30" x14ac:dyDescent="0.25">
      <c r="A130" s="8"/>
      <c r="D130" s="9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IF($L130="","",(U130-X130)/K130*100)</f>
      </c>
      <c r="W130" s="4">
        <f>IF($L130="","",N130-S130)</f>
      </c>
      <c r="Y130" s="4">
        <f>IF($L130="","",U130-X130)</f>
      </c>
    </row>
    <row r="131" spans="1:30" x14ac:dyDescent="0.25">
      <c r="A131" s="8"/>
      <c r="D131" s="9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IF($L131="","",(U131-X131)/K131*100)</f>
      </c>
      <c r="W131" s="4">
        <f>IF($L131="","",N131-S131)</f>
      </c>
      <c r="Y131" s="4">
        <f>IF($L131="","",U131-X131)</f>
      </c>
    </row>
    <row r="132" spans="1:30" x14ac:dyDescent="0.25">
      <c r="A132" s="8"/>
      <c r="D132" s="9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IF($L132="","",(U132-X132)/K132*100)</f>
      </c>
      <c r="W132" s="4">
        <f>IF($L132="","",N132-S132)</f>
      </c>
      <c r="Y132" s="4">
        <f>IF($L132="","",U132-X132)</f>
      </c>
    </row>
    <row r="133" spans="1:30" x14ac:dyDescent="0.25">
      <c r="A133" s="8"/>
      <c r="D133" s="9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IF($L133="","",(U133-X133)/K133*100)</f>
      </c>
      <c r="W133" s="4">
        <f>IF($L133="","",N133-S133)</f>
      </c>
      <c r="Y133" s="4">
        <f>IF($L133="","",U133-X133)</f>
      </c>
    </row>
    <row r="134" spans="1:30" x14ac:dyDescent="0.25">
      <c r="A134" s="8"/>
      <c r="D134" s="9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IF($L134="","",(U134-X134)/K134*100)</f>
      </c>
      <c r="W134" s="4">
        <f>IF($L134="","",N134-S134)</f>
      </c>
      <c r="Y134" s="4">
        <f>IF($L134="","",U134-X134)</f>
      </c>
    </row>
    <row r="135" spans="1:30" x14ac:dyDescent="0.25">
      <c r="A135" s="8"/>
      <c r="D135" s="9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IF($L135="","",(U135-X135)/K135*100)</f>
      </c>
      <c r="W135" s="4">
        <f>IF($L135="","",N135-S135)</f>
      </c>
      <c r="Y135" s="4">
        <f>IF($L135="","",U135-X135)</f>
      </c>
    </row>
    <row r="136" spans="1:30" x14ac:dyDescent="0.25">
      <c r="A136" s="8"/>
      <c r="D136" s="9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IF($L136="","",(U136-X136)/K136*100)</f>
      </c>
      <c r="W136" s="4">
        <f>IF($L136="","",N136-S136)</f>
      </c>
      <c r="Y136" s="4">
        <f>IF($L136="","",U136-X136)</f>
      </c>
    </row>
    <row r="137" spans="1:30" x14ac:dyDescent="0.25">
      <c r="A137" s="8"/>
      <c r="D137" s="9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IF($L137="","",(U137-X137)/K137*100)</f>
      </c>
      <c r="W137" s="4">
        <f>IF($L137="","",N137-S137)</f>
      </c>
      <c r="Y137" s="4">
        <f>IF($L137="","",U137-X137)</f>
      </c>
    </row>
    <row r="138" spans="1:30" x14ac:dyDescent="0.25">
      <c r="A138" s="8"/>
      <c r="D138" s="9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IF($L138="","",(U138-X138)/K138*100)</f>
      </c>
      <c r="W138" s="4">
        <f>IF($L138="","",N138-S138)</f>
      </c>
      <c r="Y138" s="4">
        <f>IF($L138="","",U138-X138)</f>
      </c>
    </row>
    <row r="139" spans="1:30" x14ac:dyDescent="0.25">
      <c r="A139" s="8"/>
      <c r="D139" s="9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IF($L139="","",(U139-X139)/K139*100)</f>
      </c>
      <c r="W139" s="4">
        <f>IF($L139="","",N139-S139)</f>
      </c>
      <c r="Y139" s="4">
        <f>IF($L139="","",U139-X139)</f>
      </c>
    </row>
    <row r="140" spans="1:30" x14ac:dyDescent="0.25">
      <c r="A140" s="8"/>
      <c r="D140" s="9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IF($L140="","",(U140-X140)/K140*100)</f>
      </c>
      <c r="W140" s="4">
        <f>IF($L140="","",N140-S140)</f>
      </c>
      <c r="Y140" s="4">
        <f>IF($L140="","",U140-X140)</f>
      </c>
    </row>
    <row r="141" spans="1:30" x14ac:dyDescent="0.25">
      <c r="A141" s="8"/>
      <c r="D141" s="9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IF($L141="","",(U141-X141)/K141*100)</f>
      </c>
      <c r="W141" s="4">
        <f>IF($L141="","",N141-S141)</f>
      </c>
      <c r="Y141" s="4">
        <f>IF($L141="","",U141-X141)</f>
      </c>
    </row>
    <row r="142" spans="1:30" x14ac:dyDescent="0.25">
      <c r="A142" s="8"/>
      <c r="D142" s="9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IF($L142="","",(U142-X142)/K142*100)</f>
      </c>
      <c r="W142" s="4">
        <f>IF($L142="","",N142-S142)</f>
      </c>
      <c r="Y142" s="4">
        <f>IF($L142="","",U142-X142)</f>
      </c>
    </row>
    <row r="143" spans="1:30" x14ac:dyDescent="0.25">
      <c r="A143" s="8"/>
      <c r="D143" s="9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IF($L143="","",(U143-X143)/K143*100)</f>
      </c>
      <c r="W143" s="4">
        <f>IF($L143="","",N143-S143)</f>
      </c>
      <c r="Y143" s="4">
        <f>IF($L143="","",U143-X143)</f>
      </c>
    </row>
    <row r="144" spans="1:30" x14ac:dyDescent="0.25">
      <c r="A144" s="8"/>
      <c r="D144" s="9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IF($L144="","",(U144-X144)/K144*100)</f>
      </c>
      <c r="W144" s="4">
        <f>IF($L144="","",N144-S144)</f>
      </c>
      <c r="Y144" s="4">
        <f>IF($L144="","",U144-X144)</f>
      </c>
    </row>
    <row r="145" spans="1:30" x14ac:dyDescent="0.25">
      <c r="A145" s="8"/>
      <c r="D145" s="9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IF($L145="","",(U145-X145)/K145*100)</f>
      </c>
      <c r="W145" s="4">
        <f>IF($L145="","",N145-S145)</f>
      </c>
      <c r="Y145" s="4">
        <f>IF($L145="","",U145-X145)</f>
      </c>
    </row>
    <row r="146" spans="1:30" x14ac:dyDescent="0.25">
      <c r="A146" s="8"/>
      <c r="D146" s="9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IF($L146="","",(U146-X146)/K146*100)</f>
      </c>
      <c r="W146" s="4">
        <f>IF($L146="","",N146-S146)</f>
      </c>
      <c r="Y146" s="4">
        <f>IF($L146="","",U146-X146)</f>
      </c>
    </row>
    <row r="147" spans="1:30" x14ac:dyDescent="0.25">
      <c r="A147" s="8"/>
      <c r="D147" s="9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IF($L147="","",(U147-X147)/K147*100)</f>
      </c>
      <c r="W147" s="4">
        <f>IF($L147="","",N147-S147)</f>
      </c>
      <c r="Y147" s="4">
        <f>IF($L147="","",U147-X147)</f>
      </c>
    </row>
    <row r="148" spans="1:30" x14ac:dyDescent="0.25">
      <c r="A148" s="8"/>
      <c r="D148" s="9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IF($L148="","",(U148-X148)/K148*100)</f>
      </c>
      <c r="W148" s="4">
        <f>IF($L148="","",N148-S148)</f>
      </c>
      <c r="Y148" s="4">
        <f>IF($L148="","",U148-X148)</f>
      </c>
    </row>
    <row r="149" spans="1:30" x14ac:dyDescent="0.25">
      <c r="A149" s="8"/>
      <c r="D149" s="9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IF($L149="","",(U149-X149)/K149*100)</f>
      </c>
      <c r="W149" s="4">
        <f>IF($L149="","",N149-S149)</f>
      </c>
      <c r="Y149" s="4">
        <f>IF($L149="","",U149-X149)</f>
      </c>
    </row>
    <row r="150" spans="1:30" x14ac:dyDescent="0.25">
      <c r="A150" s="8"/>
      <c r="D150" s="9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IF($L150="","",(U150-X150)/K150*100)</f>
      </c>
      <c r="W150" s="4">
        <f>IF($L150="","",N150-S150)</f>
      </c>
      <c r="Y150" s="4">
        <f>IF($L150="","",U150-X150)</f>
      </c>
    </row>
    <row r="151" spans="1:30" x14ac:dyDescent="0.25">
      <c r="A151" s="8"/>
      <c r="D151" s="9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IF($L151="","",(U151-X151)/K151*100)</f>
      </c>
      <c r="W151" s="4">
        <f>IF($L151="","",N151-S151)</f>
      </c>
      <c r="Y151" s="4">
        <f>IF($L151="","",U151-X151)</f>
      </c>
    </row>
    <row r="152" spans="1:30" x14ac:dyDescent="0.25">
      <c r="A152" s="8"/>
      <c r="D152" s="9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IF($L152="","",(U152-X152)/K152*100)</f>
      </c>
      <c r="W152" s="4">
        <f>IF($L152="","",N152-S152)</f>
      </c>
      <c r="Y152" s="4">
        <f>IF($L152="","",U152-X152)</f>
      </c>
    </row>
    <row r="153" spans="1:30" x14ac:dyDescent="0.25">
      <c r="A153" s="8"/>
      <c r="D153" s="9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IF($L153="","",(U153-X153)/K153*100)</f>
      </c>
      <c r="W153" s="4">
        <f>IF($L153="","",N153-S153)</f>
      </c>
      <c r="Y153" s="4">
        <f>IF($L153="","",U153-X153)</f>
      </c>
    </row>
    <row r="154" spans="1:30" x14ac:dyDescent="0.25">
      <c r="A154" s="8"/>
      <c r="D154" s="9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IF($L154="","",(U154-X154)/K154*100)</f>
      </c>
      <c r="W154" s="4">
        <f>IF($L154="","",N154-S154)</f>
      </c>
      <c r="Y154" s="4">
        <f>IF($L154="","",U154-X154)</f>
      </c>
    </row>
    <row r="155" spans="1:30" x14ac:dyDescent="0.25">
      <c r="A155" s="8"/>
      <c r="D155" s="9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IF($L155="","",(U155-X155)/K155*100)</f>
      </c>
      <c r="W155" s="4">
        <f>IF($L155="","",N155-S155)</f>
      </c>
      <c r="Y155" s="4">
        <f>IF($L155="","",U155-X155)</f>
      </c>
    </row>
    <row r="156" spans="1:30" x14ac:dyDescent="0.25">
      <c r="A156" s="8"/>
      <c r="D156" s="9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IF($L156="","",(U156-X156)/K156*100)</f>
      </c>
      <c r="W156" s="4">
        <f>IF($L156="","",N156-S156)</f>
      </c>
      <c r="Y156" s="4">
        <f>IF($L156="","",U156-X156)</f>
      </c>
    </row>
    <row r="157" spans="1:30" x14ac:dyDescent="0.25">
      <c r="A157" s="8"/>
      <c r="D157" s="9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IF($L157="","",(U157-X157)/K157*100)</f>
      </c>
      <c r="W157" s="4">
        <f>IF($L157="","",N157-S157)</f>
      </c>
      <c r="Y157" s="4">
        <f>IF($L157="","",U157-X157)</f>
      </c>
    </row>
    <row r="158" spans="1:30" x14ac:dyDescent="0.25">
      <c r="A158" s="8"/>
      <c r="D158" s="9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IF($L158="","",(U158-X158)/K158*100)</f>
      </c>
      <c r="W158" s="4">
        <f>IF($L158="","",N158-S158)</f>
      </c>
      <c r="Y158" s="4">
        <f>IF($L158="","",U158-X158)</f>
      </c>
    </row>
    <row r="159" spans="1:30" x14ac:dyDescent="0.25">
      <c r="A159" s="8"/>
      <c r="D159" s="9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IF($L159="","",(U159-X159)/K159*100)</f>
      </c>
      <c r="W159" s="4">
        <f>IF($L159="","",N159-S159)</f>
      </c>
      <c r="Y159" s="4">
        <f>IF($L159="","",U159-X159)</f>
      </c>
    </row>
    <row r="160" spans="1:30" x14ac:dyDescent="0.25">
      <c r="A160" s="8"/>
      <c r="D160" s="9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IF($L160="","",(U160-X160)/K160*100)</f>
      </c>
      <c r="W160" s="4">
        <f>IF($L160="","",N160-S160)</f>
      </c>
      <c r="Y160" s="4">
        <f>IF($L160="","",U160-X160)</f>
      </c>
    </row>
    <row r="161" spans="1:30" x14ac:dyDescent="0.25">
      <c r="A161" s="8"/>
      <c r="D161" s="9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IF($L161="","",(U161-X161)/K161*100)</f>
      </c>
      <c r="W161" s="4">
        <f>IF($L161="","",N161-S161)</f>
      </c>
      <c r="Y161" s="4">
        <f>IF($L161="","",U161-X161)</f>
      </c>
    </row>
    <row r="162" spans="1:30" x14ac:dyDescent="0.25">
      <c r="A162" s="8"/>
      <c r="D162" s="9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IF($L162="","",(U162-X162)/K162*100)</f>
      </c>
      <c r="W162" s="4">
        <f>IF($L162="","",N162-S162)</f>
      </c>
      <c r="Y162" s="4">
        <f>IF($L162="","",U162-X162)</f>
      </c>
    </row>
    <row r="163" spans="1:30" x14ac:dyDescent="0.25">
      <c r="A163" s="8"/>
      <c r="D163" s="9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IF($L163="","",(U163-X163)/K163*100)</f>
      </c>
      <c r="W163" s="4">
        <f>IF($L163="","",N163-S163)</f>
      </c>
      <c r="Y163" s="4">
        <f>IF($L163="","",U163-X163)</f>
      </c>
    </row>
    <row r="164" spans="1:30" x14ac:dyDescent="0.25">
      <c r="A164" s="8"/>
      <c r="D164" s="9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IF($L164="","",(U164-X164)/K164*100)</f>
      </c>
      <c r="W164" s="4">
        <f>IF($L164="","",N164-S164)</f>
      </c>
      <c r="Y164" s="4">
        <f>IF($L164="","",U164-X164)</f>
      </c>
    </row>
    <row r="165" spans="1:30" x14ac:dyDescent="0.25">
      <c r="A165" s="8"/>
      <c r="D165" s="9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IF($L165="","",(U165-X165)/K165*100)</f>
      </c>
      <c r="W165" s="4">
        <f>IF($L165="","",N165-S165)</f>
      </c>
      <c r="Y165" s="4">
        <f>IF($L165="","",U165-X165)</f>
      </c>
    </row>
    <row r="166" spans="1:30" x14ac:dyDescent="0.25">
      <c r="A166" s="8"/>
      <c r="D166" s="9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IF($L166="","",(U166-X166)/K166*100)</f>
      </c>
      <c r="W166" s="4">
        <f>IF($L166="","",N166-S166)</f>
      </c>
      <c r="Y166" s="4">
        <f>IF($L166="","",U166-X166)</f>
      </c>
    </row>
    <row r="167" spans="1:30" x14ac:dyDescent="0.25">
      <c r="A167" s="8"/>
      <c r="D167" s="9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IF($L167="","",(U167-X167)/K167*100)</f>
      </c>
      <c r="W167" s="4">
        <f>IF($L167="","",N167-S167)</f>
      </c>
      <c r="Y167" s="4">
        <f>IF($L167="","",U167-X167)</f>
      </c>
    </row>
    <row r="168" spans="1:30" x14ac:dyDescent="0.25">
      <c r="A168" s="8"/>
      <c r="D168" s="9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IF($L168="","",(U168-X168)/K168*100)</f>
      </c>
      <c r="W168" s="4">
        <f>IF($L168="","",N168-S168)</f>
      </c>
      <c r="Y168" s="4">
        <f>IF($L168="","",U168-X168)</f>
      </c>
    </row>
    <row r="169" spans="1:30" x14ac:dyDescent="0.25">
      <c r="A169" s="8"/>
      <c r="D169" s="9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IF($L169="","",(U169-X169)/K169*100)</f>
      </c>
      <c r="W169" s="4">
        <f>IF($L169="","",N169-S169)</f>
      </c>
      <c r="Y169" s="4">
        <f>IF($L169="","",U169-X169)</f>
      </c>
    </row>
    <row r="170" spans="1:30" x14ac:dyDescent="0.25">
      <c r="A170" s="8"/>
      <c r="D170" s="9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IF($L170="","",(U170-X170)/K170*100)</f>
      </c>
      <c r="W170" s="4">
        <f>IF($L170="","",N170-S170)</f>
      </c>
      <c r="Y170" s="4">
        <f>IF($L170="","",U170-X170)</f>
      </c>
    </row>
    <row r="171" spans="1:30" x14ac:dyDescent="0.25">
      <c r="A171" s="8"/>
      <c r="D171" s="9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IF($L171="","",(U171-X171)/K171*100)</f>
      </c>
      <c r="W171" s="4">
        <f>IF($L171="","",N171-S171)</f>
      </c>
      <c r="Y171" s="4">
        <f>IF($L171="","",U171-X171)</f>
      </c>
    </row>
    <row r="172" spans="1:30" x14ac:dyDescent="0.25">
      <c r="A172" s="8"/>
      <c r="D172" s="9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IF($L172="","",(U172-X172)/K172*100)</f>
      </c>
      <c r="W172" s="4">
        <f>IF($L172="","",N172-S172)</f>
      </c>
      <c r="Y172" s="4">
        <f>IF($L172="","",U172-X172)</f>
      </c>
    </row>
    <row r="173" spans="1:30" x14ac:dyDescent="0.25">
      <c r="A173" s="8"/>
      <c r="D173" s="9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IF($L173="","",(U173-X173)/K173*100)</f>
      </c>
      <c r="W173" s="4">
        <f>IF($L173="","",N173-S173)</f>
      </c>
      <c r="Y173" s="4">
        <f>IF($L173="","",U173-X173)</f>
      </c>
    </row>
    <row r="174" spans="1:30" x14ac:dyDescent="0.25">
      <c r="A174" s="8"/>
      <c r="D174" s="9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IF($L174="","",(U174-X174)/K174*100)</f>
      </c>
      <c r="W174" s="4">
        <f>IF($L174="","",N174-S174)</f>
      </c>
      <c r="Y174" s="4">
        <f>IF($L174="","",U174-X174)</f>
      </c>
    </row>
    <row r="175" spans="1:30" x14ac:dyDescent="0.25">
      <c r="A175" s="8"/>
      <c r="D175" s="9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IF($L175="","",(U175-X175)/K175*100)</f>
      </c>
      <c r="W175" s="4">
        <f>IF($L175="","",N175-S175)</f>
      </c>
      <c r="Y175" s="4">
        <f>IF($L175="","",U175-X175)</f>
      </c>
    </row>
    <row r="176" spans="1:30" x14ac:dyDescent="0.25">
      <c r="A176" s="8"/>
      <c r="D176" s="9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IF($L176="","",(U176-X176)/K176*100)</f>
      </c>
      <c r="W176" s="4">
        <f>IF($L176="","",N176-S176)</f>
      </c>
      <c r="Y176" s="4">
        <f>IF($L176="","",U176-X176)</f>
      </c>
    </row>
    <row r="177" spans="1:30" x14ac:dyDescent="0.25">
      <c r="A177" s="8"/>
      <c r="D177" s="9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IF($L177="","",(U177-X177)/K177*100)</f>
      </c>
      <c r="W177" s="4">
        <f>IF($L177="","",N177-S177)</f>
      </c>
      <c r="Y177" s="4">
        <f>IF($L177="","",U177-X177)</f>
      </c>
    </row>
    <row r="178" spans="1:30" x14ac:dyDescent="0.25">
      <c r="A178" s="8"/>
      <c r="D178" s="9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IF($L178="","",(U178-X178)/K178*100)</f>
      </c>
      <c r="W178" s="4">
        <f>IF($L178="","",N178-S178)</f>
      </c>
      <c r="Y178" s="4">
        <f>IF($L178="","",U178-X178)</f>
      </c>
    </row>
    <row r="179" spans="1:30" x14ac:dyDescent="0.25">
      <c r="A179" s="8"/>
      <c r="D179" s="9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IF($L179="","",(U179-X179)/K179*100)</f>
      </c>
      <c r="W179" s="4">
        <f>IF($L179="","",N179-S179)</f>
      </c>
      <c r="Y179" s="4">
        <f>IF($L179="","",U179-X179)</f>
      </c>
    </row>
    <row r="180" spans="1:30" x14ac:dyDescent="0.25">
      <c r="A180" s="8"/>
      <c r="D180" s="9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IF($L180="","",(U180-X180)/K180*100)</f>
      </c>
      <c r="W180" s="4">
        <f>IF($L180="","",N180-S180)</f>
      </c>
      <c r="Y180" s="4">
        <f>IF($L180="","",U180-X180)</f>
      </c>
    </row>
    <row r="181" spans="1:30" x14ac:dyDescent="0.25">
      <c r="A181" s="8"/>
      <c r="D181" s="9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IF($L181="","",(U181-X181)/K181*100)</f>
      </c>
      <c r="W181" s="4">
        <f>IF($L181="","",N181-S181)</f>
      </c>
      <c r="Y181" s="4">
        <f>IF($L181="","",U181-X181)</f>
      </c>
    </row>
    <row r="182" spans="1:30" x14ac:dyDescent="0.25">
      <c r="A182" s="8"/>
      <c r="D182" s="9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IF($L182="","",(U182-X182)/K182*100)</f>
      </c>
      <c r="W182" s="4">
        <f>IF($L182="","",N182-S182)</f>
      </c>
      <c r="Y182" s="4">
        <f>IF($L182="","",U182-X182)</f>
      </c>
    </row>
    <row r="183" spans="1:30" x14ac:dyDescent="0.25">
      <c r="A183" s="8"/>
      <c r="D183" s="9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IF($L183="","",(U183-X183)/K183*100)</f>
      </c>
      <c r="W183" s="4">
        <f>IF($L183="","",N183-S183)</f>
      </c>
      <c r="Y183" s="4">
        <f>IF($L183="","",U183-X183)</f>
      </c>
    </row>
    <row r="184" spans="1:30" x14ac:dyDescent="0.25">
      <c r="A184" s="8"/>
      <c r="D184" s="9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IF($L184="","",(U184-X184)/K184*100)</f>
      </c>
      <c r="W184" s="4">
        <f>IF($L184="","",N184-S184)</f>
      </c>
      <c r="Y184" s="4">
        <f>IF($L184="","",U184-X184)</f>
      </c>
    </row>
    <row r="185" spans="1:30" x14ac:dyDescent="0.25">
      <c r="A185" s="8"/>
      <c r="D185" s="9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IF($L185="","",(U185-X185)/K185*100)</f>
      </c>
      <c r="W185" s="4">
        <f>IF($L185="","",N185-S185)</f>
      </c>
      <c r="Y185" s="4">
        <f>IF($L185="","",U185-X185)</f>
      </c>
    </row>
    <row r="186" spans="1:30" x14ac:dyDescent="0.25">
      <c r="A186" s="8"/>
      <c r="D186" s="9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IF($L186="","",(U186-X186)/K186*100)</f>
      </c>
      <c r="W186" s="4">
        <f>IF($L186="","",N186-S186)</f>
      </c>
      <c r="Y186" s="4">
        <f>IF($L186="","",U186-X186)</f>
      </c>
    </row>
    <row r="187" spans="1:30" x14ac:dyDescent="0.25">
      <c r="A187" s="8"/>
      <c r="D187" s="9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IF($L187="","",(U187-X187)/K187*100)</f>
      </c>
      <c r="W187" s="4">
        <f>IF($L187="","",N187-S187)</f>
      </c>
      <c r="Y187" s="4">
        <f>IF($L187="","",U187-X187)</f>
      </c>
    </row>
    <row r="188" spans="1:30" x14ac:dyDescent="0.25">
      <c r="A188" s="8"/>
      <c r="D188" s="9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IF($L188="","",(U188-X188)/K188*100)</f>
      </c>
      <c r="W188" s="4">
        <f>IF($L188="","",N188-S188)</f>
      </c>
      <c r="Y188" s="4">
        <f>IF($L188="","",U188-X188)</f>
      </c>
    </row>
    <row r="189" spans="1:30" x14ac:dyDescent="0.25">
      <c r="A189" s="8"/>
      <c r="D189" s="9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IF($L189="","",(U189-X189)/K189*100)</f>
      </c>
      <c r="W189" s="4">
        <f>IF($L189="","",N189-S189)</f>
      </c>
      <c r="Y189" s="4">
        <f>IF($L189="","",U189-X189)</f>
      </c>
    </row>
    <row r="190" spans="1:30" x14ac:dyDescent="0.25">
      <c r="A190" s="8"/>
      <c r="D190" s="9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IF($L190="","",(U190-X190)/K190*100)</f>
      </c>
      <c r="W190" s="4">
        <f>IF($L190="","",N190-S190)</f>
      </c>
      <c r="Y190" s="4">
        <f>IF($L190="","",U190-X190)</f>
      </c>
    </row>
    <row r="191" spans="1:30" x14ac:dyDescent="0.25">
      <c r="A191" s="8"/>
      <c r="D191" s="9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IF($L191="","",(U191-X191)/K191*100)</f>
      </c>
      <c r="W191" s="4">
        <f>IF($L191="","",N191-S191)</f>
      </c>
      <c r="Y191" s="4">
        <f>IF($L191="","",U191-X191)</f>
      </c>
    </row>
    <row r="192" spans="1:30" x14ac:dyDescent="0.25">
      <c r="A192" s="8"/>
      <c r="D192" s="9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IF($L192="","",(U192-X192)/K192*100)</f>
      </c>
      <c r="W192" s="4">
        <f>IF($L192="","",N192-S192)</f>
      </c>
      <c r="Y192" s="4">
        <f>IF($L192="","",U192-X192)</f>
      </c>
    </row>
    <row r="193" spans="1:30" x14ac:dyDescent="0.25">
      <c r="A193" s="8"/>
      <c r="D193" s="9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IF($L193="","",(U193-X193)/K193*100)</f>
      </c>
      <c r="W193" s="4">
        <f>IF($L193="","",N193-S193)</f>
      </c>
      <c r="Y193" s="4">
        <f>IF($L193="","",U193-X193)</f>
      </c>
    </row>
    <row r="194" spans="1:30" x14ac:dyDescent="0.25">
      <c r="A194" s="8"/>
      <c r="D194" s="9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IF($L194="","",(U194-X194)/K194*100)</f>
      </c>
      <c r="W194" s="4">
        <f>IF($L194="","",N194-S194)</f>
      </c>
      <c r="Y194" s="4">
        <f>IF($L194="","",U194-X194)</f>
      </c>
    </row>
    <row r="195" spans="1:30" x14ac:dyDescent="0.25">
      <c r="A195" s="8"/>
      <c r="D195" s="9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IF($L195="","",(U195-X195)/K195*100)</f>
      </c>
      <c r="W195" s="4">
        <f>IF($L195="","",N195-S195)</f>
      </c>
      <c r="Y195" s="4">
        <f>IF($L195="","",U195-X195)</f>
      </c>
    </row>
    <row r="196" spans="1:30" x14ac:dyDescent="0.25">
      <c r="A196" s="8"/>
      <c r="D196" s="9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IF($L196="","",(U196-X196)/K196*100)</f>
      </c>
      <c r="W196" s="4">
        <f>IF($L196="","",N196-S196)</f>
      </c>
      <c r="Y196" s="4">
        <f>IF($L196="","",U196-X196)</f>
      </c>
    </row>
    <row r="197" spans="1:30" x14ac:dyDescent="0.25">
      <c r="A197" s="8"/>
      <c r="D197" s="9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IF($L197="","",(U197-X197)/K197*100)</f>
      </c>
      <c r="W197" s="4">
        <f>IF($L197="","",N197-S197)</f>
      </c>
      <c r="Y197" s="4">
        <f>IF($L197="","",U197-X197)</f>
      </c>
    </row>
    <row r="198" spans="1:30" x14ac:dyDescent="0.25">
      <c r="A198" s="8"/>
      <c r="D198" s="9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IF($L198="","",(U198-X198)/K198*100)</f>
      </c>
      <c r="W198" s="4">
        <f>IF($L198="","",N198-S198)</f>
      </c>
      <c r="Y198" s="4">
        <f>IF($L198="","",U198-X198)</f>
      </c>
    </row>
    <row r="199" spans="1:30" x14ac:dyDescent="0.25">
      <c r="A199" s="8"/>
      <c r="D199" s="9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IF($L199="","",(U199-X199)/K199*100)</f>
      </c>
      <c r="W199" s="4">
        <f>IF($L199="","",N199-S199)</f>
      </c>
      <c r="Y199" s="4">
        <f>IF($L199="","",U199-X199)</f>
      </c>
    </row>
    <row r="200" spans="1:30" x14ac:dyDescent="0.25">
      <c r="A200" s="8"/>
      <c r="D200" s="9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IF($L200="","",(U200-X200)/K200*100)</f>
      </c>
      <c r="W200" s="4">
        <f>IF($L200="","",N200-S200)</f>
      </c>
      <c r="Y200" s="4">
        <f>IF($L200="","",U200-X200)</f>
      </c>
    </row>
    <row r="201" spans="1:30" x14ac:dyDescent="0.25">
      <c r="A201" s="8"/>
      <c r="D201" s="9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IF($L201="","",(U201-X201)/K201*100)</f>
      </c>
      <c r="W201" s="4">
        <f>IF($L201="","",N201-S201)</f>
      </c>
      <c r="Y201" s="4">
        <f>IF($L201="","",U201-X201)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IFERROR((U202-X202)/K202*100,0)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85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86</v>
      </c>
      <c r="P1" t="s">
        <v>87</v>
      </c>
      <c r="Q1" t="s">
        <v>88</v>
      </c>
      <c r="R1" t="s">
        <v>89</v>
      </c>
      <c r="S1" t="s">
        <v>43</v>
      </c>
      <c r="T1" t="s">
        <v>44</v>
      </c>
      <c r="U1" t="s">
        <v>90</v>
      </c>
      <c r="V1" t="s">
        <v>91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46223.5</v>
      </c>
      <c r="B2" t="s">
        <v>92</v>
      </c>
      <c r="C2" t="s">
        <v>93</v>
      </c>
      <c r="D2" s="9" t="s">
        <v>1</v>
      </c>
      <c r="E2" t="s">
        <v>93</v>
      </c>
      <c r="F2" t="s">
        <v>1</v>
      </c>
      <c r="G2" t="s">
        <v>1</v>
      </c>
      <c r="H2" t="s">
        <v>62</v>
      </c>
      <c r="I2">
        <v>3</v>
      </c>
      <c r="J2" s="4">
        <v>3.3</v>
      </c>
      <c r="K2" s="4">
        <v>17.97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2.5</v>
      </c>
      <c r="T2" s="4">
        <v>0</v>
      </c>
      <c r="U2" s="4">
        <v>0</v>
      </c>
      <c r="V2" s="4">
        <f>U2*20%</f>
      </c>
      <c r="W2" s="4">
        <v>0</v>
      </c>
      <c r="X2" s="4">
        <f>Q2+T2+V2</f>
      </c>
      <c r="Y2" s="4">
        <f>L2-M2-R2-S2-T2-U2-V2-W2</f>
      </c>
      <c r="Z2" s="4">
        <f>(Y2-AB2)/J2*100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46221.5</v>
      </c>
      <c r="B3" t="s">
        <v>94</v>
      </c>
      <c r="C3" t="s">
        <v>95</v>
      </c>
      <c r="D3" s="9" t="s">
        <v>96</v>
      </c>
      <c r="E3" t="s">
        <v>76</v>
      </c>
      <c r="F3" t="s">
        <v>60</v>
      </c>
      <c r="G3" t="s">
        <v>97</v>
      </c>
      <c r="H3" t="s">
        <v>62</v>
      </c>
      <c r="I3">
        <v>1</v>
      </c>
      <c r="J3" s="4">
        <v>200</v>
      </c>
      <c r="K3" s="4">
        <v>355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(Y3-AB3)/J3*100</f>
      </c>
      <c r="AA3" s="4">
        <f>M3-X3</f>
      </c>
      <c r="AC3" s="4">
        <f>Y3-AB3</f>
      </c>
      <c r="AH3" t="s">
        <v>1</v>
      </c>
    </row>
    <row r="4" spans="1:34" x14ac:dyDescent="0.25">
      <c r="A4" s="10">
        <v>46219.5</v>
      </c>
      <c r="B4" s="11" t="s">
        <v>98</v>
      </c>
      <c r="C4" s="11" t="s">
        <v>99</v>
      </c>
      <c r="D4" s="12" t="s">
        <v>100</v>
      </c>
      <c r="E4" s="11" t="s">
        <v>99</v>
      </c>
      <c r="F4" s="11" t="s">
        <v>60</v>
      </c>
      <c r="G4" s="11" t="s">
        <v>97</v>
      </c>
      <c r="H4" s="11" t="s">
        <v>62</v>
      </c>
      <c r="I4" s="11">
        <v>1</v>
      </c>
      <c r="J4" s="13">
        <v>200</v>
      </c>
      <c r="K4" s="13">
        <v>375</v>
      </c>
      <c r="L4" s="13">
        <f>K4-J4</f>
      </c>
      <c r="M4" s="13">
        <f>L4*16.67%</f>
      </c>
      <c r="N4" s="13">
        <f>(K4*6.9%)-(K4*6.9%)*10%</f>
      </c>
      <c r="O4" s="13">
        <f>K4*0.35%</f>
      </c>
      <c r="P4" s="13">
        <v>0.4</v>
      </c>
      <c r="Q4" s="13">
        <f>(N4+O4+P4)*20%</f>
      </c>
      <c r="R4" s="13">
        <f>N4+O4+P4+Q4</f>
      </c>
      <c r="S4" s="13">
        <v>8</v>
      </c>
      <c r="T4" s="13">
        <v>0</v>
      </c>
      <c r="U4" s="13">
        <v>0</v>
      </c>
      <c r="V4" s="13">
        <f>U4*20%</f>
      </c>
      <c r="W4" s="13">
        <v>1</v>
      </c>
      <c r="X4" s="13">
        <f>Q4+T4+V4</f>
      </c>
      <c r="Y4" s="13">
        <f>L4-M4-R4-S4-T4-U4-V4-W4</f>
      </c>
      <c r="Z4" s="13">
        <f>(Y4-AB4)/J4*100</f>
      </c>
      <c r="AA4" s="13">
        <f>M4-X4</f>
      </c>
      <c r="AB4" s="13">
        <v>19.2</v>
      </c>
      <c r="AC4" s="13">
        <f>Y4-AB4</f>
      </c>
      <c r="AD4" s="10">
        <v>46225.5</v>
      </c>
      <c r="AE4" s="11" t="s">
        <v>101</v>
      </c>
      <c r="AF4" s="11">
        <v>2</v>
      </c>
      <c r="AG4" s="11" t="s">
        <v>102</v>
      </c>
      <c r="AH4" s="11" t="s">
        <v>1</v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IF($K202="","",(Y202-AB202)/J202*100)</f>
      </c>
      <c r="AA202" s="4">
        <f>IF($K202="","",M202-X202)</f>
      </c>
      <c r="AC202" s="4">
        <f>IF($K202="","",Y202-AB202)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IF($K203="","",(Y203-AB203)/J203*100)</f>
      </c>
      <c r="AA203" s="4">
        <f>IF($K203="","",M203-X203)</f>
      </c>
      <c r="AC203" s="4">
        <f>IF($K203="","",Y203-AB203)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IF($K204="","",(Y204-AB204)/J204*100)</f>
      </c>
      <c r="AA204" s="4">
        <f>IF($K204="","",M204-X204)</f>
      </c>
      <c r="AC204" s="4">
        <f>IF($K204="","",Y204-AB204)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SUM(W2:W204)</f>
      </c>
      <c r="X205" s="14">
        <f>SUM(X2:X204)</f>
      </c>
      <c r="Y205" s="14">
        <f>SUM(Y2:Y204)</f>
      </c>
      <c r="Z205" s="14">
        <f>IFERROR((Y205-AB205)/K205*100,0)</f>
      </c>
      <c r="AA205" s="14">
        <f>SUM(AA2:AA204)</f>
      </c>
      <c r="AB205" s="14">
        <f>SUM(AB2:AB204)</f>
      </c>
      <c r="AC205" s="14">
        <f>SUM(AC2:AC204)</f>
      </c>
      <c r="AD205" s="7"/>
      <c r="AE205" s="7"/>
      <c r="AF205" s="7"/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103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46228.5</v>
      </c>
      <c r="B2" t="s">
        <v>104</v>
      </c>
      <c r="C2" t="s">
        <v>105</v>
      </c>
      <c r="D2" s="9" t="s">
        <v>106</v>
      </c>
      <c r="E2" t="s">
        <v>107</v>
      </c>
      <c r="F2" t="s">
        <v>60</v>
      </c>
      <c r="G2" t="s">
        <v>97</v>
      </c>
      <c r="H2" t="s">
        <v>62</v>
      </c>
      <c r="I2" s="4">
        <v>200</v>
      </c>
      <c r="J2" s="4">
        <v>410</v>
      </c>
      <c r="K2" s="4">
        <f>J2-I2</f>
      </c>
      <c r="L2" s="4">
        <f>K2*16.67%</f>
      </c>
      <c r="M2" s="4">
        <f>J2*7%</f>
      </c>
      <c r="N2" s="4">
        <f>M2*20%</f>
      </c>
      <c r="O2" s="4">
        <v>8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IF($J202="","",(S202-V202)/I202*100)</f>
      </c>
      <c r="U202" s="4">
        <f>IF($J202="","",L202-R202)</f>
      </c>
      <c r="W202" s="4">
        <f>IF($J202="","",S202-V202)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IFERROR((S203-V203)/I203*100,0)</f>
      </c>
      <c r="U203" s="14">
        <f>SUM(U2:U202)</f>
      </c>
      <c r="V203" s="14">
        <f>SUM(V2:V202)</f>
      </c>
      <c r="W203" s="14">
        <f>SUM(W2:W202)</f>
      </c>
      <c r="X203" s="7"/>
      <c r="Y203" s="7"/>
      <c r="Z203" s="7"/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108</v>
      </c>
      <c r="P1" t="s">
        <v>109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IF($K2="","",(U2-X2)/J2*100)</f>
      </c>
      <c r="W2" s="4">
        <f>IF($K2="","",M2-T2)</f>
      </c>
      <c r="Y2" s="4">
        <f>IF($K2="","",U2-X2)</f>
      </c>
    </row>
    <row r="3" spans="1:30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IF($K3="","",(U3-X3)/J3*100)</f>
      </c>
      <c r="W3" s="4">
        <f>IF($K3="","",M3-T3)</f>
      </c>
      <c r="Y3" s="4">
        <f>IF($K3="","",U3-X3)</f>
      </c>
    </row>
    <row r="4" spans="1:30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IF($K4="","",(U4-X4)/J4*100)</f>
      </c>
      <c r="W4" s="4">
        <f>IF($K4="","",M4-T4)</f>
      </c>
      <c r="Y4" s="4">
        <f>IF($K4="","",U4-X4)</f>
      </c>
    </row>
    <row r="5" spans="1:30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IF($K5="","",(U5-X5)/J5*100)</f>
      </c>
      <c r="W5" s="4">
        <f>IF($K5="","",M5-T5)</f>
      </c>
      <c r="Y5" s="4">
        <f>IF($K5="","",U5-X5)</f>
      </c>
    </row>
    <row r="6" spans="1:30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IF($K6="","",(U6-X6)/J6*100)</f>
      </c>
      <c r="W6" s="4">
        <f>IF($K6="","",M6-T6)</f>
      </c>
      <c r="Y6" s="4">
        <f>IF($K6="","",U6-X6)</f>
      </c>
    </row>
    <row r="7" spans="1:30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IF($K7="","",(U7-X7)/J7*100)</f>
      </c>
      <c r="W7" s="4">
        <f>IF($K7="","",M7-T7)</f>
      </c>
      <c r="Y7" s="4">
        <f>IF($K7="","",U7-X7)</f>
      </c>
    </row>
    <row r="8" spans="1:30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IF($K8="","",(U8-X8)/J8*100)</f>
      </c>
      <c r="W8" s="4">
        <f>IF($K8="","",M8-T8)</f>
      </c>
      <c r="Y8" s="4">
        <f>IF($K8="","",U8-X8)</f>
      </c>
    </row>
    <row r="9" spans="1:30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IF($K9="","",(U9-X9)/J9*100)</f>
      </c>
      <c r="W9" s="4">
        <f>IF($K9="","",M9-T9)</f>
      </c>
      <c r="Y9" s="4">
        <f>IF($K9="","",U9-X9)</f>
      </c>
    </row>
    <row r="10" spans="1:30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IF($K10="","",(U10-X10)/J10*100)</f>
      </c>
      <c r="W10" s="4">
        <f>IF($K10="","",M10-T10)</f>
      </c>
      <c r="Y10" s="4">
        <f>IF($K10="","",U10-X10)</f>
      </c>
    </row>
    <row r="11" spans="1:30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IF($K11="","",(U11-X11)/J11*100)</f>
      </c>
      <c r="W11" s="4">
        <f>IF($K11="","",M11-T11)</f>
      </c>
      <c r="Y11" s="4">
        <f>IF($K11="","",U11-X11)</f>
      </c>
    </row>
    <row r="12" spans="1:30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IF($K12="","",(U12-X12)/J12*100)</f>
      </c>
      <c r="W12" s="4">
        <f>IF($K12="","",M12-T12)</f>
      </c>
      <c r="Y12" s="4">
        <f>IF($K12="","",U12-X12)</f>
      </c>
    </row>
    <row r="13" spans="1:30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IF($K13="","",(U13-X13)/J13*100)</f>
      </c>
      <c r="W13" s="4">
        <f>IF($K13="","",M13-T13)</f>
      </c>
      <c r="Y13" s="4">
        <f>IF($K13="","",U13-X13)</f>
      </c>
    </row>
    <row r="14" spans="1:30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IF($K14="","",(U14-X14)/J14*100)</f>
      </c>
      <c r="W14" s="4">
        <f>IF($K14="","",M14-T14)</f>
      </c>
      <c r="Y14" s="4">
        <f>IF($K14="","",U14-X14)</f>
      </c>
    </row>
    <row r="15" spans="1:30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IF($K15="","",(U15-X15)/J15*100)</f>
      </c>
      <c r="W15" s="4">
        <f>IF($K15="","",M15-T15)</f>
      </c>
      <c r="Y15" s="4">
        <f>IF($K15="","",U15-X15)</f>
      </c>
    </row>
    <row r="16" spans="1:30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IF($K16="","",(U16-X16)/J16*100)</f>
      </c>
      <c r="W16" s="4">
        <f>IF($K16="","",M16-T16)</f>
      </c>
      <c r="Y16" s="4">
        <f>IF($K16="","",U16-X16)</f>
      </c>
    </row>
    <row r="17" spans="1:30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IF($K17="","",(U17-X17)/J17*100)</f>
      </c>
      <c r="W17" s="4">
        <f>IF($K17="","",M17-T17)</f>
      </c>
      <c r="Y17" s="4">
        <f>IF($K17="","",U17-X17)</f>
      </c>
    </row>
    <row r="18" spans="1:30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IF($K18="","",(U18-X18)/J18*100)</f>
      </c>
      <c r="W18" s="4">
        <f>IF($K18="","",M18-T18)</f>
      </c>
      <c r="Y18" s="4">
        <f>IF($K18="","",U18-X18)</f>
      </c>
    </row>
    <row r="19" spans="1:30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IF($K19="","",(U19-X19)/J19*100)</f>
      </c>
      <c r="W19" s="4">
        <f>IF($K19="","",M19-T19)</f>
      </c>
      <c r="Y19" s="4">
        <f>IF($K19="","",U19-X19)</f>
      </c>
    </row>
    <row r="20" spans="1:30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IF($K20="","",(U20-X20)/J20*100)</f>
      </c>
      <c r="W20" s="4">
        <f>IF($K20="","",M20-T20)</f>
      </c>
      <c r="Y20" s="4">
        <f>IF($K20="","",U20-X20)</f>
      </c>
    </row>
    <row r="21" spans="1:30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IF($K21="","",(U21-X21)/J21*100)</f>
      </c>
      <c r="W21" s="4">
        <f>IF($K21="","",M21-T21)</f>
      </c>
      <c r="Y21" s="4">
        <f>IF($K21="","",U21-X21)</f>
      </c>
    </row>
    <row r="22" spans="1:30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IF($K22="","",(U22-X22)/J22*100)</f>
      </c>
      <c r="W22" s="4">
        <f>IF($K22="","",M22-T22)</f>
      </c>
      <c r="Y22" s="4">
        <f>IF($K22="","",U22-X22)</f>
      </c>
    </row>
    <row r="23" spans="1:30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IF($K23="","",(U23-X23)/J23*100)</f>
      </c>
      <c r="W23" s="4">
        <f>IF($K23="","",M23-T23)</f>
      </c>
      <c r="Y23" s="4">
        <f>IF($K23="","",U23-X23)</f>
      </c>
    </row>
    <row r="24" spans="1:30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IF($K24="","",(U24-X24)/J24*100)</f>
      </c>
      <c r="W24" s="4">
        <f>IF($K24="","",M24-T24)</f>
      </c>
      <c r="Y24" s="4">
        <f>IF($K24="","",U24-X24)</f>
      </c>
    </row>
    <row r="25" spans="1:30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IF($K25="","",(U25-X25)/J25*100)</f>
      </c>
      <c r="W25" s="4">
        <f>IF($K25="","",M25-T25)</f>
      </c>
      <c r="Y25" s="4">
        <f>IF($K25="","",U25-X25)</f>
      </c>
    </row>
    <row r="26" spans="1:30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IF($K26="","",(U26-X26)/J26*100)</f>
      </c>
      <c r="W26" s="4">
        <f>IF($K26="","",M26-T26)</f>
      </c>
      <c r="Y26" s="4">
        <f>IF($K26="","",U26-X26)</f>
      </c>
    </row>
    <row r="27" spans="1:30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IF($K27="","",(U27-X27)/J27*100)</f>
      </c>
      <c r="W27" s="4">
        <f>IF($K27="","",M27-T27)</f>
      </c>
      <c r="Y27" s="4">
        <f>IF($K27="","",U27-X27)</f>
      </c>
    </row>
    <row r="28" spans="1:30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IF($K28="","",(U28-X28)/J28*100)</f>
      </c>
      <c r="W28" s="4">
        <f>IF($K28="","",M28-T28)</f>
      </c>
      <c r="Y28" s="4">
        <f>IF($K28="","",U28-X28)</f>
      </c>
    </row>
    <row r="29" spans="1:30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IF($K29="","",(U29-X29)/J29*100)</f>
      </c>
      <c r="W29" s="4">
        <f>IF($K29="","",M29-T29)</f>
      </c>
      <c r="Y29" s="4">
        <f>IF($K29="","",U29-X29)</f>
      </c>
    </row>
    <row r="30" spans="1:30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IF($K30="","",(U30-X30)/J30*100)</f>
      </c>
      <c r="W30" s="4">
        <f>IF($K30="","",M30-T30)</f>
      </c>
      <c r="Y30" s="4">
        <f>IF($K30="","",U30-X30)</f>
      </c>
    </row>
    <row r="31" spans="1:30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IF($K31="","",(U31-X31)/J31*100)</f>
      </c>
      <c r="W31" s="4">
        <f>IF($K31="","",M31-T31)</f>
      </c>
      <c r="Y31" s="4">
        <f>IF($K31="","",U31-X31)</f>
      </c>
    </row>
    <row r="32" spans="1:30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IF($K32="","",(U32-X32)/J32*100)</f>
      </c>
      <c r="W32" s="4">
        <f>IF($K32="","",M32-T32)</f>
      </c>
      <c r="Y32" s="4">
        <f>IF($K32="","",U32-X32)</f>
      </c>
    </row>
    <row r="33" spans="1:30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IF($K33="","",(U33-X33)/J33*100)</f>
      </c>
      <c r="W33" s="4">
        <f>IF($K33="","",M33-T33)</f>
      </c>
      <c r="Y33" s="4">
        <f>IF($K33="","",U33-X33)</f>
      </c>
    </row>
    <row r="34" spans="1:30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IF($K34="","",(U34-X34)/J34*100)</f>
      </c>
      <c r="W34" s="4">
        <f>IF($K34="","",M34-T34)</f>
      </c>
      <c r="Y34" s="4">
        <f>IF($K34="","",U34-X34)</f>
      </c>
    </row>
    <row r="35" spans="1:30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IF($K35="","",(U35-X35)/J35*100)</f>
      </c>
      <c r="W35" s="4">
        <f>IF($K35="","",M35-T35)</f>
      </c>
      <c r="Y35" s="4">
        <f>IF($K35="","",U35-X35)</f>
      </c>
    </row>
    <row r="36" spans="1:30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IF($K36="","",(U36-X36)/J36*100)</f>
      </c>
      <c r="W36" s="4">
        <f>IF($K36="","",M36-T36)</f>
      </c>
      <c r="Y36" s="4">
        <f>IF($K36="","",U36-X36)</f>
      </c>
    </row>
    <row r="37" spans="1:30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IF($K37="","",(U37-X37)/J37*100)</f>
      </c>
      <c r="W37" s="4">
        <f>IF($K37="","",M37-T37)</f>
      </c>
      <c r="Y37" s="4">
        <f>IF($K37="","",U37-X37)</f>
      </c>
    </row>
    <row r="38" spans="1:30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IF($K38="","",(U38-X38)/J38*100)</f>
      </c>
      <c r="W38" s="4">
        <f>IF($K38="","",M38-T38)</f>
      </c>
      <c r="Y38" s="4">
        <f>IF($K38="","",U38-X38)</f>
      </c>
    </row>
    <row r="39" spans="1:30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IF($K39="","",(U39-X39)/J39*100)</f>
      </c>
      <c r="W39" s="4">
        <f>IF($K39="","",M39-T39)</f>
      </c>
      <c r="Y39" s="4">
        <f>IF($K39="","",U39-X39)</f>
      </c>
    </row>
    <row r="40" spans="1:30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IF($K40="","",(U40-X40)/J40*100)</f>
      </c>
      <c r="W40" s="4">
        <f>IF($K40="","",M40-T40)</f>
      </c>
      <c r="Y40" s="4">
        <f>IF($K40="","",U40-X40)</f>
      </c>
    </row>
    <row r="41" spans="1:30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IF($K41="","",(U41-X41)/J41*100)</f>
      </c>
      <c r="W41" s="4">
        <f>IF($K41="","",M41-T41)</f>
      </c>
      <c r="Y41" s="4">
        <f>IF($K41="","",U41-X41)</f>
      </c>
    </row>
    <row r="42" spans="1:30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IF($K42="","",(U42-X42)/J42*100)</f>
      </c>
      <c r="W42" s="4">
        <f>IF($K42="","",M42-T42)</f>
      </c>
      <c r="Y42" s="4">
        <f>IF($K42="","",U42-X42)</f>
      </c>
    </row>
    <row r="43" spans="1:30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IF($K43="","",(U43-X43)/J43*100)</f>
      </c>
      <c r="W43" s="4">
        <f>IF($K43="","",M43-T43)</f>
      </c>
      <c r="Y43" s="4">
        <f>IF($K43="","",U43-X43)</f>
      </c>
    </row>
    <row r="44" spans="1:30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IF($K44="","",(U44-X44)/J44*100)</f>
      </c>
      <c r="W44" s="4">
        <f>IF($K44="","",M44-T44)</f>
      </c>
      <c r="Y44" s="4">
        <f>IF($K44="","",U44-X44)</f>
      </c>
    </row>
    <row r="45" spans="1:30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IF($K45="","",(U45-X45)/J45*100)</f>
      </c>
      <c r="W45" s="4">
        <f>IF($K45="","",M45-T45)</f>
      </c>
      <c r="Y45" s="4">
        <f>IF($K45="","",U45-X45)</f>
      </c>
    </row>
    <row r="46" spans="1:30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IF($K46="","",(U46-X46)/J46*100)</f>
      </c>
      <c r="W46" s="4">
        <f>IF($K46="","",M46-T46)</f>
      </c>
      <c r="Y46" s="4">
        <f>IF($K46="","",U46-X46)</f>
      </c>
    </row>
    <row r="47" spans="1:30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IF($K47="","",(U47-X47)/J47*100)</f>
      </c>
      <c r="W47" s="4">
        <f>IF($K47="","",M47-T47)</f>
      </c>
      <c r="Y47" s="4">
        <f>IF($K47="","",U47-X47)</f>
      </c>
    </row>
    <row r="48" spans="1:30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IF($K48="","",(U48-X48)/J48*100)</f>
      </c>
      <c r="W48" s="4">
        <f>IF($K48="","",M48-T48)</f>
      </c>
      <c r="Y48" s="4">
        <f>IF($K48="","",U48-X48)</f>
      </c>
    </row>
    <row r="49" spans="1:30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IF($K49="","",(U49-X49)/J49*100)</f>
      </c>
      <c r="W49" s="4">
        <f>IF($K49="","",M49-T49)</f>
      </c>
      <c r="Y49" s="4">
        <f>IF($K49="","",U49-X49)</f>
      </c>
    </row>
    <row r="50" spans="1:30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IF($K50="","",(U50-X50)/J50*100)</f>
      </c>
      <c r="W50" s="4">
        <f>IF($K50="","",M50-T50)</f>
      </c>
      <c r="Y50" s="4">
        <f>IF($K50="","",U50-X50)</f>
      </c>
    </row>
    <row r="51" spans="1:30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IF($K51="","",(U51-X51)/J51*100)</f>
      </c>
      <c r="W51" s="4">
        <f>IF($K51="","",M51-T51)</f>
      </c>
      <c r="Y51" s="4">
        <f>IF($K51="","",U51-X51)</f>
      </c>
    </row>
    <row r="52" spans="1:30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IF($K52="","",(U52-X52)/J52*100)</f>
      </c>
      <c r="W52" s="4">
        <f>IF($K52="","",M52-T52)</f>
      </c>
      <c r="Y52" s="4">
        <f>IF($K52="","",U52-X52)</f>
      </c>
    </row>
    <row r="53" spans="1:30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IF($K53="","",(U53-X53)/J53*100)</f>
      </c>
      <c r="W53" s="4">
        <f>IF($K53="","",M53-T53)</f>
      </c>
      <c r="Y53" s="4">
        <f>IF($K53="","",U53-X53)</f>
      </c>
    </row>
    <row r="54" spans="1:30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IF($K54="","",(U54-X54)/J54*100)</f>
      </c>
      <c r="W54" s="4">
        <f>IF($K54="","",M54-T54)</f>
      </c>
      <c r="Y54" s="4">
        <f>IF($K54="","",U54-X54)</f>
      </c>
    </row>
    <row r="55" spans="1:30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IF($K55="","",(U55-X55)/J55*100)</f>
      </c>
      <c r="W55" s="4">
        <f>IF($K55="","",M55-T55)</f>
      </c>
      <c r="Y55" s="4">
        <f>IF($K55="","",U55-X55)</f>
      </c>
    </row>
    <row r="56" spans="1:30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IF($K56="","",(U56-X56)/J56*100)</f>
      </c>
      <c r="W56" s="4">
        <f>IF($K56="","",M56-T56)</f>
      </c>
      <c r="Y56" s="4">
        <f>IF($K56="","",U56-X56)</f>
      </c>
    </row>
    <row r="57" spans="1:30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IF($K57="","",(U57-X57)/J57*100)</f>
      </c>
      <c r="W57" s="4">
        <f>IF($K57="","",M57-T57)</f>
      </c>
      <c r="Y57" s="4">
        <f>IF($K57="","",U57-X57)</f>
      </c>
    </row>
    <row r="58" spans="1:30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IF($K58="","",(U58-X58)/J58*100)</f>
      </c>
      <c r="W58" s="4">
        <f>IF($K58="","",M58-T58)</f>
      </c>
      <c r="Y58" s="4">
        <f>IF($K58="","",U58-X58)</f>
      </c>
    </row>
    <row r="59" spans="1:30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IF($K59="","",(U59-X59)/J59*100)</f>
      </c>
      <c r="W59" s="4">
        <f>IF($K59="","",M59-T59)</f>
      </c>
      <c r="Y59" s="4">
        <f>IF($K59="","",U59-X59)</f>
      </c>
    </row>
    <row r="60" spans="1:30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IF($K60="","",(U60-X60)/J60*100)</f>
      </c>
      <c r="W60" s="4">
        <f>IF($K60="","",M60-T60)</f>
      </c>
      <c r="Y60" s="4">
        <f>IF($K60="","",U60-X60)</f>
      </c>
    </row>
    <row r="61" spans="1:30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IF($K61="","",(U61-X61)/J61*100)</f>
      </c>
      <c r="W61" s="4">
        <f>IF($K61="","",M61-T61)</f>
      </c>
      <c r="Y61" s="4">
        <f>IF($K61="","",U61-X61)</f>
      </c>
    </row>
    <row r="62" spans="1:30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IF($K62="","",(U62-X62)/J62*100)</f>
      </c>
      <c r="W62" s="4">
        <f>IF($K62="","",M62-T62)</f>
      </c>
      <c r="Y62" s="4">
        <f>IF($K62="","",U62-X62)</f>
      </c>
    </row>
    <row r="63" spans="1:30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IF($K63="","",(U63-X63)/J63*100)</f>
      </c>
      <c r="W63" s="4">
        <f>IF($K63="","",M63-T63)</f>
      </c>
      <c r="Y63" s="4">
        <f>IF($K63="","",U63-X63)</f>
      </c>
    </row>
    <row r="64" spans="1:30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IF($K64="","",(U64-X64)/J64*100)</f>
      </c>
      <c r="W64" s="4">
        <f>IF($K64="","",M64-T64)</f>
      </c>
      <c r="Y64" s="4">
        <f>IF($K64="","",U64-X64)</f>
      </c>
    </row>
    <row r="65" spans="1:30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IF($K65="","",(U65-X65)/J65*100)</f>
      </c>
      <c r="W65" s="4">
        <f>IF($K65="","",M65-T65)</f>
      </c>
      <c r="Y65" s="4">
        <f>IF($K65="","",U65-X65)</f>
      </c>
    </row>
    <row r="66" spans="1:30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IF($K66="","",(U66-X66)/J66*100)</f>
      </c>
      <c r="W66" s="4">
        <f>IF($K66="","",M66-T66)</f>
      </c>
      <c r="Y66" s="4">
        <f>IF($K66="","",U66-X66)</f>
      </c>
    </row>
    <row r="67" spans="1:30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IF($K67="","",(U67-X67)/J67*100)</f>
      </c>
      <c r="W67" s="4">
        <f>IF($K67="","",M67-T67)</f>
      </c>
      <c r="Y67" s="4">
        <f>IF($K67="","",U67-X67)</f>
      </c>
    </row>
    <row r="68" spans="1:30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IF($K68="","",(U68-X68)/J68*100)</f>
      </c>
      <c r="W68" s="4">
        <f>IF($K68="","",M68-T68)</f>
      </c>
      <c r="Y68" s="4">
        <f>IF($K68="","",U68-X68)</f>
      </c>
    </row>
    <row r="69" spans="1:30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IF($K69="","",(U69-X69)/J69*100)</f>
      </c>
      <c r="W69" s="4">
        <f>IF($K69="","",M69-T69)</f>
      </c>
      <c r="Y69" s="4">
        <f>IF($K69="","",U69-X69)</f>
      </c>
    </row>
    <row r="70" spans="1:30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IF($K70="","",(U70-X70)/J70*100)</f>
      </c>
      <c r="W70" s="4">
        <f>IF($K70="","",M70-T70)</f>
      </c>
      <c r="Y70" s="4">
        <f>IF($K70="","",U70-X70)</f>
      </c>
    </row>
    <row r="71" spans="1:30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IF($K71="","",(U71-X71)/J71*100)</f>
      </c>
      <c r="W71" s="4">
        <f>IF($K71="","",M71-T71)</f>
      </c>
      <c r="Y71" s="4">
        <f>IF($K71="","",U71-X71)</f>
      </c>
    </row>
    <row r="72" spans="1:30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IF($K72="","",(U72-X72)/J72*100)</f>
      </c>
      <c r="W72" s="4">
        <f>IF($K72="","",M72-T72)</f>
      </c>
      <c r="Y72" s="4">
        <f>IF($K72="","",U72-X72)</f>
      </c>
    </row>
    <row r="73" spans="1:30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IF($K73="","",(U73-X73)/J73*100)</f>
      </c>
      <c r="W73" s="4">
        <f>IF($K73="","",M73-T73)</f>
      </c>
      <c r="Y73" s="4">
        <f>IF($K73="","",U73-X73)</f>
      </c>
    </row>
    <row r="74" spans="1:30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IF($K74="","",(U74-X74)/J74*100)</f>
      </c>
      <c r="W74" s="4">
        <f>IF($K74="","",M74-T74)</f>
      </c>
      <c r="Y74" s="4">
        <f>IF($K74="","",U74-X74)</f>
      </c>
    </row>
    <row r="75" spans="1:30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IF($K75="","",(U75-X75)/J75*100)</f>
      </c>
      <c r="W75" s="4">
        <f>IF($K75="","",M75-T75)</f>
      </c>
      <c r="Y75" s="4">
        <f>IF($K75="","",U75-X75)</f>
      </c>
    </row>
    <row r="76" spans="1:30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IF($K76="","",(U76-X76)/J76*100)</f>
      </c>
      <c r="W76" s="4">
        <f>IF($K76="","",M76-T76)</f>
      </c>
      <c r="Y76" s="4">
        <f>IF($K76="","",U76-X76)</f>
      </c>
    </row>
    <row r="77" spans="1:30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IF($K77="","",(U77-X77)/J77*100)</f>
      </c>
      <c r="W77" s="4">
        <f>IF($K77="","",M77-T77)</f>
      </c>
      <c r="Y77" s="4">
        <f>IF($K77="","",U77-X77)</f>
      </c>
    </row>
    <row r="78" spans="1:30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IF($K78="","",(U78-X78)/J78*100)</f>
      </c>
      <c r="W78" s="4">
        <f>IF($K78="","",M78-T78)</f>
      </c>
      <c r="Y78" s="4">
        <f>IF($K78="","",U78-X78)</f>
      </c>
    </row>
    <row r="79" spans="1:30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IF($K79="","",(U79-X79)/J79*100)</f>
      </c>
      <c r="W79" s="4">
        <f>IF($K79="","",M79-T79)</f>
      </c>
      <c r="Y79" s="4">
        <f>IF($K79="","",U79-X79)</f>
      </c>
    </row>
    <row r="80" spans="1:30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IF($K80="","",(U80-X80)/J80*100)</f>
      </c>
      <c r="W80" s="4">
        <f>IF($K80="","",M80-T80)</f>
      </c>
      <c r="Y80" s="4">
        <f>IF($K80="","",U80-X80)</f>
      </c>
    </row>
    <row r="81" spans="1:30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IF($K81="","",(U81-X81)/J81*100)</f>
      </c>
      <c r="W81" s="4">
        <f>IF($K81="","",M81-T81)</f>
      </c>
      <c r="Y81" s="4">
        <f>IF($K81="","",U81-X81)</f>
      </c>
    </row>
    <row r="82" spans="1:30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IF($K82="","",(U82-X82)/J82*100)</f>
      </c>
      <c r="W82" s="4">
        <f>IF($K82="","",M82-T82)</f>
      </c>
      <c r="Y82" s="4">
        <f>IF($K82="","",U82-X82)</f>
      </c>
    </row>
    <row r="83" spans="1:30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IF($K83="","",(U83-X83)/J83*100)</f>
      </c>
      <c r="W83" s="4">
        <f>IF($K83="","",M83-T83)</f>
      </c>
      <c r="Y83" s="4">
        <f>IF($K83="","",U83-X83)</f>
      </c>
    </row>
    <row r="84" spans="1:30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IF($K84="","",(U84-X84)/J84*100)</f>
      </c>
      <c r="W84" s="4">
        <f>IF($K84="","",M84-T84)</f>
      </c>
      <c r="Y84" s="4">
        <f>IF($K84="","",U84-X84)</f>
      </c>
    </row>
    <row r="85" spans="1:30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IF($K85="","",(U85-X85)/J85*100)</f>
      </c>
      <c r="W85" s="4">
        <f>IF($K85="","",M85-T85)</f>
      </c>
      <c r="Y85" s="4">
        <f>IF($K85="","",U85-X85)</f>
      </c>
    </row>
    <row r="86" spans="1:30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IF($K86="","",(U86-X86)/J86*100)</f>
      </c>
      <c r="W86" s="4">
        <f>IF($K86="","",M86-T86)</f>
      </c>
      <c r="Y86" s="4">
        <f>IF($K86="","",U86-X86)</f>
      </c>
    </row>
    <row r="87" spans="1:30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IF($K87="","",(U87-X87)/J87*100)</f>
      </c>
      <c r="W87" s="4">
        <f>IF($K87="","",M87-T87)</f>
      </c>
      <c r="Y87" s="4">
        <f>IF($K87="","",U87-X87)</f>
      </c>
    </row>
    <row r="88" spans="1:30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IF($K88="","",(U88-X88)/J88*100)</f>
      </c>
      <c r="W88" s="4">
        <f>IF($K88="","",M88-T88)</f>
      </c>
      <c r="Y88" s="4">
        <f>IF($K88="","",U88-X88)</f>
      </c>
    </row>
    <row r="89" spans="1:30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IF($K89="","",(U89-X89)/J89*100)</f>
      </c>
      <c r="W89" s="4">
        <f>IF($K89="","",M89-T89)</f>
      </c>
      <c r="Y89" s="4">
        <f>IF($K89="","",U89-X89)</f>
      </c>
    </row>
    <row r="90" spans="1:30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IF($K90="","",(U90-X90)/J90*100)</f>
      </c>
      <c r="W90" s="4">
        <f>IF($K90="","",M90-T90)</f>
      </c>
      <c r="Y90" s="4">
        <f>IF($K90="","",U90-X90)</f>
      </c>
    </row>
    <row r="91" spans="1:30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IF($K91="","",(U91-X91)/J91*100)</f>
      </c>
      <c r="W91" s="4">
        <f>IF($K91="","",M91-T91)</f>
      </c>
      <c r="Y91" s="4">
        <f>IF($K91="","",U91-X91)</f>
      </c>
    </row>
    <row r="92" spans="1:30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IF($K92="","",(U92-X92)/J92*100)</f>
      </c>
      <c r="W92" s="4">
        <f>IF($K92="","",M92-T92)</f>
      </c>
      <c r="Y92" s="4">
        <f>IF($K92="","",U92-X92)</f>
      </c>
    </row>
    <row r="93" spans="1:30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IF($K93="","",(U93-X93)/J93*100)</f>
      </c>
      <c r="W93" s="4">
        <f>IF($K93="","",M93-T93)</f>
      </c>
      <c r="Y93" s="4">
        <f>IF($K93="","",U93-X93)</f>
      </c>
    </row>
    <row r="94" spans="1:30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IF($K94="","",(U94-X94)/J94*100)</f>
      </c>
      <c r="W94" s="4">
        <f>IF($K94="","",M94-T94)</f>
      </c>
      <c r="Y94" s="4">
        <f>IF($K94="","",U94-X94)</f>
      </c>
    </row>
    <row r="95" spans="1:30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IF($K95="","",(U95-X95)/J95*100)</f>
      </c>
      <c r="W95" s="4">
        <f>IF($K95="","",M95-T95)</f>
      </c>
      <c r="Y95" s="4">
        <f>IF($K95="","",U95-X95)</f>
      </c>
    </row>
    <row r="96" spans="1:30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IF($K96="","",(U96-X96)/J96*100)</f>
      </c>
      <c r="W96" s="4">
        <f>IF($K96="","",M96-T96)</f>
      </c>
      <c r="Y96" s="4">
        <f>IF($K96="","",U96-X96)</f>
      </c>
    </row>
    <row r="97" spans="1:30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IF($K97="","",(U97-X97)/J97*100)</f>
      </c>
      <c r="W97" s="4">
        <f>IF($K97="","",M97-T97)</f>
      </c>
      <c r="Y97" s="4">
        <f>IF($K97="","",U97-X97)</f>
      </c>
    </row>
    <row r="98" spans="1:30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IF($K98="","",(U98-X98)/J98*100)</f>
      </c>
      <c r="W98" s="4">
        <f>IF($K98="","",M98-T98)</f>
      </c>
      <c r="Y98" s="4">
        <f>IF($K98="","",U98-X98)</f>
      </c>
    </row>
    <row r="99" spans="1:30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IF($K99="","",(U99-X99)/J99*100)</f>
      </c>
      <c r="W99" s="4">
        <f>IF($K99="","",M99-T99)</f>
      </c>
      <c r="Y99" s="4">
        <f>IF($K99="","",U99-X99)</f>
      </c>
    </row>
    <row r="100" spans="1:30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IF($K100="","",(U100-X100)/J100*100)</f>
      </c>
      <c r="W100" s="4">
        <f>IF($K100="","",M100-T100)</f>
      </c>
      <c r="Y100" s="4">
        <f>IF($K100="","",U100-X100)</f>
      </c>
    </row>
    <row r="101" spans="1:30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IF($K101="","",(U101-X101)/J101*100)</f>
      </c>
      <c r="W101" s="4">
        <f>IF($K101="","",M101-T101)</f>
      </c>
      <c r="Y101" s="4">
        <f>IF($K101="","",U101-X101)</f>
      </c>
    </row>
    <row r="102" spans="1:30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IF($K102="","",(U102-X102)/J102*100)</f>
      </c>
      <c r="W102" s="4">
        <f>IF($K102="","",M102-T102)</f>
      </c>
      <c r="Y102" s="4">
        <f>IF($K102="","",U102-X102)</f>
      </c>
    </row>
    <row r="103" spans="1:30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IF($K103="","",(U103-X103)/J103*100)</f>
      </c>
      <c r="W103" s="4">
        <f>IF($K103="","",M103-T103)</f>
      </c>
      <c r="Y103" s="4">
        <f>IF($K103="","",U103-X103)</f>
      </c>
    </row>
    <row r="104" spans="1:30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IF($K104="","",(U104-X104)/J104*100)</f>
      </c>
      <c r="W104" s="4">
        <f>IF($K104="","",M104-T104)</f>
      </c>
      <c r="Y104" s="4">
        <f>IF($K104="","",U104-X104)</f>
      </c>
    </row>
    <row r="105" spans="1:30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IF($K105="","",(U105-X105)/J105*100)</f>
      </c>
      <c r="W105" s="4">
        <f>IF($K105="","",M105-T105)</f>
      </c>
      <c r="Y105" s="4">
        <f>IF($K105="","",U105-X105)</f>
      </c>
    </row>
    <row r="106" spans="1:30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IF($K106="","",(U106-X106)/J106*100)</f>
      </c>
      <c r="W106" s="4">
        <f>IF($K106="","",M106-T106)</f>
      </c>
      <c r="Y106" s="4">
        <f>IF($K106="","",U106-X106)</f>
      </c>
    </row>
    <row r="107" spans="1:30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IF($K107="","",(U107-X107)/J107*100)</f>
      </c>
      <c r="W107" s="4">
        <f>IF($K107="","",M107-T107)</f>
      </c>
      <c r="Y107" s="4">
        <f>IF($K107="","",U107-X107)</f>
      </c>
    </row>
    <row r="108" spans="1:30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IF($K108="","",(U108-X108)/J108*100)</f>
      </c>
      <c r="W108" s="4">
        <f>IF($K108="","",M108-T108)</f>
      </c>
      <c r="Y108" s="4">
        <f>IF($K108="","",U108-X108)</f>
      </c>
    </row>
    <row r="109" spans="1:30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IF($K109="","",(U109-X109)/J109*100)</f>
      </c>
      <c r="W109" s="4">
        <f>IF($K109="","",M109-T109)</f>
      </c>
      <c r="Y109" s="4">
        <f>IF($K109="","",U109-X109)</f>
      </c>
    </row>
    <row r="110" spans="1:30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IF($K110="","",(U110-X110)/J110*100)</f>
      </c>
      <c r="W110" s="4">
        <f>IF($K110="","",M110-T110)</f>
      </c>
      <c r="Y110" s="4">
        <f>IF($K110="","",U110-X110)</f>
      </c>
    </row>
    <row r="111" spans="1:30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IF($K111="","",(U111-X111)/J111*100)</f>
      </c>
      <c r="W111" s="4">
        <f>IF($K111="","",M111-T111)</f>
      </c>
      <c r="Y111" s="4">
        <f>IF($K111="","",U111-X111)</f>
      </c>
    </row>
    <row r="112" spans="1:30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IF($K112="","",(U112-X112)/J112*100)</f>
      </c>
      <c r="W112" s="4">
        <f>IF($K112="","",M112-T112)</f>
      </c>
      <c r="Y112" s="4">
        <f>IF($K112="","",U112-X112)</f>
      </c>
    </row>
    <row r="113" spans="1:30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IF($K113="","",(U113-X113)/J113*100)</f>
      </c>
      <c r="W113" s="4">
        <f>IF($K113="","",M113-T113)</f>
      </c>
      <c r="Y113" s="4">
        <f>IF($K113="","",U113-X113)</f>
      </c>
    </row>
    <row r="114" spans="1:30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IF($K114="","",(U114-X114)/J114*100)</f>
      </c>
      <c r="W114" s="4">
        <f>IF($K114="","",M114-T114)</f>
      </c>
      <c r="Y114" s="4">
        <f>IF($K114="","",U114-X114)</f>
      </c>
    </row>
    <row r="115" spans="1:30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IF($K115="","",(U115-X115)/J115*100)</f>
      </c>
      <c r="W115" s="4">
        <f>IF($K115="","",M115-T115)</f>
      </c>
      <c r="Y115" s="4">
        <f>IF($K115="","",U115-X115)</f>
      </c>
    </row>
    <row r="116" spans="1:30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IF($K116="","",(U116-X116)/J116*100)</f>
      </c>
      <c r="W116" s="4">
        <f>IF($K116="","",M116-T116)</f>
      </c>
      <c r="Y116" s="4">
        <f>IF($K116="","",U116-X116)</f>
      </c>
    </row>
    <row r="117" spans="1:30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IF($K117="","",(U117-X117)/J117*100)</f>
      </c>
      <c r="W117" s="4">
        <f>IF($K117="","",M117-T117)</f>
      </c>
      <c r="Y117" s="4">
        <f>IF($K117="","",U117-X117)</f>
      </c>
    </row>
    <row r="118" spans="1:30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IF($K118="","",(U118-X118)/J118*100)</f>
      </c>
      <c r="W118" s="4">
        <f>IF($K118="","",M118-T118)</f>
      </c>
      <c r="Y118" s="4">
        <f>IF($K118="","",U118-X118)</f>
      </c>
    </row>
    <row r="119" spans="1:30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IF($K119="","",(U119-X119)/J119*100)</f>
      </c>
      <c r="W119" s="4">
        <f>IF($K119="","",M119-T119)</f>
      </c>
      <c r="Y119" s="4">
        <f>IF($K119="","",U119-X119)</f>
      </c>
    </row>
    <row r="120" spans="1:30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IF($K120="","",(U120-X120)/J120*100)</f>
      </c>
      <c r="W120" s="4">
        <f>IF($K120="","",M120-T120)</f>
      </c>
      <c r="Y120" s="4">
        <f>IF($K120="","",U120-X120)</f>
      </c>
    </row>
    <row r="121" spans="1:30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IF($K121="","",(U121-X121)/J121*100)</f>
      </c>
      <c r="W121" s="4">
        <f>IF($K121="","",M121-T121)</f>
      </c>
      <c r="Y121" s="4">
        <f>IF($K121="","",U121-X121)</f>
      </c>
    </row>
    <row r="122" spans="1:30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IF($K122="","",(U122-X122)/J122*100)</f>
      </c>
      <c r="W122" s="4">
        <f>IF($K122="","",M122-T122)</f>
      </c>
      <c r="Y122" s="4">
        <f>IF($K122="","",U122-X122)</f>
      </c>
    </row>
    <row r="123" spans="1:30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IF($K123="","",(U123-X123)/J123*100)</f>
      </c>
      <c r="W123" s="4">
        <f>IF($K123="","",M123-T123)</f>
      </c>
      <c r="Y123" s="4">
        <f>IF($K123="","",U123-X123)</f>
      </c>
    </row>
    <row r="124" spans="1:30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IF($K124="","",(U124-X124)/J124*100)</f>
      </c>
      <c r="W124" s="4">
        <f>IF($K124="","",M124-T124)</f>
      </c>
      <c r="Y124" s="4">
        <f>IF($K124="","",U124-X124)</f>
      </c>
    </row>
    <row r="125" spans="1:30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IF($K125="","",(U125-X125)/J125*100)</f>
      </c>
      <c r="W125" s="4">
        <f>IF($K125="","",M125-T125)</f>
      </c>
      <c r="Y125" s="4">
        <f>IF($K125="","",U125-X125)</f>
      </c>
    </row>
    <row r="126" spans="1:30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IF($K126="","",(U126-X126)/J126*100)</f>
      </c>
      <c r="W126" s="4">
        <f>IF($K126="","",M126-T126)</f>
      </c>
      <c r="Y126" s="4">
        <f>IF($K126="","",U126-X126)</f>
      </c>
    </row>
    <row r="127" spans="1:30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IF($K127="","",(U127-X127)/J127*100)</f>
      </c>
      <c r="W127" s="4">
        <f>IF($K127="","",M127-T127)</f>
      </c>
      <c r="Y127" s="4">
        <f>IF($K127="","",U127-X127)</f>
      </c>
    </row>
    <row r="128" spans="1:30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IF($K128="","",(U128-X128)/J128*100)</f>
      </c>
      <c r="W128" s="4">
        <f>IF($K128="","",M128-T128)</f>
      </c>
      <c r="Y128" s="4">
        <f>IF($K128="","",U128-X128)</f>
      </c>
    </row>
    <row r="129" spans="1:30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IF($K129="","",(U129-X129)/J129*100)</f>
      </c>
      <c r="W129" s="4">
        <f>IF($K129="","",M129-T129)</f>
      </c>
      <c r="Y129" s="4">
        <f>IF($K129="","",U129-X129)</f>
      </c>
    </row>
    <row r="130" spans="1:30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IF($K130="","",(U130-X130)/J130*100)</f>
      </c>
      <c r="W130" s="4">
        <f>IF($K130="","",M130-T130)</f>
      </c>
      <c r="Y130" s="4">
        <f>IF($K130="","",U130-X130)</f>
      </c>
    </row>
    <row r="131" spans="1:30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IF($K131="","",(U131-X131)/J131*100)</f>
      </c>
      <c r="W131" s="4">
        <f>IF($K131="","",M131-T131)</f>
      </c>
      <c r="Y131" s="4">
        <f>IF($K131="","",U131-X131)</f>
      </c>
    </row>
    <row r="132" spans="1:30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IF($K132="","",(U132-X132)/J132*100)</f>
      </c>
      <c r="W132" s="4">
        <f>IF($K132="","",M132-T132)</f>
      </c>
      <c r="Y132" s="4">
        <f>IF($K132="","",U132-X132)</f>
      </c>
    </row>
    <row r="133" spans="1:30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IF($K133="","",(U133-X133)/J133*100)</f>
      </c>
      <c r="W133" s="4">
        <f>IF($K133="","",M133-T133)</f>
      </c>
      <c r="Y133" s="4">
        <f>IF($K133="","",U133-X133)</f>
      </c>
    </row>
    <row r="134" spans="1:30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IF($K134="","",(U134-X134)/J134*100)</f>
      </c>
      <c r="W134" s="4">
        <f>IF($K134="","",M134-T134)</f>
      </c>
      <c r="Y134" s="4">
        <f>IF($K134="","",U134-X134)</f>
      </c>
    </row>
    <row r="135" spans="1:30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IF($K135="","",(U135-X135)/J135*100)</f>
      </c>
      <c r="W135" s="4">
        <f>IF($K135="","",M135-T135)</f>
      </c>
      <c r="Y135" s="4">
        <f>IF($K135="","",U135-X135)</f>
      </c>
    </row>
    <row r="136" spans="1:30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IF($K136="","",(U136-X136)/J136*100)</f>
      </c>
      <c r="W136" s="4">
        <f>IF($K136="","",M136-T136)</f>
      </c>
      <c r="Y136" s="4">
        <f>IF($K136="","",U136-X136)</f>
      </c>
    </row>
    <row r="137" spans="1:30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IF($K137="","",(U137-X137)/J137*100)</f>
      </c>
      <c r="W137" s="4">
        <f>IF($K137="","",M137-T137)</f>
      </c>
      <c r="Y137" s="4">
        <f>IF($K137="","",U137-X137)</f>
      </c>
    </row>
    <row r="138" spans="1:30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IF($K138="","",(U138-X138)/J138*100)</f>
      </c>
      <c r="W138" s="4">
        <f>IF($K138="","",M138-T138)</f>
      </c>
      <c r="Y138" s="4">
        <f>IF($K138="","",U138-X138)</f>
      </c>
    </row>
    <row r="139" spans="1:30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IF($K139="","",(U139-X139)/J139*100)</f>
      </c>
      <c r="W139" s="4">
        <f>IF($K139="","",M139-T139)</f>
      </c>
      <c r="Y139" s="4">
        <f>IF($K139="","",U139-X139)</f>
      </c>
    </row>
    <row r="140" spans="1:30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IF($K140="","",(U140-X140)/J140*100)</f>
      </c>
      <c r="W140" s="4">
        <f>IF($K140="","",M140-T140)</f>
      </c>
      <c r="Y140" s="4">
        <f>IF($K140="","",U140-X140)</f>
      </c>
    </row>
    <row r="141" spans="1:30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IF($K141="","",(U141-X141)/J141*100)</f>
      </c>
      <c r="W141" s="4">
        <f>IF($K141="","",M141-T141)</f>
      </c>
      <c r="Y141" s="4">
        <f>IF($K141="","",U141-X141)</f>
      </c>
    </row>
    <row r="142" spans="1:30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IF($K142="","",(U142-X142)/J142*100)</f>
      </c>
      <c r="W142" s="4">
        <f>IF($K142="","",M142-T142)</f>
      </c>
      <c r="Y142" s="4">
        <f>IF($K142="","",U142-X142)</f>
      </c>
    </row>
    <row r="143" spans="1:30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IF($K143="","",(U143-X143)/J143*100)</f>
      </c>
      <c r="W143" s="4">
        <f>IF($K143="","",M143-T143)</f>
      </c>
      <c r="Y143" s="4">
        <f>IF($K143="","",U143-X143)</f>
      </c>
    </row>
    <row r="144" spans="1:30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IF($K144="","",(U144-X144)/J144*100)</f>
      </c>
      <c r="W144" s="4">
        <f>IF($K144="","",M144-T144)</f>
      </c>
      <c r="Y144" s="4">
        <f>IF($K144="","",U144-X144)</f>
      </c>
    </row>
    <row r="145" spans="1:30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IF($K145="","",(U145-X145)/J145*100)</f>
      </c>
      <c r="W145" s="4">
        <f>IF($K145="","",M145-T145)</f>
      </c>
      <c r="Y145" s="4">
        <f>IF($K145="","",U145-X145)</f>
      </c>
    </row>
    <row r="146" spans="1:30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IF($K146="","",(U146-X146)/J146*100)</f>
      </c>
      <c r="W146" s="4">
        <f>IF($K146="","",M146-T146)</f>
      </c>
      <c r="Y146" s="4">
        <f>IF($K146="","",U146-X146)</f>
      </c>
    </row>
    <row r="147" spans="1:30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IF($K147="","",(U147-X147)/J147*100)</f>
      </c>
      <c r="W147" s="4">
        <f>IF($K147="","",M147-T147)</f>
      </c>
      <c r="Y147" s="4">
        <f>IF($K147="","",U147-X147)</f>
      </c>
    </row>
    <row r="148" spans="1:30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IF($K148="","",(U148-X148)/J148*100)</f>
      </c>
      <c r="W148" s="4">
        <f>IF($K148="","",M148-T148)</f>
      </c>
      <c r="Y148" s="4">
        <f>IF($K148="","",U148-X148)</f>
      </c>
    </row>
    <row r="149" spans="1:30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IF($K149="","",(U149-X149)/J149*100)</f>
      </c>
      <c r="W149" s="4">
        <f>IF($K149="","",M149-T149)</f>
      </c>
      <c r="Y149" s="4">
        <f>IF($K149="","",U149-X149)</f>
      </c>
    </row>
    <row r="150" spans="1:30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IF($K150="","",(U150-X150)/J150*100)</f>
      </c>
      <c r="W150" s="4">
        <f>IF($K150="","",M150-T150)</f>
      </c>
      <c r="Y150" s="4">
        <f>IF($K150="","",U150-X150)</f>
      </c>
    </row>
    <row r="151" spans="1:30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IF($K151="","",(U151-X151)/J151*100)</f>
      </c>
      <c r="W151" s="4">
        <f>IF($K151="","",M151-T151)</f>
      </c>
      <c r="Y151" s="4">
        <f>IF($K151="","",U151-X151)</f>
      </c>
    </row>
    <row r="152" spans="1:30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IF($K152="","",(U152-X152)/J152*100)</f>
      </c>
      <c r="W152" s="4">
        <f>IF($K152="","",M152-T152)</f>
      </c>
      <c r="Y152" s="4">
        <f>IF($K152="","",U152-X152)</f>
      </c>
    </row>
    <row r="153" spans="1:30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IF($K153="","",(U153-X153)/J153*100)</f>
      </c>
      <c r="W153" s="4">
        <f>IF($K153="","",M153-T153)</f>
      </c>
      <c r="Y153" s="4">
        <f>IF($K153="","",U153-X153)</f>
      </c>
    </row>
    <row r="154" spans="1:30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IF($K154="","",(U154-X154)/J154*100)</f>
      </c>
      <c r="W154" s="4">
        <f>IF($K154="","",M154-T154)</f>
      </c>
      <c r="Y154" s="4">
        <f>IF($K154="","",U154-X154)</f>
      </c>
    </row>
    <row r="155" spans="1:30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IF($K155="","",(U155-X155)/J155*100)</f>
      </c>
      <c r="W155" s="4">
        <f>IF($K155="","",M155-T155)</f>
      </c>
      <c r="Y155" s="4">
        <f>IF($K155="","",U155-X155)</f>
      </c>
    </row>
    <row r="156" spans="1:30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IF($K156="","",(U156-X156)/J156*100)</f>
      </c>
      <c r="W156" s="4">
        <f>IF($K156="","",M156-T156)</f>
      </c>
      <c r="Y156" s="4">
        <f>IF($K156="","",U156-X156)</f>
      </c>
    </row>
    <row r="157" spans="1:30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IF($K157="","",(U157-X157)/J157*100)</f>
      </c>
      <c r="W157" s="4">
        <f>IF($K157="","",M157-T157)</f>
      </c>
      <c r="Y157" s="4">
        <f>IF($K157="","",U157-X157)</f>
      </c>
    </row>
    <row r="158" spans="1:30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IF($K158="","",(U158-X158)/J158*100)</f>
      </c>
      <c r="W158" s="4">
        <f>IF($K158="","",M158-T158)</f>
      </c>
      <c r="Y158" s="4">
        <f>IF($K158="","",U158-X158)</f>
      </c>
    </row>
    <row r="159" spans="1:30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IF($K159="","",(U159-X159)/J159*100)</f>
      </c>
      <c r="W159" s="4">
        <f>IF($K159="","",M159-T159)</f>
      </c>
      <c r="Y159" s="4">
        <f>IF($K159="","",U159-X159)</f>
      </c>
    </row>
    <row r="160" spans="1:30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IF($K160="","",(U160-X160)/J160*100)</f>
      </c>
      <c r="W160" s="4">
        <f>IF($K160="","",M160-T160)</f>
      </c>
      <c r="Y160" s="4">
        <f>IF($K160="","",U160-X160)</f>
      </c>
    </row>
    <row r="161" spans="1:30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IF($K161="","",(U161-X161)/J161*100)</f>
      </c>
      <c r="W161" s="4">
        <f>IF($K161="","",M161-T161)</f>
      </c>
      <c r="Y161" s="4">
        <f>IF($K161="","",U161-X161)</f>
      </c>
    </row>
    <row r="162" spans="1:30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IF($K162="","",(U162-X162)/J162*100)</f>
      </c>
      <c r="W162" s="4">
        <f>IF($K162="","",M162-T162)</f>
      </c>
      <c r="Y162" s="4">
        <f>IF($K162="","",U162-X162)</f>
      </c>
    </row>
    <row r="163" spans="1:30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IF($K163="","",(U163-X163)/J163*100)</f>
      </c>
      <c r="W163" s="4">
        <f>IF($K163="","",M163-T163)</f>
      </c>
      <c r="Y163" s="4">
        <f>IF($K163="","",U163-X163)</f>
      </c>
    </row>
    <row r="164" spans="1:30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IF($K164="","",(U164-X164)/J164*100)</f>
      </c>
      <c r="W164" s="4">
        <f>IF($K164="","",M164-T164)</f>
      </c>
      <c r="Y164" s="4">
        <f>IF($K164="","",U164-X164)</f>
      </c>
    </row>
    <row r="165" spans="1:30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IF($K165="","",(U165-X165)/J165*100)</f>
      </c>
      <c r="W165" s="4">
        <f>IF($K165="","",M165-T165)</f>
      </c>
      <c r="Y165" s="4">
        <f>IF($K165="","",U165-X165)</f>
      </c>
    </row>
    <row r="166" spans="1:30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IF($K166="","",(U166-X166)/J166*100)</f>
      </c>
      <c r="W166" s="4">
        <f>IF($K166="","",M166-T166)</f>
      </c>
      <c r="Y166" s="4">
        <f>IF($K166="","",U166-X166)</f>
      </c>
    </row>
    <row r="167" spans="1:30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IF($K167="","",(U167-X167)/J167*100)</f>
      </c>
      <c r="W167" s="4">
        <f>IF($K167="","",M167-T167)</f>
      </c>
      <c r="Y167" s="4">
        <f>IF($K167="","",U167-X167)</f>
      </c>
    </row>
    <row r="168" spans="1:30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IF($K168="","",(U168-X168)/J168*100)</f>
      </c>
      <c r="W168" s="4">
        <f>IF($K168="","",M168-T168)</f>
      </c>
      <c r="Y168" s="4">
        <f>IF($K168="","",U168-X168)</f>
      </c>
    </row>
    <row r="169" spans="1:30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IF($K169="","",(U169-X169)/J169*100)</f>
      </c>
      <c r="W169" s="4">
        <f>IF($K169="","",M169-T169)</f>
      </c>
      <c r="Y169" s="4">
        <f>IF($K169="","",U169-X169)</f>
      </c>
    </row>
    <row r="170" spans="1:30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IF($K170="","",(U170-X170)/J170*100)</f>
      </c>
      <c r="W170" s="4">
        <f>IF($K170="","",M170-T170)</f>
      </c>
      <c r="Y170" s="4">
        <f>IF($K170="","",U170-X170)</f>
      </c>
    </row>
    <row r="171" spans="1:30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IF($K171="","",(U171-X171)/J171*100)</f>
      </c>
      <c r="W171" s="4">
        <f>IF($K171="","",M171-T171)</f>
      </c>
      <c r="Y171" s="4">
        <f>IF($K171="","",U171-X171)</f>
      </c>
    </row>
    <row r="172" spans="1:30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IF($K172="","",(U172-X172)/J172*100)</f>
      </c>
      <c r="W172" s="4">
        <f>IF($K172="","",M172-T172)</f>
      </c>
      <c r="Y172" s="4">
        <f>IF($K172="","",U172-X172)</f>
      </c>
    </row>
    <row r="173" spans="1:30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IF($K173="","",(U173-X173)/J173*100)</f>
      </c>
      <c r="W173" s="4">
        <f>IF($K173="","",M173-T173)</f>
      </c>
      <c r="Y173" s="4">
        <f>IF($K173="","",U173-X173)</f>
      </c>
    </row>
    <row r="174" spans="1:30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IF($K174="","",(U174-X174)/J174*100)</f>
      </c>
      <c r="W174" s="4">
        <f>IF($K174="","",M174-T174)</f>
      </c>
      <c r="Y174" s="4">
        <f>IF($K174="","",U174-X174)</f>
      </c>
    </row>
    <row r="175" spans="1:30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IF($K175="","",(U175-X175)/J175*100)</f>
      </c>
      <c r="W175" s="4">
        <f>IF($K175="","",M175-T175)</f>
      </c>
      <c r="Y175" s="4">
        <f>IF($K175="","",U175-X175)</f>
      </c>
    </row>
    <row r="176" spans="1:30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IF($K176="","",(U176-X176)/J176*100)</f>
      </c>
      <c r="W176" s="4">
        <f>IF($K176="","",M176-T176)</f>
      </c>
      <c r="Y176" s="4">
        <f>IF($K176="","",U176-X176)</f>
      </c>
    </row>
    <row r="177" spans="1:30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IF($K177="","",(U177-X177)/J177*100)</f>
      </c>
      <c r="W177" s="4">
        <f>IF($K177="","",M177-T177)</f>
      </c>
      <c r="Y177" s="4">
        <f>IF($K177="","",U177-X177)</f>
      </c>
    </row>
    <row r="178" spans="1:30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IF($K178="","",(U178-X178)/J178*100)</f>
      </c>
      <c r="W178" s="4">
        <f>IF($K178="","",M178-T178)</f>
      </c>
      <c r="Y178" s="4">
        <f>IF($K178="","",U178-X178)</f>
      </c>
    </row>
    <row r="179" spans="1:30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IF($K179="","",(U179-X179)/J179*100)</f>
      </c>
      <c r="W179" s="4">
        <f>IF($K179="","",M179-T179)</f>
      </c>
      <c r="Y179" s="4">
        <f>IF($K179="","",U179-X179)</f>
      </c>
    </row>
    <row r="180" spans="1:30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IF($K180="","",(U180-X180)/J180*100)</f>
      </c>
      <c r="W180" s="4">
        <f>IF($K180="","",M180-T180)</f>
      </c>
      <c r="Y180" s="4">
        <f>IF($K180="","",U180-X180)</f>
      </c>
    </row>
    <row r="181" spans="1:30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IF($K181="","",(U181-X181)/J181*100)</f>
      </c>
      <c r="W181" s="4">
        <f>IF($K181="","",M181-T181)</f>
      </c>
      <c r="Y181" s="4">
        <f>IF($K181="","",U181-X181)</f>
      </c>
    </row>
    <row r="182" spans="1:30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IF($K182="","",(U182-X182)/J182*100)</f>
      </c>
      <c r="W182" s="4">
        <f>IF($K182="","",M182-T182)</f>
      </c>
      <c r="Y182" s="4">
        <f>IF($K182="","",U182-X182)</f>
      </c>
    </row>
    <row r="183" spans="1:30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IF($K183="","",(U183-X183)/J183*100)</f>
      </c>
      <c r="W183" s="4">
        <f>IF($K183="","",M183-T183)</f>
      </c>
      <c r="Y183" s="4">
        <f>IF($K183="","",U183-X183)</f>
      </c>
    </row>
    <row r="184" spans="1:30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IF($K184="","",(U184-X184)/J184*100)</f>
      </c>
      <c r="W184" s="4">
        <f>IF($K184="","",M184-T184)</f>
      </c>
      <c r="Y184" s="4">
        <f>IF($K184="","",U184-X184)</f>
      </c>
    </row>
    <row r="185" spans="1:30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IF($K185="","",(U185-X185)/J185*100)</f>
      </c>
      <c r="W185" s="4">
        <f>IF($K185="","",M185-T185)</f>
      </c>
      <c r="Y185" s="4">
        <f>IF($K185="","",U185-X185)</f>
      </c>
    </row>
    <row r="186" spans="1:30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IF($K186="","",(U186-X186)/J186*100)</f>
      </c>
      <c r="W186" s="4">
        <f>IF($K186="","",M186-T186)</f>
      </c>
      <c r="Y186" s="4">
        <f>IF($K186="","",U186-X186)</f>
      </c>
    </row>
    <row r="187" spans="1:30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IF($K187="","",(U187-X187)/J187*100)</f>
      </c>
      <c r="W187" s="4">
        <f>IF($K187="","",M187-T187)</f>
      </c>
      <c r="Y187" s="4">
        <f>IF($K187="","",U187-X187)</f>
      </c>
    </row>
    <row r="188" spans="1:30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IF($K188="","",(U188-X188)/J188*100)</f>
      </c>
      <c r="W188" s="4">
        <f>IF($K188="","",M188-T188)</f>
      </c>
      <c r="Y188" s="4">
        <f>IF($K188="","",U188-X188)</f>
      </c>
    </row>
    <row r="189" spans="1:30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IF($K189="","",(U189-X189)/J189*100)</f>
      </c>
      <c r="W189" s="4">
        <f>IF($K189="","",M189-T189)</f>
      </c>
      <c r="Y189" s="4">
        <f>IF($K189="","",U189-X189)</f>
      </c>
    </row>
    <row r="190" spans="1:30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IF($K190="","",(U190-X190)/J190*100)</f>
      </c>
      <c r="W190" s="4">
        <f>IF($K190="","",M190-T190)</f>
      </c>
      <c r="Y190" s="4">
        <f>IF($K190="","",U190-X190)</f>
      </c>
    </row>
    <row r="191" spans="1:30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IF($K191="","",(U191-X191)/J191*100)</f>
      </c>
      <c r="W191" s="4">
        <f>IF($K191="","",M191-T191)</f>
      </c>
      <c r="Y191" s="4">
        <f>IF($K191="","",U191-X191)</f>
      </c>
    </row>
    <row r="192" spans="1:30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IF($K192="","",(U192-X192)/J192*100)</f>
      </c>
      <c r="W192" s="4">
        <f>IF($K192="","",M192-T192)</f>
      </c>
      <c r="Y192" s="4">
        <f>IF($K192="","",U192-X192)</f>
      </c>
    </row>
    <row r="193" spans="1:30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IF($K193="","",(U193-X193)/J193*100)</f>
      </c>
      <c r="W193" s="4">
        <f>IF($K193="","",M193-T193)</f>
      </c>
      <c r="Y193" s="4">
        <f>IF($K193="","",U193-X193)</f>
      </c>
    </row>
    <row r="194" spans="1:30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IF($K194="","",(U194-X194)/J194*100)</f>
      </c>
      <c r="W194" s="4">
        <f>IF($K194="","",M194-T194)</f>
      </c>
      <c r="Y194" s="4">
        <f>IF($K194="","",U194-X194)</f>
      </c>
    </row>
    <row r="195" spans="1:30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IF($K195="","",(U195-X195)/J195*100)</f>
      </c>
      <c r="W195" s="4">
        <f>IF($K195="","",M195-T195)</f>
      </c>
      <c r="Y195" s="4">
        <f>IF($K195="","",U195-X195)</f>
      </c>
    </row>
    <row r="196" spans="1:30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IF($K196="","",(U196-X196)/J196*100)</f>
      </c>
      <c r="W196" s="4">
        <f>IF($K196="","",M196-T196)</f>
      </c>
      <c r="Y196" s="4">
        <f>IF($K196="","",U196-X196)</f>
      </c>
    </row>
    <row r="197" spans="1:30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IF($K197="","",(U197-X197)/J197*100)</f>
      </c>
      <c r="W197" s="4">
        <f>IF($K197="","",M197-T197)</f>
      </c>
      <c r="Y197" s="4">
        <f>IF($K197="","",U197-X197)</f>
      </c>
    </row>
    <row r="198" spans="1:30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IF($K198="","",(U198-X198)/J198*100)</f>
      </c>
      <c r="W198" s="4">
        <f>IF($K198="","",M198-T198)</f>
      </c>
      <c r="Y198" s="4">
        <f>IF($K198="","",U198-X198)</f>
      </c>
    </row>
    <row r="199" spans="1:30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IF($K199="","",(U199-X199)/J199*100)</f>
      </c>
      <c r="W199" s="4">
        <f>IF($K199="","",M199-T199)</f>
      </c>
      <c r="Y199" s="4">
        <f>IF($K199="","",U199-X199)</f>
      </c>
    </row>
    <row r="200" spans="1:30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IF($K200="","",(U200-X200)/J200*100)</f>
      </c>
      <c r="W200" s="4">
        <f>IF($K200="","",M200-T200)</f>
      </c>
      <c r="Y200" s="4">
        <f>IF($K200="","",U200-X200)</f>
      </c>
    </row>
    <row r="201" spans="1:30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IF($K201="","",(U201-X201)/J201*100)</f>
      </c>
      <c r="W201" s="4">
        <f>IF($K201="","",M201-T201)</f>
      </c>
      <c r="Y201" s="4">
        <f>IF($K201="","",U201-X201)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IFERROR((U202-X202)/J202*100,0)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110</v>
      </c>
    </row>
    <row r="2" ht="46" customHeight="1" spans="1:1" x14ac:dyDescent="0.25">
      <c r="A2" s="2" t="s">
        <v>111</v>
      </c>
    </row>
    <row r="4" spans="1:16" s="3" customFormat="1" x14ac:dyDescent="0.25">
      <c r="A4" s="3" t="s">
        <v>4</v>
      </c>
      <c r="B4" s="3" t="s">
        <v>5</v>
      </c>
      <c r="C4" s="3" t="s">
        <v>112</v>
      </c>
      <c r="D4" s="3" t="s">
        <v>9</v>
      </c>
      <c r="E4" s="3" t="s">
        <v>113</v>
      </c>
      <c r="F4" s="3" t="s">
        <v>6</v>
      </c>
      <c r="G4" s="3" t="s">
        <v>7</v>
      </c>
      <c r="H4" s="3" t="s">
        <v>8</v>
      </c>
      <c r="I4" s="3" t="s">
        <v>114</v>
      </c>
      <c r="J4" s="3" t="s">
        <v>115</v>
      </c>
      <c r="K4" s="3" t="s">
        <v>116</v>
      </c>
      <c r="L4" s="3" t="s">
        <v>117</v>
      </c>
      <c r="M4" s="3" t="s">
        <v>118</v>
      </c>
      <c r="N4" s="3" t="s">
        <v>11</v>
      </c>
      <c r="O4" s="3" t="s">
        <v>12</v>
      </c>
      <c r="P4" s="3" t="s">
        <v>119</v>
      </c>
    </row>
    <row r="5" spans="1:16" x14ac:dyDescent="0.25">
      <c r="A5" t="s">
        <v>13</v>
      </c>
      <c r="B5">
        <v>3</v>
      </c>
      <c r="C5" s="4">
        <v>969.96</v>
      </c>
      <c r="D5" s="4">
        <v>102.9</v>
      </c>
      <c r="E5">
        <v>4</v>
      </c>
      <c r="F5">
        <v>3</v>
      </c>
      <c r="G5">
        <v>1</v>
      </c>
      <c r="H5">
        <v>0</v>
      </c>
      <c r="I5">
        <v>0</v>
      </c>
      <c r="J5" s="4">
        <v>73.19999999999999</v>
      </c>
      <c r="K5" s="4">
        <v>0</v>
      </c>
      <c r="L5" s="4">
        <v>0</v>
      </c>
      <c r="M5" s="4">
        <v>73.19999999999999</v>
      </c>
      <c r="N5" s="4">
        <v>29.700000000000017</v>
      </c>
      <c r="O5" s="4">
        <v>3.061981937399482</v>
      </c>
      <c r="P5" t="s">
        <v>1</v>
      </c>
    </row>
    <row r="6" spans="1:16" x14ac:dyDescent="0.25">
      <c r="A6" t="s">
        <v>15</v>
      </c>
      <c r="B6">
        <v>2</v>
      </c>
      <c r="C6" s="4">
        <v>372.97</v>
      </c>
      <c r="D6" s="4">
        <v>50.1</v>
      </c>
      <c r="E6">
        <v>1</v>
      </c>
      <c r="F6">
        <v>0</v>
      </c>
      <c r="G6">
        <v>0</v>
      </c>
      <c r="H6">
        <v>1</v>
      </c>
      <c r="I6">
        <v>0</v>
      </c>
      <c r="J6" s="4">
        <v>19.2</v>
      </c>
      <c r="K6" s="4">
        <v>0</v>
      </c>
      <c r="L6" s="4">
        <v>0</v>
      </c>
      <c r="M6" s="4">
        <v>19.2</v>
      </c>
      <c r="N6" s="4">
        <v>30.900000000000002</v>
      </c>
      <c r="O6" s="4">
        <v>8.28484864734429</v>
      </c>
      <c r="P6">
        <v>1</v>
      </c>
    </row>
    <row r="7" spans="1:16" x14ac:dyDescent="0.25">
      <c r="A7" t="s">
        <v>16</v>
      </c>
      <c r="B7">
        <v>1</v>
      </c>
      <c r="C7" s="4">
        <v>410</v>
      </c>
      <c r="D7" s="4">
        <v>44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44</v>
      </c>
      <c r="O7" s="4">
        <v>10.731707317073171</v>
      </c>
      <c r="P7" t="s">
        <v>1</v>
      </c>
    </row>
    <row r="8" spans="1:16" s="3" customFormat="1" x14ac:dyDescent="0.25">
      <c r="A8" s="3" t="s">
        <v>18</v>
      </c>
      <c r="B8" s="3">
        <v>6</v>
      </c>
      <c r="C8" s="15">
        <v>1752.93</v>
      </c>
      <c r="D8" s="15">
        <v>197</v>
      </c>
      <c r="E8" s="3">
        <v>5</v>
      </c>
      <c r="F8" s="3">
        <v>3</v>
      </c>
      <c r="G8" s="3">
        <v>1</v>
      </c>
      <c r="H8" s="3">
        <v>1</v>
      </c>
      <c r="I8" s="3">
        <v>0</v>
      </c>
      <c r="J8" s="15">
        <v>92.39999999999999</v>
      </c>
      <c r="K8" s="15">
        <v>0</v>
      </c>
      <c r="L8" s="15">
        <v>0</v>
      </c>
      <c r="M8" s="15">
        <v>92.39999999999999</v>
      </c>
      <c r="N8" s="15">
        <v>104.60000000000001</v>
      </c>
      <c r="O8" s="15">
        <v>5.967152139560622</v>
      </c>
      <c r="P8" s="3">
        <v>1</v>
      </c>
    </row>
    <row r="10" ht="28" customHeight="1" spans="1:1" x14ac:dyDescent="0.25">
      <c r="A10" s="16" t="s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121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122</v>
      </c>
      <c r="F2" s="11" t="s">
        <v>62</v>
      </c>
      <c r="G2" s="11">
        <v>1</v>
      </c>
      <c r="H2" s="13">
        <v>3.2</v>
      </c>
      <c r="I2" s="13">
        <v>9.99</v>
      </c>
      <c r="J2" s="13">
        <v>1.8</v>
      </c>
      <c r="K2" s="17">
        <v>56.32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92</v>
      </c>
      <c r="D3" t="s">
        <v>93</v>
      </c>
      <c r="E3" t="s">
        <v>123</v>
      </c>
      <c r="F3" t="s">
        <v>62</v>
      </c>
      <c r="G3">
        <v>3</v>
      </c>
      <c r="H3" s="4">
        <v>3.3</v>
      </c>
      <c r="I3" s="4">
        <v>17.97</v>
      </c>
      <c r="J3" s="4">
        <v>7.83</v>
      </c>
      <c r="K3" s="18">
        <v>237.27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122</v>
      </c>
      <c r="F4" t="s">
        <v>62</v>
      </c>
      <c r="G4">
        <v>4</v>
      </c>
      <c r="H4" s="4">
        <v>12.8</v>
      </c>
      <c r="I4" s="4">
        <v>39.96</v>
      </c>
      <c r="J4" s="4">
        <v>16.21</v>
      </c>
      <c r="K4" s="18">
        <v>126.63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124</v>
      </c>
      <c r="B1" t="s">
        <v>125</v>
      </c>
    </row>
    <row r="2" spans="1:2" x14ac:dyDescent="0.25">
      <c r="A2" s="7" t="s">
        <v>126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127</v>
      </c>
      <c r="B6" s="4">
        <v>73.2</v>
      </c>
    </row>
    <row r="7" spans="1:2" x14ac:dyDescent="0.25">
      <c r="A7" s="7" t="s">
        <v>128</v>
      </c>
      <c r="B7" s="4">
        <v>18.3</v>
      </c>
    </row>
    <row r="9" spans="1:2" x14ac:dyDescent="0.25">
      <c r="A9" s="7" t="s">
        <v>129</v>
      </c>
      <c r="B9" s="7" t="s">
        <v>130</v>
      </c>
    </row>
    <row r="10" spans="1:2" x14ac:dyDescent="0.25">
      <c r="A10" s="7" t="s">
        <v>13</v>
      </c>
      <c r="B10" t="s">
        <v>131</v>
      </c>
    </row>
    <row r="11" spans="1:2" x14ac:dyDescent="0.25">
      <c r="A11" s="7" t="s">
        <v>15</v>
      </c>
      <c r="B11" t="s">
        <v>132</v>
      </c>
    </row>
    <row r="13" spans="1:2" x14ac:dyDescent="0.25">
      <c r="A13" s="7" t="s">
        <v>133</v>
      </c>
      <c r="B13" t="s">
        <v>1</v>
      </c>
    </row>
    <row r="14" spans="1:2" x14ac:dyDescent="0.25">
      <c r="A14" t="s">
        <v>134</v>
      </c>
      <c r="B14" t="s">
        <v>135</v>
      </c>
    </row>
    <row r="15" spans="1:2" x14ac:dyDescent="0.25">
      <c r="A15" t="s">
        <v>70</v>
      </c>
      <c r="B15" t="s">
        <v>136</v>
      </c>
    </row>
    <row r="16" spans="1:2" x14ac:dyDescent="0.25">
      <c r="A16" t="s">
        <v>137</v>
      </c>
      <c r="B16" t="s">
        <v>138</v>
      </c>
    </row>
    <row r="18" spans="1:2" x14ac:dyDescent="0.25">
      <c r="A18" s="7" t="s">
        <v>139</v>
      </c>
      <c r="B18" t="s">
        <v>1</v>
      </c>
    </row>
    <row r="19" spans="1:2" x14ac:dyDescent="0.25">
      <c r="A19" t="s">
        <v>140</v>
      </c>
      <c r="B19" t="s">
        <v>141</v>
      </c>
    </row>
    <row r="20" spans="1:2" x14ac:dyDescent="0.25">
      <c r="A20" t="s">
        <v>142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51</v>
      </c>
      <c r="B1" t="s">
        <v>143</v>
      </c>
      <c r="C1" t="s">
        <v>30</v>
      </c>
      <c r="D1" t="s">
        <v>32</v>
      </c>
      <c r="E1" t="s">
        <v>31</v>
      </c>
      <c r="F1" t="s">
        <v>33</v>
      </c>
      <c r="G1" t="s">
        <v>144</v>
      </c>
      <c r="H1" t="s">
        <v>145</v>
      </c>
      <c r="I1" t="s">
        <v>4</v>
      </c>
      <c r="J1" t="s">
        <v>146</v>
      </c>
      <c r="K1" t="s">
        <v>52</v>
      </c>
      <c r="L1" t="s">
        <v>147</v>
      </c>
      <c r="M1" t="s">
        <v>55</v>
      </c>
      <c r="N1" t="s">
        <v>148</v>
      </c>
      <c r="O1" t="s">
        <v>53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149</v>
      </c>
      <c r="D2" s="11" t="s">
        <v>61</v>
      </c>
      <c r="E2" s="11" t="s">
        <v>60</v>
      </c>
      <c r="F2" s="11" t="s">
        <v>62</v>
      </c>
      <c r="G2" s="10">
        <v>46222.5</v>
      </c>
      <c r="H2" s="13">
        <v>605</v>
      </c>
      <c r="I2" s="11" t="s">
        <v>13</v>
      </c>
      <c r="J2" s="11" t="s">
        <v>150</v>
      </c>
      <c r="K2" s="11" t="s">
        <v>70</v>
      </c>
      <c r="L2" s="11" t="s">
        <v>151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100</v>
      </c>
      <c r="C3" s="11" t="s">
        <v>152</v>
      </c>
      <c r="D3" s="11" t="s">
        <v>97</v>
      </c>
      <c r="E3" s="11" t="s">
        <v>60</v>
      </c>
      <c r="F3" s="11" t="s">
        <v>153</v>
      </c>
      <c r="G3" s="10">
        <v>46219.5</v>
      </c>
      <c r="H3" s="13">
        <v>375</v>
      </c>
      <c r="I3" s="11" t="s">
        <v>15</v>
      </c>
      <c r="J3" s="11" t="s">
        <v>101</v>
      </c>
      <c r="K3" s="11" t="s">
        <v>101</v>
      </c>
      <c r="L3" s="11" t="s">
        <v>154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155</v>
      </c>
      <c r="D4" s="11" t="s">
        <v>77</v>
      </c>
      <c r="E4" s="11" t="s">
        <v>60</v>
      </c>
      <c r="F4" s="11" t="s">
        <v>62</v>
      </c>
      <c r="G4" s="10">
        <v>46218.5</v>
      </c>
      <c r="H4" s="13">
        <v>325</v>
      </c>
      <c r="I4" s="11" t="s">
        <v>13</v>
      </c>
      <c r="J4" s="11" t="s">
        <v>150</v>
      </c>
      <c r="K4" s="11" t="s">
        <v>65</v>
      </c>
      <c r="L4" s="11" t="s">
        <v>156</v>
      </c>
      <c r="M4" s="11" t="s">
        <v>157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122</v>
      </c>
      <c r="D5" s="11" t="s">
        <v>1</v>
      </c>
      <c r="E5" s="11" t="s">
        <v>1</v>
      </c>
      <c r="F5" s="11" t="s">
        <v>62</v>
      </c>
      <c r="G5" s="10">
        <v>46224.5</v>
      </c>
      <c r="H5" s="13">
        <v>9.99</v>
      </c>
      <c r="I5" s="11" t="s">
        <v>13</v>
      </c>
      <c r="J5" s="11" t="s">
        <v>158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143</v>
      </c>
      <c r="B1" t="s">
        <v>30</v>
      </c>
      <c r="C1" t="s">
        <v>159</v>
      </c>
      <c r="D1" t="s">
        <v>160</v>
      </c>
      <c r="E1" t="s">
        <v>161</v>
      </c>
      <c r="F1" t="s">
        <v>162</v>
      </c>
      <c r="G1" t="s">
        <v>55</v>
      </c>
    </row>
    <row r="2" spans="1:7" x14ac:dyDescent="0.25">
      <c r="A2" s="9" t="s">
        <v>75</v>
      </c>
      <c r="B2" t="s">
        <v>155</v>
      </c>
      <c r="C2" s="8">
        <v>46204.5</v>
      </c>
      <c r="D2" t="s">
        <v>163</v>
      </c>
      <c r="E2" t="s">
        <v>62</v>
      </c>
      <c r="F2" s="4">
        <v>200</v>
      </c>
      <c r="G2" t="s">
        <v>1</v>
      </c>
    </row>
    <row r="3" spans="1:7" x14ac:dyDescent="0.25">
      <c r="A3" s="9" t="s">
        <v>75</v>
      </c>
      <c r="B3" t="s">
        <v>155</v>
      </c>
      <c r="C3" s="8">
        <v>46218.5</v>
      </c>
      <c r="D3" t="s">
        <v>164</v>
      </c>
      <c r="E3" t="s">
        <v>165</v>
      </c>
      <c r="F3" s="4">
        <v>325</v>
      </c>
      <c r="G3" t="s">
        <v>1</v>
      </c>
    </row>
    <row r="4" spans="1:7" x14ac:dyDescent="0.25">
      <c r="A4" s="9" t="s">
        <v>75</v>
      </c>
      <c r="B4" t="s">
        <v>155</v>
      </c>
      <c r="C4" s="8">
        <v>46218.5</v>
      </c>
      <c r="D4" t="s">
        <v>164</v>
      </c>
      <c r="E4" t="s">
        <v>166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155</v>
      </c>
      <c r="C5" s="10">
        <v>46224.5</v>
      </c>
      <c r="D5" s="11" t="s">
        <v>167</v>
      </c>
      <c r="E5" s="11" t="s">
        <v>168</v>
      </c>
      <c r="F5" s="13">
        <v>-19.2</v>
      </c>
      <c r="G5" s="11" t="s">
        <v>157</v>
      </c>
    </row>
    <row r="6" spans="1:7" x14ac:dyDescent="0.25">
      <c r="A6" s="12" t="s">
        <v>75</v>
      </c>
      <c r="B6" s="11" t="s">
        <v>155</v>
      </c>
      <c r="C6" s="10">
        <v>46224.5</v>
      </c>
      <c r="D6" s="11" t="s">
        <v>167</v>
      </c>
      <c r="E6" s="11" t="s">
        <v>168</v>
      </c>
      <c r="F6" s="13">
        <v>-19.2</v>
      </c>
      <c r="G6" s="11" t="s">
        <v>1</v>
      </c>
    </row>
    <row r="7" spans="1:7" x14ac:dyDescent="0.25">
      <c r="A7" s="9" t="s">
        <v>100</v>
      </c>
      <c r="B7" t="s">
        <v>152</v>
      </c>
      <c r="C7" s="8">
        <v>46204.5</v>
      </c>
      <c r="D7" t="s">
        <v>163</v>
      </c>
      <c r="E7" t="s">
        <v>153</v>
      </c>
      <c r="F7" s="4">
        <v>200</v>
      </c>
      <c r="G7" t="s">
        <v>1</v>
      </c>
    </row>
    <row r="8" spans="1:7" x14ac:dyDescent="0.25">
      <c r="A8" s="9" t="s">
        <v>100</v>
      </c>
      <c r="B8" t="s">
        <v>152</v>
      </c>
      <c r="C8" s="8">
        <v>46219.5</v>
      </c>
      <c r="D8" t="s">
        <v>164</v>
      </c>
      <c r="E8" t="s">
        <v>169</v>
      </c>
      <c r="F8" s="4">
        <v>375</v>
      </c>
      <c r="G8" t="s">
        <v>1</v>
      </c>
    </row>
    <row r="9" spans="1:7" x14ac:dyDescent="0.25">
      <c r="A9" s="12" t="s">
        <v>100</v>
      </c>
      <c r="B9" s="11" t="s">
        <v>152</v>
      </c>
      <c r="C9" s="10">
        <v>46225.5</v>
      </c>
      <c r="D9" s="11" t="s">
        <v>167</v>
      </c>
      <c r="E9" s="11" t="s">
        <v>170</v>
      </c>
      <c r="F9" s="13">
        <v>-19.2</v>
      </c>
      <c r="G9" s="11" t="s">
        <v>1</v>
      </c>
    </row>
    <row r="10" spans="1:7" x14ac:dyDescent="0.25">
      <c r="A10" s="9" t="s">
        <v>100</v>
      </c>
      <c r="B10" t="s">
        <v>152</v>
      </c>
      <c r="C10" s="8">
        <v>46225.5</v>
      </c>
      <c r="D10" t="s">
        <v>171</v>
      </c>
      <c r="E10" t="s">
        <v>101</v>
      </c>
      <c r="F10" s="4"/>
      <c r="G10" t="s">
        <v>1</v>
      </c>
    </row>
    <row r="11" spans="1:7" x14ac:dyDescent="0.25">
      <c r="A11" s="9" t="s">
        <v>69</v>
      </c>
      <c r="B11" t="s">
        <v>149</v>
      </c>
      <c r="C11" s="8">
        <v>46204.5</v>
      </c>
      <c r="D11" t="s">
        <v>163</v>
      </c>
      <c r="E11" t="s">
        <v>62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149</v>
      </c>
      <c r="C12" s="8">
        <v>46222.5</v>
      </c>
      <c r="D12" t="s">
        <v>164</v>
      </c>
      <c r="E12" t="s">
        <v>172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149</v>
      </c>
      <c r="C13" s="10">
        <v>46226.5</v>
      </c>
      <c r="D13" s="11" t="s">
        <v>167</v>
      </c>
      <c r="E13" s="11" t="s">
        <v>173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2026-08-14T16:38:42Z</dcterms:created>
  <dcterms:modified xsi:type="dcterms:W3CDTF">2026-08-14T16:38:42Z</dcterms:modified>
</cp:coreProperties>
</file>