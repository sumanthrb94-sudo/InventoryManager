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AMAZON" state="visible" r:id="rId5"/>
    <sheet sheetId="3" name="BM" state="visible" r:id="rId6"/>
    <sheet sheetId="4" name="EBAY" state="visible" r:id="rId7"/>
    <sheet sheetId="5" name="ONBUY" state="visible" r:id="rId8"/>
    <sheet sheetId="6" name="TEMU" state="visible" r:id="rId9"/>
    <sheet sheetId="7" name="Returns &amp; Profit" state="visible" r:id="rId10"/>
    <sheet sheetId="8" name="Accessories" state="visible" r:id="rId11"/>
    <sheet sheetId="9" name="Returns Summary" state="visible" r:id="rId12"/>
    <sheet sheetId="10" name="Returns Detail" state="visible" r:id="rId13"/>
    <sheet sheetId="11" name="Unit Histories" state="visible" r:id="rId14"/>
  </sheets>
  <calcPr calcId="171027"/>
</workbook>
</file>

<file path=xl/sharedStrings.xml><?xml version="1.0" encoding="utf-8"?>
<sst xmlns="http://schemas.openxmlformats.org/spreadsheetml/2006/main" count="498" uniqueCount="172">
  <si>
    <t>Sales Report — Audit Summary</t>
  </si>
  <si>
    <t/>
  </si>
  <si>
    <t>Period: All Time</t>
  </si>
  <si>
    <t>This is a working sheet. Each marketplace tab has 200 blank rows under the data: type a Buy Price and a Sale Price and the whole row calculates in Excel, and the figures here follow. Leave the calculated columns alone — typing over one replaces live maths with a frozen number. Nothing reads this file back into the application; sales are recorded under Sell.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</si>
  <si>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</si>
  <si>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</si>
  <si>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</si>
  <si>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</si>
  <si>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</si>
  <si>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</si>
  <si>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</si>
  <si>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</si>
  <si>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</si>
  <si>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</si>
  <si>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</si>
  <si>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</si>
  <si>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</si>
  <si>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</si>
  <si>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</si>
  <si>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</si>
  <si>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</si>
  <si>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</si>
  <si>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</si>
  <si>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</si>
  <si>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Sales / Gross GP / BP above count ACTIVE sales only — matching the app's ALL-TIME SOLD figure. Refunds, Replacements and Repairs are tracked separately in the columns to the left; add them to Sales for this sheet's row count on each marketplace tab.</t>
  </si>
  <si>
    <t>• Per-marketplace sheets carry a TOTAL row at the bottom summing every row shown there (active + returned) via SUM formulas — the Returns tab breaks the returned rows out on their own.</t>
  </si>
  <si>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</si>
  <si>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</si>
  <si>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</si>
  <si>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</si>
  <si>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</si>
  <si>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</si>
  <si>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</si>
  <si>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</si>
  <si>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</si>
  <si>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</si>
  <si>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</si>
  <si>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</si>
  <si>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</si>
  <si>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</si>
  <si>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</si>
  <si>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</si>
  <si>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</si>
  <si>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</si>
  <si>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</si>
  <si>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Accessories</t>
  </si>
  <si>
    <t>Total VAT</t>
  </si>
  <si>
    <t>GP</t>
  </si>
  <si>
    <t>GP %</t>
  </si>
  <si>
    <t>Total VAT NTP</t>
  </si>
  <si>
    <t>Postage Loss</t>
  </si>
  <si>
    <t>Return Date</t>
  </si>
  <si>
    <t>Outcome</t>
  </si>
  <si>
    <t>Shipping Legs</t>
  </si>
  <si>
    <t>Return Reason</t>
  </si>
  <si>
    <t>Comments</t>
  </si>
  <si>
    <t>AMZ-1009</t>
  </si>
  <si>
    <t>Apple iPhone 14 256GB</t>
  </si>
  <si>
    <t>350000000000404</t>
  </si>
  <si>
    <t>iPhone 14</t>
  </si>
  <si>
    <t>BLACK</t>
  </si>
  <si>
    <t>256GB</t>
  </si>
  <si>
    <t>MOBILE WHOLESALE LTD</t>
  </si>
  <si>
    <t>AMZ-ACC-2</t>
  </si>
  <si>
    <t>USB-C-20W-CHARGER</t>
  </si>
  <si>
    <t>Refund</t>
  </si>
  <si>
    <t>Wrong item ordered</t>
  </si>
  <si>
    <t>AMZ-ACC-1</t>
  </si>
  <si>
    <t>AMZ-1008</t>
  </si>
  <si>
    <t>350000000000403</t>
  </si>
  <si>
    <t>Replacement</t>
  </si>
  <si>
    <t>Replacement — Face ID intermittent</t>
  </si>
  <si>
    <t>[REPLACED BY IMEI 350000000000404]</t>
  </si>
  <si>
    <t>AMZ-1005</t>
  </si>
  <si>
    <t>Apple iPhone 12 64GB</t>
  </si>
  <si>
    <t>350000000000401</t>
  </si>
  <si>
    <t>iPhone 12</t>
  </si>
  <si>
    <t>64GB</t>
  </si>
  <si>
    <t>Refund — Battery health below 85%</t>
  </si>
  <si>
    <t>AMZ-1005-LEGACY</t>
  </si>
  <si>
    <t>AMZ-1001</t>
  </si>
  <si>
    <t>350000000000301</t>
  </si>
  <si>
    <t>Customer Care Fees</t>
  </si>
  <si>
    <t>Units</t>
  </si>
  <si>
    <t>ROF</t>
  </si>
  <si>
    <t>FVF</t>
  </si>
  <si>
    <t>VAT</t>
  </si>
  <si>
    <t>T.COM</t>
  </si>
  <si>
    <t>Marketing</t>
  </si>
  <si>
    <t>M. VAT</t>
  </si>
  <si>
    <t>EB-ACC-1</t>
  </si>
  <si>
    <t>TEMPERED-GLASS-IP13</t>
  </si>
  <si>
    <t>EB-2001</t>
  </si>
  <si>
    <t>Apple iPhone 12 128GB</t>
  </si>
  <si>
    <t>350000000000302</t>
  </si>
  <si>
    <t>128GB</t>
  </si>
  <si>
    <t>EB-2007</t>
  </si>
  <si>
    <t>Samsung S22-128-GRN</t>
  </si>
  <si>
    <t>350000000000402</t>
  </si>
  <si>
    <t>S22-128-GRN</t>
  </si>
  <si>
    <t>In Repair</t>
  </si>
  <si>
    <t>In Repair — Cracked rear glass in transit</t>
  </si>
  <si>
    <t>VAT 20%</t>
  </si>
  <si>
    <t>OB-3001</t>
  </si>
  <si>
    <t>Apple iPhone 13 128GB</t>
  </si>
  <si>
    <t>350000000000303</t>
  </si>
  <si>
    <t>iPhone 13</t>
  </si>
  <si>
    <t>Commission VAT</t>
  </si>
  <si>
    <t>RETURNS &amp; PROFIT BY MARKETPLACE</t>
  </si>
  <si>
    <t>Revenue and Gross GP count only sales that kept their money — a refunded sale contributes nothing, while a replacement or an out-of-warranty repair counts in full because the customer kept paying. Return Cost = carriage + repair invoices − supplier credits. A replacement costs carriage only: the faulty unit comes back as the replacement ships, so net stock is unchanged.</t>
  </si>
  <si>
    <t>Revenue £</t>
  </si>
  <si>
    <t>Returns</t>
  </si>
  <si>
    <t>To Supplier</t>
  </si>
  <si>
    <t>Carriage £</t>
  </si>
  <si>
    <t>Repair Invoices £</t>
  </si>
  <si>
    <t>Supplier Credits £</t>
  </si>
  <si>
    <t>Return Cost £</t>
  </si>
  <si>
    <t>Costs Outstanding</t>
  </si>
  <si>
    <t>1 return cost has not been entered yet (a repair invoice, or a supplier credit that has not landed). Return Cost is therefore a floor and Net GP an optimistic ceiling.</t>
  </si>
  <si>
    <t>Name</t>
  </si>
  <si>
    <t>USB-C 20W Charger</t>
  </si>
  <si>
    <t>Tempered Glass · iPhone 13</t>
  </si>
  <si>
    <t>Period</t>
  </si>
  <si>
    <t>All Time</t>
  </si>
  <si>
    <t>Total Returns</t>
  </si>
  <si>
    <t>Total Postage Loss £</t>
  </si>
  <si>
    <t>Avg Loss per Return £</t>
  </si>
  <si>
    <t>By Marketplace</t>
  </si>
  <si>
    <t>Returns · Loss £</t>
  </si>
  <si>
    <t>3 · £54.00</t>
  </si>
  <si>
    <t>1 · £19.20</t>
  </si>
  <si>
    <t>Carriage cost policy</t>
  </si>
  <si>
    <t>Refund / Repair / To-Supplier</t>
  </si>
  <si>
    <t>2 legs (outbound + inbound)</t>
  </si>
  <si>
    <t>3 legs (+ replacement outbound)</t>
  </si>
  <si>
    <t>Leg cost</t>
  </si>
  <si>
    <t>postage + P.VAT, snapshotted at return time</t>
  </si>
  <si>
    <t>Pre-tracking cutoff</t>
  </si>
  <si>
    <t>Carriage costed from</t>
  </si>
  <si>
    <t>2026-07-21</t>
  </si>
  <si>
    <t>Uncosted (pre-tracking) returns</t>
  </si>
  <si>
    <t>Unit IMEI</t>
  </si>
  <si>
    <t>Original Sale Date</t>
  </si>
  <si>
    <t>Original Sale Price</t>
  </si>
  <si>
    <t>Return Type</t>
  </si>
  <si>
    <t>Reason</t>
  </si>
  <si>
    <t>Leg Cost £</t>
  </si>
  <si>
    <t>IPHONE 14</t>
  </si>
  <si>
    <t>Back to Inventory</t>
  </si>
  <si>
    <t>Face ID intermittent</t>
  </si>
  <si>
    <t>SAMSUNG GALAXY S22</t>
  </si>
  <si>
    <t>PHONEBOX DIRECT</t>
  </si>
  <si>
    <t>Cracked rear glass in transit</t>
  </si>
  <si>
    <t>IPHONE 12</t>
  </si>
  <si>
    <t>Battery health below 85%</t>
  </si>
  <si>
    <t>Customer reported rapid drain; QC confirmed 79%.</t>
  </si>
  <si>
    <t>Accessory</t>
  </si>
  <si>
    <t>Event Date</t>
  </si>
  <si>
    <t>Event</t>
  </si>
  <si>
    <t>Detail</t>
  </si>
  <si>
    <t>Amount £</t>
  </si>
  <si>
    <t>STOCK IN</t>
  </si>
  <si>
    <t>SOLD</t>
  </si>
  <si>
    <t>AMAZON · AMZ-1005</t>
  </si>
  <si>
    <t>AMAZON · AMZ-1005-LEGACY</t>
  </si>
  <si>
    <t>RETURNED</t>
  </si>
  <si>
    <t>Refund · Refund — Battery health below 85%</t>
  </si>
  <si>
    <t>EBAY · EB-2007</t>
  </si>
  <si>
    <t>In Repair · In Repair — Cracked rear glass in transit</t>
  </si>
  <si>
    <t>STATUS</t>
  </si>
  <si>
    <t>AMAZON · AMZ-1008</t>
  </si>
  <si>
    <t>Replacement · Replacement — Face ID intermittent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</si>
</sst>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409]d\-mmm\-yyyy"/>
    <numFmt numFmtId="165" formatCode="0.0&quot;%&quot;"/>
  </numFmts>
  <fonts count="5" x14ac:knownFonts="1">
    <font>
      <color theme="1"/>
      <family val="2"/>
      <scheme val="minor"/>
      <sz val="11"/>
      <name val="Calibri"/>
    </font>
    <font>
      <b/>
      <sz val="13"/>
    </font>
    <font>
      <i/>
      <color rgb="FF64748B"/>
      <sz val="9"/>
    </font>
    <font>
      <b/>
    </font>
    <font>
      <i/>
      <color rgb="FFB0500A"/>
      <sz val="9"/>
    </font>
  </fonts>
  <fills count="5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  <fill>
      <patternFill patternType="solid">
        <fgColor rgb="FFFEE2E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/>
    <xf numFmtId="2" fontId="0" fillId="0" borderId="0" xfId="0" applyNumberFormat="1"/>
    <xf numFmtId="0" fontId="3" fillId="3" borderId="0" xfId="0" applyFont="1" applyFill="1"/>
    <xf numFmtId="2" fontId="3" fillId="3" borderId="0" xfId="0" applyNumberFormat="1" applyFont="1" applyFill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164" fontId="0" fillId="4" borderId="0" xfId="0" applyNumberFormat="1" applyFill="1"/>
    <xf numFmtId="0" fontId="0" fillId="4" borderId="0" xfId="0" applyFill="1"/>
    <xf numFmtId="1" fontId="0" fillId="4" borderId="0" xfId="0" applyNumberFormat="1" applyFill="1"/>
    <xf numFmtId="2" fontId="0" fillId="4" borderId="0" xfId="0" applyNumberFormat="1" applyFill="1"/>
    <xf numFmtId="2" fontId="3" fillId="0" borderId="0" xfId="0" applyNumberFormat="1" applyFont="1"/>
    <xf numFmtId="2" fontId="3" fillId="2" borderId="0" xfId="0" applyNumberFormat="1" applyFont="1" applyFill="1"/>
    <xf numFmtId="0" fontId="4" fillId="0" borderId="0" xfId="0" applyFont="1" applyAlignment="1">
      <alignment vertical="top" wrapText="1"/>
    </xf>
    <xf numFmtId="165" fontId="0" fillId="4" borderId="0" xfId="0" applyNumberFormat="1" applyFill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3" ht="30" customHeight="1" spans="1:1" x14ac:dyDescent="0.25">
      <c r="A3" s="2" t="s">
        <v>3</v>
      </c>
    </row>
    <row r="5" spans="1:9" s="3" customFormat="1" x14ac:dyDescent="0.25">
      <c r="A5" s="3" t="s">
        <v>4</v>
      </c>
      <c r="B5" s="3" t="s">
        <v>5</v>
      </c>
      <c r="C5" s="3" t="s">
        <v>6</v>
      </c>
      <c r="D5" s="3" t="s">
        <v>7</v>
      </c>
      <c r="E5" s="3" t="s">
        <v>8</v>
      </c>
      <c r="F5" s="3" t="s">
        <v>9</v>
      </c>
      <c r="G5" s="3" t="s">
        <v>10</v>
      </c>
      <c r="H5" s="3" t="s">
        <v>11</v>
      </c>
      <c r="I5" s="3" t="s">
        <v>12</v>
      </c>
    </row>
    <row r="6" spans="1:9" x14ac:dyDescent="0.25">
      <c r="A6" t="s">
        <v>13</v>
      </c>
      <c r="B6">
        <f>3+COUNT('AMAZON'!$H$9:$H$208)</f>
      </c>
      <c r="C6">
        <v>2</v>
      </c>
      <c r="D6">
        <v>1</v>
      </c>
      <c r="E6">
        <v>0</v>
      </c>
      <c r="F6" s="4">
        <f>356.98+SUM('AMAZON'!$V$9:$V$208)</f>
      </c>
      <c r="G6" s="4">
        <v>54</v>
      </c>
      <c r="H6" s="4">
        <f>F6-G6</f>
      </c>
      <c r="I6" s="4">
        <f>IFERROR((F6-G6)/(412.80+SUM('AMAZON'!$G$9:$G$208))*100,0)</f>
      </c>
    </row>
    <row r="7" spans="1:9" x14ac:dyDescent="0.25">
      <c r="A7" t="s">
        <v>14</v>
      </c>
      <c r="B7">
        <f>0+COUNT('BM'!$H$2:$H$201)</f>
      </c>
      <c r="C7">
        <v>0</v>
      </c>
      <c r="D7">
        <v>0</v>
      </c>
      <c r="E7">
        <v>0</v>
      </c>
      <c r="F7" s="4">
        <f>0.00+SUM('BM'!$S$2:$S$201)</f>
      </c>
      <c r="G7" s="4">
        <v>0</v>
      </c>
      <c r="H7" s="4">
        <f>F7-G7</f>
      </c>
      <c r="I7" s="4">
        <f>IFERROR((F7-G7)/(0.00+SUM('BM'!$G$2:$G$201))*100,0)</f>
      </c>
    </row>
    <row r="8" spans="1:9" x14ac:dyDescent="0.25">
      <c r="A8" t="s">
        <v>15</v>
      </c>
      <c r="B8">
        <f>2+COUNT('EBAY'!$H$5:$H$204)</f>
      </c>
      <c r="C8">
        <v>0</v>
      </c>
      <c r="D8">
        <v>0</v>
      </c>
      <c r="E8">
        <v>1</v>
      </c>
      <c r="F8" s="4">
        <f>99.57+SUM('EBAY'!$Y$5:$Y$204)</f>
      </c>
      <c r="G8" s="4">
        <v>19.2</v>
      </c>
      <c r="H8" s="4">
        <f>F8-G8</f>
      </c>
      <c r="I8" s="4">
        <f>IFERROR((F8-G8)/(203.30+SUM('EBAY'!$G$5:$G$204))*100,0)</f>
      </c>
    </row>
    <row r="9" spans="1:9" x14ac:dyDescent="0.25">
      <c r="A9" t="s">
        <v>16</v>
      </c>
      <c r="B9">
        <f>1+COUNT('ONBUY'!$G$3:$G$202)</f>
      </c>
      <c r="C9">
        <v>0</v>
      </c>
      <c r="D9">
        <v>0</v>
      </c>
      <c r="E9">
        <v>0</v>
      </c>
      <c r="F9" s="4">
        <f>129.95+SUM('ONBUY'!$S$3:$S$202)</f>
      </c>
      <c r="G9" s="4">
        <v>0</v>
      </c>
      <c r="H9" s="4">
        <f>F9-G9</f>
      </c>
      <c r="I9" s="4">
        <f>IFERROR((F9-G9)/(200.00+SUM('ONBUY'!$F$3:$F$202))*100,0)</f>
      </c>
    </row>
    <row r="10" spans="1:9" x14ac:dyDescent="0.25">
      <c r="A10" t="s">
        <v>17</v>
      </c>
      <c r="B10">
        <f>0+COUNT('TEMU'!$H$2:$H$201)</f>
      </c>
      <c r="C10">
        <v>0</v>
      </c>
      <c r="D10">
        <v>0</v>
      </c>
      <c r="E10">
        <v>0</v>
      </c>
      <c r="F10" s="4">
        <f>0.00+SUM('TEMU'!$T$2:$T$201)</f>
      </c>
      <c r="G10" s="4">
        <v>0</v>
      </c>
      <c r="H10" s="4">
        <f>F10-G10</f>
      </c>
      <c r="I10" s="4">
        <f>IFERROR((F10-G10)/(0.00+SUM('TEMU'!$G$2:$G$201))*100,0)</f>
      </c>
    </row>
    <row r="11" spans="1:9" s="5" customFormat="1" x14ac:dyDescent="0.25">
      <c r="A11" s="5" t="s">
        <v>18</v>
      </c>
      <c r="B11" s="5">
        <f>B6+B7+B8+B9+B10</f>
      </c>
      <c r="C11" s="5">
        <f>C6+C7+C8+C9+C10</f>
      </c>
      <c r="D11" s="5">
        <f>D6+D7+D8+D9+D10</f>
      </c>
      <c r="E11" s="5">
        <f>E6+E7+E8+E9+E10</f>
      </c>
      <c r="F11" s="6">
        <f>F6+F7+F8+F9+F10</f>
      </c>
      <c r="G11" s="6">
        <f>G6+G7+G8+G9+G10</f>
      </c>
      <c r="H11" s="6">
        <f>H6+H7+H8+H9+H10</f>
      </c>
      <c r="I11" s="6">
        <f>IFERROR((F11-G11)/(816.10+SUM('AMAZON'!$G$9:$G$208)+SUM('BM'!$G$2:$G$201)+SUM('EBAY'!$G$5:$G$204)+SUM('ONBUY'!$F$3:$F$202)+SUM('TEMU'!$G$2:$G$201))*100,0)</f>
      </c>
    </row>
    <row r="13" spans="1:1" s="7" customFormat="1" x14ac:dyDescent="0.25">
      <c r="A13" s="7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  <row r="18" spans="1:1" x14ac:dyDescent="0.25">
      <c r="A18" t="s">
        <v>24</v>
      </c>
    </row>
    <row r="19" spans="1:1" x14ac:dyDescent="0.25">
      <c r="A19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09"/>
  <sheetFormatPr defaultRowHeight="15" outlineLevelRow="0" outlineLevelCol="0" x14ac:dyDescent="55"/>
  <sheetData>
    <row r="1" spans="1:31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40</v>
      </c>
      <c r="P1" t="s">
        <v>41</v>
      </c>
      <c r="Q1" t="s">
        <v>42</v>
      </c>
      <c r="R1" t="s">
        <v>43</v>
      </c>
      <c r="S1" t="s">
        <v>44</v>
      </c>
      <c r="T1" t="s">
        <v>45</v>
      </c>
      <c r="U1" t="s">
        <v>46</v>
      </c>
      <c r="V1" t="s">
        <v>47</v>
      </c>
      <c r="W1" t="s">
        <v>48</v>
      </c>
      <c r="X1" t="s">
        <v>49</v>
      </c>
      <c r="Y1" t="s">
        <v>50</v>
      </c>
      <c r="Z1" t="s">
        <v>11</v>
      </c>
      <c r="AA1" t="s">
        <v>51</v>
      </c>
      <c r="AB1" t="s">
        <v>52</v>
      </c>
      <c r="AC1" t="s">
        <v>53</v>
      </c>
      <c r="AD1" t="s">
        <v>54</v>
      </c>
      <c r="AE1" t="s">
        <v>55</v>
      </c>
    </row>
    <row r="2" spans="1:31" x14ac:dyDescent="0.25">
      <c r="A2" s="8">
        <v>46226.5</v>
      </c>
      <c r="B2" t="s">
        <v>56</v>
      </c>
      <c r="C2" t="s">
        <v>57</v>
      </c>
      <c r="D2" s="9" t="s">
        <v>58</v>
      </c>
      <c r="E2" t="s">
        <v>59</v>
      </c>
      <c r="F2" t="s">
        <v>60</v>
      </c>
      <c r="G2" t="s">
        <v>61</v>
      </c>
      <c r="H2" t="s">
        <v>62</v>
      </c>
      <c r="I2">
        <v>1</v>
      </c>
      <c r="J2" s="4">
        <v>200</v>
      </c>
      <c r="K2" s="4">
        <v>610</v>
      </c>
      <c r="L2" s="4">
        <f>K2-J2</f>
      </c>
      <c r="M2" s="4">
        <f>L2*16.67%</f>
      </c>
      <c r="N2" s="4">
        <f>K2/100*7</f>
      </c>
      <c r="O2" s="4">
        <f>N2*20%</f>
      </c>
      <c r="P2" s="4">
        <f>N2*2%</f>
      </c>
      <c r="Q2" s="4">
        <f>P2*20%</f>
      </c>
      <c r="R2" s="4">
        <v>8</v>
      </c>
      <c r="S2" s="4">
        <f>R2*20%</f>
      </c>
      <c r="T2" s="4">
        <v>1</v>
      </c>
      <c r="U2" s="4">
        <f>O2+Q2+S2</f>
      </c>
      <c r="V2" s="4">
        <f>L2-M2-N2-O2-P2-Q2-R2-S2-T2</f>
      </c>
      <c r="W2" s="4">
        <f>(V2-Y2)/J2*100</f>
      </c>
      <c r="X2" s="4">
        <f>M2-U2</f>
      </c>
      <c r="Z2" s="4">
        <f>V2-Y2</f>
      </c>
      <c r="AE2" t="s">
        <v>1</v>
      </c>
    </row>
    <row r="3" spans="1:31" x14ac:dyDescent="0.25">
      <c r="A3" s="10">
        <v>46224.5</v>
      </c>
      <c r="B3" s="11" t="s">
        <v>63</v>
      </c>
      <c r="C3" s="11" t="s">
        <v>64</v>
      </c>
      <c r="D3" s="12" t="s">
        <v>1</v>
      </c>
      <c r="E3" s="11" t="s">
        <v>64</v>
      </c>
      <c r="F3" s="11" t="s">
        <v>1</v>
      </c>
      <c r="G3" s="11" t="s">
        <v>1</v>
      </c>
      <c r="H3" s="11" t="s">
        <v>62</v>
      </c>
      <c r="I3" s="11">
        <v>1</v>
      </c>
      <c r="J3" s="13">
        <v>3.2</v>
      </c>
      <c r="K3" s="13">
        <v>9.99</v>
      </c>
      <c r="L3" s="13">
        <f>K3-J3</f>
      </c>
      <c r="M3" s="13">
        <f>L3*16.67%</f>
      </c>
      <c r="N3" s="13">
        <f>K3/100*7</f>
      </c>
      <c r="O3" s="13">
        <f>N3*20%</f>
      </c>
      <c r="P3" s="13">
        <f>N3*2%</f>
      </c>
      <c r="Q3" s="13">
        <f>P3*20%</f>
      </c>
      <c r="R3" s="13">
        <v>2.5</v>
      </c>
      <c r="S3" s="13">
        <f>R3*20%</f>
      </c>
      <c r="T3" s="13">
        <v>0</v>
      </c>
      <c r="U3" s="13">
        <f>O3+Q3+S3</f>
      </c>
      <c r="V3" s="13">
        <f>L3-M3-N3-O3-P3-Q3-R3-S3-T3</f>
      </c>
      <c r="W3" s="13">
        <f>(V3-Y3)/J3*100</f>
      </c>
      <c r="X3" s="13">
        <f>M3-U3</f>
      </c>
      <c r="Y3" s="13">
        <v>6</v>
      </c>
      <c r="Z3" s="13">
        <f>V3-Y3</f>
      </c>
      <c r="AA3" s="10">
        <v>46227.5</v>
      </c>
      <c r="AB3" s="11" t="s">
        <v>65</v>
      </c>
      <c r="AC3" s="11">
        <v>2</v>
      </c>
      <c r="AD3" s="11" t="s">
        <v>66</v>
      </c>
      <c r="AE3" s="11" t="s">
        <v>1</v>
      </c>
    </row>
    <row r="4" spans="1:31" x14ac:dyDescent="0.25">
      <c r="A4" s="8">
        <v>46222.5</v>
      </c>
      <c r="B4" t="s">
        <v>67</v>
      </c>
      <c r="C4" t="s">
        <v>64</v>
      </c>
      <c r="D4" s="9" t="s">
        <v>1</v>
      </c>
      <c r="E4" t="s">
        <v>64</v>
      </c>
      <c r="F4" t="s">
        <v>1</v>
      </c>
      <c r="G4" t="s">
        <v>1</v>
      </c>
      <c r="H4" t="s">
        <v>62</v>
      </c>
      <c r="I4">
        <v>4</v>
      </c>
      <c r="J4" s="4">
        <v>12.8</v>
      </c>
      <c r="K4" s="4">
        <v>39.96</v>
      </c>
      <c r="L4" s="4">
        <f>K4-J4</f>
      </c>
      <c r="M4" s="4">
        <f>L4*16.67%</f>
      </c>
      <c r="N4" s="4">
        <f>K4/100*7</f>
      </c>
      <c r="O4" s="4">
        <f>N4*20%</f>
      </c>
      <c r="P4" s="4">
        <f>N4*2%</f>
      </c>
      <c r="Q4" s="4">
        <f>P4*20%</f>
      </c>
      <c r="R4" s="4">
        <v>2.5</v>
      </c>
      <c r="S4" s="4">
        <f>R4*20%</f>
      </c>
      <c r="T4" s="4">
        <v>0</v>
      </c>
      <c r="U4" s="4">
        <f>O4+Q4+S4</f>
      </c>
      <c r="V4" s="4">
        <f>L4-M4-N4-O4-P4-Q4-R4-S4-T4</f>
      </c>
      <c r="W4" s="4">
        <f>(V4-Y4)/J4*100</f>
      </c>
      <c r="X4" s="4">
        <f>M4-U4</f>
      </c>
      <c r="Z4" s="4">
        <f>V4-Y4</f>
      </c>
      <c r="AE4" t="s">
        <v>1</v>
      </c>
    </row>
    <row r="5" spans="1:31" x14ac:dyDescent="0.25">
      <c r="A5" s="10">
        <v>46222.5</v>
      </c>
      <c r="B5" s="11" t="s">
        <v>68</v>
      </c>
      <c r="C5" s="11" t="s">
        <v>57</v>
      </c>
      <c r="D5" s="12" t="s">
        <v>69</v>
      </c>
      <c r="E5" s="11" t="s">
        <v>59</v>
      </c>
      <c r="F5" s="11" t="s">
        <v>60</v>
      </c>
      <c r="G5" s="11" t="s">
        <v>61</v>
      </c>
      <c r="H5" s="11" t="s">
        <v>62</v>
      </c>
      <c r="I5" s="11">
        <v>1</v>
      </c>
      <c r="J5" s="13">
        <v>200</v>
      </c>
      <c r="K5" s="13">
        <v>605</v>
      </c>
      <c r="L5" s="13">
        <f>K5-J5</f>
      </c>
      <c r="M5" s="13">
        <f>L5*16.67%</f>
      </c>
      <c r="N5" s="13">
        <f>K5/100*7</f>
      </c>
      <c r="O5" s="13">
        <f>N5*20%</f>
      </c>
      <c r="P5" s="13">
        <f>N5*2%</f>
      </c>
      <c r="Q5" s="13">
        <f>P5*20%</f>
      </c>
      <c r="R5" s="13">
        <v>8</v>
      </c>
      <c r="S5" s="13">
        <f>R5*20%</f>
      </c>
      <c r="T5" s="13">
        <v>1</v>
      </c>
      <c r="U5" s="13">
        <f>O5+Q5+S5</f>
      </c>
      <c r="V5" s="13">
        <f>L5-M5-N5-O5-P5-Q5-R5-S5-T5</f>
      </c>
      <c r="W5" s="13">
        <f>(V5-Y5)/J5*100</f>
      </c>
      <c r="X5" s="13">
        <f>M5-U5</f>
      </c>
      <c r="Y5" s="13">
        <v>28.799999999999997</v>
      </c>
      <c r="Z5" s="13">
        <f>V5-Y5</f>
      </c>
      <c r="AA5" s="10">
        <v>46226.5</v>
      </c>
      <c r="AB5" s="11" t="s">
        <v>70</v>
      </c>
      <c r="AC5" s="11">
        <v>3</v>
      </c>
      <c r="AD5" s="11" t="s">
        <v>71</v>
      </c>
      <c r="AE5" s="11" t="s">
        <v>72</v>
      </c>
    </row>
    <row r="6" spans="1:31" x14ac:dyDescent="0.25">
      <c r="A6" s="10">
        <v>46218.5</v>
      </c>
      <c r="B6" s="11" t="s">
        <v>73</v>
      </c>
      <c r="C6" s="11" t="s">
        <v>74</v>
      </c>
      <c r="D6" s="12" t="s">
        <v>75</v>
      </c>
      <c r="E6" s="11" t="s">
        <v>76</v>
      </c>
      <c r="F6" s="11" t="s">
        <v>60</v>
      </c>
      <c r="G6" s="11" t="s">
        <v>77</v>
      </c>
      <c r="H6" s="11" t="s">
        <v>62</v>
      </c>
      <c r="I6" s="11">
        <v>1</v>
      </c>
      <c r="J6" s="13">
        <v>200</v>
      </c>
      <c r="K6" s="13">
        <v>325</v>
      </c>
      <c r="L6" s="13">
        <f>K6-J6</f>
      </c>
      <c r="M6" s="13">
        <f>L6*16.67%</f>
      </c>
      <c r="N6" s="13">
        <f>K6/100*7</f>
      </c>
      <c r="O6" s="13">
        <f>N6*20%</f>
      </c>
      <c r="P6" s="13">
        <f>N6*2%</f>
      </c>
      <c r="Q6" s="13">
        <f>P6*20%</f>
      </c>
      <c r="R6" s="13">
        <v>8</v>
      </c>
      <c r="S6" s="13">
        <f>R6*20%</f>
      </c>
      <c r="T6" s="13">
        <v>1</v>
      </c>
      <c r="U6" s="13">
        <f>O6+Q6+S6</f>
      </c>
      <c r="V6" s="13">
        <f>L6-M6-N6-O6-P6-Q6-R6-S6-T6</f>
      </c>
      <c r="W6" s="13">
        <f>(V6-Y6)/J6*100</f>
      </c>
      <c r="X6" s="13">
        <f>M6-U6</f>
      </c>
      <c r="Y6" s="13">
        <v>19.2</v>
      </c>
      <c r="Z6" s="13">
        <f>V6-Y6</f>
      </c>
      <c r="AA6" s="10">
        <v>46224.5</v>
      </c>
      <c r="AB6" s="11" t="s">
        <v>65</v>
      </c>
      <c r="AC6" s="11">
        <v>2</v>
      </c>
      <c r="AD6" s="11" t="s">
        <v>78</v>
      </c>
      <c r="AE6" s="11" t="s">
        <v>1</v>
      </c>
    </row>
    <row r="7" spans="1:31" x14ac:dyDescent="0.25">
      <c r="A7" s="10">
        <v>46218.5</v>
      </c>
      <c r="B7" s="11" t="s">
        <v>79</v>
      </c>
      <c r="C7" s="11" t="s">
        <v>74</v>
      </c>
      <c r="D7" s="12" t="s">
        <v>75</v>
      </c>
      <c r="E7" s="11" t="s">
        <v>76</v>
      </c>
      <c r="F7" s="11" t="s">
        <v>60</v>
      </c>
      <c r="G7" s="11" t="s">
        <v>77</v>
      </c>
      <c r="H7" s="11" t="s">
        <v>62</v>
      </c>
      <c r="I7" s="11">
        <v>1</v>
      </c>
      <c r="J7" s="13">
        <v>200</v>
      </c>
      <c r="K7" s="13">
        <v>325</v>
      </c>
      <c r="L7" s="13">
        <f>K7-J7</f>
      </c>
      <c r="M7" s="13">
        <f>L7*16.67%</f>
      </c>
      <c r="N7" s="13">
        <f>K7/100*7</f>
      </c>
      <c r="O7" s="13">
        <f>N7*20%</f>
      </c>
      <c r="P7" s="13">
        <f>N7*2%</f>
      </c>
      <c r="Q7" s="13">
        <f>P7*20%</f>
      </c>
      <c r="R7" s="13">
        <v>8</v>
      </c>
      <c r="S7" s="13">
        <f>R7*20%</f>
      </c>
      <c r="T7" s="13">
        <v>1</v>
      </c>
      <c r="U7" s="13">
        <f>O7+Q7+S7</f>
      </c>
      <c r="V7" s="13">
        <f>L7-M7-N7-O7-P7-Q7-R7-S7-T7</f>
      </c>
      <c r="W7" s="13">
        <f>(V7-Y7)/J7*100</f>
      </c>
      <c r="X7" s="13">
        <f>M7-U7</f>
      </c>
      <c r="Y7" s="13">
        <v>19.2</v>
      </c>
      <c r="Z7" s="13">
        <f>V7-Y7</f>
      </c>
      <c r="AA7" s="10">
        <v>46224.5</v>
      </c>
      <c r="AB7" s="11" t="s">
        <v>65</v>
      </c>
      <c r="AC7" s="11">
        <v>2</v>
      </c>
      <c r="AD7" s="11" t="s">
        <v>78</v>
      </c>
      <c r="AE7" s="11" t="s">
        <v>1</v>
      </c>
    </row>
    <row r="8" spans="1:31" x14ac:dyDescent="0.25">
      <c r="A8" s="8">
        <v>46213.5</v>
      </c>
      <c r="B8" t="s">
        <v>80</v>
      </c>
      <c r="C8" t="s">
        <v>74</v>
      </c>
      <c r="D8" s="9" t="s">
        <v>81</v>
      </c>
      <c r="E8" t="s">
        <v>76</v>
      </c>
      <c r="F8" t="s">
        <v>60</v>
      </c>
      <c r="G8" t="s">
        <v>77</v>
      </c>
      <c r="H8" t="s">
        <v>62</v>
      </c>
      <c r="I8">
        <v>1</v>
      </c>
      <c r="J8" s="4">
        <v>200</v>
      </c>
      <c r="K8" s="4">
        <v>320</v>
      </c>
      <c r="L8" s="4">
        <f>K8-J8</f>
      </c>
      <c r="M8" s="4">
        <f>L8*16.67%</f>
      </c>
      <c r="N8" s="4">
        <f>K8/100*7</f>
      </c>
      <c r="O8" s="4">
        <f>N8*20%</f>
      </c>
      <c r="P8" s="4">
        <f>N8*2%</f>
      </c>
      <c r="Q8" s="4">
        <f>P8*20%</f>
      </c>
      <c r="R8" s="4">
        <v>8</v>
      </c>
      <c r="S8" s="4">
        <f>R8*20%</f>
      </c>
      <c r="T8" s="4">
        <v>1</v>
      </c>
      <c r="U8" s="4">
        <f>O8+Q8+S8</f>
      </c>
      <c r="V8" s="4">
        <f>L8-M8-N8-O8-P8-Q8-R8-S8-T8</f>
      </c>
      <c r="W8" s="4">
        <f>(V8-Y8)/J8*100</f>
      </c>
      <c r="X8" s="4">
        <f>M8-U8</f>
      </c>
      <c r="Z8" s="4">
        <f>V8-Y8</f>
      </c>
      <c r="AE8" t="s">
        <v>1</v>
      </c>
    </row>
    <row r="9" spans="1:31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IF($K9="","",K9/100*7)</f>
      </c>
      <c r="O9" s="4">
        <f>IF($K9="","",N9*20%)</f>
      </c>
      <c r="P9" s="4">
        <f>IF($K9="","",N9*2%)</f>
      </c>
      <c r="Q9" s="4">
        <f>IF($K9="","",P9*20%)</f>
      </c>
      <c r="R9" s="4"/>
      <c r="S9" s="4">
        <f>IF($K9="","",R9*20%)</f>
      </c>
      <c r="T9" s="4">
        <v>1</v>
      </c>
      <c r="U9" s="4">
        <f>IF($K9="","",O9+Q9+S9)</f>
      </c>
      <c r="V9" s="4">
        <f>IF($K9="","",L9-M9-N9-O9-P9-Q9-R9-S9-T9)</f>
      </c>
      <c r="W9" s="4">
        <f>IF($K9="","",(V9-Y9)/J9*100)</f>
      </c>
      <c r="X9" s="4">
        <f>IF($K9="","",M9-U9)</f>
      </c>
      <c r="Z9" s="4">
        <f>IF($K9="","",V9-Y9)</f>
      </c>
    </row>
    <row r="10" spans="1:31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IF($K10="","",K10/100*7)</f>
      </c>
      <c r="O10" s="4">
        <f>IF($K10="","",N10*20%)</f>
      </c>
      <c r="P10" s="4">
        <f>IF($K10="","",N10*2%)</f>
      </c>
      <c r="Q10" s="4">
        <f>IF($K10="","",P10*20%)</f>
      </c>
      <c r="R10" s="4"/>
      <c r="S10" s="4">
        <f>IF($K10="","",R10*20%)</f>
      </c>
      <c r="T10" s="4">
        <v>1</v>
      </c>
      <c r="U10" s="4">
        <f>IF($K10="","",O10+Q10+S10)</f>
      </c>
      <c r="V10" s="4">
        <f>IF($K10="","",L10-M10-N10-O10-P10-Q10-R10-S10-T10)</f>
      </c>
      <c r="W10" s="4">
        <f>IF($K10="","",(V10-Y10)/J10*100)</f>
      </c>
      <c r="X10" s="4">
        <f>IF($K10="","",M10-U10)</f>
      </c>
      <c r="Z10" s="4">
        <f>IF($K10="","",V10-Y10)</f>
      </c>
    </row>
    <row r="11" spans="1:31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IF($K11="","",K11/100*7)</f>
      </c>
      <c r="O11" s="4">
        <f>IF($K11="","",N11*20%)</f>
      </c>
      <c r="P11" s="4">
        <f>IF($K11="","",N11*2%)</f>
      </c>
      <c r="Q11" s="4">
        <f>IF($K11="","",P11*20%)</f>
      </c>
      <c r="R11" s="4"/>
      <c r="S11" s="4">
        <f>IF($K11="","",R11*20%)</f>
      </c>
      <c r="T11" s="4">
        <v>1</v>
      </c>
      <c r="U11" s="4">
        <f>IF($K11="","",O11+Q11+S11)</f>
      </c>
      <c r="V11" s="4">
        <f>IF($K11="","",L11-M11-N11-O11-P11-Q11-R11-S11-T11)</f>
      </c>
      <c r="W11" s="4">
        <f>IF($K11="","",(V11-Y11)/J11*100)</f>
      </c>
      <c r="X11" s="4">
        <f>IF($K11="","",M11-U11)</f>
      </c>
      <c r="Z11" s="4">
        <f>IF($K11="","",V11-Y11)</f>
      </c>
    </row>
    <row r="12" spans="1:31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IF($K12="","",K12/100*7)</f>
      </c>
      <c r="O12" s="4">
        <f>IF($K12="","",N12*20%)</f>
      </c>
      <c r="P12" s="4">
        <f>IF($K12="","",N12*2%)</f>
      </c>
      <c r="Q12" s="4">
        <f>IF($K12="","",P12*20%)</f>
      </c>
      <c r="R12" s="4"/>
      <c r="S12" s="4">
        <f>IF($K12="","",R12*20%)</f>
      </c>
      <c r="T12" s="4">
        <v>1</v>
      </c>
      <c r="U12" s="4">
        <f>IF($K12="","",O12+Q12+S12)</f>
      </c>
      <c r="V12" s="4">
        <f>IF($K12="","",L12-M12-N12-O12-P12-Q12-R12-S12-T12)</f>
      </c>
      <c r="W12" s="4">
        <f>IF($K12="","",(V12-Y12)/J12*100)</f>
      </c>
      <c r="X12" s="4">
        <f>IF($K12="","",M12-U12)</f>
      </c>
      <c r="Z12" s="4">
        <f>IF($K12="","",V12-Y12)</f>
      </c>
    </row>
    <row r="13" spans="1:31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IF($K13="","",K13/100*7)</f>
      </c>
      <c r="O13" s="4">
        <f>IF($K13="","",N13*20%)</f>
      </c>
      <c r="P13" s="4">
        <f>IF($K13="","",N13*2%)</f>
      </c>
      <c r="Q13" s="4">
        <f>IF($K13="","",P13*20%)</f>
      </c>
      <c r="R13" s="4"/>
      <c r="S13" s="4">
        <f>IF($K13="","",R13*20%)</f>
      </c>
      <c r="T13" s="4">
        <v>1</v>
      </c>
      <c r="U13" s="4">
        <f>IF($K13="","",O13+Q13+S13)</f>
      </c>
      <c r="V13" s="4">
        <f>IF($K13="","",L13-M13-N13-O13-P13-Q13-R13-S13-T13)</f>
      </c>
      <c r="W13" s="4">
        <f>IF($K13="","",(V13-Y13)/J13*100)</f>
      </c>
      <c r="X13" s="4">
        <f>IF($K13="","",M13-U13)</f>
      </c>
      <c r="Z13" s="4">
        <f>IF($K13="","",V13-Y13)</f>
      </c>
    </row>
    <row r="14" spans="1:31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IF($K14="","",K14/100*7)</f>
      </c>
      <c r="O14" s="4">
        <f>IF($K14="","",N14*20%)</f>
      </c>
      <c r="P14" s="4">
        <f>IF($K14="","",N14*2%)</f>
      </c>
      <c r="Q14" s="4">
        <f>IF($K14="","",P14*20%)</f>
      </c>
      <c r="R14" s="4"/>
      <c r="S14" s="4">
        <f>IF($K14="","",R14*20%)</f>
      </c>
      <c r="T14" s="4">
        <v>1</v>
      </c>
      <c r="U14" s="4">
        <f>IF($K14="","",O14+Q14+S14)</f>
      </c>
      <c r="V14" s="4">
        <f>IF($K14="","",L14-M14-N14-O14-P14-Q14-R14-S14-T14)</f>
      </c>
      <c r="W14" s="4">
        <f>IF($K14="","",(V14-Y14)/J14*100)</f>
      </c>
      <c r="X14" s="4">
        <f>IF($K14="","",M14-U14)</f>
      </c>
      <c r="Z14" s="4">
        <f>IF($K14="","",V14-Y14)</f>
      </c>
    </row>
    <row r="15" spans="1:31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IF($K15="","",K15/100*7)</f>
      </c>
      <c r="O15" s="4">
        <f>IF($K15="","",N15*20%)</f>
      </c>
      <c r="P15" s="4">
        <f>IF($K15="","",N15*2%)</f>
      </c>
      <c r="Q15" s="4">
        <f>IF($K15="","",P15*20%)</f>
      </c>
      <c r="R15" s="4"/>
      <c r="S15" s="4">
        <f>IF($K15="","",R15*20%)</f>
      </c>
      <c r="T15" s="4">
        <v>1</v>
      </c>
      <c r="U15" s="4">
        <f>IF($K15="","",O15+Q15+S15)</f>
      </c>
      <c r="V15" s="4">
        <f>IF($K15="","",L15-M15-N15-O15-P15-Q15-R15-S15-T15)</f>
      </c>
      <c r="W15" s="4">
        <f>IF($K15="","",(V15-Y15)/J15*100)</f>
      </c>
      <c r="X15" s="4">
        <f>IF($K15="","",M15-U15)</f>
      </c>
      <c r="Z15" s="4">
        <f>IF($K15="","",V15-Y15)</f>
      </c>
    </row>
    <row r="16" spans="1:31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IF($K16="","",K16/100*7)</f>
      </c>
      <c r="O16" s="4">
        <f>IF($K16="","",N16*20%)</f>
      </c>
      <c r="P16" s="4">
        <f>IF($K16="","",N16*2%)</f>
      </c>
      <c r="Q16" s="4">
        <f>IF($K16="","",P16*20%)</f>
      </c>
      <c r="R16" s="4"/>
      <c r="S16" s="4">
        <f>IF($K16="","",R16*20%)</f>
      </c>
      <c r="T16" s="4">
        <v>1</v>
      </c>
      <c r="U16" s="4">
        <f>IF($K16="","",O16+Q16+S16)</f>
      </c>
      <c r="V16" s="4">
        <f>IF($K16="","",L16-M16-N16-O16-P16-Q16-R16-S16-T16)</f>
      </c>
      <c r="W16" s="4">
        <f>IF($K16="","",(V16-Y16)/J16*100)</f>
      </c>
      <c r="X16" s="4">
        <f>IF($K16="","",M16-U16)</f>
      </c>
      <c r="Z16" s="4">
        <f>IF($K16="","",V16-Y16)</f>
      </c>
    </row>
    <row r="17" spans="1:31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IF($K17="","",K17/100*7)</f>
      </c>
      <c r="O17" s="4">
        <f>IF($K17="","",N17*20%)</f>
      </c>
      <c r="P17" s="4">
        <f>IF($K17="","",N17*2%)</f>
      </c>
      <c r="Q17" s="4">
        <f>IF($K17="","",P17*20%)</f>
      </c>
      <c r="R17" s="4"/>
      <c r="S17" s="4">
        <f>IF($K17="","",R17*20%)</f>
      </c>
      <c r="T17" s="4">
        <v>1</v>
      </c>
      <c r="U17" s="4">
        <f>IF($K17="","",O17+Q17+S17)</f>
      </c>
      <c r="V17" s="4">
        <f>IF($K17="","",L17-M17-N17-O17-P17-Q17-R17-S17-T17)</f>
      </c>
      <c r="W17" s="4">
        <f>IF($K17="","",(V17-Y17)/J17*100)</f>
      </c>
      <c r="X17" s="4">
        <f>IF($K17="","",M17-U17)</f>
      </c>
      <c r="Z17" s="4">
        <f>IF($K17="","",V17-Y17)</f>
      </c>
    </row>
    <row r="18" spans="1:31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IF($K18="","",K18/100*7)</f>
      </c>
      <c r="O18" s="4">
        <f>IF($K18="","",N18*20%)</f>
      </c>
      <c r="P18" s="4">
        <f>IF($K18="","",N18*2%)</f>
      </c>
      <c r="Q18" s="4">
        <f>IF($K18="","",P18*20%)</f>
      </c>
      <c r="R18" s="4"/>
      <c r="S18" s="4">
        <f>IF($K18="","",R18*20%)</f>
      </c>
      <c r="T18" s="4">
        <v>1</v>
      </c>
      <c r="U18" s="4">
        <f>IF($K18="","",O18+Q18+S18)</f>
      </c>
      <c r="V18" s="4">
        <f>IF($K18="","",L18-M18-N18-O18-P18-Q18-R18-S18-T18)</f>
      </c>
      <c r="W18" s="4">
        <f>IF($K18="","",(V18-Y18)/J18*100)</f>
      </c>
      <c r="X18" s="4">
        <f>IF($K18="","",M18-U18)</f>
      </c>
      <c r="Z18" s="4">
        <f>IF($K18="","",V18-Y18)</f>
      </c>
    </row>
    <row r="19" spans="1:31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IF($K19="","",K19/100*7)</f>
      </c>
      <c r="O19" s="4">
        <f>IF($K19="","",N19*20%)</f>
      </c>
      <c r="P19" s="4">
        <f>IF($K19="","",N19*2%)</f>
      </c>
      <c r="Q19" s="4">
        <f>IF($K19="","",P19*20%)</f>
      </c>
      <c r="R19" s="4"/>
      <c r="S19" s="4">
        <f>IF($K19="","",R19*20%)</f>
      </c>
      <c r="T19" s="4">
        <v>1</v>
      </c>
      <c r="U19" s="4">
        <f>IF($K19="","",O19+Q19+S19)</f>
      </c>
      <c r="V19" s="4">
        <f>IF($K19="","",L19-M19-N19-O19-P19-Q19-R19-S19-T19)</f>
      </c>
      <c r="W19" s="4">
        <f>IF($K19="","",(V19-Y19)/J19*100)</f>
      </c>
      <c r="X19" s="4">
        <f>IF($K19="","",M19-U19)</f>
      </c>
      <c r="Z19" s="4">
        <f>IF($K19="","",V19-Y19)</f>
      </c>
    </row>
    <row r="20" spans="1:31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IF($K20="","",K20/100*7)</f>
      </c>
      <c r="O20" s="4">
        <f>IF($K20="","",N20*20%)</f>
      </c>
      <c r="P20" s="4">
        <f>IF($K20="","",N20*2%)</f>
      </c>
      <c r="Q20" s="4">
        <f>IF($K20="","",P20*20%)</f>
      </c>
      <c r="R20" s="4"/>
      <c r="S20" s="4">
        <f>IF($K20="","",R20*20%)</f>
      </c>
      <c r="T20" s="4">
        <v>1</v>
      </c>
      <c r="U20" s="4">
        <f>IF($K20="","",O20+Q20+S20)</f>
      </c>
      <c r="V20" s="4">
        <f>IF($K20="","",L20-M20-N20-O20-P20-Q20-R20-S20-T20)</f>
      </c>
      <c r="W20" s="4">
        <f>IF($K20="","",(V20-Y20)/J20*100)</f>
      </c>
      <c r="X20" s="4">
        <f>IF($K20="","",M20-U20)</f>
      </c>
      <c r="Z20" s="4">
        <f>IF($K20="","",V20-Y20)</f>
      </c>
    </row>
    <row r="21" spans="1:31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IF($K21="","",K21/100*7)</f>
      </c>
      <c r="O21" s="4">
        <f>IF($K21="","",N21*20%)</f>
      </c>
      <c r="P21" s="4">
        <f>IF($K21="","",N21*2%)</f>
      </c>
      <c r="Q21" s="4">
        <f>IF($K21="","",P21*20%)</f>
      </c>
      <c r="R21" s="4"/>
      <c r="S21" s="4">
        <f>IF($K21="","",R21*20%)</f>
      </c>
      <c r="T21" s="4">
        <v>1</v>
      </c>
      <c r="U21" s="4">
        <f>IF($K21="","",O21+Q21+S21)</f>
      </c>
      <c r="V21" s="4">
        <f>IF($K21="","",L21-M21-N21-O21-P21-Q21-R21-S21-T21)</f>
      </c>
      <c r="W21" s="4">
        <f>IF($K21="","",(V21-Y21)/J21*100)</f>
      </c>
      <c r="X21" s="4">
        <f>IF($K21="","",M21-U21)</f>
      </c>
      <c r="Z21" s="4">
        <f>IF($K21="","",V21-Y21)</f>
      </c>
    </row>
    <row r="22" spans="1:31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IF($K22="","",K22/100*7)</f>
      </c>
      <c r="O22" s="4">
        <f>IF($K22="","",N22*20%)</f>
      </c>
      <c r="P22" s="4">
        <f>IF($K22="","",N22*2%)</f>
      </c>
      <c r="Q22" s="4">
        <f>IF($K22="","",P22*20%)</f>
      </c>
      <c r="R22" s="4"/>
      <c r="S22" s="4">
        <f>IF($K22="","",R22*20%)</f>
      </c>
      <c r="T22" s="4">
        <v>1</v>
      </c>
      <c r="U22" s="4">
        <f>IF($K22="","",O22+Q22+S22)</f>
      </c>
      <c r="V22" s="4">
        <f>IF($K22="","",L22-M22-N22-O22-P22-Q22-R22-S22-T22)</f>
      </c>
      <c r="W22" s="4">
        <f>IF($K22="","",(V22-Y22)/J22*100)</f>
      </c>
      <c r="X22" s="4">
        <f>IF($K22="","",M22-U22)</f>
      </c>
      <c r="Z22" s="4">
        <f>IF($K22="","",V22-Y22)</f>
      </c>
    </row>
    <row r="23" spans="1:31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IF($K23="","",K23/100*7)</f>
      </c>
      <c r="O23" s="4">
        <f>IF($K23="","",N23*20%)</f>
      </c>
      <c r="P23" s="4">
        <f>IF($K23="","",N23*2%)</f>
      </c>
      <c r="Q23" s="4">
        <f>IF($K23="","",P23*20%)</f>
      </c>
      <c r="R23" s="4"/>
      <c r="S23" s="4">
        <f>IF($K23="","",R23*20%)</f>
      </c>
      <c r="T23" s="4">
        <v>1</v>
      </c>
      <c r="U23" s="4">
        <f>IF($K23="","",O23+Q23+S23)</f>
      </c>
      <c r="V23" s="4">
        <f>IF($K23="","",L23-M23-N23-O23-P23-Q23-R23-S23-T23)</f>
      </c>
      <c r="W23" s="4">
        <f>IF($K23="","",(V23-Y23)/J23*100)</f>
      </c>
      <c r="X23" s="4">
        <f>IF($K23="","",M23-U23)</f>
      </c>
      <c r="Z23" s="4">
        <f>IF($K23="","",V23-Y23)</f>
      </c>
    </row>
    <row r="24" spans="1:31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IF($K24="","",K24/100*7)</f>
      </c>
      <c r="O24" s="4">
        <f>IF($K24="","",N24*20%)</f>
      </c>
      <c r="P24" s="4">
        <f>IF($K24="","",N24*2%)</f>
      </c>
      <c r="Q24" s="4">
        <f>IF($K24="","",P24*20%)</f>
      </c>
      <c r="R24" s="4"/>
      <c r="S24" s="4">
        <f>IF($K24="","",R24*20%)</f>
      </c>
      <c r="T24" s="4">
        <v>1</v>
      </c>
      <c r="U24" s="4">
        <f>IF($K24="","",O24+Q24+S24)</f>
      </c>
      <c r="V24" s="4">
        <f>IF($K24="","",L24-M24-N24-O24-P24-Q24-R24-S24-T24)</f>
      </c>
      <c r="W24" s="4">
        <f>IF($K24="","",(V24-Y24)/J24*100)</f>
      </c>
      <c r="X24" s="4">
        <f>IF($K24="","",M24-U24)</f>
      </c>
      <c r="Z24" s="4">
        <f>IF($K24="","",V24-Y24)</f>
      </c>
    </row>
    <row r="25" spans="1:31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IF($K25="","",K25/100*7)</f>
      </c>
      <c r="O25" s="4">
        <f>IF($K25="","",N25*20%)</f>
      </c>
      <c r="P25" s="4">
        <f>IF($K25="","",N25*2%)</f>
      </c>
      <c r="Q25" s="4">
        <f>IF($K25="","",P25*20%)</f>
      </c>
      <c r="R25" s="4"/>
      <c r="S25" s="4">
        <f>IF($K25="","",R25*20%)</f>
      </c>
      <c r="T25" s="4">
        <v>1</v>
      </c>
      <c r="U25" s="4">
        <f>IF($K25="","",O25+Q25+S25)</f>
      </c>
      <c r="V25" s="4">
        <f>IF($K25="","",L25-M25-N25-O25-P25-Q25-R25-S25-T25)</f>
      </c>
      <c r="W25" s="4">
        <f>IF($K25="","",(V25-Y25)/J25*100)</f>
      </c>
      <c r="X25" s="4">
        <f>IF($K25="","",M25-U25)</f>
      </c>
      <c r="Z25" s="4">
        <f>IF($K25="","",V25-Y25)</f>
      </c>
    </row>
    <row r="26" spans="1:31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IF($K26="","",K26/100*7)</f>
      </c>
      <c r="O26" s="4">
        <f>IF($K26="","",N26*20%)</f>
      </c>
      <c r="P26" s="4">
        <f>IF($K26="","",N26*2%)</f>
      </c>
      <c r="Q26" s="4">
        <f>IF($K26="","",P26*20%)</f>
      </c>
      <c r="R26" s="4"/>
      <c r="S26" s="4">
        <f>IF($K26="","",R26*20%)</f>
      </c>
      <c r="T26" s="4">
        <v>1</v>
      </c>
      <c r="U26" s="4">
        <f>IF($K26="","",O26+Q26+S26)</f>
      </c>
      <c r="V26" s="4">
        <f>IF($K26="","",L26-M26-N26-O26-P26-Q26-R26-S26-T26)</f>
      </c>
      <c r="W26" s="4">
        <f>IF($K26="","",(V26-Y26)/J26*100)</f>
      </c>
      <c r="X26" s="4">
        <f>IF($K26="","",M26-U26)</f>
      </c>
      <c r="Z26" s="4">
        <f>IF($K26="","",V26-Y26)</f>
      </c>
    </row>
    <row r="27" spans="1:31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IF($K27="","",K27/100*7)</f>
      </c>
      <c r="O27" s="4">
        <f>IF($K27="","",N27*20%)</f>
      </c>
      <c r="P27" s="4">
        <f>IF($K27="","",N27*2%)</f>
      </c>
      <c r="Q27" s="4">
        <f>IF($K27="","",P27*20%)</f>
      </c>
      <c r="R27" s="4"/>
      <c r="S27" s="4">
        <f>IF($K27="","",R27*20%)</f>
      </c>
      <c r="T27" s="4">
        <v>1</v>
      </c>
      <c r="U27" s="4">
        <f>IF($K27="","",O27+Q27+S27)</f>
      </c>
      <c r="V27" s="4">
        <f>IF($K27="","",L27-M27-N27-O27-P27-Q27-R27-S27-T27)</f>
      </c>
      <c r="W27" s="4">
        <f>IF($K27="","",(V27-Y27)/J27*100)</f>
      </c>
      <c r="X27" s="4">
        <f>IF($K27="","",M27-U27)</f>
      </c>
      <c r="Z27" s="4">
        <f>IF($K27="","",V27-Y27)</f>
      </c>
    </row>
    <row r="28" spans="1:31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IF($K28="","",K28/100*7)</f>
      </c>
      <c r="O28" s="4">
        <f>IF($K28="","",N28*20%)</f>
      </c>
      <c r="P28" s="4">
        <f>IF($K28="","",N28*2%)</f>
      </c>
      <c r="Q28" s="4">
        <f>IF($K28="","",P28*20%)</f>
      </c>
      <c r="R28" s="4"/>
      <c r="S28" s="4">
        <f>IF($K28="","",R28*20%)</f>
      </c>
      <c r="T28" s="4">
        <v>1</v>
      </c>
      <c r="U28" s="4">
        <f>IF($K28="","",O28+Q28+S28)</f>
      </c>
      <c r="V28" s="4">
        <f>IF($K28="","",L28-M28-N28-O28-P28-Q28-R28-S28-T28)</f>
      </c>
      <c r="W28" s="4">
        <f>IF($K28="","",(V28-Y28)/J28*100)</f>
      </c>
      <c r="X28" s="4">
        <f>IF($K28="","",M28-U28)</f>
      </c>
      <c r="Z28" s="4">
        <f>IF($K28="","",V28-Y28)</f>
      </c>
    </row>
    <row r="29" spans="1:31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IF($K29="","",K29/100*7)</f>
      </c>
      <c r="O29" s="4">
        <f>IF($K29="","",N29*20%)</f>
      </c>
      <c r="P29" s="4">
        <f>IF($K29="","",N29*2%)</f>
      </c>
      <c r="Q29" s="4">
        <f>IF($K29="","",P29*20%)</f>
      </c>
      <c r="R29" s="4"/>
      <c r="S29" s="4">
        <f>IF($K29="","",R29*20%)</f>
      </c>
      <c r="T29" s="4">
        <v>1</v>
      </c>
      <c r="U29" s="4">
        <f>IF($K29="","",O29+Q29+S29)</f>
      </c>
      <c r="V29" s="4">
        <f>IF($K29="","",L29-M29-N29-O29-P29-Q29-R29-S29-T29)</f>
      </c>
      <c r="W29" s="4">
        <f>IF($K29="","",(V29-Y29)/J29*100)</f>
      </c>
      <c r="X29" s="4">
        <f>IF($K29="","",M29-U29)</f>
      </c>
      <c r="Z29" s="4">
        <f>IF($K29="","",V29-Y29)</f>
      </c>
    </row>
    <row r="30" spans="1:31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IF($K30="","",K30/100*7)</f>
      </c>
      <c r="O30" s="4">
        <f>IF($K30="","",N30*20%)</f>
      </c>
      <c r="P30" s="4">
        <f>IF($K30="","",N30*2%)</f>
      </c>
      <c r="Q30" s="4">
        <f>IF($K30="","",P30*20%)</f>
      </c>
      <c r="R30" s="4"/>
      <c r="S30" s="4">
        <f>IF($K30="","",R30*20%)</f>
      </c>
      <c r="T30" s="4">
        <v>1</v>
      </c>
      <c r="U30" s="4">
        <f>IF($K30="","",O30+Q30+S30)</f>
      </c>
      <c r="V30" s="4">
        <f>IF($K30="","",L30-M30-N30-O30-P30-Q30-R30-S30-T30)</f>
      </c>
      <c r="W30" s="4">
        <f>IF($K30="","",(V30-Y30)/J30*100)</f>
      </c>
      <c r="X30" s="4">
        <f>IF($K30="","",M30-U30)</f>
      </c>
      <c r="Z30" s="4">
        <f>IF($K30="","",V30-Y30)</f>
      </c>
    </row>
    <row r="31" spans="1:31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IF($K31="","",K31/100*7)</f>
      </c>
      <c r="O31" s="4">
        <f>IF($K31="","",N31*20%)</f>
      </c>
      <c r="P31" s="4">
        <f>IF($K31="","",N31*2%)</f>
      </c>
      <c r="Q31" s="4">
        <f>IF($K31="","",P31*20%)</f>
      </c>
      <c r="R31" s="4"/>
      <c r="S31" s="4">
        <f>IF($K31="","",R31*20%)</f>
      </c>
      <c r="T31" s="4">
        <v>1</v>
      </c>
      <c r="U31" s="4">
        <f>IF($K31="","",O31+Q31+S31)</f>
      </c>
      <c r="V31" s="4">
        <f>IF($K31="","",L31-M31-N31-O31-P31-Q31-R31-S31-T31)</f>
      </c>
      <c r="W31" s="4">
        <f>IF($K31="","",(V31-Y31)/J31*100)</f>
      </c>
      <c r="X31" s="4">
        <f>IF($K31="","",M31-U31)</f>
      </c>
      <c r="Z31" s="4">
        <f>IF($K31="","",V31-Y31)</f>
      </c>
    </row>
    <row r="32" spans="1:31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IF($K32="","",K32/100*7)</f>
      </c>
      <c r="O32" s="4">
        <f>IF($K32="","",N32*20%)</f>
      </c>
      <c r="P32" s="4">
        <f>IF($K32="","",N32*2%)</f>
      </c>
      <c r="Q32" s="4">
        <f>IF($K32="","",P32*20%)</f>
      </c>
      <c r="R32" s="4"/>
      <c r="S32" s="4">
        <f>IF($K32="","",R32*20%)</f>
      </c>
      <c r="T32" s="4">
        <v>1</v>
      </c>
      <c r="U32" s="4">
        <f>IF($K32="","",O32+Q32+S32)</f>
      </c>
      <c r="V32" s="4">
        <f>IF($K32="","",L32-M32-N32-O32-P32-Q32-R32-S32-T32)</f>
      </c>
      <c r="W32" s="4">
        <f>IF($K32="","",(V32-Y32)/J32*100)</f>
      </c>
      <c r="X32" s="4">
        <f>IF($K32="","",M32-U32)</f>
      </c>
      <c r="Z32" s="4">
        <f>IF($K32="","",V32-Y32)</f>
      </c>
    </row>
    <row r="33" spans="1:31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IF($K33="","",K33/100*7)</f>
      </c>
      <c r="O33" s="4">
        <f>IF($K33="","",N33*20%)</f>
      </c>
      <c r="P33" s="4">
        <f>IF($K33="","",N33*2%)</f>
      </c>
      <c r="Q33" s="4">
        <f>IF($K33="","",P33*20%)</f>
      </c>
      <c r="R33" s="4"/>
      <c r="S33" s="4">
        <f>IF($K33="","",R33*20%)</f>
      </c>
      <c r="T33" s="4">
        <v>1</v>
      </c>
      <c r="U33" s="4">
        <f>IF($K33="","",O33+Q33+S33)</f>
      </c>
      <c r="V33" s="4">
        <f>IF($K33="","",L33-M33-N33-O33-P33-Q33-R33-S33-T33)</f>
      </c>
      <c r="W33" s="4">
        <f>IF($K33="","",(V33-Y33)/J33*100)</f>
      </c>
      <c r="X33" s="4">
        <f>IF($K33="","",M33-U33)</f>
      </c>
      <c r="Z33" s="4">
        <f>IF($K33="","",V33-Y33)</f>
      </c>
    </row>
    <row r="34" spans="1:31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IF($K34="","",K34/100*7)</f>
      </c>
      <c r="O34" s="4">
        <f>IF($K34="","",N34*20%)</f>
      </c>
      <c r="P34" s="4">
        <f>IF($K34="","",N34*2%)</f>
      </c>
      <c r="Q34" s="4">
        <f>IF($K34="","",P34*20%)</f>
      </c>
      <c r="R34" s="4"/>
      <c r="S34" s="4">
        <f>IF($K34="","",R34*20%)</f>
      </c>
      <c r="T34" s="4">
        <v>1</v>
      </c>
      <c r="U34" s="4">
        <f>IF($K34="","",O34+Q34+S34)</f>
      </c>
      <c r="V34" s="4">
        <f>IF($K34="","",L34-M34-N34-O34-P34-Q34-R34-S34-T34)</f>
      </c>
      <c r="W34" s="4">
        <f>IF($K34="","",(V34-Y34)/J34*100)</f>
      </c>
      <c r="X34" s="4">
        <f>IF($K34="","",M34-U34)</f>
      </c>
      <c r="Z34" s="4">
        <f>IF($K34="","",V34-Y34)</f>
      </c>
    </row>
    <row r="35" spans="1:31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IF($K35="","",K35/100*7)</f>
      </c>
      <c r="O35" s="4">
        <f>IF($K35="","",N35*20%)</f>
      </c>
      <c r="P35" s="4">
        <f>IF($K35="","",N35*2%)</f>
      </c>
      <c r="Q35" s="4">
        <f>IF($K35="","",P35*20%)</f>
      </c>
      <c r="R35" s="4"/>
      <c r="S35" s="4">
        <f>IF($K35="","",R35*20%)</f>
      </c>
      <c r="T35" s="4">
        <v>1</v>
      </c>
      <c r="U35" s="4">
        <f>IF($K35="","",O35+Q35+S35)</f>
      </c>
      <c r="V35" s="4">
        <f>IF($K35="","",L35-M35-N35-O35-P35-Q35-R35-S35-T35)</f>
      </c>
      <c r="W35" s="4">
        <f>IF($K35="","",(V35-Y35)/J35*100)</f>
      </c>
      <c r="X35" s="4">
        <f>IF($K35="","",M35-U35)</f>
      </c>
      <c r="Z35" s="4">
        <f>IF($K35="","",V35-Y35)</f>
      </c>
    </row>
    <row r="36" spans="1:31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IF($K36="","",K36/100*7)</f>
      </c>
      <c r="O36" s="4">
        <f>IF($K36="","",N36*20%)</f>
      </c>
      <c r="P36" s="4">
        <f>IF($K36="","",N36*2%)</f>
      </c>
      <c r="Q36" s="4">
        <f>IF($K36="","",P36*20%)</f>
      </c>
      <c r="R36" s="4"/>
      <c r="S36" s="4">
        <f>IF($K36="","",R36*20%)</f>
      </c>
      <c r="T36" s="4">
        <v>1</v>
      </c>
      <c r="U36" s="4">
        <f>IF($K36="","",O36+Q36+S36)</f>
      </c>
      <c r="V36" s="4">
        <f>IF($K36="","",L36-M36-N36-O36-P36-Q36-R36-S36-T36)</f>
      </c>
      <c r="W36" s="4">
        <f>IF($K36="","",(V36-Y36)/J36*100)</f>
      </c>
      <c r="X36" s="4">
        <f>IF($K36="","",M36-U36)</f>
      </c>
      <c r="Z36" s="4">
        <f>IF($K36="","",V36-Y36)</f>
      </c>
    </row>
    <row r="37" spans="1:31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IF($K37="","",K37/100*7)</f>
      </c>
      <c r="O37" s="4">
        <f>IF($K37="","",N37*20%)</f>
      </c>
      <c r="P37" s="4">
        <f>IF($K37="","",N37*2%)</f>
      </c>
      <c r="Q37" s="4">
        <f>IF($K37="","",P37*20%)</f>
      </c>
      <c r="R37" s="4"/>
      <c r="S37" s="4">
        <f>IF($K37="","",R37*20%)</f>
      </c>
      <c r="T37" s="4">
        <v>1</v>
      </c>
      <c r="U37" s="4">
        <f>IF($K37="","",O37+Q37+S37)</f>
      </c>
      <c r="V37" s="4">
        <f>IF($K37="","",L37-M37-N37-O37-P37-Q37-R37-S37-T37)</f>
      </c>
      <c r="W37" s="4">
        <f>IF($K37="","",(V37-Y37)/J37*100)</f>
      </c>
      <c r="X37" s="4">
        <f>IF($K37="","",M37-U37)</f>
      </c>
      <c r="Z37" s="4">
        <f>IF($K37="","",V37-Y37)</f>
      </c>
    </row>
    <row r="38" spans="1:31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IF($K38="","",K38/100*7)</f>
      </c>
      <c r="O38" s="4">
        <f>IF($K38="","",N38*20%)</f>
      </c>
      <c r="P38" s="4">
        <f>IF($K38="","",N38*2%)</f>
      </c>
      <c r="Q38" s="4">
        <f>IF($K38="","",P38*20%)</f>
      </c>
      <c r="R38" s="4"/>
      <c r="S38" s="4">
        <f>IF($K38="","",R38*20%)</f>
      </c>
      <c r="T38" s="4">
        <v>1</v>
      </c>
      <c r="U38" s="4">
        <f>IF($K38="","",O38+Q38+S38)</f>
      </c>
      <c r="V38" s="4">
        <f>IF($K38="","",L38-M38-N38-O38-P38-Q38-R38-S38-T38)</f>
      </c>
      <c r="W38" s="4">
        <f>IF($K38="","",(V38-Y38)/J38*100)</f>
      </c>
      <c r="X38" s="4">
        <f>IF($K38="","",M38-U38)</f>
      </c>
      <c r="Z38" s="4">
        <f>IF($K38="","",V38-Y38)</f>
      </c>
    </row>
    <row r="39" spans="1:31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IF($K39="","",K39/100*7)</f>
      </c>
      <c r="O39" s="4">
        <f>IF($K39="","",N39*20%)</f>
      </c>
      <c r="P39" s="4">
        <f>IF($K39="","",N39*2%)</f>
      </c>
      <c r="Q39" s="4">
        <f>IF($K39="","",P39*20%)</f>
      </c>
      <c r="R39" s="4"/>
      <c r="S39" s="4">
        <f>IF($K39="","",R39*20%)</f>
      </c>
      <c r="T39" s="4">
        <v>1</v>
      </c>
      <c r="U39" s="4">
        <f>IF($K39="","",O39+Q39+S39)</f>
      </c>
      <c r="V39" s="4">
        <f>IF($K39="","",L39-M39-N39-O39-P39-Q39-R39-S39-T39)</f>
      </c>
      <c r="W39" s="4">
        <f>IF($K39="","",(V39-Y39)/J39*100)</f>
      </c>
      <c r="X39" s="4">
        <f>IF($K39="","",M39-U39)</f>
      </c>
      <c r="Z39" s="4">
        <f>IF($K39="","",V39-Y39)</f>
      </c>
    </row>
    <row r="40" spans="1:31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IF($K40="","",K40/100*7)</f>
      </c>
      <c r="O40" s="4">
        <f>IF($K40="","",N40*20%)</f>
      </c>
      <c r="P40" s="4">
        <f>IF($K40="","",N40*2%)</f>
      </c>
      <c r="Q40" s="4">
        <f>IF($K40="","",P40*20%)</f>
      </c>
      <c r="R40" s="4"/>
      <c r="S40" s="4">
        <f>IF($K40="","",R40*20%)</f>
      </c>
      <c r="T40" s="4">
        <v>1</v>
      </c>
      <c r="U40" s="4">
        <f>IF($K40="","",O40+Q40+S40)</f>
      </c>
      <c r="V40" s="4">
        <f>IF($K40="","",L40-M40-N40-O40-P40-Q40-R40-S40-T40)</f>
      </c>
      <c r="W40" s="4">
        <f>IF($K40="","",(V40-Y40)/J40*100)</f>
      </c>
      <c r="X40" s="4">
        <f>IF($K40="","",M40-U40)</f>
      </c>
      <c r="Z40" s="4">
        <f>IF($K40="","",V40-Y40)</f>
      </c>
    </row>
    <row r="41" spans="1:31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IF($K41="","",K41/100*7)</f>
      </c>
      <c r="O41" s="4">
        <f>IF($K41="","",N41*20%)</f>
      </c>
      <c r="P41" s="4">
        <f>IF($K41="","",N41*2%)</f>
      </c>
      <c r="Q41" s="4">
        <f>IF($K41="","",P41*20%)</f>
      </c>
      <c r="R41" s="4"/>
      <c r="S41" s="4">
        <f>IF($K41="","",R41*20%)</f>
      </c>
      <c r="T41" s="4">
        <v>1</v>
      </c>
      <c r="U41" s="4">
        <f>IF($K41="","",O41+Q41+S41)</f>
      </c>
      <c r="V41" s="4">
        <f>IF($K41="","",L41-M41-N41-O41-P41-Q41-R41-S41-T41)</f>
      </c>
      <c r="W41" s="4">
        <f>IF($K41="","",(V41-Y41)/J41*100)</f>
      </c>
      <c r="X41" s="4">
        <f>IF($K41="","",M41-U41)</f>
      </c>
      <c r="Z41" s="4">
        <f>IF($K41="","",V41-Y41)</f>
      </c>
    </row>
    <row r="42" spans="1:31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IF($K42="","",K42/100*7)</f>
      </c>
      <c r="O42" s="4">
        <f>IF($K42="","",N42*20%)</f>
      </c>
      <c r="P42" s="4">
        <f>IF($K42="","",N42*2%)</f>
      </c>
      <c r="Q42" s="4">
        <f>IF($K42="","",P42*20%)</f>
      </c>
      <c r="R42" s="4"/>
      <c r="S42" s="4">
        <f>IF($K42="","",R42*20%)</f>
      </c>
      <c r="T42" s="4">
        <v>1</v>
      </c>
      <c r="U42" s="4">
        <f>IF($K42="","",O42+Q42+S42)</f>
      </c>
      <c r="V42" s="4">
        <f>IF($K42="","",L42-M42-N42-O42-P42-Q42-R42-S42-T42)</f>
      </c>
      <c r="W42" s="4">
        <f>IF($K42="","",(V42-Y42)/J42*100)</f>
      </c>
      <c r="X42" s="4">
        <f>IF($K42="","",M42-U42)</f>
      </c>
      <c r="Z42" s="4">
        <f>IF($K42="","",V42-Y42)</f>
      </c>
    </row>
    <row r="43" spans="1:31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IF($K43="","",K43/100*7)</f>
      </c>
      <c r="O43" s="4">
        <f>IF($K43="","",N43*20%)</f>
      </c>
      <c r="P43" s="4">
        <f>IF($K43="","",N43*2%)</f>
      </c>
      <c r="Q43" s="4">
        <f>IF($K43="","",P43*20%)</f>
      </c>
      <c r="R43" s="4"/>
      <c r="S43" s="4">
        <f>IF($K43="","",R43*20%)</f>
      </c>
      <c r="T43" s="4">
        <v>1</v>
      </c>
      <c r="U43" s="4">
        <f>IF($K43="","",O43+Q43+S43)</f>
      </c>
      <c r="V43" s="4">
        <f>IF($K43="","",L43-M43-N43-O43-P43-Q43-R43-S43-T43)</f>
      </c>
      <c r="W43" s="4">
        <f>IF($K43="","",(V43-Y43)/J43*100)</f>
      </c>
      <c r="X43" s="4">
        <f>IF($K43="","",M43-U43)</f>
      </c>
      <c r="Z43" s="4">
        <f>IF($K43="","",V43-Y43)</f>
      </c>
    </row>
    <row r="44" spans="1:31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IF($K44="","",K44/100*7)</f>
      </c>
      <c r="O44" s="4">
        <f>IF($K44="","",N44*20%)</f>
      </c>
      <c r="P44" s="4">
        <f>IF($K44="","",N44*2%)</f>
      </c>
      <c r="Q44" s="4">
        <f>IF($K44="","",P44*20%)</f>
      </c>
      <c r="R44" s="4"/>
      <c r="S44" s="4">
        <f>IF($K44="","",R44*20%)</f>
      </c>
      <c r="T44" s="4">
        <v>1</v>
      </c>
      <c r="U44" s="4">
        <f>IF($K44="","",O44+Q44+S44)</f>
      </c>
      <c r="V44" s="4">
        <f>IF($K44="","",L44-M44-N44-O44-P44-Q44-R44-S44-T44)</f>
      </c>
      <c r="W44" s="4">
        <f>IF($K44="","",(V44-Y44)/J44*100)</f>
      </c>
      <c r="X44" s="4">
        <f>IF($K44="","",M44-U44)</f>
      </c>
      <c r="Z44" s="4">
        <f>IF($K44="","",V44-Y44)</f>
      </c>
    </row>
    <row r="45" spans="1:31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IF($K45="","",K45/100*7)</f>
      </c>
      <c r="O45" s="4">
        <f>IF($K45="","",N45*20%)</f>
      </c>
      <c r="P45" s="4">
        <f>IF($K45="","",N45*2%)</f>
      </c>
      <c r="Q45" s="4">
        <f>IF($K45="","",P45*20%)</f>
      </c>
      <c r="R45" s="4"/>
      <c r="S45" s="4">
        <f>IF($K45="","",R45*20%)</f>
      </c>
      <c r="T45" s="4">
        <v>1</v>
      </c>
      <c r="U45" s="4">
        <f>IF($K45="","",O45+Q45+S45)</f>
      </c>
      <c r="V45" s="4">
        <f>IF($K45="","",L45-M45-N45-O45-P45-Q45-R45-S45-T45)</f>
      </c>
      <c r="W45" s="4">
        <f>IF($K45="","",(V45-Y45)/J45*100)</f>
      </c>
      <c r="X45" s="4">
        <f>IF($K45="","",M45-U45)</f>
      </c>
      <c r="Z45" s="4">
        <f>IF($K45="","",V45-Y45)</f>
      </c>
    </row>
    <row r="46" spans="1:31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IF($K46="","",K46/100*7)</f>
      </c>
      <c r="O46" s="4">
        <f>IF($K46="","",N46*20%)</f>
      </c>
      <c r="P46" s="4">
        <f>IF($K46="","",N46*2%)</f>
      </c>
      <c r="Q46" s="4">
        <f>IF($K46="","",P46*20%)</f>
      </c>
      <c r="R46" s="4"/>
      <c r="S46" s="4">
        <f>IF($K46="","",R46*20%)</f>
      </c>
      <c r="T46" s="4">
        <v>1</v>
      </c>
      <c r="U46" s="4">
        <f>IF($K46="","",O46+Q46+S46)</f>
      </c>
      <c r="V46" s="4">
        <f>IF($K46="","",L46-M46-N46-O46-P46-Q46-R46-S46-T46)</f>
      </c>
      <c r="W46" s="4">
        <f>IF($K46="","",(V46-Y46)/J46*100)</f>
      </c>
      <c r="X46" s="4">
        <f>IF($K46="","",M46-U46)</f>
      </c>
      <c r="Z46" s="4">
        <f>IF($K46="","",V46-Y46)</f>
      </c>
    </row>
    <row r="47" spans="1:31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IF($K47="","",K47/100*7)</f>
      </c>
      <c r="O47" s="4">
        <f>IF($K47="","",N47*20%)</f>
      </c>
      <c r="P47" s="4">
        <f>IF($K47="","",N47*2%)</f>
      </c>
      <c r="Q47" s="4">
        <f>IF($K47="","",P47*20%)</f>
      </c>
      <c r="R47" s="4"/>
      <c r="S47" s="4">
        <f>IF($K47="","",R47*20%)</f>
      </c>
      <c r="T47" s="4">
        <v>1</v>
      </c>
      <c r="U47" s="4">
        <f>IF($K47="","",O47+Q47+S47)</f>
      </c>
      <c r="V47" s="4">
        <f>IF($K47="","",L47-M47-N47-O47-P47-Q47-R47-S47-T47)</f>
      </c>
      <c r="W47" s="4">
        <f>IF($K47="","",(V47-Y47)/J47*100)</f>
      </c>
      <c r="X47" s="4">
        <f>IF($K47="","",M47-U47)</f>
      </c>
      <c r="Z47" s="4">
        <f>IF($K47="","",V47-Y47)</f>
      </c>
    </row>
    <row r="48" spans="1:31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IF($K48="","",K48/100*7)</f>
      </c>
      <c r="O48" s="4">
        <f>IF($K48="","",N48*20%)</f>
      </c>
      <c r="P48" s="4">
        <f>IF($K48="","",N48*2%)</f>
      </c>
      <c r="Q48" s="4">
        <f>IF($K48="","",P48*20%)</f>
      </c>
      <c r="R48" s="4"/>
      <c r="S48" s="4">
        <f>IF($K48="","",R48*20%)</f>
      </c>
      <c r="T48" s="4">
        <v>1</v>
      </c>
      <c r="U48" s="4">
        <f>IF($K48="","",O48+Q48+S48)</f>
      </c>
      <c r="V48" s="4">
        <f>IF($K48="","",L48-M48-N48-O48-P48-Q48-R48-S48-T48)</f>
      </c>
      <c r="W48" s="4">
        <f>IF($K48="","",(V48-Y48)/J48*100)</f>
      </c>
      <c r="X48" s="4">
        <f>IF($K48="","",M48-U48)</f>
      </c>
      <c r="Z48" s="4">
        <f>IF($K48="","",V48-Y48)</f>
      </c>
    </row>
    <row r="49" spans="1:31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IF($K49="","",K49/100*7)</f>
      </c>
      <c r="O49" s="4">
        <f>IF($K49="","",N49*20%)</f>
      </c>
      <c r="P49" s="4">
        <f>IF($K49="","",N49*2%)</f>
      </c>
      <c r="Q49" s="4">
        <f>IF($K49="","",P49*20%)</f>
      </c>
      <c r="R49" s="4"/>
      <c r="S49" s="4">
        <f>IF($K49="","",R49*20%)</f>
      </c>
      <c r="T49" s="4">
        <v>1</v>
      </c>
      <c r="U49" s="4">
        <f>IF($K49="","",O49+Q49+S49)</f>
      </c>
      <c r="V49" s="4">
        <f>IF($K49="","",L49-M49-N49-O49-P49-Q49-R49-S49-T49)</f>
      </c>
      <c r="W49" s="4">
        <f>IF($K49="","",(V49-Y49)/J49*100)</f>
      </c>
      <c r="X49" s="4">
        <f>IF($K49="","",M49-U49)</f>
      </c>
      <c r="Z49" s="4">
        <f>IF($K49="","",V49-Y49)</f>
      </c>
    </row>
    <row r="50" spans="1:31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IF($K50="","",K50/100*7)</f>
      </c>
      <c r="O50" s="4">
        <f>IF($K50="","",N50*20%)</f>
      </c>
      <c r="P50" s="4">
        <f>IF($K50="","",N50*2%)</f>
      </c>
      <c r="Q50" s="4">
        <f>IF($K50="","",P50*20%)</f>
      </c>
      <c r="R50" s="4"/>
      <c r="S50" s="4">
        <f>IF($K50="","",R50*20%)</f>
      </c>
      <c r="T50" s="4">
        <v>1</v>
      </c>
      <c r="U50" s="4">
        <f>IF($K50="","",O50+Q50+S50)</f>
      </c>
      <c r="V50" s="4">
        <f>IF($K50="","",L50-M50-N50-O50-P50-Q50-R50-S50-T50)</f>
      </c>
      <c r="W50" s="4">
        <f>IF($K50="","",(V50-Y50)/J50*100)</f>
      </c>
      <c r="X50" s="4">
        <f>IF($K50="","",M50-U50)</f>
      </c>
      <c r="Z50" s="4">
        <f>IF($K50="","",V50-Y50)</f>
      </c>
    </row>
    <row r="51" spans="1:31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IF($K51="","",K51/100*7)</f>
      </c>
      <c r="O51" s="4">
        <f>IF($K51="","",N51*20%)</f>
      </c>
      <c r="P51" s="4">
        <f>IF($K51="","",N51*2%)</f>
      </c>
      <c r="Q51" s="4">
        <f>IF($K51="","",P51*20%)</f>
      </c>
      <c r="R51" s="4"/>
      <c r="S51" s="4">
        <f>IF($K51="","",R51*20%)</f>
      </c>
      <c r="T51" s="4">
        <v>1</v>
      </c>
      <c r="U51" s="4">
        <f>IF($K51="","",O51+Q51+S51)</f>
      </c>
      <c r="V51" s="4">
        <f>IF($K51="","",L51-M51-N51-O51-P51-Q51-R51-S51-T51)</f>
      </c>
      <c r="W51" s="4">
        <f>IF($K51="","",(V51-Y51)/J51*100)</f>
      </c>
      <c r="X51" s="4">
        <f>IF($K51="","",M51-U51)</f>
      </c>
      <c r="Z51" s="4">
        <f>IF($K51="","",V51-Y51)</f>
      </c>
    </row>
    <row r="52" spans="1:31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IF($K52="","",K52/100*7)</f>
      </c>
      <c r="O52" s="4">
        <f>IF($K52="","",N52*20%)</f>
      </c>
      <c r="P52" s="4">
        <f>IF($K52="","",N52*2%)</f>
      </c>
      <c r="Q52" s="4">
        <f>IF($K52="","",P52*20%)</f>
      </c>
      <c r="R52" s="4"/>
      <c r="S52" s="4">
        <f>IF($K52="","",R52*20%)</f>
      </c>
      <c r="T52" s="4">
        <v>1</v>
      </c>
      <c r="U52" s="4">
        <f>IF($K52="","",O52+Q52+S52)</f>
      </c>
      <c r="V52" s="4">
        <f>IF($K52="","",L52-M52-N52-O52-P52-Q52-R52-S52-T52)</f>
      </c>
      <c r="W52" s="4">
        <f>IF($K52="","",(V52-Y52)/J52*100)</f>
      </c>
      <c r="X52" s="4">
        <f>IF($K52="","",M52-U52)</f>
      </c>
      <c r="Z52" s="4">
        <f>IF($K52="","",V52-Y52)</f>
      </c>
    </row>
    <row r="53" spans="1:31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IF($K53="","",K53/100*7)</f>
      </c>
      <c r="O53" s="4">
        <f>IF($K53="","",N53*20%)</f>
      </c>
      <c r="P53" s="4">
        <f>IF($K53="","",N53*2%)</f>
      </c>
      <c r="Q53" s="4">
        <f>IF($K53="","",P53*20%)</f>
      </c>
      <c r="R53" s="4"/>
      <c r="S53" s="4">
        <f>IF($K53="","",R53*20%)</f>
      </c>
      <c r="T53" s="4">
        <v>1</v>
      </c>
      <c r="U53" s="4">
        <f>IF($K53="","",O53+Q53+S53)</f>
      </c>
      <c r="V53" s="4">
        <f>IF($K53="","",L53-M53-N53-O53-P53-Q53-R53-S53-T53)</f>
      </c>
      <c r="W53" s="4">
        <f>IF($K53="","",(V53-Y53)/J53*100)</f>
      </c>
      <c r="X53" s="4">
        <f>IF($K53="","",M53-U53)</f>
      </c>
      <c r="Z53" s="4">
        <f>IF($K53="","",V53-Y53)</f>
      </c>
    </row>
    <row r="54" spans="1:31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IF($K54="","",K54/100*7)</f>
      </c>
      <c r="O54" s="4">
        <f>IF($K54="","",N54*20%)</f>
      </c>
      <c r="P54" s="4">
        <f>IF($K54="","",N54*2%)</f>
      </c>
      <c r="Q54" s="4">
        <f>IF($K54="","",P54*20%)</f>
      </c>
      <c r="R54" s="4"/>
      <c r="S54" s="4">
        <f>IF($K54="","",R54*20%)</f>
      </c>
      <c r="T54" s="4">
        <v>1</v>
      </c>
      <c r="U54" s="4">
        <f>IF($K54="","",O54+Q54+S54)</f>
      </c>
      <c r="V54" s="4">
        <f>IF($K54="","",L54-M54-N54-O54-P54-Q54-R54-S54-T54)</f>
      </c>
      <c r="W54" s="4">
        <f>IF($K54="","",(V54-Y54)/J54*100)</f>
      </c>
      <c r="X54" s="4">
        <f>IF($K54="","",M54-U54)</f>
      </c>
      <c r="Z54" s="4">
        <f>IF($K54="","",V54-Y54)</f>
      </c>
    </row>
    <row r="55" spans="1:31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IF($K55="","",K55/100*7)</f>
      </c>
      <c r="O55" s="4">
        <f>IF($K55="","",N55*20%)</f>
      </c>
      <c r="P55" s="4">
        <f>IF($K55="","",N55*2%)</f>
      </c>
      <c r="Q55" s="4">
        <f>IF($K55="","",P55*20%)</f>
      </c>
      <c r="R55" s="4"/>
      <c r="S55" s="4">
        <f>IF($K55="","",R55*20%)</f>
      </c>
      <c r="T55" s="4">
        <v>1</v>
      </c>
      <c r="U55" s="4">
        <f>IF($K55="","",O55+Q55+S55)</f>
      </c>
      <c r="V55" s="4">
        <f>IF($K55="","",L55-M55-N55-O55-P55-Q55-R55-S55-T55)</f>
      </c>
      <c r="W55" s="4">
        <f>IF($K55="","",(V55-Y55)/J55*100)</f>
      </c>
      <c r="X55" s="4">
        <f>IF($K55="","",M55-U55)</f>
      </c>
      <c r="Z55" s="4">
        <f>IF($K55="","",V55-Y55)</f>
      </c>
    </row>
    <row r="56" spans="1:31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IF($K56="","",K56/100*7)</f>
      </c>
      <c r="O56" s="4">
        <f>IF($K56="","",N56*20%)</f>
      </c>
      <c r="P56" s="4">
        <f>IF($K56="","",N56*2%)</f>
      </c>
      <c r="Q56" s="4">
        <f>IF($K56="","",P56*20%)</f>
      </c>
      <c r="R56" s="4"/>
      <c r="S56" s="4">
        <f>IF($K56="","",R56*20%)</f>
      </c>
      <c r="T56" s="4">
        <v>1</v>
      </c>
      <c r="U56" s="4">
        <f>IF($K56="","",O56+Q56+S56)</f>
      </c>
      <c r="V56" s="4">
        <f>IF($K56="","",L56-M56-N56-O56-P56-Q56-R56-S56-T56)</f>
      </c>
      <c r="W56" s="4">
        <f>IF($K56="","",(V56-Y56)/J56*100)</f>
      </c>
      <c r="X56" s="4">
        <f>IF($K56="","",M56-U56)</f>
      </c>
      <c r="Z56" s="4">
        <f>IF($K56="","",V56-Y56)</f>
      </c>
    </row>
    <row r="57" spans="1:31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IF($K57="","",K57/100*7)</f>
      </c>
      <c r="O57" s="4">
        <f>IF($K57="","",N57*20%)</f>
      </c>
      <c r="P57" s="4">
        <f>IF($K57="","",N57*2%)</f>
      </c>
      <c r="Q57" s="4">
        <f>IF($K57="","",P57*20%)</f>
      </c>
      <c r="R57" s="4"/>
      <c r="S57" s="4">
        <f>IF($K57="","",R57*20%)</f>
      </c>
      <c r="T57" s="4">
        <v>1</v>
      </c>
      <c r="U57" s="4">
        <f>IF($K57="","",O57+Q57+S57)</f>
      </c>
      <c r="V57" s="4">
        <f>IF($K57="","",L57-M57-N57-O57-P57-Q57-R57-S57-T57)</f>
      </c>
      <c r="W57" s="4">
        <f>IF($K57="","",(V57-Y57)/J57*100)</f>
      </c>
      <c r="X57" s="4">
        <f>IF($K57="","",M57-U57)</f>
      </c>
      <c r="Z57" s="4">
        <f>IF($K57="","",V57-Y57)</f>
      </c>
    </row>
    <row r="58" spans="1:31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IF($K58="","",K58/100*7)</f>
      </c>
      <c r="O58" s="4">
        <f>IF($K58="","",N58*20%)</f>
      </c>
      <c r="P58" s="4">
        <f>IF($K58="","",N58*2%)</f>
      </c>
      <c r="Q58" s="4">
        <f>IF($K58="","",P58*20%)</f>
      </c>
      <c r="R58" s="4"/>
      <c r="S58" s="4">
        <f>IF($K58="","",R58*20%)</f>
      </c>
      <c r="T58" s="4">
        <v>1</v>
      </c>
      <c r="U58" s="4">
        <f>IF($K58="","",O58+Q58+S58)</f>
      </c>
      <c r="V58" s="4">
        <f>IF($K58="","",L58-M58-N58-O58-P58-Q58-R58-S58-T58)</f>
      </c>
      <c r="W58" s="4">
        <f>IF($K58="","",(V58-Y58)/J58*100)</f>
      </c>
      <c r="X58" s="4">
        <f>IF($K58="","",M58-U58)</f>
      </c>
      <c r="Z58" s="4">
        <f>IF($K58="","",V58-Y58)</f>
      </c>
    </row>
    <row r="59" spans="1:31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IF($K59="","",K59/100*7)</f>
      </c>
      <c r="O59" s="4">
        <f>IF($K59="","",N59*20%)</f>
      </c>
      <c r="P59" s="4">
        <f>IF($K59="","",N59*2%)</f>
      </c>
      <c r="Q59" s="4">
        <f>IF($K59="","",P59*20%)</f>
      </c>
      <c r="R59" s="4"/>
      <c r="S59" s="4">
        <f>IF($K59="","",R59*20%)</f>
      </c>
      <c r="T59" s="4">
        <v>1</v>
      </c>
      <c r="U59" s="4">
        <f>IF($K59="","",O59+Q59+S59)</f>
      </c>
      <c r="V59" s="4">
        <f>IF($K59="","",L59-M59-N59-O59-P59-Q59-R59-S59-T59)</f>
      </c>
      <c r="W59" s="4">
        <f>IF($K59="","",(V59-Y59)/J59*100)</f>
      </c>
      <c r="X59" s="4">
        <f>IF($K59="","",M59-U59)</f>
      </c>
      <c r="Z59" s="4">
        <f>IF($K59="","",V59-Y59)</f>
      </c>
    </row>
    <row r="60" spans="1:31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IF($K60="","",K60/100*7)</f>
      </c>
      <c r="O60" s="4">
        <f>IF($K60="","",N60*20%)</f>
      </c>
      <c r="P60" s="4">
        <f>IF($K60="","",N60*2%)</f>
      </c>
      <c r="Q60" s="4">
        <f>IF($K60="","",P60*20%)</f>
      </c>
      <c r="R60" s="4"/>
      <c r="S60" s="4">
        <f>IF($K60="","",R60*20%)</f>
      </c>
      <c r="T60" s="4">
        <v>1</v>
      </c>
      <c r="U60" s="4">
        <f>IF($K60="","",O60+Q60+S60)</f>
      </c>
      <c r="V60" s="4">
        <f>IF($K60="","",L60-M60-N60-O60-P60-Q60-R60-S60-T60)</f>
      </c>
      <c r="W60" s="4">
        <f>IF($K60="","",(V60-Y60)/J60*100)</f>
      </c>
      <c r="X60" s="4">
        <f>IF($K60="","",M60-U60)</f>
      </c>
      <c r="Z60" s="4">
        <f>IF($K60="","",V60-Y60)</f>
      </c>
    </row>
    <row r="61" spans="1:31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IF($K61="","",K61/100*7)</f>
      </c>
      <c r="O61" s="4">
        <f>IF($K61="","",N61*20%)</f>
      </c>
      <c r="P61" s="4">
        <f>IF($K61="","",N61*2%)</f>
      </c>
      <c r="Q61" s="4">
        <f>IF($K61="","",P61*20%)</f>
      </c>
      <c r="R61" s="4"/>
      <c r="S61" s="4">
        <f>IF($K61="","",R61*20%)</f>
      </c>
      <c r="T61" s="4">
        <v>1</v>
      </c>
      <c r="U61" s="4">
        <f>IF($K61="","",O61+Q61+S61)</f>
      </c>
      <c r="V61" s="4">
        <f>IF($K61="","",L61-M61-N61-O61-P61-Q61-R61-S61-T61)</f>
      </c>
      <c r="W61" s="4">
        <f>IF($K61="","",(V61-Y61)/J61*100)</f>
      </c>
      <c r="X61" s="4">
        <f>IF($K61="","",M61-U61)</f>
      </c>
      <c r="Z61" s="4">
        <f>IF($K61="","",V61-Y61)</f>
      </c>
    </row>
    <row r="62" spans="1:31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IF($K62="","",K62/100*7)</f>
      </c>
      <c r="O62" s="4">
        <f>IF($K62="","",N62*20%)</f>
      </c>
      <c r="P62" s="4">
        <f>IF($K62="","",N62*2%)</f>
      </c>
      <c r="Q62" s="4">
        <f>IF($K62="","",P62*20%)</f>
      </c>
      <c r="R62" s="4"/>
      <c r="S62" s="4">
        <f>IF($K62="","",R62*20%)</f>
      </c>
      <c r="T62" s="4">
        <v>1</v>
      </c>
      <c r="U62" s="4">
        <f>IF($K62="","",O62+Q62+S62)</f>
      </c>
      <c r="V62" s="4">
        <f>IF($K62="","",L62-M62-N62-O62-P62-Q62-R62-S62-T62)</f>
      </c>
      <c r="W62" s="4">
        <f>IF($K62="","",(V62-Y62)/J62*100)</f>
      </c>
      <c r="X62" s="4">
        <f>IF($K62="","",M62-U62)</f>
      </c>
      <c r="Z62" s="4">
        <f>IF($K62="","",V62-Y62)</f>
      </c>
    </row>
    <row r="63" spans="1:31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IF($K63="","",K63/100*7)</f>
      </c>
      <c r="O63" s="4">
        <f>IF($K63="","",N63*20%)</f>
      </c>
      <c r="P63" s="4">
        <f>IF($K63="","",N63*2%)</f>
      </c>
      <c r="Q63" s="4">
        <f>IF($K63="","",P63*20%)</f>
      </c>
      <c r="R63" s="4"/>
      <c r="S63" s="4">
        <f>IF($K63="","",R63*20%)</f>
      </c>
      <c r="T63" s="4">
        <v>1</v>
      </c>
      <c r="U63" s="4">
        <f>IF($K63="","",O63+Q63+S63)</f>
      </c>
      <c r="V63" s="4">
        <f>IF($K63="","",L63-M63-N63-O63-P63-Q63-R63-S63-T63)</f>
      </c>
      <c r="W63" s="4">
        <f>IF($K63="","",(V63-Y63)/J63*100)</f>
      </c>
      <c r="X63" s="4">
        <f>IF($K63="","",M63-U63)</f>
      </c>
      <c r="Z63" s="4">
        <f>IF($K63="","",V63-Y63)</f>
      </c>
    </row>
    <row r="64" spans="1:31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IF($K64="","",K64/100*7)</f>
      </c>
      <c r="O64" s="4">
        <f>IF($K64="","",N64*20%)</f>
      </c>
      <c r="P64" s="4">
        <f>IF($K64="","",N64*2%)</f>
      </c>
      <c r="Q64" s="4">
        <f>IF($K64="","",P64*20%)</f>
      </c>
      <c r="R64" s="4"/>
      <c r="S64" s="4">
        <f>IF($K64="","",R64*20%)</f>
      </c>
      <c r="T64" s="4">
        <v>1</v>
      </c>
      <c r="U64" s="4">
        <f>IF($K64="","",O64+Q64+S64)</f>
      </c>
      <c r="V64" s="4">
        <f>IF($K64="","",L64-M64-N64-O64-P64-Q64-R64-S64-T64)</f>
      </c>
      <c r="W64" s="4">
        <f>IF($K64="","",(V64-Y64)/J64*100)</f>
      </c>
      <c r="X64" s="4">
        <f>IF($K64="","",M64-U64)</f>
      </c>
      <c r="Z64" s="4">
        <f>IF($K64="","",V64-Y64)</f>
      </c>
    </row>
    <row r="65" spans="1:31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IF($K65="","",K65/100*7)</f>
      </c>
      <c r="O65" s="4">
        <f>IF($K65="","",N65*20%)</f>
      </c>
      <c r="P65" s="4">
        <f>IF($K65="","",N65*2%)</f>
      </c>
      <c r="Q65" s="4">
        <f>IF($K65="","",P65*20%)</f>
      </c>
      <c r="R65" s="4"/>
      <c r="S65" s="4">
        <f>IF($K65="","",R65*20%)</f>
      </c>
      <c r="T65" s="4">
        <v>1</v>
      </c>
      <c r="U65" s="4">
        <f>IF($K65="","",O65+Q65+S65)</f>
      </c>
      <c r="V65" s="4">
        <f>IF($K65="","",L65-M65-N65-O65-P65-Q65-R65-S65-T65)</f>
      </c>
      <c r="W65" s="4">
        <f>IF($K65="","",(V65-Y65)/J65*100)</f>
      </c>
      <c r="X65" s="4">
        <f>IF($K65="","",M65-U65)</f>
      </c>
      <c r="Z65" s="4">
        <f>IF($K65="","",V65-Y65)</f>
      </c>
    </row>
    <row r="66" spans="1:31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IF($K66="","",K66/100*7)</f>
      </c>
      <c r="O66" s="4">
        <f>IF($K66="","",N66*20%)</f>
      </c>
      <c r="P66" s="4">
        <f>IF($K66="","",N66*2%)</f>
      </c>
      <c r="Q66" s="4">
        <f>IF($K66="","",P66*20%)</f>
      </c>
      <c r="R66" s="4"/>
      <c r="S66" s="4">
        <f>IF($K66="","",R66*20%)</f>
      </c>
      <c r="T66" s="4">
        <v>1</v>
      </c>
      <c r="U66" s="4">
        <f>IF($K66="","",O66+Q66+S66)</f>
      </c>
      <c r="V66" s="4">
        <f>IF($K66="","",L66-M66-N66-O66-P66-Q66-R66-S66-T66)</f>
      </c>
      <c r="W66" s="4">
        <f>IF($K66="","",(V66-Y66)/J66*100)</f>
      </c>
      <c r="X66" s="4">
        <f>IF($K66="","",M66-U66)</f>
      </c>
      <c r="Z66" s="4">
        <f>IF($K66="","",V66-Y66)</f>
      </c>
    </row>
    <row r="67" spans="1:31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IF($K67="","",K67/100*7)</f>
      </c>
      <c r="O67" s="4">
        <f>IF($K67="","",N67*20%)</f>
      </c>
      <c r="P67" s="4">
        <f>IF($K67="","",N67*2%)</f>
      </c>
      <c r="Q67" s="4">
        <f>IF($K67="","",P67*20%)</f>
      </c>
      <c r="R67" s="4"/>
      <c r="S67" s="4">
        <f>IF($K67="","",R67*20%)</f>
      </c>
      <c r="T67" s="4">
        <v>1</v>
      </c>
      <c r="U67" s="4">
        <f>IF($K67="","",O67+Q67+S67)</f>
      </c>
      <c r="V67" s="4">
        <f>IF($K67="","",L67-M67-N67-O67-P67-Q67-R67-S67-T67)</f>
      </c>
      <c r="W67" s="4">
        <f>IF($K67="","",(V67-Y67)/J67*100)</f>
      </c>
      <c r="X67" s="4">
        <f>IF($K67="","",M67-U67)</f>
      </c>
      <c r="Z67" s="4">
        <f>IF($K67="","",V67-Y67)</f>
      </c>
    </row>
    <row r="68" spans="1:31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IF($K68="","",K68/100*7)</f>
      </c>
      <c r="O68" s="4">
        <f>IF($K68="","",N68*20%)</f>
      </c>
      <c r="P68" s="4">
        <f>IF($K68="","",N68*2%)</f>
      </c>
      <c r="Q68" s="4">
        <f>IF($K68="","",P68*20%)</f>
      </c>
      <c r="R68" s="4"/>
      <c r="S68" s="4">
        <f>IF($K68="","",R68*20%)</f>
      </c>
      <c r="T68" s="4">
        <v>1</v>
      </c>
      <c r="U68" s="4">
        <f>IF($K68="","",O68+Q68+S68)</f>
      </c>
      <c r="V68" s="4">
        <f>IF($K68="","",L68-M68-N68-O68-P68-Q68-R68-S68-T68)</f>
      </c>
      <c r="W68" s="4">
        <f>IF($K68="","",(V68-Y68)/J68*100)</f>
      </c>
      <c r="X68" s="4">
        <f>IF($K68="","",M68-U68)</f>
      </c>
      <c r="Z68" s="4">
        <f>IF($K68="","",V68-Y68)</f>
      </c>
    </row>
    <row r="69" spans="1:31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IF($K69="","",K69/100*7)</f>
      </c>
      <c r="O69" s="4">
        <f>IF($K69="","",N69*20%)</f>
      </c>
      <c r="P69" s="4">
        <f>IF($K69="","",N69*2%)</f>
      </c>
      <c r="Q69" s="4">
        <f>IF($K69="","",P69*20%)</f>
      </c>
      <c r="R69" s="4"/>
      <c r="S69" s="4">
        <f>IF($K69="","",R69*20%)</f>
      </c>
      <c r="T69" s="4">
        <v>1</v>
      </c>
      <c r="U69" s="4">
        <f>IF($K69="","",O69+Q69+S69)</f>
      </c>
      <c r="V69" s="4">
        <f>IF($K69="","",L69-M69-N69-O69-P69-Q69-R69-S69-T69)</f>
      </c>
      <c r="W69" s="4">
        <f>IF($K69="","",(V69-Y69)/J69*100)</f>
      </c>
      <c r="X69" s="4">
        <f>IF($K69="","",M69-U69)</f>
      </c>
      <c r="Z69" s="4">
        <f>IF($K69="","",V69-Y69)</f>
      </c>
    </row>
    <row r="70" spans="1:31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IF($K70="","",K70/100*7)</f>
      </c>
      <c r="O70" s="4">
        <f>IF($K70="","",N70*20%)</f>
      </c>
      <c r="P70" s="4">
        <f>IF($K70="","",N70*2%)</f>
      </c>
      <c r="Q70" s="4">
        <f>IF($K70="","",P70*20%)</f>
      </c>
      <c r="R70" s="4"/>
      <c r="S70" s="4">
        <f>IF($K70="","",R70*20%)</f>
      </c>
      <c r="T70" s="4">
        <v>1</v>
      </c>
      <c r="U70" s="4">
        <f>IF($K70="","",O70+Q70+S70)</f>
      </c>
      <c r="V70" s="4">
        <f>IF($K70="","",L70-M70-N70-O70-P70-Q70-R70-S70-T70)</f>
      </c>
      <c r="W70" s="4">
        <f>IF($K70="","",(V70-Y70)/J70*100)</f>
      </c>
      <c r="X70" s="4">
        <f>IF($K70="","",M70-U70)</f>
      </c>
      <c r="Z70" s="4">
        <f>IF($K70="","",V70-Y70)</f>
      </c>
    </row>
    <row r="71" spans="1:31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IF($K71="","",K71/100*7)</f>
      </c>
      <c r="O71" s="4">
        <f>IF($K71="","",N71*20%)</f>
      </c>
      <c r="P71" s="4">
        <f>IF($K71="","",N71*2%)</f>
      </c>
      <c r="Q71" s="4">
        <f>IF($K71="","",P71*20%)</f>
      </c>
      <c r="R71" s="4"/>
      <c r="S71" s="4">
        <f>IF($K71="","",R71*20%)</f>
      </c>
      <c r="T71" s="4">
        <v>1</v>
      </c>
      <c r="U71" s="4">
        <f>IF($K71="","",O71+Q71+S71)</f>
      </c>
      <c r="V71" s="4">
        <f>IF($K71="","",L71-M71-N71-O71-P71-Q71-R71-S71-T71)</f>
      </c>
      <c r="W71" s="4">
        <f>IF($K71="","",(V71-Y71)/J71*100)</f>
      </c>
      <c r="X71" s="4">
        <f>IF($K71="","",M71-U71)</f>
      </c>
      <c r="Z71" s="4">
        <f>IF($K71="","",V71-Y71)</f>
      </c>
    </row>
    <row r="72" spans="1:31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IF($K72="","",K72/100*7)</f>
      </c>
      <c r="O72" s="4">
        <f>IF($K72="","",N72*20%)</f>
      </c>
      <c r="P72" s="4">
        <f>IF($K72="","",N72*2%)</f>
      </c>
      <c r="Q72" s="4">
        <f>IF($K72="","",P72*20%)</f>
      </c>
      <c r="R72" s="4"/>
      <c r="S72" s="4">
        <f>IF($K72="","",R72*20%)</f>
      </c>
      <c r="T72" s="4">
        <v>1</v>
      </c>
      <c r="U72" s="4">
        <f>IF($K72="","",O72+Q72+S72)</f>
      </c>
      <c r="V72" s="4">
        <f>IF($K72="","",L72-M72-N72-O72-P72-Q72-R72-S72-T72)</f>
      </c>
      <c r="W72" s="4">
        <f>IF($K72="","",(V72-Y72)/J72*100)</f>
      </c>
      <c r="X72" s="4">
        <f>IF($K72="","",M72-U72)</f>
      </c>
      <c r="Z72" s="4">
        <f>IF($K72="","",V72-Y72)</f>
      </c>
    </row>
    <row r="73" spans="1:31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IF($K73="","",K73/100*7)</f>
      </c>
      <c r="O73" s="4">
        <f>IF($K73="","",N73*20%)</f>
      </c>
      <c r="P73" s="4">
        <f>IF($K73="","",N73*2%)</f>
      </c>
      <c r="Q73" s="4">
        <f>IF($K73="","",P73*20%)</f>
      </c>
      <c r="R73" s="4"/>
      <c r="S73" s="4">
        <f>IF($K73="","",R73*20%)</f>
      </c>
      <c r="T73" s="4">
        <v>1</v>
      </c>
      <c r="U73" s="4">
        <f>IF($K73="","",O73+Q73+S73)</f>
      </c>
      <c r="V73" s="4">
        <f>IF($K73="","",L73-M73-N73-O73-P73-Q73-R73-S73-T73)</f>
      </c>
      <c r="W73" s="4">
        <f>IF($K73="","",(V73-Y73)/J73*100)</f>
      </c>
      <c r="X73" s="4">
        <f>IF($K73="","",M73-U73)</f>
      </c>
      <c r="Z73" s="4">
        <f>IF($K73="","",V73-Y73)</f>
      </c>
    </row>
    <row r="74" spans="1:31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IF($K74="","",K74/100*7)</f>
      </c>
      <c r="O74" s="4">
        <f>IF($K74="","",N74*20%)</f>
      </c>
      <c r="P74" s="4">
        <f>IF($K74="","",N74*2%)</f>
      </c>
      <c r="Q74" s="4">
        <f>IF($K74="","",P74*20%)</f>
      </c>
      <c r="R74" s="4"/>
      <c r="S74" s="4">
        <f>IF($K74="","",R74*20%)</f>
      </c>
      <c r="T74" s="4">
        <v>1</v>
      </c>
      <c r="U74" s="4">
        <f>IF($K74="","",O74+Q74+S74)</f>
      </c>
      <c r="V74" s="4">
        <f>IF($K74="","",L74-M74-N74-O74-P74-Q74-R74-S74-T74)</f>
      </c>
      <c r="W74" s="4">
        <f>IF($K74="","",(V74-Y74)/J74*100)</f>
      </c>
      <c r="X74" s="4">
        <f>IF($K74="","",M74-U74)</f>
      </c>
      <c r="Z74" s="4">
        <f>IF($K74="","",V74-Y74)</f>
      </c>
    </row>
    <row r="75" spans="1:31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IF($K75="","",K75/100*7)</f>
      </c>
      <c r="O75" s="4">
        <f>IF($K75="","",N75*20%)</f>
      </c>
      <c r="P75" s="4">
        <f>IF($K75="","",N75*2%)</f>
      </c>
      <c r="Q75" s="4">
        <f>IF($K75="","",P75*20%)</f>
      </c>
      <c r="R75" s="4"/>
      <c r="S75" s="4">
        <f>IF($K75="","",R75*20%)</f>
      </c>
      <c r="T75" s="4">
        <v>1</v>
      </c>
      <c r="U75" s="4">
        <f>IF($K75="","",O75+Q75+S75)</f>
      </c>
      <c r="V75" s="4">
        <f>IF($K75="","",L75-M75-N75-O75-P75-Q75-R75-S75-T75)</f>
      </c>
      <c r="W75" s="4">
        <f>IF($K75="","",(V75-Y75)/J75*100)</f>
      </c>
      <c r="X75" s="4">
        <f>IF($K75="","",M75-U75)</f>
      </c>
      <c r="Z75" s="4">
        <f>IF($K75="","",V75-Y75)</f>
      </c>
    </row>
    <row r="76" spans="1:31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IF($K76="","",K76/100*7)</f>
      </c>
      <c r="O76" s="4">
        <f>IF($K76="","",N76*20%)</f>
      </c>
      <c r="P76" s="4">
        <f>IF($K76="","",N76*2%)</f>
      </c>
      <c r="Q76" s="4">
        <f>IF($K76="","",P76*20%)</f>
      </c>
      <c r="R76" s="4"/>
      <c r="S76" s="4">
        <f>IF($K76="","",R76*20%)</f>
      </c>
      <c r="T76" s="4">
        <v>1</v>
      </c>
      <c r="U76" s="4">
        <f>IF($K76="","",O76+Q76+S76)</f>
      </c>
      <c r="V76" s="4">
        <f>IF($K76="","",L76-M76-N76-O76-P76-Q76-R76-S76-T76)</f>
      </c>
      <c r="W76" s="4">
        <f>IF($K76="","",(V76-Y76)/J76*100)</f>
      </c>
      <c r="X76" s="4">
        <f>IF($K76="","",M76-U76)</f>
      </c>
      <c r="Z76" s="4">
        <f>IF($K76="","",V76-Y76)</f>
      </c>
    </row>
    <row r="77" spans="1:31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IF($K77="","",K77/100*7)</f>
      </c>
      <c r="O77" s="4">
        <f>IF($K77="","",N77*20%)</f>
      </c>
      <c r="P77" s="4">
        <f>IF($K77="","",N77*2%)</f>
      </c>
      <c r="Q77" s="4">
        <f>IF($K77="","",P77*20%)</f>
      </c>
      <c r="R77" s="4"/>
      <c r="S77" s="4">
        <f>IF($K77="","",R77*20%)</f>
      </c>
      <c r="T77" s="4">
        <v>1</v>
      </c>
      <c r="U77" s="4">
        <f>IF($K77="","",O77+Q77+S77)</f>
      </c>
      <c r="V77" s="4">
        <f>IF($K77="","",L77-M77-N77-O77-P77-Q77-R77-S77-T77)</f>
      </c>
      <c r="W77" s="4">
        <f>IF($K77="","",(V77-Y77)/J77*100)</f>
      </c>
      <c r="X77" s="4">
        <f>IF($K77="","",M77-U77)</f>
      </c>
      <c r="Z77" s="4">
        <f>IF($K77="","",V77-Y77)</f>
      </c>
    </row>
    <row r="78" spans="1:31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IF($K78="","",K78/100*7)</f>
      </c>
      <c r="O78" s="4">
        <f>IF($K78="","",N78*20%)</f>
      </c>
      <c r="P78" s="4">
        <f>IF($K78="","",N78*2%)</f>
      </c>
      <c r="Q78" s="4">
        <f>IF($K78="","",P78*20%)</f>
      </c>
      <c r="R78" s="4"/>
      <c r="S78" s="4">
        <f>IF($K78="","",R78*20%)</f>
      </c>
      <c r="T78" s="4">
        <v>1</v>
      </c>
      <c r="U78" s="4">
        <f>IF($K78="","",O78+Q78+S78)</f>
      </c>
      <c r="V78" s="4">
        <f>IF($K78="","",L78-M78-N78-O78-P78-Q78-R78-S78-T78)</f>
      </c>
      <c r="W78" s="4">
        <f>IF($K78="","",(V78-Y78)/J78*100)</f>
      </c>
      <c r="X78" s="4">
        <f>IF($K78="","",M78-U78)</f>
      </c>
      <c r="Z78" s="4">
        <f>IF($K78="","",V78-Y78)</f>
      </c>
    </row>
    <row r="79" spans="1:31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IF($K79="","",K79/100*7)</f>
      </c>
      <c r="O79" s="4">
        <f>IF($K79="","",N79*20%)</f>
      </c>
      <c r="P79" s="4">
        <f>IF($K79="","",N79*2%)</f>
      </c>
      <c r="Q79" s="4">
        <f>IF($K79="","",P79*20%)</f>
      </c>
      <c r="R79" s="4"/>
      <c r="S79" s="4">
        <f>IF($K79="","",R79*20%)</f>
      </c>
      <c r="T79" s="4">
        <v>1</v>
      </c>
      <c r="U79" s="4">
        <f>IF($K79="","",O79+Q79+S79)</f>
      </c>
      <c r="V79" s="4">
        <f>IF($K79="","",L79-M79-N79-O79-P79-Q79-R79-S79-T79)</f>
      </c>
      <c r="W79" s="4">
        <f>IF($K79="","",(V79-Y79)/J79*100)</f>
      </c>
      <c r="X79" s="4">
        <f>IF($K79="","",M79-U79)</f>
      </c>
      <c r="Z79" s="4">
        <f>IF($K79="","",V79-Y79)</f>
      </c>
    </row>
    <row r="80" spans="1:31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IF($K80="","",K80/100*7)</f>
      </c>
      <c r="O80" s="4">
        <f>IF($K80="","",N80*20%)</f>
      </c>
      <c r="P80" s="4">
        <f>IF($K80="","",N80*2%)</f>
      </c>
      <c r="Q80" s="4">
        <f>IF($K80="","",P80*20%)</f>
      </c>
      <c r="R80" s="4"/>
      <c r="S80" s="4">
        <f>IF($K80="","",R80*20%)</f>
      </c>
      <c r="T80" s="4">
        <v>1</v>
      </c>
      <c r="U80" s="4">
        <f>IF($K80="","",O80+Q80+S80)</f>
      </c>
      <c r="V80" s="4">
        <f>IF($K80="","",L80-M80-N80-O80-P80-Q80-R80-S80-T80)</f>
      </c>
      <c r="W80" s="4">
        <f>IF($K80="","",(V80-Y80)/J80*100)</f>
      </c>
      <c r="X80" s="4">
        <f>IF($K80="","",M80-U80)</f>
      </c>
      <c r="Z80" s="4">
        <f>IF($K80="","",V80-Y80)</f>
      </c>
    </row>
    <row r="81" spans="1:31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IF($K81="","",K81/100*7)</f>
      </c>
      <c r="O81" s="4">
        <f>IF($K81="","",N81*20%)</f>
      </c>
      <c r="P81" s="4">
        <f>IF($K81="","",N81*2%)</f>
      </c>
      <c r="Q81" s="4">
        <f>IF($K81="","",P81*20%)</f>
      </c>
      <c r="R81" s="4"/>
      <c r="S81" s="4">
        <f>IF($K81="","",R81*20%)</f>
      </c>
      <c r="T81" s="4">
        <v>1</v>
      </c>
      <c r="U81" s="4">
        <f>IF($K81="","",O81+Q81+S81)</f>
      </c>
      <c r="V81" s="4">
        <f>IF($K81="","",L81-M81-N81-O81-P81-Q81-R81-S81-T81)</f>
      </c>
      <c r="W81" s="4">
        <f>IF($K81="","",(V81-Y81)/J81*100)</f>
      </c>
      <c r="X81" s="4">
        <f>IF($K81="","",M81-U81)</f>
      </c>
      <c r="Z81" s="4">
        <f>IF($K81="","",V81-Y81)</f>
      </c>
    </row>
    <row r="82" spans="1:31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IF($K82="","",K82/100*7)</f>
      </c>
      <c r="O82" s="4">
        <f>IF($K82="","",N82*20%)</f>
      </c>
      <c r="P82" s="4">
        <f>IF($K82="","",N82*2%)</f>
      </c>
      <c r="Q82" s="4">
        <f>IF($K82="","",P82*20%)</f>
      </c>
      <c r="R82" s="4"/>
      <c r="S82" s="4">
        <f>IF($K82="","",R82*20%)</f>
      </c>
      <c r="T82" s="4">
        <v>1</v>
      </c>
      <c r="U82" s="4">
        <f>IF($K82="","",O82+Q82+S82)</f>
      </c>
      <c r="V82" s="4">
        <f>IF($K82="","",L82-M82-N82-O82-P82-Q82-R82-S82-T82)</f>
      </c>
      <c r="W82" s="4">
        <f>IF($K82="","",(V82-Y82)/J82*100)</f>
      </c>
      <c r="X82" s="4">
        <f>IF($K82="","",M82-U82)</f>
      </c>
      <c r="Z82" s="4">
        <f>IF($K82="","",V82-Y82)</f>
      </c>
    </row>
    <row r="83" spans="1:31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IF($K83="","",K83/100*7)</f>
      </c>
      <c r="O83" s="4">
        <f>IF($K83="","",N83*20%)</f>
      </c>
      <c r="P83" s="4">
        <f>IF($K83="","",N83*2%)</f>
      </c>
      <c r="Q83" s="4">
        <f>IF($K83="","",P83*20%)</f>
      </c>
      <c r="R83" s="4"/>
      <c r="S83" s="4">
        <f>IF($K83="","",R83*20%)</f>
      </c>
      <c r="T83" s="4">
        <v>1</v>
      </c>
      <c r="U83" s="4">
        <f>IF($K83="","",O83+Q83+S83)</f>
      </c>
      <c r="V83" s="4">
        <f>IF($K83="","",L83-M83-N83-O83-P83-Q83-R83-S83-T83)</f>
      </c>
      <c r="W83" s="4">
        <f>IF($K83="","",(V83-Y83)/J83*100)</f>
      </c>
      <c r="X83" s="4">
        <f>IF($K83="","",M83-U83)</f>
      </c>
      <c r="Z83" s="4">
        <f>IF($K83="","",V83-Y83)</f>
      </c>
    </row>
    <row r="84" spans="1:31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IF($K84="","",K84/100*7)</f>
      </c>
      <c r="O84" s="4">
        <f>IF($K84="","",N84*20%)</f>
      </c>
      <c r="P84" s="4">
        <f>IF($K84="","",N84*2%)</f>
      </c>
      <c r="Q84" s="4">
        <f>IF($K84="","",P84*20%)</f>
      </c>
      <c r="R84" s="4"/>
      <c r="S84" s="4">
        <f>IF($K84="","",R84*20%)</f>
      </c>
      <c r="T84" s="4">
        <v>1</v>
      </c>
      <c r="U84" s="4">
        <f>IF($K84="","",O84+Q84+S84)</f>
      </c>
      <c r="V84" s="4">
        <f>IF($K84="","",L84-M84-N84-O84-P84-Q84-R84-S84-T84)</f>
      </c>
      <c r="W84" s="4">
        <f>IF($K84="","",(V84-Y84)/J84*100)</f>
      </c>
      <c r="X84" s="4">
        <f>IF($K84="","",M84-U84)</f>
      </c>
      <c r="Z84" s="4">
        <f>IF($K84="","",V84-Y84)</f>
      </c>
    </row>
    <row r="85" spans="1:31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IF($K85="","",K85/100*7)</f>
      </c>
      <c r="O85" s="4">
        <f>IF($K85="","",N85*20%)</f>
      </c>
      <c r="P85" s="4">
        <f>IF($K85="","",N85*2%)</f>
      </c>
      <c r="Q85" s="4">
        <f>IF($K85="","",P85*20%)</f>
      </c>
      <c r="R85" s="4"/>
      <c r="S85" s="4">
        <f>IF($K85="","",R85*20%)</f>
      </c>
      <c r="T85" s="4">
        <v>1</v>
      </c>
      <c r="U85" s="4">
        <f>IF($K85="","",O85+Q85+S85)</f>
      </c>
      <c r="V85" s="4">
        <f>IF($K85="","",L85-M85-N85-O85-P85-Q85-R85-S85-T85)</f>
      </c>
      <c r="W85" s="4">
        <f>IF($K85="","",(V85-Y85)/J85*100)</f>
      </c>
      <c r="X85" s="4">
        <f>IF($K85="","",M85-U85)</f>
      </c>
      <c r="Z85" s="4">
        <f>IF($K85="","",V85-Y85)</f>
      </c>
    </row>
    <row r="86" spans="1:31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IF($K86="","",K86/100*7)</f>
      </c>
      <c r="O86" s="4">
        <f>IF($K86="","",N86*20%)</f>
      </c>
      <c r="P86" s="4">
        <f>IF($K86="","",N86*2%)</f>
      </c>
      <c r="Q86" s="4">
        <f>IF($K86="","",P86*20%)</f>
      </c>
      <c r="R86" s="4"/>
      <c r="S86" s="4">
        <f>IF($K86="","",R86*20%)</f>
      </c>
      <c r="T86" s="4">
        <v>1</v>
      </c>
      <c r="U86" s="4">
        <f>IF($K86="","",O86+Q86+S86)</f>
      </c>
      <c r="V86" s="4">
        <f>IF($K86="","",L86-M86-N86-O86-P86-Q86-R86-S86-T86)</f>
      </c>
      <c r="W86" s="4">
        <f>IF($K86="","",(V86-Y86)/J86*100)</f>
      </c>
      <c r="X86" s="4">
        <f>IF($K86="","",M86-U86)</f>
      </c>
      <c r="Z86" s="4">
        <f>IF($K86="","",V86-Y86)</f>
      </c>
    </row>
    <row r="87" spans="1:31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IF($K87="","",K87/100*7)</f>
      </c>
      <c r="O87" s="4">
        <f>IF($K87="","",N87*20%)</f>
      </c>
      <c r="P87" s="4">
        <f>IF($K87="","",N87*2%)</f>
      </c>
      <c r="Q87" s="4">
        <f>IF($K87="","",P87*20%)</f>
      </c>
      <c r="R87" s="4"/>
      <c r="S87" s="4">
        <f>IF($K87="","",R87*20%)</f>
      </c>
      <c r="T87" s="4">
        <v>1</v>
      </c>
      <c r="U87" s="4">
        <f>IF($K87="","",O87+Q87+S87)</f>
      </c>
      <c r="V87" s="4">
        <f>IF($K87="","",L87-M87-N87-O87-P87-Q87-R87-S87-T87)</f>
      </c>
      <c r="W87" s="4">
        <f>IF($K87="","",(V87-Y87)/J87*100)</f>
      </c>
      <c r="X87" s="4">
        <f>IF($K87="","",M87-U87)</f>
      </c>
      <c r="Z87" s="4">
        <f>IF($K87="","",V87-Y87)</f>
      </c>
    </row>
    <row r="88" spans="1:31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IF($K88="","",K88/100*7)</f>
      </c>
      <c r="O88" s="4">
        <f>IF($K88="","",N88*20%)</f>
      </c>
      <c r="P88" s="4">
        <f>IF($K88="","",N88*2%)</f>
      </c>
      <c r="Q88" s="4">
        <f>IF($K88="","",P88*20%)</f>
      </c>
      <c r="R88" s="4"/>
      <c r="S88" s="4">
        <f>IF($K88="","",R88*20%)</f>
      </c>
      <c r="T88" s="4">
        <v>1</v>
      </c>
      <c r="U88" s="4">
        <f>IF($K88="","",O88+Q88+S88)</f>
      </c>
      <c r="V88" s="4">
        <f>IF($K88="","",L88-M88-N88-O88-P88-Q88-R88-S88-T88)</f>
      </c>
      <c r="W88" s="4">
        <f>IF($K88="","",(V88-Y88)/J88*100)</f>
      </c>
      <c r="X88" s="4">
        <f>IF($K88="","",M88-U88)</f>
      </c>
      <c r="Z88" s="4">
        <f>IF($K88="","",V88-Y88)</f>
      </c>
    </row>
    <row r="89" spans="1:31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IF($K89="","",K89/100*7)</f>
      </c>
      <c r="O89" s="4">
        <f>IF($K89="","",N89*20%)</f>
      </c>
      <c r="P89" s="4">
        <f>IF($K89="","",N89*2%)</f>
      </c>
      <c r="Q89" s="4">
        <f>IF($K89="","",P89*20%)</f>
      </c>
      <c r="R89" s="4"/>
      <c r="S89" s="4">
        <f>IF($K89="","",R89*20%)</f>
      </c>
      <c r="T89" s="4">
        <v>1</v>
      </c>
      <c r="U89" s="4">
        <f>IF($K89="","",O89+Q89+S89)</f>
      </c>
      <c r="V89" s="4">
        <f>IF($K89="","",L89-M89-N89-O89-P89-Q89-R89-S89-T89)</f>
      </c>
      <c r="W89" s="4">
        <f>IF($K89="","",(V89-Y89)/J89*100)</f>
      </c>
      <c r="X89" s="4">
        <f>IF($K89="","",M89-U89)</f>
      </c>
      <c r="Z89" s="4">
        <f>IF($K89="","",V89-Y89)</f>
      </c>
    </row>
    <row r="90" spans="1:31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IF($K90="","",K90/100*7)</f>
      </c>
      <c r="O90" s="4">
        <f>IF($K90="","",N90*20%)</f>
      </c>
      <c r="P90" s="4">
        <f>IF($K90="","",N90*2%)</f>
      </c>
      <c r="Q90" s="4">
        <f>IF($K90="","",P90*20%)</f>
      </c>
      <c r="R90" s="4"/>
      <c r="S90" s="4">
        <f>IF($K90="","",R90*20%)</f>
      </c>
      <c r="T90" s="4">
        <v>1</v>
      </c>
      <c r="U90" s="4">
        <f>IF($K90="","",O90+Q90+S90)</f>
      </c>
      <c r="V90" s="4">
        <f>IF($K90="","",L90-M90-N90-O90-P90-Q90-R90-S90-T90)</f>
      </c>
      <c r="W90" s="4">
        <f>IF($K90="","",(V90-Y90)/J90*100)</f>
      </c>
      <c r="X90" s="4">
        <f>IF($K90="","",M90-U90)</f>
      </c>
      <c r="Z90" s="4">
        <f>IF($K90="","",V90-Y90)</f>
      </c>
    </row>
    <row r="91" spans="1:31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IF($K91="","",K91/100*7)</f>
      </c>
      <c r="O91" s="4">
        <f>IF($K91="","",N91*20%)</f>
      </c>
      <c r="P91" s="4">
        <f>IF($K91="","",N91*2%)</f>
      </c>
      <c r="Q91" s="4">
        <f>IF($K91="","",P91*20%)</f>
      </c>
      <c r="R91" s="4"/>
      <c r="S91" s="4">
        <f>IF($K91="","",R91*20%)</f>
      </c>
      <c r="T91" s="4">
        <v>1</v>
      </c>
      <c r="U91" s="4">
        <f>IF($K91="","",O91+Q91+S91)</f>
      </c>
      <c r="V91" s="4">
        <f>IF($K91="","",L91-M91-N91-O91-P91-Q91-R91-S91-T91)</f>
      </c>
      <c r="W91" s="4">
        <f>IF($K91="","",(V91-Y91)/J91*100)</f>
      </c>
      <c r="X91" s="4">
        <f>IF($K91="","",M91-U91)</f>
      </c>
      <c r="Z91" s="4">
        <f>IF($K91="","",V91-Y91)</f>
      </c>
    </row>
    <row r="92" spans="1:31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IF($K92="","",K92/100*7)</f>
      </c>
      <c r="O92" s="4">
        <f>IF($K92="","",N92*20%)</f>
      </c>
      <c r="P92" s="4">
        <f>IF($K92="","",N92*2%)</f>
      </c>
      <c r="Q92" s="4">
        <f>IF($K92="","",P92*20%)</f>
      </c>
      <c r="R92" s="4"/>
      <c r="S92" s="4">
        <f>IF($K92="","",R92*20%)</f>
      </c>
      <c r="T92" s="4">
        <v>1</v>
      </c>
      <c r="U92" s="4">
        <f>IF($K92="","",O92+Q92+S92)</f>
      </c>
      <c r="V92" s="4">
        <f>IF($K92="","",L92-M92-N92-O92-P92-Q92-R92-S92-T92)</f>
      </c>
      <c r="W92" s="4">
        <f>IF($K92="","",(V92-Y92)/J92*100)</f>
      </c>
      <c r="X92" s="4">
        <f>IF($K92="","",M92-U92)</f>
      </c>
      <c r="Z92" s="4">
        <f>IF($K92="","",V92-Y92)</f>
      </c>
    </row>
    <row r="93" spans="1:31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IF($K93="","",K93/100*7)</f>
      </c>
      <c r="O93" s="4">
        <f>IF($K93="","",N93*20%)</f>
      </c>
      <c r="P93" s="4">
        <f>IF($K93="","",N93*2%)</f>
      </c>
      <c r="Q93" s="4">
        <f>IF($K93="","",P93*20%)</f>
      </c>
      <c r="R93" s="4"/>
      <c r="S93" s="4">
        <f>IF($K93="","",R93*20%)</f>
      </c>
      <c r="T93" s="4">
        <v>1</v>
      </c>
      <c r="U93" s="4">
        <f>IF($K93="","",O93+Q93+S93)</f>
      </c>
      <c r="V93" s="4">
        <f>IF($K93="","",L93-M93-N93-O93-P93-Q93-R93-S93-T93)</f>
      </c>
      <c r="W93" s="4">
        <f>IF($K93="","",(V93-Y93)/J93*100)</f>
      </c>
      <c r="X93" s="4">
        <f>IF($K93="","",M93-U93)</f>
      </c>
      <c r="Z93" s="4">
        <f>IF($K93="","",V93-Y93)</f>
      </c>
    </row>
    <row r="94" spans="1:31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IF($K94="","",K94/100*7)</f>
      </c>
      <c r="O94" s="4">
        <f>IF($K94="","",N94*20%)</f>
      </c>
      <c r="P94" s="4">
        <f>IF($K94="","",N94*2%)</f>
      </c>
      <c r="Q94" s="4">
        <f>IF($K94="","",P94*20%)</f>
      </c>
      <c r="R94" s="4"/>
      <c r="S94" s="4">
        <f>IF($K94="","",R94*20%)</f>
      </c>
      <c r="T94" s="4">
        <v>1</v>
      </c>
      <c r="U94" s="4">
        <f>IF($K94="","",O94+Q94+S94)</f>
      </c>
      <c r="V94" s="4">
        <f>IF($K94="","",L94-M94-N94-O94-P94-Q94-R94-S94-T94)</f>
      </c>
      <c r="W94" s="4">
        <f>IF($K94="","",(V94-Y94)/J94*100)</f>
      </c>
      <c r="X94" s="4">
        <f>IF($K94="","",M94-U94)</f>
      </c>
      <c r="Z94" s="4">
        <f>IF($K94="","",V94-Y94)</f>
      </c>
    </row>
    <row r="95" spans="1:31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IF($K95="","",K95/100*7)</f>
      </c>
      <c r="O95" s="4">
        <f>IF($K95="","",N95*20%)</f>
      </c>
      <c r="P95" s="4">
        <f>IF($K95="","",N95*2%)</f>
      </c>
      <c r="Q95" s="4">
        <f>IF($K95="","",P95*20%)</f>
      </c>
      <c r="R95" s="4"/>
      <c r="S95" s="4">
        <f>IF($K95="","",R95*20%)</f>
      </c>
      <c r="T95" s="4">
        <v>1</v>
      </c>
      <c r="U95" s="4">
        <f>IF($K95="","",O95+Q95+S95)</f>
      </c>
      <c r="V95" s="4">
        <f>IF($K95="","",L95-M95-N95-O95-P95-Q95-R95-S95-T95)</f>
      </c>
      <c r="W95" s="4">
        <f>IF($K95="","",(V95-Y95)/J95*100)</f>
      </c>
      <c r="X95" s="4">
        <f>IF($K95="","",M95-U95)</f>
      </c>
      <c r="Z95" s="4">
        <f>IF($K95="","",V95-Y95)</f>
      </c>
    </row>
    <row r="96" spans="1:31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IF($K96="","",K96/100*7)</f>
      </c>
      <c r="O96" s="4">
        <f>IF($K96="","",N96*20%)</f>
      </c>
      <c r="P96" s="4">
        <f>IF($K96="","",N96*2%)</f>
      </c>
      <c r="Q96" s="4">
        <f>IF($K96="","",P96*20%)</f>
      </c>
      <c r="R96" s="4"/>
      <c r="S96" s="4">
        <f>IF($K96="","",R96*20%)</f>
      </c>
      <c r="T96" s="4">
        <v>1</v>
      </c>
      <c r="U96" s="4">
        <f>IF($K96="","",O96+Q96+S96)</f>
      </c>
      <c r="V96" s="4">
        <f>IF($K96="","",L96-M96-N96-O96-P96-Q96-R96-S96-T96)</f>
      </c>
      <c r="W96" s="4">
        <f>IF($K96="","",(V96-Y96)/J96*100)</f>
      </c>
      <c r="X96" s="4">
        <f>IF($K96="","",M96-U96)</f>
      </c>
      <c r="Z96" s="4">
        <f>IF($K96="","",V96-Y96)</f>
      </c>
    </row>
    <row r="97" spans="1:31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IF($K97="","",K97/100*7)</f>
      </c>
      <c r="O97" s="4">
        <f>IF($K97="","",N97*20%)</f>
      </c>
      <c r="P97" s="4">
        <f>IF($K97="","",N97*2%)</f>
      </c>
      <c r="Q97" s="4">
        <f>IF($K97="","",P97*20%)</f>
      </c>
      <c r="R97" s="4"/>
      <c r="S97" s="4">
        <f>IF($K97="","",R97*20%)</f>
      </c>
      <c r="T97" s="4">
        <v>1</v>
      </c>
      <c r="U97" s="4">
        <f>IF($K97="","",O97+Q97+S97)</f>
      </c>
      <c r="V97" s="4">
        <f>IF($K97="","",L97-M97-N97-O97-P97-Q97-R97-S97-T97)</f>
      </c>
      <c r="W97" s="4">
        <f>IF($K97="","",(V97-Y97)/J97*100)</f>
      </c>
      <c r="X97" s="4">
        <f>IF($K97="","",M97-U97)</f>
      </c>
      <c r="Z97" s="4">
        <f>IF($K97="","",V97-Y97)</f>
      </c>
    </row>
    <row r="98" spans="1:31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IF($K98="","",K98/100*7)</f>
      </c>
      <c r="O98" s="4">
        <f>IF($K98="","",N98*20%)</f>
      </c>
      <c r="P98" s="4">
        <f>IF($K98="","",N98*2%)</f>
      </c>
      <c r="Q98" s="4">
        <f>IF($K98="","",P98*20%)</f>
      </c>
      <c r="R98" s="4"/>
      <c r="S98" s="4">
        <f>IF($K98="","",R98*20%)</f>
      </c>
      <c r="T98" s="4">
        <v>1</v>
      </c>
      <c r="U98" s="4">
        <f>IF($K98="","",O98+Q98+S98)</f>
      </c>
      <c r="V98" s="4">
        <f>IF($K98="","",L98-M98-N98-O98-P98-Q98-R98-S98-T98)</f>
      </c>
      <c r="W98" s="4">
        <f>IF($K98="","",(V98-Y98)/J98*100)</f>
      </c>
      <c r="X98" s="4">
        <f>IF($K98="","",M98-U98)</f>
      </c>
      <c r="Z98" s="4">
        <f>IF($K98="","",V98-Y98)</f>
      </c>
    </row>
    <row r="99" spans="1:31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IF($K99="","",K99/100*7)</f>
      </c>
      <c r="O99" s="4">
        <f>IF($K99="","",N99*20%)</f>
      </c>
      <c r="P99" s="4">
        <f>IF($K99="","",N99*2%)</f>
      </c>
      <c r="Q99" s="4">
        <f>IF($K99="","",P99*20%)</f>
      </c>
      <c r="R99" s="4"/>
      <c r="S99" s="4">
        <f>IF($K99="","",R99*20%)</f>
      </c>
      <c r="T99" s="4">
        <v>1</v>
      </c>
      <c r="U99" s="4">
        <f>IF($K99="","",O99+Q99+S99)</f>
      </c>
      <c r="V99" s="4">
        <f>IF($K99="","",L99-M99-N99-O99-P99-Q99-R99-S99-T99)</f>
      </c>
      <c r="W99" s="4">
        <f>IF($K99="","",(V99-Y99)/J99*100)</f>
      </c>
      <c r="X99" s="4">
        <f>IF($K99="","",M99-U99)</f>
      </c>
      <c r="Z99" s="4">
        <f>IF($K99="","",V99-Y99)</f>
      </c>
    </row>
    <row r="100" spans="1:31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IF($K100="","",K100/100*7)</f>
      </c>
      <c r="O100" s="4">
        <f>IF($K100="","",N100*20%)</f>
      </c>
      <c r="P100" s="4">
        <f>IF($K100="","",N100*2%)</f>
      </c>
      <c r="Q100" s="4">
        <f>IF($K100="","",P100*20%)</f>
      </c>
      <c r="R100" s="4"/>
      <c r="S100" s="4">
        <f>IF($K100="","",R100*20%)</f>
      </c>
      <c r="T100" s="4">
        <v>1</v>
      </c>
      <c r="U100" s="4">
        <f>IF($K100="","",O100+Q100+S100)</f>
      </c>
      <c r="V100" s="4">
        <f>IF($K100="","",L100-M100-N100-O100-P100-Q100-R100-S100-T100)</f>
      </c>
      <c r="W100" s="4">
        <f>IF($K100="","",(V100-Y100)/J100*100)</f>
      </c>
      <c r="X100" s="4">
        <f>IF($K100="","",M100-U100)</f>
      </c>
      <c r="Z100" s="4">
        <f>IF($K100="","",V100-Y100)</f>
      </c>
    </row>
    <row r="101" spans="1:31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IF($K101="","",K101/100*7)</f>
      </c>
      <c r="O101" s="4">
        <f>IF($K101="","",N101*20%)</f>
      </c>
      <c r="P101" s="4">
        <f>IF($K101="","",N101*2%)</f>
      </c>
      <c r="Q101" s="4">
        <f>IF($K101="","",P101*20%)</f>
      </c>
      <c r="R101" s="4"/>
      <c r="S101" s="4">
        <f>IF($K101="","",R101*20%)</f>
      </c>
      <c r="T101" s="4">
        <v>1</v>
      </c>
      <c r="U101" s="4">
        <f>IF($K101="","",O101+Q101+S101)</f>
      </c>
      <c r="V101" s="4">
        <f>IF($K101="","",L101-M101-N101-O101-P101-Q101-R101-S101-T101)</f>
      </c>
      <c r="W101" s="4">
        <f>IF($K101="","",(V101-Y101)/J101*100)</f>
      </c>
      <c r="X101" s="4">
        <f>IF($K101="","",M101-U101)</f>
      </c>
      <c r="Z101" s="4">
        <f>IF($K101="","",V101-Y101)</f>
      </c>
    </row>
    <row r="102" spans="1:31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IF($K102="","",K102/100*7)</f>
      </c>
      <c r="O102" s="4">
        <f>IF($K102="","",N102*20%)</f>
      </c>
      <c r="P102" s="4">
        <f>IF($K102="","",N102*2%)</f>
      </c>
      <c r="Q102" s="4">
        <f>IF($K102="","",P102*20%)</f>
      </c>
      <c r="R102" s="4"/>
      <c r="S102" s="4">
        <f>IF($K102="","",R102*20%)</f>
      </c>
      <c r="T102" s="4">
        <v>1</v>
      </c>
      <c r="U102" s="4">
        <f>IF($K102="","",O102+Q102+S102)</f>
      </c>
      <c r="V102" s="4">
        <f>IF($K102="","",L102-M102-N102-O102-P102-Q102-R102-S102-T102)</f>
      </c>
      <c r="W102" s="4">
        <f>IF($K102="","",(V102-Y102)/J102*100)</f>
      </c>
      <c r="X102" s="4">
        <f>IF($K102="","",M102-U102)</f>
      </c>
      <c r="Z102" s="4">
        <f>IF($K102="","",V102-Y102)</f>
      </c>
    </row>
    <row r="103" spans="1:31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IF($K103="","",K103/100*7)</f>
      </c>
      <c r="O103" s="4">
        <f>IF($K103="","",N103*20%)</f>
      </c>
      <c r="P103" s="4">
        <f>IF($K103="","",N103*2%)</f>
      </c>
      <c r="Q103" s="4">
        <f>IF($K103="","",P103*20%)</f>
      </c>
      <c r="R103" s="4"/>
      <c r="S103" s="4">
        <f>IF($K103="","",R103*20%)</f>
      </c>
      <c r="T103" s="4">
        <v>1</v>
      </c>
      <c r="U103" s="4">
        <f>IF($K103="","",O103+Q103+S103)</f>
      </c>
      <c r="V103" s="4">
        <f>IF($K103="","",L103-M103-N103-O103-P103-Q103-R103-S103-T103)</f>
      </c>
      <c r="W103" s="4">
        <f>IF($K103="","",(V103-Y103)/J103*100)</f>
      </c>
      <c r="X103" s="4">
        <f>IF($K103="","",M103-U103)</f>
      </c>
      <c r="Z103" s="4">
        <f>IF($K103="","",V103-Y103)</f>
      </c>
    </row>
    <row r="104" spans="1:31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IF($K104="","",K104/100*7)</f>
      </c>
      <c r="O104" s="4">
        <f>IF($K104="","",N104*20%)</f>
      </c>
      <c r="P104" s="4">
        <f>IF($K104="","",N104*2%)</f>
      </c>
      <c r="Q104" s="4">
        <f>IF($K104="","",P104*20%)</f>
      </c>
      <c r="R104" s="4"/>
      <c r="S104" s="4">
        <f>IF($K104="","",R104*20%)</f>
      </c>
      <c r="T104" s="4">
        <v>1</v>
      </c>
      <c r="U104" s="4">
        <f>IF($K104="","",O104+Q104+S104)</f>
      </c>
      <c r="V104" s="4">
        <f>IF($K104="","",L104-M104-N104-O104-P104-Q104-R104-S104-T104)</f>
      </c>
      <c r="W104" s="4">
        <f>IF($K104="","",(V104-Y104)/J104*100)</f>
      </c>
      <c r="X104" s="4">
        <f>IF($K104="","",M104-U104)</f>
      </c>
      <c r="Z104" s="4">
        <f>IF($K104="","",V104-Y104)</f>
      </c>
    </row>
    <row r="105" spans="1:31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IF($K105="","",K105/100*7)</f>
      </c>
      <c r="O105" s="4">
        <f>IF($K105="","",N105*20%)</f>
      </c>
      <c r="P105" s="4">
        <f>IF($K105="","",N105*2%)</f>
      </c>
      <c r="Q105" s="4">
        <f>IF($K105="","",P105*20%)</f>
      </c>
      <c r="R105" s="4"/>
      <c r="S105" s="4">
        <f>IF($K105="","",R105*20%)</f>
      </c>
      <c r="T105" s="4">
        <v>1</v>
      </c>
      <c r="U105" s="4">
        <f>IF($K105="","",O105+Q105+S105)</f>
      </c>
      <c r="V105" s="4">
        <f>IF($K105="","",L105-M105-N105-O105-P105-Q105-R105-S105-T105)</f>
      </c>
      <c r="W105" s="4">
        <f>IF($K105="","",(V105-Y105)/J105*100)</f>
      </c>
      <c r="X105" s="4">
        <f>IF($K105="","",M105-U105)</f>
      </c>
      <c r="Z105" s="4">
        <f>IF($K105="","",V105-Y105)</f>
      </c>
    </row>
    <row r="106" spans="1:31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IF($K106="","",K106/100*7)</f>
      </c>
      <c r="O106" s="4">
        <f>IF($K106="","",N106*20%)</f>
      </c>
      <c r="P106" s="4">
        <f>IF($K106="","",N106*2%)</f>
      </c>
      <c r="Q106" s="4">
        <f>IF($K106="","",P106*20%)</f>
      </c>
      <c r="R106" s="4"/>
      <c r="S106" s="4">
        <f>IF($K106="","",R106*20%)</f>
      </c>
      <c r="T106" s="4">
        <v>1</v>
      </c>
      <c r="U106" s="4">
        <f>IF($K106="","",O106+Q106+S106)</f>
      </c>
      <c r="V106" s="4">
        <f>IF($K106="","",L106-M106-N106-O106-P106-Q106-R106-S106-T106)</f>
      </c>
      <c r="W106" s="4">
        <f>IF($K106="","",(V106-Y106)/J106*100)</f>
      </c>
      <c r="X106" s="4">
        <f>IF($K106="","",M106-U106)</f>
      </c>
      <c r="Z106" s="4">
        <f>IF($K106="","",V106-Y106)</f>
      </c>
    </row>
    <row r="107" spans="1:31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IF($K107="","",K107/100*7)</f>
      </c>
      <c r="O107" s="4">
        <f>IF($K107="","",N107*20%)</f>
      </c>
      <c r="P107" s="4">
        <f>IF($K107="","",N107*2%)</f>
      </c>
      <c r="Q107" s="4">
        <f>IF($K107="","",P107*20%)</f>
      </c>
      <c r="R107" s="4"/>
      <c r="S107" s="4">
        <f>IF($K107="","",R107*20%)</f>
      </c>
      <c r="T107" s="4">
        <v>1</v>
      </c>
      <c r="U107" s="4">
        <f>IF($K107="","",O107+Q107+S107)</f>
      </c>
      <c r="V107" s="4">
        <f>IF($K107="","",L107-M107-N107-O107-P107-Q107-R107-S107-T107)</f>
      </c>
      <c r="W107" s="4">
        <f>IF($K107="","",(V107-Y107)/J107*100)</f>
      </c>
      <c r="X107" s="4">
        <f>IF($K107="","",M107-U107)</f>
      </c>
      <c r="Z107" s="4">
        <f>IF($K107="","",V107-Y107)</f>
      </c>
    </row>
    <row r="108" spans="1:31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IF($K108="","",K108/100*7)</f>
      </c>
      <c r="O108" s="4">
        <f>IF($K108="","",N108*20%)</f>
      </c>
      <c r="P108" s="4">
        <f>IF($K108="","",N108*2%)</f>
      </c>
      <c r="Q108" s="4">
        <f>IF($K108="","",P108*20%)</f>
      </c>
      <c r="R108" s="4"/>
      <c r="S108" s="4">
        <f>IF($K108="","",R108*20%)</f>
      </c>
      <c r="T108" s="4">
        <v>1</v>
      </c>
      <c r="U108" s="4">
        <f>IF($K108="","",O108+Q108+S108)</f>
      </c>
      <c r="V108" s="4">
        <f>IF($K108="","",L108-M108-N108-O108-P108-Q108-R108-S108-T108)</f>
      </c>
      <c r="W108" s="4">
        <f>IF($K108="","",(V108-Y108)/J108*100)</f>
      </c>
      <c r="X108" s="4">
        <f>IF($K108="","",M108-U108)</f>
      </c>
      <c r="Z108" s="4">
        <f>IF($K108="","",V108-Y108)</f>
      </c>
    </row>
    <row r="109" spans="1:31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IF($K109="","",K109/100*7)</f>
      </c>
      <c r="O109" s="4">
        <f>IF($K109="","",N109*20%)</f>
      </c>
      <c r="P109" s="4">
        <f>IF($K109="","",N109*2%)</f>
      </c>
      <c r="Q109" s="4">
        <f>IF($K109="","",P109*20%)</f>
      </c>
      <c r="R109" s="4"/>
      <c r="S109" s="4">
        <f>IF($K109="","",R109*20%)</f>
      </c>
      <c r="T109" s="4">
        <v>1</v>
      </c>
      <c r="U109" s="4">
        <f>IF($K109="","",O109+Q109+S109)</f>
      </c>
      <c r="V109" s="4">
        <f>IF($K109="","",L109-M109-N109-O109-P109-Q109-R109-S109-T109)</f>
      </c>
      <c r="W109" s="4">
        <f>IF($K109="","",(V109-Y109)/J109*100)</f>
      </c>
      <c r="X109" s="4">
        <f>IF($K109="","",M109-U109)</f>
      </c>
      <c r="Z109" s="4">
        <f>IF($K109="","",V109-Y109)</f>
      </c>
    </row>
    <row r="110" spans="1:31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IF($K110="","",K110/100*7)</f>
      </c>
      <c r="O110" s="4">
        <f>IF($K110="","",N110*20%)</f>
      </c>
      <c r="P110" s="4">
        <f>IF($K110="","",N110*2%)</f>
      </c>
      <c r="Q110" s="4">
        <f>IF($K110="","",P110*20%)</f>
      </c>
      <c r="R110" s="4"/>
      <c r="S110" s="4">
        <f>IF($K110="","",R110*20%)</f>
      </c>
      <c r="T110" s="4">
        <v>1</v>
      </c>
      <c r="U110" s="4">
        <f>IF($K110="","",O110+Q110+S110)</f>
      </c>
      <c r="V110" s="4">
        <f>IF($K110="","",L110-M110-N110-O110-P110-Q110-R110-S110-T110)</f>
      </c>
      <c r="W110" s="4">
        <f>IF($K110="","",(V110-Y110)/J110*100)</f>
      </c>
      <c r="X110" s="4">
        <f>IF($K110="","",M110-U110)</f>
      </c>
      <c r="Z110" s="4">
        <f>IF($K110="","",V110-Y110)</f>
      </c>
    </row>
    <row r="111" spans="1:31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IF($K111="","",K111/100*7)</f>
      </c>
      <c r="O111" s="4">
        <f>IF($K111="","",N111*20%)</f>
      </c>
      <c r="P111" s="4">
        <f>IF($K111="","",N111*2%)</f>
      </c>
      <c r="Q111" s="4">
        <f>IF($K111="","",P111*20%)</f>
      </c>
      <c r="R111" s="4"/>
      <c r="S111" s="4">
        <f>IF($K111="","",R111*20%)</f>
      </c>
      <c r="T111" s="4">
        <v>1</v>
      </c>
      <c r="U111" s="4">
        <f>IF($K111="","",O111+Q111+S111)</f>
      </c>
      <c r="V111" s="4">
        <f>IF($K111="","",L111-M111-N111-O111-P111-Q111-R111-S111-T111)</f>
      </c>
      <c r="W111" s="4">
        <f>IF($K111="","",(V111-Y111)/J111*100)</f>
      </c>
      <c r="X111" s="4">
        <f>IF($K111="","",M111-U111)</f>
      </c>
      <c r="Z111" s="4">
        <f>IF($K111="","",V111-Y111)</f>
      </c>
    </row>
    <row r="112" spans="1:31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IF($K112="","",K112/100*7)</f>
      </c>
      <c r="O112" s="4">
        <f>IF($K112="","",N112*20%)</f>
      </c>
      <c r="P112" s="4">
        <f>IF($K112="","",N112*2%)</f>
      </c>
      <c r="Q112" s="4">
        <f>IF($K112="","",P112*20%)</f>
      </c>
      <c r="R112" s="4"/>
      <c r="S112" s="4">
        <f>IF($K112="","",R112*20%)</f>
      </c>
      <c r="T112" s="4">
        <v>1</v>
      </c>
      <c r="U112" s="4">
        <f>IF($K112="","",O112+Q112+S112)</f>
      </c>
      <c r="V112" s="4">
        <f>IF($K112="","",L112-M112-N112-O112-P112-Q112-R112-S112-T112)</f>
      </c>
      <c r="W112" s="4">
        <f>IF($K112="","",(V112-Y112)/J112*100)</f>
      </c>
      <c r="X112" s="4">
        <f>IF($K112="","",M112-U112)</f>
      </c>
      <c r="Z112" s="4">
        <f>IF($K112="","",V112-Y112)</f>
      </c>
    </row>
    <row r="113" spans="1:31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IF($K113="","",K113/100*7)</f>
      </c>
      <c r="O113" s="4">
        <f>IF($K113="","",N113*20%)</f>
      </c>
      <c r="P113" s="4">
        <f>IF($K113="","",N113*2%)</f>
      </c>
      <c r="Q113" s="4">
        <f>IF($K113="","",P113*20%)</f>
      </c>
      <c r="R113" s="4"/>
      <c r="S113" s="4">
        <f>IF($K113="","",R113*20%)</f>
      </c>
      <c r="T113" s="4">
        <v>1</v>
      </c>
      <c r="U113" s="4">
        <f>IF($K113="","",O113+Q113+S113)</f>
      </c>
      <c r="V113" s="4">
        <f>IF($K113="","",L113-M113-N113-O113-P113-Q113-R113-S113-T113)</f>
      </c>
      <c r="W113" s="4">
        <f>IF($K113="","",(V113-Y113)/J113*100)</f>
      </c>
      <c r="X113" s="4">
        <f>IF($K113="","",M113-U113)</f>
      </c>
      <c r="Z113" s="4">
        <f>IF($K113="","",V113-Y113)</f>
      </c>
    </row>
    <row r="114" spans="1:31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IF($K114="","",K114/100*7)</f>
      </c>
      <c r="O114" s="4">
        <f>IF($K114="","",N114*20%)</f>
      </c>
      <c r="P114" s="4">
        <f>IF($K114="","",N114*2%)</f>
      </c>
      <c r="Q114" s="4">
        <f>IF($K114="","",P114*20%)</f>
      </c>
      <c r="R114" s="4"/>
      <c r="S114" s="4">
        <f>IF($K114="","",R114*20%)</f>
      </c>
      <c r="T114" s="4">
        <v>1</v>
      </c>
      <c r="U114" s="4">
        <f>IF($K114="","",O114+Q114+S114)</f>
      </c>
      <c r="V114" s="4">
        <f>IF($K114="","",L114-M114-N114-O114-P114-Q114-R114-S114-T114)</f>
      </c>
      <c r="W114" s="4">
        <f>IF($K114="","",(V114-Y114)/J114*100)</f>
      </c>
      <c r="X114" s="4">
        <f>IF($K114="","",M114-U114)</f>
      </c>
      <c r="Z114" s="4">
        <f>IF($K114="","",V114-Y114)</f>
      </c>
    </row>
    <row r="115" spans="1:31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IF($K115="","",K115/100*7)</f>
      </c>
      <c r="O115" s="4">
        <f>IF($K115="","",N115*20%)</f>
      </c>
      <c r="P115" s="4">
        <f>IF($K115="","",N115*2%)</f>
      </c>
      <c r="Q115" s="4">
        <f>IF($K115="","",P115*20%)</f>
      </c>
      <c r="R115" s="4"/>
      <c r="S115" s="4">
        <f>IF($K115="","",R115*20%)</f>
      </c>
      <c r="T115" s="4">
        <v>1</v>
      </c>
      <c r="U115" s="4">
        <f>IF($K115="","",O115+Q115+S115)</f>
      </c>
      <c r="V115" s="4">
        <f>IF($K115="","",L115-M115-N115-O115-P115-Q115-R115-S115-T115)</f>
      </c>
      <c r="W115" s="4">
        <f>IF($K115="","",(V115-Y115)/J115*100)</f>
      </c>
      <c r="X115" s="4">
        <f>IF($K115="","",M115-U115)</f>
      </c>
      <c r="Z115" s="4">
        <f>IF($K115="","",V115-Y115)</f>
      </c>
    </row>
    <row r="116" spans="1:31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IF($K116="","",K116/100*7)</f>
      </c>
      <c r="O116" s="4">
        <f>IF($K116="","",N116*20%)</f>
      </c>
      <c r="P116" s="4">
        <f>IF($K116="","",N116*2%)</f>
      </c>
      <c r="Q116" s="4">
        <f>IF($K116="","",P116*20%)</f>
      </c>
      <c r="R116" s="4"/>
      <c r="S116" s="4">
        <f>IF($K116="","",R116*20%)</f>
      </c>
      <c r="T116" s="4">
        <v>1</v>
      </c>
      <c r="U116" s="4">
        <f>IF($K116="","",O116+Q116+S116)</f>
      </c>
      <c r="V116" s="4">
        <f>IF($K116="","",L116-M116-N116-O116-P116-Q116-R116-S116-T116)</f>
      </c>
      <c r="W116" s="4">
        <f>IF($K116="","",(V116-Y116)/J116*100)</f>
      </c>
      <c r="X116" s="4">
        <f>IF($K116="","",M116-U116)</f>
      </c>
      <c r="Z116" s="4">
        <f>IF($K116="","",V116-Y116)</f>
      </c>
    </row>
    <row r="117" spans="1:31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IF($K117="","",K117/100*7)</f>
      </c>
      <c r="O117" s="4">
        <f>IF($K117="","",N117*20%)</f>
      </c>
      <c r="P117" s="4">
        <f>IF($K117="","",N117*2%)</f>
      </c>
      <c r="Q117" s="4">
        <f>IF($K117="","",P117*20%)</f>
      </c>
      <c r="R117" s="4"/>
      <c r="S117" s="4">
        <f>IF($K117="","",R117*20%)</f>
      </c>
      <c r="T117" s="4">
        <v>1</v>
      </c>
      <c r="U117" s="4">
        <f>IF($K117="","",O117+Q117+S117)</f>
      </c>
      <c r="V117" s="4">
        <f>IF($K117="","",L117-M117-N117-O117-P117-Q117-R117-S117-T117)</f>
      </c>
      <c r="W117" s="4">
        <f>IF($K117="","",(V117-Y117)/J117*100)</f>
      </c>
      <c r="X117" s="4">
        <f>IF($K117="","",M117-U117)</f>
      </c>
      <c r="Z117" s="4">
        <f>IF($K117="","",V117-Y117)</f>
      </c>
    </row>
    <row r="118" spans="1:31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IF($K118="","",K118/100*7)</f>
      </c>
      <c r="O118" s="4">
        <f>IF($K118="","",N118*20%)</f>
      </c>
      <c r="P118" s="4">
        <f>IF($K118="","",N118*2%)</f>
      </c>
      <c r="Q118" s="4">
        <f>IF($K118="","",P118*20%)</f>
      </c>
      <c r="R118" s="4"/>
      <c r="S118" s="4">
        <f>IF($K118="","",R118*20%)</f>
      </c>
      <c r="T118" s="4">
        <v>1</v>
      </c>
      <c r="U118" s="4">
        <f>IF($K118="","",O118+Q118+S118)</f>
      </c>
      <c r="V118" s="4">
        <f>IF($K118="","",L118-M118-N118-O118-P118-Q118-R118-S118-T118)</f>
      </c>
      <c r="W118" s="4">
        <f>IF($K118="","",(V118-Y118)/J118*100)</f>
      </c>
      <c r="X118" s="4">
        <f>IF($K118="","",M118-U118)</f>
      </c>
      <c r="Z118" s="4">
        <f>IF($K118="","",V118-Y118)</f>
      </c>
    </row>
    <row r="119" spans="1:31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IF($K119="","",K119/100*7)</f>
      </c>
      <c r="O119" s="4">
        <f>IF($K119="","",N119*20%)</f>
      </c>
      <c r="P119" s="4">
        <f>IF($K119="","",N119*2%)</f>
      </c>
      <c r="Q119" s="4">
        <f>IF($K119="","",P119*20%)</f>
      </c>
      <c r="R119" s="4"/>
      <c r="S119" s="4">
        <f>IF($K119="","",R119*20%)</f>
      </c>
      <c r="T119" s="4">
        <v>1</v>
      </c>
      <c r="U119" s="4">
        <f>IF($K119="","",O119+Q119+S119)</f>
      </c>
      <c r="V119" s="4">
        <f>IF($K119="","",L119-M119-N119-O119-P119-Q119-R119-S119-T119)</f>
      </c>
      <c r="W119" s="4">
        <f>IF($K119="","",(V119-Y119)/J119*100)</f>
      </c>
      <c r="X119" s="4">
        <f>IF($K119="","",M119-U119)</f>
      </c>
      <c r="Z119" s="4">
        <f>IF($K119="","",V119-Y119)</f>
      </c>
    </row>
    <row r="120" spans="1:31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IF($K120="","",K120/100*7)</f>
      </c>
      <c r="O120" s="4">
        <f>IF($K120="","",N120*20%)</f>
      </c>
      <c r="P120" s="4">
        <f>IF($K120="","",N120*2%)</f>
      </c>
      <c r="Q120" s="4">
        <f>IF($K120="","",P120*20%)</f>
      </c>
      <c r="R120" s="4"/>
      <c r="S120" s="4">
        <f>IF($K120="","",R120*20%)</f>
      </c>
      <c r="T120" s="4">
        <v>1</v>
      </c>
      <c r="U120" s="4">
        <f>IF($K120="","",O120+Q120+S120)</f>
      </c>
      <c r="V120" s="4">
        <f>IF($K120="","",L120-M120-N120-O120-P120-Q120-R120-S120-T120)</f>
      </c>
      <c r="W120" s="4">
        <f>IF($K120="","",(V120-Y120)/J120*100)</f>
      </c>
      <c r="X120" s="4">
        <f>IF($K120="","",M120-U120)</f>
      </c>
      <c r="Z120" s="4">
        <f>IF($K120="","",V120-Y120)</f>
      </c>
    </row>
    <row r="121" spans="1:31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IF($K121="","",K121/100*7)</f>
      </c>
      <c r="O121" s="4">
        <f>IF($K121="","",N121*20%)</f>
      </c>
      <c r="P121" s="4">
        <f>IF($K121="","",N121*2%)</f>
      </c>
      <c r="Q121" s="4">
        <f>IF($K121="","",P121*20%)</f>
      </c>
      <c r="R121" s="4"/>
      <c r="S121" s="4">
        <f>IF($K121="","",R121*20%)</f>
      </c>
      <c r="T121" s="4">
        <v>1</v>
      </c>
      <c r="U121" s="4">
        <f>IF($K121="","",O121+Q121+S121)</f>
      </c>
      <c r="V121" s="4">
        <f>IF($K121="","",L121-M121-N121-O121-P121-Q121-R121-S121-T121)</f>
      </c>
      <c r="W121" s="4">
        <f>IF($K121="","",(V121-Y121)/J121*100)</f>
      </c>
      <c r="X121" s="4">
        <f>IF($K121="","",M121-U121)</f>
      </c>
      <c r="Z121" s="4">
        <f>IF($K121="","",V121-Y121)</f>
      </c>
    </row>
    <row r="122" spans="1:31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IF($K122="","",K122/100*7)</f>
      </c>
      <c r="O122" s="4">
        <f>IF($K122="","",N122*20%)</f>
      </c>
      <c r="P122" s="4">
        <f>IF($K122="","",N122*2%)</f>
      </c>
      <c r="Q122" s="4">
        <f>IF($K122="","",P122*20%)</f>
      </c>
      <c r="R122" s="4"/>
      <c r="S122" s="4">
        <f>IF($K122="","",R122*20%)</f>
      </c>
      <c r="T122" s="4">
        <v>1</v>
      </c>
      <c r="U122" s="4">
        <f>IF($K122="","",O122+Q122+S122)</f>
      </c>
      <c r="V122" s="4">
        <f>IF($K122="","",L122-M122-N122-O122-P122-Q122-R122-S122-T122)</f>
      </c>
      <c r="W122" s="4">
        <f>IF($K122="","",(V122-Y122)/J122*100)</f>
      </c>
      <c r="X122" s="4">
        <f>IF($K122="","",M122-U122)</f>
      </c>
      <c r="Z122" s="4">
        <f>IF($K122="","",V122-Y122)</f>
      </c>
    </row>
    <row r="123" spans="1:31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IF($K123="","",K123/100*7)</f>
      </c>
      <c r="O123" s="4">
        <f>IF($K123="","",N123*20%)</f>
      </c>
      <c r="P123" s="4">
        <f>IF($K123="","",N123*2%)</f>
      </c>
      <c r="Q123" s="4">
        <f>IF($K123="","",P123*20%)</f>
      </c>
      <c r="R123" s="4"/>
      <c r="S123" s="4">
        <f>IF($K123="","",R123*20%)</f>
      </c>
      <c r="T123" s="4">
        <v>1</v>
      </c>
      <c r="U123" s="4">
        <f>IF($K123="","",O123+Q123+S123)</f>
      </c>
      <c r="V123" s="4">
        <f>IF($K123="","",L123-M123-N123-O123-P123-Q123-R123-S123-T123)</f>
      </c>
      <c r="W123" s="4">
        <f>IF($K123="","",(V123-Y123)/J123*100)</f>
      </c>
      <c r="X123" s="4">
        <f>IF($K123="","",M123-U123)</f>
      </c>
      <c r="Z123" s="4">
        <f>IF($K123="","",V123-Y123)</f>
      </c>
    </row>
    <row r="124" spans="1:31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IF($K124="","",K124/100*7)</f>
      </c>
      <c r="O124" s="4">
        <f>IF($K124="","",N124*20%)</f>
      </c>
      <c r="P124" s="4">
        <f>IF($K124="","",N124*2%)</f>
      </c>
      <c r="Q124" s="4">
        <f>IF($K124="","",P124*20%)</f>
      </c>
      <c r="R124" s="4"/>
      <c r="S124" s="4">
        <f>IF($K124="","",R124*20%)</f>
      </c>
      <c r="T124" s="4">
        <v>1</v>
      </c>
      <c r="U124" s="4">
        <f>IF($K124="","",O124+Q124+S124)</f>
      </c>
      <c r="V124" s="4">
        <f>IF($K124="","",L124-M124-N124-O124-P124-Q124-R124-S124-T124)</f>
      </c>
      <c r="W124" s="4">
        <f>IF($K124="","",(V124-Y124)/J124*100)</f>
      </c>
      <c r="X124" s="4">
        <f>IF($K124="","",M124-U124)</f>
      </c>
      <c r="Z124" s="4">
        <f>IF($K124="","",V124-Y124)</f>
      </c>
    </row>
    <row r="125" spans="1:31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IF($K125="","",K125/100*7)</f>
      </c>
      <c r="O125" s="4">
        <f>IF($K125="","",N125*20%)</f>
      </c>
      <c r="P125" s="4">
        <f>IF($K125="","",N125*2%)</f>
      </c>
      <c r="Q125" s="4">
        <f>IF($K125="","",P125*20%)</f>
      </c>
      <c r="R125" s="4"/>
      <c r="S125" s="4">
        <f>IF($K125="","",R125*20%)</f>
      </c>
      <c r="T125" s="4">
        <v>1</v>
      </c>
      <c r="U125" s="4">
        <f>IF($K125="","",O125+Q125+S125)</f>
      </c>
      <c r="V125" s="4">
        <f>IF($K125="","",L125-M125-N125-O125-P125-Q125-R125-S125-T125)</f>
      </c>
      <c r="W125" s="4">
        <f>IF($K125="","",(V125-Y125)/J125*100)</f>
      </c>
      <c r="X125" s="4">
        <f>IF($K125="","",M125-U125)</f>
      </c>
      <c r="Z125" s="4">
        <f>IF($K125="","",V125-Y125)</f>
      </c>
    </row>
    <row r="126" spans="1:31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IF($K126="","",K126/100*7)</f>
      </c>
      <c r="O126" s="4">
        <f>IF($K126="","",N126*20%)</f>
      </c>
      <c r="P126" s="4">
        <f>IF($K126="","",N126*2%)</f>
      </c>
      <c r="Q126" s="4">
        <f>IF($K126="","",P126*20%)</f>
      </c>
      <c r="R126" s="4"/>
      <c r="S126" s="4">
        <f>IF($K126="","",R126*20%)</f>
      </c>
      <c r="T126" s="4">
        <v>1</v>
      </c>
      <c r="U126" s="4">
        <f>IF($K126="","",O126+Q126+S126)</f>
      </c>
      <c r="V126" s="4">
        <f>IF($K126="","",L126-M126-N126-O126-P126-Q126-R126-S126-T126)</f>
      </c>
      <c r="W126" s="4">
        <f>IF($K126="","",(V126-Y126)/J126*100)</f>
      </c>
      <c r="X126" s="4">
        <f>IF($K126="","",M126-U126)</f>
      </c>
      <c r="Z126" s="4">
        <f>IF($K126="","",V126-Y126)</f>
      </c>
    </row>
    <row r="127" spans="1:31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IF($K127="","",K127/100*7)</f>
      </c>
      <c r="O127" s="4">
        <f>IF($K127="","",N127*20%)</f>
      </c>
      <c r="P127" s="4">
        <f>IF($K127="","",N127*2%)</f>
      </c>
      <c r="Q127" s="4">
        <f>IF($K127="","",P127*20%)</f>
      </c>
      <c r="R127" s="4"/>
      <c r="S127" s="4">
        <f>IF($K127="","",R127*20%)</f>
      </c>
      <c r="T127" s="4">
        <v>1</v>
      </c>
      <c r="U127" s="4">
        <f>IF($K127="","",O127+Q127+S127)</f>
      </c>
      <c r="V127" s="4">
        <f>IF($K127="","",L127-M127-N127-O127-P127-Q127-R127-S127-T127)</f>
      </c>
      <c r="W127" s="4">
        <f>IF($K127="","",(V127-Y127)/J127*100)</f>
      </c>
      <c r="X127" s="4">
        <f>IF($K127="","",M127-U127)</f>
      </c>
      <c r="Z127" s="4">
        <f>IF($K127="","",V127-Y127)</f>
      </c>
    </row>
    <row r="128" spans="1:31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IF($K128="","",K128/100*7)</f>
      </c>
      <c r="O128" s="4">
        <f>IF($K128="","",N128*20%)</f>
      </c>
      <c r="P128" s="4">
        <f>IF($K128="","",N128*2%)</f>
      </c>
      <c r="Q128" s="4">
        <f>IF($K128="","",P128*20%)</f>
      </c>
      <c r="R128" s="4"/>
      <c r="S128" s="4">
        <f>IF($K128="","",R128*20%)</f>
      </c>
      <c r="T128" s="4">
        <v>1</v>
      </c>
      <c r="U128" s="4">
        <f>IF($K128="","",O128+Q128+S128)</f>
      </c>
      <c r="V128" s="4">
        <f>IF($K128="","",L128-M128-N128-O128-P128-Q128-R128-S128-T128)</f>
      </c>
      <c r="W128" s="4">
        <f>IF($K128="","",(V128-Y128)/J128*100)</f>
      </c>
      <c r="X128" s="4">
        <f>IF($K128="","",M128-U128)</f>
      </c>
      <c r="Z128" s="4">
        <f>IF($K128="","",V128-Y128)</f>
      </c>
    </row>
    <row r="129" spans="1:31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IF($K129="","",K129/100*7)</f>
      </c>
      <c r="O129" s="4">
        <f>IF($K129="","",N129*20%)</f>
      </c>
      <c r="P129" s="4">
        <f>IF($K129="","",N129*2%)</f>
      </c>
      <c r="Q129" s="4">
        <f>IF($K129="","",P129*20%)</f>
      </c>
      <c r="R129" s="4"/>
      <c r="S129" s="4">
        <f>IF($K129="","",R129*20%)</f>
      </c>
      <c r="T129" s="4">
        <v>1</v>
      </c>
      <c r="U129" s="4">
        <f>IF($K129="","",O129+Q129+S129)</f>
      </c>
      <c r="V129" s="4">
        <f>IF($K129="","",L129-M129-N129-O129-P129-Q129-R129-S129-T129)</f>
      </c>
      <c r="W129" s="4">
        <f>IF($K129="","",(V129-Y129)/J129*100)</f>
      </c>
      <c r="X129" s="4">
        <f>IF($K129="","",M129-U129)</f>
      </c>
      <c r="Z129" s="4">
        <f>IF($K129="","",V129-Y129)</f>
      </c>
    </row>
    <row r="130" spans="1:31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IF($K130="","",K130/100*7)</f>
      </c>
      <c r="O130" s="4">
        <f>IF($K130="","",N130*20%)</f>
      </c>
      <c r="P130" s="4">
        <f>IF($K130="","",N130*2%)</f>
      </c>
      <c r="Q130" s="4">
        <f>IF($K130="","",P130*20%)</f>
      </c>
      <c r="R130" s="4"/>
      <c r="S130" s="4">
        <f>IF($K130="","",R130*20%)</f>
      </c>
      <c r="T130" s="4">
        <v>1</v>
      </c>
      <c r="U130" s="4">
        <f>IF($K130="","",O130+Q130+S130)</f>
      </c>
      <c r="V130" s="4">
        <f>IF($K130="","",L130-M130-N130-O130-P130-Q130-R130-S130-T130)</f>
      </c>
      <c r="W130" s="4">
        <f>IF($K130="","",(V130-Y130)/J130*100)</f>
      </c>
      <c r="X130" s="4">
        <f>IF($K130="","",M130-U130)</f>
      </c>
      <c r="Z130" s="4">
        <f>IF($K130="","",V130-Y130)</f>
      </c>
    </row>
    <row r="131" spans="1:31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IF($K131="","",K131/100*7)</f>
      </c>
      <c r="O131" s="4">
        <f>IF($K131="","",N131*20%)</f>
      </c>
      <c r="P131" s="4">
        <f>IF($K131="","",N131*2%)</f>
      </c>
      <c r="Q131" s="4">
        <f>IF($K131="","",P131*20%)</f>
      </c>
      <c r="R131" s="4"/>
      <c r="S131" s="4">
        <f>IF($K131="","",R131*20%)</f>
      </c>
      <c r="T131" s="4">
        <v>1</v>
      </c>
      <c r="U131" s="4">
        <f>IF($K131="","",O131+Q131+S131)</f>
      </c>
      <c r="V131" s="4">
        <f>IF($K131="","",L131-M131-N131-O131-P131-Q131-R131-S131-T131)</f>
      </c>
      <c r="W131" s="4">
        <f>IF($K131="","",(V131-Y131)/J131*100)</f>
      </c>
      <c r="X131" s="4">
        <f>IF($K131="","",M131-U131)</f>
      </c>
      <c r="Z131" s="4">
        <f>IF($K131="","",V131-Y131)</f>
      </c>
    </row>
    <row r="132" spans="1:31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IF($K132="","",K132/100*7)</f>
      </c>
      <c r="O132" s="4">
        <f>IF($K132="","",N132*20%)</f>
      </c>
      <c r="P132" s="4">
        <f>IF($K132="","",N132*2%)</f>
      </c>
      <c r="Q132" s="4">
        <f>IF($K132="","",P132*20%)</f>
      </c>
      <c r="R132" s="4"/>
      <c r="S132" s="4">
        <f>IF($K132="","",R132*20%)</f>
      </c>
      <c r="T132" s="4">
        <v>1</v>
      </c>
      <c r="U132" s="4">
        <f>IF($K132="","",O132+Q132+S132)</f>
      </c>
      <c r="V132" s="4">
        <f>IF($K132="","",L132-M132-N132-O132-P132-Q132-R132-S132-T132)</f>
      </c>
      <c r="W132" s="4">
        <f>IF($K132="","",(V132-Y132)/J132*100)</f>
      </c>
      <c r="X132" s="4">
        <f>IF($K132="","",M132-U132)</f>
      </c>
      <c r="Z132" s="4">
        <f>IF($K132="","",V132-Y132)</f>
      </c>
    </row>
    <row r="133" spans="1:31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IF($K133="","",K133/100*7)</f>
      </c>
      <c r="O133" s="4">
        <f>IF($K133="","",N133*20%)</f>
      </c>
      <c r="P133" s="4">
        <f>IF($K133="","",N133*2%)</f>
      </c>
      <c r="Q133" s="4">
        <f>IF($K133="","",P133*20%)</f>
      </c>
      <c r="R133" s="4"/>
      <c r="S133" s="4">
        <f>IF($K133="","",R133*20%)</f>
      </c>
      <c r="T133" s="4">
        <v>1</v>
      </c>
      <c r="U133" s="4">
        <f>IF($K133="","",O133+Q133+S133)</f>
      </c>
      <c r="V133" s="4">
        <f>IF($K133="","",L133-M133-N133-O133-P133-Q133-R133-S133-T133)</f>
      </c>
      <c r="W133" s="4">
        <f>IF($K133="","",(V133-Y133)/J133*100)</f>
      </c>
      <c r="X133" s="4">
        <f>IF($K133="","",M133-U133)</f>
      </c>
      <c r="Z133" s="4">
        <f>IF($K133="","",V133-Y133)</f>
      </c>
    </row>
    <row r="134" spans="1:31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IF($K134="","",K134/100*7)</f>
      </c>
      <c r="O134" s="4">
        <f>IF($K134="","",N134*20%)</f>
      </c>
      <c r="P134" s="4">
        <f>IF($K134="","",N134*2%)</f>
      </c>
      <c r="Q134" s="4">
        <f>IF($K134="","",P134*20%)</f>
      </c>
      <c r="R134" s="4"/>
      <c r="S134" s="4">
        <f>IF($K134="","",R134*20%)</f>
      </c>
      <c r="T134" s="4">
        <v>1</v>
      </c>
      <c r="U134" s="4">
        <f>IF($K134="","",O134+Q134+S134)</f>
      </c>
      <c r="V134" s="4">
        <f>IF($K134="","",L134-M134-N134-O134-P134-Q134-R134-S134-T134)</f>
      </c>
      <c r="W134" s="4">
        <f>IF($K134="","",(V134-Y134)/J134*100)</f>
      </c>
      <c r="X134" s="4">
        <f>IF($K134="","",M134-U134)</f>
      </c>
      <c r="Z134" s="4">
        <f>IF($K134="","",V134-Y134)</f>
      </c>
    </row>
    <row r="135" spans="1:31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IF($K135="","",K135/100*7)</f>
      </c>
      <c r="O135" s="4">
        <f>IF($K135="","",N135*20%)</f>
      </c>
      <c r="P135" s="4">
        <f>IF($K135="","",N135*2%)</f>
      </c>
      <c r="Q135" s="4">
        <f>IF($K135="","",P135*20%)</f>
      </c>
      <c r="R135" s="4"/>
      <c r="S135" s="4">
        <f>IF($K135="","",R135*20%)</f>
      </c>
      <c r="T135" s="4">
        <v>1</v>
      </c>
      <c r="U135" s="4">
        <f>IF($K135="","",O135+Q135+S135)</f>
      </c>
      <c r="V135" s="4">
        <f>IF($K135="","",L135-M135-N135-O135-P135-Q135-R135-S135-T135)</f>
      </c>
      <c r="W135" s="4">
        <f>IF($K135="","",(V135-Y135)/J135*100)</f>
      </c>
      <c r="X135" s="4">
        <f>IF($K135="","",M135-U135)</f>
      </c>
      <c r="Z135" s="4">
        <f>IF($K135="","",V135-Y135)</f>
      </c>
    </row>
    <row r="136" spans="1:31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IF($K136="","",K136/100*7)</f>
      </c>
      <c r="O136" s="4">
        <f>IF($K136="","",N136*20%)</f>
      </c>
      <c r="P136" s="4">
        <f>IF($K136="","",N136*2%)</f>
      </c>
      <c r="Q136" s="4">
        <f>IF($K136="","",P136*20%)</f>
      </c>
      <c r="R136" s="4"/>
      <c r="S136" s="4">
        <f>IF($K136="","",R136*20%)</f>
      </c>
      <c r="T136" s="4">
        <v>1</v>
      </c>
      <c r="U136" s="4">
        <f>IF($K136="","",O136+Q136+S136)</f>
      </c>
      <c r="V136" s="4">
        <f>IF($K136="","",L136-M136-N136-O136-P136-Q136-R136-S136-T136)</f>
      </c>
      <c r="W136" s="4">
        <f>IF($K136="","",(V136-Y136)/J136*100)</f>
      </c>
      <c r="X136" s="4">
        <f>IF($K136="","",M136-U136)</f>
      </c>
      <c r="Z136" s="4">
        <f>IF($K136="","",V136-Y136)</f>
      </c>
    </row>
    <row r="137" spans="1:31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IF($K137="","",K137/100*7)</f>
      </c>
      <c r="O137" s="4">
        <f>IF($K137="","",N137*20%)</f>
      </c>
      <c r="P137" s="4">
        <f>IF($K137="","",N137*2%)</f>
      </c>
      <c r="Q137" s="4">
        <f>IF($K137="","",P137*20%)</f>
      </c>
      <c r="R137" s="4"/>
      <c r="S137" s="4">
        <f>IF($K137="","",R137*20%)</f>
      </c>
      <c r="T137" s="4">
        <v>1</v>
      </c>
      <c r="U137" s="4">
        <f>IF($K137="","",O137+Q137+S137)</f>
      </c>
      <c r="V137" s="4">
        <f>IF($K137="","",L137-M137-N137-O137-P137-Q137-R137-S137-T137)</f>
      </c>
      <c r="W137" s="4">
        <f>IF($K137="","",(V137-Y137)/J137*100)</f>
      </c>
      <c r="X137" s="4">
        <f>IF($K137="","",M137-U137)</f>
      </c>
      <c r="Z137" s="4">
        <f>IF($K137="","",V137-Y137)</f>
      </c>
    </row>
    <row r="138" spans="1:31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IF($K138="","",K138/100*7)</f>
      </c>
      <c r="O138" s="4">
        <f>IF($K138="","",N138*20%)</f>
      </c>
      <c r="P138" s="4">
        <f>IF($K138="","",N138*2%)</f>
      </c>
      <c r="Q138" s="4">
        <f>IF($K138="","",P138*20%)</f>
      </c>
      <c r="R138" s="4"/>
      <c r="S138" s="4">
        <f>IF($K138="","",R138*20%)</f>
      </c>
      <c r="T138" s="4">
        <v>1</v>
      </c>
      <c r="U138" s="4">
        <f>IF($K138="","",O138+Q138+S138)</f>
      </c>
      <c r="V138" s="4">
        <f>IF($K138="","",L138-M138-N138-O138-P138-Q138-R138-S138-T138)</f>
      </c>
      <c r="W138" s="4">
        <f>IF($K138="","",(V138-Y138)/J138*100)</f>
      </c>
      <c r="X138" s="4">
        <f>IF($K138="","",M138-U138)</f>
      </c>
      <c r="Z138" s="4">
        <f>IF($K138="","",V138-Y138)</f>
      </c>
    </row>
    <row r="139" spans="1:31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IF($K139="","",K139/100*7)</f>
      </c>
      <c r="O139" s="4">
        <f>IF($K139="","",N139*20%)</f>
      </c>
      <c r="P139" s="4">
        <f>IF($K139="","",N139*2%)</f>
      </c>
      <c r="Q139" s="4">
        <f>IF($K139="","",P139*20%)</f>
      </c>
      <c r="R139" s="4"/>
      <c r="S139" s="4">
        <f>IF($K139="","",R139*20%)</f>
      </c>
      <c r="T139" s="4">
        <v>1</v>
      </c>
      <c r="U139" s="4">
        <f>IF($K139="","",O139+Q139+S139)</f>
      </c>
      <c r="V139" s="4">
        <f>IF($K139="","",L139-M139-N139-O139-P139-Q139-R139-S139-T139)</f>
      </c>
      <c r="W139" s="4">
        <f>IF($K139="","",(V139-Y139)/J139*100)</f>
      </c>
      <c r="X139" s="4">
        <f>IF($K139="","",M139-U139)</f>
      </c>
      <c r="Z139" s="4">
        <f>IF($K139="","",V139-Y139)</f>
      </c>
    </row>
    <row r="140" spans="1:31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IF($K140="","",K140/100*7)</f>
      </c>
      <c r="O140" s="4">
        <f>IF($K140="","",N140*20%)</f>
      </c>
      <c r="P140" s="4">
        <f>IF($K140="","",N140*2%)</f>
      </c>
      <c r="Q140" s="4">
        <f>IF($K140="","",P140*20%)</f>
      </c>
      <c r="R140" s="4"/>
      <c r="S140" s="4">
        <f>IF($K140="","",R140*20%)</f>
      </c>
      <c r="T140" s="4">
        <v>1</v>
      </c>
      <c r="U140" s="4">
        <f>IF($K140="","",O140+Q140+S140)</f>
      </c>
      <c r="V140" s="4">
        <f>IF($K140="","",L140-M140-N140-O140-P140-Q140-R140-S140-T140)</f>
      </c>
      <c r="W140" s="4">
        <f>IF($K140="","",(V140-Y140)/J140*100)</f>
      </c>
      <c r="X140" s="4">
        <f>IF($K140="","",M140-U140)</f>
      </c>
      <c r="Z140" s="4">
        <f>IF($K140="","",V140-Y140)</f>
      </c>
    </row>
    <row r="141" spans="1:31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IF($K141="","",K141/100*7)</f>
      </c>
      <c r="O141" s="4">
        <f>IF($K141="","",N141*20%)</f>
      </c>
      <c r="P141" s="4">
        <f>IF($K141="","",N141*2%)</f>
      </c>
      <c r="Q141" s="4">
        <f>IF($K141="","",P141*20%)</f>
      </c>
      <c r="R141" s="4"/>
      <c r="S141" s="4">
        <f>IF($K141="","",R141*20%)</f>
      </c>
      <c r="T141" s="4">
        <v>1</v>
      </c>
      <c r="U141" s="4">
        <f>IF($K141="","",O141+Q141+S141)</f>
      </c>
      <c r="V141" s="4">
        <f>IF($K141="","",L141-M141-N141-O141-P141-Q141-R141-S141-T141)</f>
      </c>
      <c r="W141" s="4">
        <f>IF($K141="","",(V141-Y141)/J141*100)</f>
      </c>
      <c r="X141" s="4">
        <f>IF($K141="","",M141-U141)</f>
      </c>
      <c r="Z141" s="4">
        <f>IF($K141="","",V141-Y141)</f>
      </c>
    </row>
    <row r="142" spans="1:31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IF($K142="","",K142/100*7)</f>
      </c>
      <c r="O142" s="4">
        <f>IF($K142="","",N142*20%)</f>
      </c>
      <c r="P142" s="4">
        <f>IF($K142="","",N142*2%)</f>
      </c>
      <c r="Q142" s="4">
        <f>IF($K142="","",P142*20%)</f>
      </c>
      <c r="R142" s="4"/>
      <c r="S142" s="4">
        <f>IF($K142="","",R142*20%)</f>
      </c>
      <c r="T142" s="4">
        <v>1</v>
      </c>
      <c r="U142" s="4">
        <f>IF($K142="","",O142+Q142+S142)</f>
      </c>
      <c r="V142" s="4">
        <f>IF($K142="","",L142-M142-N142-O142-P142-Q142-R142-S142-T142)</f>
      </c>
      <c r="W142" s="4">
        <f>IF($K142="","",(V142-Y142)/J142*100)</f>
      </c>
      <c r="X142" s="4">
        <f>IF($K142="","",M142-U142)</f>
      </c>
      <c r="Z142" s="4">
        <f>IF($K142="","",V142-Y142)</f>
      </c>
    </row>
    <row r="143" spans="1:31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IF($K143="","",K143/100*7)</f>
      </c>
      <c r="O143" s="4">
        <f>IF($K143="","",N143*20%)</f>
      </c>
      <c r="P143" s="4">
        <f>IF($K143="","",N143*2%)</f>
      </c>
      <c r="Q143" s="4">
        <f>IF($K143="","",P143*20%)</f>
      </c>
      <c r="R143" s="4"/>
      <c r="S143" s="4">
        <f>IF($K143="","",R143*20%)</f>
      </c>
      <c r="T143" s="4">
        <v>1</v>
      </c>
      <c r="U143" s="4">
        <f>IF($K143="","",O143+Q143+S143)</f>
      </c>
      <c r="V143" s="4">
        <f>IF($K143="","",L143-M143-N143-O143-P143-Q143-R143-S143-T143)</f>
      </c>
      <c r="W143" s="4">
        <f>IF($K143="","",(V143-Y143)/J143*100)</f>
      </c>
      <c r="X143" s="4">
        <f>IF($K143="","",M143-U143)</f>
      </c>
      <c r="Z143" s="4">
        <f>IF($K143="","",V143-Y143)</f>
      </c>
    </row>
    <row r="144" spans="1:31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IF($K144="","",K144/100*7)</f>
      </c>
      <c r="O144" s="4">
        <f>IF($K144="","",N144*20%)</f>
      </c>
      <c r="P144" s="4">
        <f>IF($K144="","",N144*2%)</f>
      </c>
      <c r="Q144" s="4">
        <f>IF($K144="","",P144*20%)</f>
      </c>
      <c r="R144" s="4"/>
      <c r="S144" s="4">
        <f>IF($K144="","",R144*20%)</f>
      </c>
      <c r="T144" s="4">
        <v>1</v>
      </c>
      <c r="U144" s="4">
        <f>IF($K144="","",O144+Q144+S144)</f>
      </c>
      <c r="V144" s="4">
        <f>IF($K144="","",L144-M144-N144-O144-P144-Q144-R144-S144-T144)</f>
      </c>
      <c r="W144" s="4">
        <f>IF($K144="","",(V144-Y144)/J144*100)</f>
      </c>
      <c r="X144" s="4">
        <f>IF($K144="","",M144-U144)</f>
      </c>
      <c r="Z144" s="4">
        <f>IF($K144="","",V144-Y144)</f>
      </c>
    </row>
    <row r="145" spans="1:31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IF($K145="","",K145/100*7)</f>
      </c>
      <c r="O145" s="4">
        <f>IF($K145="","",N145*20%)</f>
      </c>
      <c r="P145" s="4">
        <f>IF($K145="","",N145*2%)</f>
      </c>
      <c r="Q145" s="4">
        <f>IF($K145="","",P145*20%)</f>
      </c>
      <c r="R145" s="4"/>
      <c r="S145" s="4">
        <f>IF($K145="","",R145*20%)</f>
      </c>
      <c r="T145" s="4">
        <v>1</v>
      </c>
      <c r="U145" s="4">
        <f>IF($K145="","",O145+Q145+S145)</f>
      </c>
      <c r="V145" s="4">
        <f>IF($K145="","",L145-M145-N145-O145-P145-Q145-R145-S145-T145)</f>
      </c>
      <c r="W145" s="4">
        <f>IF($K145="","",(V145-Y145)/J145*100)</f>
      </c>
      <c r="X145" s="4">
        <f>IF($K145="","",M145-U145)</f>
      </c>
      <c r="Z145" s="4">
        <f>IF($K145="","",V145-Y145)</f>
      </c>
    </row>
    <row r="146" spans="1:31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IF($K146="","",K146/100*7)</f>
      </c>
      <c r="O146" s="4">
        <f>IF($K146="","",N146*20%)</f>
      </c>
      <c r="P146" s="4">
        <f>IF($K146="","",N146*2%)</f>
      </c>
      <c r="Q146" s="4">
        <f>IF($K146="","",P146*20%)</f>
      </c>
      <c r="R146" s="4"/>
      <c r="S146" s="4">
        <f>IF($K146="","",R146*20%)</f>
      </c>
      <c r="T146" s="4">
        <v>1</v>
      </c>
      <c r="U146" s="4">
        <f>IF($K146="","",O146+Q146+S146)</f>
      </c>
      <c r="V146" s="4">
        <f>IF($K146="","",L146-M146-N146-O146-P146-Q146-R146-S146-T146)</f>
      </c>
      <c r="W146" s="4">
        <f>IF($K146="","",(V146-Y146)/J146*100)</f>
      </c>
      <c r="X146" s="4">
        <f>IF($K146="","",M146-U146)</f>
      </c>
      <c r="Z146" s="4">
        <f>IF($K146="","",V146-Y146)</f>
      </c>
    </row>
    <row r="147" spans="1:31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IF($K147="","",K147/100*7)</f>
      </c>
      <c r="O147" s="4">
        <f>IF($K147="","",N147*20%)</f>
      </c>
      <c r="P147" s="4">
        <f>IF($K147="","",N147*2%)</f>
      </c>
      <c r="Q147" s="4">
        <f>IF($K147="","",P147*20%)</f>
      </c>
      <c r="R147" s="4"/>
      <c r="S147" s="4">
        <f>IF($K147="","",R147*20%)</f>
      </c>
      <c r="T147" s="4">
        <v>1</v>
      </c>
      <c r="U147" s="4">
        <f>IF($K147="","",O147+Q147+S147)</f>
      </c>
      <c r="V147" s="4">
        <f>IF($K147="","",L147-M147-N147-O147-P147-Q147-R147-S147-T147)</f>
      </c>
      <c r="W147" s="4">
        <f>IF($K147="","",(V147-Y147)/J147*100)</f>
      </c>
      <c r="X147" s="4">
        <f>IF($K147="","",M147-U147)</f>
      </c>
      <c r="Z147" s="4">
        <f>IF($K147="","",V147-Y147)</f>
      </c>
    </row>
    <row r="148" spans="1:31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IF($K148="","",K148/100*7)</f>
      </c>
      <c r="O148" s="4">
        <f>IF($K148="","",N148*20%)</f>
      </c>
      <c r="P148" s="4">
        <f>IF($K148="","",N148*2%)</f>
      </c>
      <c r="Q148" s="4">
        <f>IF($K148="","",P148*20%)</f>
      </c>
      <c r="R148" s="4"/>
      <c r="S148" s="4">
        <f>IF($K148="","",R148*20%)</f>
      </c>
      <c r="T148" s="4">
        <v>1</v>
      </c>
      <c r="U148" s="4">
        <f>IF($K148="","",O148+Q148+S148)</f>
      </c>
      <c r="V148" s="4">
        <f>IF($K148="","",L148-M148-N148-O148-P148-Q148-R148-S148-T148)</f>
      </c>
      <c r="W148" s="4">
        <f>IF($K148="","",(V148-Y148)/J148*100)</f>
      </c>
      <c r="X148" s="4">
        <f>IF($K148="","",M148-U148)</f>
      </c>
      <c r="Z148" s="4">
        <f>IF($K148="","",V148-Y148)</f>
      </c>
    </row>
    <row r="149" spans="1:31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IF($K149="","",K149/100*7)</f>
      </c>
      <c r="O149" s="4">
        <f>IF($K149="","",N149*20%)</f>
      </c>
      <c r="P149" s="4">
        <f>IF($K149="","",N149*2%)</f>
      </c>
      <c r="Q149" s="4">
        <f>IF($K149="","",P149*20%)</f>
      </c>
      <c r="R149" s="4"/>
      <c r="S149" s="4">
        <f>IF($K149="","",R149*20%)</f>
      </c>
      <c r="T149" s="4">
        <v>1</v>
      </c>
      <c r="U149" s="4">
        <f>IF($K149="","",O149+Q149+S149)</f>
      </c>
      <c r="V149" s="4">
        <f>IF($K149="","",L149-M149-N149-O149-P149-Q149-R149-S149-T149)</f>
      </c>
      <c r="W149" s="4">
        <f>IF($K149="","",(V149-Y149)/J149*100)</f>
      </c>
      <c r="X149" s="4">
        <f>IF($K149="","",M149-U149)</f>
      </c>
      <c r="Z149" s="4">
        <f>IF($K149="","",V149-Y149)</f>
      </c>
    </row>
    <row r="150" spans="1:31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IF($K150="","",K150/100*7)</f>
      </c>
      <c r="O150" s="4">
        <f>IF($K150="","",N150*20%)</f>
      </c>
      <c r="P150" s="4">
        <f>IF($K150="","",N150*2%)</f>
      </c>
      <c r="Q150" s="4">
        <f>IF($K150="","",P150*20%)</f>
      </c>
      <c r="R150" s="4"/>
      <c r="S150" s="4">
        <f>IF($K150="","",R150*20%)</f>
      </c>
      <c r="T150" s="4">
        <v>1</v>
      </c>
      <c r="U150" s="4">
        <f>IF($K150="","",O150+Q150+S150)</f>
      </c>
      <c r="V150" s="4">
        <f>IF($K150="","",L150-M150-N150-O150-P150-Q150-R150-S150-T150)</f>
      </c>
      <c r="W150" s="4">
        <f>IF($K150="","",(V150-Y150)/J150*100)</f>
      </c>
      <c r="X150" s="4">
        <f>IF($K150="","",M150-U150)</f>
      </c>
      <c r="Z150" s="4">
        <f>IF($K150="","",V150-Y150)</f>
      </c>
    </row>
    <row r="151" spans="1:31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IF($K151="","",K151/100*7)</f>
      </c>
      <c r="O151" s="4">
        <f>IF($K151="","",N151*20%)</f>
      </c>
      <c r="P151" s="4">
        <f>IF($K151="","",N151*2%)</f>
      </c>
      <c r="Q151" s="4">
        <f>IF($K151="","",P151*20%)</f>
      </c>
      <c r="R151" s="4"/>
      <c r="S151" s="4">
        <f>IF($K151="","",R151*20%)</f>
      </c>
      <c r="T151" s="4">
        <v>1</v>
      </c>
      <c r="U151" s="4">
        <f>IF($K151="","",O151+Q151+S151)</f>
      </c>
      <c r="V151" s="4">
        <f>IF($K151="","",L151-M151-N151-O151-P151-Q151-R151-S151-T151)</f>
      </c>
      <c r="W151" s="4">
        <f>IF($K151="","",(V151-Y151)/J151*100)</f>
      </c>
      <c r="X151" s="4">
        <f>IF($K151="","",M151-U151)</f>
      </c>
      <c r="Z151" s="4">
        <f>IF($K151="","",V151-Y151)</f>
      </c>
    </row>
    <row r="152" spans="1:31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IF($K152="","",K152/100*7)</f>
      </c>
      <c r="O152" s="4">
        <f>IF($K152="","",N152*20%)</f>
      </c>
      <c r="P152" s="4">
        <f>IF($K152="","",N152*2%)</f>
      </c>
      <c r="Q152" s="4">
        <f>IF($K152="","",P152*20%)</f>
      </c>
      <c r="R152" s="4"/>
      <c r="S152" s="4">
        <f>IF($K152="","",R152*20%)</f>
      </c>
      <c r="T152" s="4">
        <v>1</v>
      </c>
      <c r="U152" s="4">
        <f>IF($K152="","",O152+Q152+S152)</f>
      </c>
      <c r="V152" s="4">
        <f>IF($K152="","",L152-M152-N152-O152-P152-Q152-R152-S152-T152)</f>
      </c>
      <c r="W152" s="4">
        <f>IF($K152="","",(V152-Y152)/J152*100)</f>
      </c>
      <c r="X152" s="4">
        <f>IF($K152="","",M152-U152)</f>
      </c>
      <c r="Z152" s="4">
        <f>IF($K152="","",V152-Y152)</f>
      </c>
    </row>
    <row r="153" spans="1:31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IF($K153="","",K153/100*7)</f>
      </c>
      <c r="O153" s="4">
        <f>IF($K153="","",N153*20%)</f>
      </c>
      <c r="P153" s="4">
        <f>IF($K153="","",N153*2%)</f>
      </c>
      <c r="Q153" s="4">
        <f>IF($K153="","",P153*20%)</f>
      </c>
      <c r="R153" s="4"/>
      <c r="S153" s="4">
        <f>IF($K153="","",R153*20%)</f>
      </c>
      <c r="T153" s="4">
        <v>1</v>
      </c>
      <c r="U153" s="4">
        <f>IF($K153="","",O153+Q153+S153)</f>
      </c>
      <c r="V153" s="4">
        <f>IF($K153="","",L153-M153-N153-O153-P153-Q153-R153-S153-T153)</f>
      </c>
      <c r="W153" s="4">
        <f>IF($K153="","",(V153-Y153)/J153*100)</f>
      </c>
      <c r="X153" s="4">
        <f>IF($K153="","",M153-U153)</f>
      </c>
      <c r="Z153" s="4">
        <f>IF($K153="","",V153-Y153)</f>
      </c>
    </row>
    <row r="154" spans="1:31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IF($K154="","",K154/100*7)</f>
      </c>
      <c r="O154" s="4">
        <f>IF($K154="","",N154*20%)</f>
      </c>
      <c r="P154" s="4">
        <f>IF($K154="","",N154*2%)</f>
      </c>
      <c r="Q154" s="4">
        <f>IF($K154="","",P154*20%)</f>
      </c>
      <c r="R154" s="4"/>
      <c r="S154" s="4">
        <f>IF($K154="","",R154*20%)</f>
      </c>
      <c r="T154" s="4">
        <v>1</v>
      </c>
      <c r="U154" s="4">
        <f>IF($K154="","",O154+Q154+S154)</f>
      </c>
      <c r="V154" s="4">
        <f>IF($K154="","",L154-M154-N154-O154-P154-Q154-R154-S154-T154)</f>
      </c>
      <c r="W154" s="4">
        <f>IF($K154="","",(V154-Y154)/J154*100)</f>
      </c>
      <c r="X154" s="4">
        <f>IF($K154="","",M154-U154)</f>
      </c>
      <c r="Z154" s="4">
        <f>IF($K154="","",V154-Y154)</f>
      </c>
    </row>
    <row r="155" spans="1:31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IF($K155="","",K155/100*7)</f>
      </c>
      <c r="O155" s="4">
        <f>IF($K155="","",N155*20%)</f>
      </c>
      <c r="P155" s="4">
        <f>IF($K155="","",N155*2%)</f>
      </c>
      <c r="Q155" s="4">
        <f>IF($K155="","",P155*20%)</f>
      </c>
      <c r="R155" s="4"/>
      <c r="S155" s="4">
        <f>IF($K155="","",R155*20%)</f>
      </c>
      <c r="T155" s="4">
        <v>1</v>
      </c>
      <c r="U155" s="4">
        <f>IF($K155="","",O155+Q155+S155)</f>
      </c>
      <c r="V155" s="4">
        <f>IF($K155="","",L155-M155-N155-O155-P155-Q155-R155-S155-T155)</f>
      </c>
      <c r="W155" s="4">
        <f>IF($K155="","",(V155-Y155)/J155*100)</f>
      </c>
      <c r="X155" s="4">
        <f>IF($K155="","",M155-U155)</f>
      </c>
      <c r="Z155" s="4">
        <f>IF($K155="","",V155-Y155)</f>
      </c>
    </row>
    <row r="156" spans="1:31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IF($K156="","",K156/100*7)</f>
      </c>
      <c r="O156" s="4">
        <f>IF($K156="","",N156*20%)</f>
      </c>
      <c r="P156" s="4">
        <f>IF($K156="","",N156*2%)</f>
      </c>
      <c r="Q156" s="4">
        <f>IF($K156="","",P156*20%)</f>
      </c>
      <c r="R156" s="4"/>
      <c r="S156" s="4">
        <f>IF($K156="","",R156*20%)</f>
      </c>
      <c r="T156" s="4">
        <v>1</v>
      </c>
      <c r="U156" s="4">
        <f>IF($K156="","",O156+Q156+S156)</f>
      </c>
      <c r="V156" s="4">
        <f>IF($K156="","",L156-M156-N156-O156-P156-Q156-R156-S156-T156)</f>
      </c>
      <c r="W156" s="4">
        <f>IF($K156="","",(V156-Y156)/J156*100)</f>
      </c>
      <c r="X156" s="4">
        <f>IF($K156="","",M156-U156)</f>
      </c>
      <c r="Z156" s="4">
        <f>IF($K156="","",V156-Y156)</f>
      </c>
    </row>
    <row r="157" spans="1:31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IF($K157="","",K157/100*7)</f>
      </c>
      <c r="O157" s="4">
        <f>IF($K157="","",N157*20%)</f>
      </c>
      <c r="P157" s="4">
        <f>IF($K157="","",N157*2%)</f>
      </c>
      <c r="Q157" s="4">
        <f>IF($K157="","",P157*20%)</f>
      </c>
      <c r="R157" s="4"/>
      <c r="S157" s="4">
        <f>IF($K157="","",R157*20%)</f>
      </c>
      <c r="T157" s="4">
        <v>1</v>
      </c>
      <c r="U157" s="4">
        <f>IF($K157="","",O157+Q157+S157)</f>
      </c>
      <c r="V157" s="4">
        <f>IF($K157="","",L157-M157-N157-O157-P157-Q157-R157-S157-T157)</f>
      </c>
      <c r="W157" s="4">
        <f>IF($K157="","",(V157-Y157)/J157*100)</f>
      </c>
      <c r="X157" s="4">
        <f>IF($K157="","",M157-U157)</f>
      </c>
      <c r="Z157" s="4">
        <f>IF($K157="","",V157-Y157)</f>
      </c>
    </row>
    <row r="158" spans="1:31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IF($K158="","",K158/100*7)</f>
      </c>
      <c r="O158" s="4">
        <f>IF($K158="","",N158*20%)</f>
      </c>
      <c r="P158" s="4">
        <f>IF($K158="","",N158*2%)</f>
      </c>
      <c r="Q158" s="4">
        <f>IF($K158="","",P158*20%)</f>
      </c>
      <c r="R158" s="4"/>
      <c r="S158" s="4">
        <f>IF($K158="","",R158*20%)</f>
      </c>
      <c r="T158" s="4">
        <v>1</v>
      </c>
      <c r="U158" s="4">
        <f>IF($K158="","",O158+Q158+S158)</f>
      </c>
      <c r="V158" s="4">
        <f>IF($K158="","",L158-M158-N158-O158-P158-Q158-R158-S158-T158)</f>
      </c>
      <c r="W158" s="4">
        <f>IF($K158="","",(V158-Y158)/J158*100)</f>
      </c>
      <c r="X158" s="4">
        <f>IF($K158="","",M158-U158)</f>
      </c>
      <c r="Z158" s="4">
        <f>IF($K158="","",V158-Y158)</f>
      </c>
    </row>
    <row r="159" spans="1:31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IF($K159="","",K159/100*7)</f>
      </c>
      <c r="O159" s="4">
        <f>IF($K159="","",N159*20%)</f>
      </c>
      <c r="P159" s="4">
        <f>IF($K159="","",N159*2%)</f>
      </c>
      <c r="Q159" s="4">
        <f>IF($K159="","",P159*20%)</f>
      </c>
      <c r="R159" s="4"/>
      <c r="S159" s="4">
        <f>IF($K159="","",R159*20%)</f>
      </c>
      <c r="T159" s="4">
        <v>1</v>
      </c>
      <c r="U159" s="4">
        <f>IF($K159="","",O159+Q159+S159)</f>
      </c>
      <c r="V159" s="4">
        <f>IF($K159="","",L159-M159-N159-O159-P159-Q159-R159-S159-T159)</f>
      </c>
      <c r="W159" s="4">
        <f>IF($K159="","",(V159-Y159)/J159*100)</f>
      </c>
      <c r="X159" s="4">
        <f>IF($K159="","",M159-U159)</f>
      </c>
      <c r="Z159" s="4">
        <f>IF($K159="","",V159-Y159)</f>
      </c>
    </row>
    <row r="160" spans="1:31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IF($K160="","",K160/100*7)</f>
      </c>
      <c r="O160" s="4">
        <f>IF($K160="","",N160*20%)</f>
      </c>
      <c r="P160" s="4">
        <f>IF($K160="","",N160*2%)</f>
      </c>
      <c r="Q160" s="4">
        <f>IF($K160="","",P160*20%)</f>
      </c>
      <c r="R160" s="4"/>
      <c r="S160" s="4">
        <f>IF($K160="","",R160*20%)</f>
      </c>
      <c r="T160" s="4">
        <v>1</v>
      </c>
      <c r="U160" s="4">
        <f>IF($K160="","",O160+Q160+S160)</f>
      </c>
      <c r="V160" s="4">
        <f>IF($K160="","",L160-M160-N160-O160-P160-Q160-R160-S160-T160)</f>
      </c>
      <c r="W160" s="4">
        <f>IF($K160="","",(V160-Y160)/J160*100)</f>
      </c>
      <c r="X160" s="4">
        <f>IF($K160="","",M160-U160)</f>
      </c>
      <c r="Z160" s="4">
        <f>IF($K160="","",V160-Y160)</f>
      </c>
    </row>
    <row r="161" spans="1:31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IF($K161="","",K161/100*7)</f>
      </c>
      <c r="O161" s="4">
        <f>IF($K161="","",N161*20%)</f>
      </c>
      <c r="P161" s="4">
        <f>IF($K161="","",N161*2%)</f>
      </c>
      <c r="Q161" s="4">
        <f>IF($K161="","",P161*20%)</f>
      </c>
      <c r="R161" s="4"/>
      <c r="S161" s="4">
        <f>IF($K161="","",R161*20%)</f>
      </c>
      <c r="T161" s="4">
        <v>1</v>
      </c>
      <c r="U161" s="4">
        <f>IF($K161="","",O161+Q161+S161)</f>
      </c>
      <c r="V161" s="4">
        <f>IF($K161="","",L161-M161-N161-O161-P161-Q161-R161-S161-T161)</f>
      </c>
      <c r="W161" s="4">
        <f>IF($K161="","",(V161-Y161)/J161*100)</f>
      </c>
      <c r="X161" s="4">
        <f>IF($K161="","",M161-U161)</f>
      </c>
      <c r="Z161" s="4">
        <f>IF($K161="","",V161-Y161)</f>
      </c>
    </row>
    <row r="162" spans="1:31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IF($K162="","",K162/100*7)</f>
      </c>
      <c r="O162" s="4">
        <f>IF($K162="","",N162*20%)</f>
      </c>
      <c r="P162" s="4">
        <f>IF($K162="","",N162*2%)</f>
      </c>
      <c r="Q162" s="4">
        <f>IF($K162="","",P162*20%)</f>
      </c>
      <c r="R162" s="4"/>
      <c r="S162" s="4">
        <f>IF($K162="","",R162*20%)</f>
      </c>
      <c r="T162" s="4">
        <v>1</v>
      </c>
      <c r="U162" s="4">
        <f>IF($K162="","",O162+Q162+S162)</f>
      </c>
      <c r="V162" s="4">
        <f>IF($K162="","",L162-M162-N162-O162-P162-Q162-R162-S162-T162)</f>
      </c>
      <c r="W162" s="4">
        <f>IF($K162="","",(V162-Y162)/J162*100)</f>
      </c>
      <c r="X162" s="4">
        <f>IF($K162="","",M162-U162)</f>
      </c>
      <c r="Z162" s="4">
        <f>IF($K162="","",V162-Y162)</f>
      </c>
    </row>
    <row r="163" spans="1:31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IF($K163="","",K163/100*7)</f>
      </c>
      <c r="O163" s="4">
        <f>IF($K163="","",N163*20%)</f>
      </c>
      <c r="P163" s="4">
        <f>IF($K163="","",N163*2%)</f>
      </c>
      <c r="Q163" s="4">
        <f>IF($K163="","",P163*20%)</f>
      </c>
      <c r="R163" s="4"/>
      <c r="S163" s="4">
        <f>IF($K163="","",R163*20%)</f>
      </c>
      <c r="T163" s="4">
        <v>1</v>
      </c>
      <c r="U163" s="4">
        <f>IF($K163="","",O163+Q163+S163)</f>
      </c>
      <c r="V163" s="4">
        <f>IF($K163="","",L163-M163-N163-O163-P163-Q163-R163-S163-T163)</f>
      </c>
      <c r="W163" s="4">
        <f>IF($K163="","",(V163-Y163)/J163*100)</f>
      </c>
      <c r="X163" s="4">
        <f>IF($K163="","",M163-U163)</f>
      </c>
      <c r="Z163" s="4">
        <f>IF($K163="","",V163-Y163)</f>
      </c>
    </row>
    <row r="164" spans="1:31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IF($K164="","",K164/100*7)</f>
      </c>
      <c r="O164" s="4">
        <f>IF($K164="","",N164*20%)</f>
      </c>
      <c r="P164" s="4">
        <f>IF($K164="","",N164*2%)</f>
      </c>
      <c r="Q164" s="4">
        <f>IF($K164="","",P164*20%)</f>
      </c>
      <c r="R164" s="4"/>
      <c r="S164" s="4">
        <f>IF($K164="","",R164*20%)</f>
      </c>
      <c r="T164" s="4">
        <v>1</v>
      </c>
      <c r="U164" s="4">
        <f>IF($K164="","",O164+Q164+S164)</f>
      </c>
      <c r="V164" s="4">
        <f>IF($K164="","",L164-M164-N164-O164-P164-Q164-R164-S164-T164)</f>
      </c>
      <c r="W164" s="4">
        <f>IF($K164="","",(V164-Y164)/J164*100)</f>
      </c>
      <c r="X164" s="4">
        <f>IF($K164="","",M164-U164)</f>
      </c>
      <c r="Z164" s="4">
        <f>IF($K164="","",V164-Y164)</f>
      </c>
    </row>
    <row r="165" spans="1:31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IF($K165="","",K165/100*7)</f>
      </c>
      <c r="O165" s="4">
        <f>IF($K165="","",N165*20%)</f>
      </c>
      <c r="P165" s="4">
        <f>IF($K165="","",N165*2%)</f>
      </c>
      <c r="Q165" s="4">
        <f>IF($K165="","",P165*20%)</f>
      </c>
      <c r="R165" s="4"/>
      <c r="S165" s="4">
        <f>IF($K165="","",R165*20%)</f>
      </c>
      <c r="T165" s="4">
        <v>1</v>
      </c>
      <c r="U165" s="4">
        <f>IF($K165="","",O165+Q165+S165)</f>
      </c>
      <c r="V165" s="4">
        <f>IF($K165="","",L165-M165-N165-O165-P165-Q165-R165-S165-T165)</f>
      </c>
      <c r="W165" s="4">
        <f>IF($K165="","",(V165-Y165)/J165*100)</f>
      </c>
      <c r="X165" s="4">
        <f>IF($K165="","",M165-U165)</f>
      </c>
      <c r="Z165" s="4">
        <f>IF($K165="","",V165-Y165)</f>
      </c>
    </row>
    <row r="166" spans="1:31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IF($K166="","",K166/100*7)</f>
      </c>
      <c r="O166" s="4">
        <f>IF($K166="","",N166*20%)</f>
      </c>
      <c r="P166" s="4">
        <f>IF($K166="","",N166*2%)</f>
      </c>
      <c r="Q166" s="4">
        <f>IF($K166="","",P166*20%)</f>
      </c>
      <c r="R166" s="4"/>
      <c r="S166" s="4">
        <f>IF($K166="","",R166*20%)</f>
      </c>
      <c r="T166" s="4">
        <v>1</v>
      </c>
      <c r="U166" s="4">
        <f>IF($K166="","",O166+Q166+S166)</f>
      </c>
      <c r="V166" s="4">
        <f>IF($K166="","",L166-M166-N166-O166-P166-Q166-R166-S166-T166)</f>
      </c>
      <c r="W166" s="4">
        <f>IF($K166="","",(V166-Y166)/J166*100)</f>
      </c>
      <c r="X166" s="4">
        <f>IF($K166="","",M166-U166)</f>
      </c>
      <c r="Z166" s="4">
        <f>IF($K166="","",V166-Y166)</f>
      </c>
    </row>
    <row r="167" spans="1:31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IF($K167="","",K167/100*7)</f>
      </c>
      <c r="O167" s="4">
        <f>IF($K167="","",N167*20%)</f>
      </c>
      <c r="P167" s="4">
        <f>IF($K167="","",N167*2%)</f>
      </c>
      <c r="Q167" s="4">
        <f>IF($K167="","",P167*20%)</f>
      </c>
      <c r="R167" s="4"/>
      <c r="S167" s="4">
        <f>IF($K167="","",R167*20%)</f>
      </c>
      <c r="T167" s="4">
        <v>1</v>
      </c>
      <c r="U167" s="4">
        <f>IF($K167="","",O167+Q167+S167)</f>
      </c>
      <c r="V167" s="4">
        <f>IF($K167="","",L167-M167-N167-O167-P167-Q167-R167-S167-T167)</f>
      </c>
      <c r="W167" s="4">
        <f>IF($K167="","",(V167-Y167)/J167*100)</f>
      </c>
      <c r="X167" s="4">
        <f>IF($K167="","",M167-U167)</f>
      </c>
      <c r="Z167" s="4">
        <f>IF($K167="","",V167-Y167)</f>
      </c>
    </row>
    <row r="168" spans="1:31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IF($K168="","",K168/100*7)</f>
      </c>
      <c r="O168" s="4">
        <f>IF($K168="","",N168*20%)</f>
      </c>
      <c r="P168" s="4">
        <f>IF($K168="","",N168*2%)</f>
      </c>
      <c r="Q168" s="4">
        <f>IF($K168="","",P168*20%)</f>
      </c>
      <c r="R168" s="4"/>
      <c r="S168" s="4">
        <f>IF($K168="","",R168*20%)</f>
      </c>
      <c r="T168" s="4">
        <v>1</v>
      </c>
      <c r="U168" s="4">
        <f>IF($K168="","",O168+Q168+S168)</f>
      </c>
      <c r="V168" s="4">
        <f>IF($K168="","",L168-M168-N168-O168-P168-Q168-R168-S168-T168)</f>
      </c>
      <c r="W168" s="4">
        <f>IF($K168="","",(V168-Y168)/J168*100)</f>
      </c>
      <c r="X168" s="4">
        <f>IF($K168="","",M168-U168)</f>
      </c>
      <c r="Z168" s="4">
        <f>IF($K168="","",V168-Y168)</f>
      </c>
    </row>
    <row r="169" spans="1:31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IF($K169="","",K169/100*7)</f>
      </c>
      <c r="O169" s="4">
        <f>IF($K169="","",N169*20%)</f>
      </c>
      <c r="P169" s="4">
        <f>IF($K169="","",N169*2%)</f>
      </c>
      <c r="Q169" s="4">
        <f>IF($K169="","",P169*20%)</f>
      </c>
      <c r="R169" s="4"/>
      <c r="S169" s="4">
        <f>IF($K169="","",R169*20%)</f>
      </c>
      <c r="T169" s="4">
        <v>1</v>
      </c>
      <c r="U169" s="4">
        <f>IF($K169="","",O169+Q169+S169)</f>
      </c>
      <c r="V169" s="4">
        <f>IF($K169="","",L169-M169-N169-O169-P169-Q169-R169-S169-T169)</f>
      </c>
      <c r="W169" s="4">
        <f>IF($K169="","",(V169-Y169)/J169*100)</f>
      </c>
      <c r="X169" s="4">
        <f>IF($K169="","",M169-U169)</f>
      </c>
      <c r="Z169" s="4">
        <f>IF($K169="","",V169-Y169)</f>
      </c>
    </row>
    <row r="170" spans="1:31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IF($K170="","",K170/100*7)</f>
      </c>
      <c r="O170" s="4">
        <f>IF($K170="","",N170*20%)</f>
      </c>
      <c r="P170" s="4">
        <f>IF($K170="","",N170*2%)</f>
      </c>
      <c r="Q170" s="4">
        <f>IF($K170="","",P170*20%)</f>
      </c>
      <c r="R170" s="4"/>
      <c r="S170" s="4">
        <f>IF($K170="","",R170*20%)</f>
      </c>
      <c r="T170" s="4">
        <v>1</v>
      </c>
      <c r="U170" s="4">
        <f>IF($K170="","",O170+Q170+S170)</f>
      </c>
      <c r="V170" s="4">
        <f>IF($K170="","",L170-M170-N170-O170-P170-Q170-R170-S170-T170)</f>
      </c>
      <c r="W170" s="4">
        <f>IF($K170="","",(V170-Y170)/J170*100)</f>
      </c>
      <c r="X170" s="4">
        <f>IF($K170="","",M170-U170)</f>
      </c>
      <c r="Z170" s="4">
        <f>IF($K170="","",V170-Y170)</f>
      </c>
    </row>
    <row r="171" spans="1:31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IF($K171="","",K171/100*7)</f>
      </c>
      <c r="O171" s="4">
        <f>IF($K171="","",N171*20%)</f>
      </c>
      <c r="P171" s="4">
        <f>IF($K171="","",N171*2%)</f>
      </c>
      <c r="Q171" s="4">
        <f>IF($K171="","",P171*20%)</f>
      </c>
      <c r="R171" s="4"/>
      <c r="S171" s="4">
        <f>IF($K171="","",R171*20%)</f>
      </c>
      <c r="T171" s="4">
        <v>1</v>
      </c>
      <c r="U171" s="4">
        <f>IF($K171="","",O171+Q171+S171)</f>
      </c>
      <c r="V171" s="4">
        <f>IF($K171="","",L171-M171-N171-O171-P171-Q171-R171-S171-T171)</f>
      </c>
      <c r="W171" s="4">
        <f>IF($K171="","",(V171-Y171)/J171*100)</f>
      </c>
      <c r="X171" s="4">
        <f>IF($K171="","",M171-U171)</f>
      </c>
      <c r="Z171" s="4">
        <f>IF($K171="","",V171-Y171)</f>
      </c>
    </row>
    <row r="172" spans="1:31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IF($K172="","",K172/100*7)</f>
      </c>
      <c r="O172" s="4">
        <f>IF($K172="","",N172*20%)</f>
      </c>
      <c r="P172" s="4">
        <f>IF($K172="","",N172*2%)</f>
      </c>
      <c r="Q172" s="4">
        <f>IF($K172="","",P172*20%)</f>
      </c>
      <c r="R172" s="4"/>
      <c r="S172" s="4">
        <f>IF($K172="","",R172*20%)</f>
      </c>
      <c r="T172" s="4">
        <v>1</v>
      </c>
      <c r="U172" s="4">
        <f>IF($K172="","",O172+Q172+S172)</f>
      </c>
      <c r="V172" s="4">
        <f>IF($K172="","",L172-M172-N172-O172-P172-Q172-R172-S172-T172)</f>
      </c>
      <c r="W172" s="4">
        <f>IF($K172="","",(V172-Y172)/J172*100)</f>
      </c>
      <c r="X172" s="4">
        <f>IF($K172="","",M172-U172)</f>
      </c>
      <c r="Z172" s="4">
        <f>IF($K172="","",V172-Y172)</f>
      </c>
    </row>
    <row r="173" spans="1:31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IF($K173="","",K173/100*7)</f>
      </c>
      <c r="O173" s="4">
        <f>IF($K173="","",N173*20%)</f>
      </c>
      <c r="P173" s="4">
        <f>IF($K173="","",N173*2%)</f>
      </c>
      <c r="Q173" s="4">
        <f>IF($K173="","",P173*20%)</f>
      </c>
      <c r="R173" s="4"/>
      <c r="S173" s="4">
        <f>IF($K173="","",R173*20%)</f>
      </c>
      <c r="T173" s="4">
        <v>1</v>
      </c>
      <c r="U173" s="4">
        <f>IF($K173="","",O173+Q173+S173)</f>
      </c>
      <c r="V173" s="4">
        <f>IF($K173="","",L173-M173-N173-O173-P173-Q173-R173-S173-T173)</f>
      </c>
      <c r="W173" s="4">
        <f>IF($K173="","",(V173-Y173)/J173*100)</f>
      </c>
      <c r="X173" s="4">
        <f>IF($K173="","",M173-U173)</f>
      </c>
      <c r="Z173" s="4">
        <f>IF($K173="","",V173-Y173)</f>
      </c>
    </row>
    <row r="174" spans="1:31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IF($K174="","",K174/100*7)</f>
      </c>
      <c r="O174" s="4">
        <f>IF($K174="","",N174*20%)</f>
      </c>
      <c r="P174" s="4">
        <f>IF($K174="","",N174*2%)</f>
      </c>
      <c r="Q174" s="4">
        <f>IF($K174="","",P174*20%)</f>
      </c>
      <c r="R174" s="4"/>
      <c r="S174" s="4">
        <f>IF($K174="","",R174*20%)</f>
      </c>
      <c r="T174" s="4">
        <v>1</v>
      </c>
      <c r="U174" s="4">
        <f>IF($K174="","",O174+Q174+S174)</f>
      </c>
      <c r="V174" s="4">
        <f>IF($K174="","",L174-M174-N174-O174-P174-Q174-R174-S174-T174)</f>
      </c>
      <c r="W174" s="4">
        <f>IF($K174="","",(V174-Y174)/J174*100)</f>
      </c>
      <c r="X174" s="4">
        <f>IF($K174="","",M174-U174)</f>
      </c>
      <c r="Z174" s="4">
        <f>IF($K174="","",V174-Y174)</f>
      </c>
    </row>
    <row r="175" spans="1:31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IF($K175="","",K175/100*7)</f>
      </c>
      <c r="O175" s="4">
        <f>IF($K175="","",N175*20%)</f>
      </c>
      <c r="P175" s="4">
        <f>IF($K175="","",N175*2%)</f>
      </c>
      <c r="Q175" s="4">
        <f>IF($K175="","",P175*20%)</f>
      </c>
      <c r="R175" s="4"/>
      <c r="S175" s="4">
        <f>IF($K175="","",R175*20%)</f>
      </c>
      <c r="T175" s="4">
        <v>1</v>
      </c>
      <c r="U175" s="4">
        <f>IF($K175="","",O175+Q175+S175)</f>
      </c>
      <c r="V175" s="4">
        <f>IF($K175="","",L175-M175-N175-O175-P175-Q175-R175-S175-T175)</f>
      </c>
      <c r="W175" s="4">
        <f>IF($K175="","",(V175-Y175)/J175*100)</f>
      </c>
      <c r="X175" s="4">
        <f>IF($K175="","",M175-U175)</f>
      </c>
      <c r="Z175" s="4">
        <f>IF($K175="","",V175-Y175)</f>
      </c>
    </row>
    <row r="176" spans="1:31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IF($K176="","",K176/100*7)</f>
      </c>
      <c r="O176" s="4">
        <f>IF($K176="","",N176*20%)</f>
      </c>
      <c r="P176" s="4">
        <f>IF($K176="","",N176*2%)</f>
      </c>
      <c r="Q176" s="4">
        <f>IF($K176="","",P176*20%)</f>
      </c>
      <c r="R176" s="4"/>
      <c r="S176" s="4">
        <f>IF($K176="","",R176*20%)</f>
      </c>
      <c r="T176" s="4">
        <v>1</v>
      </c>
      <c r="U176" s="4">
        <f>IF($K176="","",O176+Q176+S176)</f>
      </c>
      <c r="V176" s="4">
        <f>IF($K176="","",L176-M176-N176-O176-P176-Q176-R176-S176-T176)</f>
      </c>
      <c r="W176" s="4">
        <f>IF($K176="","",(V176-Y176)/J176*100)</f>
      </c>
      <c r="X176" s="4">
        <f>IF($K176="","",M176-U176)</f>
      </c>
      <c r="Z176" s="4">
        <f>IF($K176="","",V176-Y176)</f>
      </c>
    </row>
    <row r="177" spans="1:31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IF($K177="","",K177/100*7)</f>
      </c>
      <c r="O177" s="4">
        <f>IF($K177="","",N177*20%)</f>
      </c>
      <c r="P177" s="4">
        <f>IF($K177="","",N177*2%)</f>
      </c>
      <c r="Q177" s="4">
        <f>IF($K177="","",P177*20%)</f>
      </c>
      <c r="R177" s="4"/>
      <c r="S177" s="4">
        <f>IF($K177="","",R177*20%)</f>
      </c>
      <c r="T177" s="4">
        <v>1</v>
      </c>
      <c r="U177" s="4">
        <f>IF($K177="","",O177+Q177+S177)</f>
      </c>
      <c r="V177" s="4">
        <f>IF($K177="","",L177-M177-N177-O177-P177-Q177-R177-S177-T177)</f>
      </c>
      <c r="W177" s="4">
        <f>IF($K177="","",(V177-Y177)/J177*100)</f>
      </c>
      <c r="X177" s="4">
        <f>IF($K177="","",M177-U177)</f>
      </c>
      <c r="Z177" s="4">
        <f>IF($K177="","",V177-Y177)</f>
      </c>
    </row>
    <row r="178" spans="1:31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IF($K178="","",K178/100*7)</f>
      </c>
      <c r="O178" s="4">
        <f>IF($K178="","",N178*20%)</f>
      </c>
      <c r="P178" s="4">
        <f>IF($K178="","",N178*2%)</f>
      </c>
      <c r="Q178" s="4">
        <f>IF($K178="","",P178*20%)</f>
      </c>
      <c r="R178" s="4"/>
      <c r="S178" s="4">
        <f>IF($K178="","",R178*20%)</f>
      </c>
      <c r="T178" s="4">
        <v>1</v>
      </c>
      <c r="U178" s="4">
        <f>IF($K178="","",O178+Q178+S178)</f>
      </c>
      <c r="V178" s="4">
        <f>IF($K178="","",L178-M178-N178-O178-P178-Q178-R178-S178-T178)</f>
      </c>
      <c r="W178" s="4">
        <f>IF($K178="","",(V178-Y178)/J178*100)</f>
      </c>
      <c r="X178" s="4">
        <f>IF($K178="","",M178-U178)</f>
      </c>
      <c r="Z178" s="4">
        <f>IF($K178="","",V178-Y178)</f>
      </c>
    </row>
    <row r="179" spans="1:31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IF($K179="","",K179/100*7)</f>
      </c>
      <c r="O179" s="4">
        <f>IF($K179="","",N179*20%)</f>
      </c>
      <c r="P179" s="4">
        <f>IF($K179="","",N179*2%)</f>
      </c>
      <c r="Q179" s="4">
        <f>IF($K179="","",P179*20%)</f>
      </c>
      <c r="R179" s="4"/>
      <c r="S179" s="4">
        <f>IF($K179="","",R179*20%)</f>
      </c>
      <c r="T179" s="4">
        <v>1</v>
      </c>
      <c r="U179" s="4">
        <f>IF($K179="","",O179+Q179+S179)</f>
      </c>
      <c r="V179" s="4">
        <f>IF($K179="","",L179-M179-N179-O179-P179-Q179-R179-S179-T179)</f>
      </c>
      <c r="W179" s="4">
        <f>IF($K179="","",(V179-Y179)/J179*100)</f>
      </c>
      <c r="X179" s="4">
        <f>IF($K179="","",M179-U179)</f>
      </c>
      <c r="Z179" s="4">
        <f>IF($K179="","",V179-Y179)</f>
      </c>
    </row>
    <row r="180" spans="1:31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IF($K180="","",K180/100*7)</f>
      </c>
      <c r="O180" s="4">
        <f>IF($K180="","",N180*20%)</f>
      </c>
      <c r="P180" s="4">
        <f>IF($K180="","",N180*2%)</f>
      </c>
      <c r="Q180" s="4">
        <f>IF($K180="","",P180*20%)</f>
      </c>
      <c r="R180" s="4"/>
      <c r="S180" s="4">
        <f>IF($K180="","",R180*20%)</f>
      </c>
      <c r="T180" s="4">
        <v>1</v>
      </c>
      <c r="U180" s="4">
        <f>IF($K180="","",O180+Q180+S180)</f>
      </c>
      <c r="V180" s="4">
        <f>IF($K180="","",L180-M180-N180-O180-P180-Q180-R180-S180-T180)</f>
      </c>
      <c r="W180" s="4">
        <f>IF($K180="","",(V180-Y180)/J180*100)</f>
      </c>
      <c r="X180" s="4">
        <f>IF($K180="","",M180-U180)</f>
      </c>
      <c r="Z180" s="4">
        <f>IF($K180="","",V180-Y180)</f>
      </c>
    </row>
    <row r="181" spans="1:31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IF($K181="","",K181/100*7)</f>
      </c>
      <c r="O181" s="4">
        <f>IF($K181="","",N181*20%)</f>
      </c>
      <c r="P181" s="4">
        <f>IF($K181="","",N181*2%)</f>
      </c>
      <c r="Q181" s="4">
        <f>IF($K181="","",P181*20%)</f>
      </c>
      <c r="R181" s="4"/>
      <c r="S181" s="4">
        <f>IF($K181="","",R181*20%)</f>
      </c>
      <c r="T181" s="4">
        <v>1</v>
      </c>
      <c r="U181" s="4">
        <f>IF($K181="","",O181+Q181+S181)</f>
      </c>
      <c r="V181" s="4">
        <f>IF($K181="","",L181-M181-N181-O181-P181-Q181-R181-S181-T181)</f>
      </c>
      <c r="W181" s="4">
        <f>IF($K181="","",(V181-Y181)/J181*100)</f>
      </c>
      <c r="X181" s="4">
        <f>IF($K181="","",M181-U181)</f>
      </c>
      <c r="Z181" s="4">
        <f>IF($K181="","",V181-Y181)</f>
      </c>
    </row>
    <row r="182" spans="1:31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IF($K182="","",K182/100*7)</f>
      </c>
      <c r="O182" s="4">
        <f>IF($K182="","",N182*20%)</f>
      </c>
      <c r="P182" s="4">
        <f>IF($K182="","",N182*2%)</f>
      </c>
      <c r="Q182" s="4">
        <f>IF($K182="","",P182*20%)</f>
      </c>
      <c r="R182" s="4"/>
      <c r="S182" s="4">
        <f>IF($K182="","",R182*20%)</f>
      </c>
      <c r="T182" s="4">
        <v>1</v>
      </c>
      <c r="U182" s="4">
        <f>IF($K182="","",O182+Q182+S182)</f>
      </c>
      <c r="V182" s="4">
        <f>IF($K182="","",L182-M182-N182-O182-P182-Q182-R182-S182-T182)</f>
      </c>
      <c r="W182" s="4">
        <f>IF($K182="","",(V182-Y182)/J182*100)</f>
      </c>
      <c r="X182" s="4">
        <f>IF($K182="","",M182-U182)</f>
      </c>
      <c r="Z182" s="4">
        <f>IF($K182="","",V182-Y182)</f>
      </c>
    </row>
    <row r="183" spans="1:31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IF($K183="","",K183/100*7)</f>
      </c>
      <c r="O183" s="4">
        <f>IF($K183="","",N183*20%)</f>
      </c>
      <c r="P183" s="4">
        <f>IF($K183="","",N183*2%)</f>
      </c>
      <c r="Q183" s="4">
        <f>IF($K183="","",P183*20%)</f>
      </c>
      <c r="R183" s="4"/>
      <c r="S183" s="4">
        <f>IF($K183="","",R183*20%)</f>
      </c>
      <c r="T183" s="4">
        <v>1</v>
      </c>
      <c r="U183" s="4">
        <f>IF($K183="","",O183+Q183+S183)</f>
      </c>
      <c r="V183" s="4">
        <f>IF($K183="","",L183-M183-N183-O183-P183-Q183-R183-S183-T183)</f>
      </c>
      <c r="W183" s="4">
        <f>IF($K183="","",(V183-Y183)/J183*100)</f>
      </c>
      <c r="X183" s="4">
        <f>IF($K183="","",M183-U183)</f>
      </c>
      <c r="Z183" s="4">
        <f>IF($K183="","",V183-Y183)</f>
      </c>
    </row>
    <row r="184" spans="1:31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IF($K184="","",K184/100*7)</f>
      </c>
      <c r="O184" s="4">
        <f>IF($K184="","",N184*20%)</f>
      </c>
      <c r="P184" s="4">
        <f>IF($K184="","",N184*2%)</f>
      </c>
      <c r="Q184" s="4">
        <f>IF($K184="","",P184*20%)</f>
      </c>
      <c r="R184" s="4"/>
      <c r="S184" s="4">
        <f>IF($K184="","",R184*20%)</f>
      </c>
      <c r="T184" s="4">
        <v>1</v>
      </c>
      <c r="U184" s="4">
        <f>IF($K184="","",O184+Q184+S184)</f>
      </c>
      <c r="V184" s="4">
        <f>IF($K184="","",L184-M184-N184-O184-P184-Q184-R184-S184-T184)</f>
      </c>
      <c r="W184" s="4">
        <f>IF($K184="","",(V184-Y184)/J184*100)</f>
      </c>
      <c r="X184" s="4">
        <f>IF($K184="","",M184-U184)</f>
      </c>
      <c r="Z184" s="4">
        <f>IF($K184="","",V184-Y184)</f>
      </c>
    </row>
    <row r="185" spans="1:31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IF($K185="","",K185/100*7)</f>
      </c>
      <c r="O185" s="4">
        <f>IF($K185="","",N185*20%)</f>
      </c>
      <c r="P185" s="4">
        <f>IF($K185="","",N185*2%)</f>
      </c>
      <c r="Q185" s="4">
        <f>IF($K185="","",P185*20%)</f>
      </c>
      <c r="R185" s="4"/>
      <c r="S185" s="4">
        <f>IF($K185="","",R185*20%)</f>
      </c>
      <c r="T185" s="4">
        <v>1</v>
      </c>
      <c r="U185" s="4">
        <f>IF($K185="","",O185+Q185+S185)</f>
      </c>
      <c r="V185" s="4">
        <f>IF($K185="","",L185-M185-N185-O185-P185-Q185-R185-S185-T185)</f>
      </c>
      <c r="W185" s="4">
        <f>IF($K185="","",(V185-Y185)/J185*100)</f>
      </c>
      <c r="X185" s="4">
        <f>IF($K185="","",M185-U185)</f>
      </c>
      <c r="Z185" s="4">
        <f>IF($K185="","",V185-Y185)</f>
      </c>
    </row>
    <row r="186" spans="1:31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IF($K186="","",K186/100*7)</f>
      </c>
      <c r="O186" s="4">
        <f>IF($K186="","",N186*20%)</f>
      </c>
      <c r="P186" s="4">
        <f>IF($K186="","",N186*2%)</f>
      </c>
      <c r="Q186" s="4">
        <f>IF($K186="","",P186*20%)</f>
      </c>
      <c r="R186" s="4"/>
      <c r="S186" s="4">
        <f>IF($K186="","",R186*20%)</f>
      </c>
      <c r="T186" s="4">
        <v>1</v>
      </c>
      <c r="U186" s="4">
        <f>IF($K186="","",O186+Q186+S186)</f>
      </c>
      <c r="V186" s="4">
        <f>IF($K186="","",L186-M186-N186-O186-P186-Q186-R186-S186-T186)</f>
      </c>
      <c r="W186" s="4">
        <f>IF($K186="","",(V186-Y186)/J186*100)</f>
      </c>
      <c r="X186" s="4">
        <f>IF($K186="","",M186-U186)</f>
      </c>
      <c r="Z186" s="4">
        <f>IF($K186="","",V186-Y186)</f>
      </c>
    </row>
    <row r="187" spans="1:31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IF($K187="","",K187/100*7)</f>
      </c>
      <c r="O187" s="4">
        <f>IF($K187="","",N187*20%)</f>
      </c>
      <c r="P187" s="4">
        <f>IF($K187="","",N187*2%)</f>
      </c>
      <c r="Q187" s="4">
        <f>IF($K187="","",P187*20%)</f>
      </c>
      <c r="R187" s="4"/>
      <c r="S187" s="4">
        <f>IF($K187="","",R187*20%)</f>
      </c>
      <c r="T187" s="4">
        <v>1</v>
      </c>
      <c r="U187" s="4">
        <f>IF($K187="","",O187+Q187+S187)</f>
      </c>
      <c r="V187" s="4">
        <f>IF($K187="","",L187-M187-N187-O187-P187-Q187-R187-S187-T187)</f>
      </c>
      <c r="W187" s="4">
        <f>IF($K187="","",(V187-Y187)/J187*100)</f>
      </c>
      <c r="X187" s="4">
        <f>IF($K187="","",M187-U187)</f>
      </c>
      <c r="Z187" s="4">
        <f>IF($K187="","",V187-Y187)</f>
      </c>
    </row>
    <row r="188" spans="1:31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IF($K188="","",K188/100*7)</f>
      </c>
      <c r="O188" s="4">
        <f>IF($K188="","",N188*20%)</f>
      </c>
      <c r="P188" s="4">
        <f>IF($K188="","",N188*2%)</f>
      </c>
      <c r="Q188" s="4">
        <f>IF($K188="","",P188*20%)</f>
      </c>
      <c r="R188" s="4"/>
      <c r="S188" s="4">
        <f>IF($K188="","",R188*20%)</f>
      </c>
      <c r="T188" s="4">
        <v>1</v>
      </c>
      <c r="U188" s="4">
        <f>IF($K188="","",O188+Q188+S188)</f>
      </c>
      <c r="V188" s="4">
        <f>IF($K188="","",L188-M188-N188-O188-P188-Q188-R188-S188-T188)</f>
      </c>
      <c r="W188" s="4">
        <f>IF($K188="","",(V188-Y188)/J188*100)</f>
      </c>
      <c r="X188" s="4">
        <f>IF($K188="","",M188-U188)</f>
      </c>
      <c r="Z188" s="4">
        <f>IF($K188="","",V188-Y188)</f>
      </c>
    </row>
    <row r="189" spans="1:31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IF($K189="","",K189/100*7)</f>
      </c>
      <c r="O189" s="4">
        <f>IF($K189="","",N189*20%)</f>
      </c>
      <c r="P189" s="4">
        <f>IF($K189="","",N189*2%)</f>
      </c>
      <c r="Q189" s="4">
        <f>IF($K189="","",P189*20%)</f>
      </c>
      <c r="R189" s="4"/>
      <c r="S189" s="4">
        <f>IF($K189="","",R189*20%)</f>
      </c>
      <c r="T189" s="4">
        <v>1</v>
      </c>
      <c r="U189" s="4">
        <f>IF($K189="","",O189+Q189+S189)</f>
      </c>
      <c r="V189" s="4">
        <f>IF($K189="","",L189-M189-N189-O189-P189-Q189-R189-S189-T189)</f>
      </c>
      <c r="W189" s="4">
        <f>IF($K189="","",(V189-Y189)/J189*100)</f>
      </c>
      <c r="X189" s="4">
        <f>IF($K189="","",M189-U189)</f>
      </c>
      <c r="Z189" s="4">
        <f>IF($K189="","",V189-Y189)</f>
      </c>
    </row>
    <row r="190" spans="1:31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IF($K190="","",K190/100*7)</f>
      </c>
      <c r="O190" s="4">
        <f>IF($K190="","",N190*20%)</f>
      </c>
      <c r="P190" s="4">
        <f>IF($K190="","",N190*2%)</f>
      </c>
      <c r="Q190" s="4">
        <f>IF($K190="","",P190*20%)</f>
      </c>
      <c r="R190" s="4"/>
      <c r="S190" s="4">
        <f>IF($K190="","",R190*20%)</f>
      </c>
      <c r="T190" s="4">
        <v>1</v>
      </c>
      <c r="U190" s="4">
        <f>IF($K190="","",O190+Q190+S190)</f>
      </c>
      <c r="V190" s="4">
        <f>IF($K190="","",L190-M190-N190-O190-P190-Q190-R190-S190-T190)</f>
      </c>
      <c r="W190" s="4">
        <f>IF($K190="","",(V190-Y190)/J190*100)</f>
      </c>
      <c r="X190" s="4">
        <f>IF($K190="","",M190-U190)</f>
      </c>
      <c r="Z190" s="4">
        <f>IF($K190="","",V190-Y190)</f>
      </c>
    </row>
    <row r="191" spans="1:31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IF($K191="","",K191/100*7)</f>
      </c>
      <c r="O191" s="4">
        <f>IF($K191="","",N191*20%)</f>
      </c>
      <c r="P191" s="4">
        <f>IF($K191="","",N191*2%)</f>
      </c>
      <c r="Q191" s="4">
        <f>IF($K191="","",P191*20%)</f>
      </c>
      <c r="R191" s="4"/>
      <c r="S191" s="4">
        <f>IF($K191="","",R191*20%)</f>
      </c>
      <c r="T191" s="4">
        <v>1</v>
      </c>
      <c r="U191" s="4">
        <f>IF($K191="","",O191+Q191+S191)</f>
      </c>
      <c r="V191" s="4">
        <f>IF($K191="","",L191-M191-N191-O191-P191-Q191-R191-S191-T191)</f>
      </c>
      <c r="W191" s="4">
        <f>IF($K191="","",(V191-Y191)/J191*100)</f>
      </c>
      <c r="X191" s="4">
        <f>IF($K191="","",M191-U191)</f>
      </c>
      <c r="Z191" s="4">
        <f>IF($K191="","",V191-Y191)</f>
      </c>
    </row>
    <row r="192" spans="1:31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IF($K192="","",K192/100*7)</f>
      </c>
      <c r="O192" s="4">
        <f>IF($K192="","",N192*20%)</f>
      </c>
      <c r="P192" s="4">
        <f>IF($K192="","",N192*2%)</f>
      </c>
      <c r="Q192" s="4">
        <f>IF($K192="","",P192*20%)</f>
      </c>
      <c r="R192" s="4"/>
      <c r="S192" s="4">
        <f>IF($K192="","",R192*20%)</f>
      </c>
      <c r="T192" s="4">
        <v>1</v>
      </c>
      <c r="U192" s="4">
        <f>IF($K192="","",O192+Q192+S192)</f>
      </c>
      <c r="V192" s="4">
        <f>IF($K192="","",L192-M192-N192-O192-P192-Q192-R192-S192-T192)</f>
      </c>
      <c r="W192" s="4">
        <f>IF($K192="","",(V192-Y192)/J192*100)</f>
      </c>
      <c r="X192" s="4">
        <f>IF($K192="","",M192-U192)</f>
      </c>
      <c r="Z192" s="4">
        <f>IF($K192="","",V192-Y192)</f>
      </c>
    </row>
    <row r="193" spans="1:31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IF($K193="","",K193/100*7)</f>
      </c>
      <c r="O193" s="4">
        <f>IF($K193="","",N193*20%)</f>
      </c>
      <c r="P193" s="4">
        <f>IF($K193="","",N193*2%)</f>
      </c>
      <c r="Q193" s="4">
        <f>IF($K193="","",P193*20%)</f>
      </c>
      <c r="R193" s="4"/>
      <c r="S193" s="4">
        <f>IF($K193="","",R193*20%)</f>
      </c>
      <c r="T193" s="4">
        <v>1</v>
      </c>
      <c r="U193" s="4">
        <f>IF($K193="","",O193+Q193+S193)</f>
      </c>
      <c r="V193" s="4">
        <f>IF($K193="","",L193-M193-N193-O193-P193-Q193-R193-S193-T193)</f>
      </c>
      <c r="W193" s="4">
        <f>IF($K193="","",(V193-Y193)/J193*100)</f>
      </c>
      <c r="X193" s="4">
        <f>IF($K193="","",M193-U193)</f>
      </c>
      <c r="Z193" s="4">
        <f>IF($K193="","",V193-Y193)</f>
      </c>
    </row>
    <row r="194" spans="1:31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IF($K194="","",K194/100*7)</f>
      </c>
      <c r="O194" s="4">
        <f>IF($K194="","",N194*20%)</f>
      </c>
      <c r="P194" s="4">
        <f>IF($K194="","",N194*2%)</f>
      </c>
      <c r="Q194" s="4">
        <f>IF($K194="","",P194*20%)</f>
      </c>
      <c r="R194" s="4"/>
      <c r="S194" s="4">
        <f>IF($K194="","",R194*20%)</f>
      </c>
      <c r="T194" s="4">
        <v>1</v>
      </c>
      <c r="U194" s="4">
        <f>IF($K194="","",O194+Q194+S194)</f>
      </c>
      <c r="V194" s="4">
        <f>IF($K194="","",L194-M194-N194-O194-P194-Q194-R194-S194-T194)</f>
      </c>
      <c r="W194" s="4">
        <f>IF($K194="","",(V194-Y194)/J194*100)</f>
      </c>
      <c r="X194" s="4">
        <f>IF($K194="","",M194-U194)</f>
      </c>
      <c r="Z194" s="4">
        <f>IF($K194="","",V194-Y194)</f>
      </c>
    </row>
    <row r="195" spans="1:31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IF($K195="","",K195/100*7)</f>
      </c>
      <c r="O195" s="4">
        <f>IF($K195="","",N195*20%)</f>
      </c>
      <c r="P195" s="4">
        <f>IF($K195="","",N195*2%)</f>
      </c>
      <c r="Q195" s="4">
        <f>IF($K195="","",P195*20%)</f>
      </c>
      <c r="R195" s="4"/>
      <c r="S195" s="4">
        <f>IF($K195="","",R195*20%)</f>
      </c>
      <c r="T195" s="4">
        <v>1</v>
      </c>
      <c r="U195" s="4">
        <f>IF($K195="","",O195+Q195+S195)</f>
      </c>
      <c r="V195" s="4">
        <f>IF($K195="","",L195-M195-N195-O195-P195-Q195-R195-S195-T195)</f>
      </c>
      <c r="W195" s="4">
        <f>IF($K195="","",(V195-Y195)/J195*100)</f>
      </c>
      <c r="X195" s="4">
        <f>IF($K195="","",M195-U195)</f>
      </c>
      <c r="Z195" s="4">
        <f>IF($K195="","",V195-Y195)</f>
      </c>
    </row>
    <row r="196" spans="1:31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IF($K196="","",K196/100*7)</f>
      </c>
      <c r="O196" s="4">
        <f>IF($K196="","",N196*20%)</f>
      </c>
      <c r="P196" s="4">
        <f>IF($K196="","",N196*2%)</f>
      </c>
      <c r="Q196" s="4">
        <f>IF($K196="","",P196*20%)</f>
      </c>
      <c r="R196" s="4"/>
      <c r="S196" s="4">
        <f>IF($K196="","",R196*20%)</f>
      </c>
      <c r="T196" s="4">
        <v>1</v>
      </c>
      <c r="U196" s="4">
        <f>IF($K196="","",O196+Q196+S196)</f>
      </c>
      <c r="V196" s="4">
        <f>IF($K196="","",L196-M196-N196-O196-P196-Q196-R196-S196-T196)</f>
      </c>
      <c r="W196" s="4">
        <f>IF($K196="","",(V196-Y196)/J196*100)</f>
      </c>
      <c r="X196" s="4">
        <f>IF($K196="","",M196-U196)</f>
      </c>
      <c r="Z196" s="4">
        <f>IF($K196="","",V196-Y196)</f>
      </c>
    </row>
    <row r="197" spans="1:31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IF($K197="","",K197/100*7)</f>
      </c>
      <c r="O197" s="4">
        <f>IF($K197="","",N197*20%)</f>
      </c>
      <c r="P197" s="4">
        <f>IF($K197="","",N197*2%)</f>
      </c>
      <c r="Q197" s="4">
        <f>IF($K197="","",P197*20%)</f>
      </c>
      <c r="R197" s="4"/>
      <c r="S197" s="4">
        <f>IF($K197="","",R197*20%)</f>
      </c>
      <c r="T197" s="4">
        <v>1</v>
      </c>
      <c r="U197" s="4">
        <f>IF($K197="","",O197+Q197+S197)</f>
      </c>
      <c r="V197" s="4">
        <f>IF($K197="","",L197-M197-N197-O197-P197-Q197-R197-S197-T197)</f>
      </c>
      <c r="W197" s="4">
        <f>IF($K197="","",(V197-Y197)/J197*100)</f>
      </c>
      <c r="X197" s="4">
        <f>IF($K197="","",M197-U197)</f>
      </c>
      <c r="Z197" s="4">
        <f>IF($K197="","",V197-Y197)</f>
      </c>
    </row>
    <row r="198" spans="1:31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IF($K198="","",K198/100*7)</f>
      </c>
      <c r="O198" s="4">
        <f>IF($K198="","",N198*20%)</f>
      </c>
      <c r="P198" s="4">
        <f>IF($K198="","",N198*2%)</f>
      </c>
      <c r="Q198" s="4">
        <f>IF($K198="","",P198*20%)</f>
      </c>
      <c r="R198" s="4"/>
      <c r="S198" s="4">
        <f>IF($K198="","",R198*20%)</f>
      </c>
      <c r="T198" s="4">
        <v>1</v>
      </c>
      <c r="U198" s="4">
        <f>IF($K198="","",O198+Q198+S198)</f>
      </c>
      <c r="V198" s="4">
        <f>IF($K198="","",L198-M198-N198-O198-P198-Q198-R198-S198-T198)</f>
      </c>
      <c r="W198" s="4">
        <f>IF($K198="","",(V198-Y198)/J198*100)</f>
      </c>
      <c r="X198" s="4">
        <f>IF($K198="","",M198-U198)</f>
      </c>
      <c r="Z198" s="4">
        <f>IF($K198="","",V198-Y198)</f>
      </c>
    </row>
    <row r="199" spans="1:31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IF($K199="","",K199/100*7)</f>
      </c>
      <c r="O199" s="4">
        <f>IF($K199="","",N199*20%)</f>
      </c>
      <c r="P199" s="4">
        <f>IF($K199="","",N199*2%)</f>
      </c>
      <c r="Q199" s="4">
        <f>IF($K199="","",P199*20%)</f>
      </c>
      <c r="R199" s="4"/>
      <c r="S199" s="4">
        <f>IF($K199="","",R199*20%)</f>
      </c>
      <c r="T199" s="4">
        <v>1</v>
      </c>
      <c r="U199" s="4">
        <f>IF($K199="","",O199+Q199+S199)</f>
      </c>
      <c r="V199" s="4">
        <f>IF($K199="","",L199-M199-N199-O199-P199-Q199-R199-S199-T199)</f>
      </c>
      <c r="W199" s="4">
        <f>IF($K199="","",(V199-Y199)/J199*100)</f>
      </c>
      <c r="X199" s="4">
        <f>IF($K199="","",M199-U199)</f>
      </c>
      <c r="Z199" s="4">
        <f>IF($K199="","",V199-Y199)</f>
      </c>
    </row>
    <row r="200" spans="1:31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IF($K200="","",K200/100*7)</f>
      </c>
      <c r="O200" s="4">
        <f>IF($K200="","",N200*20%)</f>
      </c>
      <c r="P200" s="4">
        <f>IF($K200="","",N200*2%)</f>
      </c>
      <c r="Q200" s="4">
        <f>IF($K200="","",P200*20%)</f>
      </c>
      <c r="R200" s="4"/>
      <c r="S200" s="4">
        <f>IF($K200="","",R200*20%)</f>
      </c>
      <c r="T200" s="4">
        <v>1</v>
      </c>
      <c r="U200" s="4">
        <f>IF($K200="","",O200+Q200+S200)</f>
      </c>
      <c r="V200" s="4">
        <f>IF($K200="","",L200-M200-N200-O200-P200-Q200-R200-S200-T200)</f>
      </c>
      <c r="W200" s="4">
        <f>IF($K200="","",(V200-Y200)/J200*100)</f>
      </c>
      <c r="X200" s="4">
        <f>IF($K200="","",M200-U200)</f>
      </c>
      <c r="Z200" s="4">
        <f>IF($K200="","",V200-Y200)</f>
      </c>
    </row>
    <row r="201" spans="1:31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IF($K201="","",K201/100*7)</f>
      </c>
      <c r="O201" s="4">
        <f>IF($K201="","",N201*20%)</f>
      </c>
      <c r="P201" s="4">
        <f>IF($K201="","",N201*2%)</f>
      </c>
      <c r="Q201" s="4">
        <f>IF($K201="","",P201*20%)</f>
      </c>
      <c r="R201" s="4"/>
      <c r="S201" s="4">
        <f>IF($K201="","",R201*20%)</f>
      </c>
      <c r="T201" s="4">
        <v>1</v>
      </c>
      <c r="U201" s="4">
        <f>IF($K201="","",O201+Q201+S201)</f>
      </c>
      <c r="V201" s="4">
        <f>IF($K201="","",L201-M201-N201-O201-P201-Q201-R201-S201-T201)</f>
      </c>
      <c r="W201" s="4">
        <f>IF($K201="","",(V201-Y201)/J201*100)</f>
      </c>
      <c r="X201" s="4">
        <f>IF($K201="","",M201-U201)</f>
      </c>
      <c r="Z201" s="4">
        <f>IF($K201="","",V201-Y201)</f>
      </c>
    </row>
    <row r="202" spans="1:31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IF($K202="","",K202/100*7)</f>
      </c>
      <c r="O202" s="4">
        <f>IF($K202="","",N202*20%)</f>
      </c>
      <c r="P202" s="4">
        <f>IF($K202="","",N202*2%)</f>
      </c>
      <c r="Q202" s="4">
        <f>IF($K202="","",P202*20%)</f>
      </c>
      <c r="R202" s="4"/>
      <c r="S202" s="4">
        <f>IF($K202="","",R202*20%)</f>
      </c>
      <c r="T202" s="4">
        <v>1</v>
      </c>
      <c r="U202" s="4">
        <f>IF($K202="","",O202+Q202+S202)</f>
      </c>
      <c r="V202" s="4">
        <f>IF($K202="","",L202-M202-N202-O202-P202-Q202-R202-S202-T202)</f>
      </c>
      <c r="W202" s="4">
        <f>IF($K202="","",(V202-Y202)/J202*100)</f>
      </c>
      <c r="X202" s="4">
        <f>IF($K202="","",M202-U202)</f>
      </c>
      <c r="Z202" s="4">
        <f>IF($K202="","",V202-Y202)</f>
      </c>
    </row>
    <row r="203" spans="1:31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IF($K203="","",K203/100*7)</f>
      </c>
      <c r="O203" s="4">
        <f>IF($K203="","",N203*20%)</f>
      </c>
      <c r="P203" s="4">
        <f>IF($K203="","",N203*2%)</f>
      </c>
      <c r="Q203" s="4">
        <f>IF($K203="","",P203*20%)</f>
      </c>
      <c r="R203" s="4"/>
      <c r="S203" s="4">
        <f>IF($K203="","",R203*20%)</f>
      </c>
      <c r="T203" s="4">
        <v>1</v>
      </c>
      <c r="U203" s="4">
        <f>IF($K203="","",O203+Q203+S203)</f>
      </c>
      <c r="V203" s="4">
        <f>IF($K203="","",L203-M203-N203-O203-P203-Q203-R203-S203-T203)</f>
      </c>
      <c r="W203" s="4">
        <f>IF($K203="","",(V203-Y203)/J203*100)</f>
      </c>
      <c r="X203" s="4">
        <f>IF($K203="","",M203-U203)</f>
      </c>
      <c r="Z203" s="4">
        <f>IF($K203="","",V203-Y203)</f>
      </c>
    </row>
    <row r="204" spans="1:31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IF($K204="","",K204/100*7)</f>
      </c>
      <c r="O204" s="4">
        <f>IF($K204="","",N204*20%)</f>
      </c>
      <c r="P204" s="4">
        <f>IF($K204="","",N204*2%)</f>
      </c>
      <c r="Q204" s="4">
        <f>IF($K204="","",P204*20%)</f>
      </c>
      <c r="R204" s="4"/>
      <c r="S204" s="4">
        <f>IF($K204="","",R204*20%)</f>
      </c>
      <c r="T204" s="4">
        <v>1</v>
      </c>
      <c r="U204" s="4">
        <f>IF($K204="","",O204+Q204+S204)</f>
      </c>
      <c r="V204" s="4">
        <f>IF($K204="","",L204-M204-N204-O204-P204-Q204-R204-S204-T204)</f>
      </c>
      <c r="W204" s="4">
        <f>IF($K204="","",(V204-Y204)/J204*100)</f>
      </c>
      <c r="X204" s="4">
        <f>IF($K204="","",M204-U204)</f>
      </c>
      <c r="Z204" s="4">
        <f>IF($K204="","",V204-Y204)</f>
      </c>
    </row>
    <row r="205" spans="1:31" x14ac:dyDescent="0.25">
      <c r="A205" s="8"/>
      <c r="D205" s="9"/>
      <c r="J205" s="4"/>
      <c r="K205" s="4"/>
      <c r="L205" s="4">
        <f>IF($K205="","",K205-J205)</f>
      </c>
      <c r="M205" s="4">
        <f>IF($K205="","",L205*16.67%)</f>
      </c>
      <c r="N205" s="4">
        <f>IF($K205="","",K205/100*7)</f>
      </c>
      <c r="O205" s="4">
        <f>IF($K205="","",N205*20%)</f>
      </c>
      <c r="P205" s="4">
        <f>IF($K205="","",N205*2%)</f>
      </c>
      <c r="Q205" s="4">
        <f>IF($K205="","",P205*20%)</f>
      </c>
      <c r="R205" s="4"/>
      <c r="S205" s="4">
        <f>IF($K205="","",R205*20%)</f>
      </c>
      <c r="T205" s="4">
        <v>1</v>
      </c>
      <c r="U205" s="4">
        <f>IF($K205="","",O205+Q205+S205)</f>
      </c>
      <c r="V205" s="4">
        <f>IF($K205="","",L205-M205-N205-O205-P205-Q205-R205-S205-T205)</f>
      </c>
      <c r="W205" s="4">
        <f>IF($K205="","",(V205-Y205)/J205*100)</f>
      </c>
      <c r="X205" s="4">
        <f>IF($K205="","",M205-U205)</f>
      </c>
      <c r="Z205" s="4">
        <f>IF($K205="","",V205-Y205)</f>
      </c>
    </row>
    <row r="206" spans="1:31" x14ac:dyDescent="0.25">
      <c r="A206" s="8"/>
      <c r="D206" s="9"/>
      <c r="J206" s="4"/>
      <c r="K206" s="4"/>
      <c r="L206" s="4">
        <f>IF($K206="","",K206-J206)</f>
      </c>
      <c r="M206" s="4">
        <f>IF($K206="","",L206*16.67%)</f>
      </c>
      <c r="N206" s="4">
        <f>IF($K206="","",K206/100*7)</f>
      </c>
      <c r="O206" s="4">
        <f>IF($K206="","",N206*20%)</f>
      </c>
      <c r="P206" s="4">
        <f>IF($K206="","",N206*2%)</f>
      </c>
      <c r="Q206" s="4">
        <f>IF($K206="","",P206*20%)</f>
      </c>
      <c r="R206" s="4"/>
      <c r="S206" s="4">
        <f>IF($K206="","",R206*20%)</f>
      </c>
      <c r="T206" s="4">
        <v>1</v>
      </c>
      <c r="U206" s="4">
        <f>IF($K206="","",O206+Q206+S206)</f>
      </c>
      <c r="V206" s="4">
        <f>IF($K206="","",L206-M206-N206-O206-P206-Q206-R206-S206-T206)</f>
      </c>
      <c r="W206" s="4">
        <f>IF($K206="","",(V206-Y206)/J206*100)</f>
      </c>
      <c r="X206" s="4">
        <f>IF($K206="","",M206-U206)</f>
      </c>
      <c r="Z206" s="4">
        <f>IF($K206="","",V206-Y206)</f>
      </c>
    </row>
    <row r="207" spans="1:31" x14ac:dyDescent="0.25">
      <c r="A207" s="8"/>
      <c r="D207" s="9"/>
      <c r="J207" s="4"/>
      <c r="K207" s="4"/>
      <c r="L207" s="4">
        <f>IF($K207="","",K207-J207)</f>
      </c>
      <c r="M207" s="4">
        <f>IF($K207="","",L207*16.67%)</f>
      </c>
      <c r="N207" s="4">
        <f>IF($K207="","",K207/100*7)</f>
      </c>
      <c r="O207" s="4">
        <f>IF($K207="","",N207*20%)</f>
      </c>
      <c r="P207" s="4">
        <f>IF($K207="","",N207*2%)</f>
      </c>
      <c r="Q207" s="4">
        <f>IF($K207="","",P207*20%)</f>
      </c>
      <c r="R207" s="4"/>
      <c r="S207" s="4">
        <f>IF($K207="","",R207*20%)</f>
      </c>
      <c r="T207" s="4">
        <v>1</v>
      </c>
      <c r="U207" s="4">
        <f>IF($K207="","",O207+Q207+S207)</f>
      </c>
      <c r="V207" s="4">
        <f>IF($K207="","",L207-M207-N207-O207-P207-Q207-R207-S207-T207)</f>
      </c>
      <c r="W207" s="4">
        <f>IF($K207="","",(V207-Y207)/J207*100)</f>
      </c>
      <c r="X207" s="4">
        <f>IF($K207="","",M207-U207)</f>
      </c>
      <c r="Z207" s="4">
        <f>IF($K207="","",V207-Y207)</f>
      </c>
    </row>
    <row r="208" spans="1:31" x14ac:dyDescent="0.25">
      <c r="A208" s="8"/>
      <c r="D208" s="9"/>
      <c r="J208" s="4"/>
      <c r="K208" s="4"/>
      <c r="L208" s="4">
        <f>IF($K208="","",K208-J208)</f>
      </c>
      <c r="M208" s="4">
        <f>IF($K208="","",L208*16.67%)</f>
      </c>
      <c r="N208" s="4">
        <f>IF($K208="","",K208/100*7)</f>
      </c>
      <c r="O208" s="4">
        <f>IF($K208="","",N208*20%)</f>
      </c>
      <c r="P208" s="4">
        <f>IF($K208="","",N208*2%)</f>
      </c>
      <c r="Q208" s="4">
        <f>IF($K208="","",P208*20%)</f>
      </c>
      <c r="R208" s="4"/>
      <c r="S208" s="4">
        <f>IF($K208="","",R208*20%)</f>
      </c>
      <c r="T208" s="4">
        <v>1</v>
      </c>
      <c r="U208" s="4">
        <f>IF($K208="","",O208+Q208+S208)</f>
      </c>
      <c r="V208" s="4">
        <f>IF($K208="","",L208-M208-N208-O208-P208-Q208-R208-S208-T208)</f>
      </c>
      <c r="W208" s="4">
        <f>IF($K208="","",(V208-Y208)/J208*100)</f>
      </c>
      <c r="X208" s="4">
        <f>IF($K208="","",M208-U208)</f>
      </c>
      <c r="Z208" s="4">
        <f>IF($K208="","",V208-Y208)</f>
      </c>
    </row>
    <row r="209" spans="1:31" s="7" customFormat="1" x14ac:dyDescent="0.25">
      <c r="A209" s="3" t="s">
        <v>18</v>
      </c>
      <c r="B209" s="7"/>
      <c r="C209" s="7"/>
      <c r="D209" s="7"/>
      <c r="E209" s="7"/>
      <c r="F209" s="7"/>
      <c r="G209" s="7"/>
      <c r="H209" s="7"/>
      <c r="I209" s="14">
        <f>SUM(I2:I208)</f>
      </c>
      <c r="J209" s="14">
        <f>SUM(J2:J208)</f>
      </c>
      <c r="K209" s="14">
        <f>SUM(K2:K208)</f>
      </c>
      <c r="L209" s="14">
        <f>SUM(L2:L208)</f>
      </c>
      <c r="M209" s="14">
        <f>SUM(M2:M208)</f>
      </c>
      <c r="N209" s="14">
        <f>SUM(N2:N208)</f>
      </c>
      <c r="O209" s="14">
        <f>SUM(O2:O208)</f>
      </c>
      <c r="P209" s="14">
        <f>SUM(P2:P208)</f>
      </c>
      <c r="Q209" s="14">
        <f>SUM(Q2:Q208)</f>
      </c>
      <c r="R209" s="14">
        <f>SUM(R2:R208)</f>
      </c>
      <c r="S209" s="14">
        <f>SUM(S2:S208)</f>
      </c>
      <c r="T209" s="14">
        <f>SUM(T2:T208)</f>
      </c>
      <c r="U209" s="14">
        <f>SUM(U2:U208)</f>
      </c>
      <c r="V209" s="14">
        <f>SUM(V2:V208)</f>
      </c>
      <c r="W209" s="14">
        <f>IFERROR((V209-Y209)/J209*100,0)</f>
      </c>
      <c r="X209" s="14">
        <f>SUM(X2:X208)</f>
      </c>
      <c r="Y209" s="14">
        <f>SUM(Y2:Y208)</f>
      </c>
      <c r="Z209" s="14">
        <f>SUM(Z2:Z208)</f>
      </c>
      <c r="AA209" s="7"/>
      <c r="AB209" s="7"/>
      <c r="AC209" s="7"/>
      <c r="AD209" s="7"/>
      <c r="AE209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2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82</v>
      </c>
      <c r="P1" t="s">
        <v>43</v>
      </c>
      <c r="Q1" t="s">
        <v>44</v>
      </c>
      <c r="R1" t="s">
        <v>45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>
        <f>IF($K2="","",K2/100*11)</f>
      </c>
      <c r="O2" s="4">
        <v>8.99</v>
      </c>
      <c r="P2" s="4"/>
      <c r="Q2" s="4">
        <f>IF($K2="","",P2*20%)</f>
      </c>
      <c r="R2" s="4">
        <v>1</v>
      </c>
      <c r="S2" s="4">
        <f>IF($K2="","",L2-M2-N2-O2-P2-Q2-R2)</f>
      </c>
      <c r="T2" s="4">
        <f>IF($K2="","",(S2-V2)/J2*100)</f>
      </c>
      <c r="U2" s="4">
        <f>IF($K2="","",M2-Q2)</f>
      </c>
      <c r="W2" s="4">
        <f>IF($K2="","",S2-V2)</f>
      </c>
    </row>
    <row r="3" spans="1:28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>
        <f>IF($K3="","",K3/100*11)</f>
      </c>
      <c r="O3" s="4">
        <v>8.99</v>
      </c>
      <c r="P3" s="4"/>
      <c r="Q3" s="4">
        <f>IF($K3="","",P3*20%)</f>
      </c>
      <c r="R3" s="4">
        <v>1</v>
      </c>
      <c r="S3" s="4">
        <f>IF($K3="","",L3-M3-N3-O3-P3-Q3-R3)</f>
      </c>
      <c r="T3" s="4">
        <f>IF($K3="","",(S3-V3)/J3*100)</f>
      </c>
      <c r="U3" s="4">
        <f>IF($K3="","",M3-Q3)</f>
      </c>
      <c r="W3" s="4">
        <f>IF($K3="","",S3-V3)</f>
      </c>
    </row>
    <row r="4" spans="1:28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>
        <f>IF($K4="","",K4/100*11)</f>
      </c>
      <c r="O4" s="4">
        <v>8.99</v>
      </c>
      <c r="P4" s="4"/>
      <c r="Q4" s="4">
        <f>IF($K4="","",P4*20%)</f>
      </c>
      <c r="R4" s="4">
        <v>1</v>
      </c>
      <c r="S4" s="4">
        <f>IF($K4="","",L4-M4-N4-O4-P4-Q4-R4)</f>
      </c>
      <c r="T4" s="4">
        <f>IF($K4="","",(S4-V4)/J4*100)</f>
      </c>
      <c r="U4" s="4">
        <f>IF($K4="","",M4-Q4)</f>
      </c>
      <c r="W4" s="4">
        <f>IF($K4="","",S4-V4)</f>
      </c>
    </row>
    <row r="5" spans="1:28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IF($K5="","",K5/100*11)</f>
      </c>
      <c r="O5" s="4">
        <v>8.99</v>
      </c>
      <c r="P5" s="4"/>
      <c r="Q5" s="4">
        <f>IF($K5="","",P5*20%)</f>
      </c>
      <c r="R5" s="4">
        <v>1</v>
      </c>
      <c r="S5" s="4">
        <f>IF($K5="","",L5-M5-N5-O5-P5-Q5-R5)</f>
      </c>
      <c r="T5" s="4">
        <f>IF($K5="","",(S5-V5)/J5*100)</f>
      </c>
      <c r="U5" s="4">
        <f>IF($K5="","",M5-Q5)</f>
      </c>
      <c r="W5" s="4">
        <f>IF($K5="","",S5-V5)</f>
      </c>
    </row>
    <row r="6" spans="1:28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IF($K6="","",K6/100*11)</f>
      </c>
      <c r="O6" s="4">
        <v>8.99</v>
      </c>
      <c r="P6" s="4"/>
      <c r="Q6" s="4">
        <f>IF($K6="","",P6*20%)</f>
      </c>
      <c r="R6" s="4">
        <v>1</v>
      </c>
      <c r="S6" s="4">
        <f>IF($K6="","",L6-M6-N6-O6-P6-Q6-R6)</f>
      </c>
      <c r="T6" s="4">
        <f>IF($K6="","",(S6-V6)/J6*100)</f>
      </c>
      <c r="U6" s="4">
        <f>IF($K6="","",M6-Q6)</f>
      </c>
      <c r="W6" s="4">
        <f>IF($K6="","",S6-V6)</f>
      </c>
    </row>
    <row r="7" spans="1:28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IF($K7="","",K7/100*11)</f>
      </c>
      <c r="O7" s="4">
        <v>8.99</v>
      </c>
      <c r="P7" s="4"/>
      <c r="Q7" s="4">
        <f>IF($K7="","",P7*20%)</f>
      </c>
      <c r="R7" s="4">
        <v>1</v>
      </c>
      <c r="S7" s="4">
        <f>IF($K7="","",L7-M7-N7-O7-P7-Q7-R7)</f>
      </c>
      <c r="T7" s="4">
        <f>IF($K7="","",(S7-V7)/J7*100)</f>
      </c>
      <c r="U7" s="4">
        <f>IF($K7="","",M7-Q7)</f>
      </c>
      <c r="W7" s="4">
        <f>IF($K7="","",S7-V7)</f>
      </c>
    </row>
    <row r="8" spans="1:28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IF($K8="","",K8/100*11)</f>
      </c>
      <c r="O8" s="4">
        <v>8.99</v>
      </c>
      <c r="P8" s="4"/>
      <c r="Q8" s="4">
        <f>IF($K8="","",P8*20%)</f>
      </c>
      <c r="R8" s="4">
        <v>1</v>
      </c>
      <c r="S8" s="4">
        <f>IF($K8="","",L8-M8-N8-O8-P8-Q8-R8)</f>
      </c>
      <c r="T8" s="4">
        <f>IF($K8="","",(S8-V8)/J8*100)</f>
      </c>
      <c r="U8" s="4">
        <f>IF($K8="","",M8-Q8)</f>
      </c>
      <c r="W8" s="4">
        <f>IF($K8="","",S8-V8)</f>
      </c>
    </row>
    <row r="9" spans="1:28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IF($K9="","",K9/100*11)</f>
      </c>
      <c r="O9" s="4">
        <v>8.99</v>
      </c>
      <c r="P9" s="4"/>
      <c r="Q9" s="4">
        <f>IF($K9="","",P9*20%)</f>
      </c>
      <c r="R9" s="4">
        <v>1</v>
      </c>
      <c r="S9" s="4">
        <f>IF($K9="","",L9-M9-N9-O9-P9-Q9-R9)</f>
      </c>
      <c r="T9" s="4">
        <f>IF($K9="","",(S9-V9)/J9*100)</f>
      </c>
      <c r="U9" s="4">
        <f>IF($K9="","",M9-Q9)</f>
      </c>
      <c r="W9" s="4">
        <f>IF($K9="","",S9-V9)</f>
      </c>
    </row>
    <row r="10" spans="1:28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IF($K10="","",K10/100*11)</f>
      </c>
      <c r="O10" s="4">
        <v>8.99</v>
      </c>
      <c r="P10" s="4"/>
      <c r="Q10" s="4">
        <f>IF($K10="","",P10*20%)</f>
      </c>
      <c r="R10" s="4">
        <v>1</v>
      </c>
      <c r="S10" s="4">
        <f>IF($K10="","",L10-M10-N10-O10-P10-Q10-R10)</f>
      </c>
      <c r="T10" s="4">
        <f>IF($K10="","",(S10-V10)/J10*100)</f>
      </c>
      <c r="U10" s="4">
        <f>IF($K10="","",M10-Q10)</f>
      </c>
      <c r="W10" s="4">
        <f>IF($K10="","",S10-V10)</f>
      </c>
    </row>
    <row r="11" spans="1:28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IF($K11="","",K11/100*11)</f>
      </c>
      <c r="O11" s="4">
        <v>8.99</v>
      </c>
      <c r="P11" s="4"/>
      <c r="Q11" s="4">
        <f>IF($K11="","",P11*20%)</f>
      </c>
      <c r="R11" s="4">
        <v>1</v>
      </c>
      <c r="S11" s="4">
        <f>IF($K11="","",L11-M11-N11-O11-P11-Q11-R11)</f>
      </c>
      <c r="T11" s="4">
        <f>IF($K11="","",(S11-V11)/J11*100)</f>
      </c>
      <c r="U11" s="4">
        <f>IF($K11="","",M11-Q11)</f>
      </c>
      <c r="W11" s="4">
        <f>IF($K11="","",S11-V11)</f>
      </c>
    </row>
    <row r="12" spans="1:28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IF($K12="","",K12/100*11)</f>
      </c>
      <c r="O12" s="4">
        <v>8.99</v>
      </c>
      <c r="P12" s="4"/>
      <c r="Q12" s="4">
        <f>IF($K12="","",P12*20%)</f>
      </c>
      <c r="R12" s="4">
        <v>1</v>
      </c>
      <c r="S12" s="4">
        <f>IF($K12="","",L12-M12-N12-O12-P12-Q12-R12)</f>
      </c>
      <c r="T12" s="4">
        <f>IF($K12="","",(S12-V12)/J12*100)</f>
      </c>
      <c r="U12" s="4">
        <f>IF($K12="","",M12-Q12)</f>
      </c>
      <c r="W12" s="4">
        <f>IF($K12="","",S12-V12)</f>
      </c>
    </row>
    <row r="13" spans="1:28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IF($K13="","",K13/100*11)</f>
      </c>
      <c r="O13" s="4">
        <v>8.99</v>
      </c>
      <c r="P13" s="4"/>
      <c r="Q13" s="4">
        <f>IF($K13="","",P13*20%)</f>
      </c>
      <c r="R13" s="4">
        <v>1</v>
      </c>
      <c r="S13" s="4">
        <f>IF($K13="","",L13-M13-N13-O13-P13-Q13-R13)</f>
      </c>
      <c r="T13" s="4">
        <f>IF($K13="","",(S13-V13)/J13*100)</f>
      </c>
      <c r="U13" s="4">
        <f>IF($K13="","",M13-Q13)</f>
      </c>
      <c r="W13" s="4">
        <f>IF($K13="","",S13-V13)</f>
      </c>
    </row>
    <row r="14" spans="1:28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IF($K14="","",K14/100*11)</f>
      </c>
      <c r="O14" s="4">
        <v>8.99</v>
      </c>
      <c r="P14" s="4"/>
      <c r="Q14" s="4">
        <f>IF($K14="","",P14*20%)</f>
      </c>
      <c r="R14" s="4">
        <v>1</v>
      </c>
      <c r="S14" s="4">
        <f>IF($K14="","",L14-M14-N14-O14-P14-Q14-R14)</f>
      </c>
      <c r="T14" s="4">
        <f>IF($K14="","",(S14-V14)/J14*100)</f>
      </c>
      <c r="U14" s="4">
        <f>IF($K14="","",M14-Q14)</f>
      </c>
      <c r="W14" s="4">
        <f>IF($K14="","",S14-V14)</f>
      </c>
    </row>
    <row r="15" spans="1:28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IF($K15="","",K15/100*11)</f>
      </c>
      <c r="O15" s="4">
        <v>8.99</v>
      </c>
      <c r="P15" s="4"/>
      <c r="Q15" s="4">
        <f>IF($K15="","",P15*20%)</f>
      </c>
      <c r="R15" s="4">
        <v>1</v>
      </c>
      <c r="S15" s="4">
        <f>IF($K15="","",L15-M15-N15-O15-P15-Q15-R15)</f>
      </c>
      <c r="T15" s="4">
        <f>IF($K15="","",(S15-V15)/J15*100)</f>
      </c>
      <c r="U15" s="4">
        <f>IF($K15="","",M15-Q15)</f>
      </c>
      <c r="W15" s="4">
        <f>IF($K15="","",S15-V15)</f>
      </c>
    </row>
    <row r="16" spans="1:28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IF($K16="","",K16/100*11)</f>
      </c>
      <c r="O16" s="4">
        <v>8.99</v>
      </c>
      <c r="P16" s="4"/>
      <c r="Q16" s="4">
        <f>IF($K16="","",P16*20%)</f>
      </c>
      <c r="R16" s="4">
        <v>1</v>
      </c>
      <c r="S16" s="4">
        <f>IF($K16="","",L16-M16-N16-O16-P16-Q16-R16)</f>
      </c>
      <c r="T16" s="4">
        <f>IF($K16="","",(S16-V16)/J16*100)</f>
      </c>
      <c r="U16" s="4">
        <f>IF($K16="","",M16-Q16)</f>
      </c>
      <c r="W16" s="4">
        <f>IF($K16="","",S16-V16)</f>
      </c>
    </row>
    <row r="17" spans="1:28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IF($K17="","",K17/100*11)</f>
      </c>
      <c r="O17" s="4">
        <v>8.99</v>
      </c>
      <c r="P17" s="4"/>
      <c r="Q17" s="4">
        <f>IF($K17="","",P17*20%)</f>
      </c>
      <c r="R17" s="4">
        <v>1</v>
      </c>
      <c r="S17" s="4">
        <f>IF($K17="","",L17-M17-N17-O17-P17-Q17-R17)</f>
      </c>
      <c r="T17" s="4">
        <f>IF($K17="","",(S17-V17)/J17*100)</f>
      </c>
      <c r="U17" s="4">
        <f>IF($K17="","",M17-Q17)</f>
      </c>
      <c r="W17" s="4">
        <f>IF($K17="","",S17-V17)</f>
      </c>
    </row>
    <row r="18" spans="1:28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IF($K18="","",K18/100*11)</f>
      </c>
      <c r="O18" s="4">
        <v>8.99</v>
      </c>
      <c r="P18" s="4"/>
      <c r="Q18" s="4">
        <f>IF($K18="","",P18*20%)</f>
      </c>
      <c r="R18" s="4">
        <v>1</v>
      </c>
      <c r="S18" s="4">
        <f>IF($K18="","",L18-M18-N18-O18-P18-Q18-R18)</f>
      </c>
      <c r="T18" s="4">
        <f>IF($K18="","",(S18-V18)/J18*100)</f>
      </c>
      <c r="U18" s="4">
        <f>IF($K18="","",M18-Q18)</f>
      </c>
      <c r="W18" s="4">
        <f>IF($K18="","",S18-V18)</f>
      </c>
    </row>
    <row r="19" spans="1:28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IF($K19="","",K19/100*11)</f>
      </c>
      <c r="O19" s="4">
        <v>8.99</v>
      </c>
      <c r="P19" s="4"/>
      <c r="Q19" s="4">
        <f>IF($K19="","",P19*20%)</f>
      </c>
      <c r="R19" s="4">
        <v>1</v>
      </c>
      <c r="S19" s="4">
        <f>IF($K19="","",L19-M19-N19-O19-P19-Q19-R19)</f>
      </c>
      <c r="T19" s="4">
        <f>IF($K19="","",(S19-V19)/J19*100)</f>
      </c>
      <c r="U19" s="4">
        <f>IF($K19="","",M19-Q19)</f>
      </c>
      <c r="W19" s="4">
        <f>IF($K19="","",S19-V19)</f>
      </c>
    </row>
    <row r="20" spans="1:28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IF($K20="","",K20/100*11)</f>
      </c>
      <c r="O20" s="4">
        <v>8.99</v>
      </c>
      <c r="P20" s="4"/>
      <c r="Q20" s="4">
        <f>IF($K20="","",P20*20%)</f>
      </c>
      <c r="R20" s="4">
        <v>1</v>
      </c>
      <c r="S20" s="4">
        <f>IF($K20="","",L20-M20-N20-O20-P20-Q20-R20)</f>
      </c>
      <c r="T20" s="4">
        <f>IF($K20="","",(S20-V20)/J20*100)</f>
      </c>
      <c r="U20" s="4">
        <f>IF($K20="","",M20-Q20)</f>
      </c>
      <c r="W20" s="4">
        <f>IF($K20="","",S20-V20)</f>
      </c>
    </row>
    <row r="21" spans="1:28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IF($K21="","",K21/100*11)</f>
      </c>
      <c r="O21" s="4">
        <v>8.99</v>
      </c>
      <c r="P21" s="4"/>
      <c r="Q21" s="4">
        <f>IF($K21="","",P21*20%)</f>
      </c>
      <c r="R21" s="4">
        <v>1</v>
      </c>
      <c r="S21" s="4">
        <f>IF($K21="","",L21-M21-N21-O21-P21-Q21-R21)</f>
      </c>
      <c r="T21" s="4">
        <f>IF($K21="","",(S21-V21)/J21*100)</f>
      </c>
      <c r="U21" s="4">
        <f>IF($K21="","",M21-Q21)</f>
      </c>
      <c r="W21" s="4">
        <f>IF($K21="","",S21-V21)</f>
      </c>
    </row>
    <row r="22" spans="1:28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IF($K22="","",K22/100*11)</f>
      </c>
      <c r="O22" s="4">
        <v>8.99</v>
      </c>
      <c r="P22" s="4"/>
      <c r="Q22" s="4">
        <f>IF($K22="","",P22*20%)</f>
      </c>
      <c r="R22" s="4">
        <v>1</v>
      </c>
      <c r="S22" s="4">
        <f>IF($K22="","",L22-M22-N22-O22-P22-Q22-R22)</f>
      </c>
      <c r="T22" s="4">
        <f>IF($K22="","",(S22-V22)/J22*100)</f>
      </c>
      <c r="U22" s="4">
        <f>IF($K22="","",M22-Q22)</f>
      </c>
      <c r="W22" s="4">
        <f>IF($K22="","",S22-V22)</f>
      </c>
    </row>
    <row r="23" spans="1:28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IF($K23="","",K23/100*11)</f>
      </c>
      <c r="O23" s="4">
        <v>8.99</v>
      </c>
      <c r="P23" s="4"/>
      <c r="Q23" s="4">
        <f>IF($K23="","",P23*20%)</f>
      </c>
      <c r="R23" s="4">
        <v>1</v>
      </c>
      <c r="S23" s="4">
        <f>IF($K23="","",L23-M23-N23-O23-P23-Q23-R23)</f>
      </c>
      <c r="T23" s="4">
        <f>IF($K23="","",(S23-V23)/J23*100)</f>
      </c>
      <c r="U23" s="4">
        <f>IF($K23="","",M23-Q23)</f>
      </c>
      <c r="W23" s="4">
        <f>IF($K23="","",S23-V23)</f>
      </c>
    </row>
    <row r="24" spans="1:28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IF($K24="","",K24/100*11)</f>
      </c>
      <c r="O24" s="4">
        <v>8.99</v>
      </c>
      <c r="P24" s="4"/>
      <c r="Q24" s="4">
        <f>IF($K24="","",P24*20%)</f>
      </c>
      <c r="R24" s="4">
        <v>1</v>
      </c>
      <c r="S24" s="4">
        <f>IF($K24="","",L24-M24-N24-O24-P24-Q24-R24)</f>
      </c>
      <c r="T24" s="4">
        <f>IF($K24="","",(S24-V24)/J24*100)</f>
      </c>
      <c r="U24" s="4">
        <f>IF($K24="","",M24-Q24)</f>
      </c>
      <c r="W24" s="4">
        <f>IF($K24="","",S24-V24)</f>
      </c>
    </row>
    <row r="25" spans="1:28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IF($K25="","",K25/100*11)</f>
      </c>
      <c r="O25" s="4">
        <v>8.99</v>
      </c>
      <c r="P25" s="4"/>
      <c r="Q25" s="4">
        <f>IF($K25="","",P25*20%)</f>
      </c>
      <c r="R25" s="4">
        <v>1</v>
      </c>
      <c r="S25" s="4">
        <f>IF($K25="","",L25-M25-N25-O25-P25-Q25-R25)</f>
      </c>
      <c r="T25" s="4">
        <f>IF($K25="","",(S25-V25)/J25*100)</f>
      </c>
      <c r="U25" s="4">
        <f>IF($K25="","",M25-Q25)</f>
      </c>
      <c r="W25" s="4">
        <f>IF($K25="","",S25-V25)</f>
      </c>
    </row>
    <row r="26" spans="1:28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IF($K26="","",K26/100*11)</f>
      </c>
      <c r="O26" s="4">
        <v>8.99</v>
      </c>
      <c r="P26" s="4"/>
      <c r="Q26" s="4">
        <f>IF($K26="","",P26*20%)</f>
      </c>
      <c r="R26" s="4">
        <v>1</v>
      </c>
      <c r="S26" s="4">
        <f>IF($K26="","",L26-M26-N26-O26-P26-Q26-R26)</f>
      </c>
      <c r="T26" s="4">
        <f>IF($K26="","",(S26-V26)/J26*100)</f>
      </c>
      <c r="U26" s="4">
        <f>IF($K26="","",M26-Q26)</f>
      </c>
      <c r="W26" s="4">
        <f>IF($K26="","",S26-V26)</f>
      </c>
    </row>
    <row r="27" spans="1:28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IF($K27="","",K27/100*11)</f>
      </c>
      <c r="O27" s="4">
        <v>8.99</v>
      </c>
      <c r="P27" s="4"/>
      <c r="Q27" s="4">
        <f>IF($K27="","",P27*20%)</f>
      </c>
      <c r="R27" s="4">
        <v>1</v>
      </c>
      <c r="S27" s="4">
        <f>IF($K27="","",L27-M27-N27-O27-P27-Q27-R27)</f>
      </c>
      <c r="T27" s="4">
        <f>IF($K27="","",(S27-V27)/J27*100)</f>
      </c>
      <c r="U27" s="4">
        <f>IF($K27="","",M27-Q27)</f>
      </c>
      <c r="W27" s="4">
        <f>IF($K27="","",S27-V27)</f>
      </c>
    </row>
    <row r="28" spans="1:28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IF($K28="","",K28/100*11)</f>
      </c>
      <c r="O28" s="4">
        <v>8.99</v>
      </c>
      <c r="P28" s="4"/>
      <c r="Q28" s="4">
        <f>IF($K28="","",P28*20%)</f>
      </c>
      <c r="R28" s="4">
        <v>1</v>
      </c>
      <c r="S28" s="4">
        <f>IF($K28="","",L28-M28-N28-O28-P28-Q28-R28)</f>
      </c>
      <c r="T28" s="4">
        <f>IF($K28="","",(S28-V28)/J28*100)</f>
      </c>
      <c r="U28" s="4">
        <f>IF($K28="","",M28-Q28)</f>
      </c>
      <c r="W28" s="4">
        <f>IF($K28="","",S28-V28)</f>
      </c>
    </row>
    <row r="29" spans="1:28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IF($K29="","",K29/100*11)</f>
      </c>
      <c r="O29" s="4">
        <v>8.99</v>
      </c>
      <c r="P29" s="4"/>
      <c r="Q29" s="4">
        <f>IF($K29="","",P29*20%)</f>
      </c>
      <c r="R29" s="4">
        <v>1</v>
      </c>
      <c r="S29" s="4">
        <f>IF($K29="","",L29-M29-N29-O29-P29-Q29-R29)</f>
      </c>
      <c r="T29" s="4">
        <f>IF($K29="","",(S29-V29)/J29*100)</f>
      </c>
      <c r="U29" s="4">
        <f>IF($K29="","",M29-Q29)</f>
      </c>
      <c r="W29" s="4">
        <f>IF($K29="","",S29-V29)</f>
      </c>
    </row>
    <row r="30" spans="1:28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IF($K30="","",K30/100*11)</f>
      </c>
      <c r="O30" s="4">
        <v>8.99</v>
      </c>
      <c r="P30" s="4"/>
      <c r="Q30" s="4">
        <f>IF($K30="","",P30*20%)</f>
      </c>
      <c r="R30" s="4">
        <v>1</v>
      </c>
      <c r="S30" s="4">
        <f>IF($K30="","",L30-M30-N30-O30-P30-Q30-R30)</f>
      </c>
      <c r="T30" s="4">
        <f>IF($K30="","",(S30-V30)/J30*100)</f>
      </c>
      <c r="U30" s="4">
        <f>IF($K30="","",M30-Q30)</f>
      </c>
      <c r="W30" s="4">
        <f>IF($K30="","",S30-V30)</f>
      </c>
    </row>
    <row r="31" spans="1:28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IF($K31="","",K31/100*11)</f>
      </c>
      <c r="O31" s="4">
        <v>8.99</v>
      </c>
      <c r="P31" s="4"/>
      <c r="Q31" s="4">
        <f>IF($K31="","",P31*20%)</f>
      </c>
      <c r="R31" s="4">
        <v>1</v>
      </c>
      <c r="S31" s="4">
        <f>IF($K31="","",L31-M31-N31-O31-P31-Q31-R31)</f>
      </c>
      <c r="T31" s="4">
        <f>IF($K31="","",(S31-V31)/J31*100)</f>
      </c>
      <c r="U31" s="4">
        <f>IF($K31="","",M31-Q31)</f>
      </c>
      <c r="W31" s="4">
        <f>IF($K31="","",S31-V31)</f>
      </c>
    </row>
    <row r="32" spans="1:28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IF($K32="","",K32/100*11)</f>
      </c>
      <c r="O32" s="4">
        <v>8.99</v>
      </c>
      <c r="P32" s="4"/>
      <c r="Q32" s="4">
        <f>IF($K32="","",P32*20%)</f>
      </c>
      <c r="R32" s="4">
        <v>1</v>
      </c>
      <c r="S32" s="4">
        <f>IF($K32="","",L32-M32-N32-O32-P32-Q32-R32)</f>
      </c>
      <c r="T32" s="4">
        <f>IF($K32="","",(S32-V32)/J32*100)</f>
      </c>
      <c r="U32" s="4">
        <f>IF($K32="","",M32-Q32)</f>
      </c>
      <c r="W32" s="4">
        <f>IF($K32="","",S32-V32)</f>
      </c>
    </row>
    <row r="33" spans="1:28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IF($K33="","",K33/100*11)</f>
      </c>
      <c r="O33" s="4">
        <v>8.99</v>
      </c>
      <c r="P33" s="4"/>
      <c r="Q33" s="4">
        <f>IF($K33="","",P33*20%)</f>
      </c>
      <c r="R33" s="4">
        <v>1</v>
      </c>
      <c r="S33" s="4">
        <f>IF($K33="","",L33-M33-N33-O33-P33-Q33-R33)</f>
      </c>
      <c r="T33" s="4">
        <f>IF($K33="","",(S33-V33)/J33*100)</f>
      </c>
      <c r="U33" s="4">
        <f>IF($K33="","",M33-Q33)</f>
      </c>
      <c r="W33" s="4">
        <f>IF($K33="","",S33-V33)</f>
      </c>
    </row>
    <row r="34" spans="1:28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IF($K34="","",K34/100*11)</f>
      </c>
      <c r="O34" s="4">
        <v>8.99</v>
      </c>
      <c r="P34" s="4"/>
      <c r="Q34" s="4">
        <f>IF($K34="","",P34*20%)</f>
      </c>
      <c r="R34" s="4">
        <v>1</v>
      </c>
      <c r="S34" s="4">
        <f>IF($K34="","",L34-M34-N34-O34-P34-Q34-R34)</f>
      </c>
      <c r="T34" s="4">
        <f>IF($K34="","",(S34-V34)/J34*100)</f>
      </c>
      <c r="U34" s="4">
        <f>IF($K34="","",M34-Q34)</f>
      </c>
      <c r="W34" s="4">
        <f>IF($K34="","",S34-V34)</f>
      </c>
    </row>
    <row r="35" spans="1:28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IF($K35="","",K35/100*11)</f>
      </c>
      <c r="O35" s="4">
        <v>8.99</v>
      </c>
      <c r="P35" s="4"/>
      <c r="Q35" s="4">
        <f>IF($K35="","",P35*20%)</f>
      </c>
      <c r="R35" s="4">
        <v>1</v>
      </c>
      <c r="S35" s="4">
        <f>IF($K35="","",L35-M35-N35-O35-P35-Q35-R35)</f>
      </c>
      <c r="T35" s="4">
        <f>IF($K35="","",(S35-V35)/J35*100)</f>
      </c>
      <c r="U35" s="4">
        <f>IF($K35="","",M35-Q35)</f>
      </c>
      <c r="W35" s="4">
        <f>IF($K35="","",S35-V35)</f>
      </c>
    </row>
    <row r="36" spans="1:28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IF($K36="","",K36/100*11)</f>
      </c>
      <c r="O36" s="4">
        <v>8.99</v>
      </c>
      <c r="P36" s="4"/>
      <c r="Q36" s="4">
        <f>IF($K36="","",P36*20%)</f>
      </c>
      <c r="R36" s="4">
        <v>1</v>
      </c>
      <c r="S36" s="4">
        <f>IF($K36="","",L36-M36-N36-O36-P36-Q36-R36)</f>
      </c>
      <c r="T36" s="4">
        <f>IF($K36="","",(S36-V36)/J36*100)</f>
      </c>
      <c r="U36" s="4">
        <f>IF($K36="","",M36-Q36)</f>
      </c>
      <c r="W36" s="4">
        <f>IF($K36="","",S36-V36)</f>
      </c>
    </row>
    <row r="37" spans="1:28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IF($K37="","",K37/100*11)</f>
      </c>
      <c r="O37" s="4">
        <v>8.99</v>
      </c>
      <c r="P37" s="4"/>
      <c r="Q37" s="4">
        <f>IF($K37="","",P37*20%)</f>
      </c>
      <c r="R37" s="4">
        <v>1</v>
      </c>
      <c r="S37" s="4">
        <f>IF($K37="","",L37-M37-N37-O37-P37-Q37-R37)</f>
      </c>
      <c r="T37" s="4">
        <f>IF($K37="","",(S37-V37)/J37*100)</f>
      </c>
      <c r="U37" s="4">
        <f>IF($K37="","",M37-Q37)</f>
      </c>
      <c r="W37" s="4">
        <f>IF($K37="","",S37-V37)</f>
      </c>
    </row>
    <row r="38" spans="1:28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IF($K38="","",K38/100*11)</f>
      </c>
      <c r="O38" s="4">
        <v>8.99</v>
      </c>
      <c r="P38" s="4"/>
      <c r="Q38" s="4">
        <f>IF($K38="","",P38*20%)</f>
      </c>
      <c r="R38" s="4">
        <v>1</v>
      </c>
      <c r="S38" s="4">
        <f>IF($K38="","",L38-M38-N38-O38-P38-Q38-R38)</f>
      </c>
      <c r="T38" s="4">
        <f>IF($K38="","",(S38-V38)/J38*100)</f>
      </c>
      <c r="U38" s="4">
        <f>IF($K38="","",M38-Q38)</f>
      </c>
      <c r="W38" s="4">
        <f>IF($K38="","",S38-V38)</f>
      </c>
    </row>
    <row r="39" spans="1:28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IF($K39="","",K39/100*11)</f>
      </c>
      <c r="O39" s="4">
        <v>8.99</v>
      </c>
      <c r="P39" s="4"/>
      <c r="Q39" s="4">
        <f>IF($K39="","",P39*20%)</f>
      </c>
      <c r="R39" s="4">
        <v>1</v>
      </c>
      <c r="S39" s="4">
        <f>IF($K39="","",L39-M39-N39-O39-P39-Q39-R39)</f>
      </c>
      <c r="T39" s="4">
        <f>IF($K39="","",(S39-V39)/J39*100)</f>
      </c>
      <c r="U39" s="4">
        <f>IF($K39="","",M39-Q39)</f>
      </c>
      <c r="W39" s="4">
        <f>IF($K39="","",S39-V39)</f>
      </c>
    </row>
    <row r="40" spans="1:28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IF($K40="","",K40/100*11)</f>
      </c>
      <c r="O40" s="4">
        <v>8.99</v>
      </c>
      <c r="P40" s="4"/>
      <c r="Q40" s="4">
        <f>IF($K40="","",P40*20%)</f>
      </c>
      <c r="R40" s="4">
        <v>1</v>
      </c>
      <c r="S40" s="4">
        <f>IF($K40="","",L40-M40-N40-O40-P40-Q40-R40)</f>
      </c>
      <c r="T40" s="4">
        <f>IF($K40="","",(S40-V40)/J40*100)</f>
      </c>
      <c r="U40" s="4">
        <f>IF($K40="","",M40-Q40)</f>
      </c>
      <c r="W40" s="4">
        <f>IF($K40="","",S40-V40)</f>
      </c>
    </row>
    <row r="41" spans="1:28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IF($K41="","",K41/100*11)</f>
      </c>
      <c r="O41" s="4">
        <v>8.99</v>
      </c>
      <c r="P41" s="4"/>
      <c r="Q41" s="4">
        <f>IF($K41="","",P41*20%)</f>
      </c>
      <c r="R41" s="4">
        <v>1</v>
      </c>
      <c r="S41" s="4">
        <f>IF($K41="","",L41-M41-N41-O41-P41-Q41-R41)</f>
      </c>
      <c r="T41" s="4">
        <f>IF($K41="","",(S41-V41)/J41*100)</f>
      </c>
      <c r="U41" s="4">
        <f>IF($K41="","",M41-Q41)</f>
      </c>
      <c r="W41" s="4">
        <f>IF($K41="","",S41-V41)</f>
      </c>
    </row>
    <row r="42" spans="1:28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IF($K42="","",K42/100*11)</f>
      </c>
      <c r="O42" s="4">
        <v>8.99</v>
      </c>
      <c r="P42" s="4"/>
      <c r="Q42" s="4">
        <f>IF($K42="","",P42*20%)</f>
      </c>
      <c r="R42" s="4">
        <v>1</v>
      </c>
      <c r="S42" s="4">
        <f>IF($K42="","",L42-M42-N42-O42-P42-Q42-R42)</f>
      </c>
      <c r="T42" s="4">
        <f>IF($K42="","",(S42-V42)/J42*100)</f>
      </c>
      <c r="U42" s="4">
        <f>IF($K42="","",M42-Q42)</f>
      </c>
      <c r="W42" s="4">
        <f>IF($K42="","",S42-V42)</f>
      </c>
    </row>
    <row r="43" spans="1:28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IF($K43="","",K43/100*11)</f>
      </c>
      <c r="O43" s="4">
        <v>8.99</v>
      </c>
      <c r="P43" s="4"/>
      <c r="Q43" s="4">
        <f>IF($K43="","",P43*20%)</f>
      </c>
      <c r="R43" s="4">
        <v>1</v>
      </c>
      <c r="S43" s="4">
        <f>IF($K43="","",L43-M43-N43-O43-P43-Q43-R43)</f>
      </c>
      <c r="T43" s="4">
        <f>IF($K43="","",(S43-V43)/J43*100)</f>
      </c>
      <c r="U43" s="4">
        <f>IF($K43="","",M43-Q43)</f>
      </c>
      <c r="W43" s="4">
        <f>IF($K43="","",S43-V43)</f>
      </c>
    </row>
    <row r="44" spans="1:28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IF($K44="","",K44/100*11)</f>
      </c>
      <c r="O44" s="4">
        <v>8.99</v>
      </c>
      <c r="P44" s="4"/>
      <c r="Q44" s="4">
        <f>IF($K44="","",P44*20%)</f>
      </c>
      <c r="R44" s="4">
        <v>1</v>
      </c>
      <c r="S44" s="4">
        <f>IF($K44="","",L44-M44-N44-O44-P44-Q44-R44)</f>
      </c>
      <c r="T44" s="4">
        <f>IF($K44="","",(S44-V44)/J44*100)</f>
      </c>
      <c r="U44" s="4">
        <f>IF($K44="","",M44-Q44)</f>
      </c>
      <c r="W44" s="4">
        <f>IF($K44="","",S44-V44)</f>
      </c>
    </row>
    <row r="45" spans="1:28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IF($K45="","",K45/100*11)</f>
      </c>
      <c r="O45" s="4">
        <v>8.99</v>
      </c>
      <c r="P45" s="4"/>
      <c r="Q45" s="4">
        <f>IF($K45="","",P45*20%)</f>
      </c>
      <c r="R45" s="4">
        <v>1</v>
      </c>
      <c r="S45" s="4">
        <f>IF($K45="","",L45-M45-N45-O45-P45-Q45-R45)</f>
      </c>
      <c r="T45" s="4">
        <f>IF($K45="","",(S45-V45)/J45*100)</f>
      </c>
      <c r="U45" s="4">
        <f>IF($K45="","",M45-Q45)</f>
      </c>
      <c r="W45" s="4">
        <f>IF($K45="","",S45-V45)</f>
      </c>
    </row>
    <row r="46" spans="1:28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IF($K46="","",K46/100*11)</f>
      </c>
      <c r="O46" s="4">
        <v>8.99</v>
      </c>
      <c r="P46" s="4"/>
      <c r="Q46" s="4">
        <f>IF($K46="","",P46*20%)</f>
      </c>
      <c r="R46" s="4">
        <v>1</v>
      </c>
      <c r="S46" s="4">
        <f>IF($K46="","",L46-M46-N46-O46-P46-Q46-R46)</f>
      </c>
      <c r="T46" s="4">
        <f>IF($K46="","",(S46-V46)/J46*100)</f>
      </c>
      <c r="U46" s="4">
        <f>IF($K46="","",M46-Q46)</f>
      </c>
      <c r="W46" s="4">
        <f>IF($K46="","",S46-V46)</f>
      </c>
    </row>
    <row r="47" spans="1:28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IF($K47="","",K47/100*11)</f>
      </c>
      <c r="O47" s="4">
        <v>8.99</v>
      </c>
      <c r="P47" s="4"/>
      <c r="Q47" s="4">
        <f>IF($K47="","",P47*20%)</f>
      </c>
      <c r="R47" s="4">
        <v>1</v>
      </c>
      <c r="S47" s="4">
        <f>IF($K47="","",L47-M47-N47-O47-P47-Q47-R47)</f>
      </c>
      <c r="T47" s="4">
        <f>IF($K47="","",(S47-V47)/J47*100)</f>
      </c>
      <c r="U47" s="4">
        <f>IF($K47="","",M47-Q47)</f>
      </c>
      <c r="W47" s="4">
        <f>IF($K47="","",S47-V47)</f>
      </c>
    </row>
    <row r="48" spans="1:28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IF($K48="","",K48/100*11)</f>
      </c>
      <c r="O48" s="4">
        <v>8.99</v>
      </c>
      <c r="P48" s="4"/>
      <c r="Q48" s="4">
        <f>IF($K48="","",P48*20%)</f>
      </c>
      <c r="R48" s="4">
        <v>1</v>
      </c>
      <c r="S48" s="4">
        <f>IF($K48="","",L48-M48-N48-O48-P48-Q48-R48)</f>
      </c>
      <c r="T48" s="4">
        <f>IF($K48="","",(S48-V48)/J48*100)</f>
      </c>
      <c r="U48" s="4">
        <f>IF($K48="","",M48-Q48)</f>
      </c>
      <c r="W48" s="4">
        <f>IF($K48="","",S48-V48)</f>
      </c>
    </row>
    <row r="49" spans="1:28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IF($K49="","",K49/100*11)</f>
      </c>
      <c r="O49" s="4">
        <v>8.99</v>
      </c>
      <c r="P49" s="4"/>
      <c r="Q49" s="4">
        <f>IF($K49="","",P49*20%)</f>
      </c>
      <c r="R49" s="4">
        <v>1</v>
      </c>
      <c r="S49" s="4">
        <f>IF($K49="","",L49-M49-N49-O49-P49-Q49-R49)</f>
      </c>
      <c r="T49" s="4">
        <f>IF($K49="","",(S49-V49)/J49*100)</f>
      </c>
      <c r="U49" s="4">
        <f>IF($K49="","",M49-Q49)</f>
      </c>
      <c r="W49" s="4">
        <f>IF($K49="","",S49-V49)</f>
      </c>
    </row>
    <row r="50" spans="1:28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IF($K50="","",K50/100*11)</f>
      </c>
      <c r="O50" s="4">
        <v>8.99</v>
      </c>
      <c r="P50" s="4"/>
      <c r="Q50" s="4">
        <f>IF($K50="","",P50*20%)</f>
      </c>
      <c r="R50" s="4">
        <v>1</v>
      </c>
      <c r="S50" s="4">
        <f>IF($K50="","",L50-M50-N50-O50-P50-Q50-R50)</f>
      </c>
      <c r="T50" s="4">
        <f>IF($K50="","",(S50-V50)/J50*100)</f>
      </c>
      <c r="U50" s="4">
        <f>IF($K50="","",M50-Q50)</f>
      </c>
      <c r="W50" s="4">
        <f>IF($K50="","",S50-V50)</f>
      </c>
    </row>
    <row r="51" spans="1:28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IF($K51="","",K51/100*11)</f>
      </c>
      <c r="O51" s="4">
        <v>8.99</v>
      </c>
      <c r="P51" s="4"/>
      <c r="Q51" s="4">
        <f>IF($K51="","",P51*20%)</f>
      </c>
      <c r="R51" s="4">
        <v>1</v>
      </c>
      <c r="S51" s="4">
        <f>IF($K51="","",L51-M51-N51-O51-P51-Q51-R51)</f>
      </c>
      <c r="T51" s="4">
        <f>IF($K51="","",(S51-V51)/J51*100)</f>
      </c>
      <c r="U51" s="4">
        <f>IF($K51="","",M51-Q51)</f>
      </c>
      <c r="W51" s="4">
        <f>IF($K51="","",S51-V51)</f>
      </c>
    </row>
    <row r="52" spans="1:28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IF($K52="","",K52/100*11)</f>
      </c>
      <c r="O52" s="4">
        <v>8.99</v>
      </c>
      <c r="P52" s="4"/>
      <c r="Q52" s="4">
        <f>IF($K52="","",P52*20%)</f>
      </c>
      <c r="R52" s="4">
        <v>1</v>
      </c>
      <c r="S52" s="4">
        <f>IF($K52="","",L52-M52-N52-O52-P52-Q52-R52)</f>
      </c>
      <c r="T52" s="4">
        <f>IF($K52="","",(S52-V52)/J52*100)</f>
      </c>
      <c r="U52" s="4">
        <f>IF($K52="","",M52-Q52)</f>
      </c>
      <c r="W52" s="4">
        <f>IF($K52="","",S52-V52)</f>
      </c>
    </row>
    <row r="53" spans="1:28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IF($K53="","",K53/100*11)</f>
      </c>
      <c r="O53" s="4">
        <v>8.99</v>
      </c>
      <c r="P53" s="4"/>
      <c r="Q53" s="4">
        <f>IF($K53="","",P53*20%)</f>
      </c>
      <c r="R53" s="4">
        <v>1</v>
      </c>
      <c r="S53" s="4">
        <f>IF($K53="","",L53-M53-N53-O53-P53-Q53-R53)</f>
      </c>
      <c r="T53" s="4">
        <f>IF($K53="","",(S53-V53)/J53*100)</f>
      </c>
      <c r="U53" s="4">
        <f>IF($K53="","",M53-Q53)</f>
      </c>
      <c r="W53" s="4">
        <f>IF($K53="","",S53-V53)</f>
      </c>
    </row>
    <row r="54" spans="1:28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IF($K54="","",K54/100*11)</f>
      </c>
      <c r="O54" s="4">
        <v>8.99</v>
      </c>
      <c r="P54" s="4"/>
      <c r="Q54" s="4">
        <f>IF($K54="","",P54*20%)</f>
      </c>
      <c r="R54" s="4">
        <v>1</v>
      </c>
      <c r="S54" s="4">
        <f>IF($K54="","",L54-M54-N54-O54-P54-Q54-R54)</f>
      </c>
      <c r="T54" s="4">
        <f>IF($K54="","",(S54-V54)/J54*100)</f>
      </c>
      <c r="U54" s="4">
        <f>IF($K54="","",M54-Q54)</f>
      </c>
      <c r="W54" s="4">
        <f>IF($K54="","",S54-V54)</f>
      </c>
    </row>
    <row r="55" spans="1:28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IF($K55="","",K55/100*11)</f>
      </c>
      <c r="O55" s="4">
        <v>8.99</v>
      </c>
      <c r="P55" s="4"/>
      <c r="Q55" s="4">
        <f>IF($K55="","",P55*20%)</f>
      </c>
      <c r="R55" s="4">
        <v>1</v>
      </c>
      <c r="S55" s="4">
        <f>IF($K55="","",L55-M55-N55-O55-P55-Q55-R55)</f>
      </c>
      <c r="T55" s="4">
        <f>IF($K55="","",(S55-V55)/J55*100)</f>
      </c>
      <c r="U55" s="4">
        <f>IF($K55="","",M55-Q55)</f>
      </c>
      <c r="W55" s="4">
        <f>IF($K55="","",S55-V55)</f>
      </c>
    </row>
    <row r="56" spans="1:28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IF($K56="","",K56/100*11)</f>
      </c>
      <c r="O56" s="4">
        <v>8.99</v>
      </c>
      <c r="P56" s="4"/>
      <c r="Q56" s="4">
        <f>IF($K56="","",P56*20%)</f>
      </c>
      <c r="R56" s="4">
        <v>1</v>
      </c>
      <c r="S56" s="4">
        <f>IF($K56="","",L56-M56-N56-O56-P56-Q56-R56)</f>
      </c>
      <c r="T56" s="4">
        <f>IF($K56="","",(S56-V56)/J56*100)</f>
      </c>
      <c r="U56" s="4">
        <f>IF($K56="","",M56-Q56)</f>
      </c>
      <c r="W56" s="4">
        <f>IF($K56="","",S56-V56)</f>
      </c>
    </row>
    <row r="57" spans="1:28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IF($K57="","",K57/100*11)</f>
      </c>
      <c r="O57" s="4">
        <v>8.99</v>
      </c>
      <c r="P57" s="4"/>
      <c r="Q57" s="4">
        <f>IF($K57="","",P57*20%)</f>
      </c>
      <c r="R57" s="4">
        <v>1</v>
      </c>
      <c r="S57" s="4">
        <f>IF($K57="","",L57-M57-N57-O57-P57-Q57-R57)</f>
      </c>
      <c r="T57" s="4">
        <f>IF($K57="","",(S57-V57)/J57*100)</f>
      </c>
      <c r="U57" s="4">
        <f>IF($K57="","",M57-Q57)</f>
      </c>
      <c r="W57" s="4">
        <f>IF($K57="","",S57-V57)</f>
      </c>
    </row>
    <row r="58" spans="1:28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IF($K58="","",K58/100*11)</f>
      </c>
      <c r="O58" s="4">
        <v>8.99</v>
      </c>
      <c r="P58" s="4"/>
      <c r="Q58" s="4">
        <f>IF($K58="","",P58*20%)</f>
      </c>
      <c r="R58" s="4">
        <v>1</v>
      </c>
      <c r="S58" s="4">
        <f>IF($K58="","",L58-M58-N58-O58-P58-Q58-R58)</f>
      </c>
      <c r="T58" s="4">
        <f>IF($K58="","",(S58-V58)/J58*100)</f>
      </c>
      <c r="U58" s="4">
        <f>IF($K58="","",M58-Q58)</f>
      </c>
      <c r="W58" s="4">
        <f>IF($K58="","",S58-V58)</f>
      </c>
    </row>
    <row r="59" spans="1:28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IF($K59="","",K59/100*11)</f>
      </c>
      <c r="O59" s="4">
        <v>8.99</v>
      </c>
      <c r="P59" s="4"/>
      <c r="Q59" s="4">
        <f>IF($K59="","",P59*20%)</f>
      </c>
      <c r="R59" s="4">
        <v>1</v>
      </c>
      <c r="S59" s="4">
        <f>IF($K59="","",L59-M59-N59-O59-P59-Q59-R59)</f>
      </c>
      <c r="T59" s="4">
        <f>IF($K59="","",(S59-V59)/J59*100)</f>
      </c>
      <c r="U59" s="4">
        <f>IF($K59="","",M59-Q59)</f>
      </c>
      <c r="W59" s="4">
        <f>IF($K59="","",S59-V59)</f>
      </c>
    </row>
    <row r="60" spans="1:28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IF($K60="","",K60/100*11)</f>
      </c>
      <c r="O60" s="4">
        <v>8.99</v>
      </c>
      <c r="P60" s="4"/>
      <c r="Q60" s="4">
        <f>IF($K60="","",P60*20%)</f>
      </c>
      <c r="R60" s="4">
        <v>1</v>
      </c>
      <c r="S60" s="4">
        <f>IF($K60="","",L60-M60-N60-O60-P60-Q60-R60)</f>
      </c>
      <c r="T60" s="4">
        <f>IF($K60="","",(S60-V60)/J60*100)</f>
      </c>
      <c r="U60" s="4">
        <f>IF($K60="","",M60-Q60)</f>
      </c>
      <c r="W60" s="4">
        <f>IF($K60="","",S60-V60)</f>
      </c>
    </row>
    <row r="61" spans="1:28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IF($K61="","",K61/100*11)</f>
      </c>
      <c r="O61" s="4">
        <v>8.99</v>
      </c>
      <c r="P61" s="4"/>
      <c r="Q61" s="4">
        <f>IF($K61="","",P61*20%)</f>
      </c>
      <c r="R61" s="4">
        <v>1</v>
      </c>
      <c r="S61" s="4">
        <f>IF($K61="","",L61-M61-N61-O61-P61-Q61-R61)</f>
      </c>
      <c r="T61" s="4">
        <f>IF($K61="","",(S61-V61)/J61*100)</f>
      </c>
      <c r="U61" s="4">
        <f>IF($K61="","",M61-Q61)</f>
      </c>
      <c r="W61" s="4">
        <f>IF($K61="","",S61-V61)</f>
      </c>
    </row>
    <row r="62" spans="1:28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IF($K62="","",K62/100*11)</f>
      </c>
      <c r="O62" s="4">
        <v>8.99</v>
      </c>
      <c r="P62" s="4"/>
      <c r="Q62" s="4">
        <f>IF($K62="","",P62*20%)</f>
      </c>
      <c r="R62" s="4">
        <v>1</v>
      </c>
      <c r="S62" s="4">
        <f>IF($K62="","",L62-M62-N62-O62-P62-Q62-R62)</f>
      </c>
      <c r="T62" s="4">
        <f>IF($K62="","",(S62-V62)/J62*100)</f>
      </c>
      <c r="U62" s="4">
        <f>IF($K62="","",M62-Q62)</f>
      </c>
      <c r="W62" s="4">
        <f>IF($K62="","",S62-V62)</f>
      </c>
    </row>
    <row r="63" spans="1:28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IF($K63="","",K63/100*11)</f>
      </c>
      <c r="O63" s="4">
        <v>8.99</v>
      </c>
      <c r="P63" s="4"/>
      <c r="Q63" s="4">
        <f>IF($K63="","",P63*20%)</f>
      </c>
      <c r="R63" s="4">
        <v>1</v>
      </c>
      <c r="S63" s="4">
        <f>IF($K63="","",L63-M63-N63-O63-P63-Q63-R63)</f>
      </c>
      <c r="T63" s="4">
        <f>IF($K63="","",(S63-V63)/J63*100)</f>
      </c>
      <c r="U63" s="4">
        <f>IF($K63="","",M63-Q63)</f>
      </c>
      <c r="W63" s="4">
        <f>IF($K63="","",S63-V63)</f>
      </c>
    </row>
    <row r="64" spans="1:28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IF($K64="","",K64/100*11)</f>
      </c>
      <c r="O64" s="4">
        <v>8.99</v>
      </c>
      <c r="P64" s="4"/>
      <c r="Q64" s="4">
        <f>IF($K64="","",P64*20%)</f>
      </c>
      <c r="R64" s="4">
        <v>1</v>
      </c>
      <c r="S64" s="4">
        <f>IF($K64="","",L64-M64-N64-O64-P64-Q64-R64)</f>
      </c>
      <c r="T64" s="4">
        <f>IF($K64="","",(S64-V64)/J64*100)</f>
      </c>
      <c r="U64" s="4">
        <f>IF($K64="","",M64-Q64)</f>
      </c>
      <c r="W64" s="4">
        <f>IF($K64="","",S64-V64)</f>
      </c>
    </row>
    <row r="65" spans="1:28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IF($K65="","",K65/100*11)</f>
      </c>
      <c r="O65" s="4">
        <v>8.99</v>
      </c>
      <c r="P65" s="4"/>
      <c r="Q65" s="4">
        <f>IF($K65="","",P65*20%)</f>
      </c>
      <c r="R65" s="4">
        <v>1</v>
      </c>
      <c r="S65" s="4">
        <f>IF($K65="","",L65-M65-N65-O65-P65-Q65-R65)</f>
      </c>
      <c r="T65" s="4">
        <f>IF($K65="","",(S65-V65)/J65*100)</f>
      </c>
      <c r="U65" s="4">
        <f>IF($K65="","",M65-Q65)</f>
      </c>
      <c r="W65" s="4">
        <f>IF($K65="","",S65-V65)</f>
      </c>
    </row>
    <row r="66" spans="1:28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IF($K66="","",K66/100*11)</f>
      </c>
      <c r="O66" s="4">
        <v>8.99</v>
      </c>
      <c r="P66" s="4"/>
      <c r="Q66" s="4">
        <f>IF($K66="","",P66*20%)</f>
      </c>
      <c r="R66" s="4">
        <v>1</v>
      </c>
      <c r="S66" s="4">
        <f>IF($K66="","",L66-M66-N66-O66-P66-Q66-R66)</f>
      </c>
      <c r="T66" s="4">
        <f>IF($K66="","",(S66-V66)/J66*100)</f>
      </c>
      <c r="U66" s="4">
        <f>IF($K66="","",M66-Q66)</f>
      </c>
      <c r="W66" s="4">
        <f>IF($K66="","",S66-V66)</f>
      </c>
    </row>
    <row r="67" spans="1:28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IF($K67="","",K67/100*11)</f>
      </c>
      <c r="O67" s="4">
        <v>8.99</v>
      </c>
      <c r="P67" s="4"/>
      <c r="Q67" s="4">
        <f>IF($K67="","",P67*20%)</f>
      </c>
      <c r="R67" s="4">
        <v>1</v>
      </c>
      <c r="S67" s="4">
        <f>IF($K67="","",L67-M67-N67-O67-P67-Q67-R67)</f>
      </c>
      <c r="T67" s="4">
        <f>IF($K67="","",(S67-V67)/J67*100)</f>
      </c>
      <c r="U67" s="4">
        <f>IF($K67="","",M67-Q67)</f>
      </c>
      <c r="W67" s="4">
        <f>IF($K67="","",S67-V67)</f>
      </c>
    </row>
    <row r="68" spans="1:28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IF($K68="","",K68/100*11)</f>
      </c>
      <c r="O68" s="4">
        <v>8.99</v>
      </c>
      <c r="P68" s="4"/>
      <c r="Q68" s="4">
        <f>IF($K68="","",P68*20%)</f>
      </c>
      <c r="R68" s="4">
        <v>1</v>
      </c>
      <c r="S68" s="4">
        <f>IF($K68="","",L68-M68-N68-O68-P68-Q68-R68)</f>
      </c>
      <c r="T68" s="4">
        <f>IF($K68="","",(S68-V68)/J68*100)</f>
      </c>
      <c r="U68" s="4">
        <f>IF($K68="","",M68-Q68)</f>
      </c>
      <c r="W68" s="4">
        <f>IF($K68="","",S68-V68)</f>
      </c>
    </row>
    <row r="69" spans="1:28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IF($K69="","",K69/100*11)</f>
      </c>
      <c r="O69" s="4">
        <v>8.99</v>
      </c>
      <c r="P69" s="4"/>
      <c r="Q69" s="4">
        <f>IF($K69="","",P69*20%)</f>
      </c>
      <c r="R69" s="4">
        <v>1</v>
      </c>
      <c r="S69" s="4">
        <f>IF($K69="","",L69-M69-N69-O69-P69-Q69-R69)</f>
      </c>
      <c r="T69" s="4">
        <f>IF($K69="","",(S69-V69)/J69*100)</f>
      </c>
      <c r="U69" s="4">
        <f>IF($K69="","",M69-Q69)</f>
      </c>
      <c r="W69" s="4">
        <f>IF($K69="","",S69-V69)</f>
      </c>
    </row>
    <row r="70" spans="1:28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IF($K70="","",K70/100*11)</f>
      </c>
      <c r="O70" s="4">
        <v>8.99</v>
      </c>
      <c r="P70" s="4"/>
      <c r="Q70" s="4">
        <f>IF($K70="","",P70*20%)</f>
      </c>
      <c r="R70" s="4">
        <v>1</v>
      </c>
      <c r="S70" s="4">
        <f>IF($K70="","",L70-M70-N70-O70-P70-Q70-R70)</f>
      </c>
      <c r="T70" s="4">
        <f>IF($K70="","",(S70-V70)/J70*100)</f>
      </c>
      <c r="U70" s="4">
        <f>IF($K70="","",M70-Q70)</f>
      </c>
      <c r="W70" s="4">
        <f>IF($K70="","",S70-V70)</f>
      </c>
    </row>
    <row r="71" spans="1:28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IF($K71="","",K71/100*11)</f>
      </c>
      <c r="O71" s="4">
        <v>8.99</v>
      </c>
      <c r="P71" s="4"/>
      <c r="Q71" s="4">
        <f>IF($K71="","",P71*20%)</f>
      </c>
      <c r="R71" s="4">
        <v>1</v>
      </c>
      <c r="S71" s="4">
        <f>IF($K71="","",L71-M71-N71-O71-P71-Q71-R71)</f>
      </c>
      <c r="T71" s="4">
        <f>IF($K71="","",(S71-V71)/J71*100)</f>
      </c>
      <c r="U71" s="4">
        <f>IF($K71="","",M71-Q71)</f>
      </c>
      <c r="W71" s="4">
        <f>IF($K71="","",S71-V71)</f>
      </c>
    </row>
    <row r="72" spans="1:28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IF($K72="","",K72/100*11)</f>
      </c>
      <c r="O72" s="4">
        <v>8.99</v>
      </c>
      <c r="P72" s="4"/>
      <c r="Q72" s="4">
        <f>IF($K72="","",P72*20%)</f>
      </c>
      <c r="R72" s="4">
        <v>1</v>
      </c>
      <c r="S72" s="4">
        <f>IF($K72="","",L72-M72-N72-O72-P72-Q72-R72)</f>
      </c>
      <c r="T72" s="4">
        <f>IF($K72="","",(S72-V72)/J72*100)</f>
      </c>
      <c r="U72" s="4">
        <f>IF($K72="","",M72-Q72)</f>
      </c>
      <c r="W72" s="4">
        <f>IF($K72="","",S72-V72)</f>
      </c>
    </row>
    <row r="73" spans="1:28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IF($K73="","",K73/100*11)</f>
      </c>
      <c r="O73" s="4">
        <v>8.99</v>
      </c>
      <c r="P73" s="4"/>
      <c r="Q73" s="4">
        <f>IF($K73="","",P73*20%)</f>
      </c>
      <c r="R73" s="4">
        <v>1</v>
      </c>
      <c r="S73" s="4">
        <f>IF($K73="","",L73-M73-N73-O73-P73-Q73-R73)</f>
      </c>
      <c r="T73" s="4">
        <f>IF($K73="","",(S73-V73)/J73*100)</f>
      </c>
      <c r="U73" s="4">
        <f>IF($K73="","",M73-Q73)</f>
      </c>
      <c r="W73" s="4">
        <f>IF($K73="","",S73-V73)</f>
      </c>
    </row>
    <row r="74" spans="1:28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IF($K74="","",K74/100*11)</f>
      </c>
      <c r="O74" s="4">
        <v>8.99</v>
      </c>
      <c r="P74" s="4"/>
      <c r="Q74" s="4">
        <f>IF($K74="","",P74*20%)</f>
      </c>
      <c r="R74" s="4">
        <v>1</v>
      </c>
      <c r="S74" s="4">
        <f>IF($K74="","",L74-M74-N74-O74-P74-Q74-R74)</f>
      </c>
      <c r="T74" s="4">
        <f>IF($K74="","",(S74-V74)/J74*100)</f>
      </c>
      <c r="U74" s="4">
        <f>IF($K74="","",M74-Q74)</f>
      </c>
      <c r="W74" s="4">
        <f>IF($K74="","",S74-V74)</f>
      </c>
    </row>
    <row r="75" spans="1:28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IF($K75="","",K75/100*11)</f>
      </c>
      <c r="O75" s="4">
        <v>8.99</v>
      </c>
      <c r="P75" s="4"/>
      <c r="Q75" s="4">
        <f>IF($K75="","",P75*20%)</f>
      </c>
      <c r="R75" s="4">
        <v>1</v>
      </c>
      <c r="S75" s="4">
        <f>IF($K75="","",L75-M75-N75-O75-P75-Q75-R75)</f>
      </c>
      <c r="T75" s="4">
        <f>IF($K75="","",(S75-V75)/J75*100)</f>
      </c>
      <c r="U75" s="4">
        <f>IF($K75="","",M75-Q75)</f>
      </c>
      <c r="W75" s="4">
        <f>IF($K75="","",S75-V75)</f>
      </c>
    </row>
    <row r="76" spans="1:28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IF($K76="","",K76/100*11)</f>
      </c>
      <c r="O76" s="4">
        <v>8.99</v>
      </c>
      <c r="P76" s="4"/>
      <c r="Q76" s="4">
        <f>IF($K76="","",P76*20%)</f>
      </c>
      <c r="R76" s="4">
        <v>1</v>
      </c>
      <c r="S76" s="4">
        <f>IF($K76="","",L76-M76-N76-O76-P76-Q76-R76)</f>
      </c>
      <c r="T76" s="4">
        <f>IF($K76="","",(S76-V76)/J76*100)</f>
      </c>
      <c r="U76" s="4">
        <f>IF($K76="","",M76-Q76)</f>
      </c>
      <c r="W76" s="4">
        <f>IF($K76="","",S76-V76)</f>
      </c>
    </row>
    <row r="77" spans="1:28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IF($K77="","",K77/100*11)</f>
      </c>
      <c r="O77" s="4">
        <v>8.99</v>
      </c>
      <c r="P77" s="4"/>
      <c r="Q77" s="4">
        <f>IF($K77="","",P77*20%)</f>
      </c>
      <c r="R77" s="4">
        <v>1</v>
      </c>
      <c r="S77" s="4">
        <f>IF($K77="","",L77-M77-N77-O77-P77-Q77-R77)</f>
      </c>
      <c r="T77" s="4">
        <f>IF($K77="","",(S77-V77)/J77*100)</f>
      </c>
      <c r="U77" s="4">
        <f>IF($K77="","",M77-Q77)</f>
      </c>
      <c r="W77" s="4">
        <f>IF($K77="","",S77-V77)</f>
      </c>
    </row>
    <row r="78" spans="1:28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IF($K78="","",K78/100*11)</f>
      </c>
      <c r="O78" s="4">
        <v>8.99</v>
      </c>
      <c r="P78" s="4"/>
      <c r="Q78" s="4">
        <f>IF($K78="","",P78*20%)</f>
      </c>
      <c r="R78" s="4">
        <v>1</v>
      </c>
      <c r="S78" s="4">
        <f>IF($K78="","",L78-M78-N78-O78-P78-Q78-R78)</f>
      </c>
      <c r="T78" s="4">
        <f>IF($K78="","",(S78-V78)/J78*100)</f>
      </c>
      <c r="U78" s="4">
        <f>IF($K78="","",M78-Q78)</f>
      </c>
      <c r="W78" s="4">
        <f>IF($K78="","",S78-V78)</f>
      </c>
    </row>
    <row r="79" spans="1:28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IF($K79="","",K79/100*11)</f>
      </c>
      <c r="O79" s="4">
        <v>8.99</v>
      </c>
      <c r="P79" s="4"/>
      <c r="Q79" s="4">
        <f>IF($K79="","",P79*20%)</f>
      </c>
      <c r="R79" s="4">
        <v>1</v>
      </c>
      <c r="S79" s="4">
        <f>IF($K79="","",L79-M79-N79-O79-P79-Q79-R79)</f>
      </c>
      <c r="T79" s="4">
        <f>IF($K79="","",(S79-V79)/J79*100)</f>
      </c>
      <c r="U79" s="4">
        <f>IF($K79="","",M79-Q79)</f>
      </c>
      <c r="W79" s="4">
        <f>IF($K79="","",S79-V79)</f>
      </c>
    </row>
    <row r="80" spans="1:28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IF($K80="","",K80/100*11)</f>
      </c>
      <c r="O80" s="4">
        <v>8.99</v>
      </c>
      <c r="P80" s="4"/>
      <c r="Q80" s="4">
        <f>IF($K80="","",P80*20%)</f>
      </c>
      <c r="R80" s="4">
        <v>1</v>
      </c>
      <c r="S80" s="4">
        <f>IF($K80="","",L80-M80-N80-O80-P80-Q80-R80)</f>
      </c>
      <c r="T80" s="4">
        <f>IF($K80="","",(S80-V80)/J80*100)</f>
      </c>
      <c r="U80" s="4">
        <f>IF($K80="","",M80-Q80)</f>
      </c>
      <c r="W80" s="4">
        <f>IF($K80="","",S80-V80)</f>
      </c>
    </row>
    <row r="81" spans="1:28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IF($K81="","",K81/100*11)</f>
      </c>
      <c r="O81" s="4">
        <v>8.99</v>
      </c>
      <c r="P81" s="4"/>
      <c r="Q81" s="4">
        <f>IF($K81="","",P81*20%)</f>
      </c>
      <c r="R81" s="4">
        <v>1</v>
      </c>
      <c r="S81" s="4">
        <f>IF($K81="","",L81-M81-N81-O81-P81-Q81-R81)</f>
      </c>
      <c r="T81" s="4">
        <f>IF($K81="","",(S81-V81)/J81*100)</f>
      </c>
      <c r="U81" s="4">
        <f>IF($K81="","",M81-Q81)</f>
      </c>
      <c r="W81" s="4">
        <f>IF($K81="","",S81-V81)</f>
      </c>
    </row>
    <row r="82" spans="1:28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IF($K82="","",K82/100*11)</f>
      </c>
      <c r="O82" s="4">
        <v>8.99</v>
      </c>
      <c r="P82" s="4"/>
      <c r="Q82" s="4">
        <f>IF($K82="","",P82*20%)</f>
      </c>
      <c r="R82" s="4">
        <v>1</v>
      </c>
      <c r="S82" s="4">
        <f>IF($K82="","",L82-M82-N82-O82-P82-Q82-R82)</f>
      </c>
      <c r="T82" s="4">
        <f>IF($K82="","",(S82-V82)/J82*100)</f>
      </c>
      <c r="U82" s="4">
        <f>IF($K82="","",M82-Q82)</f>
      </c>
      <c r="W82" s="4">
        <f>IF($K82="","",S82-V82)</f>
      </c>
    </row>
    <row r="83" spans="1:28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IF($K83="","",K83/100*11)</f>
      </c>
      <c r="O83" s="4">
        <v>8.99</v>
      </c>
      <c r="P83" s="4"/>
      <c r="Q83" s="4">
        <f>IF($K83="","",P83*20%)</f>
      </c>
      <c r="R83" s="4">
        <v>1</v>
      </c>
      <c r="S83" s="4">
        <f>IF($K83="","",L83-M83-N83-O83-P83-Q83-R83)</f>
      </c>
      <c r="T83" s="4">
        <f>IF($K83="","",(S83-V83)/J83*100)</f>
      </c>
      <c r="U83" s="4">
        <f>IF($K83="","",M83-Q83)</f>
      </c>
      <c r="W83" s="4">
        <f>IF($K83="","",S83-V83)</f>
      </c>
    </row>
    <row r="84" spans="1:28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IF($K84="","",K84/100*11)</f>
      </c>
      <c r="O84" s="4">
        <v>8.99</v>
      </c>
      <c r="P84" s="4"/>
      <c r="Q84" s="4">
        <f>IF($K84="","",P84*20%)</f>
      </c>
      <c r="R84" s="4">
        <v>1</v>
      </c>
      <c r="S84" s="4">
        <f>IF($K84="","",L84-M84-N84-O84-P84-Q84-R84)</f>
      </c>
      <c r="T84" s="4">
        <f>IF($K84="","",(S84-V84)/J84*100)</f>
      </c>
      <c r="U84" s="4">
        <f>IF($K84="","",M84-Q84)</f>
      </c>
      <c r="W84" s="4">
        <f>IF($K84="","",S84-V84)</f>
      </c>
    </row>
    <row r="85" spans="1:28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IF($K85="","",K85/100*11)</f>
      </c>
      <c r="O85" s="4">
        <v>8.99</v>
      </c>
      <c r="P85" s="4"/>
      <c r="Q85" s="4">
        <f>IF($K85="","",P85*20%)</f>
      </c>
      <c r="R85" s="4">
        <v>1</v>
      </c>
      <c r="S85" s="4">
        <f>IF($K85="","",L85-M85-N85-O85-P85-Q85-R85)</f>
      </c>
      <c r="T85" s="4">
        <f>IF($K85="","",(S85-V85)/J85*100)</f>
      </c>
      <c r="U85" s="4">
        <f>IF($K85="","",M85-Q85)</f>
      </c>
      <c r="W85" s="4">
        <f>IF($K85="","",S85-V85)</f>
      </c>
    </row>
    <row r="86" spans="1:28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IF($K86="","",K86/100*11)</f>
      </c>
      <c r="O86" s="4">
        <v>8.99</v>
      </c>
      <c r="P86" s="4"/>
      <c r="Q86" s="4">
        <f>IF($K86="","",P86*20%)</f>
      </c>
      <c r="R86" s="4">
        <v>1</v>
      </c>
      <c r="S86" s="4">
        <f>IF($K86="","",L86-M86-N86-O86-P86-Q86-R86)</f>
      </c>
      <c r="T86" s="4">
        <f>IF($K86="","",(S86-V86)/J86*100)</f>
      </c>
      <c r="U86" s="4">
        <f>IF($K86="","",M86-Q86)</f>
      </c>
      <c r="W86" s="4">
        <f>IF($K86="","",S86-V86)</f>
      </c>
    </row>
    <row r="87" spans="1:28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IF($K87="","",K87/100*11)</f>
      </c>
      <c r="O87" s="4">
        <v>8.99</v>
      </c>
      <c r="P87" s="4"/>
      <c r="Q87" s="4">
        <f>IF($K87="","",P87*20%)</f>
      </c>
      <c r="R87" s="4">
        <v>1</v>
      </c>
      <c r="S87" s="4">
        <f>IF($K87="","",L87-M87-N87-O87-P87-Q87-R87)</f>
      </c>
      <c r="T87" s="4">
        <f>IF($K87="","",(S87-V87)/J87*100)</f>
      </c>
      <c r="U87" s="4">
        <f>IF($K87="","",M87-Q87)</f>
      </c>
      <c r="W87" s="4">
        <f>IF($K87="","",S87-V87)</f>
      </c>
    </row>
    <row r="88" spans="1:28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IF($K88="","",K88/100*11)</f>
      </c>
      <c r="O88" s="4">
        <v>8.99</v>
      </c>
      <c r="P88" s="4"/>
      <c r="Q88" s="4">
        <f>IF($K88="","",P88*20%)</f>
      </c>
      <c r="R88" s="4">
        <v>1</v>
      </c>
      <c r="S88" s="4">
        <f>IF($K88="","",L88-M88-N88-O88-P88-Q88-R88)</f>
      </c>
      <c r="T88" s="4">
        <f>IF($K88="","",(S88-V88)/J88*100)</f>
      </c>
      <c r="U88" s="4">
        <f>IF($K88="","",M88-Q88)</f>
      </c>
      <c r="W88" s="4">
        <f>IF($K88="","",S88-V88)</f>
      </c>
    </row>
    <row r="89" spans="1:28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IF($K89="","",K89/100*11)</f>
      </c>
      <c r="O89" s="4">
        <v>8.99</v>
      </c>
      <c r="P89" s="4"/>
      <c r="Q89" s="4">
        <f>IF($K89="","",P89*20%)</f>
      </c>
      <c r="R89" s="4">
        <v>1</v>
      </c>
      <c r="S89" s="4">
        <f>IF($K89="","",L89-M89-N89-O89-P89-Q89-R89)</f>
      </c>
      <c r="T89" s="4">
        <f>IF($K89="","",(S89-V89)/J89*100)</f>
      </c>
      <c r="U89" s="4">
        <f>IF($K89="","",M89-Q89)</f>
      </c>
      <c r="W89" s="4">
        <f>IF($K89="","",S89-V89)</f>
      </c>
    </row>
    <row r="90" spans="1:28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IF($K90="","",K90/100*11)</f>
      </c>
      <c r="O90" s="4">
        <v>8.99</v>
      </c>
      <c r="P90" s="4"/>
      <c r="Q90" s="4">
        <f>IF($K90="","",P90*20%)</f>
      </c>
      <c r="R90" s="4">
        <v>1</v>
      </c>
      <c r="S90" s="4">
        <f>IF($K90="","",L90-M90-N90-O90-P90-Q90-R90)</f>
      </c>
      <c r="T90" s="4">
        <f>IF($K90="","",(S90-V90)/J90*100)</f>
      </c>
      <c r="U90" s="4">
        <f>IF($K90="","",M90-Q90)</f>
      </c>
      <c r="W90" s="4">
        <f>IF($K90="","",S90-V90)</f>
      </c>
    </row>
    <row r="91" spans="1:28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IF($K91="","",K91/100*11)</f>
      </c>
      <c r="O91" s="4">
        <v>8.99</v>
      </c>
      <c r="P91" s="4"/>
      <c r="Q91" s="4">
        <f>IF($K91="","",P91*20%)</f>
      </c>
      <c r="R91" s="4">
        <v>1</v>
      </c>
      <c r="S91" s="4">
        <f>IF($K91="","",L91-M91-N91-O91-P91-Q91-R91)</f>
      </c>
      <c r="T91" s="4">
        <f>IF($K91="","",(S91-V91)/J91*100)</f>
      </c>
      <c r="U91" s="4">
        <f>IF($K91="","",M91-Q91)</f>
      </c>
      <c r="W91" s="4">
        <f>IF($K91="","",S91-V91)</f>
      </c>
    </row>
    <row r="92" spans="1:28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IF($K92="","",K92/100*11)</f>
      </c>
      <c r="O92" s="4">
        <v>8.99</v>
      </c>
      <c r="P92" s="4"/>
      <c r="Q92" s="4">
        <f>IF($K92="","",P92*20%)</f>
      </c>
      <c r="R92" s="4">
        <v>1</v>
      </c>
      <c r="S92" s="4">
        <f>IF($K92="","",L92-M92-N92-O92-P92-Q92-R92)</f>
      </c>
      <c r="T92" s="4">
        <f>IF($K92="","",(S92-V92)/J92*100)</f>
      </c>
      <c r="U92" s="4">
        <f>IF($K92="","",M92-Q92)</f>
      </c>
      <c r="W92" s="4">
        <f>IF($K92="","",S92-V92)</f>
      </c>
    </row>
    <row r="93" spans="1:28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IF($K93="","",K93/100*11)</f>
      </c>
      <c r="O93" s="4">
        <v>8.99</v>
      </c>
      <c r="P93" s="4"/>
      <c r="Q93" s="4">
        <f>IF($K93="","",P93*20%)</f>
      </c>
      <c r="R93" s="4">
        <v>1</v>
      </c>
      <c r="S93" s="4">
        <f>IF($K93="","",L93-M93-N93-O93-P93-Q93-R93)</f>
      </c>
      <c r="T93" s="4">
        <f>IF($K93="","",(S93-V93)/J93*100)</f>
      </c>
      <c r="U93" s="4">
        <f>IF($K93="","",M93-Q93)</f>
      </c>
      <c r="W93" s="4">
        <f>IF($K93="","",S93-V93)</f>
      </c>
    </row>
    <row r="94" spans="1:28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IF($K94="","",K94/100*11)</f>
      </c>
      <c r="O94" s="4">
        <v>8.99</v>
      </c>
      <c r="P94" s="4"/>
      <c r="Q94" s="4">
        <f>IF($K94="","",P94*20%)</f>
      </c>
      <c r="R94" s="4">
        <v>1</v>
      </c>
      <c r="S94" s="4">
        <f>IF($K94="","",L94-M94-N94-O94-P94-Q94-R94)</f>
      </c>
      <c r="T94" s="4">
        <f>IF($K94="","",(S94-V94)/J94*100)</f>
      </c>
      <c r="U94" s="4">
        <f>IF($K94="","",M94-Q94)</f>
      </c>
      <c r="W94" s="4">
        <f>IF($K94="","",S94-V94)</f>
      </c>
    </row>
    <row r="95" spans="1:28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IF($K95="","",K95/100*11)</f>
      </c>
      <c r="O95" s="4">
        <v>8.99</v>
      </c>
      <c r="P95" s="4"/>
      <c r="Q95" s="4">
        <f>IF($K95="","",P95*20%)</f>
      </c>
      <c r="R95" s="4">
        <v>1</v>
      </c>
      <c r="S95" s="4">
        <f>IF($K95="","",L95-M95-N95-O95-P95-Q95-R95)</f>
      </c>
      <c r="T95" s="4">
        <f>IF($K95="","",(S95-V95)/J95*100)</f>
      </c>
      <c r="U95" s="4">
        <f>IF($K95="","",M95-Q95)</f>
      </c>
      <c r="W95" s="4">
        <f>IF($K95="","",S95-V95)</f>
      </c>
    </row>
    <row r="96" spans="1:28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IF($K96="","",K96/100*11)</f>
      </c>
      <c r="O96" s="4">
        <v>8.99</v>
      </c>
      <c r="P96" s="4"/>
      <c r="Q96" s="4">
        <f>IF($K96="","",P96*20%)</f>
      </c>
      <c r="R96" s="4">
        <v>1</v>
      </c>
      <c r="S96" s="4">
        <f>IF($K96="","",L96-M96-N96-O96-P96-Q96-R96)</f>
      </c>
      <c r="T96" s="4">
        <f>IF($K96="","",(S96-V96)/J96*100)</f>
      </c>
      <c r="U96" s="4">
        <f>IF($K96="","",M96-Q96)</f>
      </c>
      <c r="W96" s="4">
        <f>IF($K96="","",S96-V96)</f>
      </c>
    </row>
    <row r="97" spans="1:28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IF($K97="","",K97/100*11)</f>
      </c>
      <c r="O97" s="4">
        <v>8.99</v>
      </c>
      <c r="P97" s="4"/>
      <c r="Q97" s="4">
        <f>IF($K97="","",P97*20%)</f>
      </c>
      <c r="R97" s="4">
        <v>1</v>
      </c>
      <c r="S97" s="4">
        <f>IF($K97="","",L97-M97-N97-O97-P97-Q97-R97)</f>
      </c>
      <c r="T97" s="4">
        <f>IF($K97="","",(S97-V97)/J97*100)</f>
      </c>
      <c r="U97" s="4">
        <f>IF($K97="","",M97-Q97)</f>
      </c>
      <c r="W97" s="4">
        <f>IF($K97="","",S97-V97)</f>
      </c>
    </row>
    <row r="98" spans="1:28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IF($K98="","",K98/100*11)</f>
      </c>
      <c r="O98" s="4">
        <v>8.99</v>
      </c>
      <c r="P98" s="4"/>
      <c r="Q98" s="4">
        <f>IF($K98="","",P98*20%)</f>
      </c>
      <c r="R98" s="4">
        <v>1</v>
      </c>
      <c r="S98" s="4">
        <f>IF($K98="","",L98-M98-N98-O98-P98-Q98-R98)</f>
      </c>
      <c r="T98" s="4">
        <f>IF($K98="","",(S98-V98)/J98*100)</f>
      </c>
      <c r="U98" s="4">
        <f>IF($K98="","",M98-Q98)</f>
      </c>
      <c r="W98" s="4">
        <f>IF($K98="","",S98-V98)</f>
      </c>
    </row>
    <row r="99" spans="1:28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IF($K99="","",K99/100*11)</f>
      </c>
      <c r="O99" s="4">
        <v>8.99</v>
      </c>
      <c r="P99" s="4"/>
      <c r="Q99" s="4">
        <f>IF($K99="","",P99*20%)</f>
      </c>
      <c r="R99" s="4">
        <v>1</v>
      </c>
      <c r="S99" s="4">
        <f>IF($K99="","",L99-M99-N99-O99-P99-Q99-R99)</f>
      </c>
      <c r="T99" s="4">
        <f>IF($K99="","",(S99-V99)/J99*100)</f>
      </c>
      <c r="U99" s="4">
        <f>IF($K99="","",M99-Q99)</f>
      </c>
      <c r="W99" s="4">
        <f>IF($K99="","",S99-V99)</f>
      </c>
    </row>
    <row r="100" spans="1:28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IF($K100="","",K100/100*11)</f>
      </c>
      <c r="O100" s="4">
        <v>8.99</v>
      </c>
      <c r="P100" s="4"/>
      <c r="Q100" s="4">
        <f>IF($K100="","",P100*20%)</f>
      </c>
      <c r="R100" s="4">
        <v>1</v>
      </c>
      <c r="S100" s="4">
        <f>IF($K100="","",L100-M100-N100-O100-P100-Q100-R100)</f>
      </c>
      <c r="T100" s="4">
        <f>IF($K100="","",(S100-V100)/J100*100)</f>
      </c>
      <c r="U100" s="4">
        <f>IF($K100="","",M100-Q100)</f>
      </c>
      <c r="W100" s="4">
        <f>IF($K100="","",S100-V100)</f>
      </c>
    </row>
    <row r="101" spans="1:28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IF($K101="","",K101/100*11)</f>
      </c>
      <c r="O101" s="4">
        <v>8.99</v>
      </c>
      <c r="P101" s="4"/>
      <c r="Q101" s="4">
        <f>IF($K101="","",P101*20%)</f>
      </c>
      <c r="R101" s="4">
        <v>1</v>
      </c>
      <c r="S101" s="4">
        <f>IF($K101="","",L101-M101-N101-O101-P101-Q101-R101)</f>
      </c>
      <c r="T101" s="4">
        <f>IF($K101="","",(S101-V101)/J101*100)</f>
      </c>
      <c r="U101" s="4">
        <f>IF($K101="","",M101-Q101)</f>
      </c>
      <c r="W101" s="4">
        <f>IF($K101="","",S101-V101)</f>
      </c>
    </row>
    <row r="102" spans="1:28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IF($K102="","",K102/100*11)</f>
      </c>
      <c r="O102" s="4">
        <v>8.99</v>
      </c>
      <c r="P102" s="4"/>
      <c r="Q102" s="4">
        <f>IF($K102="","",P102*20%)</f>
      </c>
      <c r="R102" s="4">
        <v>1</v>
      </c>
      <c r="S102" s="4">
        <f>IF($K102="","",L102-M102-N102-O102-P102-Q102-R102)</f>
      </c>
      <c r="T102" s="4">
        <f>IF($K102="","",(S102-V102)/J102*100)</f>
      </c>
      <c r="U102" s="4">
        <f>IF($K102="","",M102-Q102)</f>
      </c>
      <c r="W102" s="4">
        <f>IF($K102="","",S102-V102)</f>
      </c>
    </row>
    <row r="103" spans="1:28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IF($K103="","",K103/100*11)</f>
      </c>
      <c r="O103" s="4">
        <v>8.99</v>
      </c>
      <c r="P103" s="4"/>
      <c r="Q103" s="4">
        <f>IF($K103="","",P103*20%)</f>
      </c>
      <c r="R103" s="4">
        <v>1</v>
      </c>
      <c r="S103" s="4">
        <f>IF($K103="","",L103-M103-N103-O103-P103-Q103-R103)</f>
      </c>
      <c r="T103" s="4">
        <f>IF($K103="","",(S103-V103)/J103*100)</f>
      </c>
      <c r="U103" s="4">
        <f>IF($K103="","",M103-Q103)</f>
      </c>
      <c r="W103" s="4">
        <f>IF($K103="","",S103-V103)</f>
      </c>
    </row>
    <row r="104" spans="1:28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IF($K104="","",K104/100*11)</f>
      </c>
      <c r="O104" s="4">
        <v>8.99</v>
      </c>
      <c r="P104" s="4"/>
      <c r="Q104" s="4">
        <f>IF($K104="","",P104*20%)</f>
      </c>
      <c r="R104" s="4">
        <v>1</v>
      </c>
      <c r="S104" s="4">
        <f>IF($K104="","",L104-M104-N104-O104-P104-Q104-R104)</f>
      </c>
      <c r="T104" s="4">
        <f>IF($K104="","",(S104-V104)/J104*100)</f>
      </c>
      <c r="U104" s="4">
        <f>IF($K104="","",M104-Q104)</f>
      </c>
      <c r="W104" s="4">
        <f>IF($K104="","",S104-V104)</f>
      </c>
    </row>
    <row r="105" spans="1:28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IF($K105="","",K105/100*11)</f>
      </c>
      <c r="O105" s="4">
        <v>8.99</v>
      </c>
      <c r="P105" s="4"/>
      <c r="Q105" s="4">
        <f>IF($K105="","",P105*20%)</f>
      </c>
      <c r="R105" s="4">
        <v>1</v>
      </c>
      <c r="S105" s="4">
        <f>IF($K105="","",L105-M105-N105-O105-P105-Q105-R105)</f>
      </c>
      <c r="T105" s="4">
        <f>IF($K105="","",(S105-V105)/J105*100)</f>
      </c>
      <c r="U105" s="4">
        <f>IF($K105="","",M105-Q105)</f>
      </c>
      <c r="W105" s="4">
        <f>IF($K105="","",S105-V105)</f>
      </c>
    </row>
    <row r="106" spans="1:28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IF($K106="","",K106/100*11)</f>
      </c>
      <c r="O106" s="4">
        <v>8.99</v>
      </c>
      <c r="P106" s="4"/>
      <c r="Q106" s="4">
        <f>IF($K106="","",P106*20%)</f>
      </c>
      <c r="R106" s="4">
        <v>1</v>
      </c>
      <c r="S106" s="4">
        <f>IF($K106="","",L106-M106-N106-O106-P106-Q106-R106)</f>
      </c>
      <c r="T106" s="4">
        <f>IF($K106="","",(S106-V106)/J106*100)</f>
      </c>
      <c r="U106" s="4">
        <f>IF($K106="","",M106-Q106)</f>
      </c>
      <c r="W106" s="4">
        <f>IF($K106="","",S106-V106)</f>
      </c>
    </row>
    <row r="107" spans="1:28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IF($K107="","",K107/100*11)</f>
      </c>
      <c r="O107" s="4">
        <v>8.99</v>
      </c>
      <c r="P107" s="4"/>
      <c r="Q107" s="4">
        <f>IF($K107="","",P107*20%)</f>
      </c>
      <c r="R107" s="4">
        <v>1</v>
      </c>
      <c r="S107" s="4">
        <f>IF($K107="","",L107-M107-N107-O107-P107-Q107-R107)</f>
      </c>
      <c r="T107" s="4">
        <f>IF($K107="","",(S107-V107)/J107*100)</f>
      </c>
      <c r="U107" s="4">
        <f>IF($K107="","",M107-Q107)</f>
      </c>
      <c r="W107" s="4">
        <f>IF($K107="","",S107-V107)</f>
      </c>
    </row>
    <row r="108" spans="1:28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IF($K108="","",K108/100*11)</f>
      </c>
      <c r="O108" s="4">
        <v>8.99</v>
      </c>
      <c r="P108" s="4"/>
      <c r="Q108" s="4">
        <f>IF($K108="","",P108*20%)</f>
      </c>
      <c r="R108" s="4">
        <v>1</v>
      </c>
      <c r="S108" s="4">
        <f>IF($K108="","",L108-M108-N108-O108-P108-Q108-R108)</f>
      </c>
      <c r="T108" s="4">
        <f>IF($K108="","",(S108-V108)/J108*100)</f>
      </c>
      <c r="U108" s="4">
        <f>IF($K108="","",M108-Q108)</f>
      </c>
      <c r="W108" s="4">
        <f>IF($K108="","",S108-V108)</f>
      </c>
    </row>
    <row r="109" spans="1:28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IF($K109="","",K109/100*11)</f>
      </c>
      <c r="O109" s="4">
        <v>8.99</v>
      </c>
      <c r="P109" s="4"/>
      <c r="Q109" s="4">
        <f>IF($K109="","",P109*20%)</f>
      </c>
      <c r="R109" s="4">
        <v>1</v>
      </c>
      <c r="S109" s="4">
        <f>IF($K109="","",L109-M109-N109-O109-P109-Q109-R109)</f>
      </c>
      <c r="T109" s="4">
        <f>IF($K109="","",(S109-V109)/J109*100)</f>
      </c>
      <c r="U109" s="4">
        <f>IF($K109="","",M109-Q109)</f>
      </c>
      <c r="W109" s="4">
        <f>IF($K109="","",S109-V109)</f>
      </c>
    </row>
    <row r="110" spans="1:28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IF($K110="","",K110/100*11)</f>
      </c>
      <c r="O110" s="4">
        <v>8.99</v>
      </c>
      <c r="P110" s="4"/>
      <c r="Q110" s="4">
        <f>IF($K110="","",P110*20%)</f>
      </c>
      <c r="R110" s="4">
        <v>1</v>
      </c>
      <c r="S110" s="4">
        <f>IF($K110="","",L110-M110-N110-O110-P110-Q110-R110)</f>
      </c>
      <c r="T110" s="4">
        <f>IF($K110="","",(S110-V110)/J110*100)</f>
      </c>
      <c r="U110" s="4">
        <f>IF($K110="","",M110-Q110)</f>
      </c>
      <c r="W110" s="4">
        <f>IF($K110="","",S110-V110)</f>
      </c>
    </row>
    <row r="111" spans="1:28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IF($K111="","",K111/100*11)</f>
      </c>
      <c r="O111" s="4">
        <v>8.99</v>
      </c>
      <c r="P111" s="4"/>
      <c r="Q111" s="4">
        <f>IF($K111="","",P111*20%)</f>
      </c>
      <c r="R111" s="4">
        <v>1</v>
      </c>
      <c r="S111" s="4">
        <f>IF($K111="","",L111-M111-N111-O111-P111-Q111-R111)</f>
      </c>
      <c r="T111" s="4">
        <f>IF($K111="","",(S111-V111)/J111*100)</f>
      </c>
      <c r="U111" s="4">
        <f>IF($K111="","",M111-Q111)</f>
      </c>
      <c r="W111" s="4">
        <f>IF($K111="","",S111-V111)</f>
      </c>
    </row>
    <row r="112" spans="1:28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IF($K112="","",K112/100*11)</f>
      </c>
      <c r="O112" s="4">
        <v>8.99</v>
      </c>
      <c r="P112" s="4"/>
      <c r="Q112" s="4">
        <f>IF($K112="","",P112*20%)</f>
      </c>
      <c r="R112" s="4">
        <v>1</v>
      </c>
      <c r="S112" s="4">
        <f>IF($K112="","",L112-M112-N112-O112-P112-Q112-R112)</f>
      </c>
      <c r="T112" s="4">
        <f>IF($K112="","",(S112-V112)/J112*100)</f>
      </c>
      <c r="U112" s="4">
        <f>IF($K112="","",M112-Q112)</f>
      </c>
      <c r="W112" s="4">
        <f>IF($K112="","",S112-V112)</f>
      </c>
    </row>
    <row r="113" spans="1:28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IF($K113="","",K113/100*11)</f>
      </c>
      <c r="O113" s="4">
        <v>8.99</v>
      </c>
      <c r="P113" s="4"/>
      <c r="Q113" s="4">
        <f>IF($K113="","",P113*20%)</f>
      </c>
      <c r="R113" s="4">
        <v>1</v>
      </c>
      <c r="S113" s="4">
        <f>IF($K113="","",L113-M113-N113-O113-P113-Q113-R113)</f>
      </c>
      <c r="T113" s="4">
        <f>IF($K113="","",(S113-V113)/J113*100)</f>
      </c>
      <c r="U113" s="4">
        <f>IF($K113="","",M113-Q113)</f>
      </c>
      <c r="W113" s="4">
        <f>IF($K113="","",S113-V113)</f>
      </c>
    </row>
    <row r="114" spans="1:28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IF($K114="","",K114/100*11)</f>
      </c>
      <c r="O114" s="4">
        <v>8.99</v>
      </c>
      <c r="P114" s="4"/>
      <c r="Q114" s="4">
        <f>IF($K114="","",P114*20%)</f>
      </c>
      <c r="R114" s="4">
        <v>1</v>
      </c>
      <c r="S114" s="4">
        <f>IF($K114="","",L114-M114-N114-O114-P114-Q114-R114)</f>
      </c>
      <c r="T114" s="4">
        <f>IF($K114="","",(S114-V114)/J114*100)</f>
      </c>
      <c r="U114" s="4">
        <f>IF($K114="","",M114-Q114)</f>
      </c>
      <c r="W114" s="4">
        <f>IF($K114="","",S114-V114)</f>
      </c>
    </row>
    <row r="115" spans="1:28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IF($K115="","",K115/100*11)</f>
      </c>
      <c r="O115" s="4">
        <v>8.99</v>
      </c>
      <c r="P115" s="4"/>
      <c r="Q115" s="4">
        <f>IF($K115="","",P115*20%)</f>
      </c>
      <c r="R115" s="4">
        <v>1</v>
      </c>
      <c r="S115" s="4">
        <f>IF($K115="","",L115-M115-N115-O115-P115-Q115-R115)</f>
      </c>
      <c r="T115" s="4">
        <f>IF($K115="","",(S115-V115)/J115*100)</f>
      </c>
      <c r="U115" s="4">
        <f>IF($K115="","",M115-Q115)</f>
      </c>
      <c r="W115" s="4">
        <f>IF($K115="","",S115-V115)</f>
      </c>
    </row>
    <row r="116" spans="1:28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IF($K116="","",K116/100*11)</f>
      </c>
      <c r="O116" s="4">
        <v>8.99</v>
      </c>
      <c r="P116" s="4"/>
      <c r="Q116" s="4">
        <f>IF($K116="","",P116*20%)</f>
      </c>
      <c r="R116" s="4">
        <v>1</v>
      </c>
      <c r="S116" s="4">
        <f>IF($K116="","",L116-M116-N116-O116-P116-Q116-R116)</f>
      </c>
      <c r="T116" s="4">
        <f>IF($K116="","",(S116-V116)/J116*100)</f>
      </c>
      <c r="U116" s="4">
        <f>IF($K116="","",M116-Q116)</f>
      </c>
      <c r="W116" s="4">
        <f>IF($K116="","",S116-V116)</f>
      </c>
    </row>
    <row r="117" spans="1:28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IF($K117="","",K117/100*11)</f>
      </c>
      <c r="O117" s="4">
        <v>8.99</v>
      </c>
      <c r="P117" s="4"/>
      <c r="Q117" s="4">
        <f>IF($K117="","",P117*20%)</f>
      </c>
      <c r="R117" s="4">
        <v>1</v>
      </c>
      <c r="S117" s="4">
        <f>IF($K117="","",L117-M117-N117-O117-P117-Q117-R117)</f>
      </c>
      <c r="T117" s="4">
        <f>IF($K117="","",(S117-V117)/J117*100)</f>
      </c>
      <c r="U117" s="4">
        <f>IF($K117="","",M117-Q117)</f>
      </c>
      <c r="W117" s="4">
        <f>IF($K117="","",S117-V117)</f>
      </c>
    </row>
    <row r="118" spans="1:28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IF($K118="","",K118/100*11)</f>
      </c>
      <c r="O118" s="4">
        <v>8.99</v>
      </c>
      <c r="P118" s="4"/>
      <c r="Q118" s="4">
        <f>IF($K118="","",P118*20%)</f>
      </c>
      <c r="R118" s="4">
        <v>1</v>
      </c>
      <c r="S118" s="4">
        <f>IF($K118="","",L118-M118-N118-O118-P118-Q118-R118)</f>
      </c>
      <c r="T118" s="4">
        <f>IF($K118="","",(S118-V118)/J118*100)</f>
      </c>
      <c r="U118" s="4">
        <f>IF($K118="","",M118-Q118)</f>
      </c>
      <c r="W118" s="4">
        <f>IF($K118="","",S118-V118)</f>
      </c>
    </row>
    <row r="119" spans="1:28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IF($K119="","",K119/100*11)</f>
      </c>
      <c r="O119" s="4">
        <v>8.99</v>
      </c>
      <c r="P119" s="4"/>
      <c r="Q119" s="4">
        <f>IF($K119="","",P119*20%)</f>
      </c>
      <c r="R119" s="4">
        <v>1</v>
      </c>
      <c r="S119" s="4">
        <f>IF($K119="","",L119-M119-N119-O119-P119-Q119-R119)</f>
      </c>
      <c r="T119" s="4">
        <f>IF($K119="","",(S119-V119)/J119*100)</f>
      </c>
      <c r="U119" s="4">
        <f>IF($K119="","",M119-Q119)</f>
      </c>
      <c r="W119" s="4">
        <f>IF($K119="","",S119-V119)</f>
      </c>
    </row>
    <row r="120" spans="1:28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IF($K120="","",K120/100*11)</f>
      </c>
      <c r="O120" s="4">
        <v>8.99</v>
      </c>
      <c r="P120" s="4"/>
      <c r="Q120" s="4">
        <f>IF($K120="","",P120*20%)</f>
      </c>
      <c r="R120" s="4">
        <v>1</v>
      </c>
      <c r="S120" s="4">
        <f>IF($K120="","",L120-M120-N120-O120-P120-Q120-R120)</f>
      </c>
      <c r="T120" s="4">
        <f>IF($K120="","",(S120-V120)/J120*100)</f>
      </c>
      <c r="U120" s="4">
        <f>IF($K120="","",M120-Q120)</f>
      </c>
      <c r="W120" s="4">
        <f>IF($K120="","",S120-V120)</f>
      </c>
    </row>
    <row r="121" spans="1:28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IF($K121="","",K121/100*11)</f>
      </c>
      <c r="O121" s="4">
        <v>8.99</v>
      </c>
      <c r="P121" s="4"/>
      <c r="Q121" s="4">
        <f>IF($K121="","",P121*20%)</f>
      </c>
      <c r="R121" s="4">
        <v>1</v>
      </c>
      <c r="S121" s="4">
        <f>IF($K121="","",L121-M121-N121-O121-P121-Q121-R121)</f>
      </c>
      <c r="T121" s="4">
        <f>IF($K121="","",(S121-V121)/J121*100)</f>
      </c>
      <c r="U121" s="4">
        <f>IF($K121="","",M121-Q121)</f>
      </c>
      <c r="W121" s="4">
        <f>IF($K121="","",S121-V121)</f>
      </c>
    </row>
    <row r="122" spans="1:28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IF($K122="","",K122/100*11)</f>
      </c>
      <c r="O122" s="4">
        <v>8.99</v>
      </c>
      <c r="P122" s="4"/>
      <c r="Q122" s="4">
        <f>IF($K122="","",P122*20%)</f>
      </c>
      <c r="R122" s="4">
        <v>1</v>
      </c>
      <c r="S122" s="4">
        <f>IF($K122="","",L122-M122-N122-O122-P122-Q122-R122)</f>
      </c>
      <c r="T122" s="4">
        <f>IF($K122="","",(S122-V122)/J122*100)</f>
      </c>
      <c r="U122" s="4">
        <f>IF($K122="","",M122-Q122)</f>
      </c>
      <c r="W122" s="4">
        <f>IF($K122="","",S122-V122)</f>
      </c>
    </row>
    <row r="123" spans="1:28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IF($K123="","",K123/100*11)</f>
      </c>
      <c r="O123" s="4">
        <v>8.99</v>
      </c>
      <c r="P123" s="4"/>
      <c r="Q123" s="4">
        <f>IF($K123="","",P123*20%)</f>
      </c>
      <c r="R123" s="4">
        <v>1</v>
      </c>
      <c r="S123" s="4">
        <f>IF($K123="","",L123-M123-N123-O123-P123-Q123-R123)</f>
      </c>
      <c r="T123" s="4">
        <f>IF($K123="","",(S123-V123)/J123*100)</f>
      </c>
      <c r="U123" s="4">
        <f>IF($K123="","",M123-Q123)</f>
      </c>
      <c r="W123" s="4">
        <f>IF($K123="","",S123-V123)</f>
      </c>
    </row>
    <row r="124" spans="1:28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IF($K124="","",K124/100*11)</f>
      </c>
      <c r="O124" s="4">
        <v>8.99</v>
      </c>
      <c r="P124" s="4"/>
      <c r="Q124" s="4">
        <f>IF($K124="","",P124*20%)</f>
      </c>
      <c r="R124" s="4">
        <v>1</v>
      </c>
      <c r="S124" s="4">
        <f>IF($K124="","",L124-M124-N124-O124-P124-Q124-R124)</f>
      </c>
      <c r="T124" s="4">
        <f>IF($K124="","",(S124-V124)/J124*100)</f>
      </c>
      <c r="U124" s="4">
        <f>IF($K124="","",M124-Q124)</f>
      </c>
      <c r="W124" s="4">
        <f>IF($K124="","",S124-V124)</f>
      </c>
    </row>
    <row r="125" spans="1:28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IF($K125="","",K125/100*11)</f>
      </c>
      <c r="O125" s="4">
        <v>8.99</v>
      </c>
      <c r="P125" s="4"/>
      <c r="Q125" s="4">
        <f>IF($K125="","",P125*20%)</f>
      </c>
      <c r="R125" s="4">
        <v>1</v>
      </c>
      <c r="S125" s="4">
        <f>IF($K125="","",L125-M125-N125-O125-P125-Q125-R125)</f>
      </c>
      <c r="T125" s="4">
        <f>IF($K125="","",(S125-V125)/J125*100)</f>
      </c>
      <c r="U125" s="4">
        <f>IF($K125="","",M125-Q125)</f>
      </c>
      <c r="W125" s="4">
        <f>IF($K125="","",S125-V125)</f>
      </c>
    </row>
    <row r="126" spans="1:28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IF($K126="","",K126/100*11)</f>
      </c>
      <c r="O126" s="4">
        <v>8.99</v>
      </c>
      <c r="P126" s="4"/>
      <c r="Q126" s="4">
        <f>IF($K126="","",P126*20%)</f>
      </c>
      <c r="R126" s="4">
        <v>1</v>
      </c>
      <c r="S126" s="4">
        <f>IF($K126="","",L126-M126-N126-O126-P126-Q126-R126)</f>
      </c>
      <c r="T126" s="4">
        <f>IF($K126="","",(S126-V126)/J126*100)</f>
      </c>
      <c r="U126" s="4">
        <f>IF($K126="","",M126-Q126)</f>
      </c>
      <c r="W126" s="4">
        <f>IF($K126="","",S126-V126)</f>
      </c>
    </row>
    <row r="127" spans="1:28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IF($K127="","",K127/100*11)</f>
      </c>
      <c r="O127" s="4">
        <v>8.99</v>
      </c>
      <c r="P127" s="4"/>
      <c r="Q127" s="4">
        <f>IF($K127="","",P127*20%)</f>
      </c>
      <c r="R127" s="4">
        <v>1</v>
      </c>
      <c r="S127" s="4">
        <f>IF($K127="","",L127-M127-N127-O127-P127-Q127-R127)</f>
      </c>
      <c r="T127" s="4">
        <f>IF($K127="","",(S127-V127)/J127*100)</f>
      </c>
      <c r="U127" s="4">
        <f>IF($K127="","",M127-Q127)</f>
      </c>
      <c r="W127" s="4">
        <f>IF($K127="","",S127-V127)</f>
      </c>
    </row>
    <row r="128" spans="1:28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IF($K128="","",K128/100*11)</f>
      </c>
      <c r="O128" s="4">
        <v>8.99</v>
      </c>
      <c r="P128" s="4"/>
      <c r="Q128" s="4">
        <f>IF($K128="","",P128*20%)</f>
      </c>
      <c r="R128" s="4">
        <v>1</v>
      </c>
      <c r="S128" s="4">
        <f>IF($K128="","",L128-M128-N128-O128-P128-Q128-R128)</f>
      </c>
      <c r="T128" s="4">
        <f>IF($K128="","",(S128-V128)/J128*100)</f>
      </c>
      <c r="U128" s="4">
        <f>IF($K128="","",M128-Q128)</f>
      </c>
      <c r="W128" s="4">
        <f>IF($K128="","",S128-V128)</f>
      </c>
    </row>
    <row r="129" spans="1:28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IF($K129="","",K129/100*11)</f>
      </c>
      <c r="O129" s="4">
        <v>8.99</v>
      </c>
      <c r="P129" s="4"/>
      <c r="Q129" s="4">
        <f>IF($K129="","",P129*20%)</f>
      </c>
      <c r="R129" s="4">
        <v>1</v>
      </c>
      <c r="S129" s="4">
        <f>IF($K129="","",L129-M129-N129-O129-P129-Q129-R129)</f>
      </c>
      <c r="T129" s="4">
        <f>IF($K129="","",(S129-V129)/J129*100)</f>
      </c>
      <c r="U129" s="4">
        <f>IF($K129="","",M129-Q129)</f>
      </c>
      <c r="W129" s="4">
        <f>IF($K129="","",S129-V129)</f>
      </c>
    </row>
    <row r="130" spans="1:28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IF($K130="","",K130/100*11)</f>
      </c>
      <c r="O130" s="4">
        <v>8.99</v>
      </c>
      <c r="P130" s="4"/>
      <c r="Q130" s="4">
        <f>IF($K130="","",P130*20%)</f>
      </c>
      <c r="R130" s="4">
        <v>1</v>
      </c>
      <c r="S130" s="4">
        <f>IF($K130="","",L130-M130-N130-O130-P130-Q130-R130)</f>
      </c>
      <c r="T130" s="4">
        <f>IF($K130="","",(S130-V130)/J130*100)</f>
      </c>
      <c r="U130" s="4">
        <f>IF($K130="","",M130-Q130)</f>
      </c>
      <c r="W130" s="4">
        <f>IF($K130="","",S130-V130)</f>
      </c>
    </row>
    <row r="131" spans="1:28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IF($K131="","",K131/100*11)</f>
      </c>
      <c r="O131" s="4">
        <v>8.99</v>
      </c>
      <c r="P131" s="4"/>
      <c r="Q131" s="4">
        <f>IF($K131="","",P131*20%)</f>
      </c>
      <c r="R131" s="4">
        <v>1</v>
      </c>
      <c r="S131" s="4">
        <f>IF($K131="","",L131-M131-N131-O131-P131-Q131-R131)</f>
      </c>
      <c r="T131" s="4">
        <f>IF($K131="","",(S131-V131)/J131*100)</f>
      </c>
      <c r="U131" s="4">
        <f>IF($K131="","",M131-Q131)</f>
      </c>
      <c r="W131" s="4">
        <f>IF($K131="","",S131-V131)</f>
      </c>
    </row>
    <row r="132" spans="1:28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IF($K132="","",K132/100*11)</f>
      </c>
      <c r="O132" s="4">
        <v>8.99</v>
      </c>
      <c r="P132" s="4"/>
      <c r="Q132" s="4">
        <f>IF($K132="","",P132*20%)</f>
      </c>
      <c r="R132" s="4">
        <v>1</v>
      </c>
      <c r="S132" s="4">
        <f>IF($K132="","",L132-M132-N132-O132-P132-Q132-R132)</f>
      </c>
      <c r="T132" s="4">
        <f>IF($K132="","",(S132-V132)/J132*100)</f>
      </c>
      <c r="U132" s="4">
        <f>IF($K132="","",M132-Q132)</f>
      </c>
      <c r="W132" s="4">
        <f>IF($K132="","",S132-V132)</f>
      </c>
    </row>
    <row r="133" spans="1:28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IF($K133="","",K133/100*11)</f>
      </c>
      <c r="O133" s="4">
        <v>8.99</v>
      </c>
      <c r="P133" s="4"/>
      <c r="Q133" s="4">
        <f>IF($K133="","",P133*20%)</f>
      </c>
      <c r="R133" s="4">
        <v>1</v>
      </c>
      <c r="S133" s="4">
        <f>IF($K133="","",L133-M133-N133-O133-P133-Q133-R133)</f>
      </c>
      <c r="T133" s="4">
        <f>IF($K133="","",(S133-V133)/J133*100)</f>
      </c>
      <c r="U133" s="4">
        <f>IF($K133="","",M133-Q133)</f>
      </c>
      <c r="W133" s="4">
        <f>IF($K133="","",S133-V133)</f>
      </c>
    </row>
    <row r="134" spans="1:28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IF($K134="","",K134/100*11)</f>
      </c>
      <c r="O134" s="4">
        <v>8.99</v>
      </c>
      <c r="P134" s="4"/>
      <c r="Q134" s="4">
        <f>IF($K134="","",P134*20%)</f>
      </c>
      <c r="R134" s="4">
        <v>1</v>
      </c>
      <c r="S134" s="4">
        <f>IF($K134="","",L134-M134-N134-O134-P134-Q134-R134)</f>
      </c>
      <c r="T134" s="4">
        <f>IF($K134="","",(S134-V134)/J134*100)</f>
      </c>
      <c r="U134" s="4">
        <f>IF($K134="","",M134-Q134)</f>
      </c>
      <c r="W134" s="4">
        <f>IF($K134="","",S134-V134)</f>
      </c>
    </row>
    <row r="135" spans="1:28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IF($K135="","",K135/100*11)</f>
      </c>
      <c r="O135" s="4">
        <v>8.99</v>
      </c>
      <c r="P135" s="4"/>
      <c r="Q135" s="4">
        <f>IF($K135="","",P135*20%)</f>
      </c>
      <c r="R135" s="4">
        <v>1</v>
      </c>
      <c r="S135" s="4">
        <f>IF($K135="","",L135-M135-N135-O135-P135-Q135-R135)</f>
      </c>
      <c r="T135" s="4">
        <f>IF($K135="","",(S135-V135)/J135*100)</f>
      </c>
      <c r="U135" s="4">
        <f>IF($K135="","",M135-Q135)</f>
      </c>
      <c r="W135" s="4">
        <f>IF($K135="","",S135-V135)</f>
      </c>
    </row>
    <row r="136" spans="1:28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IF($K136="","",K136/100*11)</f>
      </c>
      <c r="O136" s="4">
        <v>8.99</v>
      </c>
      <c r="P136" s="4"/>
      <c r="Q136" s="4">
        <f>IF($K136="","",P136*20%)</f>
      </c>
      <c r="R136" s="4">
        <v>1</v>
      </c>
      <c r="S136" s="4">
        <f>IF($K136="","",L136-M136-N136-O136-P136-Q136-R136)</f>
      </c>
      <c r="T136" s="4">
        <f>IF($K136="","",(S136-V136)/J136*100)</f>
      </c>
      <c r="U136" s="4">
        <f>IF($K136="","",M136-Q136)</f>
      </c>
      <c r="W136" s="4">
        <f>IF($K136="","",S136-V136)</f>
      </c>
    </row>
    <row r="137" spans="1:28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IF($K137="","",K137/100*11)</f>
      </c>
      <c r="O137" s="4">
        <v>8.99</v>
      </c>
      <c r="P137" s="4"/>
      <c r="Q137" s="4">
        <f>IF($K137="","",P137*20%)</f>
      </c>
      <c r="R137" s="4">
        <v>1</v>
      </c>
      <c r="S137" s="4">
        <f>IF($K137="","",L137-M137-N137-O137-P137-Q137-R137)</f>
      </c>
      <c r="T137" s="4">
        <f>IF($K137="","",(S137-V137)/J137*100)</f>
      </c>
      <c r="U137" s="4">
        <f>IF($K137="","",M137-Q137)</f>
      </c>
      <c r="W137" s="4">
        <f>IF($K137="","",S137-V137)</f>
      </c>
    </row>
    <row r="138" spans="1:28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IF($K138="","",K138/100*11)</f>
      </c>
      <c r="O138" s="4">
        <v>8.99</v>
      </c>
      <c r="P138" s="4"/>
      <c r="Q138" s="4">
        <f>IF($K138="","",P138*20%)</f>
      </c>
      <c r="R138" s="4">
        <v>1</v>
      </c>
      <c r="S138" s="4">
        <f>IF($K138="","",L138-M138-N138-O138-P138-Q138-R138)</f>
      </c>
      <c r="T138" s="4">
        <f>IF($K138="","",(S138-V138)/J138*100)</f>
      </c>
      <c r="U138" s="4">
        <f>IF($K138="","",M138-Q138)</f>
      </c>
      <c r="W138" s="4">
        <f>IF($K138="","",S138-V138)</f>
      </c>
    </row>
    <row r="139" spans="1:28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IF($K139="","",K139/100*11)</f>
      </c>
      <c r="O139" s="4">
        <v>8.99</v>
      </c>
      <c r="P139" s="4"/>
      <c r="Q139" s="4">
        <f>IF($K139="","",P139*20%)</f>
      </c>
      <c r="R139" s="4">
        <v>1</v>
      </c>
      <c r="S139" s="4">
        <f>IF($K139="","",L139-M139-N139-O139-P139-Q139-R139)</f>
      </c>
      <c r="T139" s="4">
        <f>IF($K139="","",(S139-V139)/J139*100)</f>
      </c>
      <c r="U139" s="4">
        <f>IF($K139="","",M139-Q139)</f>
      </c>
      <c r="W139" s="4">
        <f>IF($K139="","",S139-V139)</f>
      </c>
    </row>
    <row r="140" spans="1:28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IF($K140="","",K140/100*11)</f>
      </c>
      <c r="O140" s="4">
        <v>8.99</v>
      </c>
      <c r="P140" s="4"/>
      <c r="Q140" s="4">
        <f>IF($K140="","",P140*20%)</f>
      </c>
      <c r="R140" s="4">
        <v>1</v>
      </c>
      <c r="S140" s="4">
        <f>IF($K140="","",L140-M140-N140-O140-P140-Q140-R140)</f>
      </c>
      <c r="T140" s="4">
        <f>IF($K140="","",(S140-V140)/J140*100)</f>
      </c>
      <c r="U140" s="4">
        <f>IF($K140="","",M140-Q140)</f>
      </c>
      <c r="W140" s="4">
        <f>IF($K140="","",S140-V140)</f>
      </c>
    </row>
    <row r="141" spans="1:28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IF($K141="","",K141/100*11)</f>
      </c>
      <c r="O141" s="4">
        <v>8.99</v>
      </c>
      <c r="P141" s="4"/>
      <c r="Q141" s="4">
        <f>IF($K141="","",P141*20%)</f>
      </c>
      <c r="R141" s="4">
        <v>1</v>
      </c>
      <c r="S141" s="4">
        <f>IF($K141="","",L141-M141-N141-O141-P141-Q141-R141)</f>
      </c>
      <c r="T141" s="4">
        <f>IF($K141="","",(S141-V141)/J141*100)</f>
      </c>
      <c r="U141" s="4">
        <f>IF($K141="","",M141-Q141)</f>
      </c>
      <c r="W141" s="4">
        <f>IF($K141="","",S141-V141)</f>
      </c>
    </row>
    <row r="142" spans="1:28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IF($K142="","",K142/100*11)</f>
      </c>
      <c r="O142" s="4">
        <v>8.99</v>
      </c>
      <c r="P142" s="4"/>
      <c r="Q142" s="4">
        <f>IF($K142="","",P142*20%)</f>
      </c>
      <c r="R142" s="4">
        <v>1</v>
      </c>
      <c r="S142" s="4">
        <f>IF($K142="","",L142-M142-N142-O142-P142-Q142-R142)</f>
      </c>
      <c r="T142" s="4">
        <f>IF($K142="","",(S142-V142)/J142*100)</f>
      </c>
      <c r="U142" s="4">
        <f>IF($K142="","",M142-Q142)</f>
      </c>
      <c r="W142" s="4">
        <f>IF($K142="","",S142-V142)</f>
      </c>
    </row>
    <row r="143" spans="1:28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IF($K143="","",K143/100*11)</f>
      </c>
      <c r="O143" s="4">
        <v>8.99</v>
      </c>
      <c r="P143" s="4"/>
      <c r="Q143" s="4">
        <f>IF($K143="","",P143*20%)</f>
      </c>
      <c r="R143" s="4">
        <v>1</v>
      </c>
      <c r="S143" s="4">
        <f>IF($K143="","",L143-M143-N143-O143-P143-Q143-R143)</f>
      </c>
      <c r="T143" s="4">
        <f>IF($K143="","",(S143-V143)/J143*100)</f>
      </c>
      <c r="U143" s="4">
        <f>IF($K143="","",M143-Q143)</f>
      </c>
      <c r="W143" s="4">
        <f>IF($K143="","",S143-V143)</f>
      </c>
    </row>
    <row r="144" spans="1:28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IF($K144="","",K144/100*11)</f>
      </c>
      <c r="O144" s="4">
        <v>8.99</v>
      </c>
      <c r="P144" s="4"/>
      <c r="Q144" s="4">
        <f>IF($K144="","",P144*20%)</f>
      </c>
      <c r="R144" s="4">
        <v>1</v>
      </c>
      <c r="S144" s="4">
        <f>IF($K144="","",L144-M144-N144-O144-P144-Q144-R144)</f>
      </c>
      <c r="T144" s="4">
        <f>IF($K144="","",(S144-V144)/J144*100)</f>
      </c>
      <c r="U144" s="4">
        <f>IF($K144="","",M144-Q144)</f>
      </c>
      <c r="W144" s="4">
        <f>IF($K144="","",S144-V144)</f>
      </c>
    </row>
    <row r="145" spans="1:28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IF($K145="","",K145/100*11)</f>
      </c>
      <c r="O145" s="4">
        <v>8.99</v>
      </c>
      <c r="P145" s="4"/>
      <c r="Q145" s="4">
        <f>IF($K145="","",P145*20%)</f>
      </c>
      <c r="R145" s="4">
        <v>1</v>
      </c>
      <c r="S145" s="4">
        <f>IF($K145="","",L145-M145-N145-O145-P145-Q145-R145)</f>
      </c>
      <c r="T145" s="4">
        <f>IF($K145="","",(S145-V145)/J145*100)</f>
      </c>
      <c r="U145" s="4">
        <f>IF($K145="","",M145-Q145)</f>
      </c>
      <c r="W145" s="4">
        <f>IF($K145="","",S145-V145)</f>
      </c>
    </row>
    <row r="146" spans="1:28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IF($K146="","",K146/100*11)</f>
      </c>
      <c r="O146" s="4">
        <v>8.99</v>
      </c>
      <c r="P146" s="4"/>
      <c r="Q146" s="4">
        <f>IF($K146="","",P146*20%)</f>
      </c>
      <c r="R146" s="4">
        <v>1</v>
      </c>
      <c r="S146" s="4">
        <f>IF($K146="","",L146-M146-N146-O146-P146-Q146-R146)</f>
      </c>
      <c r="T146" s="4">
        <f>IF($K146="","",(S146-V146)/J146*100)</f>
      </c>
      <c r="U146" s="4">
        <f>IF($K146="","",M146-Q146)</f>
      </c>
      <c r="W146" s="4">
        <f>IF($K146="","",S146-V146)</f>
      </c>
    </row>
    <row r="147" spans="1:28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IF($K147="","",K147/100*11)</f>
      </c>
      <c r="O147" s="4">
        <v>8.99</v>
      </c>
      <c r="P147" s="4"/>
      <c r="Q147" s="4">
        <f>IF($K147="","",P147*20%)</f>
      </c>
      <c r="R147" s="4">
        <v>1</v>
      </c>
      <c r="S147" s="4">
        <f>IF($K147="","",L147-M147-N147-O147-P147-Q147-R147)</f>
      </c>
      <c r="T147" s="4">
        <f>IF($K147="","",(S147-V147)/J147*100)</f>
      </c>
      <c r="U147" s="4">
        <f>IF($K147="","",M147-Q147)</f>
      </c>
      <c r="W147" s="4">
        <f>IF($K147="","",S147-V147)</f>
      </c>
    </row>
    <row r="148" spans="1:28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IF($K148="","",K148/100*11)</f>
      </c>
      <c r="O148" s="4">
        <v>8.99</v>
      </c>
      <c r="P148" s="4"/>
      <c r="Q148" s="4">
        <f>IF($K148="","",P148*20%)</f>
      </c>
      <c r="R148" s="4">
        <v>1</v>
      </c>
      <c r="S148" s="4">
        <f>IF($K148="","",L148-M148-N148-O148-P148-Q148-R148)</f>
      </c>
      <c r="T148" s="4">
        <f>IF($K148="","",(S148-V148)/J148*100)</f>
      </c>
      <c r="U148" s="4">
        <f>IF($K148="","",M148-Q148)</f>
      </c>
      <c r="W148" s="4">
        <f>IF($K148="","",S148-V148)</f>
      </c>
    </row>
    <row r="149" spans="1:28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IF($K149="","",K149/100*11)</f>
      </c>
      <c r="O149" s="4">
        <v>8.99</v>
      </c>
      <c r="P149" s="4"/>
      <c r="Q149" s="4">
        <f>IF($K149="","",P149*20%)</f>
      </c>
      <c r="R149" s="4">
        <v>1</v>
      </c>
      <c r="S149" s="4">
        <f>IF($K149="","",L149-M149-N149-O149-P149-Q149-R149)</f>
      </c>
      <c r="T149" s="4">
        <f>IF($K149="","",(S149-V149)/J149*100)</f>
      </c>
      <c r="U149" s="4">
        <f>IF($K149="","",M149-Q149)</f>
      </c>
      <c r="W149" s="4">
        <f>IF($K149="","",S149-V149)</f>
      </c>
    </row>
    <row r="150" spans="1:28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IF($K150="","",K150/100*11)</f>
      </c>
      <c r="O150" s="4">
        <v>8.99</v>
      </c>
      <c r="P150" s="4"/>
      <c r="Q150" s="4">
        <f>IF($K150="","",P150*20%)</f>
      </c>
      <c r="R150" s="4">
        <v>1</v>
      </c>
      <c r="S150" s="4">
        <f>IF($K150="","",L150-M150-N150-O150-P150-Q150-R150)</f>
      </c>
      <c r="T150" s="4">
        <f>IF($K150="","",(S150-V150)/J150*100)</f>
      </c>
      <c r="U150" s="4">
        <f>IF($K150="","",M150-Q150)</f>
      </c>
      <c r="W150" s="4">
        <f>IF($K150="","",S150-V150)</f>
      </c>
    </row>
    <row r="151" spans="1:28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IF($K151="","",K151/100*11)</f>
      </c>
      <c r="O151" s="4">
        <v>8.99</v>
      </c>
      <c r="P151" s="4"/>
      <c r="Q151" s="4">
        <f>IF($K151="","",P151*20%)</f>
      </c>
      <c r="R151" s="4">
        <v>1</v>
      </c>
      <c r="S151" s="4">
        <f>IF($K151="","",L151-M151-N151-O151-P151-Q151-R151)</f>
      </c>
      <c r="T151" s="4">
        <f>IF($K151="","",(S151-V151)/J151*100)</f>
      </c>
      <c r="U151" s="4">
        <f>IF($K151="","",M151-Q151)</f>
      </c>
      <c r="W151" s="4">
        <f>IF($K151="","",S151-V151)</f>
      </c>
    </row>
    <row r="152" spans="1:28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IF($K152="","",K152/100*11)</f>
      </c>
      <c r="O152" s="4">
        <v>8.99</v>
      </c>
      <c r="P152" s="4"/>
      <c r="Q152" s="4">
        <f>IF($K152="","",P152*20%)</f>
      </c>
      <c r="R152" s="4">
        <v>1</v>
      </c>
      <c r="S152" s="4">
        <f>IF($K152="","",L152-M152-N152-O152-P152-Q152-R152)</f>
      </c>
      <c r="T152" s="4">
        <f>IF($K152="","",(S152-V152)/J152*100)</f>
      </c>
      <c r="U152" s="4">
        <f>IF($K152="","",M152-Q152)</f>
      </c>
      <c r="W152" s="4">
        <f>IF($K152="","",S152-V152)</f>
      </c>
    </row>
    <row r="153" spans="1:28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IF($K153="","",K153/100*11)</f>
      </c>
      <c r="O153" s="4">
        <v>8.99</v>
      </c>
      <c r="P153" s="4"/>
      <c r="Q153" s="4">
        <f>IF($K153="","",P153*20%)</f>
      </c>
      <c r="R153" s="4">
        <v>1</v>
      </c>
      <c r="S153" s="4">
        <f>IF($K153="","",L153-M153-N153-O153-P153-Q153-R153)</f>
      </c>
      <c r="T153" s="4">
        <f>IF($K153="","",(S153-V153)/J153*100)</f>
      </c>
      <c r="U153" s="4">
        <f>IF($K153="","",M153-Q153)</f>
      </c>
      <c r="W153" s="4">
        <f>IF($K153="","",S153-V153)</f>
      </c>
    </row>
    <row r="154" spans="1:28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IF($K154="","",K154/100*11)</f>
      </c>
      <c r="O154" s="4">
        <v>8.99</v>
      </c>
      <c r="P154" s="4"/>
      <c r="Q154" s="4">
        <f>IF($K154="","",P154*20%)</f>
      </c>
      <c r="R154" s="4">
        <v>1</v>
      </c>
      <c r="S154" s="4">
        <f>IF($K154="","",L154-M154-N154-O154-P154-Q154-R154)</f>
      </c>
      <c r="T154" s="4">
        <f>IF($K154="","",(S154-V154)/J154*100)</f>
      </c>
      <c r="U154" s="4">
        <f>IF($K154="","",M154-Q154)</f>
      </c>
      <c r="W154" s="4">
        <f>IF($K154="","",S154-V154)</f>
      </c>
    </row>
    <row r="155" spans="1:28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IF($K155="","",K155/100*11)</f>
      </c>
      <c r="O155" s="4">
        <v>8.99</v>
      </c>
      <c r="P155" s="4"/>
      <c r="Q155" s="4">
        <f>IF($K155="","",P155*20%)</f>
      </c>
      <c r="R155" s="4">
        <v>1</v>
      </c>
      <c r="S155" s="4">
        <f>IF($K155="","",L155-M155-N155-O155-P155-Q155-R155)</f>
      </c>
      <c r="T155" s="4">
        <f>IF($K155="","",(S155-V155)/J155*100)</f>
      </c>
      <c r="U155" s="4">
        <f>IF($K155="","",M155-Q155)</f>
      </c>
      <c r="W155" s="4">
        <f>IF($K155="","",S155-V155)</f>
      </c>
    </row>
    <row r="156" spans="1:28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IF($K156="","",K156/100*11)</f>
      </c>
      <c r="O156" s="4">
        <v>8.99</v>
      </c>
      <c r="P156" s="4"/>
      <c r="Q156" s="4">
        <f>IF($K156="","",P156*20%)</f>
      </c>
      <c r="R156" s="4">
        <v>1</v>
      </c>
      <c r="S156" s="4">
        <f>IF($K156="","",L156-M156-N156-O156-P156-Q156-R156)</f>
      </c>
      <c r="T156" s="4">
        <f>IF($K156="","",(S156-V156)/J156*100)</f>
      </c>
      <c r="U156" s="4">
        <f>IF($K156="","",M156-Q156)</f>
      </c>
      <c r="W156" s="4">
        <f>IF($K156="","",S156-V156)</f>
      </c>
    </row>
    <row r="157" spans="1:28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IF($K157="","",K157/100*11)</f>
      </c>
      <c r="O157" s="4">
        <v>8.99</v>
      </c>
      <c r="P157" s="4"/>
      <c r="Q157" s="4">
        <f>IF($K157="","",P157*20%)</f>
      </c>
      <c r="R157" s="4">
        <v>1</v>
      </c>
      <c r="S157" s="4">
        <f>IF($K157="","",L157-M157-N157-O157-P157-Q157-R157)</f>
      </c>
      <c r="T157" s="4">
        <f>IF($K157="","",(S157-V157)/J157*100)</f>
      </c>
      <c r="U157" s="4">
        <f>IF($K157="","",M157-Q157)</f>
      </c>
      <c r="W157" s="4">
        <f>IF($K157="","",S157-V157)</f>
      </c>
    </row>
    <row r="158" spans="1:28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IF($K158="","",K158/100*11)</f>
      </c>
      <c r="O158" s="4">
        <v>8.99</v>
      </c>
      <c r="P158" s="4"/>
      <c r="Q158" s="4">
        <f>IF($K158="","",P158*20%)</f>
      </c>
      <c r="R158" s="4">
        <v>1</v>
      </c>
      <c r="S158" s="4">
        <f>IF($K158="","",L158-M158-N158-O158-P158-Q158-R158)</f>
      </c>
      <c r="T158" s="4">
        <f>IF($K158="","",(S158-V158)/J158*100)</f>
      </c>
      <c r="U158" s="4">
        <f>IF($K158="","",M158-Q158)</f>
      </c>
      <c r="W158" s="4">
        <f>IF($K158="","",S158-V158)</f>
      </c>
    </row>
    <row r="159" spans="1:28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IF($K159="","",K159/100*11)</f>
      </c>
      <c r="O159" s="4">
        <v>8.99</v>
      </c>
      <c r="P159" s="4"/>
      <c r="Q159" s="4">
        <f>IF($K159="","",P159*20%)</f>
      </c>
      <c r="R159" s="4">
        <v>1</v>
      </c>
      <c r="S159" s="4">
        <f>IF($K159="","",L159-M159-N159-O159-P159-Q159-R159)</f>
      </c>
      <c r="T159" s="4">
        <f>IF($K159="","",(S159-V159)/J159*100)</f>
      </c>
      <c r="U159" s="4">
        <f>IF($K159="","",M159-Q159)</f>
      </c>
      <c r="W159" s="4">
        <f>IF($K159="","",S159-V159)</f>
      </c>
    </row>
    <row r="160" spans="1:28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IF($K160="","",K160/100*11)</f>
      </c>
      <c r="O160" s="4">
        <v>8.99</v>
      </c>
      <c r="P160" s="4"/>
      <c r="Q160" s="4">
        <f>IF($K160="","",P160*20%)</f>
      </c>
      <c r="R160" s="4">
        <v>1</v>
      </c>
      <c r="S160" s="4">
        <f>IF($K160="","",L160-M160-N160-O160-P160-Q160-R160)</f>
      </c>
      <c r="T160" s="4">
        <f>IF($K160="","",(S160-V160)/J160*100)</f>
      </c>
      <c r="U160" s="4">
        <f>IF($K160="","",M160-Q160)</f>
      </c>
      <c r="W160" s="4">
        <f>IF($K160="","",S160-V160)</f>
      </c>
    </row>
    <row r="161" spans="1:28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IF($K161="","",K161/100*11)</f>
      </c>
      <c r="O161" s="4">
        <v>8.99</v>
      </c>
      <c r="P161" s="4"/>
      <c r="Q161" s="4">
        <f>IF($K161="","",P161*20%)</f>
      </c>
      <c r="R161" s="4">
        <v>1</v>
      </c>
      <c r="S161" s="4">
        <f>IF($K161="","",L161-M161-N161-O161-P161-Q161-R161)</f>
      </c>
      <c r="T161" s="4">
        <f>IF($K161="","",(S161-V161)/J161*100)</f>
      </c>
      <c r="U161" s="4">
        <f>IF($K161="","",M161-Q161)</f>
      </c>
      <c r="W161" s="4">
        <f>IF($K161="","",S161-V161)</f>
      </c>
    </row>
    <row r="162" spans="1:28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IF($K162="","",K162/100*11)</f>
      </c>
      <c r="O162" s="4">
        <v>8.99</v>
      </c>
      <c r="P162" s="4"/>
      <c r="Q162" s="4">
        <f>IF($K162="","",P162*20%)</f>
      </c>
      <c r="R162" s="4">
        <v>1</v>
      </c>
      <c r="S162" s="4">
        <f>IF($K162="","",L162-M162-N162-O162-P162-Q162-R162)</f>
      </c>
      <c r="T162" s="4">
        <f>IF($K162="","",(S162-V162)/J162*100)</f>
      </c>
      <c r="U162" s="4">
        <f>IF($K162="","",M162-Q162)</f>
      </c>
      <c r="W162" s="4">
        <f>IF($K162="","",S162-V162)</f>
      </c>
    </row>
    <row r="163" spans="1:28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IF($K163="","",K163/100*11)</f>
      </c>
      <c r="O163" s="4">
        <v>8.99</v>
      </c>
      <c r="P163" s="4"/>
      <c r="Q163" s="4">
        <f>IF($K163="","",P163*20%)</f>
      </c>
      <c r="R163" s="4">
        <v>1</v>
      </c>
      <c r="S163" s="4">
        <f>IF($K163="","",L163-M163-N163-O163-P163-Q163-R163)</f>
      </c>
      <c r="T163" s="4">
        <f>IF($K163="","",(S163-V163)/J163*100)</f>
      </c>
      <c r="U163" s="4">
        <f>IF($K163="","",M163-Q163)</f>
      </c>
      <c r="W163" s="4">
        <f>IF($K163="","",S163-V163)</f>
      </c>
    </row>
    <row r="164" spans="1:28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IF($K164="","",K164/100*11)</f>
      </c>
      <c r="O164" s="4">
        <v>8.99</v>
      </c>
      <c r="P164" s="4"/>
      <c r="Q164" s="4">
        <f>IF($K164="","",P164*20%)</f>
      </c>
      <c r="R164" s="4">
        <v>1</v>
      </c>
      <c r="S164" s="4">
        <f>IF($K164="","",L164-M164-N164-O164-P164-Q164-R164)</f>
      </c>
      <c r="T164" s="4">
        <f>IF($K164="","",(S164-V164)/J164*100)</f>
      </c>
      <c r="U164" s="4">
        <f>IF($K164="","",M164-Q164)</f>
      </c>
      <c r="W164" s="4">
        <f>IF($K164="","",S164-V164)</f>
      </c>
    </row>
    <row r="165" spans="1:28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IF($K165="","",K165/100*11)</f>
      </c>
      <c r="O165" s="4">
        <v>8.99</v>
      </c>
      <c r="P165" s="4"/>
      <c r="Q165" s="4">
        <f>IF($K165="","",P165*20%)</f>
      </c>
      <c r="R165" s="4">
        <v>1</v>
      </c>
      <c r="S165" s="4">
        <f>IF($K165="","",L165-M165-N165-O165-P165-Q165-R165)</f>
      </c>
      <c r="T165" s="4">
        <f>IF($K165="","",(S165-V165)/J165*100)</f>
      </c>
      <c r="U165" s="4">
        <f>IF($K165="","",M165-Q165)</f>
      </c>
      <c r="W165" s="4">
        <f>IF($K165="","",S165-V165)</f>
      </c>
    </row>
    <row r="166" spans="1:28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IF($K166="","",K166/100*11)</f>
      </c>
      <c r="O166" s="4">
        <v>8.99</v>
      </c>
      <c r="P166" s="4"/>
      <c r="Q166" s="4">
        <f>IF($K166="","",P166*20%)</f>
      </c>
      <c r="R166" s="4">
        <v>1</v>
      </c>
      <c r="S166" s="4">
        <f>IF($K166="","",L166-M166-N166-O166-P166-Q166-R166)</f>
      </c>
      <c r="T166" s="4">
        <f>IF($K166="","",(S166-V166)/J166*100)</f>
      </c>
      <c r="U166" s="4">
        <f>IF($K166="","",M166-Q166)</f>
      </c>
      <c r="W166" s="4">
        <f>IF($K166="","",S166-V166)</f>
      </c>
    </row>
    <row r="167" spans="1:28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IF($K167="","",K167/100*11)</f>
      </c>
      <c r="O167" s="4">
        <v>8.99</v>
      </c>
      <c r="P167" s="4"/>
      <c r="Q167" s="4">
        <f>IF($K167="","",P167*20%)</f>
      </c>
      <c r="R167" s="4">
        <v>1</v>
      </c>
      <c r="S167" s="4">
        <f>IF($K167="","",L167-M167-N167-O167-P167-Q167-R167)</f>
      </c>
      <c r="T167" s="4">
        <f>IF($K167="","",(S167-V167)/J167*100)</f>
      </c>
      <c r="U167" s="4">
        <f>IF($K167="","",M167-Q167)</f>
      </c>
      <c r="W167" s="4">
        <f>IF($K167="","",S167-V167)</f>
      </c>
    </row>
    <row r="168" spans="1:28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IF($K168="","",K168/100*11)</f>
      </c>
      <c r="O168" s="4">
        <v>8.99</v>
      </c>
      <c r="P168" s="4"/>
      <c r="Q168" s="4">
        <f>IF($K168="","",P168*20%)</f>
      </c>
      <c r="R168" s="4">
        <v>1</v>
      </c>
      <c r="S168" s="4">
        <f>IF($K168="","",L168-M168-N168-O168-P168-Q168-R168)</f>
      </c>
      <c r="T168" s="4">
        <f>IF($K168="","",(S168-V168)/J168*100)</f>
      </c>
      <c r="U168" s="4">
        <f>IF($K168="","",M168-Q168)</f>
      </c>
      <c r="W168" s="4">
        <f>IF($K168="","",S168-V168)</f>
      </c>
    </row>
    <row r="169" spans="1:28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IF($K169="","",K169/100*11)</f>
      </c>
      <c r="O169" s="4">
        <v>8.99</v>
      </c>
      <c r="P169" s="4"/>
      <c r="Q169" s="4">
        <f>IF($K169="","",P169*20%)</f>
      </c>
      <c r="R169" s="4">
        <v>1</v>
      </c>
      <c r="S169" s="4">
        <f>IF($K169="","",L169-M169-N169-O169-P169-Q169-R169)</f>
      </c>
      <c r="T169" s="4">
        <f>IF($K169="","",(S169-V169)/J169*100)</f>
      </c>
      <c r="U169" s="4">
        <f>IF($K169="","",M169-Q169)</f>
      </c>
      <c r="W169" s="4">
        <f>IF($K169="","",S169-V169)</f>
      </c>
    </row>
    <row r="170" spans="1:28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IF($K170="","",K170/100*11)</f>
      </c>
      <c r="O170" s="4">
        <v>8.99</v>
      </c>
      <c r="P170" s="4"/>
      <c r="Q170" s="4">
        <f>IF($K170="","",P170*20%)</f>
      </c>
      <c r="R170" s="4">
        <v>1</v>
      </c>
      <c r="S170" s="4">
        <f>IF($K170="","",L170-M170-N170-O170-P170-Q170-R170)</f>
      </c>
      <c r="T170" s="4">
        <f>IF($K170="","",(S170-V170)/J170*100)</f>
      </c>
      <c r="U170" s="4">
        <f>IF($K170="","",M170-Q170)</f>
      </c>
      <c r="W170" s="4">
        <f>IF($K170="","",S170-V170)</f>
      </c>
    </row>
    <row r="171" spans="1:28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IF($K171="","",K171/100*11)</f>
      </c>
      <c r="O171" s="4">
        <v>8.99</v>
      </c>
      <c r="P171" s="4"/>
      <c r="Q171" s="4">
        <f>IF($K171="","",P171*20%)</f>
      </c>
      <c r="R171" s="4">
        <v>1</v>
      </c>
      <c r="S171" s="4">
        <f>IF($K171="","",L171-M171-N171-O171-P171-Q171-R171)</f>
      </c>
      <c r="T171" s="4">
        <f>IF($K171="","",(S171-V171)/J171*100)</f>
      </c>
      <c r="U171" s="4">
        <f>IF($K171="","",M171-Q171)</f>
      </c>
      <c r="W171" s="4">
        <f>IF($K171="","",S171-V171)</f>
      </c>
    </row>
    <row r="172" spans="1:28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IF($K172="","",K172/100*11)</f>
      </c>
      <c r="O172" s="4">
        <v>8.99</v>
      </c>
      <c r="P172" s="4"/>
      <c r="Q172" s="4">
        <f>IF($K172="","",P172*20%)</f>
      </c>
      <c r="R172" s="4">
        <v>1</v>
      </c>
      <c r="S172" s="4">
        <f>IF($K172="","",L172-M172-N172-O172-P172-Q172-R172)</f>
      </c>
      <c r="T172" s="4">
        <f>IF($K172="","",(S172-V172)/J172*100)</f>
      </c>
      <c r="U172" s="4">
        <f>IF($K172="","",M172-Q172)</f>
      </c>
      <c r="W172" s="4">
        <f>IF($K172="","",S172-V172)</f>
      </c>
    </row>
    <row r="173" spans="1:28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IF($K173="","",K173/100*11)</f>
      </c>
      <c r="O173" s="4">
        <v>8.99</v>
      </c>
      <c r="P173" s="4"/>
      <c r="Q173" s="4">
        <f>IF($K173="","",P173*20%)</f>
      </c>
      <c r="R173" s="4">
        <v>1</v>
      </c>
      <c r="S173" s="4">
        <f>IF($K173="","",L173-M173-N173-O173-P173-Q173-R173)</f>
      </c>
      <c r="T173" s="4">
        <f>IF($K173="","",(S173-V173)/J173*100)</f>
      </c>
      <c r="U173" s="4">
        <f>IF($K173="","",M173-Q173)</f>
      </c>
      <c r="W173" s="4">
        <f>IF($K173="","",S173-V173)</f>
      </c>
    </row>
    <row r="174" spans="1:28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IF($K174="","",K174/100*11)</f>
      </c>
      <c r="O174" s="4">
        <v>8.99</v>
      </c>
      <c r="P174" s="4"/>
      <c r="Q174" s="4">
        <f>IF($K174="","",P174*20%)</f>
      </c>
      <c r="R174" s="4">
        <v>1</v>
      </c>
      <c r="S174" s="4">
        <f>IF($K174="","",L174-M174-N174-O174-P174-Q174-R174)</f>
      </c>
      <c r="T174" s="4">
        <f>IF($K174="","",(S174-V174)/J174*100)</f>
      </c>
      <c r="U174" s="4">
        <f>IF($K174="","",M174-Q174)</f>
      </c>
      <c r="W174" s="4">
        <f>IF($K174="","",S174-V174)</f>
      </c>
    </row>
    <row r="175" spans="1:28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IF($K175="","",K175/100*11)</f>
      </c>
      <c r="O175" s="4">
        <v>8.99</v>
      </c>
      <c r="P175" s="4"/>
      <c r="Q175" s="4">
        <f>IF($K175="","",P175*20%)</f>
      </c>
      <c r="R175" s="4">
        <v>1</v>
      </c>
      <c r="S175" s="4">
        <f>IF($K175="","",L175-M175-N175-O175-P175-Q175-R175)</f>
      </c>
      <c r="T175" s="4">
        <f>IF($K175="","",(S175-V175)/J175*100)</f>
      </c>
      <c r="U175" s="4">
        <f>IF($K175="","",M175-Q175)</f>
      </c>
      <c r="W175" s="4">
        <f>IF($K175="","",S175-V175)</f>
      </c>
    </row>
    <row r="176" spans="1:28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IF($K176="","",K176/100*11)</f>
      </c>
      <c r="O176" s="4">
        <v>8.99</v>
      </c>
      <c r="P176" s="4"/>
      <c r="Q176" s="4">
        <f>IF($K176="","",P176*20%)</f>
      </c>
      <c r="R176" s="4">
        <v>1</v>
      </c>
      <c r="S176" s="4">
        <f>IF($K176="","",L176-M176-N176-O176-P176-Q176-R176)</f>
      </c>
      <c r="T176" s="4">
        <f>IF($K176="","",(S176-V176)/J176*100)</f>
      </c>
      <c r="U176" s="4">
        <f>IF($K176="","",M176-Q176)</f>
      </c>
      <c r="W176" s="4">
        <f>IF($K176="","",S176-V176)</f>
      </c>
    </row>
    <row r="177" spans="1:28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IF($K177="","",K177/100*11)</f>
      </c>
      <c r="O177" s="4">
        <v>8.99</v>
      </c>
      <c r="P177" s="4"/>
      <c r="Q177" s="4">
        <f>IF($K177="","",P177*20%)</f>
      </c>
      <c r="R177" s="4">
        <v>1</v>
      </c>
      <c r="S177" s="4">
        <f>IF($K177="","",L177-M177-N177-O177-P177-Q177-R177)</f>
      </c>
      <c r="T177" s="4">
        <f>IF($K177="","",(S177-V177)/J177*100)</f>
      </c>
      <c r="U177" s="4">
        <f>IF($K177="","",M177-Q177)</f>
      </c>
      <c r="W177" s="4">
        <f>IF($K177="","",S177-V177)</f>
      </c>
    </row>
    <row r="178" spans="1:28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IF($K178="","",K178/100*11)</f>
      </c>
      <c r="O178" s="4">
        <v>8.99</v>
      </c>
      <c r="P178" s="4"/>
      <c r="Q178" s="4">
        <f>IF($K178="","",P178*20%)</f>
      </c>
      <c r="R178" s="4">
        <v>1</v>
      </c>
      <c r="S178" s="4">
        <f>IF($K178="","",L178-M178-N178-O178-P178-Q178-R178)</f>
      </c>
      <c r="T178" s="4">
        <f>IF($K178="","",(S178-V178)/J178*100)</f>
      </c>
      <c r="U178" s="4">
        <f>IF($K178="","",M178-Q178)</f>
      </c>
      <c r="W178" s="4">
        <f>IF($K178="","",S178-V178)</f>
      </c>
    </row>
    <row r="179" spans="1:28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IF($K179="","",K179/100*11)</f>
      </c>
      <c r="O179" s="4">
        <v>8.99</v>
      </c>
      <c r="P179" s="4"/>
      <c r="Q179" s="4">
        <f>IF($K179="","",P179*20%)</f>
      </c>
      <c r="R179" s="4">
        <v>1</v>
      </c>
      <c r="S179" s="4">
        <f>IF($K179="","",L179-M179-N179-O179-P179-Q179-R179)</f>
      </c>
      <c r="T179" s="4">
        <f>IF($K179="","",(S179-V179)/J179*100)</f>
      </c>
      <c r="U179" s="4">
        <f>IF($K179="","",M179-Q179)</f>
      </c>
      <c r="W179" s="4">
        <f>IF($K179="","",S179-V179)</f>
      </c>
    </row>
    <row r="180" spans="1:28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IF($K180="","",K180/100*11)</f>
      </c>
      <c r="O180" s="4">
        <v>8.99</v>
      </c>
      <c r="P180" s="4"/>
      <c r="Q180" s="4">
        <f>IF($K180="","",P180*20%)</f>
      </c>
      <c r="R180" s="4">
        <v>1</v>
      </c>
      <c r="S180" s="4">
        <f>IF($K180="","",L180-M180-N180-O180-P180-Q180-R180)</f>
      </c>
      <c r="T180" s="4">
        <f>IF($K180="","",(S180-V180)/J180*100)</f>
      </c>
      <c r="U180" s="4">
        <f>IF($K180="","",M180-Q180)</f>
      </c>
      <c r="W180" s="4">
        <f>IF($K180="","",S180-V180)</f>
      </c>
    </row>
    <row r="181" spans="1:28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IF($K181="","",K181/100*11)</f>
      </c>
      <c r="O181" s="4">
        <v>8.99</v>
      </c>
      <c r="P181" s="4"/>
      <c r="Q181" s="4">
        <f>IF($K181="","",P181*20%)</f>
      </c>
      <c r="R181" s="4">
        <v>1</v>
      </c>
      <c r="S181" s="4">
        <f>IF($K181="","",L181-M181-N181-O181-P181-Q181-R181)</f>
      </c>
      <c r="T181" s="4">
        <f>IF($K181="","",(S181-V181)/J181*100)</f>
      </c>
      <c r="U181" s="4">
        <f>IF($K181="","",M181-Q181)</f>
      </c>
      <c r="W181" s="4">
        <f>IF($K181="","",S181-V181)</f>
      </c>
    </row>
    <row r="182" spans="1:28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IF($K182="","",K182/100*11)</f>
      </c>
      <c r="O182" s="4">
        <v>8.99</v>
      </c>
      <c r="P182" s="4"/>
      <c r="Q182" s="4">
        <f>IF($K182="","",P182*20%)</f>
      </c>
      <c r="R182" s="4">
        <v>1</v>
      </c>
      <c r="S182" s="4">
        <f>IF($K182="","",L182-M182-N182-O182-P182-Q182-R182)</f>
      </c>
      <c r="T182" s="4">
        <f>IF($K182="","",(S182-V182)/J182*100)</f>
      </c>
      <c r="U182" s="4">
        <f>IF($K182="","",M182-Q182)</f>
      </c>
      <c r="W182" s="4">
        <f>IF($K182="","",S182-V182)</f>
      </c>
    </row>
    <row r="183" spans="1:28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IF($K183="","",K183/100*11)</f>
      </c>
      <c r="O183" s="4">
        <v>8.99</v>
      </c>
      <c r="P183" s="4"/>
      <c r="Q183" s="4">
        <f>IF($K183="","",P183*20%)</f>
      </c>
      <c r="R183" s="4">
        <v>1</v>
      </c>
      <c r="S183" s="4">
        <f>IF($K183="","",L183-M183-N183-O183-P183-Q183-R183)</f>
      </c>
      <c r="T183" s="4">
        <f>IF($K183="","",(S183-V183)/J183*100)</f>
      </c>
      <c r="U183" s="4">
        <f>IF($K183="","",M183-Q183)</f>
      </c>
      <c r="W183" s="4">
        <f>IF($K183="","",S183-V183)</f>
      </c>
    </row>
    <row r="184" spans="1:28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IF($K184="","",K184/100*11)</f>
      </c>
      <c r="O184" s="4">
        <v>8.99</v>
      </c>
      <c r="P184" s="4"/>
      <c r="Q184" s="4">
        <f>IF($K184="","",P184*20%)</f>
      </c>
      <c r="R184" s="4">
        <v>1</v>
      </c>
      <c r="S184" s="4">
        <f>IF($K184="","",L184-M184-N184-O184-P184-Q184-R184)</f>
      </c>
      <c r="T184" s="4">
        <f>IF($K184="","",(S184-V184)/J184*100)</f>
      </c>
      <c r="U184" s="4">
        <f>IF($K184="","",M184-Q184)</f>
      </c>
      <c r="W184" s="4">
        <f>IF($K184="","",S184-V184)</f>
      </c>
    </row>
    <row r="185" spans="1:28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IF($K185="","",K185/100*11)</f>
      </c>
      <c r="O185" s="4">
        <v>8.99</v>
      </c>
      <c r="P185" s="4"/>
      <c r="Q185" s="4">
        <f>IF($K185="","",P185*20%)</f>
      </c>
      <c r="R185" s="4">
        <v>1</v>
      </c>
      <c r="S185" s="4">
        <f>IF($K185="","",L185-M185-N185-O185-P185-Q185-R185)</f>
      </c>
      <c r="T185" s="4">
        <f>IF($K185="","",(S185-V185)/J185*100)</f>
      </c>
      <c r="U185" s="4">
        <f>IF($K185="","",M185-Q185)</f>
      </c>
      <c r="W185" s="4">
        <f>IF($K185="","",S185-V185)</f>
      </c>
    </row>
    <row r="186" spans="1:28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IF($K186="","",K186/100*11)</f>
      </c>
      <c r="O186" s="4">
        <v>8.99</v>
      </c>
      <c r="P186" s="4"/>
      <c r="Q186" s="4">
        <f>IF($K186="","",P186*20%)</f>
      </c>
      <c r="R186" s="4">
        <v>1</v>
      </c>
      <c r="S186" s="4">
        <f>IF($K186="","",L186-M186-N186-O186-P186-Q186-R186)</f>
      </c>
      <c r="T186" s="4">
        <f>IF($K186="","",(S186-V186)/J186*100)</f>
      </c>
      <c r="U186" s="4">
        <f>IF($K186="","",M186-Q186)</f>
      </c>
      <c r="W186" s="4">
        <f>IF($K186="","",S186-V186)</f>
      </c>
    </row>
    <row r="187" spans="1:28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IF($K187="","",K187/100*11)</f>
      </c>
      <c r="O187" s="4">
        <v>8.99</v>
      </c>
      <c r="P187" s="4"/>
      <c r="Q187" s="4">
        <f>IF($K187="","",P187*20%)</f>
      </c>
      <c r="R187" s="4">
        <v>1</v>
      </c>
      <c r="S187" s="4">
        <f>IF($K187="","",L187-M187-N187-O187-P187-Q187-R187)</f>
      </c>
      <c r="T187" s="4">
        <f>IF($K187="","",(S187-V187)/J187*100)</f>
      </c>
      <c r="U187" s="4">
        <f>IF($K187="","",M187-Q187)</f>
      </c>
      <c r="W187" s="4">
        <f>IF($K187="","",S187-V187)</f>
      </c>
    </row>
    <row r="188" spans="1:28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IF($K188="","",K188/100*11)</f>
      </c>
      <c r="O188" s="4">
        <v>8.99</v>
      </c>
      <c r="P188" s="4"/>
      <c r="Q188" s="4">
        <f>IF($K188="","",P188*20%)</f>
      </c>
      <c r="R188" s="4">
        <v>1</v>
      </c>
      <c r="S188" s="4">
        <f>IF($K188="","",L188-M188-N188-O188-P188-Q188-R188)</f>
      </c>
      <c r="T188" s="4">
        <f>IF($K188="","",(S188-V188)/J188*100)</f>
      </c>
      <c r="U188" s="4">
        <f>IF($K188="","",M188-Q188)</f>
      </c>
      <c r="W188" s="4">
        <f>IF($K188="","",S188-V188)</f>
      </c>
    </row>
    <row r="189" spans="1:28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IF($K189="","",K189/100*11)</f>
      </c>
      <c r="O189" s="4">
        <v>8.99</v>
      </c>
      <c r="P189" s="4"/>
      <c r="Q189" s="4">
        <f>IF($K189="","",P189*20%)</f>
      </c>
      <c r="R189" s="4">
        <v>1</v>
      </c>
      <c r="S189" s="4">
        <f>IF($K189="","",L189-M189-N189-O189-P189-Q189-R189)</f>
      </c>
      <c r="T189" s="4">
        <f>IF($K189="","",(S189-V189)/J189*100)</f>
      </c>
      <c r="U189" s="4">
        <f>IF($K189="","",M189-Q189)</f>
      </c>
      <c r="W189" s="4">
        <f>IF($K189="","",S189-V189)</f>
      </c>
    </row>
    <row r="190" spans="1:28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IF($K190="","",K190/100*11)</f>
      </c>
      <c r="O190" s="4">
        <v>8.99</v>
      </c>
      <c r="P190" s="4"/>
      <c r="Q190" s="4">
        <f>IF($K190="","",P190*20%)</f>
      </c>
      <c r="R190" s="4">
        <v>1</v>
      </c>
      <c r="S190" s="4">
        <f>IF($K190="","",L190-M190-N190-O190-P190-Q190-R190)</f>
      </c>
      <c r="T190" s="4">
        <f>IF($K190="","",(S190-V190)/J190*100)</f>
      </c>
      <c r="U190" s="4">
        <f>IF($K190="","",M190-Q190)</f>
      </c>
      <c r="W190" s="4">
        <f>IF($K190="","",S190-V190)</f>
      </c>
    </row>
    <row r="191" spans="1:28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IF($K191="","",K191/100*11)</f>
      </c>
      <c r="O191" s="4">
        <v>8.99</v>
      </c>
      <c r="P191" s="4"/>
      <c r="Q191" s="4">
        <f>IF($K191="","",P191*20%)</f>
      </c>
      <c r="R191" s="4">
        <v>1</v>
      </c>
      <c r="S191" s="4">
        <f>IF($K191="","",L191-M191-N191-O191-P191-Q191-R191)</f>
      </c>
      <c r="T191" s="4">
        <f>IF($K191="","",(S191-V191)/J191*100)</f>
      </c>
      <c r="U191" s="4">
        <f>IF($K191="","",M191-Q191)</f>
      </c>
      <c r="W191" s="4">
        <f>IF($K191="","",S191-V191)</f>
      </c>
    </row>
    <row r="192" spans="1:28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IF($K192="","",K192/100*11)</f>
      </c>
      <c r="O192" s="4">
        <v>8.99</v>
      </c>
      <c r="P192" s="4"/>
      <c r="Q192" s="4">
        <f>IF($K192="","",P192*20%)</f>
      </c>
      <c r="R192" s="4">
        <v>1</v>
      </c>
      <c r="S192" s="4">
        <f>IF($K192="","",L192-M192-N192-O192-P192-Q192-R192)</f>
      </c>
      <c r="T192" s="4">
        <f>IF($K192="","",(S192-V192)/J192*100)</f>
      </c>
      <c r="U192" s="4">
        <f>IF($K192="","",M192-Q192)</f>
      </c>
      <c r="W192" s="4">
        <f>IF($K192="","",S192-V192)</f>
      </c>
    </row>
    <row r="193" spans="1:28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IF($K193="","",K193/100*11)</f>
      </c>
      <c r="O193" s="4">
        <v>8.99</v>
      </c>
      <c r="P193" s="4"/>
      <c r="Q193" s="4">
        <f>IF($K193="","",P193*20%)</f>
      </c>
      <c r="R193" s="4">
        <v>1</v>
      </c>
      <c r="S193" s="4">
        <f>IF($K193="","",L193-M193-N193-O193-P193-Q193-R193)</f>
      </c>
      <c r="T193" s="4">
        <f>IF($K193="","",(S193-V193)/J193*100)</f>
      </c>
      <c r="U193" s="4">
        <f>IF($K193="","",M193-Q193)</f>
      </c>
      <c r="W193" s="4">
        <f>IF($K193="","",S193-V193)</f>
      </c>
    </row>
    <row r="194" spans="1:28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IF($K194="","",K194/100*11)</f>
      </c>
      <c r="O194" s="4">
        <v>8.99</v>
      </c>
      <c r="P194" s="4"/>
      <c r="Q194" s="4">
        <f>IF($K194="","",P194*20%)</f>
      </c>
      <c r="R194" s="4">
        <v>1</v>
      </c>
      <c r="S194" s="4">
        <f>IF($K194="","",L194-M194-N194-O194-P194-Q194-R194)</f>
      </c>
      <c r="T194" s="4">
        <f>IF($K194="","",(S194-V194)/J194*100)</f>
      </c>
      <c r="U194" s="4">
        <f>IF($K194="","",M194-Q194)</f>
      </c>
      <c r="W194" s="4">
        <f>IF($K194="","",S194-V194)</f>
      </c>
    </row>
    <row r="195" spans="1:28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IF($K195="","",K195/100*11)</f>
      </c>
      <c r="O195" s="4">
        <v>8.99</v>
      </c>
      <c r="P195" s="4"/>
      <c r="Q195" s="4">
        <f>IF($K195="","",P195*20%)</f>
      </c>
      <c r="R195" s="4">
        <v>1</v>
      </c>
      <c r="S195" s="4">
        <f>IF($K195="","",L195-M195-N195-O195-P195-Q195-R195)</f>
      </c>
      <c r="T195" s="4">
        <f>IF($K195="","",(S195-V195)/J195*100)</f>
      </c>
      <c r="U195" s="4">
        <f>IF($K195="","",M195-Q195)</f>
      </c>
      <c r="W195" s="4">
        <f>IF($K195="","",S195-V195)</f>
      </c>
    </row>
    <row r="196" spans="1:28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IF($K196="","",K196/100*11)</f>
      </c>
      <c r="O196" s="4">
        <v>8.99</v>
      </c>
      <c r="P196" s="4"/>
      <c r="Q196" s="4">
        <f>IF($K196="","",P196*20%)</f>
      </c>
      <c r="R196" s="4">
        <v>1</v>
      </c>
      <c r="S196" s="4">
        <f>IF($K196="","",L196-M196-N196-O196-P196-Q196-R196)</f>
      </c>
      <c r="T196" s="4">
        <f>IF($K196="","",(S196-V196)/J196*100)</f>
      </c>
      <c r="U196" s="4">
        <f>IF($K196="","",M196-Q196)</f>
      </c>
      <c r="W196" s="4">
        <f>IF($K196="","",S196-V196)</f>
      </c>
    </row>
    <row r="197" spans="1:28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IF($K197="","",K197/100*11)</f>
      </c>
      <c r="O197" s="4">
        <v>8.99</v>
      </c>
      <c r="P197" s="4"/>
      <c r="Q197" s="4">
        <f>IF($K197="","",P197*20%)</f>
      </c>
      <c r="R197" s="4">
        <v>1</v>
      </c>
      <c r="S197" s="4">
        <f>IF($K197="","",L197-M197-N197-O197-P197-Q197-R197)</f>
      </c>
      <c r="T197" s="4">
        <f>IF($K197="","",(S197-V197)/J197*100)</f>
      </c>
      <c r="U197" s="4">
        <f>IF($K197="","",M197-Q197)</f>
      </c>
      <c r="W197" s="4">
        <f>IF($K197="","",S197-V197)</f>
      </c>
    </row>
    <row r="198" spans="1:28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IF($K198="","",K198/100*11)</f>
      </c>
      <c r="O198" s="4">
        <v>8.99</v>
      </c>
      <c r="P198" s="4"/>
      <c r="Q198" s="4">
        <f>IF($K198="","",P198*20%)</f>
      </c>
      <c r="R198" s="4">
        <v>1</v>
      </c>
      <c r="S198" s="4">
        <f>IF($K198="","",L198-M198-N198-O198-P198-Q198-R198)</f>
      </c>
      <c r="T198" s="4">
        <f>IF($K198="","",(S198-V198)/J198*100)</f>
      </c>
      <c r="U198" s="4">
        <f>IF($K198="","",M198-Q198)</f>
      </c>
      <c r="W198" s="4">
        <f>IF($K198="","",S198-V198)</f>
      </c>
    </row>
    <row r="199" spans="1:28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IF($K199="","",K199/100*11)</f>
      </c>
      <c r="O199" s="4">
        <v>8.99</v>
      </c>
      <c r="P199" s="4"/>
      <c r="Q199" s="4">
        <f>IF($K199="","",P199*20%)</f>
      </c>
      <c r="R199" s="4">
        <v>1</v>
      </c>
      <c r="S199" s="4">
        <f>IF($K199="","",L199-M199-N199-O199-P199-Q199-R199)</f>
      </c>
      <c r="T199" s="4">
        <f>IF($K199="","",(S199-V199)/J199*100)</f>
      </c>
      <c r="U199" s="4">
        <f>IF($K199="","",M199-Q199)</f>
      </c>
      <c r="W199" s="4">
        <f>IF($K199="","",S199-V199)</f>
      </c>
    </row>
    <row r="200" spans="1:28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IF($K200="","",K200/100*11)</f>
      </c>
      <c r="O200" s="4">
        <v>8.99</v>
      </c>
      <c r="P200" s="4"/>
      <c r="Q200" s="4">
        <f>IF($K200="","",P200*20%)</f>
      </c>
      <c r="R200" s="4">
        <v>1</v>
      </c>
      <c r="S200" s="4">
        <f>IF($K200="","",L200-M200-N200-O200-P200-Q200-R200)</f>
      </c>
      <c r="T200" s="4">
        <f>IF($K200="","",(S200-V200)/J200*100)</f>
      </c>
      <c r="U200" s="4">
        <f>IF($K200="","",M200-Q200)</f>
      </c>
      <c r="W200" s="4">
        <f>IF($K200="","",S200-V200)</f>
      </c>
    </row>
    <row r="201" spans="1:28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IF($K201="","",K201/100*11)</f>
      </c>
      <c r="O201" s="4">
        <v>8.99</v>
      </c>
      <c r="P201" s="4"/>
      <c r="Q201" s="4">
        <f>IF($K201="","",P201*20%)</f>
      </c>
      <c r="R201" s="4">
        <v>1</v>
      </c>
      <c r="S201" s="4">
        <f>IF($K201="","",L201-M201-N201-O201-P201-Q201-R201)</f>
      </c>
      <c r="T201" s="4">
        <f>IF($K201="","",(S201-V201)/J201*100)</f>
      </c>
      <c r="U201" s="4">
        <f>IF($K201="","",M201-Q201)</f>
      </c>
      <c r="W201" s="4">
        <f>IF($K201="","",S201-V201)</f>
      </c>
    </row>
    <row r="202" spans="1:28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IFERROR((S202-V202)/J202*100,0)</f>
      </c>
      <c r="U202" s="14">
        <f>SUM(U2:U201)</f>
      </c>
      <c r="V202" s="14">
        <f>SUM(V2:V201)</f>
      </c>
      <c r="W202" s="14">
        <f>SUM(W2:W201)</f>
      </c>
      <c r="X202" s="7"/>
      <c r="Y202" s="7"/>
      <c r="Z202" s="7"/>
      <c r="AA202" s="7"/>
      <c r="AB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5"/>
  <sheetFormatPr defaultRowHeight="15" outlineLevelRow="0" outlineLevelCol="0" x14ac:dyDescent="55"/>
  <sheetData>
    <row r="1" spans="1:34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83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84</v>
      </c>
      <c r="P1" t="s">
        <v>85</v>
      </c>
      <c r="Q1" t="s">
        <v>86</v>
      </c>
      <c r="R1" t="s">
        <v>87</v>
      </c>
      <c r="S1" t="s">
        <v>43</v>
      </c>
      <c r="T1" t="s">
        <v>44</v>
      </c>
      <c r="U1" t="s">
        <v>88</v>
      </c>
      <c r="V1" t="s">
        <v>89</v>
      </c>
      <c r="W1" t="s">
        <v>45</v>
      </c>
      <c r="X1" t="s">
        <v>46</v>
      </c>
      <c r="Y1" t="s">
        <v>47</v>
      </c>
      <c r="Z1" t="s">
        <v>48</v>
      </c>
      <c r="AA1" t="s">
        <v>49</v>
      </c>
      <c r="AB1" t="s">
        <v>50</v>
      </c>
      <c r="AC1" t="s">
        <v>11</v>
      </c>
      <c r="AD1" t="s">
        <v>51</v>
      </c>
      <c r="AE1" t="s">
        <v>52</v>
      </c>
      <c r="AF1" t="s">
        <v>53</v>
      </c>
      <c r="AG1" t="s">
        <v>54</v>
      </c>
      <c r="AH1" t="s">
        <v>55</v>
      </c>
    </row>
    <row r="2" spans="1:34" x14ac:dyDescent="0.25">
      <c r="A2" s="8">
        <v>46223.5</v>
      </c>
      <c r="B2" t="s">
        <v>90</v>
      </c>
      <c r="C2" t="s">
        <v>91</v>
      </c>
      <c r="D2" s="9" t="s">
        <v>1</v>
      </c>
      <c r="E2" t="s">
        <v>91</v>
      </c>
      <c r="F2" t="s">
        <v>1</v>
      </c>
      <c r="G2" t="s">
        <v>1</v>
      </c>
      <c r="H2" t="s">
        <v>62</v>
      </c>
      <c r="I2">
        <v>3</v>
      </c>
      <c r="J2" s="4">
        <v>3.3</v>
      </c>
      <c r="K2" s="4">
        <v>17.97</v>
      </c>
      <c r="L2" s="4">
        <f>K2-J2</f>
      </c>
      <c r="M2" s="4">
        <f>L2*16.67%</f>
      </c>
      <c r="N2" s="4">
        <f>(K2*6.9%)-(K2*6.9%)*10%</f>
      </c>
      <c r="O2" s="4">
        <f>K2*0.35%</f>
      </c>
      <c r="P2" s="4">
        <v>0.4</v>
      </c>
      <c r="Q2" s="4">
        <f>(N2+O2+P2)*20%</f>
      </c>
      <c r="R2" s="4">
        <f>N2+O2+P2+Q2</f>
      </c>
      <c r="S2" s="4">
        <v>2.5</v>
      </c>
      <c r="T2" s="4">
        <v>0</v>
      </c>
      <c r="U2" s="4">
        <v>0</v>
      </c>
      <c r="V2" s="4">
        <f>U2*20%</f>
      </c>
      <c r="W2" s="4">
        <v>0</v>
      </c>
      <c r="X2" s="4">
        <f>Q2+T2+V2</f>
      </c>
      <c r="Y2" s="4">
        <f>L2-M2-R2-S2-T2-U2-V2-W2</f>
      </c>
      <c r="Z2" s="4">
        <f>(Y2-AB2)/J2*100</f>
      </c>
      <c r="AA2" s="4">
        <f>M2-X2</f>
      </c>
      <c r="AC2" s="4">
        <f>Y2-AB2</f>
      </c>
      <c r="AH2" t="s">
        <v>1</v>
      </c>
    </row>
    <row r="3" spans="1:34" x14ac:dyDescent="0.25">
      <c r="A3" s="8">
        <v>46221.5</v>
      </c>
      <c r="B3" t="s">
        <v>92</v>
      </c>
      <c r="C3" t="s">
        <v>93</v>
      </c>
      <c r="D3" s="9" t="s">
        <v>94</v>
      </c>
      <c r="E3" t="s">
        <v>76</v>
      </c>
      <c r="F3" t="s">
        <v>60</v>
      </c>
      <c r="G3" t="s">
        <v>95</v>
      </c>
      <c r="H3" t="s">
        <v>62</v>
      </c>
      <c r="I3">
        <v>1</v>
      </c>
      <c r="J3" s="4">
        <v>200</v>
      </c>
      <c r="K3" s="4">
        <v>355</v>
      </c>
      <c r="L3" s="4">
        <f>K3-J3</f>
      </c>
      <c r="M3" s="4">
        <f>L3*16.67%</f>
      </c>
      <c r="N3" s="4">
        <f>(K3*6.9%)-(K3*6.9%)*10%</f>
      </c>
      <c r="O3" s="4">
        <f>K3*0.35%</f>
      </c>
      <c r="P3" s="4">
        <v>0.4</v>
      </c>
      <c r="Q3" s="4">
        <f>(N3+O3+P3)*20%</f>
      </c>
      <c r="R3" s="4">
        <f>N3+O3+P3+Q3</f>
      </c>
      <c r="S3" s="4">
        <v>8</v>
      </c>
      <c r="T3" s="4">
        <v>0</v>
      </c>
      <c r="U3" s="4">
        <v>0</v>
      </c>
      <c r="V3" s="4">
        <f>U3*20%</f>
      </c>
      <c r="W3" s="4">
        <v>1</v>
      </c>
      <c r="X3" s="4">
        <f>Q3+T3+V3</f>
      </c>
      <c r="Y3" s="4">
        <f>L3-M3-R3-S3-T3-U3-V3-W3</f>
      </c>
      <c r="Z3" s="4">
        <f>(Y3-AB3)/J3*100</f>
      </c>
      <c r="AA3" s="4">
        <f>M3-X3</f>
      </c>
      <c r="AC3" s="4">
        <f>Y3-AB3</f>
      </c>
      <c r="AH3" t="s">
        <v>1</v>
      </c>
    </row>
    <row r="4" spans="1:34" x14ac:dyDescent="0.25">
      <c r="A4" s="10">
        <v>46219.5</v>
      </c>
      <c r="B4" s="11" t="s">
        <v>96</v>
      </c>
      <c r="C4" s="11" t="s">
        <v>97</v>
      </c>
      <c r="D4" s="12" t="s">
        <v>98</v>
      </c>
      <c r="E4" s="11" t="s">
        <v>99</v>
      </c>
      <c r="F4" s="11" t="s">
        <v>60</v>
      </c>
      <c r="G4" s="11" t="s">
        <v>95</v>
      </c>
      <c r="H4" s="11" t="s">
        <v>62</v>
      </c>
      <c r="I4" s="11">
        <v>1</v>
      </c>
      <c r="J4" s="13">
        <v>200</v>
      </c>
      <c r="K4" s="13">
        <v>375</v>
      </c>
      <c r="L4" s="13">
        <f>K4-J4</f>
      </c>
      <c r="M4" s="13">
        <f>L4*16.67%</f>
      </c>
      <c r="N4" s="13">
        <f>(K4*6.9%)-(K4*6.9%)*10%</f>
      </c>
      <c r="O4" s="13">
        <f>K4*0.35%</f>
      </c>
      <c r="P4" s="13">
        <v>0.4</v>
      </c>
      <c r="Q4" s="13">
        <f>(N4+O4+P4)*20%</f>
      </c>
      <c r="R4" s="13">
        <f>N4+O4+P4+Q4</f>
      </c>
      <c r="S4" s="13">
        <v>8</v>
      </c>
      <c r="T4" s="13">
        <v>0</v>
      </c>
      <c r="U4" s="13">
        <v>0</v>
      </c>
      <c r="V4" s="13">
        <f>U4*20%</f>
      </c>
      <c r="W4" s="13">
        <v>1</v>
      </c>
      <c r="X4" s="13">
        <f>Q4+T4+V4</f>
      </c>
      <c r="Y4" s="13">
        <f>L4-M4-R4-S4-T4-U4-V4-W4</f>
      </c>
      <c r="Z4" s="13">
        <f>(Y4-AB4)/J4*100</f>
      </c>
      <c r="AA4" s="13">
        <f>M4-X4</f>
      </c>
      <c r="AB4" s="13">
        <v>19.2</v>
      </c>
      <c r="AC4" s="13">
        <f>Y4-AB4</f>
      </c>
      <c r="AD4" s="10">
        <v>46225.5</v>
      </c>
      <c r="AE4" s="11" t="s">
        <v>100</v>
      </c>
      <c r="AF4" s="11">
        <v>2</v>
      </c>
      <c r="AG4" s="11" t="s">
        <v>101</v>
      </c>
      <c r="AH4" s="11" t="s">
        <v>1</v>
      </c>
    </row>
    <row r="5" spans="1:34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>
        <f>IF($K5="","",(K5*6.9%)-(K5*6.9%)*10%)</f>
      </c>
      <c r="O5" s="4">
        <f>IF($K5="","",K5*0.35%)</f>
      </c>
      <c r="P5" s="4">
        <v>0.4</v>
      </c>
      <c r="Q5" s="4">
        <f>IF($K5="","",(N5+O5+P5)*20%)</f>
      </c>
      <c r="R5" s="4">
        <f>IF($K5="","",N5+O5+P5+Q5)</f>
      </c>
      <c r="S5" s="4"/>
      <c r="T5" s="4"/>
      <c r="U5" s="4"/>
      <c r="V5" s="4">
        <f>IF($K5="","",U5*20%)</f>
      </c>
      <c r="W5" s="4">
        <v>1</v>
      </c>
      <c r="X5" s="4">
        <f>IF($K5="","",Q5+T5+V5)</f>
      </c>
      <c r="Y5" s="4">
        <f>IF($K5="","",L5-M5-R5-S5-T5-U5-V5-W5)</f>
      </c>
      <c r="Z5" s="4">
        <f>IF($K5="","",(Y5-AB5)/J5*100)</f>
      </c>
      <c r="AA5" s="4">
        <f>IF($K5="","",M5-X5)</f>
      </c>
      <c r="AC5" s="4">
        <f>IF($K5="","",Y5-AB5)</f>
      </c>
    </row>
    <row r="6" spans="1:34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>
        <f>IF($K6="","",(K6*6.9%)-(K6*6.9%)*10%)</f>
      </c>
      <c r="O6" s="4">
        <f>IF($K6="","",K6*0.35%)</f>
      </c>
      <c r="P6" s="4">
        <v>0.4</v>
      </c>
      <c r="Q6" s="4">
        <f>IF($K6="","",(N6+O6+P6)*20%)</f>
      </c>
      <c r="R6" s="4">
        <f>IF($K6="","",N6+O6+P6+Q6)</f>
      </c>
      <c r="S6" s="4"/>
      <c r="T6" s="4"/>
      <c r="U6" s="4"/>
      <c r="V6" s="4">
        <f>IF($K6="","",U6*20%)</f>
      </c>
      <c r="W6" s="4">
        <v>1</v>
      </c>
      <c r="X6" s="4">
        <f>IF($K6="","",Q6+T6+V6)</f>
      </c>
      <c r="Y6" s="4">
        <f>IF($K6="","",L6-M6-R6-S6-T6-U6-V6-W6)</f>
      </c>
      <c r="Z6" s="4">
        <f>IF($K6="","",(Y6-AB6)/J6*100)</f>
      </c>
      <c r="AA6" s="4">
        <f>IF($K6="","",M6-X6)</f>
      </c>
      <c r="AC6" s="4">
        <f>IF($K6="","",Y6-AB6)</f>
      </c>
    </row>
    <row r="7" spans="1:34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>
        <f>IF($K7="","",(K7*6.9%)-(K7*6.9%)*10%)</f>
      </c>
      <c r="O7" s="4">
        <f>IF($K7="","",K7*0.35%)</f>
      </c>
      <c r="P7" s="4">
        <v>0.4</v>
      </c>
      <c r="Q7" s="4">
        <f>IF($K7="","",(N7+O7+P7)*20%)</f>
      </c>
      <c r="R7" s="4">
        <f>IF($K7="","",N7+O7+P7+Q7)</f>
      </c>
      <c r="S7" s="4"/>
      <c r="T7" s="4"/>
      <c r="U7" s="4"/>
      <c r="V7" s="4">
        <f>IF($K7="","",U7*20%)</f>
      </c>
      <c r="W7" s="4">
        <v>1</v>
      </c>
      <c r="X7" s="4">
        <f>IF($K7="","",Q7+T7+V7)</f>
      </c>
      <c r="Y7" s="4">
        <f>IF($K7="","",L7-M7-R7-S7-T7-U7-V7-W7)</f>
      </c>
      <c r="Z7" s="4">
        <f>IF($K7="","",(Y7-AB7)/J7*100)</f>
      </c>
      <c r="AA7" s="4">
        <f>IF($K7="","",M7-X7)</f>
      </c>
      <c r="AC7" s="4">
        <f>IF($K7="","",Y7-AB7)</f>
      </c>
    </row>
    <row r="8" spans="1:34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>
        <f>IF($K8="","",(K8*6.9%)-(K8*6.9%)*10%)</f>
      </c>
      <c r="O8" s="4">
        <f>IF($K8="","",K8*0.35%)</f>
      </c>
      <c r="P8" s="4">
        <v>0.4</v>
      </c>
      <c r="Q8" s="4">
        <f>IF($K8="","",(N8+O8+P8)*20%)</f>
      </c>
      <c r="R8" s="4">
        <f>IF($K8="","",N8+O8+P8+Q8)</f>
      </c>
      <c r="S8" s="4"/>
      <c r="T8" s="4"/>
      <c r="U8" s="4"/>
      <c r="V8" s="4">
        <f>IF($K8="","",U8*20%)</f>
      </c>
      <c r="W8" s="4">
        <v>1</v>
      </c>
      <c r="X8" s="4">
        <f>IF($K8="","",Q8+T8+V8)</f>
      </c>
      <c r="Y8" s="4">
        <f>IF($K8="","",L8-M8-R8-S8-T8-U8-V8-W8)</f>
      </c>
      <c r="Z8" s="4">
        <f>IF($K8="","",(Y8-AB8)/J8*100)</f>
      </c>
      <c r="AA8" s="4">
        <f>IF($K8="","",M8-X8)</f>
      </c>
      <c r="AC8" s="4">
        <f>IF($K8="","",Y8-AB8)</f>
      </c>
    </row>
    <row r="9" spans="1:34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>
        <f>IF($K9="","",(K9*6.9%)-(K9*6.9%)*10%)</f>
      </c>
      <c r="O9" s="4">
        <f>IF($K9="","",K9*0.35%)</f>
      </c>
      <c r="P9" s="4">
        <v>0.4</v>
      </c>
      <c r="Q9" s="4">
        <f>IF($K9="","",(N9+O9+P9)*20%)</f>
      </c>
      <c r="R9" s="4">
        <f>IF($K9="","",N9+O9+P9+Q9)</f>
      </c>
      <c r="S9" s="4"/>
      <c r="T9" s="4"/>
      <c r="U9" s="4"/>
      <c r="V9" s="4">
        <f>IF($K9="","",U9*20%)</f>
      </c>
      <c r="W9" s="4">
        <v>1</v>
      </c>
      <c r="X9" s="4">
        <f>IF($K9="","",Q9+T9+V9)</f>
      </c>
      <c r="Y9" s="4">
        <f>IF($K9="","",L9-M9-R9-S9-T9-U9-V9-W9)</f>
      </c>
      <c r="Z9" s="4">
        <f>IF($K9="","",(Y9-AB9)/J9*100)</f>
      </c>
      <c r="AA9" s="4">
        <f>IF($K9="","",M9-X9)</f>
      </c>
      <c r="AC9" s="4">
        <f>IF($K9="","",Y9-AB9)</f>
      </c>
    </row>
    <row r="10" spans="1:34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>
        <f>IF($K10="","",(K10*6.9%)-(K10*6.9%)*10%)</f>
      </c>
      <c r="O10" s="4">
        <f>IF($K10="","",K10*0.35%)</f>
      </c>
      <c r="P10" s="4">
        <v>0.4</v>
      </c>
      <c r="Q10" s="4">
        <f>IF($K10="","",(N10+O10+P10)*20%)</f>
      </c>
      <c r="R10" s="4">
        <f>IF($K10="","",N10+O10+P10+Q10)</f>
      </c>
      <c r="S10" s="4"/>
      <c r="T10" s="4"/>
      <c r="U10" s="4"/>
      <c r="V10" s="4">
        <f>IF($K10="","",U10*20%)</f>
      </c>
      <c r="W10" s="4">
        <v>1</v>
      </c>
      <c r="X10" s="4">
        <f>IF($K10="","",Q10+T10+V10)</f>
      </c>
      <c r="Y10" s="4">
        <f>IF($K10="","",L10-M10-R10-S10-T10-U10-V10-W10)</f>
      </c>
      <c r="Z10" s="4">
        <f>IF($K10="","",(Y10-AB10)/J10*100)</f>
      </c>
      <c r="AA10" s="4">
        <f>IF($K10="","",M10-X10)</f>
      </c>
      <c r="AC10" s="4">
        <f>IF($K10="","",Y10-AB10)</f>
      </c>
    </row>
    <row r="11" spans="1:34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>
        <f>IF($K11="","",(K11*6.9%)-(K11*6.9%)*10%)</f>
      </c>
      <c r="O11" s="4">
        <f>IF($K11="","",K11*0.35%)</f>
      </c>
      <c r="P11" s="4">
        <v>0.4</v>
      </c>
      <c r="Q11" s="4">
        <f>IF($K11="","",(N11+O11+P11)*20%)</f>
      </c>
      <c r="R11" s="4">
        <f>IF($K11="","",N11+O11+P11+Q11)</f>
      </c>
      <c r="S11" s="4"/>
      <c r="T11" s="4"/>
      <c r="U11" s="4"/>
      <c r="V11" s="4">
        <f>IF($K11="","",U11*20%)</f>
      </c>
      <c r="W11" s="4">
        <v>1</v>
      </c>
      <c r="X11" s="4">
        <f>IF($K11="","",Q11+T11+V11)</f>
      </c>
      <c r="Y11" s="4">
        <f>IF($K11="","",L11-M11-R11-S11-T11-U11-V11-W11)</f>
      </c>
      <c r="Z11" s="4">
        <f>IF($K11="","",(Y11-AB11)/J11*100)</f>
      </c>
      <c r="AA11" s="4">
        <f>IF($K11="","",M11-X11)</f>
      </c>
      <c r="AC11" s="4">
        <f>IF($K11="","",Y11-AB11)</f>
      </c>
    </row>
    <row r="12" spans="1:34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>
        <f>IF($K12="","",(K12*6.9%)-(K12*6.9%)*10%)</f>
      </c>
      <c r="O12" s="4">
        <f>IF($K12="","",K12*0.35%)</f>
      </c>
      <c r="P12" s="4">
        <v>0.4</v>
      </c>
      <c r="Q12" s="4">
        <f>IF($K12="","",(N12+O12+P12)*20%)</f>
      </c>
      <c r="R12" s="4">
        <f>IF($K12="","",N12+O12+P12+Q12)</f>
      </c>
      <c r="S12" s="4"/>
      <c r="T12" s="4"/>
      <c r="U12" s="4"/>
      <c r="V12" s="4">
        <f>IF($K12="","",U12*20%)</f>
      </c>
      <c r="W12" s="4">
        <v>1</v>
      </c>
      <c r="X12" s="4">
        <f>IF($K12="","",Q12+T12+V12)</f>
      </c>
      <c r="Y12" s="4">
        <f>IF($K12="","",L12-M12-R12-S12-T12-U12-V12-W12)</f>
      </c>
      <c r="Z12" s="4">
        <f>IF($K12="","",(Y12-AB12)/J12*100)</f>
      </c>
      <c r="AA12" s="4">
        <f>IF($K12="","",M12-X12)</f>
      </c>
      <c r="AC12" s="4">
        <f>IF($K12="","",Y12-AB12)</f>
      </c>
    </row>
    <row r="13" spans="1:34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>
        <f>IF($K13="","",(K13*6.9%)-(K13*6.9%)*10%)</f>
      </c>
      <c r="O13" s="4">
        <f>IF($K13="","",K13*0.35%)</f>
      </c>
      <c r="P13" s="4">
        <v>0.4</v>
      </c>
      <c r="Q13" s="4">
        <f>IF($K13="","",(N13+O13+P13)*20%)</f>
      </c>
      <c r="R13" s="4">
        <f>IF($K13="","",N13+O13+P13+Q13)</f>
      </c>
      <c r="S13" s="4"/>
      <c r="T13" s="4"/>
      <c r="U13" s="4"/>
      <c r="V13" s="4">
        <f>IF($K13="","",U13*20%)</f>
      </c>
      <c r="W13" s="4">
        <v>1</v>
      </c>
      <c r="X13" s="4">
        <f>IF($K13="","",Q13+T13+V13)</f>
      </c>
      <c r="Y13" s="4">
        <f>IF($K13="","",L13-M13-R13-S13-T13-U13-V13-W13)</f>
      </c>
      <c r="Z13" s="4">
        <f>IF($K13="","",(Y13-AB13)/J13*100)</f>
      </c>
      <c r="AA13" s="4">
        <f>IF($K13="","",M13-X13)</f>
      </c>
      <c r="AC13" s="4">
        <f>IF($K13="","",Y13-AB13)</f>
      </c>
    </row>
    <row r="14" spans="1:34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>
        <f>IF($K14="","",(K14*6.9%)-(K14*6.9%)*10%)</f>
      </c>
      <c r="O14" s="4">
        <f>IF($K14="","",K14*0.35%)</f>
      </c>
      <c r="P14" s="4">
        <v>0.4</v>
      </c>
      <c r="Q14" s="4">
        <f>IF($K14="","",(N14+O14+P14)*20%)</f>
      </c>
      <c r="R14" s="4">
        <f>IF($K14="","",N14+O14+P14+Q14)</f>
      </c>
      <c r="S14" s="4"/>
      <c r="T14" s="4"/>
      <c r="U14" s="4"/>
      <c r="V14" s="4">
        <f>IF($K14="","",U14*20%)</f>
      </c>
      <c r="W14" s="4">
        <v>1</v>
      </c>
      <c r="X14" s="4">
        <f>IF($K14="","",Q14+T14+V14)</f>
      </c>
      <c r="Y14" s="4">
        <f>IF($K14="","",L14-M14-R14-S14-T14-U14-V14-W14)</f>
      </c>
      <c r="Z14" s="4">
        <f>IF($K14="","",(Y14-AB14)/J14*100)</f>
      </c>
      <c r="AA14" s="4">
        <f>IF($K14="","",M14-X14)</f>
      </c>
      <c r="AC14" s="4">
        <f>IF($K14="","",Y14-AB14)</f>
      </c>
    </row>
    <row r="15" spans="1:34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>
        <f>IF($K15="","",(K15*6.9%)-(K15*6.9%)*10%)</f>
      </c>
      <c r="O15" s="4">
        <f>IF($K15="","",K15*0.35%)</f>
      </c>
      <c r="P15" s="4">
        <v>0.4</v>
      </c>
      <c r="Q15" s="4">
        <f>IF($K15="","",(N15+O15+P15)*20%)</f>
      </c>
      <c r="R15" s="4">
        <f>IF($K15="","",N15+O15+P15+Q15)</f>
      </c>
      <c r="S15" s="4"/>
      <c r="T15" s="4"/>
      <c r="U15" s="4"/>
      <c r="V15" s="4">
        <f>IF($K15="","",U15*20%)</f>
      </c>
      <c r="W15" s="4">
        <v>1</v>
      </c>
      <c r="X15" s="4">
        <f>IF($K15="","",Q15+T15+V15)</f>
      </c>
      <c r="Y15" s="4">
        <f>IF($K15="","",L15-M15-R15-S15-T15-U15-V15-W15)</f>
      </c>
      <c r="Z15" s="4">
        <f>IF($K15="","",(Y15-AB15)/J15*100)</f>
      </c>
      <c r="AA15" s="4">
        <f>IF($K15="","",M15-X15)</f>
      </c>
      <c r="AC15" s="4">
        <f>IF($K15="","",Y15-AB15)</f>
      </c>
    </row>
    <row r="16" spans="1:34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>
        <f>IF($K16="","",(K16*6.9%)-(K16*6.9%)*10%)</f>
      </c>
      <c r="O16" s="4">
        <f>IF($K16="","",K16*0.35%)</f>
      </c>
      <c r="P16" s="4">
        <v>0.4</v>
      </c>
      <c r="Q16" s="4">
        <f>IF($K16="","",(N16+O16+P16)*20%)</f>
      </c>
      <c r="R16" s="4">
        <f>IF($K16="","",N16+O16+P16+Q16)</f>
      </c>
      <c r="S16" s="4"/>
      <c r="T16" s="4"/>
      <c r="U16" s="4"/>
      <c r="V16" s="4">
        <f>IF($K16="","",U16*20%)</f>
      </c>
      <c r="W16" s="4">
        <v>1</v>
      </c>
      <c r="X16" s="4">
        <f>IF($K16="","",Q16+T16+V16)</f>
      </c>
      <c r="Y16" s="4">
        <f>IF($K16="","",L16-M16-R16-S16-T16-U16-V16-W16)</f>
      </c>
      <c r="Z16" s="4">
        <f>IF($K16="","",(Y16-AB16)/J16*100)</f>
      </c>
      <c r="AA16" s="4">
        <f>IF($K16="","",M16-X16)</f>
      </c>
      <c r="AC16" s="4">
        <f>IF($K16="","",Y16-AB16)</f>
      </c>
    </row>
    <row r="17" spans="1:34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>
        <f>IF($K17="","",(K17*6.9%)-(K17*6.9%)*10%)</f>
      </c>
      <c r="O17" s="4">
        <f>IF($K17="","",K17*0.35%)</f>
      </c>
      <c r="P17" s="4">
        <v>0.4</v>
      </c>
      <c r="Q17" s="4">
        <f>IF($K17="","",(N17+O17+P17)*20%)</f>
      </c>
      <c r="R17" s="4">
        <f>IF($K17="","",N17+O17+P17+Q17)</f>
      </c>
      <c r="S17" s="4"/>
      <c r="T17" s="4"/>
      <c r="U17" s="4"/>
      <c r="V17" s="4">
        <f>IF($K17="","",U17*20%)</f>
      </c>
      <c r="W17" s="4">
        <v>1</v>
      </c>
      <c r="X17" s="4">
        <f>IF($K17="","",Q17+T17+V17)</f>
      </c>
      <c r="Y17" s="4">
        <f>IF($K17="","",L17-M17-R17-S17-T17-U17-V17-W17)</f>
      </c>
      <c r="Z17" s="4">
        <f>IF($K17="","",(Y17-AB17)/J17*100)</f>
      </c>
      <c r="AA17" s="4">
        <f>IF($K17="","",M17-X17)</f>
      </c>
      <c r="AC17" s="4">
        <f>IF($K17="","",Y17-AB17)</f>
      </c>
    </row>
    <row r="18" spans="1:34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>
        <f>IF($K18="","",(K18*6.9%)-(K18*6.9%)*10%)</f>
      </c>
      <c r="O18" s="4">
        <f>IF($K18="","",K18*0.35%)</f>
      </c>
      <c r="P18" s="4">
        <v>0.4</v>
      </c>
      <c r="Q18" s="4">
        <f>IF($K18="","",(N18+O18+P18)*20%)</f>
      </c>
      <c r="R18" s="4">
        <f>IF($K18="","",N18+O18+P18+Q18)</f>
      </c>
      <c r="S18" s="4"/>
      <c r="T18" s="4"/>
      <c r="U18" s="4"/>
      <c r="V18" s="4">
        <f>IF($K18="","",U18*20%)</f>
      </c>
      <c r="W18" s="4">
        <v>1</v>
      </c>
      <c r="X18" s="4">
        <f>IF($K18="","",Q18+T18+V18)</f>
      </c>
      <c r="Y18" s="4">
        <f>IF($K18="","",L18-M18-R18-S18-T18-U18-V18-W18)</f>
      </c>
      <c r="Z18" s="4">
        <f>IF($K18="","",(Y18-AB18)/J18*100)</f>
      </c>
      <c r="AA18" s="4">
        <f>IF($K18="","",M18-X18)</f>
      </c>
      <c r="AC18" s="4">
        <f>IF($K18="","",Y18-AB18)</f>
      </c>
    </row>
    <row r="19" spans="1:34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>
        <f>IF($K19="","",(K19*6.9%)-(K19*6.9%)*10%)</f>
      </c>
      <c r="O19" s="4">
        <f>IF($K19="","",K19*0.35%)</f>
      </c>
      <c r="P19" s="4">
        <v>0.4</v>
      </c>
      <c r="Q19" s="4">
        <f>IF($K19="","",(N19+O19+P19)*20%)</f>
      </c>
      <c r="R19" s="4">
        <f>IF($K19="","",N19+O19+P19+Q19)</f>
      </c>
      <c r="S19" s="4"/>
      <c r="T19" s="4"/>
      <c r="U19" s="4"/>
      <c r="V19" s="4">
        <f>IF($K19="","",U19*20%)</f>
      </c>
      <c r="W19" s="4">
        <v>1</v>
      </c>
      <c r="X19" s="4">
        <f>IF($K19="","",Q19+T19+V19)</f>
      </c>
      <c r="Y19" s="4">
        <f>IF($K19="","",L19-M19-R19-S19-T19-U19-V19-W19)</f>
      </c>
      <c r="Z19" s="4">
        <f>IF($K19="","",(Y19-AB19)/J19*100)</f>
      </c>
      <c r="AA19" s="4">
        <f>IF($K19="","",M19-X19)</f>
      </c>
      <c r="AC19" s="4">
        <f>IF($K19="","",Y19-AB19)</f>
      </c>
    </row>
    <row r="20" spans="1:34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>
        <f>IF($K20="","",(K20*6.9%)-(K20*6.9%)*10%)</f>
      </c>
      <c r="O20" s="4">
        <f>IF($K20="","",K20*0.35%)</f>
      </c>
      <c r="P20" s="4">
        <v>0.4</v>
      </c>
      <c r="Q20" s="4">
        <f>IF($K20="","",(N20+O20+P20)*20%)</f>
      </c>
      <c r="R20" s="4">
        <f>IF($K20="","",N20+O20+P20+Q20)</f>
      </c>
      <c r="S20" s="4"/>
      <c r="T20" s="4"/>
      <c r="U20" s="4"/>
      <c r="V20" s="4">
        <f>IF($K20="","",U20*20%)</f>
      </c>
      <c r="W20" s="4">
        <v>1</v>
      </c>
      <c r="X20" s="4">
        <f>IF($K20="","",Q20+T20+V20)</f>
      </c>
      <c r="Y20" s="4">
        <f>IF($K20="","",L20-M20-R20-S20-T20-U20-V20-W20)</f>
      </c>
      <c r="Z20" s="4">
        <f>IF($K20="","",(Y20-AB20)/J20*100)</f>
      </c>
      <c r="AA20" s="4">
        <f>IF($K20="","",M20-X20)</f>
      </c>
      <c r="AC20" s="4">
        <f>IF($K20="","",Y20-AB20)</f>
      </c>
    </row>
    <row r="21" spans="1:34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>
        <f>IF($K21="","",(K21*6.9%)-(K21*6.9%)*10%)</f>
      </c>
      <c r="O21" s="4">
        <f>IF($K21="","",K21*0.35%)</f>
      </c>
      <c r="P21" s="4">
        <v>0.4</v>
      </c>
      <c r="Q21" s="4">
        <f>IF($K21="","",(N21+O21+P21)*20%)</f>
      </c>
      <c r="R21" s="4">
        <f>IF($K21="","",N21+O21+P21+Q21)</f>
      </c>
      <c r="S21" s="4"/>
      <c r="T21" s="4"/>
      <c r="U21" s="4"/>
      <c r="V21" s="4">
        <f>IF($K21="","",U21*20%)</f>
      </c>
      <c r="W21" s="4">
        <v>1</v>
      </c>
      <c r="X21" s="4">
        <f>IF($K21="","",Q21+T21+V21)</f>
      </c>
      <c r="Y21" s="4">
        <f>IF($K21="","",L21-M21-R21-S21-T21-U21-V21-W21)</f>
      </c>
      <c r="Z21" s="4">
        <f>IF($K21="","",(Y21-AB21)/J21*100)</f>
      </c>
      <c r="AA21" s="4">
        <f>IF($K21="","",M21-X21)</f>
      </c>
      <c r="AC21" s="4">
        <f>IF($K21="","",Y21-AB21)</f>
      </c>
    </row>
    <row r="22" spans="1:34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>
        <f>IF($K22="","",(K22*6.9%)-(K22*6.9%)*10%)</f>
      </c>
      <c r="O22" s="4">
        <f>IF($K22="","",K22*0.35%)</f>
      </c>
      <c r="P22" s="4">
        <v>0.4</v>
      </c>
      <c r="Q22" s="4">
        <f>IF($K22="","",(N22+O22+P22)*20%)</f>
      </c>
      <c r="R22" s="4">
        <f>IF($K22="","",N22+O22+P22+Q22)</f>
      </c>
      <c r="S22" s="4"/>
      <c r="T22" s="4"/>
      <c r="U22" s="4"/>
      <c r="V22" s="4">
        <f>IF($K22="","",U22*20%)</f>
      </c>
      <c r="W22" s="4">
        <v>1</v>
      </c>
      <c r="X22" s="4">
        <f>IF($K22="","",Q22+T22+V22)</f>
      </c>
      <c r="Y22" s="4">
        <f>IF($K22="","",L22-M22-R22-S22-T22-U22-V22-W22)</f>
      </c>
      <c r="Z22" s="4">
        <f>IF($K22="","",(Y22-AB22)/J22*100)</f>
      </c>
      <c r="AA22" s="4">
        <f>IF($K22="","",M22-X22)</f>
      </c>
      <c r="AC22" s="4">
        <f>IF($K22="","",Y22-AB22)</f>
      </c>
    </row>
    <row r="23" spans="1:34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>
        <f>IF($K23="","",(K23*6.9%)-(K23*6.9%)*10%)</f>
      </c>
      <c r="O23" s="4">
        <f>IF($K23="","",K23*0.35%)</f>
      </c>
      <c r="P23" s="4">
        <v>0.4</v>
      </c>
      <c r="Q23" s="4">
        <f>IF($K23="","",(N23+O23+P23)*20%)</f>
      </c>
      <c r="R23" s="4">
        <f>IF($K23="","",N23+O23+P23+Q23)</f>
      </c>
      <c r="S23" s="4"/>
      <c r="T23" s="4"/>
      <c r="U23" s="4"/>
      <c r="V23" s="4">
        <f>IF($K23="","",U23*20%)</f>
      </c>
      <c r="W23" s="4">
        <v>1</v>
      </c>
      <c r="X23" s="4">
        <f>IF($K23="","",Q23+T23+V23)</f>
      </c>
      <c r="Y23" s="4">
        <f>IF($K23="","",L23-M23-R23-S23-T23-U23-V23-W23)</f>
      </c>
      <c r="Z23" s="4">
        <f>IF($K23="","",(Y23-AB23)/J23*100)</f>
      </c>
      <c r="AA23" s="4">
        <f>IF($K23="","",M23-X23)</f>
      </c>
      <c r="AC23" s="4">
        <f>IF($K23="","",Y23-AB23)</f>
      </c>
    </row>
    <row r="24" spans="1:34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>
        <f>IF($K24="","",(K24*6.9%)-(K24*6.9%)*10%)</f>
      </c>
      <c r="O24" s="4">
        <f>IF($K24="","",K24*0.35%)</f>
      </c>
      <c r="P24" s="4">
        <v>0.4</v>
      </c>
      <c r="Q24" s="4">
        <f>IF($K24="","",(N24+O24+P24)*20%)</f>
      </c>
      <c r="R24" s="4">
        <f>IF($K24="","",N24+O24+P24+Q24)</f>
      </c>
      <c r="S24" s="4"/>
      <c r="T24" s="4"/>
      <c r="U24" s="4"/>
      <c r="V24" s="4">
        <f>IF($K24="","",U24*20%)</f>
      </c>
      <c r="W24" s="4">
        <v>1</v>
      </c>
      <c r="X24" s="4">
        <f>IF($K24="","",Q24+T24+V24)</f>
      </c>
      <c r="Y24" s="4">
        <f>IF($K24="","",L24-M24-R24-S24-T24-U24-V24-W24)</f>
      </c>
      <c r="Z24" s="4">
        <f>IF($K24="","",(Y24-AB24)/J24*100)</f>
      </c>
      <c r="AA24" s="4">
        <f>IF($K24="","",M24-X24)</f>
      </c>
      <c r="AC24" s="4">
        <f>IF($K24="","",Y24-AB24)</f>
      </c>
    </row>
    <row r="25" spans="1:34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>
        <f>IF($K25="","",(K25*6.9%)-(K25*6.9%)*10%)</f>
      </c>
      <c r="O25" s="4">
        <f>IF($K25="","",K25*0.35%)</f>
      </c>
      <c r="P25" s="4">
        <v>0.4</v>
      </c>
      <c r="Q25" s="4">
        <f>IF($K25="","",(N25+O25+P25)*20%)</f>
      </c>
      <c r="R25" s="4">
        <f>IF($K25="","",N25+O25+P25+Q25)</f>
      </c>
      <c r="S25" s="4"/>
      <c r="T25" s="4"/>
      <c r="U25" s="4"/>
      <c r="V25" s="4">
        <f>IF($K25="","",U25*20%)</f>
      </c>
      <c r="W25" s="4">
        <v>1</v>
      </c>
      <c r="X25" s="4">
        <f>IF($K25="","",Q25+T25+V25)</f>
      </c>
      <c r="Y25" s="4">
        <f>IF($K25="","",L25-M25-R25-S25-T25-U25-V25-W25)</f>
      </c>
      <c r="Z25" s="4">
        <f>IF($K25="","",(Y25-AB25)/J25*100)</f>
      </c>
      <c r="AA25" s="4">
        <f>IF($K25="","",M25-X25)</f>
      </c>
      <c r="AC25" s="4">
        <f>IF($K25="","",Y25-AB25)</f>
      </c>
    </row>
    <row r="26" spans="1:34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>
        <f>IF($K26="","",(K26*6.9%)-(K26*6.9%)*10%)</f>
      </c>
      <c r="O26" s="4">
        <f>IF($K26="","",K26*0.35%)</f>
      </c>
      <c r="P26" s="4">
        <v>0.4</v>
      </c>
      <c r="Q26" s="4">
        <f>IF($K26="","",(N26+O26+P26)*20%)</f>
      </c>
      <c r="R26" s="4">
        <f>IF($K26="","",N26+O26+P26+Q26)</f>
      </c>
      <c r="S26" s="4"/>
      <c r="T26" s="4"/>
      <c r="U26" s="4"/>
      <c r="V26" s="4">
        <f>IF($K26="","",U26*20%)</f>
      </c>
      <c r="W26" s="4">
        <v>1</v>
      </c>
      <c r="X26" s="4">
        <f>IF($K26="","",Q26+T26+V26)</f>
      </c>
      <c r="Y26" s="4">
        <f>IF($K26="","",L26-M26-R26-S26-T26-U26-V26-W26)</f>
      </c>
      <c r="Z26" s="4">
        <f>IF($K26="","",(Y26-AB26)/J26*100)</f>
      </c>
      <c r="AA26" s="4">
        <f>IF($K26="","",M26-X26)</f>
      </c>
      <c r="AC26" s="4">
        <f>IF($K26="","",Y26-AB26)</f>
      </c>
    </row>
    <row r="27" spans="1:34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>
        <f>IF($K27="","",(K27*6.9%)-(K27*6.9%)*10%)</f>
      </c>
      <c r="O27" s="4">
        <f>IF($K27="","",K27*0.35%)</f>
      </c>
      <c r="P27" s="4">
        <v>0.4</v>
      </c>
      <c r="Q27" s="4">
        <f>IF($K27="","",(N27+O27+P27)*20%)</f>
      </c>
      <c r="R27" s="4">
        <f>IF($K27="","",N27+O27+P27+Q27)</f>
      </c>
      <c r="S27" s="4"/>
      <c r="T27" s="4"/>
      <c r="U27" s="4"/>
      <c r="V27" s="4">
        <f>IF($K27="","",U27*20%)</f>
      </c>
      <c r="W27" s="4">
        <v>1</v>
      </c>
      <c r="X27" s="4">
        <f>IF($K27="","",Q27+T27+V27)</f>
      </c>
      <c r="Y27" s="4">
        <f>IF($K27="","",L27-M27-R27-S27-T27-U27-V27-W27)</f>
      </c>
      <c r="Z27" s="4">
        <f>IF($K27="","",(Y27-AB27)/J27*100)</f>
      </c>
      <c r="AA27" s="4">
        <f>IF($K27="","",M27-X27)</f>
      </c>
      <c r="AC27" s="4">
        <f>IF($K27="","",Y27-AB27)</f>
      </c>
    </row>
    <row r="28" spans="1:34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>
        <f>IF($K28="","",(K28*6.9%)-(K28*6.9%)*10%)</f>
      </c>
      <c r="O28" s="4">
        <f>IF($K28="","",K28*0.35%)</f>
      </c>
      <c r="P28" s="4">
        <v>0.4</v>
      </c>
      <c r="Q28" s="4">
        <f>IF($K28="","",(N28+O28+P28)*20%)</f>
      </c>
      <c r="R28" s="4">
        <f>IF($K28="","",N28+O28+P28+Q28)</f>
      </c>
      <c r="S28" s="4"/>
      <c r="T28" s="4"/>
      <c r="U28" s="4"/>
      <c r="V28" s="4">
        <f>IF($K28="","",U28*20%)</f>
      </c>
      <c r="W28" s="4">
        <v>1</v>
      </c>
      <c r="X28" s="4">
        <f>IF($K28="","",Q28+T28+V28)</f>
      </c>
      <c r="Y28" s="4">
        <f>IF($K28="","",L28-M28-R28-S28-T28-U28-V28-W28)</f>
      </c>
      <c r="Z28" s="4">
        <f>IF($K28="","",(Y28-AB28)/J28*100)</f>
      </c>
      <c r="AA28" s="4">
        <f>IF($K28="","",M28-X28)</f>
      </c>
      <c r="AC28" s="4">
        <f>IF($K28="","",Y28-AB28)</f>
      </c>
    </row>
    <row r="29" spans="1:34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>
        <f>IF($K29="","",(K29*6.9%)-(K29*6.9%)*10%)</f>
      </c>
      <c r="O29" s="4">
        <f>IF($K29="","",K29*0.35%)</f>
      </c>
      <c r="P29" s="4">
        <v>0.4</v>
      </c>
      <c r="Q29" s="4">
        <f>IF($K29="","",(N29+O29+P29)*20%)</f>
      </c>
      <c r="R29" s="4">
        <f>IF($K29="","",N29+O29+P29+Q29)</f>
      </c>
      <c r="S29" s="4"/>
      <c r="T29" s="4"/>
      <c r="U29" s="4"/>
      <c r="V29" s="4">
        <f>IF($K29="","",U29*20%)</f>
      </c>
      <c r="W29" s="4">
        <v>1</v>
      </c>
      <c r="X29" s="4">
        <f>IF($K29="","",Q29+T29+V29)</f>
      </c>
      <c r="Y29" s="4">
        <f>IF($K29="","",L29-M29-R29-S29-T29-U29-V29-W29)</f>
      </c>
      <c r="Z29" s="4">
        <f>IF($K29="","",(Y29-AB29)/J29*100)</f>
      </c>
      <c r="AA29" s="4">
        <f>IF($K29="","",M29-X29)</f>
      </c>
      <c r="AC29" s="4">
        <f>IF($K29="","",Y29-AB29)</f>
      </c>
    </row>
    <row r="30" spans="1:34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>
        <f>IF($K30="","",(K30*6.9%)-(K30*6.9%)*10%)</f>
      </c>
      <c r="O30" s="4">
        <f>IF($K30="","",K30*0.35%)</f>
      </c>
      <c r="P30" s="4">
        <v>0.4</v>
      </c>
      <c r="Q30" s="4">
        <f>IF($K30="","",(N30+O30+P30)*20%)</f>
      </c>
      <c r="R30" s="4">
        <f>IF($K30="","",N30+O30+P30+Q30)</f>
      </c>
      <c r="S30" s="4"/>
      <c r="T30" s="4"/>
      <c r="U30" s="4"/>
      <c r="V30" s="4">
        <f>IF($K30="","",U30*20%)</f>
      </c>
      <c r="W30" s="4">
        <v>1</v>
      </c>
      <c r="X30" s="4">
        <f>IF($K30="","",Q30+T30+V30)</f>
      </c>
      <c r="Y30" s="4">
        <f>IF($K30="","",L30-M30-R30-S30-T30-U30-V30-W30)</f>
      </c>
      <c r="Z30" s="4">
        <f>IF($K30="","",(Y30-AB30)/J30*100)</f>
      </c>
      <c r="AA30" s="4">
        <f>IF($K30="","",M30-X30)</f>
      </c>
      <c r="AC30" s="4">
        <f>IF($K30="","",Y30-AB30)</f>
      </c>
    </row>
    <row r="31" spans="1:34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>
        <f>IF($K31="","",(K31*6.9%)-(K31*6.9%)*10%)</f>
      </c>
      <c r="O31" s="4">
        <f>IF($K31="","",K31*0.35%)</f>
      </c>
      <c r="P31" s="4">
        <v>0.4</v>
      </c>
      <c r="Q31" s="4">
        <f>IF($K31="","",(N31+O31+P31)*20%)</f>
      </c>
      <c r="R31" s="4">
        <f>IF($K31="","",N31+O31+P31+Q31)</f>
      </c>
      <c r="S31" s="4"/>
      <c r="T31" s="4"/>
      <c r="U31" s="4"/>
      <c r="V31" s="4">
        <f>IF($K31="","",U31*20%)</f>
      </c>
      <c r="W31" s="4">
        <v>1</v>
      </c>
      <c r="X31" s="4">
        <f>IF($K31="","",Q31+T31+V31)</f>
      </c>
      <c r="Y31" s="4">
        <f>IF($K31="","",L31-M31-R31-S31-T31-U31-V31-W31)</f>
      </c>
      <c r="Z31" s="4">
        <f>IF($K31="","",(Y31-AB31)/J31*100)</f>
      </c>
      <c r="AA31" s="4">
        <f>IF($K31="","",M31-X31)</f>
      </c>
      <c r="AC31" s="4">
        <f>IF($K31="","",Y31-AB31)</f>
      </c>
    </row>
    <row r="32" spans="1:34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>
        <f>IF($K32="","",(K32*6.9%)-(K32*6.9%)*10%)</f>
      </c>
      <c r="O32" s="4">
        <f>IF($K32="","",K32*0.35%)</f>
      </c>
      <c r="P32" s="4">
        <v>0.4</v>
      </c>
      <c r="Q32" s="4">
        <f>IF($K32="","",(N32+O32+P32)*20%)</f>
      </c>
      <c r="R32" s="4">
        <f>IF($K32="","",N32+O32+P32+Q32)</f>
      </c>
      <c r="S32" s="4"/>
      <c r="T32" s="4"/>
      <c r="U32" s="4"/>
      <c r="V32" s="4">
        <f>IF($K32="","",U32*20%)</f>
      </c>
      <c r="W32" s="4">
        <v>1</v>
      </c>
      <c r="X32" s="4">
        <f>IF($K32="","",Q32+T32+V32)</f>
      </c>
      <c r="Y32" s="4">
        <f>IF($K32="","",L32-M32-R32-S32-T32-U32-V32-W32)</f>
      </c>
      <c r="Z32" s="4">
        <f>IF($K32="","",(Y32-AB32)/J32*100)</f>
      </c>
      <c r="AA32" s="4">
        <f>IF($K32="","",M32-X32)</f>
      </c>
      <c r="AC32" s="4">
        <f>IF($K32="","",Y32-AB32)</f>
      </c>
    </row>
    <row r="33" spans="1:34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>
        <f>IF($K33="","",(K33*6.9%)-(K33*6.9%)*10%)</f>
      </c>
      <c r="O33" s="4">
        <f>IF($K33="","",K33*0.35%)</f>
      </c>
      <c r="P33" s="4">
        <v>0.4</v>
      </c>
      <c r="Q33" s="4">
        <f>IF($K33="","",(N33+O33+P33)*20%)</f>
      </c>
      <c r="R33" s="4">
        <f>IF($K33="","",N33+O33+P33+Q33)</f>
      </c>
      <c r="S33" s="4"/>
      <c r="T33" s="4"/>
      <c r="U33" s="4"/>
      <c r="V33" s="4">
        <f>IF($K33="","",U33*20%)</f>
      </c>
      <c r="W33" s="4">
        <v>1</v>
      </c>
      <c r="X33" s="4">
        <f>IF($K33="","",Q33+T33+V33)</f>
      </c>
      <c r="Y33" s="4">
        <f>IF($K33="","",L33-M33-R33-S33-T33-U33-V33-W33)</f>
      </c>
      <c r="Z33" s="4">
        <f>IF($K33="","",(Y33-AB33)/J33*100)</f>
      </c>
      <c r="AA33" s="4">
        <f>IF($K33="","",M33-X33)</f>
      </c>
      <c r="AC33" s="4">
        <f>IF($K33="","",Y33-AB33)</f>
      </c>
    </row>
    <row r="34" spans="1:34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>
        <f>IF($K34="","",(K34*6.9%)-(K34*6.9%)*10%)</f>
      </c>
      <c r="O34" s="4">
        <f>IF($K34="","",K34*0.35%)</f>
      </c>
      <c r="P34" s="4">
        <v>0.4</v>
      </c>
      <c r="Q34" s="4">
        <f>IF($K34="","",(N34+O34+P34)*20%)</f>
      </c>
      <c r="R34" s="4">
        <f>IF($K34="","",N34+O34+P34+Q34)</f>
      </c>
      <c r="S34" s="4"/>
      <c r="T34" s="4"/>
      <c r="U34" s="4"/>
      <c r="V34" s="4">
        <f>IF($K34="","",U34*20%)</f>
      </c>
      <c r="W34" s="4">
        <v>1</v>
      </c>
      <c r="X34" s="4">
        <f>IF($K34="","",Q34+T34+V34)</f>
      </c>
      <c r="Y34" s="4">
        <f>IF($K34="","",L34-M34-R34-S34-T34-U34-V34-W34)</f>
      </c>
      <c r="Z34" s="4">
        <f>IF($K34="","",(Y34-AB34)/J34*100)</f>
      </c>
      <c r="AA34" s="4">
        <f>IF($K34="","",M34-X34)</f>
      </c>
      <c r="AC34" s="4">
        <f>IF($K34="","",Y34-AB34)</f>
      </c>
    </row>
    <row r="35" spans="1:34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>
        <f>IF($K35="","",(K35*6.9%)-(K35*6.9%)*10%)</f>
      </c>
      <c r="O35" s="4">
        <f>IF($K35="","",K35*0.35%)</f>
      </c>
      <c r="P35" s="4">
        <v>0.4</v>
      </c>
      <c r="Q35" s="4">
        <f>IF($K35="","",(N35+O35+P35)*20%)</f>
      </c>
      <c r="R35" s="4">
        <f>IF($K35="","",N35+O35+P35+Q35)</f>
      </c>
      <c r="S35" s="4"/>
      <c r="T35" s="4"/>
      <c r="U35" s="4"/>
      <c r="V35" s="4">
        <f>IF($K35="","",U35*20%)</f>
      </c>
      <c r="W35" s="4">
        <v>1</v>
      </c>
      <c r="X35" s="4">
        <f>IF($K35="","",Q35+T35+V35)</f>
      </c>
      <c r="Y35" s="4">
        <f>IF($K35="","",L35-M35-R35-S35-T35-U35-V35-W35)</f>
      </c>
      <c r="Z35" s="4">
        <f>IF($K35="","",(Y35-AB35)/J35*100)</f>
      </c>
      <c r="AA35" s="4">
        <f>IF($K35="","",M35-X35)</f>
      </c>
      <c r="AC35" s="4">
        <f>IF($K35="","",Y35-AB35)</f>
      </c>
    </row>
    <row r="36" spans="1:34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>
        <f>IF($K36="","",(K36*6.9%)-(K36*6.9%)*10%)</f>
      </c>
      <c r="O36" s="4">
        <f>IF($K36="","",K36*0.35%)</f>
      </c>
      <c r="P36" s="4">
        <v>0.4</v>
      </c>
      <c r="Q36" s="4">
        <f>IF($K36="","",(N36+O36+P36)*20%)</f>
      </c>
      <c r="R36" s="4">
        <f>IF($K36="","",N36+O36+P36+Q36)</f>
      </c>
      <c r="S36" s="4"/>
      <c r="T36" s="4"/>
      <c r="U36" s="4"/>
      <c r="V36" s="4">
        <f>IF($K36="","",U36*20%)</f>
      </c>
      <c r="W36" s="4">
        <v>1</v>
      </c>
      <c r="X36" s="4">
        <f>IF($K36="","",Q36+T36+V36)</f>
      </c>
      <c r="Y36" s="4">
        <f>IF($K36="","",L36-M36-R36-S36-T36-U36-V36-W36)</f>
      </c>
      <c r="Z36" s="4">
        <f>IF($K36="","",(Y36-AB36)/J36*100)</f>
      </c>
      <c r="AA36" s="4">
        <f>IF($K36="","",M36-X36)</f>
      </c>
      <c r="AC36" s="4">
        <f>IF($K36="","",Y36-AB36)</f>
      </c>
    </row>
    <row r="37" spans="1:34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>
        <f>IF($K37="","",(K37*6.9%)-(K37*6.9%)*10%)</f>
      </c>
      <c r="O37" s="4">
        <f>IF($K37="","",K37*0.35%)</f>
      </c>
      <c r="P37" s="4">
        <v>0.4</v>
      </c>
      <c r="Q37" s="4">
        <f>IF($K37="","",(N37+O37+P37)*20%)</f>
      </c>
      <c r="R37" s="4">
        <f>IF($K37="","",N37+O37+P37+Q37)</f>
      </c>
      <c r="S37" s="4"/>
      <c r="T37" s="4"/>
      <c r="U37" s="4"/>
      <c r="V37" s="4">
        <f>IF($K37="","",U37*20%)</f>
      </c>
      <c r="W37" s="4">
        <v>1</v>
      </c>
      <c r="X37" s="4">
        <f>IF($K37="","",Q37+T37+V37)</f>
      </c>
      <c r="Y37" s="4">
        <f>IF($K37="","",L37-M37-R37-S37-T37-U37-V37-W37)</f>
      </c>
      <c r="Z37" s="4">
        <f>IF($K37="","",(Y37-AB37)/J37*100)</f>
      </c>
      <c r="AA37" s="4">
        <f>IF($K37="","",M37-X37)</f>
      </c>
      <c r="AC37" s="4">
        <f>IF($K37="","",Y37-AB37)</f>
      </c>
    </row>
    <row r="38" spans="1:34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>
        <f>IF($K38="","",(K38*6.9%)-(K38*6.9%)*10%)</f>
      </c>
      <c r="O38" s="4">
        <f>IF($K38="","",K38*0.35%)</f>
      </c>
      <c r="P38" s="4">
        <v>0.4</v>
      </c>
      <c r="Q38" s="4">
        <f>IF($K38="","",(N38+O38+P38)*20%)</f>
      </c>
      <c r="R38" s="4">
        <f>IF($K38="","",N38+O38+P38+Q38)</f>
      </c>
      <c r="S38" s="4"/>
      <c r="T38" s="4"/>
      <c r="U38" s="4"/>
      <c r="V38" s="4">
        <f>IF($K38="","",U38*20%)</f>
      </c>
      <c r="W38" s="4">
        <v>1</v>
      </c>
      <c r="X38" s="4">
        <f>IF($K38="","",Q38+T38+V38)</f>
      </c>
      <c r="Y38" s="4">
        <f>IF($K38="","",L38-M38-R38-S38-T38-U38-V38-W38)</f>
      </c>
      <c r="Z38" s="4">
        <f>IF($K38="","",(Y38-AB38)/J38*100)</f>
      </c>
      <c r="AA38" s="4">
        <f>IF($K38="","",M38-X38)</f>
      </c>
      <c r="AC38" s="4">
        <f>IF($K38="","",Y38-AB38)</f>
      </c>
    </row>
    <row r="39" spans="1:34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>
        <f>IF($K39="","",(K39*6.9%)-(K39*6.9%)*10%)</f>
      </c>
      <c r="O39" s="4">
        <f>IF($K39="","",K39*0.35%)</f>
      </c>
      <c r="P39" s="4">
        <v>0.4</v>
      </c>
      <c r="Q39" s="4">
        <f>IF($K39="","",(N39+O39+P39)*20%)</f>
      </c>
      <c r="R39" s="4">
        <f>IF($K39="","",N39+O39+P39+Q39)</f>
      </c>
      <c r="S39" s="4"/>
      <c r="T39" s="4"/>
      <c r="U39" s="4"/>
      <c r="V39" s="4">
        <f>IF($K39="","",U39*20%)</f>
      </c>
      <c r="W39" s="4">
        <v>1</v>
      </c>
      <c r="X39" s="4">
        <f>IF($K39="","",Q39+T39+V39)</f>
      </c>
      <c r="Y39" s="4">
        <f>IF($K39="","",L39-M39-R39-S39-T39-U39-V39-W39)</f>
      </c>
      <c r="Z39" s="4">
        <f>IF($K39="","",(Y39-AB39)/J39*100)</f>
      </c>
      <c r="AA39" s="4">
        <f>IF($K39="","",M39-X39)</f>
      </c>
      <c r="AC39" s="4">
        <f>IF($K39="","",Y39-AB39)</f>
      </c>
    </row>
    <row r="40" spans="1:34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>
        <f>IF($K40="","",(K40*6.9%)-(K40*6.9%)*10%)</f>
      </c>
      <c r="O40" s="4">
        <f>IF($K40="","",K40*0.35%)</f>
      </c>
      <c r="P40" s="4">
        <v>0.4</v>
      </c>
      <c r="Q40" s="4">
        <f>IF($K40="","",(N40+O40+P40)*20%)</f>
      </c>
      <c r="R40" s="4">
        <f>IF($K40="","",N40+O40+P40+Q40)</f>
      </c>
      <c r="S40" s="4"/>
      <c r="T40" s="4"/>
      <c r="U40" s="4"/>
      <c r="V40" s="4">
        <f>IF($K40="","",U40*20%)</f>
      </c>
      <c r="W40" s="4">
        <v>1</v>
      </c>
      <c r="X40" s="4">
        <f>IF($K40="","",Q40+T40+V40)</f>
      </c>
      <c r="Y40" s="4">
        <f>IF($K40="","",L40-M40-R40-S40-T40-U40-V40-W40)</f>
      </c>
      <c r="Z40" s="4">
        <f>IF($K40="","",(Y40-AB40)/J40*100)</f>
      </c>
      <c r="AA40" s="4">
        <f>IF($K40="","",M40-X40)</f>
      </c>
      <c r="AC40" s="4">
        <f>IF($K40="","",Y40-AB40)</f>
      </c>
    </row>
    <row r="41" spans="1:34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>
        <f>IF($K41="","",(K41*6.9%)-(K41*6.9%)*10%)</f>
      </c>
      <c r="O41" s="4">
        <f>IF($K41="","",K41*0.35%)</f>
      </c>
      <c r="P41" s="4">
        <v>0.4</v>
      </c>
      <c r="Q41" s="4">
        <f>IF($K41="","",(N41+O41+P41)*20%)</f>
      </c>
      <c r="R41" s="4">
        <f>IF($K41="","",N41+O41+P41+Q41)</f>
      </c>
      <c r="S41" s="4"/>
      <c r="T41" s="4"/>
      <c r="U41" s="4"/>
      <c r="V41" s="4">
        <f>IF($K41="","",U41*20%)</f>
      </c>
      <c r="W41" s="4">
        <v>1</v>
      </c>
      <c r="X41" s="4">
        <f>IF($K41="","",Q41+T41+V41)</f>
      </c>
      <c r="Y41" s="4">
        <f>IF($K41="","",L41-M41-R41-S41-T41-U41-V41-W41)</f>
      </c>
      <c r="Z41" s="4">
        <f>IF($K41="","",(Y41-AB41)/J41*100)</f>
      </c>
      <c r="AA41" s="4">
        <f>IF($K41="","",M41-X41)</f>
      </c>
      <c r="AC41" s="4">
        <f>IF($K41="","",Y41-AB41)</f>
      </c>
    </row>
    <row r="42" spans="1:34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>
        <f>IF($K42="","",(K42*6.9%)-(K42*6.9%)*10%)</f>
      </c>
      <c r="O42" s="4">
        <f>IF($K42="","",K42*0.35%)</f>
      </c>
      <c r="P42" s="4">
        <v>0.4</v>
      </c>
      <c r="Q42" s="4">
        <f>IF($K42="","",(N42+O42+P42)*20%)</f>
      </c>
      <c r="R42" s="4">
        <f>IF($K42="","",N42+O42+P42+Q42)</f>
      </c>
      <c r="S42" s="4"/>
      <c r="T42" s="4"/>
      <c r="U42" s="4"/>
      <c r="V42" s="4">
        <f>IF($K42="","",U42*20%)</f>
      </c>
      <c r="W42" s="4">
        <v>1</v>
      </c>
      <c r="X42" s="4">
        <f>IF($K42="","",Q42+T42+V42)</f>
      </c>
      <c r="Y42" s="4">
        <f>IF($K42="","",L42-M42-R42-S42-T42-U42-V42-W42)</f>
      </c>
      <c r="Z42" s="4">
        <f>IF($K42="","",(Y42-AB42)/J42*100)</f>
      </c>
      <c r="AA42" s="4">
        <f>IF($K42="","",M42-X42)</f>
      </c>
      <c r="AC42" s="4">
        <f>IF($K42="","",Y42-AB42)</f>
      </c>
    </row>
    <row r="43" spans="1:34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>
        <f>IF($K43="","",(K43*6.9%)-(K43*6.9%)*10%)</f>
      </c>
      <c r="O43" s="4">
        <f>IF($K43="","",K43*0.35%)</f>
      </c>
      <c r="P43" s="4">
        <v>0.4</v>
      </c>
      <c r="Q43" s="4">
        <f>IF($K43="","",(N43+O43+P43)*20%)</f>
      </c>
      <c r="R43" s="4">
        <f>IF($K43="","",N43+O43+P43+Q43)</f>
      </c>
      <c r="S43" s="4"/>
      <c r="T43" s="4"/>
      <c r="U43" s="4"/>
      <c r="V43" s="4">
        <f>IF($K43="","",U43*20%)</f>
      </c>
      <c r="W43" s="4">
        <v>1</v>
      </c>
      <c r="X43" s="4">
        <f>IF($K43="","",Q43+T43+V43)</f>
      </c>
      <c r="Y43" s="4">
        <f>IF($K43="","",L43-M43-R43-S43-T43-U43-V43-W43)</f>
      </c>
      <c r="Z43" s="4">
        <f>IF($K43="","",(Y43-AB43)/J43*100)</f>
      </c>
      <c r="AA43" s="4">
        <f>IF($K43="","",M43-X43)</f>
      </c>
      <c r="AC43" s="4">
        <f>IF($K43="","",Y43-AB43)</f>
      </c>
    </row>
    <row r="44" spans="1:34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>
        <f>IF($K44="","",(K44*6.9%)-(K44*6.9%)*10%)</f>
      </c>
      <c r="O44" s="4">
        <f>IF($K44="","",K44*0.35%)</f>
      </c>
      <c r="P44" s="4">
        <v>0.4</v>
      </c>
      <c r="Q44" s="4">
        <f>IF($K44="","",(N44+O44+P44)*20%)</f>
      </c>
      <c r="R44" s="4">
        <f>IF($K44="","",N44+O44+P44+Q44)</f>
      </c>
      <c r="S44" s="4"/>
      <c r="T44" s="4"/>
      <c r="U44" s="4"/>
      <c r="V44" s="4">
        <f>IF($K44="","",U44*20%)</f>
      </c>
      <c r="W44" s="4">
        <v>1</v>
      </c>
      <c r="X44" s="4">
        <f>IF($K44="","",Q44+T44+V44)</f>
      </c>
      <c r="Y44" s="4">
        <f>IF($K44="","",L44-M44-R44-S44-T44-U44-V44-W44)</f>
      </c>
      <c r="Z44" s="4">
        <f>IF($K44="","",(Y44-AB44)/J44*100)</f>
      </c>
      <c r="AA44" s="4">
        <f>IF($K44="","",M44-X44)</f>
      </c>
      <c r="AC44" s="4">
        <f>IF($K44="","",Y44-AB44)</f>
      </c>
    </row>
    <row r="45" spans="1:34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>
        <f>IF($K45="","",(K45*6.9%)-(K45*6.9%)*10%)</f>
      </c>
      <c r="O45" s="4">
        <f>IF($K45="","",K45*0.35%)</f>
      </c>
      <c r="P45" s="4">
        <v>0.4</v>
      </c>
      <c r="Q45" s="4">
        <f>IF($K45="","",(N45+O45+P45)*20%)</f>
      </c>
      <c r="R45" s="4">
        <f>IF($K45="","",N45+O45+P45+Q45)</f>
      </c>
      <c r="S45" s="4"/>
      <c r="T45" s="4"/>
      <c r="U45" s="4"/>
      <c r="V45" s="4">
        <f>IF($K45="","",U45*20%)</f>
      </c>
      <c r="W45" s="4">
        <v>1</v>
      </c>
      <c r="X45" s="4">
        <f>IF($K45="","",Q45+T45+V45)</f>
      </c>
      <c r="Y45" s="4">
        <f>IF($K45="","",L45-M45-R45-S45-T45-U45-V45-W45)</f>
      </c>
      <c r="Z45" s="4">
        <f>IF($K45="","",(Y45-AB45)/J45*100)</f>
      </c>
      <c r="AA45" s="4">
        <f>IF($K45="","",M45-X45)</f>
      </c>
      <c r="AC45" s="4">
        <f>IF($K45="","",Y45-AB45)</f>
      </c>
    </row>
    <row r="46" spans="1:34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>
        <f>IF($K46="","",(K46*6.9%)-(K46*6.9%)*10%)</f>
      </c>
      <c r="O46" s="4">
        <f>IF($K46="","",K46*0.35%)</f>
      </c>
      <c r="P46" s="4">
        <v>0.4</v>
      </c>
      <c r="Q46" s="4">
        <f>IF($K46="","",(N46+O46+P46)*20%)</f>
      </c>
      <c r="R46" s="4">
        <f>IF($K46="","",N46+O46+P46+Q46)</f>
      </c>
      <c r="S46" s="4"/>
      <c r="T46" s="4"/>
      <c r="U46" s="4"/>
      <c r="V46" s="4">
        <f>IF($K46="","",U46*20%)</f>
      </c>
      <c r="W46" s="4">
        <v>1</v>
      </c>
      <c r="X46" s="4">
        <f>IF($K46="","",Q46+T46+V46)</f>
      </c>
      <c r="Y46" s="4">
        <f>IF($K46="","",L46-M46-R46-S46-T46-U46-V46-W46)</f>
      </c>
      <c r="Z46" s="4">
        <f>IF($K46="","",(Y46-AB46)/J46*100)</f>
      </c>
      <c r="AA46" s="4">
        <f>IF($K46="","",M46-X46)</f>
      </c>
      <c r="AC46" s="4">
        <f>IF($K46="","",Y46-AB46)</f>
      </c>
    </row>
    <row r="47" spans="1:34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>
        <f>IF($K47="","",(K47*6.9%)-(K47*6.9%)*10%)</f>
      </c>
      <c r="O47" s="4">
        <f>IF($K47="","",K47*0.35%)</f>
      </c>
      <c r="P47" s="4">
        <v>0.4</v>
      </c>
      <c r="Q47" s="4">
        <f>IF($K47="","",(N47+O47+P47)*20%)</f>
      </c>
      <c r="R47" s="4">
        <f>IF($K47="","",N47+O47+P47+Q47)</f>
      </c>
      <c r="S47" s="4"/>
      <c r="T47" s="4"/>
      <c r="U47" s="4"/>
      <c r="V47" s="4">
        <f>IF($K47="","",U47*20%)</f>
      </c>
      <c r="W47" s="4">
        <v>1</v>
      </c>
      <c r="X47" s="4">
        <f>IF($K47="","",Q47+T47+V47)</f>
      </c>
      <c r="Y47" s="4">
        <f>IF($K47="","",L47-M47-R47-S47-T47-U47-V47-W47)</f>
      </c>
      <c r="Z47" s="4">
        <f>IF($K47="","",(Y47-AB47)/J47*100)</f>
      </c>
      <c r="AA47" s="4">
        <f>IF($K47="","",M47-X47)</f>
      </c>
      <c r="AC47" s="4">
        <f>IF($K47="","",Y47-AB47)</f>
      </c>
    </row>
    <row r="48" spans="1:34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>
        <f>IF($K48="","",(K48*6.9%)-(K48*6.9%)*10%)</f>
      </c>
      <c r="O48" s="4">
        <f>IF($K48="","",K48*0.35%)</f>
      </c>
      <c r="P48" s="4">
        <v>0.4</v>
      </c>
      <c r="Q48" s="4">
        <f>IF($K48="","",(N48+O48+P48)*20%)</f>
      </c>
      <c r="R48" s="4">
        <f>IF($K48="","",N48+O48+P48+Q48)</f>
      </c>
      <c r="S48" s="4"/>
      <c r="T48" s="4"/>
      <c r="U48" s="4"/>
      <c r="V48" s="4">
        <f>IF($K48="","",U48*20%)</f>
      </c>
      <c r="W48" s="4">
        <v>1</v>
      </c>
      <c r="X48" s="4">
        <f>IF($K48="","",Q48+T48+V48)</f>
      </c>
      <c r="Y48" s="4">
        <f>IF($K48="","",L48-M48-R48-S48-T48-U48-V48-W48)</f>
      </c>
      <c r="Z48" s="4">
        <f>IF($K48="","",(Y48-AB48)/J48*100)</f>
      </c>
      <c r="AA48" s="4">
        <f>IF($K48="","",M48-X48)</f>
      </c>
      <c r="AC48" s="4">
        <f>IF($K48="","",Y48-AB48)</f>
      </c>
    </row>
    <row r="49" spans="1:34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>
        <f>IF($K49="","",(K49*6.9%)-(K49*6.9%)*10%)</f>
      </c>
      <c r="O49" s="4">
        <f>IF($K49="","",K49*0.35%)</f>
      </c>
      <c r="P49" s="4">
        <v>0.4</v>
      </c>
      <c r="Q49" s="4">
        <f>IF($K49="","",(N49+O49+P49)*20%)</f>
      </c>
      <c r="R49" s="4">
        <f>IF($K49="","",N49+O49+P49+Q49)</f>
      </c>
      <c r="S49" s="4"/>
      <c r="T49" s="4"/>
      <c r="U49" s="4"/>
      <c r="V49" s="4">
        <f>IF($K49="","",U49*20%)</f>
      </c>
      <c r="W49" s="4">
        <v>1</v>
      </c>
      <c r="X49" s="4">
        <f>IF($K49="","",Q49+T49+V49)</f>
      </c>
      <c r="Y49" s="4">
        <f>IF($K49="","",L49-M49-R49-S49-T49-U49-V49-W49)</f>
      </c>
      <c r="Z49" s="4">
        <f>IF($K49="","",(Y49-AB49)/J49*100)</f>
      </c>
      <c r="AA49" s="4">
        <f>IF($K49="","",M49-X49)</f>
      </c>
      <c r="AC49" s="4">
        <f>IF($K49="","",Y49-AB49)</f>
      </c>
    </row>
    <row r="50" spans="1:34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>
        <f>IF($K50="","",(K50*6.9%)-(K50*6.9%)*10%)</f>
      </c>
      <c r="O50" s="4">
        <f>IF($K50="","",K50*0.35%)</f>
      </c>
      <c r="P50" s="4">
        <v>0.4</v>
      </c>
      <c r="Q50" s="4">
        <f>IF($K50="","",(N50+O50+P50)*20%)</f>
      </c>
      <c r="R50" s="4">
        <f>IF($K50="","",N50+O50+P50+Q50)</f>
      </c>
      <c r="S50" s="4"/>
      <c r="T50" s="4"/>
      <c r="U50" s="4"/>
      <c r="V50" s="4">
        <f>IF($K50="","",U50*20%)</f>
      </c>
      <c r="W50" s="4">
        <v>1</v>
      </c>
      <c r="X50" s="4">
        <f>IF($K50="","",Q50+T50+V50)</f>
      </c>
      <c r="Y50" s="4">
        <f>IF($K50="","",L50-M50-R50-S50-T50-U50-V50-W50)</f>
      </c>
      <c r="Z50" s="4">
        <f>IF($K50="","",(Y50-AB50)/J50*100)</f>
      </c>
      <c r="AA50" s="4">
        <f>IF($K50="","",M50-X50)</f>
      </c>
      <c r="AC50" s="4">
        <f>IF($K50="","",Y50-AB50)</f>
      </c>
    </row>
    <row r="51" spans="1:34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>
        <f>IF($K51="","",(K51*6.9%)-(K51*6.9%)*10%)</f>
      </c>
      <c r="O51" s="4">
        <f>IF($K51="","",K51*0.35%)</f>
      </c>
      <c r="P51" s="4">
        <v>0.4</v>
      </c>
      <c r="Q51" s="4">
        <f>IF($K51="","",(N51+O51+P51)*20%)</f>
      </c>
      <c r="R51" s="4">
        <f>IF($K51="","",N51+O51+P51+Q51)</f>
      </c>
      <c r="S51" s="4"/>
      <c r="T51" s="4"/>
      <c r="U51" s="4"/>
      <c r="V51" s="4">
        <f>IF($K51="","",U51*20%)</f>
      </c>
      <c r="W51" s="4">
        <v>1</v>
      </c>
      <c r="X51" s="4">
        <f>IF($K51="","",Q51+T51+V51)</f>
      </c>
      <c r="Y51" s="4">
        <f>IF($K51="","",L51-M51-R51-S51-T51-U51-V51-W51)</f>
      </c>
      <c r="Z51" s="4">
        <f>IF($K51="","",(Y51-AB51)/J51*100)</f>
      </c>
      <c r="AA51" s="4">
        <f>IF($K51="","",M51-X51)</f>
      </c>
      <c r="AC51" s="4">
        <f>IF($K51="","",Y51-AB51)</f>
      </c>
    </row>
    <row r="52" spans="1:34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>
        <f>IF($K52="","",(K52*6.9%)-(K52*6.9%)*10%)</f>
      </c>
      <c r="O52" s="4">
        <f>IF($K52="","",K52*0.35%)</f>
      </c>
      <c r="P52" s="4">
        <v>0.4</v>
      </c>
      <c r="Q52" s="4">
        <f>IF($K52="","",(N52+O52+P52)*20%)</f>
      </c>
      <c r="R52" s="4">
        <f>IF($K52="","",N52+O52+P52+Q52)</f>
      </c>
      <c r="S52" s="4"/>
      <c r="T52" s="4"/>
      <c r="U52" s="4"/>
      <c r="V52" s="4">
        <f>IF($K52="","",U52*20%)</f>
      </c>
      <c r="W52" s="4">
        <v>1</v>
      </c>
      <c r="X52" s="4">
        <f>IF($K52="","",Q52+T52+V52)</f>
      </c>
      <c r="Y52" s="4">
        <f>IF($K52="","",L52-M52-R52-S52-T52-U52-V52-W52)</f>
      </c>
      <c r="Z52" s="4">
        <f>IF($K52="","",(Y52-AB52)/J52*100)</f>
      </c>
      <c r="AA52" s="4">
        <f>IF($K52="","",M52-X52)</f>
      </c>
      <c r="AC52" s="4">
        <f>IF($K52="","",Y52-AB52)</f>
      </c>
    </row>
    <row r="53" spans="1:34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>
        <f>IF($K53="","",(K53*6.9%)-(K53*6.9%)*10%)</f>
      </c>
      <c r="O53" s="4">
        <f>IF($K53="","",K53*0.35%)</f>
      </c>
      <c r="P53" s="4">
        <v>0.4</v>
      </c>
      <c r="Q53" s="4">
        <f>IF($K53="","",(N53+O53+P53)*20%)</f>
      </c>
      <c r="R53" s="4">
        <f>IF($K53="","",N53+O53+P53+Q53)</f>
      </c>
      <c r="S53" s="4"/>
      <c r="T53" s="4"/>
      <c r="U53" s="4"/>
      <c r="V53" s="4">
        <f>IF($K53="","",U53*20%)</f>
      </c>
      <c r="W53" s="4">
        <v>1</v>
      </c>
      <c r="X53" s="4">
        <f>IF($K53="","",Q53+T53+V53)</f>
      </c>
      <c r="Y53" s="4">
        <f>IF($K53="","",L53-M53-R53-S53-T53-U53-V53-W53)</f>
      </c>
      <c r="Z53" s="4">
        <f>IF($K53="","",(Y53-AB53)/J53*100)</f>
      </c>
      <c r="AA53" s="4">
        <f>IF($K53="","",M53-X53)</f>
      </c>
      <c r="AC53" s="4">
        <f>IF($K53="","",Y53-AB53)</f>
      </c>
    </row>
    <row r="54" spans="1:34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>
        <f>IF($K54="","",(K54*6.9%)-(K54*6.9%)*10%)</f>
      </c>
      <c r="O54" s="4">
        <f>IF($K54="","",K54*0.35%)</f>
      </c>
      <c r="P54" s="4">
        <v>0.4</v>
      </c>
      <c r="Q54" s="4">
        <f>IF($K54="","",(N54+O54+P54)*20%)</f>
      </c>
      <c r="R54" s="4">
        <f>IF($K54="","",N54+O54+P54+Q54)</f>
      </c>
      <c r="S54" s="4"/>
      <c r="T54" s="4"/>
      <c r="U54" s="4"/>
      <c r="V54" s="4">
        <f>IF($K54="","",U54*20%)</f>
      </c>
      <c r="W54" s="4">
        <v>1</v>
      </c>
      <c r="X54" s="4">
        <f>IF($K54="","",Q54+T54+V54)</f>
      </c>
      <c r="Y54" s="4">
        <f>IF($K54="","",L54-M54-R54-S54-T54-U54-V54-W54)</f>
      </c>
      <c r="Z54" s="4">
        <f>IF($K54="","",(Y54-AB54)/J54*100)</f>
      </c>
      <c r="AA54" s="4">
        <f>IF($K54="","",M54-X54)</f>
      </c>
      <c r="AC54" s="4">
        <f>IF($K54="","",Y54-AB54)</f>
      </c>
    </row>
    <row r="55" spans="1:34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>
        <f>IF($K55="","",(K55*6.9%)-(K55*6.9%)*10%)</f>
      </c>
      <c r="O55" s="4">
        <f>IF($K55="","",K55*0.35%)</f>
      </c>
      <c r="P55" s="4">
        <v>0.4</v>
      </c>
      <c r="Q55" s="4">
        <f>IF($K55="","",(N55+O55+P55)*20%)</f>
      </c>
      <c r="R55" s="4">
        <f>IF($K55="","",N55+O55+P55+Q55)</f>
      </c>
      <c r="S55" s="4"/>
      <c r="T55" s="4"/>
      <c r="U55" s="4"/>
      <c r="V55" s="4">
        <f>IF($K55="","",U55*20%)</f>
      </c>
      <c r="W55" s="4">
        <v>1</v>
      </c>
      <c r="X55" s="4">
        <f>IF($K55="","",Q55+T55+V55)</f>
      </c>
      <c r="Y55" s="4">
        <f>IF($K55="","",L55-M55-R55-S55-T55-U55-V55-W55)</f>
      </c>
      <c r="Z55" s="4">
        <f>IF($K55="","",(Y55-AB55)/J55*100)</f>
      </c>
      <c r="AA55" s="4">
        <f>IF($K55="","",M55-X55)</f>
      </c>
      <c r="AC55" s="4">
        <f>IF($K55="","",Y55-AB55)</f>
      </c>
    </row>
    <row r="56" spans="1:34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>
        <f>IF($K56="","",(K56*6.9%)-(K56*6.9%)*10%)</f>
      </c>
      <c r="O56" s="4">
        <f>IF($K56="","",K56*0.35%)</f>
      </c>
      <c r="P56" s="4">
        <v>0.4</v>
      </c>
      <c r="Q56" s="4">
        <f>IF($K56="","",(N56+O56+P56)*20%)</f>
      </c>
      <c r="R56" s="4">
        <f>IF($K56="","",N56+O56+P56+Q56)</f>
      </c>
      <c r="S56" s="4"/>
      <c r="T56" s="4"/>
      <c r="U56" s="4"/>
      <c r="V56" s="4">
        <f>IF($K56="","",U56*20%)</f>
      </c>
      <c r="W56" s="4">
        <v>1</v>
      </c>
      <c r="X56" s="4">
        <f>IF($K56="","",Q56+T56+V56)</f>
      </c>
      <c r="Y56" s="4">
        <f>IF($K56="","",L56-M56-R56-S56-T56-U56-V56-W56)</f>
      </c>
      <c r="Z56" s="4">
        <f>IF($K56="","",(Y56-AB56)/J56*100)</f>
      </c>
      <c r="AA56" s="4">
        <f>IF($K56="","",M56-X56)</f>
      </c>
      <c r="AC56" s="4">
        <f>IF($K56="","",Y56-AB56)</f>
      </c>
    </row>
    <row r="57" spans="1:34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>
        <f>IF($K57="","",(K57*6.9%)-(K57*6.9%)*10%)</f>
      </c>
      <c r="O57" s="4">
        <f>IF($K57="","",K57*0.35%)</f>
      </c>
      <c r="P57" s="4">
        <v>0.4</v>
      </c>
      <c r="Q57" s="4">
        <f>IF($K57="","",(N57+O57+P57)*20%)</f>
      </c>
      <c r="R57" s="4">
        <f>IF($K57="","",N57+O57+P57+Q57)</f>
      </c>
      <c r="S57" s="4"/>
      <c r="T57" s="4"/>
      <c r="U57" s="4"/>
      <c r="V57" s="4">
        <f>IF($K57="","",U57*20%)</f>
      </c>
      <c r="W57" s="4">
        <v>1</v>
      </c>
      <c r="X57" s="4">
        <f>IF($K57="","",Q57+T57+V57)</f>
      </c>
      <c r="Y57" s="4">
        <f>IF($K57="","",L57-M57-R57-S57-T57-U57-V57-W57)</f>
      </c>
      <c r="Z57" s="4">
        <f>IF($K57="","",(Y57-AB57)/J57*100)</f>
      </c>
      <c r="AA57" s="4">
        <f>IF($K57="","",M57-X57)</f>
      </c>
      <c r="AC57" s="4">
        <f>IF($K57="","",Y57-AB57)</f>
      </c>
    </row>
    <row r="58" spans="1:34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>
        <f>IF($K58="","",(K58*6.9%)-(K58*6.9%)*10%)</f>
      </c>
      <c r="O58" s="4">
        <f>IF($K58="","",K58*0.35%)</f>
      </c>
      <c r="P58" s="4">
        <v>0.4</v>
      </c>
      <c r="Q58" s="4">
        <f>IF($K58="","",(N58+O58+P58)*20%)</f>
      </c>
      <c r="R58" s="4">
        <f>IF($K58="","",N58+O58+P58+Q58)</f>
      </c>
      <c r="S58" s="4"/>
      <c r="T58" s="4"/>
      <c r="U58" s="4"/>
      <c r="V58" s="4">
        <f>IF($K58="","",U58*20%)</f>
      </c>
      <c r="W58" s="4">
        <v>1</v>
      </c>
      <c r="X58" s="4">
        <f>IF($K58="","",Q58+T58+V58)</f>
      </c>
      <c r="Y58" s="4">
        <f>IF($K58="","",L58-M58-R58-S58-T58-U58-V58-W58)</f>
      </c>
      <c r="Z58" s="4">
        <f>IF($K58="","",(Y58-AB58)/J58*100)</f>
      </c>
      <c r="AA58" s="4">
        <f>IF($K58="","",M58-X58)</f>
      </c>
      <c r="AC58" s="4">
        <f>IF($K58="","",Y58-AB58)</f>
      </c>
    </row>
    <row r="59" spans="1:34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>
        <f>IF($K59="","",(K59*6.9%)-(K59*6.9%)*10%)</f>
      </c>
      <c r="O59" s="4">
        <f>IF($K59="","",K59*0.35%)</f>
      </c>
      <c r="P59" s="4">
        <v>0.4</v>
      </c>
      <c r="Q59" s="4">
        <f>IF($K59="","",(N59+O59+P59)*20%)</f>
      </c>
      <c r="R59" s="4">
        <f>IF($K59="","",N59+O59+P59+Q59)</f>
      </c>
      <c r="S59" s="4"/>
      <c r="T59" s="4"/>
      <c r="U59" s="4"/>
      <c r="V59" s="4">
        <f>IF($K59="","",U59*20%)</f>
      </c>
      <c r="W59" s="4">
        <v>1</v>
      </c>
      <c r="X59" s="4">
        <f>IF($K59="","",Q59+T59+V59)</f>
      </c>
      <c r="Y59" s="4">
        <f>IF($K59="","",L59-M59-R59-S59-T59-U59-V59-W59)</f>
      </c>
      <c r="Z59" s="4">
        <f>IF($K59="","",(Y59-AB59)/J59*100)</f>
      </c>
      <c r="AA59" s="4">
        <f>IF($K59="","",M59-X59)</f>
      </c>
      <c r="AC59" s="4">
        <f>IF($K59="","",Y59-AB59)</f>
      </c>
    </row>
    <row r="60" spans="1:34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>
        <f>IF($K60="","",(K60*6.9%)-(K60*6.9%)*10%)</f>
      </c>
      <c r="O60" s="4">
        <f>IF($K60="","",K60*0.35%)</f>
      </c>
      <c r="P60" s="4">
        <v>0.4</v>
      </c>
      <c r="Q60" s="4">
        <f>IF($K60="","",(N60+O60+P60)*20%)</f>
      </c>
      <c r="R60" s="4">
        <f>IF($K60="","",N60+O60+P60+Q60)</f>
      </c>
      <c r="S60" s="4"/>
      <c r="T60" s="4"/>
      <c r="U60" s="4"/>
      <c r="V60" s="4">
        <f>IF($K60="","",U60*20%)</f>
      </c>
      <c r="W60" s="4">
        <v>1</v>
      </c>
      <c r="X60" s="4">
        <f>IF($K60="","",Q60+T60+V60)</f>
      </c>
      <c r="Y60" s="4">
        <f>IF($K60="","",L60-M60-R60-S60-T60-U60-V60-W60)</f>
      </c>
      <c r="Z60" s="4">
        <f>IF($K60="","",(Y60-AB60)/J60*100)</f>
      </c>
      <c r="AA60" s="4">
        <f>IF($K60="","",M60-X60)</f>
      </c>
      <c r="AC60" s="4">
        <f>IF($K60="","",Y60-AB60)</f>
      </c>
    </row>
    <row r="61" spans="1:34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>
        <f>IF($K61="","",(K61*6.9%)-(K61*6.9%)*10%)</f>
      </c>
      <c r="O61" s="4">
        <f>IF($K61="","",K61*0.35%)</f>
      </c>
      <c r="P61" s="4">
        <v>0.4</v>
      </c>
      <c r="Q61" s="4">
        <f>IF($K61="","",(N61+O61+P61)*20%)</f>
      </c>
      <c r="R61" s="4">
        <f>IF($K61="","",N61+O61+P61+Q61)</f>
      </c>
      <c r="S61" s="4"/>
      <c r="T61" s="4"/>
      <c r="U61" s="4"/>
      <c r="V61" s="4">
        <f>IF($K61="","",U61*20%)</f>
      </c>
      <c r="W61" s="4">
        <v>1</v>
      </c>
      <c r="X61" s="4">
        <f>IF($K61="","",Q61+T61+V61)</f>
      </c>
      <c r="Y61" s="4">
        <f>IF($K61="","",L61-M61-R61-S61-T61-U61-V61-W61)</f>
      </c>
      <c r="Z61" s="4">
        <f>IF($K61="","",(Y61-AB61)/J61*100)</f>
      </c>
      <c r="AA61" s="4">
        <f>IF($K61="","",M61-X61)</f>
      </c>
      <c r="AC61" s="4">
        <f>IF($K61="","",Y61-AB61)</f>
      </c>
    </row>
    <row r="62" spans="1:34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>
        <f>IF($K62="","",(K62*6.9%)-(K62*6.9%)*10%)</f>
      </c>
      <c r="O62" s="4">
        <f>IF($K62="","",K62*0.35%)</f>
      </c>
      <c r="P62" s="4">
        <v>0.4</v>
      </c>
      <c r="Q62" s="4">
        <f>IF($K62="","",(N62+O62+P62)*20%)</f>
      </c>
      <c r="R62" s="4">
        <f>IF($K62="","",N62+O62+P62+Q62)</f>
      </c>
      <c r="S62" s="4"/>
      <c r="T62" s="4"/>
      <c r="U62" s="4"/>
      <c r="V62" s="4">
        <f>IF($K62="","",U62*20%)</f>
      </c>
      <c r="W62" s="4">
        <v>1</v>
      </c>
      <c r="X62" s="4">
        <f>IF($K62="","",Q62+T62+V62)</f>
      </c>
      <c r="Y62" s="4">
        <f>IF($K62="","",L62-M62-R62-S62-T62-U62-V62-W62)</f>
      </c>
      <c r="Z62" s="4">
        <f>IF($K62="","",(Y62-AB62)/J62*100)</f>
      </c>
      <c r="AA62" s="4">
        <f>IF($K62="","",M62-X62)</f>
      </c>
      <c r="AC62" s="4">
        <f>IF($K62="","",Y62-AB62)</f>
      </c>
    </row>
    <row r="63" spans="1:34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>
        <f>IF($K63="","",(K63*6.9%)-(K63*6.9%)*10%)</f>
      </c>
      <c r="O63" s="4">
        <f>IF($K63="","",K63*0.35%)</f>
      </c>
      <c r="P63" s="4">
        <v>0.4</v>
      </c>
      <c r="Q63" s="4">
        <f>IF($K63="","",(N63+O63+P63)*20%)</f>
      </c>
      <c r="R63" s="4">
        <f>IF($K63="","",N63+O63+P63+Q63)</f>
      </c>
      <c r="S63" s="4"/>
      <c r="T63" s="4"/>
      <c r="U63" s="4"/>
      <c r="V63" s="4">
        <f>IF($K63="","",U63*20%)</f>
      </c>
      <c r="W63" s="4">
        <v>1</v>
      </c>
      <c r="X63" s="4">
        <f>IF($K63="","",Q63+T63+V63)</f>
      </c>
      <c r="Y63" s="4">
        <f>IF($K63="","",L63-M63-R63-S63-T63-U63-V63-W63)</f>
      </c>
      <c r="Z63" s="4">
        <f>IF($K63="","",(Y63-AB63)/J63*100)</f>
      </c>
      <c r="AA63" s="4">
        <f>IF($K63="","",M63-X63)</f>
      </c>
      <c r="AC63" s="4">
        <f>IF($K63="","",Y63-AB63)</f>
      </c>
    </row>
    <row r="64" spans="1:34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>
        <f>IF($K64="","",(K64*6.9%)-(K64*6.9%)*10%)</f>
      </c>
      <c r="O64" s="4">
        <f>IF($K64="","",K64*0.35%)</f>
      </c>
      <c r="P64" s="4">
        <v>0.4</v>
      </c>
      <c r="Q64" s="4">
        <f>IF($K64="","",(N64+O64+P64)*20%)</f>
      </c>
      <c r="R64" s="4">
        <f>IF($K64="","",N64+O64+P64+Q64)</f>
      </c>
      <c r="S64" s="4"/>
      <c r="T64" s="4"/>
      <c r="U64" s="4"/>
      <c r="V64" s="4">
        <f>IF($K64="","",U64*20%)</f>
      </c>
      <c r="W64" s="4">
        <v>1</v>
      </c>
      <c r="X64" s="4">
        <f>IF($K64="","",Q64+T64+V64)</f>
      </c>
      <c r="Y64" s="4">
        <f>IF($K64="","",L64-M64-R64-S64-T64-U64-V64-W64)</f>
      </c>
      <c r="Z64" s="4">
        <f>IF($K64="","",(Y64-AB64)/J64*100)</f>
      </c>
      <c r="AA64" s="4">
        <f>IF($K64="","",M64-X64)</f>
      </c>
      <c r="AC64" s="4">
        <f>IF($K64="","",Y64-AB64)</f>
      </c>
    </row>
    <row r="65" spans="1:34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>
        <f>IF($K65="","",(K65*6.9%)-(K65*6.9%)*10%)</f>
      </c>
      <c r="O65" s="4">
        <f>IF($K65="","",K65*0.35%)</f>
      </c>
      <c r="P65" s="4">
        <v>0.4</v>
      </c>
      <c r="Q65" s="4">
        <f>IF($K65="","",(N65+O65+P65)*20%)</f>
      </c>
      <c r="R65" s="4">
        <f>IF($K65="","",N65+O65+P65+Q65)</f>
      </c>
      <c r="S65" s="4"/>
      <c r="T65" s="4"/>
      <c r="U65" s="4"/>
      <c r="V65" s="4">
        <f>IF($K65="","",U65*20%)</f>
      </c>
      <c r="W65" s="4">
        <v>1</v>
      </c>
      <c r="X65" s="4">
        <f>IF($K65="","",Q65+T65+V65)</f>
      </c>
      <c r="Y65" s="4">
        <f>IF($K65="","",L65-M65-R65-S65-T65-U65-V65-W65)</f>
      </c>
      <c r="Z65" s="4">
        <f>IF($K65="","",(Y65-AB65)/J65*100)</f>
      </c>
      <c r="AA65" s="4">
        <f>IF($K65="","",M65-X65)</f>
      </c>
      <c r="AC65" s="4">
        <f>IF($K65="","",Y65-AB65)</f>
      </c>
    </row>
    <row r="66" spans="1:34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>
        <f>IF($K66="","",(K66*6.9%)-(K66*6.9%)*10%)</f>
      </c>
      <c r="O66" s="4">
        <f>IF($K66="","",K66*0.35%)</f>
      </c>
      <c r="P66" s="4">
        <v>0.4</v>
      </c>
      <c r="Q66" s="4">
        <f>IF($K66="","",(N66+O66+P66)*20%)</f>
      </c>
      <c r="R66" s="4">
        <f>IF($K66="","",N66+O66+P66+Q66)</f>
      </c>
      <c r="S66" s="4"/>
      <c r="T66" s="4"/>
      <c r="U66" s="4"/>
      <c r="V66" s="4">
        <f>IF($K66="","",U66*20%)</f>
      </c>
      <c r="W66" s="4">
        <v>1</v>
      </c>
      <c r="X66" s="4">
        <f>IF($K66="","",Q66+T66+V66)</f>
      </c>
      <c r="Y66" s="4">
        <f>IF($K66="","",L66-M66-R66-S66-T66-U66-V66-W66)</f>
      </c>
      <c r="Z66" s="4">
        <f>IF($K66="","",(Y66-AB66)/J66*100)</f>
      </c>
      <c r="AA66" s="4">
        <f>IF($K66="","",M66-X66)</f>
      </c>
      <c r="AC66" s="4">
        <f>IF($K66="","",Y66-AB66)</f>
      </c>
    </row>
    <row r="67" spans="1:34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>
        <f>IF($K67="","",(K67*6.9%)-(K67*6.9%)*10%)</f>
      </c>
      <c r="O67" s="4">
        <f>IF($K67="","",K67*0.35%)</f>
      </c>
      <c r="P67" s="4">
        <v>0.4</v>
      </c>
      <c r="Q67" s="4">
        <f>IF($K67="","",(N67+O67+P67)*20%)</f>
      </c>
      <c r="R67" s="4">
        <f>IF($K67="","",N67+O67+P67+Q67)</f>
      </c>
      <c r="S67" s="4"/>
      <c r="T67" s="4"/>
      <c r="U67" s="4"/>
      <c r="V67" s="4">
        <f>IF($K67="","",U67*20%)</f>
      </c>
      <c r="W67" s="4">
        <v>1</v>
      </c>
      <c r="X67" s="4">
        <f>IF($K67="","",Q67+T67+V67)</f>
      </c>
      <c r="Y67" s="4">
        <f>IF($K67="","",L67-M67-R67-S67-T67-U67-V67-W67)</f>
      </c>
      <c r="Z67" s="4">
        <f>IF($K67="","",(Y67-AB67)/J67*100)</f>
      </c>
      <c r="AA67" s="4">
        <f>IF($K67="","",M67-X67)</f>
      </c>
      <c r="AC67" s="4">
        <f>IF($K67="","",Y67-AB67)</f>
      </c>
    </row>
    <row r="68" spans="1:34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>
        <f>IF($K68="","",(K68*6.9%)-(K68*6.9%)*10%)</f>
      </c>
      <c r="O68" s="4">
        <f>IF($K68="","",K68*0.35%)</f>
      </c>
      <c r="P68" s="4">
        <v>0.4</v>
      </c>
      <c r="Q68" s="4">
        <f>IF($K68="","",(N68+O68+P68)*20%)</f>
      </c>
      <c r="R68" s="4">
        <f>IF($K68="","",N68+O68+P68+Q68)</f>
      </c>
      <c r="S68" s="4"/>
      <c r="T68" s="4"/>
      <c r="U68" s="4"/>
      <c r="V68" s="4">
        <f>IF($K68="","",U68*20%)</f>
      </c>
      <c r="W68" s="4">
        <v>1</v>
      </c>
      <c r="X68" s="4">
        <f>IF($K68="","",Q68+T68+V68)</f>
      </c>
      <c r="Y68" s="4">
        <f>IF($K68="","",L68-M68-R68-S68-T68-U68-V68-W68)</f>
      </c>
      <c r="Z68" s="4">
        <f>IF($K68="","",(Y68-AB68)/J68*100)</f>
      </c>
      <c r="AA68" s="4">
        <f>IF($K68="","",M68-X68)</f>
      </c>
      <c r="AC68" s="4">
        <f>IF($K68="","",Y68-AB68)</f>
      </c>
    </row>
    <row r="69" spans="1:34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>
        <f>IF($K69="","",(K69*6.9%)-(K69*6.9%)*10%)</f>
      </c>
      <c r="O69" s="4">
        <f>IF($K69="","",K69*0.35%)</f>
      </c>
      <c r="P69" s="4">
        <v>0.4</v>
      </c>
      <c r="Q69" s="4">
        <f>IF($K69="","",(N69+O69+P69)*20%)</f>
      </c>
      <c r="R69" s="4">
        <f>IF($K69="","",N69+O69+P69+Q69)</f>
      </c>
      <c r="S69" s="4"/>
      <c r="T69" s="4"/>
      <c r="U69" s="4"/>
      <c r="V69" s="4">
        <f>IF($K69="","",U69*20%)</f>
      </c>
      <c r="W69" s="4">
        <v>1</v>
      </c>
      <c r="X69" s="4">
        <f>IF($K69="","",Q69+T69+V69)</f>
      </c>
      <c r="Y69" s="4">
        <f>IF($K69="","",L69-M69-R69-S69-T69-U69-V69-W69)</f>
      </c>
      <c r="Z69" s="4">
        <f>IF($K69="","",(Y69-AB69)/J69*100)</f>
      </c>
      <c r="AA69" s="4">
        <f>IF($K69="","",M69-X69)</f>
      </c>
      <c r="AC69" s="4">
        <f>IF($K69="","",Y69-AB69)</f>
      </c>
    </row>
    <row r="70" spans="1:34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>
        <f>IF($K70="","",(K70*6.9%)-(K70*6.9%)*10%)</f>
      </c>
      <c r="O70" s="4">
        <f>IF($K70="","",K70*0.35%)</f>
      </c>
      <c r="P70" s="4">
        <v>0.4</v>
      </c>
      <c r="Q70" s="4">
        <f>IF($K70="","",(N70+O70+P70)*20%)</f>
      </c>
      <c r="R70" s="4">
        <f>IF($K70="","",N70+O70+P70+Q70)</f>
      </c>
      <c r="S70" s="4"/>
      <c r="T70" s="4"/>
      <c r="U70" s="4"/>
      <c r="V70" s="4">
        <f>IF($K70="","",U70*20%)</f>
      </c>
      <c r="W70" s="4">
        <v>1</v>
      </c>
      <c r="X70" s="4">
        <f>IF($K70="","",Q70+T70+V70)</f>
      </c>
      <c r="Y70" s="4">
        <f>IF($K70="","",L70-M70-R70-S70-T70-U70-V70-W70)</f>
      </c>
      <c r="Z70" s="4">
        <f>IF($K70="","",(Y70-AB70)/J70*100)</f>
      </c>
      <c r="AA70" s="4">
        <f>IF($K70="","",M70-X70)</f>
      </c>
      <c r="AC70" s="4">
        <f>IF($K70="","",Y70-AB70)</f>
      </c>
    </row>
    <row r="71" spans="1:34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>
        <f>IF($K71="","",(K71*6.9%)-(K71*6.9%)*10%)</f>
      </c>
      <c r="O71" s="4">
        <f>IF($K71="","",K71*0.35%)</f>
      </c>
      <c r="P71" s="4">
        <v>0.4</v>
      </c>
      <c r="Q71" s="4">
        <f>IF($K71="","",(N71+O71+P71)*20%)</f>
      </c>
      <c r="R71" s="4">
        <f>IF($K71="","",N71+O71+P71+Q71)</f>
      </c>
      <c r="S71" s="4"/>
      <c r="T71" s="4"/>
      <c r="U71" s="4"/>
      <c r="V71" s="4">
        <f>IF($K71="","",U71*20%)</f>
      </c>
      <c r="W71" s="4">
        <v>1</v>
      </c>
      <c r="X71" s="4">
        <f>IF($K71="","",Q71+T71+V71)</f>
      </c>
      <c r="Y71" s="4">
        <f>IF($K71="","",L71-M71-R71-S71-T71-U71-V71-W71)</f>
      </c>
      <c r="Z71" s="4">
        <f>IF($K71="","",(Y71-AB71)/J71*100)</f>
      </c>
      <c r="AA71" s="4">
        <f>IF($K71="","",M71-X71)</f>
      </c>
      <c r="AC71" s="4">
        <f>IF($K71="","",Y71-AB71)</f>
      </c>
    </row>
    <row r="72" spans="1:34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>
        <f>IF($K72="","",(K72*6.9%)-(K72*6.9%)*10%)</f>
      </c>
      <c r="O72" s="4">
        <f>IF($K72="","",K72*0.35%)</f>
      </c>
      <c r="P72" s="4">
        <v>0.4</v>
      </c>
      <c r="Q72" s="4">
        <f>IF($K72="","",(N72+O72+P72)*20%)</f>
      </c>
      <c r="R72" s="4">
        <f>IF($K72="","",N72+O72+P72+Q72)</f>
      </c>
      <c r="S72" s="4"/>
      <c r="T72" s="4"/>
      <c r="U72" s="4"/>
      <c r="V72" s="4">
        <f>IF($K72="","",U72*20%)</f>
      </c>
      <c r="W72" s="4">
        <v>1</v>
      </c>
      <c r="X72" s="4">
        <f>IF($K72="","",Q72+T72+V72)</f>
      </c>
      <c r="Y72" s="4">
        <f>IF($K72="","",L72-M72-R72-S72-T72-U72-V72-W72)</f>
      </c>
      <c r="Z72" s="4">
        <f>IF($K72="","",(Y72-AB72)/J72*100)</f>
      </c>
      <c r="AA72" s="4">
        <f>IF($K72="","",M72-X72)</f>
      </c>
      <c r="AC72" s="4">
        <f>IF($K72="","",Y72-AB72)</f>
      </c>
    </row>
    <row r="73" spans="1:34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>
        <f>IF($K73="","",(K73*6.9%)-(K73*6.9%)*10%)</f>
      </c>
      <c r="O73" s="4">
        <f>IF($K73="","",K73*0.35%)</f>
      </c>
      <c r="P73" s="4">
        <v>0.4</v>
      </c>
      <c r="Q73" s="4">
        <f>IF($K73="","",(N73+O73+P73)*20%)</f>
      </c>
      <c r="R73" s="4">
        <f>IF($K73="","",N73+O73+P73+Q73)</f>
      </c>
      <c r="S73" s="4"/>
      <c r="T73" s="4"/>
      <c r="U73" s="4"/>
      <c r="V73" s="4">
        <f>IF($K73="","",U73*20%)</f>
      </c>
      <c r="W73" s="4">
        <v>1</v>
      </c>
      <c r="X73" s="4">
        <f>IF($K73="","",Q73+T73+V73)</f>
      </c>
      <c r="Y73" s="4">
        <f>IF($K73="","",L73-M73-R73-S73-T73-U73-V73-W73)</f>
      </c>
      <c r="Z73" s="4">
        <f>IF($K73="","",(Y73-AB73)/J73*100)</f>
      </c>
      <c r="AA73" s="4">
        <f>IF($K73="","",M73-X73)</f>
      </c>
      <c r="AC73" s="4">
        <f>IF($K73="","",Y73-AB73)</f>
      </c>
    </row>
    <row r="74" spans="1:34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>
        <f>IF($K74="","",(K74*6.9%)-(K74*6.9%)*10%)</f>
      </c>
      <c r="O74" s="4">
        <f>IF($K74="","",K74*0.35%)</f>
      </c>
      <c r="P74" s="4">
        <v>0.4</v>
      </c>
      <c r="Q74" s="4">
        <f>IF($K74="","",(N74+O74+P74)*20%)</f>
      </c>
      <c r="R74" s="4">
        <f>IF($K74="","",N74+O74+P74+Q74)</f>
      </c>
      <c r="S74" s="4"/>
      <c r="T74" s="4"/>
      <c r="U74" s="4"/>
      <c r="V74" s="4">
        <f>IF($K74="","",U74*20%)</f>
      </c>
      <c r="W74" s="4">
        <v>1</v>
      </c>
      <c r="X74" s="4">
        <f>IF($K74="","",Q74+T74+V74)</f>
      </c>
      <c r="Y74" s="4">
        <f>IF($K74="","",L74-M74-R74-S74-T74-U74-V74-W74)</f>
      </c>
      <c r="Z74" s="4">
        <f>IF($K74="","",(Y74-AB74)/J74*100)</f>
      </c>
      <c r="AA74" s="4">
        <f>IF($K74="","",M74-X74)</f>
      </c>
      <c r="AC74" s="4">
        <f>IF($K74="","",Y74-AB74)</f>
      </c>
    </row>
    <row r="75" spans="1:34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>
        <f>IF($K75="","",(K75*6.9%)-(K75*6.9%)*10%)</f>
      </c>
      <c r="O75" s="4">
        <f>IF($K75="","",K75*0.35%)</f>
      </c>
      <c r="P75" s="4">
        <v>0.4</v>
      </c>
      <c r="Q75" s="4">
        <f>IF($K75="","",(N75+O75+P75)*20%)</f>
      </c>
      <c r="R75" s="4">
        <f>IF($K75="","",N75+O75+P75+Q75)</f>
      </c>
      <c r="S75" s="4"/>
      <c r="T75" s="4"/>
      <c r="U75" s="4"/>
      <c r="V75" s="4">
        <f>IF($K75="","",U75*20%)</f>
      </c>
      <c r="W75" s="4">
        <v>1</v>
      </c>
      <c r="X75" s="4">
        <f>IF($K75="","",Q75+T75+V75)</f>
      </c>
      <c r="Y75" s="4">
        <f>IF($K75="","",L75-M75-R75-S75-T75-U75-V75-W75)</f>
      </c>
      <c r="Z75" s="4">
        <f>IF($K75="","",(Y75-AB75)/J75*100)</f>
      </c>
      <c r="AA75" s="4">
        <f>IF($K75="","",M75-X75)</f>
      </c>
      <c r="AC75" s="4">
        <f>IF($K75="","",Y75-AB75)</f>
      </c>
    </row>
    <row r="76" spans="1:34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>
        <f>IF($K76="","",(K76*6.9%)-(K76*6.9%)*10%)</f>
      </c>
      <c r="O76" s="4">
        <f>IF($K76="","",K76*0.35%)</f>
      </c>
      <c r="P76" s="4">
        <v>0.4</v>
      </c>
      <c r="Q76" s="4">
        <f>IF($K76="","",(N76+O76+P76)*20%)</f>
      </c>
      <c r="R76" s="4">
        <f>IF($K76="","",N76+O76+P76+Q76)</f>
      </c>
      <c r="S76" s="4"/>
      <c r="T76" s="4"/>
      <c r="U76" s="4"/>
      <c r="V76" s="4">
        <f>IF($K76="","",U76*20%)</f>
      </c>
      <c r="W76" s="4">
        <v>1</v>
      </c>
      <c r="X76" s="4">
        <f>IF($K76="","",Q76+T76+V76)</f>
      </c>
      <c r="Y76" s="4">
        <f>IF($K76="","",L76-M76-R76-S76-T76-U76-V76-W76)</f>
      </c>
      <c r="Z76" s="4">
        <f>IF($K76="","",(Y76-AB76)/J76*100)</f>
      </c>
      <c r="AA76" s="4">
        <f>IF($K76="","",M76-X76)</f>
      </c>
      <c r="AC76" s="4">
        <f>IF($K76="","",Y76-AB76)</f>
      </c>
    </row>
    <row r="77" spans="1:34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>
        <f>IF($K77="","",(K77*6.9%)-(K77*6.9%)*10%)</f>
      </c>
      <c r="O77" s="4">
        <f>IF($K77="","",K77*0.35%)</f>
      </c>
      <c r="P77" s="4">
        <v>0.4</v>
      </c>
      <c r="Q77" s="4">
        <f>IF($K77="","",(N77+O77+P77)*20%)</f>
      </c>
      <c r="R77" s="4">
        <f>IF($K77="","",N77+O77+P77+Q77)</f>
      </c>
      <c r="S77" s="4"/>
      <c r="T77" s="4"/>
      <c r="U77" s="4"/>
      <c r="V77" s="4">
        <f>IF($K77="","",U77*20%)</f>
      </c>
      <c r="W77" s="4">
        <v>1</v>
      </c>
      <c r="X77" s="4">
        <f>IF($K77="","",Q77+T77+V77)</f>
      </c>
      <c r="Y77" s="4">
        <f>IF($K77="","",L77-M77-R77-S77-T77-U77-V77-W77)</f>
      </c>
      <c r="Z77" s="4">
        <f>IF($K77="","",(Y77-AB77)/J77*100)</f>
      </c>
      <c r="AA77" s="4">
        <f>IF($K77="","",M77-X77)</f>
      </c>
      <c r="AC77" s="4">
        <f>IF($K77="","",Y77-AB77)</f>
      </c>
    </row>
    <row r="78" spans="1:34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>
        <f>IF($K78="","",(K78*6.9%)-(K78*6.9%)*10%)</f>
      </c>
      <c r="O78" s="4">
        <f>IF($K78="","",K78*0.35%)</f>
      </c>
      <c r="P78" s="4">
        <v>0.4</v>
      </c>
      <c r="Q78" s="4">
        <f>IF($K78="","",(N78+O78+P78)*20%)</f>
      </c>
      <c r="R78" s="4">
        <f>IF($K78="","",N78+O78+P78+Q78)</f>
      </c>
      <c r="S78" s="4"/>
      <c r="T78" s="4"/>
      <c r="U78" s="4"/>
      <c r="V78" s="4">
        <f>IF($K78="","",U78*20%)</f>
      </c>
      <c r="W78" s="4">
        <v>1</v>
      </c>
      <c r="X78" s="4">
        <f>IF($K78="","",Q78+T78+V78)</f>
      </c>
      <c r="Y78" s="4">
        <f>IF($K78="","",L78-M78-R78-S78-T78-U78-V78-W78)</f>
      </c>
      <c r="Z78" s="4">
        <f>IF($K78="","",(Y78-AB78)/J78*100)</f>
      </c>
      <c r="AA78" s="4">
        <f>IF($K78="","",M78-X78)</f>
      </c>
      <c r="AC78" s="4">
        <f>IF($K78="","",Y78-AB78)</f>
      </c>
    </row>
    <row r="79" spans="1:34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>
        <f>IF($K79="","",(K79*6.9%)-(K79*6.9%)*10%)</f>
      </c>
      <c r="O79" s="4">
        <f>IF($K79="","",K79*0.35%)</f>
      </c>
      <c r="P79" s="4">
        <v>0.4</v>
      </c>
      <c r="Q79" s="4">
        <f>IF($K79="","",(N79+O79+P79)*20%)</f>
      </c>
      <c r="R79" s="4">
        <f>IF($K79="","",N79+O79+P79+Q79)</f>
      </c>
      <c r="S79" s="4"/>
      <c r="T79" s="4"/>
      <c r="U79" s="4"/>
      <c r="V79" s="4">
        <f>IF($K79="","",U79*20%)</f>
      </c>
      <c r="W79" s="4">
        <v>1</v>
      </c>
      <c r="X79" s="4">
        <f>IF($K79="","",Q79+T79+V79)</f>
      </c>
      <c r="Y79" s="4">
        <f>IF($K79="","",L79-M79-R79-S79-T79-U79-V79-W79)</f>
      </c>
      <c r="Z79" s="4">
        <f>IF($K79="","",(Y79-AB79)/J79*100)</f>
      </c>
      <c r="AA79" s="4">
        <f>IF($K79="","",M79-X79)</f>
      </c>
      <c r="AC79" s="4">
        <f>IF($K79="","",Y79-AB79)</f>
      </c>
    </row>
    <row r="80" spans="1:34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>
        <f>IF($K80="","",(K80*6.9%)-(K80*6.9%)*10%)</f>
      </c>
      <c r="O80" s="4">
        <f>IF($K80="","",K80*0.35%)</f>
      </c>
      <c r="P80" s="4">
        <v>0.4</v>
      </c>
      <c r="Q80" s="4">
        <f>IF($K80="","",(N80+O80+P80)*20%)</f>
      </c>
      <c r="R80" s="4">
        <f>IF($K80="","",N80+O80+P80+Q80)</f>
      </c>
      <c r="S80" s="4"/>
      <c r="T80" s="4"/>
      <c r="U80" s="4"/>
      <c r="V80" s="4">
        <f>IF($K80="","",U80*20%)</f>
      </c>
      <c r="W80" s="4">
        <v>1</v>
      </c>
      <c r="X80" s="4">
        <f>IF($K80="","",Q80+T80+V80)</f>
      </c>
      <c r="Y80" s="4">
        <f>IF($K80="","",L80-M80-R80-S80-T80-U80-V80-W80)</f>
      </c>
      <c r="Z80" s="4">
        <f>IF($K80="","",(Y80-AB80)/J80*100)</f>
      </c>
      <c r="AA80" s="4">
        <f>IF($K80="","",M80-X80)</f>
      </c>
      <c r="AC80" s="4">
        <f>IF($K80="","",Y80-AB80)</f>
      </c>
    </row>
    <row r="81" spans="1:34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>
        <f>IF($K81="","",(K81*6.9%)-(K81*6.9%)*10%)</f>
      </c>
      <c r="O81" s="4">
        <f>IF($K81="","",K81*0.35%)</f>
      </c>
      <c r="P81" s="4">
        <v>0.4</v>
      </c>
      <c r="Q81" s="4">
        <f>IF($K81="","",(N81+O81+P81)*20%)</f>
      </c>
      <c r="R81" s="4">
        <f>IF($K81="","",N81+O81+P81+Q81)</f>
      </c>
      <c r="S81" s="4"/>
      <c r="T81" s="4"/>
      <c r="U81" s="4"/>
      <c r="V81" s="4">
        <f>IF($K81="","",U81*20%)</f>
      </c>
      <c r="W81" s="4">
        <v>1</v>
      </c>
      <c r="X81" s="4">
        <f>IF($K81="","",Q81+T81+V81)</f>
      </c>
      <c r="Y81" s="4">
        <f>IF($K81="","",L81-M81-R81-S81-T81-U81-V81-W81)</f>
      </c>
      <c r="Z81" s="4">
        <f>IF($K81="","",(Y81-AB81)/J81*100)</f>
      </c>
      <c r="AA81" s="4">
        <f>IF($K81="","",M81-X81)</f>
      </c>
      <c r="AC81" s="4">
        <f>IF($K81="","",Y81-AB81)</f>
      </c>
    </row>
    <row r="82" spans="1:34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>
        <f>IF($K82="","",(K82*6.9%)-(K82*6.9%)*10%)</f>
      </c>
      <c r="O82" s="4">
        <f>IF($K82="","",K82*0.35%)</f>
      </c>
      <c r="P82" s="4">
        <v>0.4</v>
      </c>
      <c r="Q82" s="4">
        <f>IF($K82="","",(N82+O82+P82)*20%)</f>
      </c>
      <c r="R82" s="4">
        <f>IF($K82="","",N82+O82+P82+Q82)</f>
      </c>
      <c r="S82" s="4"/>
      <c r="T82" s="4"/>
      <c r="U82" s="4"/>
      <c r="V82" s="4">
        <f>IF($K82="","",U82*20%)</f>
      </c>
      <c r="W82" s="4">
        <v>1</v>
      </c>
      <c r="X82" s="4">
        <f>IF($K82="","",Q82+T82+V82)</f>
      </c>
      <c r="Y82" s="4">
        <f>IF($K82="","",L82-M82-R82-S82-T82-U82-V82-W82)</f>
      </c>
      <c r="Z82" s="4">
        <f>IF($K82="","",(Y82-AB82)/J82*100)</f>
      </c>
      <c r="AA82" s="4">
        <f>IF($K82="","",M82-X82)</f>
      </c>
      <c r="AC82" s="4">
        <f>IF($K82="","",Y82-AB82)</f>
      </c>
    </row>
    <row r="83" spans="1:34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>
        <f>IF($K83="","",(K83*6.9%)-(K83*6.9%)*10%)</f>
      </c>
      <c r="O83" s="4">
        <f>IF($K83="","",K83*0.35%)</f>
      </c>
      <c r="P83" s="4">
        <v>0.4</v>
      </c>
      <c r="Q83" s="4">
        <f>IF($K83="","",(N83+O83+P83)*20%)</f>
      </c>
      <c r="R83" s="4">
        <f>IF($K83="","",N83+O83+P83+Q83)</f>
      </c>
      <c r="S83" s="4"/>
      <c r="T83" s="4"/>
      <c r="U83" s="4"/>
      <c r="V83" s="4">
        <f>IF($K83="","",U83*20%)</f>
      </c>
      <c r="W83" s="4">
        <v>1</v>
      </c>
      <c r="X83" s="4">
        <f>IF($K83="","",Q83+T83+V83)</f>
      </c>
      <c r="Y83" s="4">
        <f>IF($K83="","",L83-M83-R83-S83-T83-U83-V83-W83)</f>
      </c>
      <c r="Z83" s="4">
        <f>IF($K83="","",(Y83-AB83)/J83*100)</f>
      </c>
      <c r="AA83" s="4">
        <f>IF($K83="","",M83-X83)</f>
      </c>
      <c r="AC83" s="4">
        <f>IF($K83="","",Y83-AB83)</f>
      </c>
    </row>
    <row r="84" spans="1:34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>
        <f>IF($K84="","",(K84*6.9%)-(K84*6.9%)*10%)</f>
      </c>
      <c r="O84" s="4">
        <f>IF($K84="","",K84*0.35%)</f>
      </c>
      <c r="P84" s="4">
        <v>0.4</v>
      </c>
      <c r="Q84" s="4">
        <f>IF($K84="","",(N84+O84+P84)*20%)</f>
      </c>
      <c r="R84" s="4">
        <f>IF($K84="","",N84+O84+P84+Q84)</f>
      </c>
      <c r="S84" s="4"/>
      <c r="T84" s="4"/>
      <c r="U84" s="4"/>
      <c r="V84" s="4">
        <f>IF($K84="","",U84*20%)</f>
      </c>
      <c r="W84" s="4">
        <v>1</v>
      </c>
      <c r="X84" s="4">
        <f>IF($K84="","",Q84+T84+V84)</f>
      </c>
      <c r="Y84" s="4">
        <f>IF($K84="","",L84-M84-R84-S84-T84-U84-V84-W84)</f>
      </c>
      <c r="Z84" s="4">
        <f>IF($K84="","",(Y84-AB84)/J84*100)</f>
      </c>
      <c r="AA84" s="4">
        <f>IF($K84="","",M84-X84)</f>
      </c>
      <c r="AC84" s="4">
        <f>IF($K84="","",Y84-AB84)</f>
      </c>
    </row>
    <row r="85" spans="1:34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>
        <f>IF($K85="","",(K85*6.9%)-(K85*6.9%)*10%)</f>
      </c>
      <c r="O85" s="4">
        <f>IF($K85="","",K85*0.35%)</f>
      </c>
      <c r="P85" s="4">
        <v>0.4</v>
      </c>
      <c r="Q85" s="4">
        <f>IF($K85="","",(N85+O85+P85)*20%)</f>
      </c>
      <c r="R85" s="4">
        <f>IF($K85="","",N85+O85+P85+Q85)</f>
      </c>
      <c r="S85" s="4"/>
      <c r="T85" s="4"/>
      <c r="U85" s="4"/>
      <c r="V85" s="4">
        <f>IF($K85="","",U85*20%)</f>
      </c>
      <c r="W85" s="4">
        <v>1</v>
      </c>
      <c r="X85" s="4">
        <f>IF($K85="","",Q85+T85+V85)</f>
      </c>
      <c r="Y85" s="4">
        <f>IF($K85="","",L85-M85-R85-S85-T85-U85-V85-W85)</f>
      </c>
      <c r="Z85" s="4">
        <f>IF($K85="","",(Y85-AB85)/J85*100)</f>
      </c>
      <c r="AA85" s="4">
        <f>IF($K85="","",M85-X85)</f>
      </c>
      <c r="AC85" s="4">
        <f>IF($K85="","",Y85-AB85)</f>
      </c>
    </row>
    <row r="86" spans="1:34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>
        <f>IF($K86="","",(K86*6.9%)-(K86*6.9%)*10%)</f>
      </c>
      <c r="O86" s="4">
        <f>IF($K86="","",K86*0.35%)</f>
      </c>
      <c r="P86" s="4">
        <v>0.4</v>
      </c>
      <c r="Q86" s="4">
        <f>IF($K86="","",(N86+O86+P86)*20%)</f>
      </c>
      <c r="R86" s="4">
        <f>IF($K86="","",N86+O86+P86+Q86)</f>
      </c>
      <c r="S86" s="4"/>
      <c r="T86" s="4"/>
      <c r="U86" s="4"/>
      <c r="V86" s="4">
        <f>IF($K86="","",U86*20%)</f>
      </c>
      <c r="W86" s="4">
        <v>1</v>
      </c>
      <c r="X86" s="4">
        <f>IF($K86="","",Q86+T86+V86)</f>
      </c>
      <c r="Y86" s="4">
        <f>IF($K86="","",L86-M86-R86-S86-T86-U86-V86-W86)</f>
      </c>
      <c r="Z86" s="4">
        <f>IF($K86="","",(Y86-AB86)/J86*100)</f>
      </c>
      <c r="AA86" s="4">
        <f>IF($K86="","",M86-X86)</f>
      </c>
      <c r="AC86" s="4">
        <f>IF($K86="","",Y86-AB86)</f>
      </c>
    </row>
    <row r="87" spans="1:34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>
        <f>IF($K87="","",(K87*6.9%)-(K87*6.9%)*10%)</f>
      </c>
      <c r="O87" s="4">
        <f>IF($K87="","",K87*0.35%)</f>
      </c>
      <c r="P87" s="4">
        <v>0.4</v>
      </c>
      <c r="Q87" s="4">
        <f>IF($K87="","",(N87+O87+P87)*20%)</f>
      </c>
      <c r="R87" s="4">
        <f>IF($K87="","",N87+O87+P87+Q87)</f>
      </c>
      <c r="S87" s="4"/>
      <c r="T87" s="4"/>
      <c r="U87" s="4"/>
      <c r="V87" s="4">
        <f>IF($K87="","",U87*20%)</f>
      </c>
      <c r="W87" s="4">
        <v>1</v>
      </c>
      <c r="X87" s="4">
        <f>IF($K87="","",Q87+T87+V87)</f>
      </c>
      <c r="Y87" s="4">
        <f>IF($K87="","",L87-M87-R87-S87-T87-U87-V87-W87)</f>
      </c>
      <c r="Z87" s="4">
        <f>IF($K87="","",(Y87-AB87)/J87*100)</f>
      </c>
      <c r="AA87" s="4">
        <f>IF($K87="","",M87-X87)</f>
      </c>
      <c r="AC87" s="4">
        <f>IF($K87="","",Y87-AB87)</f>
      </c>
    </row>
    <row r="88" spans="1:34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>
        <f>IF($K88="","",(K88*6.9%)-(K88*6.9%)*10%)</f>
      </c>
      <c r="O88" s="4">
        <f>IF($K88="","",K88*0.35%)</f>
      </c>
      <c r="P88" s="4">
        <v>0.4</v>
      </c>
      <c r="Q88" s="4">
        <f>IF($K88="","",(N88+O88+P88)*20%)</f>
      </c>
      <c r="R88" s="4">
        <f>IF($K88="","",N88+O88+P88+Q88)</f>
      </c>
      <c r="S88" s="4"/>
      <c r="T88" s="4"/>
      <c r="U88" s="4"/>
      <c r="V88" s="4">
        <f>IF($K88="","",U88*20%)</f>
      </c>
      <c r="W88" s="4">
        <v>1</v>
      </c>
      <c r="X88" s="4">
        <f>IF($K88="","",Q88+T88+V88)</f>
      </c>
      <c r="Y88" s="4">
        <f>IF($K88="","",L88-M88-R88-S88-T88-U88-V88-W88)</f>
      </c>
      <c r="Z88" s="4">
        <f>IF($K88="","",(Y88-AB88)/J88*100)</f>
      </c>
      <c r="AA88" s="4">
        <f>IF($K88="","",M88-X88)</f>
      </c>
      <c r="AC88" s="4">
        <f>IF($K88="","",Y88-AB88)</f>
      </c>
    </row>
    <row r="89" spans="1:34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>
        <f>IF($K89="","",(K89*6.9%)-(K89*6.9%)*10%)</f>
      </c>
      <c r="O89" s="4">
        <f>IF($K89="","",K89*0.35%)</f>
      </c>
      <c r="P89" s="4">
        <v>0.4</v>
      </c>
      <c r="Q89" s="4">
        <f>IF($K89="","",(N89+O89+P89)*20%)</f>
      </c>
      <c r="R89" s="4">
        <f>IF($K89="","",N89+O89+P89+Q89)</f>
      </c>
      <c r="S89" s="4"/>
      <c r="T89" s="4"/>
      <c r="U89" s="4"/>
      <c r="V89" s="4">
        <f>IF($K89="","",U89*20%)</f>
      </c>
      <c r="W89" s="4">
        <v>1</v>
      </c>
      <c r="X89" s="4">
        <f>IF($K89="","",Q89+T89+V89)</f>
      </c>
      <c r="Y89" s="4">
        <f>IF($K89="","",L89-M89-R89-S89-T89-U89-V89-W89)</f>
      </c>
      <c r="Z89" s="4">
        <f>IF($K89="","",(Y89-AB89)/J89*100)</f>
      </c>
      <c r="AA89" s="4">
        <f>IF($K89="","",M89-X89)</f>
      </c>
      <c r="AC89" s="4">
        <f>IF($K89="","",Y89-AB89)</f>
      </c>
    </row>
    <row r="90" spans="1:34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>
        <f>IF($K90="","",(K90*6.9%)-(K90*6.9%)*10%)</f>
      </c>
      <c r="O90" s="4">
        <f>IF($K90="","",K90*0.35%)</f>
      </c>
      <c r="P90" s="4">
        <v>0.4</v>
      </c>
      <c r="Q90" s="4">
        <f>IF($K90="","",(N90+O90+P90)*20%)</f>
      </c>
      <c r="R90" s="4">
        <f>IF($K90="","",N90+O90+P90+Q90)</f>
      </c>
      <c r="S90" s="4"/>
      <c r="T90" s="4"/>
      <c r="U90" s="4"/>
      <c r="V90" s="4">
        <f>IF($K90="","",U90*20%)</f>
      </c>
      <c r="W90" s="4">
        <v>1</v>
      </c>
      <c r="X90" s="4">
        <f>IF($K90="","",Q90+T90+V90)</f>
      </c>
      <c r="Y90" s="4">
        <f>IF($K90="","",L90-M90-R90-S90-T90-U90-V90-W90)</f>
      </c>
      <c r="Z90" s="4">
        <f>IF($K90="","",(Y90-AB90)/J90*100)</f>
      </c>
      <c r="AA90" s="4">
        <f>IF($K90="","",M90-X90)</f>
      </c>
      <c r="AC90" s="4">
        <f>IF($K90="","",Y90-AB90)</f>
      </c>
    </row>
    <row r="91" spans="1:34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>
        <f>IF($K91="","",(K91*6.9%)-(K91*6.9%)*10%)</f>
      </c>
      <c r="O91" s="4">
        <f>IF($K91="","",K91*0.35%)</f>
      </c>
      <c r="P91" s="4">
        <v>0.4</v>
      </c>
      <c r="Q91" s="4">
        <f>IF($K91="","",(N91+O91+P91)*20%)</f>
      </c>
      <c r="R91" s="4">
        <f>IF($K91="","",N91+O91+P91+Q91)</f>
      </c>
      <c r="S91" s="4"/>
      <c r="T91" s="4"/>
      <c r="U91" s="4"/>
      <c r="V91" s="4">
        <f>IF($K91="","",U91*20%)</f>
      </c>
      <c r="W91" s="4">
        <v>1</v>
      </c>
      <c r="X91" s="4">
        <f>IF($K91="","",Q91+T91+V91)</f>
      </c>
      <c r="Y91" s="4">
        <f>IF($K91="","",L91-M91-R91-S91-T91-U91-V91-W91)</f>
      </c>
      <c r="Z91" s="4">
        <f>IF($K91="","",(Y91-AB91)/J91*100)</f>
      </c>
      <c r="AA91" s="4">
        <f>IF($K91="","",M91-X91)</f>
      </c>
      <c r="AC91" s="4">
        <f>IF($K91="","",Y91-AB91)</f>
      </c>
    </row>
    <row r="92" spans="1:34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>
        <f>IF($K92="","",(K92*6.9%)-(K92*6.9%)*10%)</f>
      </c>
      <c r="O92" s="4">
        <f>IF($K92="","",K92*0.35%)</f>
      </c>
      <c r="P92" s="4">
        <v>0.4</v>
      </c>
      <c r="Q92" s="4">
        <f>IF($K92="","",(N92+O92+P92)*20%)</f>
      </c>
      <c r="R92" s="4">
        <f>IF($K92="","",N92+O92+P92+Q92)</f>
      </c>
      <c r="S92" s="4"/>
      <c r="T92" s="4"/>
      <c r="U92" s="4"/>
      <c r="V92" s="4">
        <f>IF($K92="","",U92*20%)</f>
      </c>
      <c r="W92" s="4">
        <v>1</v>
      </c>
      <c r="X92" s="4">
        <f>IF($K92="","",Q92+T92+V92)</f>
      </c>
      <c r="Y92" s="4">
        <f>IF($K92="","",L92-M92-R92-S92-T92-U92-V92-W92)</f>
      </c>
      <c r="Z92" s="4">
        <f>IF($K92="","",(Y92-AB92)/J92*100)</f>
      </c>
      <c r="AA92" s="4">
        <f>IF($K92="","",M92-X92)</f>
      </c>
      <c r="AC92" s="4">
        <f>IF($K92="","",Y92-AB92)</f>
      </c>
    </row>
    <row r="93" spans="1:34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>
        <f>IF($K93="","",(K93*6.9%)-(K93*6.9%)*10%)</f>
      </c>
      <c r="O93" s="4">
        <f>IF($K93="","",K93*0.35%)</f>
      </c>
      <c r="P93" s="4">
        <v>0.4</v>
      </c>
      <c r="Q93" s="4">
        <f>IF($K93="","",(N93+O93+P93)*20%)</f>
      </c>
      <c r="R93" s="4">
        <f>IF($K93="","",N93+O93+P93+Q93)</f>
      </c>
      <c r="S93" s="4"/>
      <c r="T93" s="4"/>
      <c r="U93" s="4"/>
      <c r="V93" s="4">
        <f>IF($K93="","",U93*20%)</f>
      </c>
      <c r="W93" s="4">
        <v>1</v>
      </c>
      <c r="X93" s="4">
        <f>IF($K93="","",Q93+T93+V93)</f>
      </c>
      <c r="Y93" s="4">
        <f>IF($K93="","",L93-M93-R93-S93-T93-U93-V93-W93)</f>
      </c>
      <c r="Z93" s="4">
        <f>IF($K93="","",(Y93-AB93)/J93*100)</f>
      </c>
      <c r="AA93" s="4">
        <f>IF($K93="","",M93-X93)</f>
      </c>
      <c r="AC93" s="4">
        <f>IF($K93="","",Y93-AB93)</f>
      </c>
    </row>
    <row r="94" spans="1:34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>
        <f>IF($K94="","",(K94*6.9%)-(K94*6.9%)*10%)</f>
      </c>
      <c r="O94" s="4">
        <f>IF($K94="","",K94*0.35%)</f>
      </c>
      <c r="P94" s="4">
        <v>0.4</v>
      </c>
      <c r="Q94" s="4">
        <f>IF($K94="","",(N94+O94+P94)*20%)</f>
      </c>
      <c r="R94" s="4">
        <f>IF($K94="","",N94+O94+P94+Q94)</f>
      </c>
      <c r="S94" s="4"/>
      <c r="T94" s="4"/>
      <c r="U94" s="4"/>
      <c r="V94" s="4">
        <f>IF($K94="","",U94*20%)</f>
      </c>
      <c r="W94" s="4">
        <v>1</v>
      </c>
      <c r="X94" s="4">
        <f>IF($K94="","",Q94+T94+V94)</f>
      </c>
      <c r="Y94" s="4">
        <f>IF($K94="","",L94-M94-R94-S94-T94-U94-V94-W94)</f>
      </c>
      <c r="Z94" s="4">
        <f>IF($K94="","",(Y94-AB94)/J94*100)</f>
      </c>
      <c r="AA94" s="4">
        <f>IF($K94="","",M94-X94)</f>
      </c>
      <c r="AC94" s="4">
        <f>IF($K94="","",Y94-AB94)</f>
      </c>
    </row>
    <row r="95" spans="1:34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>
        <f>IF($K95="","",(K95*6.9%)-(K95*6.9%)*10%)</f>
      </c>
      <c r="O95" s="4">
        <f>IF($K95="","",K95*0.35%)</f>
      </c>
      <c r="P95" s="4">
        <v>0.4</v>
      </c>
      <c r="Q95" s="4">
        <f>IF($K95="","",(N95+O95+P95)*20%)</f>
      </c>
      <c r="R95" s="4">
        <f>IF($K95="","",N95+O95+P95+Q95)</f>
      </c>
      <c r="S95" s="4"/>
      <c r="T95" s="4"/>
      <c r="U95" s="4"/>
      <c r="V95" s="4">
        <f>IF($K95="","",U95*20%)</f>
      </c>
      <c r="W95" s="4">
        <v>1</v>
      </c>
      <c r="X95" s="4">
        <f>IF($K95="","",Q95+T95+V95)</f>
      </c>
      <c r="Y95" s="4">
        <f>IF($K95="","",L95-M95-R95-S95-T95-U95-V95-W95)</f>
      </c>
      <c r="Z95" s="4">
        <f>IF($K95="","",(Y95-AB95)/J95*100)</f>
      </c>
      <c r="AA95" s="4">
        <f>IF($K95="","",M95-X95)</f>
      </c>
      <c r="AC95" s="4">
        <f>IF($K95="","",Y95-AB95)</f>
      </c>
    </row>
    <row r="96" spans="1:34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>
        <f>IF($K96="","",(K96*6.9%)-(K96*6.9%)*10%)</f>
      </c>
      <c r="O96" s="4">
        <f>IF($K96="","",K96*0.35%)</f>
      </c>
      <c r="P96" s="4">
        <v>0.4</v>
      </c>
      <c r="Q96" s="4">
        <f>IF($K96="","",(N96+O96+P96)*20%)</f>
      </c>
      <c r="R96" s="4">
        <f>IF($K96="","",N96+O96+P96+Q96)</f>
      </c>
      <c r="S96" s="4"/>
      <c r="T96" s="4"/>
      <c r="U96" s="4"/>
      <c r="V96" s="4">
        <f>IF($K96="","",U96*20%)</f>
      </c>
      <c r="W96" s="4">
        <v>1</v>
      </c>
      <c r="X96" s="4">
        <f>IF($K96="","",Q96+T96+V96)</f>
      </c>
      <c r="Y96" s="4">
        <f>IF($K96="","",L96-M96-R96-S96-T96-U96-V96-W96)</f>
      </c>
      <c r="Z96" s="4">
        <f>IF($K96="","",(Y96-AB96)/J96*100)</f>
      </c>
      <c r="AA96" s="4">
        <f>IF($K96="","",M96-X96)</f>
      </c>
      <c r="AC96" s="4">
        <f>IF($K96="","",Y96-AB96)</f>
      </c>
    </row>
    <row r="97" spans="1:34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>
        <f>IF($K97="","",(K97*6.9%)-(K97*6.9%)*10%)</f>
      </c>
      <c r="O97" s="4">
        <f>IF($K97="","",K97*0.35%)</f>
      </c>
      <c r="P97" s="4">
        <v>0.4</v>
      </c>
      <c r="Q97" s="4">
        <f>IF($K97="","",(N97+O97+P97)*20%)</f>
      </c>
      <c r="R97" s="4">
        <f>IF($K97="","",N97+O97+P97+Q97)</f>
      </c>
      <c r="S97" s="4"/>
      <c r="T97" s="4"/>
      <c r="U97" s="4"/>
      <c r="V97" s="4">
        <f>IF($K97="","",U97*20%)</f>
      </c>
      <c r="W97" s="4">
        <v>1</v>
      </c>
      <c r="X97" s="4">
        <f>IF($K97="","",Q97+T97+V97)</f>
      </c>
      <c r="Y97" s="4">
        <f>IF($K97="","",L97-M97-R97-S97-T97-U97-V97-W97)</f>
      </c>
      <c r="Z97" s="4">
        <f>IF($K97="","",(Y97-AB97)/J97*100)</f>
      </c>
      <c r="AA97" s="4">
        <f>IF($K97="","",M97-X97)</f>
      </c>
      <c r="AC97" s="4">
        <f>IF($K97="","",Y97-AB97)</f>
      </c>
    </row>
    <row r="98" spans="1:34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>
        <f>IF($K98="","",(K98*6.9%)-(K98*6.9%)*10%)</f>
      </c>
      <c r="O98" s="4">
        <f>IF($K98="","",K98*0.35%)</f>
      </c>
      <c r="P98" s="4">
        <v>0.4</v>
      </c>
      <c r="Q98" s="4">
        <f>IF($K98="","",(N98+O98+P98)*20%)</f>
      </c>
      <c r="R98" s="4">
        <f>IF($K98="","",N98+O98+P98+Q98)</f>
      </c>
      <c r="S98" s="4"/>
      <c r="T98" s="4"/>
      <c r="U98" s="4"/>
      <c r="V98" s="4">
        <f>IF($K98="","",U98*20%)</f>
      </c>
      <c r="W98" s="4">
        <v>1</v>
      </c>
      <c r="X98" s="4">
        <f>IF($K98="","",Q98+T98+V98)</f>
      </c>
      <c r="Y98" s="4">
        <f>IF($K98="","",L98-M98-R98-S98-T98-U98-V98-W98)</f>
      </c>
      <c r="Z98" s="4">
        <f>IF($K98="","",(Y98-AB98)/J98*100)</f>
      </c>
      <c r="AA98" s="4">
        <f>IF($K98="","",M98-X98)</f>
      </c>
      <c r="AC98" s="4">
        <f>IF($K98="","",Y98-AB98)</f>
      </c>
    </row>
    <row r="99" spans="1:34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>
        <f>IF($K99="","",(K99*6.9%)-(K99*6.9%)*10%)</f>
      </c>
      <c r="O99" s="4">
        <f>IF($K99="","",K99*0.35%)</f>
      </c>
      <c r="P99" s="4">
        <v>0.4</v>
      </c>
      <c r="Q99" s="4">
        <f>IF($K99="","",(N99+O99+P99)*20%)</f>
      </c>
      <c r="R99" s="4">
        <f>IF($K99="","",N99+O99+P99+Q99)</f>
      </c>
      <c r="S99" s="4"/>
      <c r="T99" s="4"/>
      <c r="U99" s="4"/>
      <c r="V99" s="4">
        <f>IF($K99="","",U99*20%)</f>
      </c>
      <c r="W99" s="4">
        <v>1</v>
      </c>
      <c r="X99" s="4">
        <f>IF($K99="","",Q99+T99+V99)</f>
      </c>
      <c r="Y99" s="4">
        <f>IF($K99="","",L99-M99-R99-S99-T99-U99-V99-W99)</f>
      </c>
      <c r="Z99" s="4">
        <f>IF($K99="","",(Y99-AB99)/J99*100)</f>
      </c>
      <c r="AA99" s="4">
        <f>IF($K99="","",M99-X99)</f>
      </c>
      <c r="AC99" s="4">
        <f>IF($K99="","",Y99-AB99)</f>
      </c>
    </row>
    <row r="100" spans="1:34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>
        <f>IF($K100="","",(K100*6.9%)-(K100*6.9%)*10%)</f>
      </c>
      <c r="O100" s="4">
        <f>IF($K100="","",K100*0.35%)</f>
      </c>
      <c r="P100" s="4">
        <v>0.4</v>
      </c>
      <c r="Q100" s="4">
        <f>IF($K100="","",(N100+O100+P100)*20%)</f>
      </c>
      <c r="R100" s="4">
        <f>IF($K100="","",N100+O100+P100+Q100)</f>
      </c>
      <c r="S100" s="4"/>
      <c r="T100" s="4"/>
      <c r="U100" s="4"/>
      <c r="V100" s="4">
        <f>IF($K100="","",U100*20%)</f>
      </c>
      <c r="W100" s="4">
        <v>1</v>
      </c>
      <c r="X100" s="4">
        <f>IF($K100="","",Q100+T100+V100)</f>
      </c>
      <c r="Y100" s="4">
        <f>IF($K100="","",L100-M100-R100-S100-T100-U100-V100-W100)</f>
      </c>
      <c r="Z100" s="4">
        <f>IF($K100="","",(Y100-AB100)/J100*100)</f>
      </c>
      <c r="AA100" s="4">
        <f>IF($K100="","",M100-X100)</f>
      </c>
      <c r="AC100" s="4">
        <f>IF($K100="","",Y100-AB100)</f>
      </c>
    </row>
    <row r="101" spans="1:34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>
        <f>IF($K101="","",(K101*6.9%)-(K101*6.9%)*10%)</f>
      </c>
      <c r="O101" s="4">
        <f>IF($K101="","",K101*0.35%)</f>
      </c>
      <c r="P101" s="4">
        <v>0.4</v>
      </c>
      <c r="Q101" s="4">
        <f>IF($K101="","",(N101+O101+P101)*20%)</f>
      </c>
      <c r="R101" s="4">
        <f>IF($K101="","",N101+O101+P101+Q101)</f>
      </c>
      <c r="S101" s="4"/>
      <c r="T101" s="4"/>
      <c r="U101" s="4"/>
      <c r="V101" s="4">
        <f>IF($K101="","",U101*20%)</f>
      </c>
      <c r="W101" s="4">
        <v>1</v>
      </c>
      <c r="X101" s="4">
        <f>IF($K101="","",Q101+T101+V101)</f>
      </c>
      <c r="Y101" s="4">
        <f>IF($K101="","",L101-M101-R101-S101-T101-U101-V101-W101)</f>
      </c>
      <c r="Z101" s="4">
        <f>IF($K101="","",(Y101-AB101)/J101*100)</f>
      </c>
      <c r="AA101" s="4">
        <f>IF($K101="","",M101-X101)</f>
      </c>
      <c r="AC101" s="4">
        <f>IF($K101="","",Y101-AB101)</f>
      </c>
    </row>
    <row r="102" spans="1:34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>
        <f>IF($K102="","",(K102*6.9%)-(K102*6.9%)*10%)</f>
      </c>
      <c r="O102" s="4">
        <f>IF($K102="","",K102*0.35%)</f>
      </c>
      <c r="P102" s="4">
        <v>0.4</v>
      </c>
      <c r="Q102" s="4">
        <f>IF($K102="","",(N102+O102+P102)*20%)</f>
      </c>
      <c r="R102" s="4">
        <f>IF($K102="","",N102+O102+P102+Q102)</f>
      </c>
      <c r="S102" s="4"/>
      <c r="T102" s="4"/>
      <c r="U102" s="4"/>
      <c r="V102" s="4">
        <f>IF($K102="","",U102*20%)</f>
      </c>
      <c r="W102" s="4">
        <v>1</v>
      </c>
      <c r="X102" s="4">
        <f>IF($K102="","",Q102+T102+V102)</f>
      </c>
      <c r="Y102" s="4">
        <f>IF($K102="","",L102-M102-R102-S102-T102-U102-V102-W102)</f>
      </c>
      <c r="Z102" s="4">
        <f>IF($K102="","",(Y102-AB102)/J102*100)</f>
      </c>
      <c r="AA102" s="4">
        <f>IF($K102="","",M102-X102)</f>
      </c>
      <c r="AC102" s="4">
        <f>IF($K102="","",Y102-AB102)</f>
      </c>
    </row>
    <row r="103" spans="1:34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>
        <f>IF($K103="","",(K103*6.9%)-(K103*6.9%)*10%)</f>
      </c>
      <c r="O103" s="4">
        <f>IF($K103="","",K103*0.35%)</f>
      </c>
      <c r="P103" s="4">
        <v>0.4</v>
      </c>
      <c r="Q103" s="4">
        <f>IF($K103="","",(N103+O103+P103)*20%)</f>
      </c>
      <c r="R103" s="4">
        <f>IF($K103="","",N103+O103+P103+Q103)</f>
      </c>
      <c r="S103" s="4"/>
      <c r="T103" s="4"/>
      <c r="U103" s="4"/>
      <c r="V103" s="4">
        <f>IF($K103="","",U103*20%)</f>
      </c>
      <c r="W103" s="4">
        <v>1</v>
      </c>
      <c r="X103" s="4">
        <f>IF($K103="","",Q103+T103+V103)</f>
      </c>
      <c r="Y103" s="4">
        <f>IF($K103="","",L103-M103-R103-S103-T103-U103-V103-W103)</f>
      </c>
      <c r="Z103" s="4">
        <f>IF($K103="","",(Y103-AB103)/J103*100)</f>
      </c>
      <c r="AA103" s="4">
        <f>IF($K103="","",M103-X103)</f>
      </c>
      <c r="AC103" s="4">
        <f>IF($K103="","",Y103-AB103)</f>
      </c>
    </row>
    <row r="104" spans="1:34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>
        <f>IF($K104="","",(K104*6.9%)-(K104*6.9%)*10%)</f>
      </c>
      <c r="O104" s="4">
        <f>IF($K104="","",K104*0.35%)</f>
      </c>
      <c r="P104" s="4">
        <v>0.4</v>
      </c>
      <c r="Q104" s="4">
        <f>IF($K104="","",(N104+O104+P104)*20%)</f>
      </c>
      <c r="R104" s="4">
        <f>IF($K104="","",N104+O104+P104+Q104)</f>
      </c>
      <c r="S104" s="4"/>
      <c r="T104" s="4"/>
      <c r="U104" s="4"/>
      <c r="V104" s="4">
        <f>IF($K104="","",U104*20%)</f>
      </c>
      <c r="W104" s="4">
        <v>1</v>
      </c>
      <c r="X104" s="4">
        <f>IF($K104="","",Q104+T104+V104)</f>
      </c>
      <c r="Y104" s="4">
        <f>IF($K104="","",L104-M104-R104-S104-T104-U104-V104-W104)</f>
      </c>
      <c r="Z104" s="4">
        <f>IF($K104="","",(Y104-AB104)/J104*100)</f>
      </c>
      <c r="AA104" s="4">
        <f>IF($K104="","",M104-X104)</f>
      </c>
      <c r="AC104" s="4">
        <f>IF($K104="","",Y104-AB104)</f>
      </c>
    </row>
    <row r="105" spans="1:34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>
        <f>IF($K105="","",(K105*6.9%)-(K105*6.9%)*10%)</f>
      </c>
      <c r="O105" s="4">
        <f>IF($K105="","",K105*0.35%)</f>
      </c>
      <c r="P105" s="4">
        <v>0.4</v>
      </c>
      <c r="Q105" s="4">
        <f>IF($K105="","",(N105+O105+P105)*20%)</f>
      </c>
      <c r="R105" s="4">
        <f>IF($K105="","",N105+O105+P105+Q105)</f>
      </c>
      <c r="S105" s="4"/>
      <c r="T105" s="4"/>
      <c r="U105" s="4"/>
      <c r="V105" s="4">
        <f>IF($K105="","",U105*20%)</f>
      </c>
      <c r="W105" s="4">
        <v>1</v>
      </c>
      <c r="X105" s="4">
        <f>IF($K105="","",Q105+T105+V105)</f>
      </c>
      <c r="Y105" s="4">
        <f>IF($K105="","",L105-M105-R105-S105-T105-U105-V105-W105)</f>
      </c>
      <c r="Z105" s="4">
        <f>IF($K105="","",(Y105-AB105)/J105*100)</f>
      </c>
      <c r="AA105" s="4">
        <f>IF($K105="","",M105-X105)</f>
      </c>
      <c r="AC105" s="4">
        <f>IF($K105="","",Y105-AB105)</f>
      </c>
    </row>
    <row r="106" spans="1:34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>
        <f>IF($K106="","",(K106*6.9%)-(K106*6.9%)*10%)</f>
      </c>
      <c r="O106" s="4">
        <f>IF($K106="","",K106*0.35%)</f>
      </c>
      <c r="P106" s="4">
        <v>0.4</v>
      </c>
      <c r="Q106" s="4">
        <f>IF($K106="","",(N106+O106+P106)*20%)</f>
      </c>
      <c r="R106" s="4">
        <f>IF($K106="","",N106+O106+P106+Q106)</f>
      </c>
      <c r="S106" s="4"/>
      <c r="T106" s="4"/>
      <c r="U106" s="4"/>
      <c r="V106" s="4">
        <f>IF($K106="","",U106*20%)</f>
      </c>
      <c r="W106" s="4">
        <v>1</v>
      </c>
      <c r="X106" s="4">
        <f>IF($K106="","",Q106+T106+V106)</f>
      </c>
      <c r="Y106" s="4">
        <f>IF($K106="","",L106-M106-R106-S106-T106-U106-V106-W106)</f>
      </c>
      <c r="Z106" s="4">
        <f>IF($K106="","",(Y106-AB106)/J106*100)</f>
      </c>
      <c r="AA106" s="4">
        <f>IF($K106="","",M106-X106)</f>
      </c>
      <c r="AC106" s="4">
        <f>IF($K106="","",Y106-AB106)</f>
      </c>
    </row>
    <row r="107" spans="1:34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>
        <f>IF($K107="","",(K107*6.9%)-(K107*6.9%)*10%)</f>
      </c>
      <c r="O107" s="4">
        <f>IF($K107="","",K107*0.35%)</f>
      </c>
      <c r="P107" s="4">
        <v>0.4</v>
      </c>
      <c r="Q107" s="4">
        <f>IF($K107="","",(N107+O107+P107)*20%)</f>
      </c>
      <c r="R107" s="4">
        <f>IF($K107="","",N107+O107+P107+Q107)</f>
      </c>
      <c r="S107" s="4"/>
      <c r="T107" s="4"/>
      <c r="U107" s="4"/>
      <c r="V107" s="4">
        <f>IF($K107="","",U107*20%)</f>
      </c>
      <c r="W107" s="4">
        <v>1</v>
      </c>
      <c r="X107" s="4">
        <f>IF($K107="","",Q107+T107+V107)</f>
      </c>
      <c r="Y107" s="4">
        <f>IF($K107="","",L107-M107-R107-S107-T107-U107-V107-W107)</f>
      </c>
      <c r="Z107" s="4">
        <f>IF($K107="","",(Y107-AB107)/J107*100)</f>
      </c>
      <c r="AA107" s="4">
        <f>IF($K107="","",M107-X107)</f>
      </c>
      <c r="AC107" s="4">
        <f>IF($K107="","",Y107-AB107)</f>
      </c>
    </row>
    <row r="108" spans="1:34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>
        <f>IF($K108="","",(K108*6.9%)-(K108*6.9%)*10%)</f>
      </c>
      <c r="O108" s="4">
        <f>IF($K108="","",K108*0.35%)</f>
      </c>
      <c r="P108" s="4">
        <v>0.4</v>
      </c>
      <c r="Q108" s="4">
        <f>IF($K108="","",(N108+O108+P108)*20%)</f>
      </c>
      <c r="R108" s="4">
        <f>IF($K108="","",N108+O108+P108+Q108)</f>
      </c>
      <c r="S108" s="4"/>
      <c r="T108" s="4"/>
      <c r="U108" s="4"/>
      <c r="V108" s="4">
        <f>IF($K108="","",U108*20%)</f>
      </c>
      <c r="W108" s="4">
        <v>1</v>
      </c>
      <c r="X108" s="4">
        <f>IF($K108="","",Q108+T108+V108)</f>
      </c>
      <c r="Y108" s="4">
        <f>IF($K108="","",L108-M108-R108-S108-T108-U108-V108-W108)</f>
      </c>
      <c r="Z108" s="4">
        <f>IF($K108="","",(Y108-AB108)/J108*100)</f>
      </c>
      <c r="AA108" s="4">
        <f>IF($K108="","",M108-X108)</f>
      </c>
      <c r="AC108" s="4">
        <f>IF($K108="","",Y108-AB108)</f>
      </c>
    </row>
    <row r="109" spans="1:34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>
        <f>IF($K109="","",(K109*6.9%)-(K109*6.9%)*10%)</f>
      </c>
      <c r="O109" s="4">
        <f>IF($K109="","",K109*0.35%)</f>
      </c>
      <c r="P109" s="4">
        <v>0.4</v>
      </c>
      <c r="Q109" s="4">
        <f>IF($K109="","",(N109+O109+P109)*20%)</f>
      </c>
      <c r="R109" s="4">
        <f>IF($K109="","",N109+O109+P109+Q109)</f>
      </c>
      <c r="S109" s="4"/>
      <c r="T109" s="4"/>
      <c r="U109" s="4"/>
      <c r="V109" s="4">
        <f>IF($K109="","",U109*20%)</f>
      </c>
      <c r="W109" s="4">
        <v>1</v>
      </c>
      <c r="X109" s="4">
        <f>IF($K109="","",Q109+T109+V109)</f>
      </c>
      <c r="Y109" s="4">
        <f>IF($K109="","",L109-M109-R109-S109-T109-U109-V109-W109)</f>
      </c>
      <c r="Z109" s="4">
        <f>IF($K109="","",(Y109-AB109)/J109*100)</f>
      </c>
      <c r="AA109" s="4">
        <f>IF($K109="","",M109-X109)</f>
      </c>
      <c r="AC109" s="4">
        <f>IF($K109="","",Y109-AB109)</f>
      </c>
    </row>
    <row r="110" spans="1:34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>
        <f>IF($K110="","",(K110*6.9%)-(K110*6.9%)*10%)</f>
      </c>
      <c r="O110" s="4">
        <f>IF($K110="","",K110*0.35%)</f>
      </c>
      <c r="P110" s="4">
        <v>0.4</v>
      </c>
      <c r="Q110" s="4">
        <f>IF($K110="","",(N110+O110+P110)*20%)</f>
      </c>
      <c r="R110" s="4">
        <f>IF($K110="","",N110+O110+P110+Q110)</f>
      </c>
      <c r="S110" s="4"/>
      <c r="T110" s="4"/>
      <c r="U110" s="4"/>
      <c r="V110" s="4">
        <f>IF($K110="","",U110*20%)</f>
      </c>
      <c r="W110" s="4">
        <v>1</v>
      </c>
      <c r="X110" s="4">
        <f>IF($K110="","",Q110+T110+V110)</f>
      </c>
      <c r="Y110" s="4">
        <f>IF($K110="","",L110-M110-R110-S110-T110-U110-V110-W110)</f>
      </c>
      <c r="Z110" s="4">
        <f>IF($K110="","",(Y110-AB110)/J110*100)</f>
      </c>
      <c r="AA110" s="4">
        <f>IF($K110="","",M110-X110)</f>
      </c>
      <c r="AC110" s="4">
        <f>IF($K110="","",Y110-AB110)</f>
      </c>
    </row>
    <row r="111" spans="1:34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>
        <f>IF($K111="","",(K111*6.9%)-(K111*6.9%)*10%)</f>
      </c>
      <c r="O111" s="4">
        <f>IF($K111="","",K111*0.35%)</f>
      </c>
      <c r="P111" s="4">
        <v>0.4</v>
      </c>
      <c r="Q111" s="4">
        <f>IF($K111="","",(N111+O111+P111)*20%)</f>
      </c>
      <c r="R111" s="4">
        <f>IF($K111="","",N111+O111+P111+Q111)</f>
      </c>
      <c r="S111" s="4"/>
      <c r="T111" s="4"/>
      <c r="U111" s="4"/>
      <c r="V111" s="4">
        <f>IF($K111="","",U111*20%)</f>
      </c>
      <c r="W111" s="4">
        <v>1</v>
      </c>
      <c r="X111" s="4">
        <f>IF($K111="","",Q111+T111+V111)</f>
      </c>
      <c r="Y111" s="4">
        <f>IF($K111="","",L111-M111-R111-S111-T111-U111-V111-W111)</f>
      </c>
      <c r="Z111" s="4">
        <f>IF($K111="","",(Y111-AB111)/J111*100)</f>
      </c>
      <c r="AA111" s="4">
        <f>IF($K111="","",M111-X111)</f>
      </c>
      <c r="AC111" s="4">
        <f>IF($K111="","",Y111-AB111)</f>
      </c>
    </row>
    <row r="112" spans="1:34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>
        <f>IF($K112="","",(K112*6.9%)-(K112*6.9%)*10%)</f>
      </c>
      <c r="O112" s="4">
        <f>IF($K112="","",K112*0.35%)</f>
      </c>
      <c r="P112" s="4">
        <v>0.4</v>
      </c>
      <c r="Q112" s="4">
        <f>IF($K112="","",(N112+O112+P112)*20%)</f>
      </c>
      <c r="R112" s="4">
        <f>IF($K112="","",N112+O112+P112+Q112)</f>
      </c>
      <c r="S112" s="4"/>
      <c r="T112" s="4"/>
      <c r="U112" s="4"/>
      <c r="V112" s="4">
        <f>IF($K112="","",U112*20%)</f>
      </c>
      <c r="W112" s="4">
        <v>1</v>
      </c>
      <c r="X112" s="4">
        <f>IF($K112="","",Q112+T112+V112)</f>
      </c>
      <c r="Y112" s="4">
        <f>IF($K112="","",L112-M112-R112-S112-T112-U112-V112-W112)</f>
      </c>
      <c r="Z112" s="4">
        <f>IF($K112="","",(Y112-AB112)/J112*100)</f>
      </c>
      <c r="AA112" s="4">
        <f>IF($K112="","",M112-X112)</f>
      </c>
      <c r="AC112" s="4">
        <f>IF($K112="","",Y112-AB112)</f>
      </c>
    </row>
    <row r="113" spans="1:34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>
        <f>IF($K113="","",(K113*6.9%)-(K113*6.9%)*10%)</f>
      </c>
      <c r="O113" s="4">
        <f>IF($K113="","",K113*0.35%)</f>
      </c>
      <c r="P113" s="4">
        <v>0.4</v>
      </c>
      <c r="Q113" s="4">
        <f>IF($K113="","",(N113+O113+P113)*20%)</f>
      </c>
      <c r="R113" s="4">
        <f>IF($K113="","",N113+O113+P113+Q113)</f>
      </c>
      <c r="S113" s="4"/>
      <c r="T113" s="4"/>
      <c r="U113" s="4"/>
      <c r="V113" s="4">
        <f>IF($K113="","",U113*20%)</f>
      </c>
      <c r="W113" s="4">
        <v>1</v>
      </c>
      <c r="X113" s="4">
        <f>IF($K113="","",Q113+T113+V113)</f>
      </c>
      <c r="Y113" s="4">
        <f>IF($K113="","",L113-M113-R113-S113-T113-U113-V113-W113)</f>
      </c>
      <c r="Z113" s="4">
        <f>IF($K113="","",(Y113-AB113)/J113*100)</f>
      </c>
      <c r="AA113" s="4">
        <f>IF($K113="","",M113-X113)</f>
      </c>
      <c r="AC113" s="4">
        <f>IF($K113="","",Y113-AB113)</f>
      </c>
    </row>
    <row r="114" spans="1:34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>
        <f>IF($K114="","",(K114*6.9%)-(K114*6.9%)*10%)</f>
      </c>
      <c r="O114" s="4">
        <f>IF($K114="","",K114*0.35%)</f>
      </c>
      <c r="P114" s="4">
        <v>0.4</v>
      </c>
      <c r="Q114" s="4">
        <f>IF($K114="","",(N114+O114+P114)*20%)</f>
      </c>
      <c r="R114" s="4">
        <f>IF($K114="","",N114+O114+P114+Q114)</f>
      </c>
      <c r="S114" s="4"/>
      <c r="T114" s="4"/>
      <c r="U114" s="4"/>
      <c r="V114" s="4">
        <f>IF($K114="","",U114*20%)</f>
      </c>
      <c r="W114" s="4">
        <v>1</v>
      </c>
      <c r="X114" s="4">
        <f>IF($K114="","",Q114+T114+V114)</f>
      </c>
      <c r="Y114" s="4">
        <f>IF($K114="","",L114-M114-R114-S114-T114-U114-V114-W114)</f>
      </c>
      <c r="Z114" s="4">
        <f>IF($K114="","",(Y114-AB114)/J114*100)</f>
      </c>
      <c r="AA114" s="4">
        <f>IF($K114="","",M114-X114)</f>
      </c>
      <c r="AC114" s="4">
        <f>IF($K114="","",Y114-AB114)</f>
      </c>
    </row>
    <row r="115" spans="1:34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>
        <f>IF($K115="","",(K115*6.9%)-(K115*6.9%)*10%)</f>
      </c>
      <c r="O115" s="4">
        <f>IF($K115="","",K115*0.35%)</f>
      </c>
      <c r="P115" s="4">
        <v>0.4</v>
      </c>
      <c r="Q115" s="4">
        <f>IF($K115="","",(N115+O115+P115)*20%)</f>
      </c>
      <c r="R115" s="4">
        <f>IF($K115="","",N115+O115+P115+Q115)</f>
      </c>
      <c r="S115" s="4"/>
      <c r="T115" s="4"/>
      <c r="U115" s="4"/>
      <c r="V115" s="4">
        <f>IF($K115="","",U115*20%)</f>
      </c>
      <c r="W115" s="4">
        <v>1</v>
      </c>
      <c r="X115" s="4">
        <f>IF($K115="","",Q115+T115+V115)</f>
      </c>
      <c r="Y115" s="4">
        <f>IF($K115="","",L115-M115-R115-S115-T115-U115-V115-W115)</f>
      </c>
      <c r="Z115" s="4">
        <f>IF($K115="","",(Y115-AB115)/J115*100)</f>
      </c>
      <c r="AA115" s="4">
        <f>IF($K115="","",M115-X115)</f>
      </c>
      <c r="AC115" s="4">
        <f>IF($K115="","",Y115-AB115)</f>
      </c>
    </row>
    <row r="116" spans="1:34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>
        <f>IF($K116="","",(K116*6.9%)-(K116*6.9%)*10%)</f>
      </c>
      <c r="O116" s="4">
        <f>IF($K116="","",K116*0.35%)</f>
      </c>
      <c r="P116" s="4">
        <v>0.4</v>
      </c>
      <c r="Q116" s="4">
        <f>IF($K116="","",(N116+O116+P116)*20%)</f>
      </c>
      <c r="R116" s="4">
        <f>IF($K116="","",N116+O116+P116+Q116)</f>
      </c>
      <c r="S116" s="4"/>
      <c r="T116" s="4"/>
      <c r="U116" s="4"/>
      <c r="V116" s="4">
        <f>IF($K116="","",U116*20%)</f>
      </c>
      <c r="W116" s="4">
        <v>1</v>
      </c>
      <c r="X116" s="4">
        <f>IF($K116="","",Q116+T116+V116)</f>
      </c>
      <c r="Y116" s="4">
        <f>IF($K116="","",L116-M116-R116-S116-T116-U116-V116-W116)</f>
      </c>
      <c r="Z116" s="4">
        <f>IF($K116="","",(Y116-AB116)/J116*100)</f>
      </c>
      <c r="AA116" s="4">
        <f>IF($K116="","",M116-X116)</f>
      </c>
      <c r="AC116" s="4">
        <f>IF($K116="","",Y116-AB116)</f>
      </c>
    </row>
    <row r="117" spans="1:34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>
        <f>IF($K117="","",(K117*6.9%)-(K117*6.9%)*10%)</f>
      </c>
      <c r="O117" s="4">
        <f>IF($K117="","",K117*0.35%)</f>
      </c>
      <c r="P117" s="4">
        <v>0.4</v>
      </c>
      <c r="Q117" s="4">
        <f>IF($K117="","",(N117+O117+P117)*20%)</f>
      </c>
      <c r="R117" s="4">
        <f>IF($K117="","",N117+O117+P117+Q117)</f>
      </c>
      <c r="S117" s="4"/>
      <c r="T117" s="4"/>
      <c r="U117" s="4"/>
      <c r="V117" s="4">
        <f>IF($K117="","",U117*20%)</f>
      </c>
      <c r="W117" s="4">
        <v>1</v>
      </c>
      <c r="X117" s="4">
        <f>IF($K117="","",Q117+T117+V117)</f>
      </c>
      <c r="Y117" s="4">
        <f>IF($K117="","",L117-M117-R117-S117-T117-U117-V117-W117)</f>
      </c>
      <c r="Z117" s="4">
        <f>IF($K117="","",(Y117-AB117)/J117*100)</f>
      </c>
      <c r="AA117" s="4">
        <f>IF($K117="","",M117-X117)</f>
      </c>
      <c r="AC117" s="4">
        <f>IF($K117="","",Y117-AB117)</f>
      </c>
    </row>
    <row r="118" spans="1:34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>
        <f>IF($K118="","",(K118*6.9%)-(K118*6.9%)*10%)</f>
      </c>
      <c r="O118" s="4">
        <f>IF($K118="","",K118*0.35%)</f>
      </c>
      <c r="P118" s="4">
        <v>0.4</v>
      </c>
      <c r="Q118" s="4">
        <f>IF($K118="","",(N118+O118+P118)*20%)</f>
      </c>
      <c r="R118" s="4">
        <f>IF($K118="","",N118+O118+P118+Q118)</f>
      </c>
      <c r="S118" s="4"/>
      <c r="T118" s="4"/>
      <c r="U118" s="4"/>
      <c r="V118" s="4">
        <f>IF($K118="","",U118*20%)</f>
      </c>
      <c r="W118" s="4">
        <v>1</v>
      </c>
      <c r="X118" s="4">
        <f>IF($K118="","",Q118+T118+V118)</f>
      </c>
      <c r="Y118" s="4">
        <f>IF($K118="","",L118-M118-R118-S118-T118-U118-V118-W118)</f>
      </c>
      <c r="Z118" s="4">
        <f>IF($K118="","",(Y118-AB118)/J118*100)</f>
      </c>
      <c r="AA118" s="4">
        <f>IF($K118="","",M118-X118)</f>
      </c>
      <c r="AC118" s="4">
        <f>IF($K118="","",Y118-AB118)</f>
      </c>
    </row>
    <row r="119" spans="1:34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>
        <f>IF($K119="","",(K119*6.9%)-(K119*6.9%)*10%)</f>
      </c>
      <c r="O119" s="4">
        <f>IF($K119="","",K119*0.35%)</f>
      </c>
      <c r="P119" s="4">
        <v>0.4</v>
      </c>
      <c r="Q119" s="4">
        <f>IF($K119="","",(N119+O119+P119)*20%)</f>
      </c>
      <c r="R119" s="4">
        <f>IF($K119="","",N119+O119+P119+Q119)</f>
      </c>
      <c r="S119" s="4"/>
      <c r="T119" s="4"/>
      <c r="U119" s="4"/>
      <c r="V119" s="4">
        <f>IF($K119="","",U119*20%)</f>
      </c>
      <c r="W119" s="4">
        <v>1</v>
      </c>
      <c r="X119" s="4">
        <f>IF($K119="","",Q119+T119+V119)</f>
      </c>
      <c r="Y119" s="4">
        <f>IF($K119="","",L119-M119-R119-S119-T119-U119-V119-W119)</f>
      </c>
      <c r="Z119" s="4">
        <f>IF($K119="","",(Y119-AB119)/J119*100)</f>
      </c>
      <c r="AA119" s="4">
        <f>IF($K119="","",M119-X119)</f>
      </c>
      <c r="AC119" s="4">
        <f>IF($K119="","",Y119-AB119)</f>
      </c>
    </row>
    <row r="120" spans="1:34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>
        <f>IF($K120="","",(K120*6.9%)-(K120*6.9%)*10%)</f>
      </c>
      <c r="O120" s="4">
        <f>IF($K120="","",K120*0.35%)</f>
      </c>
      <c r="P120" s="4">
        <v>0.4</v>
      </c>
      <c r="Q120" s="4">
        <f>IF($K120="","",(N120+O120+P120)*20%)</f>
      </c>
      <c r="R120" s="4">
        <f>IF($K120="","",N120+O120+P120+Q120)</f>
      </c>
      <c r="S120" s="4"/>
      <c r="T120" s="4"/>
      <c r="U120" s="4"/>
      <c r="V120" s="4">
        <f>IF($K120="","",U120*20%)</f>
      </c>
      <c r="W120" s="4">
        <v>1</v>
      </c>
      <c r="X120" s="4">
        <f>IF($K120="","",Q120+T120+V120)</f>
      </c>
      <c r="Y120" s="4">
        <f>IF($K120="","",L120-M120-R120-S120-T120-U120-V120-W120)</f>
      </c>
      <c r="Z120" s="4">
        <f>IF($K120="","",(Y120-AB120)/J120*100)</f>
      </c>
      <c r="AA120" s="4">
        <f>IF($K120="","",M120-X120)</f>
      </c>
      <c r="AC120" s="4">
        <f>IF($K120="","",Y120-AB120)</f>
      </c>
    </row>
    <row r="121" spans="1:34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>
        <f>IF($K121="","",(K121*6.9%)-(K121*6.9%)*10%)</f>
      </c>
      <c r="O121" s="4">
        <f>IF($K121="","",K121*0.35%)</f>
      </c>
      <c r="P121" s="4">
        <v>0.4</v>
      </c>
      <c r="Q121" s="4">
        <f>IF($K121="","",(N121+O121+P121)*20%)</f>
      </c>
      <c r="R121" s="4">
        <f>IF($K121="","",N121+O121+P121+Q121)</f>
      </c>
      <c r="S121" s="4"/>
      <c r="T121" s="4"/>
      <c r="U121" s="4"/>
      <c r="V121" s="4">
        <f>IF($K121="","",U121*20%)</f>
      </c>
      <c r="W121" s="4">
        <v>1</v>
      </c>
      <c r="X121" s="4">
        <f>IF($K121="","",Q121+T121+V121)</f>
      </c>
      <c r="Y121" s="4">
        <f>IF($K121="","",L121-M121-R121-S121-T121-U121-V121-W121)</f>
      </c>
      <c r="Z121" s="4">
        <f>IF($K121="","",(Y121-AB121)/J121*100)</f>
      </c>
      <c r="AA121" s="4">
        <f>IF($K121="","",M121-X121)</f>
      </c>
      <c r="AC121" s="4">
        <f>IF($K121="","",Y121-AB121)</f>
      </c>
    </row>
    <row r="122" spans="1:34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>
        <f>IF($K122="","",(K122*6.9%)-(K122*6.9%)*10%)</f>
      </c>
      <c r="O122" s="4">
        <f>IF($K122="","",K122*0.35%)</f>
      </c>
      <c r="P122" s="4">
        <v>0.4</v>
      </c>
      <c r="Q122" s="4">
        <f>IF($K122="","",(N122+O122+P122)*20%)</f>
      </c>
      <c r="R122" s="4">
        <f>IF($K122="","",N122+O122+P122+Q122)</f>
      </c>
      <c r="S122" s="4"/>
      <c r="T122" s="4"/>
      <c r="U122" s="4"/>
      <c r="V122" s="4">
        <f>IF($K122="","",U122*20%)</f>
      </c>
      <c r="W122" s="4">
        <v>1</v>
      </c>
      <c r="X122" s="4">
        <f>IF($K122="","",Q122+T122+V122)</f>
      </c>
      <c r="Y122" s="4">
        <f>IF($K122="","",L122-M122-R122-S122-T122-U122-V122-W122)</f>
      </c>
      <c r="Z122" s="4">
        <f>IF($K122="","",(Y122-AB122)/J122*100)</f>
      </c>
      <c r="AA122" s="4">
        <f>IF($K122="","",M122-X122)</f>
      </c>
      <c r="AC122" s="4">
        <f>IF($K122="","",Y122-AB122)</f>
      </c>
    </row>
    <row r="123" spans="1:34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>
        <f>IF($K123="","",(K123*6.9%)-(K123*6.9%)*10%)</f>
      </c>
      <c r="O123" s="4">
        <f>IF($K123="","",K123*0.35%)</f>
      </c>
      <c r="P123" s="4">
        <v>0.4</v>
      </c>
      <c r="Q123" s="4">
        <f>IF($K123="","",(N123+O123+P123)*20%)</f>
      </c>
      <c r="R123" s="4">
        <f>IF($K123="","",N123+O123+P123+Q123)</f>
      </c>
      <c r="S123" s="4"/>
      <c r="T123" s="4"/>
      <c r="U123" s="4"/>
      <c r="V123" s="4">
        <f>IF($K123="","",U123*20%)</f>
      </c>
      <c r="W123" s="4">
        <v>1</v>
      </c>
      <c r="X123" s="4">
        <f>IF($K123="","",Q123+T123+V123)</f>
      </c>
      <c r="Y123" s="4">
        <f>IF($K123="","",L123-M123-R123-S123-T123-U123-V123-W123)</f>
      </c>
      <c r="Z123" s="4">
        <f>IF($K123="","",(Y123-AB123)/J123*100)</f>
      </c>
      <c r="AA123" s="4">
        <f>IF($K123="","",M123-X123)</f>
      </c>
      <c r="AC123" s="4">
        <f>IF($K123="","",Y123-AB123)</f>
      </c>
    </row>
    <row r="124" spans="1:34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>
        <f>IF($K124="","",(K124*6.9%)-(K124*6.9%)*10%)</f>
      </c>
      <c r="O124" s="4">
        <f>IF($K124="","",K124*0.35%)</f>
      </c>
      <c r="P124" s="4">
        <v>0.4</v>
      </c>
      <c r="Q124" s="4">
        <f>IF($K124="","",(N124+O124+P124)*20%)</f>
      </c>
      <c r="R124" s="4">
        <f>IF($K124="","",N124+O124+P124+Q124)</f>
      </c>
      <c r="S124" s="4"/>
      <c r="T124" s="4"/>
      <c r="U124" s="4"/>
      <c r="V124" s="4">
        <f>IF($K124="","",U124*20%)</f>
      </c>
      <c r="W124" s="4">
        <v>1</v>
      </c>
      <c r="X124" s="4">
        <f>IF($K124="","",Q124+T124+V124)</f>
      </c>
      <c r="Y124" s="4">
        <f>IF($K124="","",L124-M124-R124-S124-T124-U124-V124-W124)</f>
      </c>
      <c r="Z124" s="4">
        <f>IF($K124="","",(Y124-AB124)/J124*100)</f>
      </c>
      <c r="AA124" s="4">
        <f>IF($K124="","",M124-X124)</f>
      </c>
      <c r="AC124" s="4">
        <f>IF($K124="","",Y124-AB124)</f>
      </c>
    </row>
    <row r="125" spans="1:34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>
        <f>IF($K125="","",(K125*6.9%)-(K125*6.9%)*10%)</f>
      </c>
      <c r="O125" s="4">
        <f>IF($K125="","",K125*0.35%)</f>
      </c>
      <c r="P125" s="4">
        <v>0.4</v>
      </c>
      <c r="Q125" s="4">
        <f>IF($K125="","",(N125+O125+P125)*20%)</f>
      </c>
      <c r="R125" s="4">
        <f>IF($K125="","",N125+O125+P125+Q125)</f>
      </c>
      <c r="S125" s="4"/>
      <c r="T125" s="4"/>
      <c r="U125" s="4"/>
      <c r="V125" s="4">
        <f>IF($K125="","",U125*20%)</f>
      </c>
      <c r="W125" s="4">
        <v>1</v>
      </c>
      <c r="X125" s="4">
        <f>IF($K125="","",Q125+T125+V125)</f>
      </c>
      <c r="Y125" s="4">
        <f>IF($K125="","",L125-M125-R125-S125-T125-U125-V125-W125)</f>
      </c>
      <c r="Z125" s="4">
        <f>IF($K125="","",(Y125-AB125)/J125*100)</f>
      </c>
      <c r="AA125" s="4">
        <f>IF($K125="","",M125-X125)</f>
      </c>
      <c r="AC125" s="4">
        <f>IF($K125="","",Y125-AB125)</f>
      </c>
    </row>
    <row r="126" spans="1:34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>
        <f>IF($K126="","",(K126*6.9%)-(K126*6.9%)*10%)</f>
      </c>
      <c r="O126" s="4">
        <f>IF($K126="","",K126*0.35%)</f>
      </c>
      <c r="P126" s="4">
        <v>0.4</v>
      </c>
      <c r="Q126" s="4">
        <f>IF($K126="","",(N126+O126+P126)*20%)</f>
      </c>
      <c r="R126" s="4">
        <f>IF($K126="","",N126+O126+P126+Q126)</f>
      </c>
      <c r="S126" s="4"/>
      <c r="T126" s="4"/>
      <c r="U126" s="4"/>
      <c r="V126" s="4">
        <f>IF($K126="","",U126*20%)</f>
      </c>
      <c r="W126" s="4">
        <v>1</v>
      </c>
      <c r="X126" s="4">
        <f>IF($K126="","",Q126+T126+V126)</f>
      </c>
      <c r="Y126" s="4">
        <f>IF($K126="","",L126-M126-R126-S126-T126-U126-V126-W126)</f>
      </c>
      <c r="Z126" s="4">
        <f>IF($K126="","",(Y126-AB126)/J126*100)</f>
      </c>
      <c r="AA126" s="4">
        <f>IF($K126="","",M126-X126)</f>
      </c>
      <c r="AC126" s="4">
        <f>IF($K126="","",Y126-AB126)</f>
      </c>
    </row>
    <row r="127" spans="1:34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>
        <f>IF($K127="","",(K127*6.9%)-(K127*6.9%)*10%)</f>
      </c>
      <c r="O127" s="4">
        <f>IF($K127="","",K127*0.35%)</f>
      </c>
      <c r="P127" s="4">
        <v>0.4</v>
      </c>
      <c r="Q127" s="4">
        <f>IF($K127="","",(N127+O127+P127)*20%)</f>
      </c>
      <c r="R127" s="4">
        <f>IF($K127="","",N127+O127+P127+Q127)</f>
      </c>
      <c r="S127" s="4"/>
      <c r="T127" s="4"/>
      <c r="U127" s="4"/>
      <c r="V127" s="4">
        <f>IF($K127="","",U127*20%)</f>
      </c>
      <c r="W127" s="4">
        <v>1</v>
      </c>
      <c r="X127" s="4">
        <f>IF($K127="","",Q127+T127+V127)</f>
      </c>
      <c r="Y127" s="4">
        <f>IF($K127="","",L127-M127-R127-S127-T127-U127-V127-W127)</f>
      </c>
      <c r="Z127" s="4">
        <f>IF($K127="","",(Y127-AB127)/J127*100)</f>
      </c>
      <c r="AA127" s="4">
        <f>IF($K127="","",M127-X127)</f>
      </c>
      <c r="AC127" s="4">
        <f>IF($K127="","",Y127-AB127)</f>
      </c>
    </row>
    <row r="128" spans="1:34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>
        <f>IF($K128="","",(K128*6.9%)-(K128*6.9%)*10%)</f>
      </c>
      <c r="O128" s="4">
        <f>IF($K128="","",K128*0.35%)</f>
      </c>
      <c r="P128" s="4">
        <v>0.4</v>
      </c>
      <c r="Q128" s="4">
        <f>IF($K128="","",(N128+O128+P128)*20%)</f>
      </c>
      <c r="R128" s="4">
        <f>IF($K128="","",N128+O128+P128+Q128)</f>
      </c>
      <c r="S128" s="4"/>
      <c r="T128" s="4"/>
      <c r="U128" s="4"/>
      <c r="V128" s="4">
        <f>IF($K128="","",U128*20%)</f>
      </c>
      <c r="W128" s="4">
        <v>1</v>
      </c>
      <c r="X128" s="4">
        <f>IF($K128="","",Q128+T128+V128)</f>
      </c>
      <c r="Y128" s="4">
        <f>IF($K128="","",L128-M128-R128-S128-T128-U128-V128-W128)</f>
      </c>
      <c r="Z128" s="4">
        <f>IF($K128="","",(Y128-AB128)/J128*100)</f>
      </c>
      <c r="AA128" s="4">
        <f>IF($K128="","",M128-X128)</f>
      </c>
      <c r="AC128" s="4">
        <f>IF($K128="","",Y128-AB128)</f>
      </c>
    </row>
    <row r="129" spans="1:34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>
        <f>IF($K129="","",(K129*6.9%)-(K129*6.9%)*10%)</f>
      </c>
      <c r="O129" s="4">
        <f>IF($K129="","",K129*0.35%)</f>
      </c>
      <c r="P129" s="4">
        <v>0.4</v>
      </c>
      <c r="Q129" s="4">
        <f>IF($K129="","",(N129+O129+P129)*20%)</f>
      </c>
      <c r="R129" s="4">
        <f>IF($K129="","",N129+O129+P129+Q129)</f>
      </c>
      <c r="S129" s="4"/>
      <c r="T129" s="4"/>
      <c r="U129" s="4"/>
      <c r="V129" s="4">
        <f>IF($K129="","",U129*20%)</f>
      </c>
      <c r="W129" s="4">
        <v>1</v>
      </c>
      <c r="X129" s="4">
        <f>IF($K129="","",Q129+T129+V129)</f>
      </c>
      <c r="Y129" s="4">
        <f>IF($K129="","",L129-M129-R129-S129-T129-U129-V129-W129)</f>
      </c>
      <c r="Z129" s="4">
        <f>IF($K129="","",(Y129-AB129)/J129*100)</f>
      </c>
      <c r="AA129" s="4">
        <f>IF($K129="","",M129-X129)</f>
      </c>
      <c r="AC129" s="4">
        <f>IF($K129="","",Y129-AB129)</f>
      </c>
    </row>
    <row r="130" spans="1:34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>
        <f>IF($K130="","",(K130*6.9%)-(K130*6.9%)*10%)</f>
      </c>
      <c r="O130" s="4">
        <f>IF($K130="","",K130*0.35%)</f>
      </c>
      <c r="P130" s="4">
        <v>0.4</v>
      </c>
      <c r="Q130" s="4">
        <f>IF($K130="","",(N130+O130+P130)*20%)</f>
      </c>
      <c r="R130" s="4">
        <f>IF($K130="","",N130+O130+P130+Q130)</f>
      </c>
      <c r="S130" s="4"/>
      <c r="T130" s="4"/>
      <c r="U130" s="4"/>
      <c r="V130" s="4">
        <f>IF($K130="","",U130*20%)</f>
      </c>
      <c r="W130" s="4">
        <v>1</v>
      </c>
      <c r="X130" s="4">
        <f>IF($K130="","",Q130+T130+V130)</f>
      </c>
      <c r="Y130" s="4">
        <f>IF($K130="","",L130-M130-R130-S130-T130-U130-V130-W130)</f>
      </c>
      <c r="Z130" s="4">
        <f>IF($K130="","",(Y130-AB130)/J130*100)</f>
      </c>
      <c r="AA130" s="4">
        <f>IF($K130="","",M130-X130)</f>
      </c>
      <c r="AC130" s="4">
        <f>IF($K130="","",Y130-AB130)</f>
      </c>
    </row>
    <row r="131" spans="1:34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>
        <f>IF($K131="","",(K131*6.9%)-(K131*6.9%)*10%)</f>
      </c>
      <c r="O131" s="4">
        <f>IF($K131="","",K131*0.35%)</f>
      </c>
      <c r="P131" s="4">
        <v>0.4</v>
      </c>
      <c r="Q131" s="4">
        <f>IF($K131="","",(N131+O131+P131)*20%)</f>
      </c>
      <c r="R131" s="4">
        <f>IF($K131="","",N131+O131+P131+Q131)</f>
      </c>
      <c r="S131" s="4"/>
      <c r="T131" s="4"/>
      <c r="U131" s="4"/>
      <c r="V131" s="4">
        <f>IF($K131="","",U131*20%)</f>
      </c>
      <c r="W131" s="4">
        <v>1</v>
      </c>
      <c r="X131" s="4">
        <f>IF($K131="","",Q131+T131+V131)</f>
      </c>
      <c r="Y131" s="4">
        <f>IF($K131="","",L131-M131-R131-S131-T131-U131-V131-W131)</f>
      </c>
      <c r="Z131" s="4">
        <f>IF($K131="","",(Y131-AB131)/J131*100)</f>
      </c>
      <c r="AA131" s="4">
        <f>IF($K131="","",M131-X131)</f>
      </c>
      <c r="AC131" s="4">
        <f>IF($K131="","",Y131-AB131)</f>
      </c>
    </row>
    <row r="132" spans="1:34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>
        <f>IF($K132="","",(K132*6.9%)-(K132*6.9%)*10%)</f>
      </c>
      <c r="O132" s="4">
        <f>IF($K132="","",K132*0.35%)</f>
      </c>
      <c r="P132" s="4">
        <v>0.4</v>
      </c>
      <c r="Q132" s="4">
        <f>IF($K132="","",(N132+O132+P132)*20%)</f>
      </c>
      <c r="R132" s="4">
        <f>IF($K132="","",N132+O132+P132+Q132)</f>
      </c>
      <c r="S132" s="4"/>
      <c r="T132" s="4"/>
      <c r="U132" s="4"/>
      <c r="V132" s="4">
        <f>IF($K132="","",U132*20%)</f>
      </c>
      <c r="W132" s="4">
        <v>1</v>
      </c>
      <c r="X132" s="4">
        <f>IF($K132="","",Q132+T132+V132)</f>
      </c>
      <c r="Y132" s="4">
        <f>IF($K132="","",L132-M132-R132-S132-T132-U132-V132-W132)</f>
      </c>
      <c r="Z132" s="4">
        <f>IF($K132="","",(Y132-AB132)/J132*100)</f>
      </c>
      <c r="AA132" s="4">
        <f>IF($K132="","",M132-X132)</f>
      </c>
      <c r="AC132" s="4">
        <f>IF($K132="","",Y132-AB132)</f>
      </c>
    </row>
    <row r="133" spans="1:34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>
        <f>IF($K133="","",(K133*6.9%)-(K133*6.9%)*10%)</f>
      </c>
      <c r="O133" s="4">
        <f>IF($K133="","",K133*0.35%)</f>
      </c>
      <c r="P133" s="4">
        <v>0.4</v>
      </c>
      <c r="Q133" s="4">
        <f>IF($K133="","",(N133+O133+P133)*20%)</f>
      </c>
      <c r="R133" s="4">
        <f>IF($K133="","",N133+O133+P133+Q133)</f>
      </c>
      <c r="S133" s="4"/>
      <c r="T133" s="4"/>
      <c r="U133" s="4"/>
      <c r="V133" s="4">
        <f>IF($K133="","",U133*20%)</f>
      </c>
      <c r="W133" s="4">
        <v>1</v>
      </c>
      <c r="X133" s="4">
        <f>IF($K133="","",Q133+T133+V133)</f>
      </c>
      <c r="Y133" s="4">
        <f>IF($K133="","",L133-M133-R133-S133-T133-U133-V133-W133)</f>
      </c>
      <c r="Z133" s="4">
        <f>IF($K133="","",(Y133-AB133)/J133*100)</f>
      </c>
      <c r="AA133" s="4">
        <f>IF($K133="","",M133-X133)</f>
      </c>
      <c r="AC133" s="4">
        <f>IF($K133="","",Y133-AB133)</f>
      </c>
    </row>
    <row r="134" spans="1:34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>
        <f>IF($K134="","",(K134*6.9%)-(K134*6.9%)*10%)</f>
      </c>
      <c r="O134" s="4">
        <f>IF($K134="","",K134*0.35%)</f>
      </c>
      <c r="P134" s="4">
        <v>0.4</v>
      </c>
      <c r="Q134" s="4">
        <f>IF($K134="","",(N134+O134+P134)*20%)</f>
      </c>
      <c r="R134" s="4">
        <f>IF($K134="","",N134+O134+P134+Q134)</f>
      </c>
      <c r="S134" s="4"/>
      <c r="T134" s="4"/>
      <c r="U134" s="4"/>
      <c r="V134" s="4">
        <f>IF($K134="","",U134*20%)</f>
      </c>
      <c r="W134" s="4">
        <v>1</v>
      </c>
      <c r="X134" s="4">
        <f>IF($K134="","",Q134+T134+V134)</f>
      </c>
      <c r="Y134" s="4">
        <f>IF($K134="","",L134-M134-R134-S134-T134-U134-V134-W134)</f>
      </c>
      <c r="Z134" s="4">
        <f>IF($K134="","",(Y134-AB134)/J134*100)</f>
      </c>
      <c r="AA134" s="4">
        <f>IF($K134="","",M134-X134)</f>
      </c>
      <c r="AC134" s="4">
        <f>IF($K134="","",Y134-AB134)</f>
      </c>
    </row>
    <row r="135" spans="1:34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>
        <f>IF($K135="","",(K135*6.9%)-(K135*6.9%)*10%)</f>
      </c>
      <c r="O135" s="4">
        <f>IF($K135="","",K135*0.35%)</f>
      </c>
      <c r="P135" s="4">
        <v>0.4</v>
      </c>
      <c r="Q135" s="4">
        <f>IF($K135="","",(N135+O135+P135)*20%)</f>
      </c>
      <c r="R135" s="4">
        <f>IF($K135="","",N135+O135+P135+Q135)</f>
      </c>
      <c r="S135" s="4"/>
      <c r="T135" s="4"/>
      <c r="U135" s="4"/>
      <c r="V135" s="4">
        <f>IF($K135="","",U135*20%)</f>
      </c>
      <c r="W135" s="4">
        <v>1</v>
      </c>
      <c r="X135" s="4">
        <f>IF($K135="","",Q135+T135+V135)</f>
      </c>
      <c r="Y135" s="4">
        <f>IF($K135="","",L135-M135-R135-S135-T135-U135-V135-W135)</f>
      </c>
      <c r="Z135" s="4">
        <f>IF($K135="","",(Y135-AB135)/J135*100)</f>
      </c>
      <c r="AA135" s="4">
        <f>IF($K135="","",M135-X135)</f>
      </c>
      <c r="AC135" s="4">
        <f>IF($K135="","",Y135-AB135)</f>
      </c>
    </row>
    <row r="136" spans="1:34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>
        <f>IF($K136="","",(K136*6.9%)-(K136*6.9%)*10%)</f>
      </c>
      <c r="O136" s="4">
        <f>IF($K136="","",K136*0.35%)</f>
      </c>
      <c r="P136" s="4">
        <v>0.4</v>
      </c>
      <c r="Q136" s="4">
        <f>IF($K136="","",(N136+O136+P136)*20%)</f>
      </c>
      <c r="R136" s="4">
        <f>IF($K136="","",N136+O136+P136+Q136)</f>
      </c>
      <c r="S136" s="4"/>
      <c r="T136" s="4"/>
      <c r="U136" s="4"/>
      <c r="V136" s="4">
        <f>IF($K136="","",U136*20%)</f>
      </c>
      <c r="W136" s="4">
        <v>1</v>
      </c>
      <c r="X136" s="4">
        <f>IF($K136="","",Q136+T136+V136)</f>
      </c>
      <c r="Y136" s="4">
        <f>IF($K136="","",L136-M136-R136-S136-T136-U136-V136-W136)</f>
      </c>
      <c r="Z136" s="4">
        <f>IF($K136="","",(Y136-AB136)/J136*100)</f>
      </c>
      <c r="AA136" s="4">
        <f>IF($K136="","",M136-X136)</f>
      </c>
      <c r="AC136" s="4">
        <f>IF($K136="","",Y136-AB136)</f>
      </c>
    </row>
    <row r="137" spans="1:34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>
        <f>IF($K137="","",(K137*6.9%)-(K137*6.9%)*10%)</f>
      </c>
      <c r="O137" s="4">
        <f>IF($K137="","",K137*0.35%)</f>
      </c>
      <c r="P137" s="4">
        <v>0.4</v>
      </c>
      <c r="Q137" s="4">
        <f>IF($K137="","",(N137+O137+P137)*20%)</f>
      </c>
      <c r="R137" s="4">
        <f>IF($K137="","",N137+O137+P137+Q137)</f>
      </c>
      <c r="S137" s="4"/>
      <c r="T137" s="4"/>
      <c r="U137" s="4"/>
      <c r="V137" s="4">
        <f>IF($K137="","",U137*20%)</f>
      </c>
      <c r="W137" s="4">
        <v>1</v>
      </c>
      <c r="X137" s="4">
        <f>IF($K137="","",Q137+T137+V137)</f>
      </c>
      <c r="Y137" s="4">
        <f>IF($K137="","",L137-M137-R137-S137-T137-U137-V137-W137)</f>
      </c>
      <c r="Z137" s="4">
        <f>IF($K137="","",(Y137-AB137)/J137*100)</f>
      </c>
      <c r="AA137" s="4">
        <f>IF($K137="","",M137-X137)</f>
      </c>
      <c r="AC137" s="4">
        <f>IF($K137="","",Y137-AB137)</f>
      </c>
    </row>
    <row r="138" spans="1:34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>
        <f>IF($K138="","",(K138*6.9%)-(K138*6.9%)*10%)</f>
      </c>
      <c r="O138" s="4">
        <f>IF($K138="","",K138*0.35%)</f>
      </c>
      <c r="P138" s="4">
        <v>0.4</v>
      </c>
      <c r="Q138" s="4">
        <f>IF($K138="","",(N138+O138+P138)*20%)</f>
      </c>
      <c r="R138" s="4">
        <f>IF($K138="","",N138+O138+P138+Q138)</f>
      </c>
      <c r="S138" s="4"/>
      <c r="T138" s="4"/>
      <c r="U138" s="4"/>
      <c r="V138" s="4">
        <f>IF($K138="","",U138*20%)</f>
      </c>
      <c r="W138" s="4">
        <v>1</v>
      </c>
      <c r="X138" s="4">
        <f>IF($K138="","",Q138+T138+V138)</f>
      </c>
      <c r="Y138" s="4">
        <f>IF($K138="","",L138-M138-R138-S138-T138-U138-V138-W138)</f>
      </c>
      <c r="Z138" s="4">
        <f>IF($K138="","",(Y138-AB138)/J138*100)</f>
      </c>
      <c r="AA138" s="4">
        <f>IF($K138="","",M138-X138)</f>
      </c>
      <c r="AC138" s="4">
        <f>IF($K138="","",Y138-AB138)</f>
      </c>
    </row>
    <row r="139" spans="1:34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>
        <f>IF($K139="","",(K139*6.9%)-(K139*6.9%)*10%)</f>
      </c>
      <c r="O139" s="4">
        <f>IF($K139="","",K139*0.35%)</f>
      </c>
      <c r="P139" s="4">
        <v>0.4</v>
      </c>
      <c r="Q139" s="4">
        <f>IF($K139="","",(N139+O139+P139)*20%)</f>
      </c>
      <c r="R139" s="4">
        <f>IF($K139="","",N139+O139+P139+Q139)</f>
      </c>
      <c r="S139" s="4"/>
      <c r="T139" s="4"/>
      <c r="U139" s="4"/>
      <c r="V139" s="4">
        <f>IF($K139="","",U139*20%)</f>
      </c>
      <c r="W139" s="4">
        <v>1</v>
      </c>
      <c r="X139" s="4">
        <f>IF($K139="","",Q139+T139+V139)</f>
      </c>
      <c r="Y139" s="4">
        <f>IF($K139="","",L139-M139-R139-S139-T139-U139-V139-W139)</f>
      </c>
      <c r="Z139" s="4">
        <f>IF($K139="","",(Y139-AB139)/J139*100)</f>
      </c>
      <c r="AA139" s="4">
        <f>IF($K139="","",M139-X139)</f>
      </c>
      <c r="AC139" s="4">
        <f>IF($K139="","",Y139-AB139)</f>
      </c>
    </row>
    <row r="140" spans="1:34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>
        <f>IF($K140="","",(K140*6.9%)-(K140*6.9%)*10%)</f>
      </c>
      <c r="O140" s="4">
        <f>IF($K140="","",K140*0.35%)</f>
      </c>
      <c r="P140" s="4">
        <v>0.4</v>
      </c>
      <c r="Q140" s="4">
        <f>IF($K140="","",(N140+O140+P140)*20%)</f>
      </c>
      <c r="R140" s="4">
        <f>IF($K140="","",N140+O140+P140+Q140)</f>
      </c>
      <c r="S140" s="4"/>
      <c r="T140" s="4"/>
      <c r="U140" s="4"/>
      <c r="V140" s="4">
        <f>IF($K140="","",U140*20%)</f>
      </c>
      <c r="W140" s="4">
        <v>1</v>
      </c>
      <c r="X140" s="4">
        <f>IF($K140="","",Q140+T140+V140)</f>
      </c>
      <c r="Y140" s="4">
        <f>IF($K140="","",L140-M140-R140-S140-T140-U140-V140-W140)</f>
      </c>
      <c r="Z140" s="4">
        <f>IF($K140="","",(Y140-AB140)/J140*100)</f>
      </c>
      <c r="AA140" s="4">
        <f>IF($K140="","",M140-X140)</f>
      </c>
      <c r="AC140" s="4">
        <f>IF($K140="","",Y140-AB140)</f>
      </c>
    </row>
    <row r="141" spans="1:34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>
        <f>IF($K141="","",(K141*6.9%)-(K141*6.9%)*10%)</f>
      </c>
      <c r="O141" s="4">
        <f>IF($K141="","",K141*0.35%)</f>
      </c>
      <c r="P141" s="4">
        <v>0.4</v>
      </c>
      <c r="Q141" s="4">
        <f>IF($K141="","",(N141+O141+P141)*20%)</f>
      </c>
      <c r="R141" s="4">
        <f>IF($K141="","",N141+O141+P141+Q141)</f>
      </c>
      <c r="S141" s="4"/>
      <c r="T141" s="4"/>
      <c r="U141" s="4"/>
      <c r="V141" s="4">
        <f>IF($K141="","",U141*20%)</f>
      </c>
      <c r="W141" s="4">
        <v>1</v>
      </c>
      <c r="X141" s="4">
        <f>IF($K141="","",Q141+T141+V141)</f>
      </c>
      <c r="Y141" s="4">
        <f>IF($K141="","",L141-M141-R141-S141-T141-U141-V141-W141)</f>
      </c>
      <c r="Z141" s="4">
        <f>IF($K141="","",(Y141-AB141)/J141*100)</f>
      </c>
      <c r="AA141" s="4">
        <f>IF($K141="","",M141-X141)</f>
      </c>
      <c r="AC141" s="4">
        <f>IF($K141="","",Y141-AB141)</f>
      </c>
    </row>
    <row r="142" spans="1:34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>
        <f>IF($K142="","",(K142*6.9%)-(K142*6.9%)*10%)</f>
      </c>
      <c r="O142" s="4">
        <f>IF($K142="","",K142*0.35%)</f>
      </c>
      <c r="P142" s="4">
        <v>0.4</v>
      </c>
      <c r="Q142" s="4">
        <f>IF($K142="","",(N142+O142+P142)*20%)</f>
      </c>
      <c r="R142" s="4">
        <f>IF($K142="","",N142+O142+P142+Q142)</f>
      </c>
      <c r="S142" s="4"/>
      <c r="T142" s="4"/>
      <c r="U142" s="4"/>
      <c r="V142" s="4">
        <f>IF($K142="","",U142*20%)</f>
      </c>
      <c r="W142" s="4">
        <v>1</v>
      </c>
      <c r="X142" s="4">
        <f>IF($K142="","",Q142+T142+V142)</f>
      </c>
      <c r="Y142" s="4">
        <f>IF($K142="","",L142-M142-R142-S142-T142-U142-V142-W142)</f>
      </c>
      <c r="Z142" s="4">
        <f>IF($K142="","",(Y142-AB142)/J142*100)</f>
      </c>
      <c r="AA142" s="4">
        <f>IF($K142="","",M142-X142)</f>
      </c>
      <c r="AC142" s="4">
        <f>IF($K142="","",Y142-AB142)</f>
      </c>
    </row>
    <row r="143" spans="1:34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>
        <f>IF($K143="","",(K143*6.9%)-(K143*6.9%)*10%)</f>
      </c>
      <c r="O143" s="4">
        <f>IF($K143="","",K143*0.35%)</f>
      </c>
      <c r="P143" s="4">
        <v>0.4</v>
      </c>
      <c r="Q143" s="4">
        <f>IF($K143="","",(N143+O143+P143)*20%)</f>
      </c>
      <c r="R143" s="4">
        <f>IF($K143="","",N143+O143+P143+Q143)</f>
      </c>
      <c r="S143" s="4"/>
      <c r="T143" s="4"/>
      <c r="U143" s="4"/>
      <c r="V143" s="4">
        <f>IF($K143="","",U143*20%)</f>
      </c>
      <c r="W143" s="4">
        <v>1</v>
      </c>
      <c r="X143" s="4">
        <f>IF($K143="","",Q143+T143+V143)</f>
      </c>
      <c r="Y143" s="4">
        <f>IF($K143="","",L143-M143-R143-S143-T143-U143-V143-W143)</f>
      </c>
      <c r="Z143" s="4">
        <f>IF($K143="","",(Y143-AB143)/J143*100)</f>
      </c>
      <c r="AA143" s="4">
        <f>IF($K143="","",M143-X143)</f>
      </c>
      <c r="AC143" s="4">
        <f>IF($K143="","",Y143-AB143)</f>
      </c>
    </row>
    <row r="144" spans="1:34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>
        <f>IF($K144="","",(K144*6.9%)-(K144*6.9%)*10%)</f>
      </c>
      <c r="O144" s="4">
        <f>IF($K144="","",K144*0.35%)</f>
      </c>
      <c r="P144" s="4">
        <v>0.4</v>
      </c>
      <c r="Q144" s="4">
        <f>IF($K144="","",(N144+O144+P144)*20%)</f>
      </c>
      <c r="R144" s="4">
        <f>IF($K144="","",N144+O144+P144+Q144)</f>
      </c>
      <c r="S144" s="4"/>
      <c r="T144" s="4"/>
      <c r="U144" s="4"/>
      <c r="V144" s="4">
        <f>IF($K144="","",U144*20%)</f>
      </c>
      <c r="W144" s="4">
        <v>1</v>
      </c>
      <c r="X144" s="4">
        <f>IF($K144="","",Q144+T144+V144)</f>
      </c>
      <c r="Y144" s="4">
        <f>IF($K144="","",L144-M144-R144-S144-T144-U144-V144-W144)</f>
      </c>
      <c r="Z144" s="4">
        <f>IF($K144="","",(Y144-AB144)/J144*100)</f>
      </c>
      <c r="AA144" s="4">
        <f>IF($K144="","",M144-X144)</f>
      </c>
      <c r="AC144" s="4">
        <f>IF($K144="","",Y144-AB144)</f>
      </c>
    </row>
    <row r="145" spans="1:34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>
        <f>IF($K145="","",(K145*6.9%)-(K145*6.9%)*10%)</f>
      </c>
      <c r="O145" s="4">
        <f>IF($K145="","",K145*0.35%)</f>
      </c>
      <c r="P145" s="4">
        <v>0.4</v>
      </c>
      <c r="Q145" s="4">
        <f>IF($K145="","",(N145+O145+P145)*20%)</f>
      </c>
      <c r="R145" s="4">
        <f>IF($K145="","",N145+O145+P145+Q145)</f>
      </c>
      <c r="S145" s="4"/>
      <c r="T145" s="4"/>
      <c r="U145" s="4"/>
      <c r="V145" s="4">
        <f>IF($K145="","",U145*20%)</f>
      </c>
      <c r="W145" s="4">
        <v>1</v>
      </c>
      <c r="X145" s="4">
        <f>IF($K145="","",Q145+T145+V145)</f>
      </c>
      <c r="Y145" s="4">
        <f>IF($K145="","",L145-M145-R145-S145-T145-U145-V145-W145)</f>
      </c>
      <c r="Z145" s="4">
        <f>IF($K145="","",(Y145-AB145)/J145*100)</f>
      </c>
      <c r="AA145" s="4">
        <f>IF($K145="","",M145-X145)</f>
      </c>
      <c r="AC145" s="4">
        <f>IF($K145="","",Y145-AB145)</f>
      </c>
    </row>
    <row r="146" spans="1:34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>
        <f>IF($K146="","",(K146*6.9%)-(K146*6.9%)*10%)</f>
      </c>
      <c r="O146" s="4">
        <f>IF($K146="","",K146*0.35%)</f>
      </c>
      <c r="P146" s="4">
        <v>0.4</v>
      </c>
      <c r="Q146" s="4">
        <f>IF($K146="","",(N146+O146+P146)*20%)</f>
      </c>
      <c r="R146" s="4">
        <f>IF($K146="","",N146+O146+P146+Q146)</f>
      </c>
      <c r="S146" s="4"/>
      <c r="T146" s="4"/>
      <c r="U146" s="4"/>
      <c r="V146" s="4">
        <f>IF($K146="","",U146*20%)</f>
      </c>
      <c r="W146" s="4">
        <v>1</v>
      </c>
      <c r="X146" s="4">
        <f>IF($K146="","",Q146+T146+V146)</f>
      </c>
      <c r="Y146" s="4">
        <f>IF($K146="","",L146-M146-R146-S146-T146-U146-V146-W146)</f>
      </c>
      <c r="Z146" s="4">
        <f>IF($K146="","",(Y146-AB146)/J146*100)</f>
      </c>
      <c r="AA146" s="4">
        <f>IF($K146="","",M146-X146)</f>
      </c>
      <c r="AC146" s="4">
        <f>IF($K146="","",Y146-AB146)</f>
      </c>
    </row>
    <row r="147" spans="1:34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>
        <f>IF($K147="","",(K147*6.9%)-(K147*6.9%)*10%)</f>
      </c>
      <c r="O147" s="4">
        <f>IF($K147="","",K147*0.35%)</f>
      </c>
      <c r="P147" s="4">
        <v>0.4</v>
      </c>
      <c r="Q147" s="4">
        <f>IF($K147="","",(N147+O147+P147)*20%)</f>
      </c>
      <c r="R147" s="4">
        <f>IF($K147="","",N147+O147+P147+Q147)</f>
      </c>
      <c r="S147" s="4"/>
      <c r="T147" s="4"/>
      <c r="U147" s="4"/>
      <c r="V147" s="4">
        <f>IF($K147="","",U147*20%)</f>
      </c>
      <c r="W147" s="4">
        <v>1</v>
      </c>
      <c r="X147" s="4">
        <f>IF($K147="","",Q147+T147+V147)</f>
      </c>
      <c r="Y147" s="4">
        <f>IF($K147="","",L147-M147-R147-S147-T147-U147-V147-W147)</f>
      </c>
      <c r="Z147" s="4">
        <f>IF($K147="","",(Y147-AB147)/J147*100)</f>
      </c>
      <c r="AA147" s="4">
        <f>IF($K147="","",M147-X147)</f>
      </c>
      <c r="AC147" s="4">
        <f>IF($K147="","",Y147-AB147)</f>
      </c>
    </row>
    <row r="148" spans="1:34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>
        <f>IF($K148="","",(K148*6.9%)-(K148*6.9%)*10%)</f>
      </c>
      <c r="O148" s="4">
        <f>IF($K148="","",K148*0.35%)</f>
      </c>
      <c r="P148" s="4">
        <v>0.4</v>
      </c>
      <c r="Q148" s="4">
        <f>IF($K148="","",(N148+O148+P148)*20%)</f>
      </c>
      <c r="R148" s="4">
        <f>IF($K148="","",N148+O148+P148+Q148)</f>
      </c>
      <c r="S148" s="4"/>
      <c r="T148" s="4"/>
      <c r="U148" s="4"/>
      <c r="V148" s="4">
        <f>IF($K148="","",U148*20%)</f>
      </c>
      <c r="W148" s="4">
        <v>1</v>
      </c>
      <c r="X148" s="4">
        <f>IF($K148="","",Q148+T148+V148)</f>
      </c>
      <c r="Y148" s="4">
        <f>IF($K148="","",L148-M148-R148-S148-T148-U148-V148-W148)</f>
      </c>
      <c r="Z148" s="4">
        <f>IF($K148="","",(Y148-AB148)/J148*100)</f>
      </c>
      <c r="AA148" s="4">
        <f>IF($K148="","",M148-X148)</f>
      </c>
      <c r="AC148" s="4">
        <f>IF($K148="","",Y148-AB148)</f>
      </c>
    </row>
    <row r="149" spans="1:34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>
        <f>IF($K149="","",(K149*6.9%)-(K149*6.9%)*10%)</f>
      </c>
      <c r="O149" s="4">
        <f>IF($K149="","",K149*0.35%)</f>
      </c>
      <c r="P149" s="4">
        <v>0.4</v>
      </c>
      <c r="Q149" s="4">
        <f>IF($K149="","",(N149+O149+P149)*20%)</f>
      </c>
      <c r="R149" s="4">
        <f>IF($K149="","",N149+O149+P149+Q149)</f>
      </c>
      <c r="S149" s="4"/>
      <c r="T149" s="4"/>
      <c r="U149" s="4"/>
      <c r="V149" s="4">
        <f>IF($K149="","",U149*20%)</f>
      </c>
      <c r="W149" s="4">
        <v>1</v>
      </c>
      <c r="X149" s="4">
        <f>IF($K149="","",Q149+T149+V149)</f>
      </c>
      <c r="Y149" s="4">
        <f>IF($K149="","",L149-M149-R149-S149-T149-U149-V149-W149)</f>
      </c>
      <c r="Z149" s="4">
        <f>IF($K149="","",(Y149-AB149)/J149*100)</f>
      </c>
      <c r="AA149" s="4">
        <f>IF($K149="","",M149-X149)</f>
      </c>
      <c r="AC149" s="4">
        <f>IF($K149="","",Y149-AB149)</f>
      </c>
    </row>
    <row r="150" spans="1:34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>
        <f>IF($K150="","",(K150*6.9%)-(K150*6.9%)*10%)</f>
      </c>
      <c r="O150" s="4">
        <f>IF($K150="","",K150*0.35%)</f>
      </c>
      <c r="P150" s="4">
        <v>0.4</v>
      </c>
      <c r="Q150" s="4">
        <f>IF($K150="","",(N150+O150+P150)*20%)</f>
      </c>
      <c r="R150" s="4">
        <f>IF($K150="","",N150+O150+P150+Q150)</f>
      </c>
      <c r="S150" s="4"/>
      <c r="T150" s="4"/>
      <c r="U150" s="4"/>
      <c r="V150" s="4">
        <f>IF($K150="","",U150*20%)</f>
      </c>
      <c r="W150" s="4">
        <v>1</v>
      </c>
      <c r="X150" s="4">
        <f>IF($K150="","",Q150+T150+V150)</f>
      </c>
      <c r="Y150" s="4">
        <f>IF($K150="","",L150-M150-R150-S150-T150-U150-V150-W150)</f>
      </c>
      <c r="Z150" s="4">
        <f>IF($K150="","",(Y150-AB150)/J150*100)</f>
      </c>
      <c r="AA150" s="4">
        <f>IF($K150="","",M150-X150)</f>
      </c>
      <c r="AC150" s="4">
        <f>IF($K150="","",Y150-AB150)</f>
      </c>
    </row>
    <row r="151" spans="1:34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>
        <f>IF($K151="","",(K151*6.9%)-(K151*6.9%)*10%)</f>
      </c>
      <c r="O151" s="4">
        <f>IF($K151="","",K151*0.35%)</f>
      </c>
      <c r="P151" s="4">
        <v>0.4</v>
      </c>
      <c r="Q151" s="4">
        <f>IF($K151="","",(N151+O151+P151)*20%)</f>
      </c>
      <c r="R151" s="4">
        <f>IF($K151="","",N151+O151+P151+Q151)</f>
      </c>
      <c r="S151" s="4"/>
      <c r="T151" s="4"/>
      <c r="U151" s="4"/>
      <c r="V151" s="4">
        <f>IF($K151="","",U151*20%)</f>
      </c>
      <c r="W151" s="4">
        <v>1</v>
      </c>
      <c r="X151" s="4">
        <f>IF($K151="","",Q151+T151+V151)</f>
      </c>
      <c r="Y151" s="4">
        <f>IF($K151="","",L151-M151-R151-S151-T151-U151-V151-W151)</f>
      </c>
      <c r="Z151" s="4">
        <f>IF($K151="","",(Y151-AB151)/J151*100)</f>
      </c>
      <c r="AA151" s="4">
        <f>IF($K151="","",M151-X151)</f>
      </c>
      <c r="AC151" s="4">
        <f>IF($K151="","",Y151-AB151)</f>
      </c>
    </row>
    <row r="152" spans="1:34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>
        <f>IF($K152="","",(K152*6.9%)-(K152*6.9%)*10%)</f>
      </c>
      <c r="O152" s="4">
        <f>IF($K152="","",K152*0.35%)</f>
      </c>
      <c r="P152" s="4">
        <v>0.4</v>
      </c>
      <c r="Q152" s="4">
        <f>IF($K152="","",(N152+O152+P152)*20%)</f>
      </c>
      <c r="R152" s="4">
        <f>IF($K152="","",N152+O152+P152+Q152)</f>
      </c>
      <c r="S152" s="4"/>
      <c r="T152" s="4"/>
      <c r="U152" s="4"/>
      <c r="V152" s="4">
        <f>IF($K152="","",U152*20%)</f>
      </c>
      <c r="W152" s="4">
        <v>1</v>
      </c>
      <c r="X152" s="4">
        <f>IF($K152="","",Q152+T152+V152)</f>
      </c>
      <c r="Y152" s="4">
        <f>IF($K152="","",L152-M152-R152-S152-T152-U152-V152-W152)</f>
      </c>
      <c r="Z152" s="4">
        <f>IF($K152="","",(Y152-AB152)/J152*100)</f>
      </c>
      <c r="AA152" s="4">
        <f>IF($K152="","",M152-X152)</f>
      </c>
      <c r="AC152" s="4">
        <f>IF($K152="","",Y152-AB152)</f>
      </c>
    </row>
    <row r="153" spans="1:34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>
        <f>IF($K153="","",(K153*6.9%)-(K153*6.9%)*10%)</f>
      </c>
      <c r="O153" s="4">
        <f>IF($K153="","",K153*0.35%)</f>
      </c>
      <c r="P153" s="4">
        <v>0.4</v>
      </c>
      <c r="Q153" s="4">
        <f>IF($K153="","",(N153+O153+P153)*20%)</f>
      </c>
      <c r="R153" s="4">
        <f>IF($K153="","",N153+O153+P153+Q153)</f>
      </c>
      <c r="S153" s="4"/>
      <c r="T153" s="4"/>
      <c r="U153" s="4"/>
      <c r="V153" s="4">
        <f>IF($K153="","",U153*20%)</f>
      </c>
      <c r="W153" s="4">
        <v>1</v>
      </c>
      <c r="X153" s="4">
        <f>IF($K153="","",Q153+T153+V153)</f>
      </c>
      <c r="Y153" s="4">
        <f>IF($K153="","",L153-M153-R153-S153-T153-U153-V153-W153)</f>
      </c>
      <c r="Z153" s="4">
        <f>IF($K153="","",(Y153-AB153)/J153*100)</f>
      </c>
      <c r="AA153" s="4">
        <f>IF($K153="","",M153-X153)</f>
      </c>
      <c r="AC153" s="4">
        <f>IF($K153="","",Y153-AB153)</f>
      </c>
    </row>
    <row r="154" spans="1:34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>
        <f>IF($K154="","",(K154*6.9%)-(K154*6.9%)*10%)</f>
      </c>
      <c r="O154" s="4">
        <f>IF($K154="","",K154*0.35%)</f>
      </c>
      <c r="P154" s="4">
        <v>0.4</v>
      </c>
      <c r="Q154" s="4">
        <f>IF($K154="","",(N154+O154+P154)*20%)</f>
      </c>
      <c r="R154" s="4">
        <f>IF($K154="","",N154+O154+P154+Q154)</f>
      </c>
      <c r="S154" s="4"/>
      <c r="T154" s="4"/>
      <c r="U154" s="4"/>
      <c r="V154" s="4">
        <f>IF($K154="","",U154*20%)</f>
      </c>
      <c r="W154" s="4">
        <v>1</v>
      </c>
      <c r="X154" s="4">
        <f>IF($K154="","",Q154+T154+V154)</f>
      </c>
      <c r="Y154" s="4">
        <f>IF($K154="","",L154-M154-R154-S154-T154-U154-V154-W154)</f>
      </c>
      <c r="Z154" s="4">
        <f>IF($K154="","",(Y154-AB154)/J154*100)</f>
      </c>
      <c r="AA154" s="4">
        <f>IF($K154="","",M154-X154)</f>
      </c>
      <c r="AC154" s="4">
        <f>IF($K154="","",Y154-AB154)</f>
      </c>
    </row>
    <row r="155" spans="1:34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>
        <f>IF($K155="","",(K155*6.9%)-(K155*6.9%)*10%)</f>
      </c>
      <c r="O155" s="4">
        <f>IF($K155="","",K155*0.35%)</f>
      </c>
      <c r="P155" s="4">
        <v>0.4</v>
      </c>
      <c r="Q155" s="4">
        <f>IF($K155="","",(N155+O155+P155)*20%)</f>
      </c>
      <c r="R155" s="4">
        <f>IF($K155="","",N155+O155+P155+Q155)</f>
      </c>
      <c r="S155" s="4"/>
      <c r="T155" s="4"/>
      <c r="U155" s="4"/>
      <c r="V155" s="4">
        <f>IF($K155="","",U155*20%)</f>
      </c>
      <c r="W155" s="4">
        <v>1</v>
      </c>
      <c r="X155" s="4">
        <f>IF($K155="","",Q155+T155+V155)</f>
      </c>
      <c r="Y155" s="4">
        <f>IF($K155="","",L155-M155-R155-S155-T155-U155-V155-W155)</f>
      </c>
      <c r="Z155" s="4">
        <f>IF($K155="","",(Y155-AB155)/J155*100)</f>
      </c>
      <c r="AA155" s="4">
        <f>IF($K155="","",M155-X155)</f>
      </c>
      <c r="AC155" s="4">
        <f>IF($K155="","",Y155-AB155)</f>
      </c>
    </row>
    <row r="156" spans="1:34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>
        <f>IF($K156="","",(K156*6.9%)-(K156*6.9%)*10%)</f>
      </c>
      <c r="O156" s="4">
        <f>IF($K156="","",K156*0.35%)</f>
      </c>
      <c r="P156" s="4">
        <v>0.4</v>
      </c>
      <c r="Q156" s="4">
        <f>IF($K156="","",(N156+O156+P156)*20%)</f>
      </c>
      <c r="R156" s="4">
        <f>IF($K156="","",N156+O156+P156+Q156)</f>
      </c>
      <c r="S156" s="4"/>
      <c r="T156" s="4"/>
      <c r="U156" s="4"/>
      <c r="V156" s="4">
        <f>IF($K156="","",U156*20%)</f>
      </c>
      <c r="W156" s="4">
        <v>1</v>
      </c>
      <c r="X156" s="4">
        <f>IF($K156="","",Q156+T156+V156)</f>
      </c>
      <c r="Y156" s="4">
        <f>IF($K156="","",L156-M156-R156-S156-T156-U156-V156-W156)</f>
      </c>
      <c r="Z156" s="4">
        <f>IF($K156="","",(Y156-AB156)/J156*100)</f>
      </c>
      <c r="AA156" s="4">
        <f>IF($K156="","",M156-X156)</f>
      </c>
      <c r="AC156" s="4">
        <f>IF($K156="","",Y156-AB156)</f>
      </c>
    </row>
    <row r="157" spans="1:34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>
        <f>IF($K157="","",(K157*6.9%)-(K157*6.9%)*10%)</f>
      </c>
      <c r="O157" s="4">
        <f>IF($K157="","",K157*0.35%)</f>
      </c>
      <c r="P157" s="4">
        <v>0.4</v>
      </c>
      <c r="Q157" s="4">
        <f>IF($K157="","",(N157+O157+P157)*20%)</f>
      </c>
      <c r="R157" s="4">
        <f>IF($K157="","",N157+O157+P157+Q157)</f>
      </c>
      <c r="S157" s="4"/>
      <c r="T157" s="4"/>
      <c r="U157" s="4"/>
      <c r="V157" s="4">
        <f>IF($K157="","",U157*20%)</f>
      </c>
      <c r="W157" s="4">
        <v>1</v>
      </c>
      <c r="X157" s="4">
        <f>IF($K157="","",Q157+T157+V157)</f>
      </c>
      <c r="Y157" s="4">
        <f>IF($K157="","",L157-M157-R157-S157-T157-U157-V157-W157)</f>
      </c>
      <c r="Z157" s="4">
        <f>IF($K157="","",(Y157-AB157)/J157*100)</f>
      </c>
      <c r="AA157" s="4">
        <f>IF($K157="","",M157-X157)</f>
      </c>
      <c r="AC157" s="4">
        <f>IF($K157="","",Y157-AB157)</f>
      </c>
    </row>
    <row r="158" spans="1:34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>
        <f>IF($K158="","",(K158*6.9%)-(K158*6.9%)*10%)</f>
      </c>
      <c r="O158" s="4">
        <f>IF($K158="","",K158*0.35%)</f>
      </c>
      <c r="P158" s="4">
        <v>0.4</v>
      </c>
      <c r="Q158" s="4">
        <f>IF($K158="","",(N158+O158+P158)*20%)</f>
      </c>
      <c r="R158" s="4">
        <f>IF($K158="","",N158+O158+P158+Q158)</f>
      </c>
      <c r="S158" s="4"/>
      <c r="T158" s="4"/>
      <c r="U158" s="4"/>
      <c r="V158" s="4">
        <f>IF($K158="","",U158*20%)</f>
      </c>
      <c r="W158" s="4">
        <v>1</v>
      </c>
      <c r="X158" s="4">
        <f>IF($K158="","",Q158+T158+V158)</f>
      </c>
      <c r="Y158" s="4">
        <f>IF($K158="","",L158-M158-R158-S158-T158-U158-V158-W158)</f>
      </c>
      <c r="Z158" s="4">
        <f>IF($K158="","",(Y158-AB158)/J158*100)</f>
      </c>
      <c r="AA158" s="4">
        <f>IF($K158="","",M158-X158)</f>
      </c>
      <c r="AC158" s="4">
        <f>IF($K158="","",Y158-AB158)</f>
      </c>
    </row>
    <row r="159" spans="1:34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>
        <f>IF($K159="","",(K159*6.9%)-(K159*6.9%)*10%)</f>
      </c>
      <c r="O159" s="4">
        <f>IF($K159="","",K159*0.35%)</f>
      </c>
      <c r="P159" s="4">
        <v>0.4</v>
      </c>
      <c r="Q159" s="4">
        <f>IF($K159="","",(N159+O159+P159)*20%)</f>
      </c>
      <c r="R159" s="4">
        <f>IF($K159="","",N159+O159+P159+Q159)</f>
      </c>
      <c r="S159" s="4"/>
      <c r="T159" s="4"/>
      <c r="U159" s="4"/>
      <c r="V159" s="4">
        <f>IF($K159="","",U159*20%)</f>
      </c>
      <c r="W159" s="4">
        <v>1</v>
      </c>
      <c r="X159" s="4">
        <f>IF($K159="","",Q159+T159+V159)</f>
      </c>
      <c r="Y159" s="4">
        <f>IF($K159="","",L159-M159-R159-S159-T159-U159-V159-W159)</f>
      </c>
      <c r="Z159" s="4">
        <f>IF($K159="","",(Y159-AB159)/J159*100)</f>
      </c>
      <c r="AA159" s="4">
        <f>IF($K159="","",M159-X159)</f>
      </c>
      <c r="AC159" s="4">
        <f>IF($K159="","",Y159-AB159)</f>
      </c>
    </row>
    <row r="160" spans="1:34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>
        <f>IF($K160="","",(K160*6.9%)-(K160*6.9%)*10%)</f>
      </c>
      <c r="O160" s="4">
        <f>IF($K160="","",K160*0.35%)</f>
      </c>
      <c r="P160" s="4">
        <v>0.4</v>
      </c>
      <c r="Q160" s="4">
        <f>IF($K160="","",(N160+O160+P160)*20%)</f>
      </c>
      <c r="R160" s="4">
        <f>IF($K160="","",N160+O160+P160+Q160)</f>
      </c>
      <c r="S160" s="4"/>
      <c r="T160" s="4"/>
      <c r="U160" s="4"/>
      <c r="V160" s="4">
        <f>IF($K160="","",U160*20%)</f>
      </c>
      <c r="W160" s="4">
        <v>1</v>
      </c>
      <c r="X160" s="4">
        <f>IF($K160="","",Q160+T160+V160)</f>
      </c>
      <c r="Y160" s="4">
        <f>IF($K160="","",L160-M160-R160-S160-T160-U160-V160-W160)</f>
      </c>
      <c r="Z160" s="4">
        <f>IF($K160="","",(Y160-AB160)/J160*100)</f>
      </c>
      <c r="AA160" s="4">
        <f>IF($K160="","",M160-X160)</f>
      </c>
      <c r="AC160" s="4">
        <f>IF($K160="","",Y160-AB160)</f>
      </c>
    </row>
    <row r="161" spans="1:34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>
        <f>IF($K161="","",(K161*6.9%)-(K161*6.9%)*10%)</f>
      </c>
      <c r="O161" s="4">
        <f>IF($K161="","",K161*0.35%)</f>
      </c>
      <c r="P161" s="4">
        <v>0.4</v>
      </c>
      <c r="Q161" s="4">
        <f>IF($K161="","",(N161+O161+P161)*20%)</f>
      </c>
      <c r="R161" s="4">
        <f>IF($K161="","",N161+O161+P161+Q161)</f>
      </c>
      <c r="S161" s="4"/>
      <c r="T161" s="4"/>
      <c r="U161" s="4"/>
      <c r="V161" s="4">
        <f>IF($K161="","",U161*20%)</f>
      </c>
      <c r="W161" s="4">
        <v>1</v>
      </c>
      <c r="X161" s="4">
        <f>IF($K161="","",Q161+T161+V161)</f>
      </c>
      <c r="Y161" s="4">
        <f>IF($K161="","",L161-M161-R161-S161-T161-U161-V161-W161)</f>
      </c>
      <c r="Z161" s="4">
        <f>IF($K161="","",(Y161-AB161)/J161*100)</f>
      </c>
      <c r="AA161" s="4">
        <f>IF($K161="","",M161-X161)</f>
      </c>
      <c r="AC161" s="4">
        <f>IF($K161="","",Y161-AB161)</f>
      </c>
    </row>
    <row r="162" spans="1:34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>
        <f>IF($K162="","",(K162*6.9%)-(K162*6.9%)*10%)</f>
      </c>
      <c r="O162" s="4">
        <f>IF($K162="","",K162*0.35%)</f>
      </c>
      <c r="P162" s="4">
        <v>0.4</v>
      </c>
      <c r="Q162" s="4">
        <f>IF($K162="","",(N162+O162+P162)*20%)</f>
      </c>
      <c r="R162" s="4">
        <f>IF($K162="","",N162+O162+P162+Q162)</f>
      </c>
      <c r="S162" s="4"/>
      <c r="T162" s="4"/>
      <c r="U162" s="4"/>
      <c r="V162" s="4">
        <f>IF($K162="","",U162*20%)</f>
      </c>
      <c r="W162" s="4">
        <v>1</v>
      </c>
      <c r="X162" s="4">
        <f>IF($K162="","",Q162+T162+V162)</f>
      </c>
      <c r="Y162" s="4">
        <f>IF($K162="","",L162-M162-R162-S162-T162-U162-V162-W162)</f>
      </c>
      <c r="Z162" s="4">
        <f>IF($K162="","",(Y162-AB162)/J162*100)</f>
      </c>
      <c r="AA162" s="4">
        <f>IF($K162="","",M162-X162)</f>
      </c>
      <c r="AC162" s="4">
        <f>IF($K162="","",Y162-AB162)</f>
      </c>
    </row>
    <row r="163" spans="1:34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>
        <f>IF($K163="","",(K163*6.9%)-(K163*6.9%)*10%)</f>
      </c>
      <c r="O163" s="4">
        <f>IF($K163="","",K163*0.35%)</f>
      </c>
      <c r="P163" s="4">
        <v>0.4</v>
      </c>
      <c r="Q163" s="4">
        <f>IF($K163="","",(N163+O163+P163)*20%)</f>
      </c>
      <c r="R163" s="4">
        <f>IF($K163="","",N163+O163+P163+Q163)</f>
      </c>
      <c r="S163" s="4"/>
      <c r="T163" s="4"/>
      <c r="U163" s="4"/>
      <c r="V163" s="4">
        <f>IF($K163="","",U163*20%)</f>
      </c>
      <c r="W163" s="4">
        <v>1</v>
      </c>
      <c r="X163" s="4">
        <f>IF($K163="","",Q163+T163+V163)</f>
      </c>
      <c r="Y163" s="4">
        <f>IF($K163="","",L163-M163-R163-S163-T163-U163-V163-W163)</f>
      </c>
      <c r="Z163" s="4">
        <f>IF($K163="","",(Y163-AB163)/J163*100)</f>
      </c>
      <c r="AA163" s="4">
        <f>IF($K163="","",M163-X163)</f>
      </c>
      <c r="AC163" s="4">
        <f>IF($K163="","",Y163-AB163)</f>
      </c>
    </row>
    <row r="164" spans="1:34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>
        <f>IF($K164="","",(K164*6.9%)-(K164*6.9%)*10%)</f>
      </c>
      <c r="O164" s="4">
        <f>IF($K164="","",K164*0.35%)</f>
      </c>
      <c r="P164" s="4">
        <v>0.4</v>
      </c>
      <c r="Q164" s="4">
        <f>IF($K164="","",(N164+O164+P164)*20%)</f>
      </c>
      <c r="R164" s="4">
        <f>IF($K164="","",N164+O164+P164+Q164)</f>
      </c>
      <c r="S164" s="4"/>
      <c r="T164" s="4"/>
      <c r="U164" s="4"/>
      <c r="V164" s="4">
        <f>IF($K164="","",U164*20%)</f>
      </c>
      <c r="W164" s="4">
        <v>1</v>
      </c>
      <c r="X164" s="4">
        <f>IF($K164="","",Q164+T164+V164)</f>
      </c>
      <c r="Y164" s="4">
        <f>IF($K164="","",L164-M164-R164-S164-T164-U164-V164-W164)</f>
      </c>
      <c r="Z164" s="4">
        <f>IF($K164="","",(Y164-AB164)/J164*100)</f>
      </c>
      <c r="AA164" s="4">
        <f>IF($K164="","",M164-X164)</f>
      </c>
      <c r="AC164" s="4">
        <f>IF($K164="","",Y164-AB164)</f>
      </c>
    </row>
    <row r="165" spans="1:34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>
        <f>IF($K165="","",(K165*6.9%)-(K165*6.9%)*10%)</f>
      </c>
      <c r="O165" s="4">
        <f>IF($K165="","",K165*0.35%)</f>
      </c>
      <c r="P165" s="4">
        <v>0.4</v>
      </c>
      <c r="Q165" s="4">
        <f>IF($K165="","",(N165+O165+P165)*20%)</f>
      </c>
      <c r="R165" s="4">
        <f>IF($K165="","",N165+O165+P165+Q165)</f>
      </c>
      <c r="S165" s="4"/>
      <c r="T165" s="4"/>
      <c r="U165" s="4"/>
      <c r="V165" s="4">
        <f>IF($K165="","",U165*20%)</f>
      </c>
      <c r="W165" s="4">
        <v>1</v>
      </c>
      <c r="X165" s="4">
        <f>IF($K165="","",Q165+T165+V165)</f>
      </c>
      <c r="Y165" s="4">
        <f>IF($K165="","",L165-M165-R165-S165-T165-U165-V165-W165)</f>
      </c>
      <c r="Z165" s="4">
        <f>IF($K165="","",(Y165-AB165)/J165*100)</f>
      </c>
      <c r="AA165" s="4">
        <f>IF($K165="","",M165-X165)</f>
      </c>
      <c r="AC165" s="4">
        <f>IF($K165="","",Y165-AB165)</f>
      </c>
    </row>
    <row r="166" spans="1:34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>
        <f>IF($K166="","",(K166*6.9%)-(K166*6.9%)*10%)</f>
      </c>
      <c r="O166" s="4">
        <f>IF($K166="","",K166*0.35%)</f>
      </c>
      <c r="P166" s="4">
        <v>0.4</v>
      </c>
      <c r="Q166" s="4">
        <f>IF($K166="","",(N166+O166+P166)*20%)</f>
      </c>
      <c r="R166" s="4">
        <f>IF($K166="","",N166+O166+P166+Q166)</f>
      </c>
      <c r="S166" s="4"/>
      <c r="T166" s="4"/>
      <c r="U166" s="4"/>
      <c r="V166" s="4">
        <f>IF($K166="","",U166*20%)</f>
      </c>
      <c r="W166" s="4">
        <v>1</v>
      </c>
      <c r="X166" s="4">
        <f>IF($K166="","",Q166+T166+V166)</f>
      </c>
      <c r="Y166" s="4">
        <f>IF($K166="","",L166-M166-R166-S166-T166-U166-V166-W166)</f>
      </c>
      <c r="Z166" s="4">
        <f>IF($K166="","",(Y166-AB166)/J166*100)</f>
      </c>
      <c r="AA166" s="4">
        <f>IF($K166="","",M166-X166)</f>
      </c>
      <c r="AC166" s="4">
        <f>IF($K166="","",Y166-AB166)</f>
      </c>
    </row>
    <row r="167" spans="1:34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>
        <f>IF($K167="","",(K167*6.9%)-(K167*6.9%)*10%)</f>
      </c>
      <c r="O167" s="4">
        <f>IF($K167="","",K167*0.35%)</f>
      </c>
      <c r="P167" s="4">
        <v>0.4</v>
      </c>
      <c r="Q167" s="4">
        <f>IF($K167="","",(N167+O167+P167)*20%)</f>
      </c>
      <c r="R167" s="4">
        <f>IF($K167="","",N167+O167+P167+Q167)</f>
      </c>
      <c r="S167" s="4"/>
      <c r="T167" s="4"/>
      <c r="U167" s="4"/>
      <c r="V167" s="4">
        <f>IF($K167="","",U167*20%)</f>
      </c>
      <c r="W167" s="4">
        <v>1</v>
      </c>
      <c r="X167" s="4">
        <f>IF($K167="","",Q167+T167+V167)</f>
      </c>
      <c r="Y167" s="4">
        <f>IF($K167="","",L167-M167-R167-S167-T167-U167-V167-W167)</f>
      </c>
      <c r="Z167" s="4">
        <f>IF($K167="","",(Y167-AB167)/J167*100)</f>
      </c>
      <c r="AA167" s="4">
        <f>IF($K167="","",M167-X167)</f>
      </c>
      <c r="AC167" s="4">
        <f>IF($K167="","",Y167-AB167)</f>
      </c>
    </row>
    <row r="168" spans="1:34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>
        <f>IF($K168="","",(K168*6.9%)-(K168*6.9%)*10%)</f>
      </c>
      <c r="O168" s="4">
        <f>IF($K168="","",K168*0.35%)</f>
      </c>
      <c r="P168" s="4">
        <v>0.4</v>
      </c>
      <c r="Q168" s="4">
        <f>IF($K168="","",(N168+O168+P168)*20%)</f>
      </c>
      <c r="R168" s="4">
        <f>IF($K168="","",N168+O168+P168+Q168)</f>
      </c>
      <c r="S168" s="4"/>
      <c r="T168" s="4"/>
      <c r="U168" s="4"/>
      <c r="V168" s="4">
        <f>IF($K168="","",U168*20%)</f>
      </c>
      <c r="W168" s="4">
        <v>1</v>
      </c>
      <c r="X168" s="4">
        <f>IF($K168="","",Q168+T168+V168)</f>
      </c>
      <c r="Y168" s="4">
        <f>IF($K168="","",L168-M168-R168-S168-T168-U168-V168-W168)</f>
      </c>
      <c r="Z168" s="4">
        <f>IF($K168="","",(Y168-AB168)/J168*100)</f>
      </c>
      <c r="AA168" s="4">
        <f>IF($K168="","",M168-X168)</f>
      </c>
      <c r="AC168" s="4">
        <f>IF($K168="","",Y168-AB168)</f>
      </c>
    </row>
    <row r="169" spans="1:34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>
        <f>IF($K169="","",(K169*6.9%)-(K169*6.9%)*10%)</f>
      </c>
      <c r="O169" s="4">
        <f>IF($K169="","",K169*0.35%)</f>
      </c>
      <c r="P169" s="4">
        <v>0.4</v>
      </c>
      <c r="Q169" s="4">
        <f>IF($K169="","",(N169+O169+P169)*20%)</f>
      </c>
      <c r="R169" s="4">
        <f>IF($K169="","",N169+O169+P169+Q169)</f>
      </c>
      <c r="S169" s="4"/>
      <c r="T169" s="4"/>
      <c r="U169" s="4"/>
      <c r="V169" s="4">
        <f>IF($K169="","",U169*20%)</f>
      </c>
      <c r="W169" s="4">
        <v>1</v>
      </c>
      <c r="X169" s="4">
        <f>IF($K169="","",Q169+T169+V169)</f>
      </c>
      <c r="Y169" s="4">
        <f>IF($K169="","",L169-M169-R169-S169-T169-U169-V169-W169)</f>
      </c>
      <c r="Z169" s="4">
        <f>IF($K169="","",(Y169-AB169)/J169*100)</f>
      </c>
      <c r="AA169" s="4">
        <f>IF($K169="","",M169-X169)</f>
      </c>
      <c r="AC169" s="4">
        <f>IF($K169="","",Y169-AB169)</f>
      </c>
    </row>
    <row r="170" spans="1:34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>
        <f>IF($K170="","",(K170*6.9%)-(K170*6.9%)*10%)</f>
      </c>
      <c r="O170" s="4">
        <f>IF($K170="","",K170*0.35%)</f>
      </c>
      <c r="P170" s="4">
        <v>0.4</v>
      </c>
      <c r="Q170" s="4">
        <f>IF($K170="","",(N170+O170+P170)*20%)</f>
      </c>
      <c r="R170" s="4">
        <f>IF($K170="","",N170+O170+P170+Q170)</f>
      </c>
      <c r="S170" s="4"/>
      <c r="T170" s="4"/>
      <c r="U170" s="4"/>
      <c r="V170" s="4">
        <f>IF($K170="","",U170*20%)</f>
      </c>
      <c r="W170" s="4">
        <v>1</v>
      </c>
      <c r="X170" s="4">
        <f>IF($K170="","",Q170+T170+V170)</f>
      </c>
      <c r="Y170" s="4">
        <f>IF($K170="","",L170-M170-R170-S170-T170-U170-V170-W170)</f>
      </c>
      <c r="Z170" s="4">
        <f>IF($K170="","",(Y170-AB170)/J170*100)</f>
      </c>
      <c r="AA170" s="4">
        <f>IF($K170="","",M170-X170)</f>
      </c>
      <c r="AC170" s="4">
        <f>IF($K170="","",Y170-AB170)</f>
      </c>
    </row>
    <row r="171" spans="1:34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>
        <f>IF($K171="","",(K171*6.9%)-(K171*6.9%)*10%)</f>
      </c>
      <c r="O171" s="4">
        <f>IF($K171="","",K171*0.35%)</f>
      </c>
      <c r="P171" s="4">
        <v>0.4</v>
      </c>
      <c r="Q171" s="4">
        <f>IF($K171="","",(N171+O171+P171)*20%)</f>
      </c>
      <c r="R171" s="4">
        <f>IF($K171="","",N171+O171+P171+Q171)</f>
      </c>
      <c r="S171" s="4"/>
      <c r="T171" s="4"/>
      <c r="U171" s="4"/>
      <c r="V171" s="4">
        <f>IF($K171="","",U171*20%)</f>
      </c>
      <c r="W171" s="4">
        <v>1</v>
      </c>
      <c r="X171" s="4">
        <f>IF($K171="","",Q171+T171+V171)</f>
      </c>
      <c r="Y171" s="4">
        <f>IF($K171="","",L171-M171-R171-S171-T171-U171-V171-W171)</f>
      </c>
      <c r="Z171" s="4">
        <f>IF($K171="","",(Y171-AB171)/J171*100)</f>
      </c>
      <c r="AA171" s="4">
        <f>IF($K171="","",M171-X171)</f>
      </c>
      <c r="AC171" s="4">
        <f>IF($K171="","",Y171-AB171)</f>
      </c>
    </row>
    <row r="172" spans="1:34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>
        <f>IF($K172="","",(K172*6.9%)-(K172*6.9%)*10%)</f>
      </c>
      <c r="O172" s="4">
        <f>IF($K172="","",K172*0.35%)</f>
      </c>
      <c r="P172" s="4">
        <v>0.4</v>
      </c>
      <c r="Q172" s="4">
        <f>IF($K172="","",(N172+O172+P172)*20%)</f>
      </c>
      <c r="R172" s="4">
        <f>IF($K172="","",N172+O172+P172+Q172)</f>
      </c>
      <c r="S172" s="4"/>
      <c r="T172" s="4"/>
      <c r="U172" s="4"/>
      <c r="V172" s="4">
        <f>IF($K172="","",U172*20%)</f>
      </c>
      <c r="W172" s="4">
        <v>1</v>
      </c>
      <c r="X172" s="4">
        <f>IF($K172="","",Q172+T172+V172)</f>
      </c>
      <c r="Y172" s="4">
        <f>IF($K172="","",L172-M172-R172-S172-T172-U172-V172-W172)</f>
      </c>
      <c r="Z172" s="4">
        <f>IF($K172="","",(Y172-AB172)/J172*100)</f>
      </c>
      <c r="AA172" s="4">
        <f>IF($K172="","",M172-X172)</f>
      </c>
      <c r="AC172" s="4">
        <f>IF($K172="","",Y172-AB172)</f>
      </c>
    </row>
    <row r="173" spans="1:34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>
        <f>IF($K173="","",(K173*6.9%)-(K173*6.9%)*10%)</f>
      </c>
      <c r="O173" s="4">
        <f>IF($K173="","",K173*0.35%)</f>
      </c>
      <c r="P173" s="4">
        <v>0.4</v>
      </c>
      <c r="Q173" s="4">
        <f>IF($K173="","",(N173+O173+P173)*20%)</f>
      </c>
      <c r="R173" s="4">
        <f>IF($K173="","",N173+O173+P173+Q173)</f>
      </c>
      <c r="S173" s="4"/>
      <c r="T173" s="4"/>
      <c r="U173" s="4"/>
      <c r="V173" s="4">
        <f>IF($K173="","",U173*20%)</f>
      </c>
      <c r="W173" s="4">
        <v>1</v>
      </c>
      <c r="X173" s="4">
        <f>IF($K173="","",Q173+T173+V173)</f>
      </c>
      <c r="Y173" s="4">
        <f>IF($K173="","",L173-M173-R173-S173-T173-U173-V173-W173)</f>
      </c>
      <c r="Z173" s="4">
        <f>IF($K173="","",(Y173-AB173)/J173*100)</f>
      </c>
      <c r="AA173" s="4">
        <f>IF($K173="","",M173-X173)</f>
      </c>
      <c r="AC173" s="4">
        <f>IF($K173="","",Y173-AB173)</f>
      </c>
    </row>
    <row r="174" spans="1:34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>
        <f>IF($K174="","",(K174*6.9%)-(K174*6.9%)*10%)</f>
      </c>
      <c r="O174" s="4">
        <f>IF($K174="","",K174*0.35%)</f>
      </c>
      <c r="P174" s="4">
        <v>0.4</v>
      </c>
      <c r="Q174" s="4">
        <f>IF($K174="","",(N174+O174+P174)*20%)</f>
      </c>
      <c r="R174" s="4">
        <f>IF($K174="","",N174+O174+P174+Q174)</f>
      </c>
      <c r="S174" s="4"/>
      <c r="T174" s="4"/>
      <c r="U174" s="4"/>
      <c r="V174" s="4">
        <f>IF($K174="","",U174*20%)</f>
      </c>
      <c r="W174" s="4">
        <v>1</v>
      </c>
      <c r="X174" s="4">
        <f>IF($K174="","",Q174+T174+V174)</f>
      </c>
      <c r="Y174" s="4">
        <f>IF($K174="","",L174-M174-R174-S174-T174-U174-V174-W174)</f>
      </c>
      <c r="Z174" s="4">
        <f>IF($K174="","",(Y174-AB174)/J174*100)</f>
      </c>
      <c r="AA174" s="4">
        <f>IF($K174="","",M174-X174)</f>
      </c>
      <c r="AC174" s="4">
        <f>IF($K174="","",Y174-AB174)</f>
      </c>
    </row>
    <row r="175" spans="1:34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>
        <f>IF($K175="","",(K175*6.9%)-(K175*6.9%)*10%)</f>
      </c>
      <c r="O175" s="4">
        <f>IF($K175="","",K175*0.35%)</f>
      </c>
      <c r="P175" s="4">
        <v>0.4</v>
      </c>
      <c r="Q175" s="4">
        <f>IF($K175="","",(N175+O175+P175)*20%)</f>
      </c>
      <c r="R175" s="4">
        <f>IF($K175="","",N175+O175+P175+Q175)</f>
      </c>
      <c r="S175" s="4"/>
      <c r="T175" s="4"/>
      <c r="U175" s="4"/>
      <c r="V175" s="4">
        <f>IF($K175="","",U175*20%)</f>
      </c>
      <c r="W175" s="4">
        <v>1</v>
      </c>
      <c r="X175" s="4">
        <f>IF($K175="","",Q175+T175+V175)</f>
      </c>
      <c r="Y175" s="4">
        <f>IF($K175="","",L175-M175-R175-S175-T175-U175-V175-W175)</f>
      </c>
      <c r="Z175" s="4">
        <f>IF($K175="","",(Y175-AB175)/J175*100)</f>
      </c>
      <c r="AA175" s="4">
        <f>IF($K175="","",M175-X175)</f>
      </c>
      <c r="AC175" s="4">
        <f>IF($K175="","",Y175-AB175)</f>
      </c>
    </row>
    <row r="176" spans="1:34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>
        <f>IF($K176="","",(K176*6.9%)-(K176*6.9%)*10%)</f>
      </c>
      <c r="O176" s="4">
        <f>IF($K176="","",K176*0.35%)</f>
      </c>
      <c r="P176" s="4">
        <v>0.4</v>
      </c>
      <c r="Q176" s="4">
        <f>IF($K176="","",(N176+O176+P176)*20%)</f>
      </c>
      <c r="R176" s="4">
        <f>IF($K176="","",N176+O176+P176+Q176)</f>
      </c>
      <c r="S176" s="4"/>
      <c r="T176" s="4"/>
      <c r="U176" s="4"/>
      <c r="V176" s="4">
        <f>IF($K176="","",U176*20%)</f>
      </c>
      <c r="W176" s="4">
        <v>1</v>
      </c>
      <c r="X176" s="4">
        <f>IF($K176="","",Q176+T176+V176)</f>
      </c>
      <c r="Y176" s="4">
        <f>IF($K176="","",L176-M176-R176-S176-T176-U176-V176-W176)</f>
      </c>
      <c r="Z176" s="4">
        <f>IF($K176="","",(Y176-AB176)/J176*100)</f>
      </c>
      <c r="AA176" s="4">
        <f>IF($K176="","",M176-X176)</f>
      </c>
      <c r="AC176" s="4">
        <f>IF($K176="","",Y176-AB176)</f>
      </c>
    </row>
    <row r="177" spans="1:34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>
        <f>IF($K177="","",(K177*6.9%)-(K177*6.9%)*10%)</f>
      </c>
      <c r="O177" s="4">
        <f>IF($K177="","",K177*0.35%)</f>
      </c>
      <c r="P177" s="4">
        <v>0.4</v>
      </c>
      <c r="Q177" s="4">
        <f>IF($K177="","",(N177+O177+P177)*20%)</f>
      </c>
      <c r="R177" s="4">
        <f>IF($K177="","",N177+O177+P177+Q177)</f>
      </c>
      <c r="S177" s="4"/>
      <c r="T177" s="4"/>
      <c r="U177" s="4"/>
      <c r="V177" s="4">
        <f>IF($K177="","",U177*20%)</f>
      </c>
      <c r="W177" s="4">
        <v>1</v>
      </c>
      <c r="X177" s="4">
        <f>IF($K177="","",Q177+T177+V177)</f>
      </c>
      <c r="Y177" s="4">
        <f>IF($K177="","",L177-M177-R177-S177-T177-U177-V177-W177)</f>
      </c>
      <c r="Z177" s="4">
        <f>IF($K177="","",(Y177-AB177)/J177*100)</f>
      </c>
      <c r="AA177" s="4">
        <f>IF($K177="","",M177-X177)</f>
      </c>
      <c r="AC177" s="4">
        <f>IF($K177="","",Y177-AB177)</f>
      </c>
    </row>
    <row r="178" spans="1:34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>
        <f>IF($K178="","",(K178*6.9%)-(K178*6.9%)*10%)</f>
      </c>
      <c r="O178" s="4">
        <f>IF($K178="","",K178*0.35%)</f>
      </c>
      <c r="P178" s="4">
        <v>0.4</v>
      </c>
      <c r="Q178" s="4">
        <f>IF($K178="","",(N178+O178+P178)*20%)</f>
      </c>
      <c r="R178" s="4">
        <f>IF($K178="","",N178+O178+P178+Q178)</f>
      </c>
      <c r="S178" s="4"/>
      <c r="T178" s="4"/>
      <c r="U178" s="4"/>
      <c r="V178" s="4">
        <f>IF($K178="","",U178*20%)</f>
      </c>
      <c r="W178" s="4">
        <v>1</v>
      </c>
      <c r="X178" s="4">
        <f>IF($K178="","",Q178+T178+V178)</f>
      </c>
      <c r="Y178" s="4">
        <f>IF($K178="","",L178-M178-R178-S178-T178-U178-V178-W178)</f>
      </c>
      <c r="Z178" s="4">
        <f>IF($K178="","",(Y178-AB178)/J178*100)</f>
      </c>
      <c r="AA178" s="4">
        <f>IF($K178="","",M178-X178)</f>
      </c>
      <c r="AC178" s="4">
        <f>IF($K178="","",Y178-AB178)</f>
      </c>
    </row>
    <row r="179" spans="1:34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>
        <f>IF($K179="","",(K179*6.9%)-(K179*6.9%)*10%)</f>
      </c>
      <c r="O179" s="4">
        <f>IF($K179="","",K179*0.35%)</f>
      </c>
      <c r="P179" s="4">
        <v>0.4</v>
      </c>
      <c r="Q179" s="4">
        <f>IF($K179="","",(N179+O179+P179)*20%)</f>
      </c>
      <c r="R179" s="4">
        <f>IF($K179="","",N179+O179+P179+Q179)</f>
      </c>
      <c r="S179" s="4"/>
      <c r="T179" s="4"/>
      <c r="U179" s="4"/>
      <c r="V179" s="4">
        <f>IF($K179="","",U179*20%)</f>
      </c>
      <c r="W179" s="4">
        <v>1</v>
      </c>
      <c r="X179" s="4">
        <f>IF($K179="","",Q179+T179+V179)</f>
      </c>
      <c r="Y179" s="4">
        <f>IF($K179="","",L179-M179-R179-S179-T179-U179-V179-W179)</f>
      </c>
      <c r="Z179" s="4">
        <f>IF($K179="","",(Y179-AB179)/J179*100)</f>
      </c>
      <c r="AA179" s="4">
        <f>IF($K179="","",M179-X179)</f>
      </c>
      <c r="AC179" s="4">
        <f>IF($K179="","",Y179-AB179)</f>
      </c>
    </row>
    <row r="180" spans="1:34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>
        <f>IF($K180="","",(K180*6.9%)-(K180*6.9%)*10%)</f>
      </c>
      <c r="O180" s="4">
        <f>IF($K180="","",K180*0.35%)</f>
      </c>
      <c r="P180" s="4">
        <v>0.4</v>
      </c>
      <c r="Q180" s="4">
        <f>IF($K180="","",(N180+O180+P180)*20%)</f>
      </c>
      <c r="R180" s="4">
        <f>IF($K180="","",N180+O180+P180+Q180)</f>
      </c>
      <c r="S180" s="4"/>
      <c r="T180" s="4"/>
      <c r="U180" s="4"/>
      <c r="V180" s="4">
        <f>IF($K180="","",U180*20%)</f>
      </c>
      <c r="W180" s="4">
        <v>1</v>
      </c>
      <c r="X180" s="4">
        <f>IF($K180="","",Q180+T180+V180)</f>
      </c>
      <c r="Y180" s="4">
        <f>IF($K180="","",L180-M180-R180-S180-T180-U180-V180-W180)</f>
      </c>
      <c r="Z180" s="4">
        <f>IF($K180="","",(Y180-AB180)/J180*100)</f>
      </c>
      <c r="AA180" s="4">
        <f>IF($K180="","",M180-X180)</f>
      </c>
      <c r="AC180" s="4">
        <f>IF($K180="","",Y180-AB180)</f>
      </c>
    </row>
    <row r="181" spans="1:34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>
        <f>IF($K181="","",(K181*6.9%)-(K181*6.9%)*10%)</f>
      </c>
      <c r="O181" s="4">
        <f>IF($K181="","",K181*0.35%)</f>
      </c>
      <c r="P181" s="4">
        <v>0.4</v>
      </c>
      <c r="Q181" s="4">
        <f>IF($K181="","",(N181+O181+P181)*20%)</f>
      </c>
      <c r="R181" s="4">
        <f>IF($K181="","",N181+O181+P181+Q181)</f>
      </c>
      <c r="S181" s="4"/>
      <c r="T181" s="4"/>
      <c r="U181" s="4"/>
      <c r="V181" s="4">
        <f>IF($K181="","",U181*20%)</f>
      </c>
      <c r="W181" s="4">
        <v>1</v>
      </c>
      <c r="X181" s="4">
        <f>IF($K181="","",Q181+T181+V181)</f>
      </c>
      <c r="Y181" s="4">
        <f>IF($K181="","",L181-M181-R181-S181-T181-U181-V181-W181)</f>
      </c>
      <c r="Z181" s="4">
        <f>IF($K181="","",(Y181-AB181)/J181*100)</f>
      </c>
      <c r="AA181" s="4">
        <f>IF($K181="","",M181-X181)</f>
      </c>
      <c r="AC181" s="4">
        <f>IF($K181="","",Y181-AB181)</f>
      </c>
    </row>
    <row r="182" spans="1:34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>
        <f>IF($K182="","",(K182*6.9%)-(K182*6.9%)*10%)</f>
      </c>
      <c r="O182" s="4">
        <f>IF($K182="","",K182*0.35%)</f>
      </c>
      <c r="P182" s="4">
        <v>0.4</v>
      </c>
      <c r="Q182" s="4">
        <f>IF($K182="","",(N182+O182+P182)*20%)</f>
      </c>
      <c r="R182" s="4">
        <f>IF($K182="","",N182+O182+P182+Q182)</f>
      </c>
      <c r="S182" s="4"/>
      <c r="T182" s="4"/>
      <c r="U182" s="4"/>
      <c r="V182" s="4">
        <f>IF($K182="","",U182*20%)</f>
      </c>
      <c r="W182" s="4">
        <v>1</v>
      </c>
      <c r="X182" s="4">
        <f>IF($K182="","",Q182+T182+V182)</f>
      </c>
      <c r="Y182" s="4">
        <f>IF($K182="","",L182-M182-R182-S182-T182-U182-V182-W182)</f>
      </c>
      <c r="Z182" s="4">
        <f>IF($K182="","",(Y182-AB182)/J182*100)</f>
      </c>
      <c r="AA182" s="4">
        <f>IF($K182="","",M182-X182)</f>
      </c>
      <c r="AC182" s="4">
        <f>IF($K182="","",Y182-AB182)</f>
      </c>
    </row>
    <row r="183" spans="1:34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>
        <f>IF($K183="","",(K183*6.9%)-(K183*6.9%)*10%)</f>
      </c>
      <c r="O183" s="4">
        <f>IF($K183="","",K183*0.35%)</f>
      </c>
      <c r="P183" s="4">
        <v>0.4</v>
      </c>
      <c r="Q183" s="4">
        <f>IF($K183="","",(N183+O183+P183)*20%)</f>
      </c>
      <c r="R183" s="4">
        <f>IF($K183="","",N183+O183+P183+Q183)</f>
      </c>
      <c r="S183" s="4"/>
      <c r="T183" s="4"/>
      <c r="U183" s="4"/>
      <c r="V183" s="4">
        <f>IF($K183="","",U183*20%)</f>
      </c>
      <c r="W183" s="4">
        <v>1</v>
      </c>
      <c r="X183" s="4">
        <f>IF($K183="","",Q183+T183+V183)</f>
      </c>
      <c r="Y183" s="4">
        <f>IF($K183="","",L183-M183-R183-S183-T183-U183-V183-W183)</f>
      </c>
      <c r="Z183" s="4">
        <f>IF($K183="","",(Y183-AB183)/J183*100)</f>
      </c>
      <c r="AA183" s="4">
        <f>IF($K183="","",M183-X183)</f>
      </c>
      <c r="AC183" s="4">
        <f>IF($K183="","",Y183-AB183)</f>
      </c>
    </row>
    <row r="184" spans="1:34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>
        <f>IF($K184="","",(K184*6.9%)-(K184*6.9%)*10%)</f>
      </c>
      <c r="O184" s="4">
        <f>IF($K184="","",K184*0.35%)</f>
      </c>
      <c r="P184" s="4">
        <v>0.4</v>
      </c>
      <c r="Q184" s="4">
        <f>IF($K184="","",(N184+O184+P184)*20%)</f>
      </c>
      <c r="R184" s="4">
        <f>IF($K184="","",N184+O184+P184+Q184)</f>
      </c>
      <c r="S184" s="4"/>
      <c r="T184" s="4"/>
      <c r="U184" s="4"/>
      <c r="V184" s="4">
        <f>IF($K184="","",U184*20%)</f>
      </c>
      <c r="W184" s="4">
        <v>1</v>
      </c>
      <c r="X184" s="4">
        <f>IF($K184="","",Q184+T184+V184)</f>
      </c>
      <c r="Y184" s="4">
        <f>IF($K184="","",L184-M184-R184-S184-T184-U184-V184-W184)</f>
      </c>
      <c r="Z184" s="4">
        <f>IF($K184="","",(Y184-AB184)/J184*100)</f>
      </c>
      <c r="AA184" s="4">
        <f>IF($K184="","",M184-X184)</f>
      </c>
      <c r="AC184" s="4">
        <f>IF($K184="","",Y184-AB184)</f>
      </c>
    </row>
    <row r="185" spans="1:34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>
        <f>IF($K185="","",(K185*6.9%)-(K185*6.9%)*10%)</f>
      </c>
      <c r="O185" s="4">
        <f>IF($K185="","",K185*0.35%)</f>
      </c>
      <c r="P185" s="4">
        <v>0.4</v>
      </c>
      <c r="Q185" s="4">
        <f>IF($K185="","",(N185+O185+P185)*20%)</f>
      </c>
      <c r="R185" s="4">
        <f>IF($K185="","",N185+O185+P185+Q185)</f>
      </c>
      <c r="S185" s="4"/>
      <c r="T185" s="4"/>
      <c r="U185" s="4"/>
      <c r="V185" s="4">
        <f>IF($K185="","",U185*20%)</f>
      </c>
      <c r="W185" s="4">
        <v>1</v>
      </c>
      <c r="X185" s="4">
        <f>IF($K185="","",Q185+T185+V185)</f>
      </c>
      <c r="Y185" s="4">
        <f>IF($K185="","",L185-M185-R185-S185-T185-U185-V185-W185)</f>
      </c>
      <c r="Z185" s="4">
        <f>IF($K185="","",(Y185-AB185)/J185*100)</f>
      </c>
      <c r="AA185" s="4">
        <f>IF($K185="","",M185-X185)</f>
      </c>
      <c r="AC185" s="4">
        <f>IF($K185="","",Y185-AB185)</f>
      </c>
    </row>
    <row r="186" spans="1:34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>
        <f>IF($K186="","",(K186*6.9%)-(K186*6.9%)*10%)</f>
      </c>
      <c r="O186" s="4">
        <f>IF($K186="","",K186*0.35%)</f>
      </c>
      <c r="P186" s="4">
        <v>0.4</v>
      </c>
      <c r="Q186" s="4">
        <f>IF($K186="","",(N186+O186+P186)*20%)</f>
      </c>
      <c r="R186" s="4">
        <f>IF($K186="","",N186+O186+P186+Q186)</f>
      </c>
      <c r="S186" s="4"/>
      <c r="T186" s="4"/>
      <c r="U186" s="4"/>
      <c r="V186" s="4">
        <f>IF($K186="","",U186*20%)</f>
      </c>
      <c r="W186" s="4">
        <v>1</v>
      </c>
      <c r="X186" s="4">
        <f>IF($K186="","",Q186+T186+V186)</f>
      </c>
      <c r="Y186" s="4">
        <f>IF($K186="","",L186-M186-R186-S186-T186-U186-V186-W186)</f>
      </c>
      <c r="Z186" s="4">
        <f>IF($K186="","",(Y186-AB186)/J186*100)</f>
      </c>
      <c r="AA186" s="4">
        <f>IF($K186="","",M186-X186)</f>
      </c>
      <c r="AC186" s="4">
        <f>IF($K186="","",Y186-AB186)</f>
      </c>
    </row>
    <row r="187" spans="1:34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>
        <f>IF($K187="","",(K187*6.9%)-(K187*6.9%)*10%)</f>
      </c>
      <c r="O187" s="4">
        <f>IF($K187="","",K187*0.35%)</f>
      </c>
      <c r="P187" s="4">
        <v>0.4</v>
      </c>
      <c r="Q187" s="4">
        <f>IF($K187="","",(N187+O187+P187)*20%)</f>
      </c>
      <c r="R187" s="4">
        <f>IF($K187="","",N187+O187+P187+Q187)</f>
      </c>
      <c r="S187" s="4"/>
      <c r="T187" s="4"/>
      <c r="U187" s="4"/>
      <c r="V187" s="4">
        <f>IF($K187="","",U187*20%)</f>
      </c>
      <c r="W187" s="4">
        <v>1</v>
      </c>
      <c r="X187" s="4">
        <f>IF($K187="","",Q187+T187+V187)</f>
      </c>
      <c r="Y187" s="4">
        <f>IF($K187="","",L187-M187-R187-S187-T187-U187-V187-W187)</f>
      </c>
      <c r="Z187" s="4">
        <f>IF($K187="","",(Y187-AB187)/J187*100)</f>
      </c>
      <c r="AA187" s="4">
        <f>IF($K187="","",M187-X187)</f>
      </c>
      <c r="AC187" s="4">
        <f>IF($K187="","",Y187-AB187)</f>
      </c>
    </row>
    <row r="188" spans="1:34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>
        <f>IF($K188="","",(K188*6.9%)-(K188*6.9%)*10%)</f>
      </c>
      <c r="O188" s="4">
        <f>IF($K188="","",K188*0.35%)</f>
      </c>
      <c r="P188" s="4">
        <v>0.4</v>
      </c>
      <c r="Q188" s="4">
        <f>IF($K188="","",(N188+O188+P188)*20%)</f>
      </c>
      <c r="R188" s="4">
        <f>IF($K188="","",N188+O188+P188+Q188)</f>
      </c>
      <c r="S188" s="4"/>
      <c r="T188" s="4"/>
      <c r="U188" s="4"/>
      <c r="V188" s="4">
        <f>IF($K188="","",U188*20%)</f>
      </c>
      <c r="W188" s="4">
        <v>1</v>
      </c>
      <c r="X188" s="4">
        <f>IF($K188="","",Q188+T188+V188)</f>
      </c>
      <c r="Y188" s="4">
        <f>IF($K188="","",L188-M188-R188-S188-T188-U188-V188-W188)</f>
      </c>
      <c r="Z188" s="4">
        <f>IF($K188="","",(Y188-AB188)/J188*100)</f>
      </c>
      <c r="AA188" s="4">
        <f>IF($K188="","",M188-X188)</f>
      </c>
      <c r="AC188" s="4">
        <f>IF($K188="","",Y188-AB188)</f>
      </c>
    </row>
    <row r="189" spans="1:34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>
        <f>IF($K189="","",(K189*6.9%)-(K189*6.9%)*10%)</f>
      </c>
      <c r="O189" s="4">
        <f>IF($K189="","",K189*0.35%)</f>
      </c>
      <c r="P189" s="4">
        <v>0.4</v>
      </c>
      <c r="Q189" s="4">
        <f>IF($K189="","",(N189+O189+P189)*20%)</f>
      </c>
      <c r="R189" s="4">
        <f>IF($K189="","",N189+O189+P189+Q189)</f>
      </c>
      <c r="S189" s="4"/>
      <c r="T189" s="4"/>
      <c r="U189" s="4"/>
      <c r="V189" s="4">
        <f>IF($K189="","",U189*20%)</f>
      </c>
      <c r="W189" s="4">
        <v>1</v>
      </c>
      <c r="X189" s="4">
        <f>IF($K189="","",Q189+T189+V189)</f>
      </c>
      <c r="Y189" s="4">
        <f>IF($K189="","",L189-M189-R189-S189-T189-U189-V189-W189)</f>
      </c>
      <c r="Z189" s="4">
        <f>IF($K189="","",(Y189-AB189)/J189*100)</f>
      </c>
      <c r="AA189" s="4">
        <f>IF($K189="","",M189-X189)</f>
      </c>
      <c r="AC189" s="4">
        <f>IF($K189="","",Y189-AB189)</f>
      </c>
    </row>
    <row r="190" spans="1:34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>
        <f>IF($K190="","",(K190*6.9%)-(K190*6.9%)*10%)</f>
      </c>
      <c r="O190" s="4">
        <f>IF($K190="","",K190*0.35%)</f>
      </c>
      <c r="P190" s="4">
        <v>0.4</v>
      </c>
      <c r="Q190" s="4">
        <f>IF($K190="","",(N190+O190+P190)*20%)</f>
      </c>
      <c r="R190" s="4">
        <f>IF($K190="","",N190+O190+P190+Q190)</f>
      </c>
      <c r="S190" s="4"/>
      <c r="T190" s="4"/>
      <c r="U190" s="4"/>
      <c r="V190" s="4">
        <f>IF($K190="","",U190*20%)</f>
      </c>
      <c r="W190" s="4">
        <v>1</v>
      </c>
      <c r="X190" s="4">
        <f>IF($K190="","",Q190+T190+V190)</f>
      </c>
      <c r="Y190" s="4">
        <f>IF($K190="","",L190-M190-R190-S190-T190-U190-V190-W190)</f>
      </c>
      <c r="Z190" s="4">
        <f>IF($K190="","",(Y190-AB190)/J190*100)</f>
      </c>
      <c r="AA190" s="4">
        <f>IF($K190="","",M190-X190)</f>
      </c>
      <c r="AC190" s="4">
        <f>IF($K190="","",Y190-AB190)</f>
      </c>
    </row>
    <row r="191" spans="1:34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>
        <f>IF($K191="","",(K191*6.9%)-(K191*6.9%)*10%)</f>
      </c>
      <c r="O191" s="4">
        <f>IF($K191="","",K191*0.35%)</f>
      </c>
      <c r="P191" s="4">
        <v>0.4</v>
      </c>
      <c r="Q191" s="4">
        <f>IF($K191="","",(N191+O191+P191)*20%)</f>
      </c>
      <c r="R191" s="4">
        <f>IF($K191="","",N191+O191+P191+Q191)</f>
      </c>
      <c r="S191" s="4"/>
      <c r="T191" s="4"/>
      <c r="U191" s="4"/>
      <c r="V191" s="4">
        <f>IF($K191="","",U191*20%)</f>
      </c>
      <c r="W191" s="4">
        <v>1</v>
      </c>
      <c r="X191" s="4">
        <f>IF($K191="","",Q191+T191+V191)</f>
      </c>
      <c r="Y191" s="4">
        <f>IF($K191="","",L191-M191-R191-S191-T191-U191-V191-W191)</f>
      </c>
      <c r="Z191" s="4">
        <f>IF($K191="","",(Y191-AB191)/J191*100)</f>
      </c>
      <c r="AA191" s="4">
        <f>IF($K191="","",M191-X191)</f>
      </c>
      <c r="AC191" s="4">
        <f>IF($K191="","",Y191-AB191)</f>
      </c>
    </row>
    <row r="192" spans="1:34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>
        <f>IF($K192="","",(K192*6.9%)-(K192*6.9%)*10%)</f>
      </c>
      <c r="O192" s="4">
        <f>IF($K192="","",K192*0.35%)</f>
      </c>
      <c r="P192" s="4">
        <v>0.4</v>
      </c>
      <c r="Q192" s="4">
        <f>IF($K192="","",(N192+O192+P192)*20%)</f>
      </c>
      <c r="R192" s="4">
        <f>IF($K192="","",N192+O192+P192+Q192)</f>
      </c>
      <c r="S192" s="4"/>
      <c r="T192" s="4"/>
      <c r="U192" s="4"/>
      <c r="V192" s="4">
        <f>IF($K192="","",U192*20%)</f>
      </c>
      <c r="W192" s="4">
        <v>1</v>
      </c>
      <c r="X192" s="4">
        <f>IF($K192="","",Q192+T192+V192)</f>
      </c>
      <c r="Y192" s="4">
        <f>IF($K192="","",L192-M192-R192-S192-T192-U192-V192-W192)</f>
      </c>
      <c r="Z192" s="4">
        <f>IF($K192="","",(Y192-AB192)/J192*100)</f>
      </c>
      <c r="AA192" s="4">
        <f>IF($K192="","",M192-X192)</f>
      </c>
      <c r="AC192" s="4">
        <f>IF($K192="","",Y192-AB192)</f>
      </c>
    </row>
    <row r="193" spans="1:34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>
        <f>IF($K193="","",(K193*6.9%)-(K193*6.9%)*10%)</f>
      </c>
      <c r="O193" s="4">
        <f>IF($K193="","",K193*0.35%)</f>
      </c>
      <c r="P193" s="4">
        <v>0.4</v>
      </c>
      <c r="Q193" s="4">
        <f>IF($K193="","",(N193+O193+P193)*20%)</f>
      </c>
      <c r="R193" s="4">
        <f>IF($K193="","",N193+O193+P193+Q193)</f>
      </c>
      <c r="S193" s="4"/>
      <c r="T193" s="4"/>
      <c r="U193" s="4"/>
      <c r="V193" s="4">
        <f>IF($K193="","",U193*20%)</f>
      </c>
      <c r="W193" s="4">
        <v>1</v>
      </c>
      <c r="X193" s="4">
        <f>IF($K193="","",Q193+T193+V193)</f>
      </c>
      <c r="Y193" s="4">
        <f>IF($K193="","",L193-M193-R193-S193-T193-U193-V193-W193)</f>
      </c>
      <c r="Z193" s="4">
        <f>IF($K193="","",(Y193-AB193)/J193*100)</f>
      </c>
      <c r="AA193" s="4">
        <f>IF($K193="","",M193-X193)</f>
      </c>
      <c r="AC193" s="4">
        <f>IF($K193="","",Y193-AB193)</f>
      </c>
    </row>
    <row r="194" spans="1:34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>
        <f>IF($K194="","",(K194*6.9%)-(K194*6.9%)*10%)</f>
      </c>
      <c r="O194" s="4">
        <f>IF($K194="","",K194*0.35%)</f>
      </c>
      <c r="P194" s="4">
        <v>0.4</v>
      </c>
      <c r="Q194" s="4">
        <f>IF($K194="","",(N194+O194+P194)*20%)</f>
      </c>
      <c r="R194" s="4">
        <f>IF($K194="","",N194+O194+P194+Q194)</f>
      </c>
      <c r="S194" s="4"/>
      <c r="T194" s="4"/>
      <c r="U194" s="4"/>
      <c r="V194" s="4">
        <f>IF($K194="","",U194*20%)</f>
      </c>
      <c r="W194" s="4">
        <v>1</v>
      </c>
      <c r="X194" s="4">
        <f>IF($K194="","",Q194+T194+V194)</f>
      </c>
      <c r="Y194" s="4">
        <f>IF($K194="","",L194-M194-R194-S194-T194-U194-V194-W194)</f>
      </c>
      <c r="Z194" s="4">
        <f>IF($K194="","",(Y194-AB194)/J194*100)</f>
      </c>
      <c r="AA194" s="4">
        <f>IF($K194="","",M194-X194)</f>
      </c>
      <c r="AC194" s="4">
        <f>IF($K194="","",Y194-AB194)</f>
      </c>
    </row>
    <row r="195" spans="1:34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>
        <f>IF($K195="","",(K195*6.9%)-(K195*6.9%)*10%)</f>
      </c>
      <c r="O195" s="4">
        <f>IF($K195="","",K195*0.35%)</f>
      </c>
      <c r="P195" s="4">
        <v>0.4</v>
      </c>
      <c r="Q195" s="4">
        <f>IF($K195="","",(N195+O195+P195)*20%)</f>
      </c>
      <c r="R195" s="4">
        <f>IF($K195="","",N195+O195+P195+Q195)</f>
      </c>
      <c r="S195" s="4"/>
      <c r="T195" s="4"/>
      <c r="U195" s="4"/>
      <c r="V195" s="4">
        <f>IF($K195="","",U195*20%)</f>
      </c>
      <c r="W195" s="4">
        <v>1</v>
      </c>
      <c r="X195" s="4">
        <f>IF($K195="","",Q195+T195+V195)</f>
      </c>
      <c r="Y195" s="4">
        <f>IF($K195="","",L195-M195-R195-S195-T195-U195-V195-W195)</f>
      </c>
      <c r="Z195" s="4">
        <f>IF($K195="","",(Y195-AB195)/J195*100)</f>
      </c>
      <c r="AA195" s="4">
        <f>IF($K195="","",M195-X195)</f>
      </c>
      <c r="AC195" s="4">
        <f>IF($K195="","",Y195-AB195)</f>
      </c>
    </row>
    <row r="196" spans="1:34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>
        <f>IF($K196="","",(K196*6.9%)-(K196*6.9%)*10%)</f>
      </c>
      <c r="O196" s="4">
        <f>IF($K196="","",K196*0.35%)</f>
      </c>
      <c r="P196" s="4">
        <v>0.4</v>
      </c>
      <c r="Q196" s="4">
        <f>IF($K196="","",(N196+O196+P196)*20%)</f>
      </c>
      <c r="R196" s="4">
        <f>IF($K196="","",N196+O196+P196+Q196)</f>
      </c>
      <c r="S196" s="4"/>
      <c r="T196" s="4"/>
      <c r="U196" s="4"/>
      <c r="V196" s="4">
        <f>IF($K196="","",U196*20%)</f>
      </c>
      <c r="W196" s="4">
        <v>1</v>
      </c>
      <c r="X196" s="4">
        <f>IF($K196="","",Q196+T196+V196)</f>
      </c>
      <c r="Y196" s="4">
        <f>IF($K196="","",L196-M196-R196-S196-T196-U196-V196-W196)</f>
      </c>
      <c r="Z196" s="4">
        <f>IF($K196="","",(Y196-AB196)/J196*100)</f>
      </c>
      <c r="AA196" s="4">
        <f>IF($K196="","",M196-X196)</f>
      </c>
      <c r="AC196" s="4">
        <f>IF($K196="","",Y196-AB196)</f>
      </c>
    </row>
    <row r="197" spans="1:34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>
        <f>IF($K197="","",(K197*6.9%)-(K197*6.9%)*10%)</f>
      </c>
      <c r="O197" s="4">
        <f>IF($K197="","",K197*0.35%)</f>
      </c>
      <c r="P197" s="4">
        <v>0.4</v>
      </c>
      <c r="Q197" s="4">
        <f>IF($K197="","",(N197+O197+P197)*20%)</f>
      </c>
      <c r="R197" s="4">
        <f>IF($K197="","",N197+O197+P197+Q197)</f>
      </c>
      <c r="S197" s="4"/>
      <c r="T197" s="4"/>
      <c r="U197" s="4"/>
      <c r="V197" s="4">
        <f>IF($K197="","",U197*20%)</f>
      </c>
      <c r="W197" s="4">
        <v>1</v>
      </c>
      <c r="X197" s="4">
        <f>IF($K197="","",Q197+T197+V197)</f>
      </c>
      <c r="Y197" s="4">
        <f>IF($K197="","",L197-M197-R197-S197-T197-U197-V197-W197)</f>
      </c>
      <c r="Z197" s="4">
        <f>IF($K197="","",(Y197-AB197)/J197*100)</f>
      </c>
      <c r="AA197" s="4">
        <f>IF($K197="","",M197-X197)</f>
      </c>
      <c r="AC197" s="4">
        <f>IF($K197="","",Y197-AB197)</f>
      </c>
    </row>
    <row r="198" spans="1:34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>
        <f>IF($K198="","",(K198*6.9%)-(K198*6.9%)*10%)</f>
      </c>
      <c r="O198" s="4">
        <f>IF($K198="","",K198*0.35%)</f>
      </c>
      <c r="P198" s="4">
        <v>0.4</v>
      </c>
      <c r="Q198" s="4">
        <f>IF($K198="","",(N198+O198+P198)*20%)</f>
      </c>
      <c r="R198" s="4">
        <f>IF($K198="","",N198+O198+P198+Q198)</f>
      </c>
      <c r="S198" s="4"/>
      <c r="T198" s="4"/>
      <c r="U198" s="4"/>
      <c r="V198" s="4">
        <f>IF($K198="","",U198*20%)</f>
      </c>
      <c r="W198" s="4">
        <v>1</v>
      </c>
      <c r="X198" s="4">
        <f>IF($K198="","",Q198+T198+V198)</f>
      </c>
      <c r="Y198" s="4">
        <f>IF($K198="","",L198-M198-R198-S198-T198-U198-V198-W198)</f>
      </c>
      <c r="Z198" s="4">
        <f>IF($K198="","",(Y198-AB198)/J198*100)</f>
      </c>
      <c r="AA198" s="4">
        <f>IF($K198="","",M198-X198)</f>
      </c>
      <c r="AC198" s="4">
        <f>IF($K198="","",Y198-AB198)</f>
      </c>
    </row>
    <row r="199" spans="1:34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>
        <f>IF($K199="","",(K199*6.9%)-(K199*6.9%)*10%)</f>
      </c>
      <c r="O199" s="4">
        <f>IF($K199="","",K199*0.35%)</f>
      </c>
      <c r="P199" s="4">
        <v>0.4</v>
      </c>
      <c r="Q199" s="4">
        <f>IF($K199="","",(N199+O199+P199)*20%)</f>
      </c>
      <c r="R199" s="4">
        <f>IF($K199="","",N199+O199+P199+Q199)</f>
      </c>
      <c r="S199" s="4"/>
      <c r="T199" s="4"/>
      <c r="U199" s="4"/>
      <c r="V199" s="4">
        <f>IF($K199="","",U199*20%)</f>
      </c>
      <c r="W199" s="4">
        <v>1</v>
      </c>
      <c r="X199" s="4">
        <f>IF($K199="","",Q199+T199+V199)</f>
      </c>
      <c r="Y199" s="4">
        <f>IF($K199="","",L199-M199-R199-S199-T199-U199-V199-W199)</f>
      </c>
      <c r="Z199" s="4">
        <f>IF($K199="","",(Y199-AB199)/J199*100)</f>
      </c>
      <c r="AA199" s="4">
        <f>IF($K199="","",M199-X199)</f>
      </c>
      <c r="AC199" s="4">
        <f>IF($K199="","",Y199-AB199)</f>
      </c>
    </row>
    <row r="200" spans="1:34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>
        <f>IF($K200="","",(K200*6.9%)-(K200*6.9%)*10%)</f>
      </c>
      <c r="O200" s="4">
        <f>IF($K200="","",K200*0.35%)</f>
      </c>
      <c r="P200" s="4">
        <v>0.4</v>
      </c>
      <c r="Q200" s="4">
        <f>IF($K200="","",(N200+O200+P200)*20%)</f>
      </c>
      <c r="R200" s="4">
        <f>IF($K200="","",N200+O200+P200+Q200)</f>
      </c>
      <c r="S200" s="4"/>
      <c r="T200" s="4"/>
      <c r="U200" s="4"/>
      <c r="V200" s="4">
        <f>IF($K200="","",U200*20%)</f>
      </c>
      <c r="W200" s="4">
        <v>1</v>
      </c>
      <c r="X200" s="4">
        <f>IF($K200="","",Q200+T200+V200)</f>
      </c>
      <c r="Y200" s="4">
        <f>IF($K200="","",L200-M200-R200-S200-T200-U200-V200-W200)</f>
      </c>
      <c r="Z200" s="4">
        <f>IF($K200="","",(Y200-AB200)/J200*100)</f>
      </c>
      <c r="AA200" s="4">
        <f>IF($K200="","",M200-X200)</f>
      </c>
      <c r="AC200" s="4">
        <f>IF($K200="","",Y200-AB200)</f>
      </c>
    </row>
    <row r="201" spans="1:34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>
        <f>IF($K201="","",(K201*6.9%)-(K201*6.9%)*10%)</f>
      </c>
      <c r="O201" s="4">
        <f>IF($K201="","",K201*0.35%)</f>
      </c>
      <c r="P201" s="4">
        <v>0.4</v>
      </c>
      <c r="Q201" s="4">
        <f>IF($K201="","",(N201+O201+P201)*20%)</f>
      </c>
      <c r="R201" s="4">
        <f>IF($K201="","",N201+O201+P201+Q201)</f>
      </c>
      <c r="S201" s="4"/>
      <c r="T201" s="4"/>
      <c r="U201" s="4"/>
      <c r="V201" s="4">
        <f>IF($K201="","",U201*20%)</f>
      </c>
      <c r="W201" s="4">
        <v>1</v>
      </c>
      <c r="X201" s="4">
        <f>IF($K201="","",Q201+T201+V201)</f>
      </c>
      <c r="Y201" s="4">
        <f>IF($K201="","",L201-M201-R201-S201-T201-U201-V201-W201)</f>
      </c>
      <c r="Z201" s="4">
        <f>IF($K201="","",(Y201-AB201)/J201*100)</f>
      </c>
      <c r="AA201" s="4">
        <f>IF($K201="","",M201-X201)</f>
      </c>
      <c r="AC201" s="4">
        <f>IF($K201="","",Y201-AB201)</f>
      </c>
    </row>
    <row r="202" spans="1:34" x14ac:dyDescent="0.25">
      <c r="A202" s="8"/>
      <c r="D202" s="9"/>
      <c r="J202" s="4"/>
      <c r="K202" s="4"/>
      <c r="L202" s="4">
        <f>IF($K202="","",K202-J202)</f>
      </c>
      <c r="M202" s="4">
        <f>IF($K202="","",L202*16.67%)</f>
      </c>
      <c r="N202" s="4">
        <f>IF($K202="","",(K202*6.9%)-(K202*6.9%)*10%)</f>
      </c>
      <c r="O202" s="4">
        <f>IF($K202="","",K202*0.35%)</f>
      </c>
      <c r="P202" s="4">
        <v>0.4</v>
      </c>
      <c r="Q202" s="4">
        <f>IF($K202="","",(N202+O202+P202)*20%)</f>
      </c>
      <c r="R202" s="4">
        <f>IF($K202="","",N202+O202+P202+Q202)</f>
      </c>
      <c r="S202" s="4"/>
      <c r="T202" s="4"/>
      <c r="U202" s="4"/>
      <c r="V202" s="4">
        <f>IF($K202="","",U202*20%)</f>
      </c>
      <c r="W202" s="4">
        <v>1</v>
      </c>
      <c r="X202" s="4">
        <f>IF($K202="","",Q202+T202+V202)</f>
      </c>
      <c r="Y202" s="4">
        <f>IF($K202="","",L202-M202-R202-S202-T202-U202-V202-W202)</f>
      </c>
      <c r="Z202" s="4">
        <f>IF($K202="","",(Y202-AB202)/J202*100)</f>
      </c>
      <c r="AA202" s="4">
        <f>IF($K202="","",M202-X202)</f>
      </c>
      <c r="AC202" s="4">
        <f>IF($K202="","",Y202-AB202)</f>
      </c>
    </row>
    <row r="203" spans="1:34" x14ac:dyDescent="0.25">
      <c r="A203" s="8"/>
      <c r="D203" s="9"/>
      <c r="J203" s="4"/>
      <c r="K203" s="4"/>
      <c r="L203" s="4">
        <f>IF($K203="","",K203-J203)</f>
      </c>
      <c r="M203" s="4">
        <f>IF($K203="","",L203*16.67%)</f>
      </c>
      <c r="N203" s="4">
        <f>IF($K203="","",(K203*6.9%)-(K203*6.9%)*10%)</f>
      </c>
      <c r="O203" s="4">
        <f>IF($K203="","",K203*0.35%)</f>
      </c>
      <c r="P203" s="4">
        <v>0.4</v>
      </c>
      <c r="Q203" s="4">
        <f>IF($K203="","",(N203+O203+P203)*20%)</f>
      </c>
      <c r="R203" s="4">
        <f>IF($K203="","",N203+O203+P203+Q203)</f>
      </c>
      <c r="S203" s="4"/>
      <c r="T203" s="4"/>
      <c r="U203" s="4"/>
      <c r="V203" s="4">
        <f>IF($K203="","",U203*20%)</f>
      </c>
      <c r="W203" s="4">
        <v>1</v>
      </c>
      <c r="X203" s="4">
        <f>IF($K203="","",Q203+T203+V203)</f>
      </c>
      <c r="Y203" s="4">
        <f>IF($K203="","",L203-M203-R203-S203-T203-U203-V203-W203)</f>
      </c>
      <c r="Z203" s="4">
        <f>IF($K203="","",(Y203-AB203)/J203*100)</f>
      </c>
      <c r="AA203" s="4">
        <f>IF($K203="","",M203-X203)</f>
      </c>
      <c r="AC203" s="4">
        <f>IF($K203="","",Y203-AB203)</f>
      </c>
    </row>
    <row r="204" spans="1:34" x14ac:dyDescent="0.25">
      <c r="A204" s="8"/>
      <c r="D204" s="9"/>
      <c r="J204" s="4"/>
      <c r="K204" s="4"/>
      <c r="L204" s="4">
        <f>IF($K204="","",K204-J204)</f>
      </c>
      <c r="M204" s="4">
        <f>IF($K204="","",L204*16.67%)</f>
      </c>
      <c r="N204" s="4">
        <f>IF($K204="","",(K204*6.9%)-(K204*6.9%)*10%)</f>
      </c>
      <c r="O204" s="4">
        <f>IF($K204="","",K204*0.35%)</f>
      </c>
      <c r="P204" s="4">
        <v>0.4</v>
      </c>
      <c r="Q204" s="4">
        <f>IF($K204="","",(N204+O204+P204)*20%)</f>
      </c>
      <c r="R204" s="4">
        <f>IF($K204="","",N204+O204+P204+Q204)</f>
      </c>
      <c r="S204" s="4"/>
      <c r="T204" s="4"/>
      <c r="U204" s="4"/>
      <c r="V204" s="4">
        <f>IF($K204="","",U204*20%)</f>
      </c>
      <c r="W204" s="4">
        <v>1</v>
      </c>
      <c r="X204" s="4">
        <f>IF($K204="","",Q204+T204+V204)</f>
      </c>
      <c r="Y204" s="4">
        <f>IF($K204="","",L204-M204-R204-S204-T204-U204-V204-W204)</f>
      </c>
      <c r="Z204" s="4">
        <f>IF($K204="","",(Y204-AB204)/J204*100)</f>
      </c>
      <c r="AA204" s="4">
        <f>IF($K204="","",M204-X204)</f>
      </c>
      <c r="AC204" s="4">
        <f>IF($K204="","",Y204-AB204)</f>
      </c>
    </row>
    <row r="205" spans="1:34" s="7" customFormat="1" x14ac:dyDescent="0.25">
      <c r="A205" s="3" t="s">
        <v>18</v>
      </c>
      <c r="B205" s="7"/>
      <c r="C205" s="7"/>
      <c r="D205" s="7"/>
      <c r="E205" s="7"/>
      <c r="F205" s="7"/>
      <c r="G205" s="7"/>
      <c r="H205" s="7"/>
      <c r="I205" s="14">
        <f>SUM(I2:I204)</f>
      </c>
      <c r="J205" s="14">
        <f>SUM(J2:J204)</f>
      </c>
      <c r="K205" s="14">
        <f>SUM(K2:K204)</f>
      </c>
      <c r="L205" s="14">
        <f>SUM(L2:L204)</f>
      </c>
      <c r="M205" s="14">
        <f>SUM(M2:M204)</f>
      </c>
      <c r="N205" s="14">
        <f>SUM(N2:N204)</f>
      </c>
      <c r="O205" s="14">
        <f>SUM(O2:O204)</f>
      </c>
      <c r="P205" s="14">
        <f>SUM(P2:P204)</f>
      </c>
      <c r="Q205" s="14">
        <f>SUM(Q2:Q204)</f>
      </c>
      <c r="R205" s="14">
        <f>SUM(R2:R204)</f>
      </c>
      <c r="S205" s="14">
        <f>SUM(S2:S204)</f>
      </c>
      <c r="T205" s="14">
        <f>SUM(T2:T204)</f>
      </c>
      <c r="U205" s="14">
        <f>SUM(U2:U204)</f>
      </c>
      <c r="V205" s="14">
        <f>SUM(V2:V204)</f>
      </c>
      <c r="W205" s="14">
        <f>SUM(W2:W204)</f>
      </c>
      <c r="X205" s="14">
        <f>SUM(X2:X204)</f>
      </c>
      <c r="Y205" s="14">
        <f>SUM(Y2:Y204)</f>
      </c>
      <c r="Z205" s="14">
        <f>IFERROR((Y205-AB205)/K205*100,0)</f>
      </c>
      <c r="AA205" s="14">
        <f>SUM(AA2:AA204)</f>
      </c>
      <c r="AB205" s="14">
        <f>SUM(AB2:AB204)</f>
      </c>
      <c r="AC205" s="14">
        <f>SUM(AC2:AC204)</f>
      </c>
      <c r="AD205" s="7"/>
      <c r="AE205" s="7"/>
      <c r="AF205" s="7"/>
      <c r="AG205" s="7"/>
      <c r="AH205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03"/>
  <sheetFormatPr defaultRowHeight="15" outlineLevelRow="0" outlineLevelCol="0" x14ac:dyDescent="55"/>
  <sheetData>
    <row r="1" spans="1:28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35</v>
      </c>
      <c r="J1" t="s">
        <v>36</v>
      </c>
      <c r="K1" t="s">
        <v>37</v>
      </c>
      <c r="L1" t="s">
        <v>38</v>
      </c>
      <c r="M1" t="s">
        <v>39</v>
      </c>
      <c r="N1" t="s">
        <v>102</v>
      </c>
      <c r="O1" t="s">
        <v>43</v>
      </c>
      <c r="P1" t="s">
        <v>44</v>
      </c>
      <c r="Q1" t="s">
        <v>45</v>
      </c>
      <c r="R1" t="s">
        <v>46</v>
      </c>
      <c r="S1" t="s">
        <v>47</v>
      </c>
      <c r="T1" t="s">
        <v>48</v>
      </c>
      <c r="U1" t="s">
        <v>49</v>
      </c>
      <c r="V1" t="s">
        <v>50</v>
      </c>
      <c r="W1" t="s">
        <v>11</v>
      </c>
      <c r="X1" t="s">
        <v>51</v>
      </c>
      <c r="Y1" t="s">
        <v>52</v>
      </c>
      <c r="Z1" t="s">
        <v>53</v>
      </c>
      <c r="AA1" t="s">
        <v>54</v>
      </c>
      <c r="AB1" t="s">
        <v>55</v>
      </c>
    </row>
    <row r="2" spans="1:28" x14ac:dyDescent="0.25">
      <c r="A2" s="8">
        <v>46228.5</v>
      </c>
      <c r="B2" t="s">
        <v>103</v>
      </c>
      <c r="C2" t="s">
        <v>104</v>
      </c>
      <c r="D2" s="9" t="s">
        <v>105</v>
      </c>
      <c r="E2" t="s">
        <v>106</v>
      </c>
      <c r="F2" t="s">
        <v>60</v>
      </c>
      <c r="G2" t="s">
        <v>95</v>
      </c>
      <c r="H2" t="s">
        <v>62</v>
      </c>
      <c r="I2" s="4">
        <v>200</v>
      </c>
      <c r="J2" s="4">
        <v>410</v>
      </c>
      <c r="K2" s="4">
        <f>J2-I2</f>
      </c>
      <c r="L2" s="4">
        <f>K2*16.67%</f>
      </c>
      <c r="M2" s="4">
        <f>J2*7%</f>
      </c>
      <c r="N2" s="4">
        <f>M2*20%</f>
      </c>
      <c r="O2" s="4">
        <v>8</v>
      </c>
      <c r="P2" s="4">
        <f>O2*20%</f>
      </c>
      <c r="Q2" s="4">
        <v>1</v>
      </c>
      <c r="R2" s="4">
        <f>N2+P2</f>
      </c>
      <c r="S2" s="4">
        <f>K2-L2-M2-N2-O2-P2-Q2</f>
      </c>
      <c r="T2" s="4">
        <f>(S2-V2)/I2*100</f>
      </c>
      <c r="U2" s="4">
        <f>L2-R2</f>
      </c>
      <c r="W2" s="4">
        <f>S2-V2</f>
      </c>
      <c r="AB2" t="s">
        <v>1</v>
      </c>
    </row>
    <row r="3" spans="1:28" x14ac:dyDescent="0.25">
      <c r="A3" s="8"/>
      <c r="D3" s="9"/>
      <c r="I3" s="4"/>
      <c r="J3" s="4"/>
      <c r="K3" s="4">
        <f>IF($J3="","",J3-I3)</f>
      </c>
      <c r="L3" s="4">
        <f>IF($J3="","",K3*16.67%)</f>
      </c>
      <c r="M3" s="4">
        <f>IF($J3="","",J3*7%)</f>
      </c>
      <c r="N3" s="4">
        <f>IF($J3="","",M3*20%)</f>
      </c>
      <c r="O3" s="4"/>
      <c r="P3" s="4">
        <f>IF($J3="","",O3*20%)</f>
      </c>
      <c r="Q3" s="4">
        <v>1</v>
      </c>
      <c r="R3" s="4">
        <f>IF($J3="","",N3+P3)</f>
      </c>
      <c r="S3" s="4">
        <f>IF($J3="","",K3-L3-M3-N3-O3-P3-Q3)</f>
      </c>
      <c r="T3" s="4">
        <f>IF($J3="","",(S3-V3)/I3*100)</f>
      </c>
      <c r="U3" s="4">
        <f>IF($J3="","",L3-R3)</f>
      </c>
      <c r="W3" s="4">
        <f>IF($J3="","",S3-V3)</f>
      </c>
    </row>
    <row r="4" spans="1:28" x14ac:dyDescent="0.25">
      <c r="A4" s="8"/>
      <c r="D4" s="9"/>
      <c r="I4" s="4"/>
      <c r="J4" s="4"/>
      <c r="K4" s="4">
        <f>IF($J4="","",J4-I4)</f>
      </c>
      <c r="L4" s="4">
        <f>IF($J4="","",K4*16.67%)</f>
      </c>
      <c r="M4" s="4">
        <f>IF($J4="","",J4*7%)</f>
      </c>
      <c r="N4" s="4">
        <f>IF($J4="","",M4*20%)</f>
      </c>
      <c r="O4" s="4"/>
      <c r="P4" s="4">
        <f>IF($J4="","",O4*20%)</f>
      </c>
      <c r="Q4" s="4">
        <v>1</v>
      </c>
      <c r="R4" s="4">
        <f>IF($J4="","",N4+P4)</f>
      </c>
      <c r="S4" s="4">
        <f>IF($J4="","",K4-L4-M4-N4-O4-P4-Q4)</f>
      </c>
      <c r="T4" s="4">
        <f>IF($J4="","",(S4-V4)/I4*100)</f>
      </c>
      <c r="U4" s="4">
        <f>IF($J4="","",L4-R4)</f>
      </c>
      <c r="W4" s="4">
        <f>IF($J4="","",S4-V4)</f>
      </c>
    </row>
    <row r="5" spans="1:28" x14ac:dyDescent="0.25">
      <c r="A5" s="8"/>
      <c r="D5" s="9"/>
      <c r="I5" s="4"/>
      <c r="J5" s="4"/>
      <c r="K5" s="4">
        <f>IF($J5="","",J5-I5)</f>
      </c>
      <c r="L5" s="4">
        <f>IF($J5="","",K5*16.67%)</f>
      </c>
      <c r="M5" s="4">
        <f>IF($J5="","",J5*7%)</f>
      </c>
      <c r="N5" s="4">
        <f>IF($J5="","",M5*20%)</f>
      </c>
      <c r="O5" s="4"/>
      <c r="P5" s="4">
        <f>IF($J5="","",O5*20%)</f>
      </c>
      <c r="Q5" s="4">
        <v>1</v>
      </c>
      <c r="R5" s="4">
        <f>IF($J5="","",N5+P5)</f>
      </c>
      <c r="S5" s="4">
        <f>IF($J5="","",K5-L5-M5-N5-O5-P5-Q5)</f>
      </c>
      <c r="T5" s="4">
        <f>IF($J5="","",(S5-V5)/I5*100)</f>
      </c>
      <c r="U5" s="4">
        <f>IF($J5="","",L5-R5)</f>
      </c>
      <c r="W5" s="4">
        <f>IF($J5="","",S5-V5)</f>
      </c>
    </row>
    <row r="6" spans="1:28" x14ac:dyDescent="0.25">
      <c r="A6" s="8"/>
      <c r="D6" s="9"/>
      <c r="I6" s="4"/>
      <c r="J6" s="4"/>
      <c r="K6" s="4">
        <f>IF($J6="","",J6-I6)</f>
      </c>
      <c r="L6" s="4">
        <f>IF($J6="","",K6*16.67%)</f>
      </c>
      <c r="M6" s="4">
        <f>IF($J6="","",J6*7%)</f>
      </c>
      <c r="N6" s="4">
        <f>IF($J6="","",M6*20%)</f>
      </c>
      <c r="O6" s="4"/>
      <c r="P6" s="4">
        <f>IF($J6="","",O6*20%)</f>
      </c>
      <c r="Q6" s="4">
        <v>1</v>
      </c>
      <c r="R6" s="4">
        <f>IF($J6="","",N6+P6)</f>
      </c>
      <c r="S6" s="4">
        <f>IF($J6="","",K6-L6-M6-N6-O6-P6-Q6)</f>
      </c>
      <c r="T6" s="4">
        <f>IF($J6="","",(S6-V6)/I6*100)</f>
      </c>
      <c r="U6" s="4">
        <f>IF($J6="","",L6-R6)</f>
      </c>
      <c r="W6" s="4">
        <f>IF($J6="","",S6-V6)</f>
      </c>
    </row>
    <row r="7" spans="1:28" x14ac:dyDescent="0.25">
      <c r="A7" s="8"/>
      <c r="D7" s="9"/>
      <c r="I7" s="4"/>
      <c r="J7" s="4"/>
      <c r="K7" s="4">
        <f>IF($J7="","",J7-I7)</f>
      </c>
      <c r="L7" s="4">
        <f>IF($J7="","",K7*16.67%)</f>
      </c>
      <c r="M7" s="4">
        <f>IF($J7="","",J7*7%)</f>
      </c>
      <c r="N7" s="4">
        <f>IF($J7="","",M7*20%)</f>
      </c>
      <c r="O7" s="4"/>
      <c r="P7" s="4">
        <f>IF($J7="","",O7*20%)</f>
      </c>
      <c r="Q7" s="4">
        <v>1</v>
      </c>
      <c r="R7" s="4">
        <f>IF($J7="","",N7+P7)</f>
      </c>
      <c r="S7" s="4">
        <f>IF($J7="","",K7-L7-M7-N7-O7-P7-Q7)</f>
      </c>
      <c r="T7" s="4">
        <f>IF($J7="","",(S7-V7)/I7*100)</f>
      </c>
      <c r="U7" s="4">
        <f>IF($J7="","",L7-R7)</f>
      </c>
      <c r="W7" s="4">
        <f>IF($J7="","",S7-V7)</f>
      </c>
    </row>
    <row r="8" spans="1:28" x14ac:dyDescent="0.25">
      <c r="A8" s="8"/>
      <c r="D8" s="9"/>
      <c r="I8" s="4"/>
      <c r="J8" s="4"/>
      <c r="K8" s="4">
        <f>IF($J8="","",J8-I8)</f>
      </c>
      <c r="L8" s="4">
        <f>IF($J8="","",K8*16.67%)</f>
      </c>
      <c r="M8" s="4">
        <f>IF($J8="","",J8*7%)</f>
      </c>
      <c r="N8" s="4">
        <f>IF($J8="","",M8*20%)</f>
      </c>
      <c r="O8" s="4"/>
      <c r="P8" s="4">
        <f>IF($J8="","",O8*20%)</f>
      </c>
      <c r="Q8" s="4">
        <v>1</v>
      </c>
      <c r="R8" s="4">
        <f>IF($J8="","",N8+P8)</f>
      </c>
      <c r="S8" s="4">
        <f>IF($J8="","",K8-L8-M8-N8-O8-P8-Q8)</f>
      </c>
      <c r="T8" s="4">
        <f>IF($J8="","",(S8-V8)/I8*100)</f>
      </c>
      <c r="U8" s="4">
        <f>IF($J8="","",L8-R8)</f>
      </c>
      <c r="W8" s="4">
        <f>IF($J8="","",S8-V8)</f>
      </c>
    </row>
    <row r="9" spans="1:28" x14ac:dyDescent="0.25">
      <c r="A9" s="8"/>
      <c r="D9" s="9"/>
      <c r="I9" s="4"/>
      <c r="J9" s="4"/>
      <c r="K9" s="4">
        <f>IF($J9="","",J9-I9)</f>
      </c>
      <c r="L9" s="4">
        <f>IF($J9="","",K9*16.67%)</f>
      </c>
      <c r="M9" s="4">
        <f>IF($J9="","",J9*7%)</f>
      </c>
      <c r="N9" s="4">
        <f>IF($J9="","",M9*20%)</f>
      </c>
      <c r="O9" s="4"/>
      <c r="P9" s="4">
        <f>IF($J9="","",O9*20%)</f>
      </c>
      <c r="Q9" s="4">
        <v>1</v>
      </c>
      <c r="R9" s="4">
        <f>IF($J9="","",N9+P9)</f>
      </c>
      <c r="S9" s="4">
        <f>IF($J9="","",K9-L9-M9-N9-O9-P9-Q9)</f>
      </c>
      <c r="T9" s="4">
        <f>IF($J9="","",(S9-V9)/I9*100)</f>
      </c>
      <c r="U9" s="4">
        <f>IF($J9="","",L9-R9)</f>
      </c>
      <c r="W9" s="4">
        <f>IF($J9="","",S9-V9)</f>
      </c>
    </row>
    <row r="10" spans="1:28" x14ac:dyDescent="0.25">
      <c r="A10" s="8"/>
      <c r="D10" s="9"/>
      <c r="I10" s="4"/>
      <c r="J10" s="4"/>
      <c r="K10" s="4">
        <f>IF($J10="","",J10-I10)</f>
      </c>
      <c r="L10" s="4">
        <f>IF($J10="","",K10*16.67%)</f>
      </c>
      <c r="M10" s="4">
        <f>IF($J10="","",J10*7%)</f>
      </c>
      <c r="N10" s="4">
        <f>IF($J10="","",M10*20%)</f>
      </c>
      <c r="O10" s="4"/>
      <c r="P10" s="4">
        <f>IF($J10="","",O10*20%)</f>
      </c>
      <c r="Q10" s="4">
        <v>1</v>
      </c>
      <c r="R10" s="4">
        <f>IF($J10="","",N10+P10)</f>
      </c>
      <c r="S10" s="4">
        <f>IF($J10="","",K10-L10-M10-N10-O10-P10-Q10)</f>
      </c>
      <c r="T10" s="4">
        <f>IF($J10="","",(S10-V10)/I10*100)</f>
      </c>
      <c r="U10" s="4">
        <f>IF($J10="","",L10-R10)</f>
      </c>
      <c r="W10" s="4">
        <f>IF($J10="","",S10-V10)</f>
      </c>
    </row>
    <row r="11" spans="1:28" x14ac:dyDescent="0.25">
      <c r="A11" s="8"/>
      <c r="D11" s="9"/>
      <c r="I11" s="4"/>
      <c r="J11" s="4"/>
      <c r="K11" s="4">
        <f>IF($J11="","",J11-I11)</f>
      </c>
      <c r="L11" s="4">
        <f>IF($J11="","",K11*16.67%)</f>
      </c>
      <c r="M11" s="4">
        <f>IF($J11="","",J11*7%)</f>
      </c>
      <c r="N11" s="4">
        <f>IF($J11="","",M11*20%)</f>
      </c>
      <c r="O11" s="4"/>
      <c r="P11" s="4">
        <f>IF($J11="","",O11*20%)</f>
      </c>
      <c r="Q11" s="4">
        <v>1</v>
      </c>
      <c r="R11" s="4">
        <f>IF($J11="","",N11+P11)</f>
      </c>
      <c r="S11" s="4">
        <f>IF($J11="","",K11-L11-M11-N11-O11-P11-Q11)</f>
      </c>
      <c r="T11" s="4">
        <f>IF($J11="","",(S11-V11)/I11*100)</f>
      </c>
      <c r="U11" s="4">
        <f>IF($J11="","",L11-R11)</f>
      </c>
      <c r="W11" s="4">
        <f>IF($J11="","",S11-V11)</f>
      </c>
    </row>
    <row r="12" spans="1:28" x14ac:dyDescent="0.25">
      <c r="A12" s="8"/>
      <c r="D12" s="9"/>
      <c r="I12" s="4"/>
      <c r="J12" s="4"/>
      <c r="K12" s="4">
        <f>IF($J12="","",J12-I12)</f>
      </c>
      <c r="L12" s="4">
        <f>IF($J12="","",K12*16.67%)</f>
      </c>
      <c r="M12" s="4">
        <f>IF($J12="","",J12*7%)</f>
      </c>
      <c r="N12" s="4">
        <f>IF($J12="","",M12*20%)</f>
      </c>
      <c r="O12" s="4"/>
      <c r="P12" s="4">
        <f>IF($J12="","",O12*20%)</f>
      </c>
      <c r="Q12" s="4">
        <v>1</v>
      </c>
      <c r="R12" s="4">
        <f>IF($J12="","",N12+P12)</f>
      </c>
      <c r="S12" s="4">
        <f>IF($J12="","",K12-L12-M12-N12-O12-P12-Q12)</f>
      </c>
      <c r="T12" s="4">
        <f>IF($J12="","",(S12-V12)/I12*100)</f>
      </c>
      <c r="U12" s="4">
        <f>IF($J12="","",L12-R12)</f>
      </c>
      <c r="W12" s="4">
        <f>IF($J12="","",S12-V12)</f>
      </c>
    </row>
    <row r="13" spans="1:28" x14ac:dyDescent="0.25">
      <c r="A13" s="8"/>
      <c r="D13" s="9"/>
      <c r="I13" s="4"/>
      <c r="J13" s="4"/>
      <c r="K13" s="4">
        <f>IF($J13="","",J13-I13)</f>
      </c>
      <c r="L13" s="4">
        <f>IF($J13="","",K13*16.67%)</f>
      </c>
      <c r="M13" s="4">
        <f>IF($J13="","",J13*7%)</f>
      </c>
      <c r="N13" s="4">
        <f>IF($J13="","",M13*20%)</f>
      </c>
      <c r="O13" s="4"/>
      <c r="P13" s="4">
        <f>IF($J13="","",O13*20%)</f>
      </c>
      <c r="Q13" s="4">
        <v>1</v>
      </c>
      <c r="R13" s="4">
        <f>IF($J13="","",N13+P13)</f>
      </c>
      <c r="S13" s="4">
        <f>IF($J13="","",K13-L13-M13-N13-O13-P13-Q13)</f>
      </c>
      <c r="T13" s="4">
        <f>IF($J13="","",(S13-V13)/I13*100)</f>
      </c>
      <c r="U13" s="4">
        <f>IF($J13="","",L13-R13)</f>
      </c>
      <c r="W13" s="4">
        <f>IF($J13="","",S13-V13)</f>
      </c>
    </row>
    <row r="14" spans="1:28" x14ac:dyDescent="0.25">
      <c r="A14" s="8"/>
      <c r="D14" s="9"/>
      <c r="I14" s="4"/>
      <c r="J14" s="4"/>
      <c r="K14" s="4">
        <f>IF($J14="","",J14-I14)</f>
      </c>
      <c r="L14" s="4">
        <f>IF($J14="","",K14*16.67%)</f>
      </c>
      <c r="M14" s="4">
        <f>IF($J14="","",J14*7%)</f>
      </c>
      <c r="N14" s="4">
        <f>IF($J14="","",M14*20%)</f>
      </c>
      <c r="O14" s="4"/>
      <c r="P14" s="4">
        <f>IF($J14="","",O14*20%)</f>
      </c>
      <c r="Q14" s="4">
        <v>1</v>
      </c>
      <c r="R14" s="4">
        <f>IF($J14="","",N14+P14)</f>
      </c>
      <c r="S14" s="4">
        <f>IF($J14="","",K14-L14-M14-N14-O14-P14-Q14)</f>
      </c>
      <c r="T14" s="4">
        <f>IF($J14="","",(S14-V14)/I14*100)</f>
      </c>
      <c r="U14" s="4">
        <f>IF($J14="","",L14-R14)</f>
      </c>
      <c r="W14" s="4">
        <f>IF($J14="","",S14-V14)</f>
      </c>
    </row>
    <row r="15" spans="1:28" x14ac:dyDescent="0.25">
      <c r="A15" s="8"/>
      <c r="D15" s="9"/>
      <c r="I15" s="4"/>
      <c r="J15" s="4"/>
      <c r="K15" s="4">
        <f>IF($J15="","",J15-I15)</f>
      </c>
      <c r="L15" s="4">
        <f>IF($J15="","",K15*16.67%)</f>
      </c>
      <c r="M15" s="4">
        <f>IF($J15="","",J15*7%)</f>
      </c>
      <c r="N15" s="4">
        <f>IF($J15="","",M15*20%)</f>
      </c>
      <c r="O15" s="4"/>
      <c r="P15" s="4">
        <f>IF($J15="","",O15*20%)</f>
      </c>
      <c r="Q15" s="4">
        <v>1</v>
      </c>
      <c r="R15" s="4">
        <f>IF($J15="","",N15+P15)</f>
      </c>
      <c r="S15" s="4">
        <f>IF($J15="","",K15-L15-M15-N15-O15-P15-Q15)</f>
      </c>
      <c r="T15" s="4">
        <f>IF($J15="","",(S15-V15)/I15*100)</f>
      </c>
      <c r="U15" s="4">
        <f>IF($J15="","",L15-R15)</f>
      </c>
      <c r="W15" s="4">
        <f>IF($J15="","",S15-V15)</f>
      </c>
    </row>
    <row r="16" spans="1:28" x14ac:dyDescent="0.25">
      <c r="A16" s="8"/>
      <c r="D16" s="9"/>
      <c r="I16" s="4"/>
      <c r="J16" s="4"/>
      <c r="K16" s="4">
        <f>IF($J16="","",J16-I16)</f>
      </c>
      <c r="L16" s="4">
        <f>IF($J16="","",K16*16.67%)</f>
      </c>
      <c r="M16" s="4">
        <f>IF($J16="","",J16*7%)</f>
      </c>
      <c r="N16" s="4">
        <f>IF($J16="","",M16*20%)</f>
      </c>
      <c r="O16" s="4"/>
      <c r="P16" s="4">
        <f>IF($J16="","",O16*20%)</f>
      </c>
      <c r="Q16" s="4">
        <v>1</v>
      </c>
      <c r="R16" s="4">
        <f>IF($J16="","",N16+P16)</f>
      </c>
      <c r="S16" s="4">
        <f>IF($J16="","",K16-L16-M16-N16-O16-P16-Q16)</f>
      </c>
      <c r="T16" s="4">
        <f>IF($J16="","",(S16-V16)/I16*100)</f>
      </c>
      <c r="U16" s="4">
        <f>IF($J16="","",L16-R16)</f>
      </c>
      <c r="W16" s="4">
        <f>IF($J16="","",S16-V16)</f>
      </c>
    </row>
    <row r="17" spans="1:28" x14ac:dyDescent="0.25">
      <c r="A17" s="8"/>
      <c r="D17" s="9"/>
      <c r="I17" s="4"/>
      <c r="J17" s="4"/>
      <c r="K17" s="4">
        <f>IF($J17="","",J17-I17)</f>
      </c>
      <c r="L17" s="4">
        <f>IF($J17="","",K17*16.67%)</f>
      </c>
      <c r="M17" s="4">
        <f>IF($J17="","",J17*7%)</f>
      </c>
      <c r="N17" s="4">
        <f>IF($J17="","",M17*20%)</f>
      </c>
      <c r="O17" s="4"/>
      <c r="P17" s="4">
        <f>IF($J17="","",O17*20%)</f>
      </c>
      <c r="Q17" s="4">
        <v>1</v>
      </c>
      <c r="R17" s="4">
        <f>IF($J17="","",N17+P17)</f>
      </c>
      <c r="S17" s="4">
        <f>IF($J17="","",K17-L17-M17-N17-O17-P17-Q17)</f>
      </c>
      <c r="T17" s="4">
        <f>IF($J17="","",(S17-V17)/I17*100)</f>
      </c>
      <c r="U17" s="4">
        <f>IF($J17="","",L17-R17)</f>
      </c>
      <c r="W17" s="4">
        <f>IF($J17="","",S17-V17)</f>
      </c>
    </row>
    <row r="18" spans="1:28" x14ac:dyDescent="0.25">
      <c r="A18" s="8"/>
      <c r="D18" s="9"/>
      <c r="I18" s="4"/>
      <c r="J18" s="4"/>
      <c r="K18" s="4">
        <f>IF($J18="","",J18-I18)</f>
      </c>
      <c r="L18" s="4">
        <f>IF($J18="","",K18*16.67%)</f>
      </c>
      <c r="M18" s="4">
        <f>IF($J18="","",J18*7%)</f>
      </c>
      <c r="N18" s="4">
        <f>IF($J18="","",M18*20%)</f>
      </c>
      <c r="O18" s="4"/>
      <c r="P18" s="4">
        <f>IF($J18="","",O18*20%)</f>
      </c>
      <c r="Q18" s="4">
        <v>1</v>
      </c>
      <c r="R18" s="4">
        <f>IF($J18="","",N18+P18)</f>
      </c>
      <c r="S18" s="4">
        <f>IF($J18="","",K18-L18-M18-N18-O18-P18-Q18)</f>
      </c>
      <c r="T18" s="4">
        <f>IF($J18="","",(S18-V18)/I18*100)</f>
      </c>
      <c r="U18" s="4">
        <f>IF($J18="","",L18-R18)</f>
      </c>
      <c r="W18" s="4">
        <f>IF($J18="","",S18-V18)</f>
      </c>
    </row>
    <row r="19" spans="1:28" x14ac:dyDescent="0.25">
      <c r="A19" s="8"/>
      <c r="D19" s="9"/>
      <c r="I19" s="4"/>
      <c r="J19" s="4"/>
      <c r="K19" s="4">
        <f>IF($J19="","",J19-I19)</f>
      </c>
      <c r="L19" s="4">
        <f>IF($J19="","",K19*16.67%)</f>
      </c>
      <c r="M19" s="4">
        <f>IF($J19="","",J19*7%)</f>
      </c>
      <c r="N19" s="4">
        <f>IF($J19="","",M19*20%)</f>
      </c>
      <c r="O19" s="4"/>
      <c r="P19" s="4">
        <f>IF($J19="","",O19*20%)</f>
      </c>
      <c r="Q19" s="4">
        <v>1</v>
      </c>
      <c r="R19" s="4">
        <f>IF($J19="","",N19+P19)</f>
      </c>
      <c r="S19" s="4">
        <f>IF($J19="","",K19-L19-M19-N19-O19-P19-Q19)</f>
      </c>
      <c r="T19" s="4">
        <f>IF($J19="","",(S19-V19)/I19*100)</f>
      </c>
      <c r="U19" s="4">
        <f>IF($J19="","",L19-R19)</f>
      </c>
      <c r="W19" s="4">
        <f>IF($J19="","",S19-V19)</f>
      </c>
    </row>
    <row r="20" spans="1:28" x14ac:dyDescent="0.25">
      <c r="A20" s="8"/>
      <c r="D20" s="9"/>
      <c r="I20" s="4"/>
      <c r="J20" s="4"/>
      <c r="K20" s="4">
        <f>IF($J20="","",J20-I20)</f>
      </c>
      <c r="L20" s="4">
        <f>IF($J20="","",K20*16.67%)</f>
      </c>
      <c r="M20" s="4">
        <f>IF($J20="","",J20*7%)</f>
      </c>
      <c r="N20" s="4">
        <f>IF($J20="","",M20*20%)</f>
      </c>
      <c r="O20" s="4"/>
      <c r="P20" s="4">
        <f>IF($J20="","",O20*20%)</f>
      </c>
      <c r="Q20" s="4">
        <v>1</v>
      </c>
      <c r="R20" s="4">
        <f>IF($J20="","",N20+P20)</f>
      </c>
      <c r="S20" s="4">
        <f>IF($J20="","",K20-L20-M20-N20-O20-P20-Q20)</f>
      </c>
      <c r="T20" s="4">
        <f>IF($J20="","",(S20-V20)/I20*100)</f>
      </c>
      <c r="U20" s="4">
        <f>IF($J20="","",L20-R20)</f>
      </c>
      <c r="W20" s="4">
        <f>IF($J20="","",S20-V20)</f>
      </c>
    </row>
    <row r="21" spans="1:28" x14ac:dyDescent="0.25">
      <c r="A21" s="8"/>
      <c r="D21" s="9"/>
      <c r="I21" s="4"/>
      <c r="J21" s="4"/>
      <c r="K21" s="4">
        <f>IF($J21="","",J21-I21)</f>
      </c>
      <c r="L21" s="4">
        <f>IF($J21="","",K21*16.67%)</f>
      </c>
      <c r="M21" s="4">
        <f>IF($J21="","",J21*7%)</f>
      </c>
      <c r="N21" s="4">
        <f>IF($J21="","",M21*20%)</f>
      </c>
      <c r="O21" s="4"/>
      <c r="P21" s="4">
        <f>IF($J21="","",O21*20%)</f>
      </c>
      <c r="Q21" s="4">
        <v>1</v>
      </c>
      <c r="R21" s="4">
        <f>IF($J21="","",N21+P21)</f>
      </c>
      <c r="S21" s="4">
        <f>IF($J21="","",K21-L21-M21-N21-O21-P21-Q21)</f>
      </c>
      <c r="T21" s="4">
        <f>IF($J21="","",(S21-V21)/I21*100)</f>
      </c>
      <c r="U21" s="4">
        <f>IF($J21="","",L21-R21)</f>
      </c>
      <c r="W21" s="4">
        <f>IF($J21="","",S21-V21)</f>
      </c>
    </row>
    <row r="22" spans="1:28" x14ac:dyDescent="0.25">
      <c r="A22" s="8"/>
      <c r="D22" s="9"/>
      <c r="I22" s="4"/>
      <c r="J22" s="4"/>
      <c r="K22" s="4">
        <f>IF($J22="","",J22-I22)</f>
      </c>
      <c r="L22" s="4">
        <f>IF($J22="","",K22*16.67%)</f>
      </c>
      <c r="M22" s="4">
        <f>IF($J22="","",J22*7%)</f>
      </c>
      <c r="N22" s="4">
        <f>IF($J22="","",M22*20%)</f>
      </c>
      <c r="O22" s="4"/>
      <c r="P22" s="4">
        <f>IF($J22="","",O22*20%)</f>
      </c>
      <c r="Q22" s="4">
        <v>1</v>
      </c>
      <c r="R22" s="4">
        <f>IF($J22="","",N22+P22)</f>
      </c>
      <c r="S22" s="4">
        <f>IF($J22="","",K22-L22-M22-N22-O22-P22-Q22)</f>
      </c>
      <c r="T22" s="4">
        <f>IF($J22="","",(S22-V22)/I22*100)</f>
      </c>
      <c r="U22" s="4">
        <f>IF($J22="","",L22-R22)</f>
      </c>
      <c r="W22" s="4">
        <f>IF($J22="","",S22-V22)</f>
      </c>
    </row>
    <row r="23" spans="1:28" x14ac:dyDescent="0.25">
      <c r="A23" s="8"/>
      <c r="D23" s="9"/>
      <c r="I23" s="4"/>
      <c r="J23" s="4"/>
      <c r="K23" s="4">
        <f>IF($J23="","",J23-I23)</f>
      </c>
      <c r="L23" s="4">
        <f>IF($J23="","",K23*16.67%)</f>
      </c>
      <c r="M23" s="4">
        <f>IF($J23="","",J23*7%)</f>
      </c>
      <c r="N23" s="4">
        <f>IF($J23="","",M23*20%)</f>
      </c>
      <c r="O23" s="4"/>
      <c r="P23" s="4">
        <f>IF($J23="","",O23*20%)</f>
      </c>
      <c r="Q23" s="4">
        <v>1</v>
      </c>
      <c r="R23" s="4">
        <f>IF($J23="","",N23+P23)</f>
      </c>
      <c r="S23" s="4">
        <f>IF($J23="","",K23-L23-M23-N23-O23-P23-Q23)</f>
      </c>
      <c r="T23" s="4">
        <f>IF($J23="","",(S23-V23)/I23*100)</f>
      </c>
      <c r="U23" s="4">
        <f>IF($J23="","",L23-R23)</f>
      </c>
      <c r="W23" s="4">
        <f>IF($J23="","",S23-V23)</f>
      </c>
    </row>
    <row r="24" spans="1:28" x14ac:dyDescent="0.25">
      <c r="A24" s="8"/>
      <c r="D24" s="9"/>
      <c r="I24" s="4"/>
      <c r="J24" s="4"/>
      <c r="K24" s="4">
        <f>IF($J24="","",J24-I24)</f>
      </c>
      <c r="L24" s="4">
        <f>IF($J24="","",K24*16.67%)</f>
      </c>
      <c r="M24" s="4">
        <f>IF($J24="","",J24*7%)</f>
      </c>
      <c r="N24" s="4">
        <f>IF($J24="","",M24*20%)</f>
      </c>
      <c r="O24" s="4"/>
      <c r="P24" s="4">
        <f>IF($J24="","",O24*20%)</f>
      </c>
      <c r="Q24" s="4">
        <v>1</v>
      </c>
      <c r="R24" s="4">
        <f>IF($J24="","",N24+P24)</f>
      </c>
      <c r="S24" s="4">
        <f>IF($J24="","",K24-L24-M24-N24-O24-P24-Q24)</f>
      </c>
      <c r="T24" s="4">
        <f>IF($J24="","",(S24-V24)/I24*100)</f>
      </c>
      <c r="U24" s="4">
        <f>IF($J24="","",L24-R24)</f>
      </c>
      <c r="W24" s="4">
        <f>IF($J24="","",S24-V24)</f>
      </c>
    </row>
    <row r="25" spans="1:28" x14ac:dyDescent="0.25">
      <c r="A25" s="8"/>
      <c r="D25" s="9"/>
      <c r="I25" s="4"/>
      <c r="J25" s="4"/>
      <c r="K25" s="4">
        <f>IF($J25="","",J25-I25)</f>
      </c>
      <c r="L25" s="4">
        <f>IF($J25="","",K25*16.67%)</f>
      </c>
      <c r="M25" s="4">
        <f>IF($J25="","",J25*7%)</f>
      </c>
      <c r="N25" s="4">
        <f>IF($J25="","",M25*20%)</f>
      </c>
      <c r="O25" s="4"/>
      <c r="P25" s="4">
        <f>IF($J25="","",O25*20%)</f>
      </c>
      <c r="Q25" s="4">
        <v>1</v>
      </c>
      <c r="R25" s="4">
        <f>IF($J25="","",N25+P25)</f>
      </c>
      <c r="S25" s="4">
        <f>IF($J25="","",K25-L25-M25-N25-O25-P25-Q25)</f>
      </c>
      <c r="T25" s="4">
        <f>IF($J25="","",(S25-V25)/I25*100)</f>
      </c>
      <c r="U25" s="4">
        <f>IF($J25="","",L25-R25)</f>
      </c>
      <c r="W25" s="4">
        <f>IF($J25="","",S25-V25)</f>
      </c>
    </row>
    <row r="26" spans="1:28" x14ac:dyDescent="0.25">
      <c r="A26" s="8"/>
      <c r="D26" s="9"/>
      <c r="I26" s="4"/>
      <c r="J26" s="4"/>
      <c r="K26" s="4">
        <f>IF($J26="","",J26-I26)</f>
      </c>
      <c r="L26" s="4">
        <f>IF($J26="","",K26*16.67%)</f>
      </c>
      <c r="M26" s="4">
        <f>IF($J26="","",J26*7%)</f>
      </c>
      <c r="N26" s="4">
        <f>IF($J26="","",M26*20%)</f>
      </c>
      <c r="O26" s="4"/>
      <c r="P26" s="4">
        <f>IF($J26="","",O26*20%)</f>
      </c>
      <c r="Q26" s="4">
        <v>1</v>
      </c>
      <c r="R26" s="4">
        <f>IF($J26="","",N26+P26)</f>
      </c>
      <c r="S26" s="4">
        <f>IF($J26="","",K26-L26-M26-N26-O26-P26-Q26)</f>
      </c>
      <c r="T26" s="4">
        <f>IF($J26="","",(S26-V26)/I26*100)</f>
      </c>
      <c r="U26" s="4">
        <f>IF($J26="","",L26-R26)</f>
      </c>
      <c r="W26" s="4">
        <f>IF($J26="","",S26-V26)</f>
      </c>
    </row>
    <row r="27" spans="1:28" x14ac:dyDescent="0.25">
      <c r="A27" s="8"/>
      <c r="D27" s="9"/>
      <c r="I27" s="4"/>
      <c r="J27" s="4"/>
      <c r="K27" s="4">
        <f>IF($J27="","",J27-I27)</f>
      </c>
      <c r="L27" s="4">
        <f>IF($J27="","",K27*16.67%)</f>
      </c>
      <c r="M27" s="4">
        <f>IF($J27="","",J27*7%)</f>
      </c>
      <c r="N27" s="4">
        <f>IF($J27="","",M27*20%)</f>
      </c>
      <c r="O27" s="4"/>
      <c r="P27" s="4">
        <f>IF($J27="","",O27*20%)</f>
      </c>
      <c r="Q27" s="4">
        <v>1</v>
      </c>
      <c r="R27" s="4">
        <f>IF($J27="","",N27+P27)</f>
      </c>
      <c r="S27" s="4">
        <f>IF($J27="","",K27-L27-M27-N27-O27-P27-Q27)</f>
      </c>
      <c r="T27" s="4">
        <f>IF($J27="","",(S27-V27)/I27*100)</f>
      </c>
      <c r="U27" s="4">
        <f>IF($J27="","",L27-R27)</f>
      </c>
      <c r="W27" s="4">
        <f>IF($J27="","",S27-V27)</f>
      </c>
    </row>
    <row r="28" spans="1:28" x14ac:dyDescent="0.25">
      <c r="A28" s="8"/>
      <c r="D28" s="9"/>
      <c r="I28" s="4"/>
      <c r="J28" s="4"/>
      <c r="K28" s="4">
        <f>IF($J28="","",J28-I28)</f>
      </c>
      <c r="L28" s="4">
        <f>IF($J28="","",K28*16.67%)</f>
      </c>
      <c r="M28" s="4">
        <f>IF($J28="","",J28*7%)</f>
      </c>
      <c r="N28" s="4">
        <f>IF($J28="","",M28*20%)</f>
      </c>
      <c r="O28" s="4"/>
      <c r="P28" s="4">
        <f>IF($J28="","",O28*20%)</f>
      </c>
      <c r="Q28" s="4">
        <v>1</v>
      </c>
      <c r="R28" s="4">
        <f>IF($J28="","",N28+P28)</f>
      </c>
      <c r="S28" s="4">
        <f>IF($J28="","",K28-L28-M28-N28-O28-P28-Q28)</f>
      </c>
      <c r="T28" s="4">
        <f>IF($J28="","",(S28-V28)/I28*100)</f>
      </c>
      <c r="U28" s="4">
        <f>IF($J28="","",L28-R28)</f>
      </c>
      <c r="W28" s="4">
        <f>IF($J28="","",S28-V28)</f>
      </c>
    </row>
    <row r="29" spans="1:28" x14ac:dyDescent="0.25">
      <c r="A29" s="8"/>
      <c r="D29" s="9"/>
      <c r="I29" s="4"/>
      <c r="J29" s="4"/>
      <c r="K29" s="4">
        <f>IF($J29="","",J29-I29)</f>
      </c>
      <c r="L29" s="4">
        <f>IF($J29="","",K29*16.67%)</f>
      </c>
      <c r="M29" s="4">
        <f>IF($J29="","",J29*7%)</f>
      </c>
      <c r="N29" s="4">
        <f>IF($J29="","",M29*20%)</f>
      </c>
      <c r="O29" s="4"/>
      <c r="P29" s="4">
        <f>IF($J29="","",O29*20%)</f>
      </c>
      <c r="Q29" s="4">
        <v>1</v>
      </c>
      <c r="R29" s="4">
        <f>IF($J29="","",N29+P29)</f>
      </c>
      <c r="S29" s="4">
        <f>IF($J29="","",K29-L29-M29-N29-O29-P29-Q29)</f>
      </c>
      <c r="T29" s="4">
        <f>IF($J29="","",(S29-V29)/I29*100)</f>
      </c>
      <c r="U29" s="4">
        <f>IF($J29="","",L29-R29)</f>
      </c>
      <c r="W29" s="4">
        <f>IF($J29="","",S29-V29)</f>
      </c>
    </row>
    <row r="30" spans="1:28" x14ac:dyDescent="0.25">
      <c r="A30" s="8"/>
      <c r="D30" s="9"/>
      <c r="I30" s="4"/>
      <c r="J30" s="4"/>
      <c r="K30" s="4">
        <f>IF($J30="","",J30-I30)</f>
      </c>
      <c r="L30" s="4">
        <f>IF($J30="","",K30*16.67%)</f>
      </c>
      <c r="M30" s="4">
        <f>IF($J30="","",J30*7%)</f>
      </c>
      <c r="N30" s="4">
        <f>IF($J30="","",M30*20%)</f>
      </c>
      <c r="O30" s="4"/>
      <c r="P30" s="4">
        <f>IF($J30="","",O30*20%)</f>
      </c>
      <c r="Q30" s="4">
        <v>1</v>
      </c>
      <c r="R30" s="4">
        <f>IF($J30="","",N30+P30)</f>
      </c>
      <c r="S30" s="4">
        <f>IF($J30="","",K30-L30-M30-N30-O30-P30-Q30)</f>
      </c>
      <c r="T30" s="4">
        <f>IF($J30="","",(S30-V30)/I30*100)</f>
      </c>
      <c r="U30" s="4">
        <f>IF($J30="","",L30-R30)</f>
      </c>
      <c r="W30" s="4">
        <f>IF($J30="","",S30-V30)</f>
      </c>
    </row>
    <row r="31" spans="1:28" x14ac:dyDescent="0.25">
      <c r="A31" s="8"/>
      <c r="D31" s="9"/>
      <c r="I31" s="4"/>
      <c r="J31" s="4"/>
      <c r="K31" s="4">
        <f>IF($J31="","",J31-I31)</f>
      </c>
      <c r="L31" s="4">
        <f>IF($J31="","",K31*16.67%)</f>
      </c>
      <c r="M31" s="4">
        <f>IF($J31="","",J31*7%)</f>
      </c>
      <c r="N31" s="4">
        <f>IF($J31="","",M31*20%)</f>
      </c>
      <c r="O31" s="4"/>
      <c r="P31" s="4">
        <f>IF($J31="","",O31*20%)</f>
      </c>
      <c r="Q31" s="4">
        <v>1</v>
      </c>
      <c r="R31" s="4">
        <f>IF($J31="","",N31+P31)</f>
      </c>
      <c r="S31" s="4">
        <f>IF($J31="","",K31-L31-M31-N31-O31-P31-Q31)</f>
      </c>
      <c r="T31" s="4">
        <f>IF($J31="","",(S31-V31)/I31*100)</f>
      </c>
      <c r="U31" s="4">
        <f>IF($J31="","",L31-R31)</f>
      </c>
      <c r="W31" s="4">
        <f>IF($J31="","",S31-V31)</f>
      </c>
    </row>
    <row r="32" spans="1:28" x14ac:dyDescent="0.25">
      <c r="A32" s="8"/>
      <c r="D32" s="9"/>
      <c r="I32" s="4"/>
      <c r="J32" s="4"/>
      <c r="K32" s="4">
        <f>IF($J32="","",J32-I32)</f>
      </c>
      <c r="L32" s="4">
        <f>IF($J32="","",K32*16.67%)</f>
      </c>
      <c r="M32" s="4">
        <f>IF($J32="","",J32*7%)</f>
      </c>
      <c r="N32" s="4">
        <f>IF($J32="","",M32*20%)</f>
      </c>
      <c r="O32" s="4"/>
      <c r="P32" s="4">
        <f>IF($J32="","",O32*20%)</f>
      </c>
      <c r="Q32" s="4">
        <v>1</v>
      </c>
      <c r="R32" s="4">
        <f>IF($J32="","",N32+P32)</f>
      </c>
      <c r="S32" s="4">
        <f>IF($J32="","",K32-L32-M32-N32-O32-P32-Q32)</f>
      </c>
      <c r="T32" s="4">
        <f>IF($J32="","",(S32-V32)/I32*100)</f>
      </c>
      <c r="U32" s="4">
        <f>IF($J32="","",L32-R32)</f>
      </c>
      <c r="W32" s="4">
        <f>IF($J32="","",S32-V32)</f>
      </c>
    </row>
    <row r="33" spans="1:28" x14ac:dyDescent="0.25">
      <c r="A33" s="8"/>
      <c r="D33" s="9"/>
      <c r="I33" s="4"/>
      <c r="J33" s="4"/>
      <c r="K33" s="4">
        <f>IF($J33="","",J33-I33)</f>
      </c>
      <c r="L33" s="4">
        <f>IF($J33="","",K33*16.67%)</f>
      </c>
      <c r="M33" s="4">
        <f>IF($J33="","",J33*7%)</f>
      </c>
      <c r="N33" s="4">
        <f>IF($J33="","",M33*20%)</f>
      </c>
      <c r="O33" s="4"/>
      <c r="P33" s="4">
        <f>IF($J33="","",O33*20%)</f>
      </c>
      <c r="Q33" s="4">
        <v>1</v>
      </c>
      <c r="R33" s="4">
        <f>IF($J33="","",N33+P33)</f>
      </c>
      <c r="S33" s="4">
        <f>IF($J33="","",K33-L33-M33-N33-O33-P33-Q33)</f>
      </c>
      <c r="T33" s="4">
        <f>IF($J33="","",(S33-V33)/I33*100)</f>
      </c>
      <c r="U33" s="4">
        <f>IF($J33="","",L33-R33)</f>
      </c>
      <c r="W33" s="4">
        <f>IF($J33="","",S33-V33)</f>
      </c>
    </row>
    <row r="34" spans="1:28" x14ac:dyDescent="0.25">
      <c r="A34" s="8"/>
      <c r="D34" s="9"/>
      <c r="I34" s="4"/>
      <c r="J34" s="4"/>
      <c r="K34" s="4">
        <f>IF($J34="","",J34-I34)</f>
      </c>
      <c r="L34" s="4">
        <f>IF($J34="","",K34*16.67%)</f>
      </c>
      <c r="M34" s="4">
        <f>IF($J34="","",J34*7%)</f>
      </c>
      <c r="N34" s="4">
        <f>IF($J34="","",M34*20%)</f>
      </c>
      <c r="O34" s="4"/>
      <c r="P34" s="4">
        <f>IF($J34="","",O34*20%)</f>
      </c>
      <c r="Q34" s="4">
        <v>1</v>
      </c>
      <c r="R34" s="4">
        <f>IF($J34="","",N34+P34)</f>
      </c>
      <c r="S34" s="4">
        <f>IF($J34="","",K34-L34-M34-N34-O34-P34-Q34)</f>
      </c>
      <c r="T34" s="4">
        <f>IF($J34="","",(S34-V34)/I34*100)</f>
      </c>
      <c r="U34" s="4">
        <f>IF($J34="","",L34-R34)</f>
      </c>
      <c r="W34" s="4">
        <f>IF($J34="","",S34-V34)</f>
      </c>
    </row>
    <row r="35" spans="1:28" x14ac:dyDescent="0.25">
      <c r="A35" s="8"/>
      <c r="D35" s="9"/>
      <c r="I35" s="4"/>
      <c r="J35" s="4"/>
      <c r="K35" s="4">
        <f>IF($J35="","",J35-I35)</f>
      </c>
      <c r="L35" s="4">
        <f>IF($J35="","",K35*16.67%)</f>
      </c>
      <c r="M35" s="4">
        <f>IF($J35="","",J35*7%)</f>
      </c>
      <c r="N35" s="4">
        <f>IF($J35="","",M35*20%)</f>
      </c>
      <c r="O35" s="4"/>
      <c r="P35" s="4">
        <f>IF($J35="","",O35*20%)</f>
      </c>
      <c r="Q35" s="4">
        <v>1</v>
      </c>
      <c r="R35" s="4">
        <f>IF($J35="","",N35+P35)</f>
      </c>
      <c r="S35" s="4">
        <f>IF($J35="","",K35-L35-M35-N35-O35-P35-Q35)</f>
      </c>
      <c r="T35" s="4">
        <f>IF($J35="","",(S35-V35)/I35*100)</f>
      </c>
      <c r="U35" s="4">
        <f>IF($J35="","",L35-R35)</f>
      </c>
      <c r="W35" s="4">
        <f>IF($J35="","",S35-V35)</f>
      </c>
    </row>
    <row r="36" spans="1:28" x14ac:dyDescent="0.25">
      <c r="A36" s="8"/>
      <c r="D36" s="9"/>
      <c r="I36" s="4"/>
      <c r="J36" s="4"/>
      <c r="K36" s="4">
        <f>IF($J36="","",J36-I36)</f>
      </c>
      <c r="L36" s="4">
        <f>IF($J36="","",K36*16.67%)</f>
      </c>
      <c r="M36" s="4">
        <f>IF($J36="","",J36*7%)</f>
      </c>
      <c r="N36" s="4">
        <f>IF($J36="","",M36*20%)</f>
      </c>
      <c r="O36" s="4"/>
      <c r="P36" s="4">
        <f>IF($J36="","",O36*20%)</f>
      </c>
      <c r="Q36" s="4">
        <v>1</v>
      </c>
      <c r="R36" s="4">
        <f>IF($J36="","",N36+P36)</f>
      </c>
      <c r="S36" s="4">
        <f>IF($J36="","",K36-L36-M36-N36-O36-P36-Q36)</f>
      </c>
      <c r="T36" s="4">
        <f>IF($J36="","",(S36-V36)/I36*100)</f>
      </c>
      <c r="U36" s="4">
        <f>IF($J36="","",L36-R36)</f>
      </c>
      <c r="W36" s="4">
        <f>IF($J36="","",S36-V36)</f>
      </c>
    </row>
    <row r="37" spans="1:28" x14ac:dyDescent="0.25">
      <c r="A37" s="8"/>
      <c r="D37" s="9"/>
      <c r="I37" s="4"/>
      <c r="J37" s="4"/>
      <c r="K37" s="4">
        <f>IF($J37="","",J37-I37)</f>
      </c>
      <c r="L37" s="4">
        <f>IF($J37="","",K37*16.67%)</f>
      </c>
      <c r="M37" s="4">
        <f>IF($J37="","",J37*7%)</f>
      </c>
      <c r="N37" s="4">
        <f>IF($J37="","",M37*20%)</f>
      </c>
      <c r="O37" s="4"/>
      <c r="P37" s="4">
        <f>IF($J37="","",O37*20%)</f>
      </c>
      <c r="Q37" s="4">
        <v>1</v>
      </c>
      <c r="R37" s="4">
        <f>IF($J37="","",N37+P37)</f>
      </c>
      <c r="S37" s="4">
        <f>IF($J37="","",K37-L37-M37-N37-O37-P37-Q37)</f>
      </c>
      <c r="T37" s="4">
        <f>IF($J37="","",(S37-V37)/I37*100)</f>
      </c>
      <c r="U37" s="4">
        <f>IF($J37="","",L37-R37)</f>
      </c>
      <c r="W37" s="4">
        <f>IF($J37="","",S37-V37)</f>
      </c>
    </row>
    <row r="38" spans="1:28" x14ac:dyDescent="0.25">
      <c r="A38" s="8"/>
      <c r="D38" s="9"/>
      <c r="I38" s="4"/>
      <c r="J38" s="4"/>
      <c r="K38" s="4">
        <f>IF($J38="","",J38-I38)</f>
      </c>
      <c r="L38" s="4">
        <f>IF($J38="","",K38*16.67%)</f>
      </c>
      <c r="M38" s="4">
        <f>IF($J38="","",J38*7%)</f>
      </c>
      <c r="N38" s="4">
        <f>IF($J38="","",M38*20%)</f>
      </c>
      <c r="O38" s="4"/>
      <c r="P38" s="4">
        <f>IF($J38="","",O38*20%)</f>
      </c>
      <c r="Q38" s="4">
        <v>1</v>
      </c>
      <c r="R38" s="4">
        <f>IF($J38="","",N38+P38)</f>
      </c>
      <c r="S38" s="4">
        <f>IF($J38="","",K38-L38-M38-N38-O38-P38-Q38)</f>
      </c>
      <c r="T38" s="4">
        <f>IF($J38="","",(S38-V38)/I38*100)</f>
      </c>
      <c r="U38" s="4">
        <f>IF($J38="","",L38-R38)</f>
      </c>
      <c r="W38" s="4">
        <f>IF($J38="","",S38-V38)</f>
      </c>
    </row>
    <row r="39" spans="1:28" x14ac:dyDescent="0.25">
      <c r="A39" s="8"/>
      <c r="D39" s="9"/>
      <c r="I39" s="4"/>
      <c r="J39" s="4"/>
      <c r="K39" s="4">
        <f>IF($J39="","",J39-I39)</f>
      </c>
      <c r="L39" s="4">
        <f>IF($J39="","",K39*16.67%)</f>
      </c>
      <c r="M39" s="4">
        <f>IF($J39="","",J39*7%)</f>
      </c>
      <c r="N39" s="4">
        <f>IF($J39="","",M39*20%)</f>
      </c>
      <c r="O39" s="4"/>
      <c r="P39" s="4">
        <f>IF($J39="","",O39*20%)</f>
      </c>
      <c r="Q39" s="4">
        <v>1</v>
      </c>
      <c r="R39" s="4">
        <f>IF($J39="","",N39+P39)</f>
      </c>
      <c r="S39" s="4">
        <f>IF($J39="","",K39-L39-M39-N39-O39-P39-Q39)</f>
      </c>
      <c r="T39" s="4">
        <f>IF($J39="","",(S39-V39)/I39*100)</f>
      </c>
      <c r="U39" s="4">
        <f>IF($J39="","",L39-R39)</f>
      </c>
      <c r="W39" s="4">
        <f>IF($J39="","",S39-V39)</f>
      </c>
    </row>
    <row r="40" spans="1:28" x14ac:dyDescent="0.25">
      <c r="A40" s="8"/>
      <c r="D40" s="9"/>
      <c r="I40" s="4"/>
      <c r="J40" s="4"/>
      <c r="K40" s="4">
        <f>IF($J40="","",J40-I40)</f>
      </c>
      <c r="L40" s="4">
        <f>IF($J40="","",K40*16.67%)</f>
      </c>
      <c r="M40" s="4">
        <f>IF($J40="","",J40*7%)</f>
      </c>
      <c r="N40" s="4">
        <f>IF($J40="","",M40*20%)</f>
      </c>
      <c r="O40" s="4"/>
      <c r="P40" s="4">
        <f>IF($J40="","",O40*20%)</f>
      </c>
      <c r="Q40" s="4">
        <v>1</v>
      </c>
      <c r="R40" s="4">
        <f>IF($J40="","",N40+P40)</f>
      </c>
      <c r="S40" s="4">
        <f>IF($J40="","",K40-L40-M40-N40-O40-P40-Q40)</f>
      </c>
      <c r="T40" s="4">
        <f>IF($J40="","",(S40-V40)/I40*100)</f>
      </c>
      <c r="U40" s="4">
        <f>IF($J40="","",L40-R40)</f>
      </c>
      <c r="W40" s="4">
        <f>IF($J40="","",S40-V40)</f>
      </c>
    </row>
    <row r="41" spans="1:28" x14ac:dyDescent="0.25">
      <c r="A41" s="8"/>
      <c r="D41" s="9"/>
      <c r="I41" s="4"/>
      <c r="J41" s="4"/>
      <c r="K41" s="4">
        <f>IF($J41="","",J41-I41)</f>
      </c>
      <c r="L41" s="4">
        <f>IF($J41="","",K41*16.67%)</f>
      </c>
      <c r="M41" s="4">
        <f>IF($J41="","",J41*7%)</f>
      </c>
      <c r="N41" s="4">
        <f>IF($J41="","",M41*20%)</f>
      </c>
      <c r="O41" s="4"/>
      <c r="P41" s="4">
        <f>IF($J41="","",O41*20%)</f>
      </c>
      <c r="Q41" s="4">
        <v>1</v>
      </c>
      <c r="R41" s="4">
        <f>IF($J41="","",N41+P41)</f>
      </c>
      <c r="S41" s="4">
        <f>IF($J41="","",K41-L41-M41-N41-O41-P41-Q41)</f>
      </c>
      <c r="T41" s="4">
        <f>IF($J41="","",(S41-V41)/I41*100)</f>
      </c>
      <c r="U41" s="4">
        <f>IF($J41="","",L41-R41)</f>
      </c>
      <c r="W41" s="4">
        <f>IF($J41="","",S41-V41)</f>
      </c>
    </row>
    <row r="42" spans="1:28" x14ac:dyDescent="0.25">
      <c r="A42" s="8"/>
      <c r="D42" s="9"/>
      <c r="I42" s="4"/>
      <c r="J42" s="4"/>
      <c r="K42" s="4">
        <f>IF($J42="","",J42-I42)</f>
      </c>
      <c r="L42" s="4">
        <f>IF($J42="","",K42*16.67%)</f>
      </c>
      <c r="M42" s="4">
        <f>IF($J42="","",J42*7%)</f>
      </c>
      <c r="N42" s="4">
        <f>IF($J42="","",M42*20%)</f>
      </c>
      <c r="O42" s="4"/>
      <c r="P42" s="4">
        <f>IF($J42="","",O42*20%)</f>
      </c>
      <c r="Q42" s="4">
        <v>1</v>
      </c>
      <c r="R42" s="4">
        <f>IF($J42="","",N42+P42)</f>
      </c>
      <c r="S42" s="4">
        <f>IF($J42="","",K42-L42-M42-N42-O42-P42-Q42)</f>
      </c>
      <c r="T42" s="4">
        <f>IF($J42="","",(S42-V42)/I42*100)</f>
      </c>
      <c r="U42" s="4">
        <f>IF($J42="","",L42-R42)</f>
      </c>
      <c r="W42" s="4">
        <f>IF($J42="","",S42-V42)</f>
      </c>
    </row>
    <row r="43" spans="1:28" x14ac:dyDescent="0.25">
      <c r="A43" s="8"/>
      <c r="D43" s="9"/>
      <c r="I43" s="4"/>
      <c r="J43" s="4"/>
      <c r="K43" s="4">
        <f>IF($J43="","",J43-I43)</f>
      </c>
      <c r="L43" s="4">
        <f>IF($J43="","",K43*16.67%)</f>
      </c>
      <c r="M43" s="4">
        <f>IF($J43="","",J43*7%)</f>
      </c>
      <c r="N43" s="4">
        <f>IF($J43="","",M43*20%)</f>
      </c>
      <c r="O43" s="4"/>
      <c r="P43" s="4">
        <f>IF($J43="","",O43*20%)</f>
      </c>
      <c r="Q43" s="4">
        <v>1</v>
      </c>
      <c r="R43" s="4">
        <f>IF($J43="","",N43+P43)</f>
      </c>
      <c r="S43" s="4">
        <f>IF($J43="","",K43-L43-M43-N43-O43-P43-Q43)</f>
      </c>
      <c r="T43" s="4">
        <f>IF($J43="","",(S43-V43)/I43*100)</f>
      </c>
      <c r="U43" s="4">
        <f>IF($J43="","",L43-R43)</f>
      </c>
      <c r="W43" s="4">
        <f>IF($J43="","",S43-V43)</f>
      </c>
    </row>
    <row r="44" spans="1:28" x14ac:dyDescent="0.25">
      <c r="A44" s="8"/>
      <c r="D44" s="9"/>
      <c r="I44" s="4"/>
      <c r="J44" s="4"/>
      <c r="K44" s="4">
        <f>IF($J44="","",J44-I44)</f>
      </c>
      <c r="L44" s="4">
        <f>IF($J44="","",K44*16.67%)</f>
      </c>
      <c r="M44" s="4">
        <f>IF($J44="","",J44*7%)</f>
      </c>
      <c r="N44" s="4">
        <f>IF($J44="","",M44*20%)</f>
      </c>
      <c r="O44" s="4"/>
      <c r="P44" s="4">
        <f>IF($J44="","",O44*20%)</f>
      </c>
      <c r="Q44" s="4">
        <v>1</v>
      </c>
      <c r="R44" s="4">
        <f>IF($J44="","",N44+P44)</f>
      </c>
      <c r="S44" s="4">
        <f>IF($J44="","",K44-L44-M44-N44-O44-P44-Q44)</f>
      </c>
      <c r="T44" s="4">
        <f>IF($J44="","",(S44-V44)/I44*100)</f>
      </c>
      <c r="U44" s="4">
        <f>IF($J44="","",L44-R44)</f>
      </c>
      <c r="W44" s="4">
        <f>IF($J44="","",S44-V44)</f>
      </c>
    </row>
    <row r="45" spans="1:28" x14ac:dyDescent="0.25">
      <c r="A45" s="8"/>
      <c r="D45" s="9"/>
      <c r="I45" s="4"/>
      <c r="J45" s="4"/>
      <c r="K45" s="4">
        <f>IF($J45="","",J45-I45)</f>
      </c>
      <c r="L45" s="4">
        <f>IF($J45="","",K45*16.67%)</f>
      </c>
      <c r="M45" s="4">
        <f>IF($J45="","",J45*7%)</f>
      </c>
      <c r="N45" s="4">
        <f>IF($J45="","",M45*20%)</f>
      </c>
      <c r="O45" s="4"/>
      <c r="P45" s="4">
        <f>IF($J45="","",O45*20%)</f>
      </c>
      <c r="Q45" s="4">
        <v>1</v>
      </c>
      <c r="R45" s="4">
        <f>IF($J45="","",N45+P45)</f>
      </c>
      <c r="S45" s="4">
        <f>IF($J45="","",K45-L45-M45-N45-O45-P45-Q45)</f>
      </c>
      <c r="T45" s="4">
        <f>IF($J45="","",(S45-V45)/I45*100)</f>
      </c>
      <c r="U45" s="4">
        <f>IF($J45="","",L45-R45)</f>
      </c>
      <c r="W45" s="4">
        <f>IF($J45="","",S45-V45)</f>
      </c>
    </row>
    <row r="46" spans="1:28" x14ac:dyDescent="0.25">
      <c r="A46" s="8"/>
      <c r="D46" s="9"/>
      <c r="I46" s="4"/>
      <c r="J46" s="4"/>
      <c r="K46" s="4">
        <f>IF($J46="","",J46-I46)</f>
      </c>
      <c r="L46" s="4">
        <f>IF($J46="","",K46*16.67%)</f>
      </c>
      <c r="M46" s="4">
        <f>IF($J46="","",J46*7%)</f>
      </c>
      <c r="N46" s="4">
        <f>IF($J46="","",M46*20%)</f>
      </c>
      <c r="O46" s="4"/>
      <c r="P46" s="4">
        <f>IF($J46="","",O46*20%)</f>
      </c>
      <c r="Q46" s="4">
        <v>1</v>
      </c>
      <c r="R46" s="4">
        <f>IF($J46="","",N46+P46)</f>
      </c>
      <c r="S46" s="4">
        <f>IF($J46="","",K46-L46-M46-N46-O46-P46-Q46)</f>
      </c>
      <c r="T46" s="4">
        <f>IF($J46="","",(S46-V46)/I46*100)</f>
      </c>
      <c r="U46" s="4">
        <f>IF($J46="","",L46-R46)</f>
      </c>
      <c r="W46" s="4">
        <f>IF($J46="","",S46-V46)</f>
      </c>
    </row>
    <row r="47" spans="1:28" x14ac:dyDescent="0.25">
      <c r="A47" s="8"/>
      <c r="D47" s="9"/>
      <c r="I47" s="4"/>
      <c r="J47" s="4"/>
      <c r="K47" s="4">
        <f>IF($J47="","",J47-I47)</f>
      </c>
      <c r="L47" s="4">
        <f>IF($J47="","",K47*16.67%)</f>
      </c>
      <c r="M47" s="4">
        <f>IF($J47="","",J47*7%)</f>
      </c>
      <c r="N47" s="4">
        <f>IF($J47="","",M47*20%)</f>
      </c>
      <c r="O47" s="4"/>
      <c r="P47" s="4">
        <f>IF($J47="","",O47*20%)</f>
      </c>
      <c r="Q47" s="4">
        <v>1</v>
      </c>
      <c r="R47" s="4">
        <f>IF($J47="","",N47+P47)</f>
      </c>
      <c r="S47" s="4">
        <f>IF($J47="","",K47-L47-M47-N47-O47-P47-Q47)</f>
      </c>
      <c r="T47" s="4">
        <f>IF($J47="","",(S47-V47)/I47*100)</f>
      </c>
      <c r="U47" s="4">
        <f>IF($J47="","",L47-R47)</f>
      </c>
      <c r="W47" s="4">
        <f>IF($J47="","",S47-V47)</f>
      </c>
    </row>
    <row r="48" spans="1:28" x14ac:dyDescent="0.25">
      <c r="A48" s="8"/>
      <c r="D48" s="9"/>
      <c r="I48" s="4"/>
      <c r="J48" s="4"/>
      <c r="K48" s="4">
        <f>IF($J48="","",J48-I48)</f>
      </c>
      <c r="L48" s="4">
        <f>IF($J48="","",K48*16.67%)</f>
      </c>
      <c r="M48" s="4">
        <f>IF($J48="","",J48*7%)</f>
      </c>
      <c r="N48" s="4">
        <f>IF($J48="","",M48*20%)</f>
      </c>
      <c r="O48" s="4"/>
      <c r="P48" s="4">
        <f>IF($J48="","",O48*20%)</f>
      </c>
      <c r="Q48" s="4">
        <v>1</v>
      </c>
      <c r="R48" s="4">
        <f>IF($J48="","",N48+P48)</f>
      </c>
      <c r="S48" s="4">
        <f>IF($J48="","",K48-L48-M48-N48-O48-P48-Q48)</f>
      </c>
      <c r="T48" s="4">
        <f>IF($J48="","",(S48-V48)/I48*100)</f>
      </c>
      <c r="U48" s="4">
        <f>IF($J48="","",L48-R48)</f>
      </c>
      <c r="W48" s="4">
        <f>IF($J48="","",S48-V48)</f>
      </c>
    </row>
    <row r="49" spans="1:28" x14ac:dyDescent="0.25">
      <c r="A49" s="8"/>
      <c r="D49" s="9"/>
      <c r="I49" s="4"/>
      <c r="J49" s="4"/>
      <c r="K49" s="4">
        <f>IF($J49="","",J49-I49)</f>
      </c>
      <c r="L49" s="4">
        <f>IF($J49="","",K49*16.67%)</f>
      </c>
      <c r="M49" s="4">
        <f>IF($J49="","",J49*7%)</f>
      </c>
      <c r="N49" s="4">
        <f>IF($J49="","",M49*20%)</f>
      </c>
      <c r="O49" s="4"/>
      <c r="P49" s="4">
        <f>IF($J49="","",O49*20%)</f>
      </c>
      <c r="Q49" s="4">
        <v>1</v>
      </c>
      <c r="R49" s="4">
        <f>IF($J49="","",N49+P49)</f>
      </c>
      <c r="S49" s="4">
        <f>IF($J49="","",K49-L49-M49-N49-O49-P49-Q49)</f>
      </c>
      <c r="T49" s="4">
        <f>IF($J49="","",(S49-V49)/I49*100)</f>
      </c>
      <c r="U49" s="4">
        <f>IF($J49="","",L49-R49)</f>
      </c>
      <c r="W49" s="4">
        <f>IF($J49="","",S49-V49)</f>
      </c>
    </row>
    <row r="50" spans="1:28" x14ac:dyDescent="0.25">
      <c r="A50" s="8"/>
      <c r="D50" s="9"/>
      <c r="I50" s="4"/>
      <c r="J50" s="4"/>
      <c r="K50" s="4">
        <f>IF($J50="","",J50-I50)</f>
      </c>
      <c r="L50" s="4">
        <f>IF($J50="","",K50*16.67%)</f>
      </c>
      <c r="M50" s="4">
        <f>IF($J50="","",J50*7%)</f>
      </c>
      <c r="N50" s="4">
        <f>IF($J50="","",M50*20%)</f>
      </c>
      <c r="O50" s="4"/>
      <c r="P50" s="4">
        <f>IF($J50="","",O50*20%)</f>
      </c>
      <c r="Q50" s="4">
        <v>1</v>
      </c>
      <c r="R50" s="4">
        <f>IF($J50="","",N50+P50)</f>
      </c>
      <c r="S50" s="4">
        <f>IF($J50="","",K50-L50-M50-N50-O50-P50-Q50)</f>
      </c>
      <c r="T50" s="4">
        <f>IF($J50="","",(S50-V50)/I50*100)</f>
      </c>
      <c r="U50" s="4">
        <f>IF($J50="","",L50-R50)</f>
      </c>
      <c r="W50" s="4">
        <f>IF($J50="","",S50-V50)</f>
      </c>
    </row>
    <row r="51" spans="1:28" x14ac:dyDescent="0.25">
      <c r="A51" s="8"/>
      <c r="D51" s="9"/>
      <c r="I51" s="4"/>
      <c r="J51" s="4"/>
      <c r="K51" s="4">
        <f>IF($J51="","",J51-I51)</f>
      </c>
      <c r="L51" s="4">
        <f>IF($J51="","",K51*16.67%)</f>
      </c>
      <c r="M51" s="4">
        <f>IF($J51="","",J51*7%)</f>
      </c>
      <c r="N51" s="4">
        <f>IF($J51="","",M51*20%)</f>
      </c>
      <c r="O51" s="4"/>
      <c r="P51" s="4">
        <f>IF($J51="","",O51*20%)</f>
      </c>
      <c r="Q51" s="4">
        <v>1</v>
      </c>
      <c r="R51" s="4">
        <f>IF($J51="","",N51+P51)</f>
      </c>
      <c r="S51" s="4">
        <f>IF($J51="","",K51-L51-M51-N51-O51-P51-Q51)</f>
      </c>
      <c r="T51" s="4">
        <f>IF($J51="","",(S51-V51)/I51*100)</f>
      </c>
      <c r="U51" s="4">
        <f>IF($J51="","",L51-R51)</f>
      </c>
      <c r="W51" s="4">
        <f>IF($J51="","",S51-V51)</f>
      </c>
    </row>
    <row r="52" spans="1:28" x14ac:dyDescent="0.25">
      <c r="A52" s="8"/>
      <c r="D52" s="9"/>
      <c r="I52" s="4"/>
      <c r="J52" s="4"/>
      <c r="K52" s="4">
        <f>IF($J52="","",J52-I52)</f>
      </c>
      <c r="L52" s="4">
        <f>IF($J52="","",K52*16.67%)</f>
      </c>
      <c r="M52" s="4">
        <f>IF($J52="","",J52*7%)</f>
      </c>
      <c r="N52" s="4">
        <f>IF($J52="","",M52*20%)</f>
      </c>
      <c r="O52" s="4"/>
      <c r="P52" s="4">
        <f>IF($J52="","",O52*20%)</f>
      </c>
      <c r="Q52" s="4">
        <v>1</v>
      </c>
      <c r="R52" s="4">
        <f>IF($J52="","",N52+P52)</f>
      </c>
      <c r="S52" s="4">
        <f>IF($J52="","",K52-L52-M52-N52-O52-P52-Q52)</f>
      </c>
      <c r="T52" s="4">
        <f>IF($J52="","",(S52-V52)/I52*100)</f>
      </c>
      <c r="U52" s="4">
        <f>IF($J52="","",L52-R52)</f>
      </c>
      <c r="W52" s="4">
        <f>IF($J52="","",S52-V52)</f>
      </c>
    </row>
    <row r="53" spans="1:28" x14ac:dyDescent="0.25">
      <c r="A53" s="8"/>
      <c r="D53" s="9"/>
      <c r="I53" s="4"/>
      <c r="J53" s="4"/>
      <c r="K53" s="4">
        <f>IF($J53="","",J53-I53)</f>
      </c>
      <c r="L53" s="4">
        <f>IF($J53="","",K53*16.67%)</f>
      </c>
      <c r="M53" s="4">
        <f>IF($J53="","",J53*7%)</f>
      </c>
      <c r="N53" s="4">
        <f>IF($J53="","",M53*20%)</f>
      </c>
      <c r="O53" s="4"/>
      <c r="P53" s="4">
        <f>IF($J53="","",O53*20%)</f>
      </c>
      <c r="Q53" s="4">
        <v>1</v>
      </c>
      <c r="R53" s="4">
        <f>IF($J53="","",N53+P53)</f>
      </c>
      <c r="S53" s="4">
        <f>IF($J53="","",K53-L53-M53-N53-O53-P53-Q53)</f>
      </c>
      <c r="T53" s="4">
        <f>IF($J53="","",(S53-V53)/I53*100)</f>
      </c>
      <c r="U53" s="4">
        <f>IF($J53="","",L53-R53)</f>
      </c>
      <c r="W53" s="4">
        <f>IF($J53="","",S53-V53)</f>
      </c>
    </row>
    <row r="54" spans="1:28" x14ac:dyDescent="0.25">
      <c r="A54" s="8"/>
      <c r="D54" s="9"/>
      <c r="I54" s="4"/>
      <c r="J54" s="4"/>
      <c r="K54" s="4">
        <f>IF($J54="","",J54-I54)</f>
      </c>
      <c r="L54" s="4">
        <f>IF($J54="","",K54*16.67%)</f>
      </c>
      <c r="M54" s="4">
        <f>IF($J54="","",J54*7%)</f>
      </c>
      <c r="N54" s="4">
        <f>IF($J54="","",M54*20%)</f>
      </c>
      <c r="O54" s="4"/>
      <c r="P54" s="4">
        <f>IF($J54="","",O54*20%)</f>
      </c>
      <c r="Q54" s="4">
        <v>1</v>
      </c>
      <c r="R54" s="4">
        <f>IF($J54="","",N54+P54)</f>
      </c>
      <c r="S54" s="4">
        <f>IF($J54="","",K54-L54-M54-N54-O54-P54-Q54)</f>
      </c>
      <c r="T54" s="4">
        <f>IF($J54="","",(S54-V54)/I54*100)</f>
      </c>
      <c r="U54" s="4">
        <f>IF($J54="","",L54-R54)</f>
      </c>
      <c r="W54" s="4">
        <f>IF($J54="","",S54-V54)</f>
      </c>
    </row>
    <row r="55" spans="1:28" x14ac:dyDescent="0.25">
      <c r="A55" s="8"/>
      <c r="D55" s="9"/>
      <c r="I55" s="4"/>
      <c r="J55" s="4"/>
      <c r="K55" s="4">
        <f>IF($J55="","",J55-I55)</f>
      </c>
      <c r="L55" s="4">
        <f>IF($J55="","",K55*16.67%)</f>
      </c>
      <c r="M55" s="4">
        <f>IF($J55="","",J55*7%)</f>
      </c>
      <c r="N55" s="4">
        <f>IF($J55="","",M55*20%)</f>
      </c>
      <c r="O55" s="4"/>
      <c r="P55" s="4">
        <f>IF($J55="","",O55*20%)</f>
      </c>
      <c r="Q55" s="4">
        <v>1</v>
      </c>
      <c r="R55" s="4">
        <f>IF($J55="","",N55+P55)</f>
      </c>
      <c r="S55" s="4">
        <f>IF($J55="","",K55-L55-M55-N55-O55-P55-Q55)</f>
      </c>
      <c r="T55" s="4">
        <f>IF($J55="","",(S55-V55)/I55*100)</f>
      </c>
      <c r="U55" s="4">
        <f>IF($J55="","",L55-R55)</f>
      </c>
      <c r="W55" s="4">
        <f>IF($J55="","",S55-V55)</f>
      </c>
    </row>
    <row r="56" spans="1:28" x14ac:dyDescent="0.25">
      <c r="A56" s="8"/>
      <c r="D56" s="9"/>
      <c r="I56" s="4"/>
      <c r="J56" s="4"/>
      <c r="K56" s="4">
        <f>IF($J56="","",J56-I56)</f>
      </c>
      <c r="L56" s="4">
        <f>IF($J56="","",K56*16.67%)</f>
      </c>
      <c r="M56" s="4">
        <f>IF($J56="","",J56*7%)</f>
      </c>
      <c r="N56" s="4">
        <f>IF($J56="","",M56*20%)</f>
      </c>
      <c r="O56" s="4"/>
      <c r="P56" s="4">
        <f>IF($J56="","",O56*20%)</f>
      </c>
      <c r="Q56" s="4">
        <v>1</v>
      </c>
      <c r="R56" s="4">
        <f>IF($J56="","",N56+P56)</f>
      </c>
      <c r="S56" s="4">
        <f>IF($J56="","",K56-L56-M56-N56-O56-P56-Q56)</f>
      </c>
      <c r="T56" s="4">
        <f>IF($J56="","",(S56-V56)/I56*100)</f>
      </c>
      <c r="U56" s="4">
        <f>IF($J56="","",L56-R56)</f>
      </c>
      <c r="W56" s="4">
        <f>IF($J56="","",S56-V56)</f>
      </c>
    </row>
    <row r="57" spans="1:28" x14ac:dyDescent="0.25">
      <c r="A57" s="8"/>
      <c r="D57" s="9"/>
      <c r="I57" s="4"/>
      <c r="J57" s="4"/>
      <c r="K57" s="4">
        <f>IF($J57="","",J57-I57)</f>
      </c>
      <c r="L57" s="4">
        <f>IF($J57="","",K57*16.67%)</f>
      </c>
      <c r="M57" s="4">
        <f>IF($J57="","",J57*7%)</f>
      </c>
      <c r="N57" s="4">
        <f>IF($J57="","",M57*20%)</f>
      </c>
      <c r="O57" s="4"/>
      <c r="P57" s="4">
        <f>IF($J57="","",O57*20%)</f>
      </c>
      <c r="Q57" s="4">
        <v>1</v>
      </c>
      <c r="R57" s="4">
        <f>IF($J57="","",N57+P57)</f>
      </c>
      <c r="S57" s="4">
        <f>IF($J57="","",K57-L57-M57-N57-O57-P57-Q57)</f>
      </c>
      <c r="T57" s="4">
        <f>IF($J57="","",(S57-V57)/I57*100)</f>
      </c>
      <c r="U57" s="4">
        <f>IF($J57="","",L57-R57)</f>
      </c>
      <c r="W57" s="4">
        <f>IF($J57="","",S57-V57)</f>
      </c>
    </row>
    <row r="58" spans="1:28" x14ac:dyDescent="0.25">
      <c r="A58" s="8"/>
      <c r="D58" s="9"/>
      <c r="I58" s="4"/>
      <c r="J58" s="4"/>
      <c r="K58" s="4">
        <f>IF($J58="","",J58-I58)</f>
      </c>
      <c r="L58" s="4">
        <f>IF($J58="","",K58*16.67%)</f>
      </c>
      <c r="M58" s="4">
        <f>IF($J58="","",J58*7%)</f>
      </c>
      <c r="N58" s="4">
        <f>IF($J58="","",M58*20%)</f>
      </c>
      <c r="O58" s="4"/>
      <c r="P58" s="4">
        <f>IF($J58="","",O58*20%)</f>
      </c>
      <c r="Q58" s="4">
        <v>1</v>
      </c>
      <c r="R58" s="4">
        <f>IF($J58="","",N58+P58)</f>
      </c>
      <c r="S58" s="4">
        <f>IF($J58="","",K58-L58-M58-N58-O58-P58-Q58)</f>
      </c>
      <c r="T58" s="4">
        <f>IF($J58="","",(S58-V58)/I58*100)</f>
      </c>
      <c r="U58" s="4">
        <f>IF($J58="","",L58-R58)</f>
      </c>
      <c r="W58" s="4">
        <f>IF($J58="","",S58-V58)</f>
      </c>
    </row>
    <row r="59" spans="1:28" x14ac:dyDescent="0.25">
      <c r="A59" s="8"/>
      <c r="D59" s="9"/>
      <c r="I59" s="4"/>
      <c r="J59" s="4"/>
      <c r="K59" s="4">
        <f>IF($J59="","",J59-I59)</f>
      </c>
      <c r="L59" s="4">
        <f>IF($J59="","",K59*16.67%)</f>
      </c>
      <c r="M59" s="4">
        <f>IF($J59="","",J59*7%)</f>
      </c>
      <c r="N59" s="4">
        <f>IF($J59="","",M59*20%)</f>
      </c>
      <c r="O59" s="4"/>
      <c r="P59" s="4">
        <f>IF($J59="","",O59*20%)</f>
      </c>
      <c r="Q59" s="4">
        <v>1</v>
      </c>
      <c r="R59" s="4">
        <f>IF($J59="","",N59+P59)</f>
      </c>
      <c r="S59" s="4">
        <f>IF($J59="","",K59-L59-M59-N59-O59-P59-Q59)</f>
      </c>
      <c r="T59" s="4">
        <f>IF($J59="","",(S59-V59)/I59*100)</f>
      </c>
      <c r="U59" s="4">
        <f>IF($J59="","",L59-R59)</f>
      </c>
      <c r="W59" s="4">
        <f>IF($J59="","",S59-V59)</f>
      </c>
    </row>
    <row r="60" spans="1:28" x14ac:dyDescent="0.25">
      <c r="A60" s="8"/>
      <c r="D60" s="9"/>
      <c r="I60" s="4"/>
      <c r="J60" s="4"/>
      <c r="K60" s="4">
        <f>IF($J60="","",J60-I60)</f>
      </c>
      <c r="L60" s="4">
        <f>IF($J60="","",K60*16.67%)</f>
      </c>
      <c r="M60" s="4">
        <f>IF($J60="","",J60*7%)</f>
      </c>
      <c r="N60" s="4">
        <f>IF($J60="","",M60*20%)</f>
      </c>
      <c r="O60" s="4"/>
      <c r="P60" s="4">
        <f>IF($J60="","",O60*20%)</f>
      </c>
      <c r="Q60" s="4">
        <v>1</v>
      </c>
      <c r="R60" s="4">
        <f>IF($J60="","",N60+P60)</f>
      </c>
      <c r="S60" s="4">
        <f>IF($J60="","",K60-L60-M60-N60-O60-P60-Q60)</f>
      </c>
      <c r="T60" s="4">
        <f>IF($J60="","",(S60-V60)/I60*100)</f>
      </c>
      <c r="U60" s="4">
        <f>IF($J60="","",L60-R60)</f>
      </c>
      <c r="W60" s="4">
        <f>IF($J60="","",S60-V60)</f>
      </c>
    </row>
    <row r="61" spans="1:28" x14ac:dyDescent="0.25">
      <c r="A61" s="8"/>
      <c r="D61" s="9"/>
      <c r="I61" s="4"/>
      <c r="J61" s="4"/>
      <c r="K61" s="4">
        <f>IF($J61="","",J61-I61)</f>
      </c>
      <c r="L61" s="4">
        <f>IF($J61="","",K61*16.67%)</f>
      </c>
      <c r="M61" s="4">
        <f>IF($J61="","",J61*7%)</f>
      </c>
      <c r="N61" s="4">
        <f>IF($J61="","",M61*20%)</f>
      </c>
      <c r="O61" s="4"/>
      <c r="P61" s="4">
        <f>IF($J61="","",O61*20%)</f>
      </c>
      <c r="Q61" s="4">
        <v>1</v>
      </c>
      <c r="R61" s="4">
        <f>IF($J61="","",N61+P61)</f>
      </c>
      <c r="S61" s="4">
        <f>IF($J61="","",K61-L61-M61-N61-O61-P61-Q61)</f>
      </c>
      <c r="T61" s="4">
        <f>IF($J61="","",(S61-V61)/I61*100)</f>
      </c>
      <c r="U61" s="4">
        <f>IF($J61="","",L61-R61)</f>
      </c>
      <c r="W61" s="4">
        <f>IF($J61="","",S61-V61)</f>
      </c>
    </row>
    <row r="62" spans="1:28" x14ac:dyDescent="0.25">
      <c r="A62" s="8"/>
      <c r="D62" s="9"/>
      <c r="I62" s="4"/>
      <c r="J62" s="4"/>
      <c r="K62" s="4">
        <f>IF($J62="","",J62-I62)</f>
      </c>
      <c r="L62" s="4">
        <f>IF($J62="","",K62*16.67%)</f>
      </c>
      <c r="M62" s="4">
        <f>IF($J62="","",J62*7%)</f>
      </c>
      <c r="N62" s="4">
        <f>IF($J62="","",M62*20%)</f>
      </c>
      <c r="O62" s="4"/>
      <c r="P62" s="4">
        <f>IF($J62="","",O62*20%)</f>
      </c>
      <c r="Q62" s="4">
        <v>1</v>
      </c>
      <c r="R62" s="4">
        <f>IF($J62="","",N62+P62)</f>
      </c>
      <c r="S62" s="4">
        <f>IF($J62="","",K62-L62-M62-N62-O62-P62-Q62)</f>
      </c>
      <c r="T62" s="4">
        <f>IF($J62="","",(S62-V62)/I62*100)</f>
      </c>
      <c r="U62" s="4">
        <f>IF($J62="","",L62-R62)</f>
      </c>
      <c r="W62" s="4">
        <f>IF($J62="","",S62-V62)</f>
      </c>
    </row>
    <row r="63" spans="1:28" x14ac:dyDescent="0.25">
      <c r="A63" s="8"/>
      <c r="D63" s="9"/>
      <c r="I63" s="4"/>
      <c r="J63" s="4"/>
      <c r="K63" s="4">
        <f>IF($J63="","",J63-I63)</f>
      </c>
      <c r="L63" s="4">
        <f>IF($J63="","",K63*16.67%)</f>
      </c>
      <c r="M63" s="4">
        <f>IF($J63="","",J63*7%)</f>
      </c>
      <c r="N63" s="4">
        <f>IF($J63="","",M63*20%)</f>
      </c>
      <c r="O63" s="4"/>
      <c r="P63" s="4">
        <f>IF($J63="","",O63*20%)</f>
      </c>
      <c r="Q63" s="4">
        <v>1</v>
      </c>
      <c r="R63" s="4">
        <f>IF($J63="","",N63+P63)</f>
      </c>
      <c r="S63" s="4">
        <f>IF($J63="","",K63-L63-M63-N63-O63-P63-Q63)</f>
      </c>
      <c r="T63" s="4">
        <f>IF($J63="","",(S63-V63)/I63*100)</f>
      </c>
      <c r="U63" s="4">
        <f>IF($J63="","",L63-R63)</f>
      </c>
      <c r="W63" s="4">
        <f>IF($J63="","",S63-V63)</f>
      </c>
    </row>
    <row r="64" spans="1:28" x14ac:dyDescent="0.25">
      <c r="A64" s="8"/>
      <c r="D64" s="9"/>
      <c r="I64" s="4"/>
      <c r="J64" s="4"/>
      <c r="K64" s="4">
        <f>IF($J64="","",J64-I64)</f>
      </c>
      <c r="L64" s="4">
        <f>IF($J64="","",K64*16.67%)</f>
      </c>
      <c r="M64" s="4">
        <f>IF($J64="","",J64*7%)</f>
      </c>
      <c r="N64" s="4">
        <f>IF($J64="","",M64*20%)</f>
      </c>
      <c r="O64" s="4"/>
      <c r="P64" s="4">
        <f>IF($J64="","",O64*20%)</f>
      </c>
      <c r="Q64" s="4">
        <v>1</v>
      </c>
      <c r="R64" s="4">
        <f>IF($J64="","",N64+P64)</f>
      </c>
      <c r="S64" s="4">
        <f>IF($J64="","",K64-L64-M64-N64-O64-P64-Q64)</f>
      </c>
      <c r="T64" s="4">
        <f>IF($J64="","",(S64-V64)/I64*100)</f>
      </c>
      <c r="U64" s="4">
        <f>IF($J64="","",L64-R64)</f>
      </c>
      <c r="W64" s="4">
        <f>IF($J64="","",S64-V64)</f>
      </c>
    </row>
    <row r="65" spans="1:28" x14ac:dyDescent="0.25">
      <c r="A65" s="8"/>
      <c r="D65" s="9"/>
      <c r="I65" s="4"/>
      <c r="J65" s="4"/>
      <c r="K65" s="4">
        <f>IF($J65="","",J65-I65)</f>
      </c>
      <c r="L65" s="4">
        <f>IF($J65="","",K65*16.67%)</f>
      </c>
      <c r="M65" s="4">
        <f>IF($J65="","",J65*7%)</f>
      </c>
      <c r="N65" s="4">
        <f>IF($J65="","",M65*20%)</f>
      </c>
      <c r="O65" s="4"/>
      <c r="P65" s="4">
        <f>IF($J65="","",O65*20%)</f>
      </c>
      <c r="Q65" s="4">
        <v>1</v>
      </c>
      <c r="R65" s="4">
        <f>IF($J65="","",N65+P65)</f>
      </c>
      <c r="S65" s="4">
        <f>IF($J65="","",K65-L65-M65-N65-O65-P65-Q65)</f>
      </c>
      <c r="T65" s="4">
        <f>IF($J65="","",(S65-V65)/I65*100)</f>
      </c>
      <c r="U65" s="4">
        <f>IF($J65="","",L65-R65)</f>
      </c>
      <c r="W65" s="4">
        <f>IF($J65="","",S65-V65)</f>
      </c>
    </row>
    <row r="66" spans="1:28" x14ac:dyDescent="0.25">
      <c r="A66" s="8"/>
      <c r="D66" s="9"/>
      <c r="I66" s="4"/>
      <c r="J66" s="4"/>
      <c r="K66" s="4">
        <f>IF($J66="","",J66-I66)</f>
      </c>
      <c r="L66" s="4">
        <f>IF($J66="","",K66*16.67%)</f>
      </c>
      <c r="M66" s="4">
        <f>IF($J66="","",J66*7%)</f>
      </c>
      <c r="N66" s="4">
        <f>IF($J66="","",M66*20%)</f>
      </c>
      <c r="O66" s="4"/>
      <c r="P66" s="4">
        <f>IF($J66="","",O66*20%)</f>
      </c>
      <c r="Q66" s="4">
        <v>1</v>
      </c>
      <c r="R66" s="4">
        <f>IF($J66="","",N66+P66)</f>
      </c>
      <c r="S66" s="4">
        <f>IF($J66="","",K66-L66-M66-N66-O66-P66-Q66)</f>
      </c>
      <c r="T66" s="4">
        <f>IF($J66="","",(S66-V66)/I66*100)</f>
      </c>
      <c r="U66" s="4">
        <f>IF($J66="","",L66-R66)</f>
      </c>
      <c r="W66" s="4">
        <f>IF($J66="","",S66-V66)</f>
      </c>
    </row>
    <row r="67" spans="1:28" x14ac:dyDescent="0.25">
      <c r="A67" s="8"/>
      <c r="D67" s="9"/>
      <c r="I67" s="4"/>
      <c r="J67" s="4"/>
      <c r="K67" s="4">
        <f>IF($J67="","",J67-I67)</f>
      </c>
      <c r="L67" s="4">
        <f>IF($J67="","",K67*16.67%)</f>
      </c>
      <c r="M67" s="4">
        <f>IF($J67="","",J67*7%)</f>
      </c>
      <c r="N67" s="4">
        <f>IF($J67="","",M67*20%)</f>
      </c>
      <c r="O67" s="4"/>
      <c r="P67" s="4">
        <f>IF($J67="","",O67*20%)</f>
      </c>
      <c r="Q67" s="4">
        <v>1</v>
      </c>
      <c r="R67" s="4">
        <f>IF($J67="","",N67+P67)</f>
      </c>
      <c r="S67" s="4">
        <f>IF($J67="","",K67-L67-M67-N67-O67-P67-Q67)</f>
      </c>
      <c r="T67" s="4">
        <f>IF($J67="","",(S67-V67)/I67*100)</f>
      </c>
      <c r="U67" s="4">
        <f>IF($J67="","",L67-R67)</f>
      </c>
      <c r="W67" s="4">
        <f>IF($J67="","",S67-V67)</f>
      </c>
    </row>
    <row r="68" spans="1:28" x14ac:dyDescent="0.25">
      <c r="A68" s="8"/>
      <c r="D68" s="9"/>
      <c r="I68" s="4"/>
      <c r="J68" s="4"/>
      <c r="K68" s="4">
        <f>IF($J68="","",J68-I68)</f>
      </c>
      <c r="L68" s="4">
        <f>IF($J68="","",K68*16.67%)</f>
      </c>
      <c r="M68" s="4">
        <f>IF($J68="","",J68*7%)</f>
      </c>
      <c r="N68" s="4">
        <f>IF($J68="","",M68*20%)</f>
      </c>
      <c r="O68" s="4"/>
      <c r="P68" s="4">
        <f>IF($J68="","",O68*20%)</f>
      </c>
      <c r="Q68" s="4">
        <v>1</v>
      </c>
      <c r="R68" s="4">
        <f>IF($J68="","",N68+P68)</f>
      </c>
      <c r="S68" s="4">
        <f>IF($J68="","",K68-L68-M68-N68-O68-P68-Q68)</f>
      </c>
      <c r="T68" s="4">
        <f>IF($J68="","",(S68-V68)/I68*100)</f>
      </c>
      <c r="U68" s="4">
        <f>IF($J68="","",L68-R68)</f>
      </c>
      <c r="W68" s="4">
        <f>IF($J68="","",S68-V68)</f>
      </c>
    </row>
    <row r="69" spans="1:28" x14ac:dyDescent="0.25">
      <c r="A69" s="8"/>
      <c r="D69" s="9"/>
      <c r="I69" s="4"/>
      <c r="J69" s="4"/>
      <c r="K69" s="4">
        <f>IF($J69="","",J69-I69)</f>
      </c>
      <c r="L69" s="4">
        <f>IF($J69="","",K69*16.67%)</f>
      </c>
      <c r="M69" s="4">
        <f>IF($J69="","",J69*7%)</f>
      </c>
      <c r="N69" s="4">
        <f>IF($J69="","",M69*20%)</f>
      </c>
      <c r="O69" s="4"/>
      <c r="P69" s="4">
        <f>IF($J69="","",O69*20%)</f>
      </c>
      <c r="Q69" s="4">
        <v>1</v>
      </c>
      <c r="R69" s="4">
        <f>IF($J69="","",N69+P69)</f>
      </c>
      <c r="S69" s="4">
        <f>IF($J69="","",K69-L69-M69-N69-O69-P69-Q69)</f>
      </c>
      <c r="T69" s="4">
        <f>IF($J69="","",(S69-V69)/I69*100)</f>
      </c>
      <c r="U69" s="4">
        <f>IF($J69="","",L69-R69)</f>
      </c>
      <c r="W69" s="4">
        <f>IF($J69="","",S69-V69)</f>
      </c>
    </row>
    <row r="70" spans="1:28" x14ac:dyDescent="0.25">
      <c r="A70" s="8"/>
      <c r="D70" s="9"/>
      <c r="I70" s="4"/>
      <c r="J70" s="4"/>
      <c r="K70" s="4">
        <f>IF($J70="","",J70-I70)</f>
      </c>
      <c r="L70" s="4">
        <f>IF($J70="","",K70*16.67%)</f>
      </c>
      <c r="M70" s="4">
        <f>IF($J70="","",J70*7%)</f>
      </c>
      <c r="N70" s="4">
        <f>IF($J70="","",M70*20%)</f>
      </c>
      <c r="O70" s="4"/>
      <c r="P70" s="4">
        <f>IF($J70="","",O70*20%)</f>
      </c>
      <c r="Q70" s="4">
        <v>1</v>
      </c>
      <c r="R70" s="4">
        <f>IF($J70="","",N70+P70)</f>
      </c>
      <c r="S70" s="4">
        <f>IF($J70="","",K70-L70-M70-N70-O70-P70-Q70)</f>
      </c>
      <c r="T70" s="4">
        <f>IF($J70="","",(S70-V70)/I70*100)</f>
      </c>
      <c r="U70" s="4">
        <f>IF($J70="","",L70-R70)</f>
      </c>
      <c r="W70" s="4">
        <f>IF($J70="","",S70-V70)</f>
      </c>
    </row>
    <row r="71" spans="1:28" x14ac:dyDescent="0.25">
      <c r="A71" s="8"/>
      <c r="D71" s="9"/>
      <c r="I71" s="4"/>
      <c r="J71" s="4"/>
      <c r="K71" s="4">
        <f>IF($J71="","",J71-I71)</f>
      </c>
      <c r="L71" s="4">
        <f>IF($J71="","",K71*16.67%)</f>
      </c>
      <c r="M71" s="4">
        <f>IF($J71="","",J71*7%)</f>
      </c>
      <c r="N71" s="4">
        <f>IF($J71="","",M71*20%)</f>
      </c>
      <c r="O71" s="4"/>
      <c r="P71" s="4">
        <f>IF($J71="","",O71*20%)</f>
      </c>
      <c r="Q71" s="4">
        <v>1</v>
      </c>
      <c r="R71" s="4">
        <f>IF($J71="","",N71+P71)</f>
      </c>
      <c r="S71" s="4">
        <f>IF($J71="","",K71-L71-M71-N71-O71-P71-Q71)</f>
      </c>
      <c r="T71" s="4">
        <f>IF($J71="","",(S71-V71)/I71*100)</f>
      </c>
      <c r="U71" s="4">
        <f>IF($J71="","",L71-R71)</f>
      </c>
      <c r="W71" s="4">
        <f>IF($J71="","",S71-V71)</f>
      </c>
    </row>
    <row r="72" spans="1:28" x14ac:dyDescent="0.25">
      <c r="A72" s="8"/>
      <c r="D72" s="9"/>
      <c r="I72" s="4"/>
      <c r="J72" s="4"/>
      <c r="K72" s="4">
        <f>IF($J72="","",J72-I72)</f>
      </c>
      <c r="L72" s="4">
        <f>IF($J72="","",K72*16.67%)</f>
      </c>
      <c r="M72" s="4">
        <f>IF($J72="","",J72*7%)</f>
      </c>
      <c r="N72" s="4">
        <f>IF($J72="","",M72*20%)</f>
      </c>
      <c r="O72" s="4"/>
      <c r="P72" s="4">
        <f>IF($J72="","",O72*20%)</f>
      </c>
      <c r="Q72" s="4">
        <v>1</v>
      </c>
      <c r="R72" s="4">
        <f>IF($J72="","",N72+P72)</f>
      </c>
      <c r="S72" s="4">
        <f>IF($J72="","",K72-L72-M72-N72-O72-P72-Q72)</f>
      </c>
      <c r="T72" s="4">
        <f>IF($J72="","",(S72-V72)/I72*100)</f>
      </c>
      <c r="U72" s="4">
        <f>IF($J72="","",L72-R72)</f>
      </c>
      <c r="W72" s="4">
        <f>IF($J72="","",S72-V72)</f>
      </c>
    </row>
    <row r="73" spans="1:28" x14ac:dyDescent="0.25">
      <c r="A73" s="8"/>
      <c r="D73" s="9"/>
      <c r="I73" s="4"/>
      <c r="J73" s="4"/>
      <c r="K73" s="4">
        <f>IF($J73="","",J73-I73)</f>
      </c>
      <c r="L73" s="4">
        <f>IF($J73="","",K73*16.67%)</f>
      </c>
      <c r="M73" s="4">
        <f>IF($J73="","",J73*7%)</f>
      </c>
      <c r="N73" s="4">
        <f>IF($J73="","",M73*20%)</f>
      </c>
      <c r="O73" s="4"/>
      <c r="P73" s="4">
        <f>IF($J73="","",O73*20%)</f>
      </c>
      <c r="Q73" s="4">
        <v>1</v>
      </c>
      <c r="R73" s="4">
        <f>IF($J73="","",N73+P73)</f>
      </c>
      <c r="S73" s="4">
        <f>IF($J73="","",K73-L73-M73-N73-O73-P73-Q73)</f>
      </c>
      <c r="T73" s="4">
        <f>IF($J73="","",(S73-V73)/I73*100)</f>
      </c>
      <c r="U73" s="4">
        <f>IF($J73="","",L73-R73)</f>
      </c>
      <c r="W73" s="4">
        <f>IF($J73="","",S73-V73)</f>
      </c>
    </row>
    <row r="74" spans="1:28" x14ac:dyDescent="0.25">
      <c r="A74" s="8"/>
      <c r="D74" s="9"/>
      <c r="I74" s="4"/>
      <c r="J74" s="4"/>
      <c r="K74" s="4">
        <f>IF($J74="","",J74-I74)</f>
      </c>
      <c r="L74" s="4">
        <f>IF($J74="","",K74*16.67%)</f>
      </c>
      <c r="M74" s="4">
        <f>IF($J74="","",J74*7%)</f>
      </c>
      <c r="N74" s="4">
        <f>IF($J74="","",M74*20%)</f>
      </c>
      <c r="O74" s="4"/>
      <c r="P74" s="4">
        <f>IF($J74="","",O74*20%)</f>
      </c>
      <c r="Q74" s="4">
        <v>1</v>
      </c>
      <c r="R74" s="4">
        <f>IF($J74="","",N74+P74)</f>
      </c>
      <c r="S74" s="4">
        <f>IF($J74="","",K74-L74-M74-N74-O74-P74-Q74)</f>
      </c>
      <c r="T74" s="4">
        <f>IF($J74="","",(S74-V74)/I74*100)</f>
      </c>
      <c r="U74" s="4">
        <f>IF($J74="","",L74-R74)</f>
      </c>
      <c r="W74" s="4">
        <f>IF($J74="","",S74-V74)</f>
      </c>
    </row>
    <row r="75" spans="1:28" x14ac:dyDescent="0.25">
      <c r="A75" s="8"/>
      <c r="D75" s="9"/>
      <c r="I75" s="4"/>
      <c r="J75" s="4"/>
      <c r="K75" s="4">
        <f>IF($J75="","",J75-I75)</f>
      </c>
      <c r="L75" s="4">
        <f>IF($J75="","",K75*16.67%)</f>
      </c>
      <c r="M75" s="4">
        <f>IF($J75="","",J75*7%)</f>
      </c>
      <c r="N75" s="4">
        <f>IF($J75="","",M75*20%)</f>
      </c>
      <c r="O75" s="4"/>
      <c r="P75" s="4">
        <f>IF($J75="","",O75*20%)</f>
      </c>
      <c r="Q75" s="4">
        <v>1</v>
      </c>
      <c r="R75" s="4">
        <f>IF($J75="","",N75+P75)</f>
      </c>
      <c r="S75" s="4">
        <f>IF($J75="","",K75-L75-M75-N75-O75-P75-Q75)</f>
      </c>
      <c r="T75" s="4">
        <f>IF($J75="","",(S75-V75)/I75*100)</f>
      </c>
      <c r="U75" s="4">
        <f>IF($J75="","",L75-R75)</f>
      </c>
      <c r="W75" s="4">
        <f>IF($J75="","",S75-V75)</f>
      </c>
    </row>
    <row r="76" spans="1:28" x14ac:dyDescent="0.25">
      <c r="A76" s="8"/>
      <c r="D76" s="9"/>
      <c r="I76" s="4"/>
      <c r="J76" s="4"/>
      <c r="K76" s="4">
        <f>IF($J76="","",J76-I76)</f>
      </c>
      <c r="L76" s="4">
        <f>IF($J76="","",K76*16.67%)</f>
      </c>
      <c r="M76" s="4">
        <f>IF($J76="","",J76*7%)</f>
      </c>
      <c r="N76" s="4">
        <f>IF($J76="","",M76*20%)</f>
      </c>
      <c r="O76" s="4"/>
      <c r="P76" s="4">
        <f>IF($J76="","",O76*20%)</f>
      </c>
      <c r="Q76" s="4">
        <v>1</v>
      </c>
      <c r="R76" s="4">
        <f>IF($J76="","",N76+P76)</f>
      </c>
      <c r="S76" s="4">
        <f>IF($J76="","",K76-L76-M76-N76-O76-P76-Q76)</f>
      </c>
      <c r="T76" s="4">
        <f>IF($J76="","",(S76-V76)/I76*100)</f>
      </c>
      <c r="U76" s="4">
        <f>IF($J76="","",L76-R76)</f>
      </c>
      <c r="W76" s="4">
        <f>IF($J76="","",S76-V76)</f>
      </c>
    </row>
    <row r="77" spans="1:28" x14ac:dyDescent="0.25">
      <c r="A77" s="8"/>
      <c r="D77" s="9"/>
      <c r="I77" s="4"/>
      <c r="J77" s="4"/>
      <c r="K77" s="4">
        <f>IF($J77="","",J77-I77)</f>
      </c>
      <c r="L77" s="4">
        <f>IF($J77="","",K77*16.67%)</f>
      </c>
      <c r="M77" s="4">
        <f>IF($J77="","",J77*7%)</f>
      </c>
      <c r="N77" s="4">
        <f>IF($J77="","",M77*20%)</f>
      </c>
      <c r="O77" s="4"/>
      <c r="P77" s="4">
        <f>IF($J77="","",O77*20%)</f>
      </c>
      <c r="Q77" s="4">
        <v>1</v>
      </c>
      <c r="R77" s="4">
        <f>IF($J77="","",N77+P77)</f>
      </c>
      <c r="S77" s="4">
        <f>IF($J77="","",K77-L77-M77-N77-O77-P77-Q77)</f>
      </c>
      <c r="T77" s="4">
        <f>IF($J77="","",(S77-V77)/I77*100)</f>
      </c>
      <c r="U77" s="4">
        <f>IF($J77="","",L77-R77)</f>
      </c>
      <c r="W77" s="4">
        <f>IF($J77="","",S77-V77)</f>
      </c>
    </row>
    <row r="78" spans="1:28" x14ac:dyDescent="0.25">
      <c r="A78" s="8"/>
      <c r="D78" s="9"/>
      <c r="I78" s="4"/>
      <c r="J78" s="4"/>
      <c r="K78" s="4">
        <f>IF($J78="","",J78-I78)</f>
      </c>
      <c r="L78" s="4">
        <f>IF($J78="","",K78*16.67%)</f>
      </c>
      <c r="M78" s="4">
        <f>IF($J78="","",J78*7%)</f>
      </c>
      <c r="N78" s="4">
        <f>IF($J78="","",M78*20%)</f>
      </c>
      <c r="O78" s="4"/>
      <c r="P78" s="4">
        <f>IF($J78="","",O78*20%)</f>
      </c>
      <c r="Q78" s="4">
        <v>1</v>
      </c>
      <c r="R78" s="4">
        <f>IF($J78="","",N78+P78)</f>
      </c>
      <c r="S78" s="4">
        <f>IF($J78="","",K78-L78-M78-N78-O78-P78-Q78)</f>
      </c>
      <c r="T78" s="4">
        <f>IF($J78="","",(S78-V78)/I78*100)</f>
      </c>
      <c r="U78" s="4">
        <f>IF($J78="","",L78-R78)</f>
      </c>
      <c r="W78" s="4">
        <f>IF($J78="","",S78-V78)</f>
      </c>
    </row>
    <row r="79" spans="1:28" x14ac:dyDescent="0.25">
      <c r="A79" s="8"/>
      <c r="D79" s="9"/>
      <c r="I79" s="4"/>
      <c r="J79" s="4"/>
      <c r="K79" s="4">
        <f>IF($J79="","",J79-I79)</f>
      </c>
      <c r="L79" s="4">
        <f>IF($J79="","",K79*16.67%)</f>
      </c>
      <c r="M79" s="4">
        <f>IF($J79="","",J79*7%)</f>
      </c>
      <c r="N79" s="4">
        <f>IF($J79="","",M79*20%)</f>
      </c>
      <c r="O79" s="4"/>
      <c r="P79" s="4">
        <f>IF($J79="","",O79*20%)</f>
      </c>
      <c r="Q79" s="4">
        <v>1</v>
      </c>
      <c r="R79" s="4">
        <f>IF($J79="","",N79+P79)</f>
      </c>
      <c r="S79" s="4">
        <f>IF($J79="","",K79-L79-M79-N79-O79-P79-Q79)</f>
      </c>
      <c r="T79" s="4">
        <f>IF($J79="","",(S79-V79)/I79*100)</f>
      </c>
      <c r="U79" s="4">
        <f>IF($J79="","",L79-R79)</f>
      </c>
      <c r="W79" s="4">
        <f>IF($J79="","",S79-V79)</f>
      </c>
    </row>
    <row r="80" spans="1:28" x14ac:dyDescent="0.25">
      <c r="A80" s="8"/>
      <c r="D80" s="9"/>
      <c r="I80" s="4"/>
      <c r="J80" s="4"/>
      <c r="K80" s="4">
        <f>IF($J80="","",J80-I80)</f>
      </c>
      <c r="L80" s="4">
        <f>IF($J80="","",K80*16.67%)</f>
      </c>
      <c r="M80" s="4">
        <f>IF($J80="","",J80*7%)</f>
      </c>
      <c r="N80" s="4">
        <f>IF($J80="","",M80*20%)</f>
      </c>
      <c r="O80" s="4"/>
      <c r="P80" s="4">
        <f>IF($J80="","",O80*20%)</f>
      </c>
      <c r="Q80" s="4">
        <v>1</v>
      </c>
      <c r="R80" s="4">
        <f>IF($J80="","",N80+P80)</f>
      </c>
      <c r="S80" s="4">
        <f>IF($J80="","",K80-L80-M80-N80-O80-P80-Q80)</f>
      </c>
      <c r="T80" s="4">
        <f>IF($J80="","",(S80-V80)/I80*100)</f>
      </c>
      <c r="U80" s="4">
        <f>IF($J80="","",L80-R80)</f>
      </c>
      <c r="W80" s="4">
        <f>IF($J80="","",S80-V80)</f>
      </c>
    </row>
    <row r="81" spans="1:28" x14ac:dyDescent="0.25">
      <c r="A81" s="8"/>
      <c r="D81" s="9"/>
      <c r="I81" s="4"/>
      <c r="J81" s="4"/>
      <c r="K81" s="4">
        <f>IF($J81="","",J81-I81)</f>
      </c>
      <c r="L81" s="4">
        <f>IF($J81="","",K81*16.67%)</f>
      </c>
      <c r="M81" s="4">
        <f>IF($J81="","",J81*7%)</f>
      </c>
      <c r="N81" s="4">
        <f>IF($J81="","",M81*20%)</f>
      </c>
      <c r="O81" s="4"/>
      <c r="P81" s="4">
        <f>IF($J81="","",O81*20%)</f>
      </c>
      <c r="Q81" s="4">
        <v>1</v>
      </c>
      <c r="R81" s="4">
        <f>IF($J81="","",N81+P81)</f>
      </c>
      <c r="S81" s="4">
        <f>IF($J81="","",K81-L81-M81-N81-O81-P81-Q81)</f>
      </c>
      <c r="T81" s="4">
        <f>IF($J81="","",(S81-V81)/I81*100)</f>
      </c>
      <c r="U81" s="4">
        <f>IF($J81="","",L81-R81)</f>
      </c>
      <c r="W81" s="4">
        <f>IF($J81="","",S81-V81)</f>
      </c>
    </row>
    <row r="82" spans="1:28" x14ac:dyDescent="0.25">
      <c r="A82" s="8"/>
      <c r="D82" s="9"/>
      <c r="I82" s="4"/>
      <c r="J82" s="4"/>
      <c r="K82" s="4">
        <f>IF($J82="","",J82-I82)</f>
      </c>
      <c r="L82" s="4">
        <f>IF($J82="","",K82*16.67%)</f>
      </c>
      <c r="M82" s="4">
        <f>IF($J82="","",J82*7%)</f>
      </c>
      <c r="N82" s="4">
        <f>IF($J82="","",M82*20%)</f>
      </c>
      <c r="O82" s="4"/>
      <c r="P82" s="4">
        <f>IF($J82="","",O82*20%)</f>
      </c>
      <c r="Q82" s="4">
        <v>1</v>
      </c>
      <c r="R82" s="4">
        <f>IF($J82="","",N82+P82)</f>
      </c>
      <c r="S82" s="4">
        <f>IF($J82="","",K82-L82-M82-N82-O82-P82-Q82)</f>
      </c>
      <c r="T82" s="4">
        <f>IF($J82="","",(S82-V82)/I82*100)</f>
      </c>
      <c r="U82" s="4">
        <f>IF($J82="","",L82-R82)</f>
      </c>
      <c r="W82" s="4">
        <f>IF($J82="","",S82-V82)</f>
      </c>
    </row>
    <row r="83" spans="1:28" x14ac:dyDescent="0.25">
      <c r="A83" s="8"/>
      <c r="D83" s="9"/>
      <c r="I83" s="4"/>
      <c r="J83" s="4"/>
      <c r="K83" s="4">
        <f>IF($J83="","",J83-I83)</f>
      </c>
      <c r="L83" s="4">
        <f>IF($J83="","",K83*16.67%)</f>
      </c>
      <c r="M83" s="4">
        <f>IF($J83="","",J83*7%)</f>
      </c>
      <c r="N83" s="4">
        <f>IF($J83="","",M83*20%)</f>
      </c>
      <c r="O83" s="4"/>
      <c r="P83" s="4">
        <f>IF($J83="","",O83*20%)</f>
      </c>
      <c r="Q83" s="4">
        <v>1</v>
      </c>
      <c r="R83" s="4">
        <f>IF($J83="","",N83+P83)</f>
      </c>
      <c r="S83" s="4">
        <f>IF($J83="","",K83-L83-M83-N83-O83-P83-Q83)</f>
      </c>
      <c r="T83" s="4">
        <f>IF($J83="","",(S83-V83)/I83*100)</f>
      </c>
      <c r="U83" s="4">
        <f>IF($J83="","",L83-R83)</f>
      </c>
      <c r="W83" s="4">
        <f>IF($J83="","",S83-V83)</f>
      </c>
    </row>
    <row r="84" spans="1:28" x14ac:dyDescent="0.25">
      <c r="A84" s="8"/>
      <c r="D84" s="9"/>
      <c r="I84" s="4"/>
      <c r="J84" s="4"/>
      <c r="K84" s="4">
        <f>IF($J84="","",J84-I84)</f>
      </c>
      <c r="L84" s="4">
        <f>IF($J84="","",K84*16.67%)</f>
      </c>
      <c r="M84" s="4">
        <f>IF($J84="","",J84*7%)</f>
      </c>
      <c r="N84" s="4">
        <f>IF($J84="","",M84*20%)</f>
      </c>
      <c r="O84" s="4"/>
      <c r="P84" s="4">
        <f>IF($J84="","",O84*20%)</f>
      </c>
      <c r="Q84" s="4">
        <v>1</v>
      </c>
      <c r="R84" s="4">
        <f>IF($J84="","",N84+P84)</f>
      </c>
      <c r="S84" s="4">
        <f>IF($J84="","",K84-L84-M84-N84-O84-P84-Q84)</f>
      </c>
      <c r="T84" s="4">
        <f>IF($J84="","",(S84-V84)/I84*100)</f>
      </c>
      <c r="U84" s="4">
        <f>IF($J84="","",L84-R84)</f>
      </c>
      <c r="W84" s="4">
        <f>IF($J84="","",S84-V84)</f>
      </c>
    </row>
    <row r="85" spans="1:28" x14ac:dyDescent="0.25">
      <c r="A85" s="8"/>
      <c r="D85" s="9"/>
      <c r="I85" s="4"/>
      <c r="J85" s="4"/>
      <c r="K85" s="4">
        <f>IF($J85="","",J85-I85)</f>
      </c>
      <c r="L85" s="4">
        <f>IF($J85="","",K85*16.67%)</f>
      </c>
      <c r="M85" s="4">
        <f>IF($J85="","",J85*7%)</f>
      </c>
      <c r="N85" s="4">
        <f>IF($J85="","",M85*20%)</f>
      </c>
      <c r="O85" s="4"/>
      <c r="P85" s="4">
        <f>IF($J85="","",O85*20%)</f>
      </c>
      <c r="Q85" s="4">
        <v>1</v>
      </c>
      <c r="R85" s="4">
        <f>IF($J85="","",N85+P85)</f>
      </c>
      <c r="S85" s="4">
        <f>IF($J85="","",K85-L85-M85-N85-O85-P85-Q85)</f>
      </c>
      <c r="T85" s="4">
        <f>IF($J85="","",(S85-V85)/I85*100)</f>
      </c>
      <c r="U85" s="4">
        <f>IF($J85="","",L85-R85)</f>
      </c>
      <c r="W85" s="4">
        <f>IF($J85="","",S85-V85)</f>
      </c>
    </row>
    <row r="86" spans="1:28" x14ac:dyDescent="0.25">
      <c r="A86" s="8"/>
      <c r="D86" s="9"/>
      <c r="I86" s="4"/>
      <c r="J86" s="4"/>
      <c r="K86" s="4">
        <f>IF($J86="","",J86-I86)</f>
      </c>
      <c r="L86" s="4">
        <f>IF($J86="","",K86*16.67%)</f>
      </c>
      <c r="M86" s="4">
        <f>IF($J86="","",J86*7%)</f>
      </c>
      <c r="N86" s="4">
        <f>IF($J86="","",M86*20%)</f>
      </c>
      <c r="O86" s="4"/>
      <c r="P86" s="4">
        <f>IF($J86="","",O86*20%)</f>
      </c>
      <c r="Q86" s="4">
        <v>1</v>
      </c>
      <c r="R86" s="4">
        <f>IF($J86="","",N86+P86)</f>
      </c>
      <c r="S86" s="4">
        <f>IF($J86="","",K86-L86-M86-N86-O86-P86-Q86)</f>
      </c>
      <c r="T86" s="4">
        <f>IF($J86="","",(S86-V86)/I86*100)</f>
      </c>
      <c r="U86" s="4">
        <f>IF($J86="","",L86-R86)</f>
      </c>
      <c r="W86" s="4">
        <f>IF($J86="","",S86-V86)</f>
      </c>
    </row>
    <row r="87" spans="1:28" x14ac:dyDescent="0.25">
      <c r="A87" s="8"/>
      <c r="D87" s="9"/>
      <c r="I87" s="4"/>
      <c r="J87" s="4"/>
      <c r="K87" s="4">
        <f>IF($J87="","",J87-I87)</f>
      </c>
      <c r="L87" s="4">
        <f>IF($J87="","",K87*16.67%)</f>
      </c>
      <c r="M87" s="4">
        <f>IF($J87="","",J87*7%)</f>
      </c>
      <c r="N87" s="4">
        <f>IF($J87="","",M87*20%)</f>
      </c>
      <c r="O87" s="4"/>
      <c r="P87" s="4">
        <f>IF($J87="","",O87*20%)</f>
      </c>
      <c r="Q87" s="4">
        <v>1</v>
      </c>
      <c r="R87" s="4">
        <f>IF($J87="","",N87+P87)</f>
      </c>
      <c r="S87" s="4">
        <f>IF($J87="","",K87-L87-M87-N87-O87-P87-Q87)</f>
      </c>
      <c r="T87" s="4">
        <f>IF($J87="","",(S87-V87)/I87*100)</f>
      </c>
      <c r="U87" s="4">
        <f>IF($J87="","",L87-R87)</f>
      </c>
      <c r="W87" s="4">
        <f>IF($J87="","",S87-V87)</f>
      </c>
    </row>
    <row r="88" spans="1:28" x14ac:dyDescent="0.25">
      <c r="A88" s="8"/>
      <c r="D88" s="9"/>
      <c r="I88" s="4"/>
      <c r="J88" s="4"/>
      <c r="K88" s="4">
        <f>IF($J88="","",J88-I88)</f>
      </c>
      <c r="L88" s="4">
        <f>IF($J88="","",K88*16.67%)</f>
      </c>
      <c r="M88" s="4">
        <f>IF($J88="","",J88*7%)</f>
      </c>
      <c r="N88" s="4">
        <f>IF($J88="","",M88*20%)</f>
      </c>
      <c r="O88" s="4"/>
      <c r="P88" s="4">
        <f>IF($J88="","",O88*20%)</f>
      </c>
      <c r="Q88" s="4">
        <v>1</v>
      </c>
      <c r="R88" s="4">
        <f>IF($J88="","",N88+P88)</f>
      </c>
      <c r="S88" s="4">
        <f>IF($J88="","",K88-L88-M88-N88-O88-P88-Q88)</f>
      </c>
      <c r="T88" s="4">
        <f>IF($J88="","",(S88-V88)/I88*100)</f>
      </c>
      <c r="U88" s="4">
        <f>IF($J88="","",L88-R88)</f>
      </c>
      <c r="W88" s="4">
        <f>IF($J88="","",S88-V88)</f>
      </c>
    </row>
    <row r="89" spans="1:28" x14ac:dyDescent="0.25">
      <c r="A89" s="8"/>
      <c r="D89" s="9"/>
      <c r="I89" s="4"/>
      <c r="J89" s="4"/>
      <c r="K89" s="4">
        <f>IF($J89="","",J89-I89)</f>
      </c>
      <c r="L89" s="4">
        <f>IF($J89="","",K89*16.67%)</f>
      </c>
      <c r="M89" s="4">
        <f>IF($J89="","",J89*7%)</f>
      </c>
      <c r="N89" s="4">
        <f>IF($J89="","",M89*20%)</f>
      </c>
      <c r="O89" s="4"/>
      <c r="P89" s="4">
        <f>IF($J89="","",O89*20%)</f>
      </c>
      <c r="Q89" s="4">
        <v>1</v>
      </c>
      <c r="R89" s="4">
        <f>IF($J89="","",N89+P89)</f>
      </c>
      <c r="S89" s="4">
        <f>IF($J89="","",K89-L89-M89-N89-O89-P89-Q89)</f>
      </c>
      <c r="T89" s="4">
        <f>IF($J89="","",(S89-V89)/I89*100)</f>
      </c>
      <c r="U89" s="4">
        <f>IF($J89="","",L89-R89)</f>
      </c>
      <c r="W89" s="4">
        <f>IF($J89="","",S89-V89)</f>
      </c>
    </row>
    <row r="90" spans="1:28" x14ac:dyDescent="0.25">
      <c r="A90" s="8"/>
      <c r="D90" s="9"/>
      <c r="I90" s="4"/>
      <c r="J90" s="4"/>
      <c r="K90" s="4">
        <f>IF($J90="","",J90-I90)</f>
      </c>
      <c r="L90" s="4">
        <f>IF($J90="","",K90*16.67%)</f>
      </c>
      <c r="M90" s="4">
        <f>IF($J90="","",J90*7%)</f>
      </c>
      <c r="N90" s="4">
        <f>IF($J90="","",M90*20%)</f>
      </c>
      <c r="O90" s="4"/>
      <c r="P90" s="4">
        <f>IF($J90="","",O90*20%)</f>
      </c>
      <c r="Q90" s="4">
        <v>1</v>
      </c>
      <c r="R90" s="4">
        <f>IF($J90="","",N90+P90)</f>
      </c>
      <c r="S90" s="4">
        <f>IF($J90="","",K90-L90-M90-N90-O90-P90-Q90)</f>
      </c>
      <c r="T90" s="4">
        <f>IF($J90="","",(S90-V90)/I90*100)</f>
      </c>
      <c r="U90" s="4">
        <f>IF($J90="","",L90-R90)</f>
      </c>
      <c r="W90" s="4">
        <f>IF($J90="","",S90-V90)</f>
      </c>
    </row>
    <row r="91" spans="1:28" x14ac:dyDescent="0.25">
      <c r="A91" s="8"/>
      <c r="D91" s="9"/>
      <c r="I91" s="4"/>
      <c r="J91" s="4"/>
      <c r="K91" s="4">
        <f>IF($J91="","",J91-I91)</f>
      </c>
      <c r="L91" s="4">
        <f>IF($J91="","",K91*16.67%)</f>
      </c>
      <c r="M91" s="4">
        <f>IF($J91="","",J91*7%)</f>
      </c>
      <c r="N91" s="4">
        <f>IF($J91="","",M91*20%)</f>
      </c>
      <c r="O91" s="4"/>
      <c r="P91" s="4">
        <f>IF($J91="","",O91*20%)</f>
      </c>
      <c r="Q91" s="4">
        <v>1</v>
      </c>
      <c r="R91" s="4">
        <f>IF($J91="","",N91+P91)</f>
      </c>
      <c r="S91" s="4">
        <f>IF($J91="","",K91-L91-M91-N91-O91-P91-Q91)</f>
      </c>
      <c r="T91" s="4">
        <f>IF($J91="","",(S91-V91)/I91*100)</f>
      </c>
      <c r="U91" s="4">
        <f>IF($J91="","",L91-R91)</f>
      </c>
      <c r="W91" s="4">
        <f>IF($J91="","",S91-V91)</f>
      </c>
    </row>
    <row r="92" spans="1:28" x14ac:dyDescent="0.25">
      <c r="A92" s="8"/>
      <c r="D92" s="9"/>
      <c r="I92" s="4"/>
      <c r="J92" s="4"/>
      <c r="K92" s="4">
        <f>IF($J92="","",J92-I92)</f>
      </c>
      <c r="L92" s="4">
        <f>IF($J92="","",K92*16.67%)</f>
      </c>
      <c r="M92" s="4">
        <f>IF($J92="","",J92*7%)</f>
      </c>
      <c r="N92" s="4">
        <f>IF($J92="","",M92*20%)</f>
      </c>
      <c r="O92" s="4"/>
      <c r="P92" s="4">
        <f>IF($J92="","",O92*20%)</f>
      </c>
      <c r="Q92" s="4">
        <v>1</v>
      </c>
      <c r="R92" s="4">
        <f>IF($J92="","",N92+P92)</f>
      </c>
      <c r="S92" s="4">
        <f>IF($J92="","",K92-L92-M92-N92-O92-P92-Q92)</f>
      </c>
      <c r="T92" s="4">
        <f>IF($J92="","",(S92-V92)/I92*100)</f>
      </c>
      <c r="U92" s="4">
        <f>IF($J92="","",L92-R92)</f>
      </c>
      <c r="W92" s="4">
        <f>IF($J92="","",S92-V92)</f>
      </c>
    </row>
    <row r="93" spans="1:28" x14ac:dyDescent="0.25">
      <c r="A93" s="8"/>
      <c r="D93" s="9"/>
      <c r="I93" s="4"/>
      <c r="J93" s="4"/>
      <c r="K93" s="4">
        <f>IF($J93="","",J93-I93)</f>
      </c>
      <c r="L93" s="4">
        <f>IF($J93="","",K93*16.67%)</f>
      </c>
      <c r="M93" s="4">
        <f>IF($J93="","",J93*7%)</f>
      </c>
      <c r="N93" s="4">
        <f>IF($J93="","",M93*20%)</f>
      </c>
      <c r="O93" s="4"/>
      <c r="P93" s="4">
        <f>IF($J93="","",O93*20%)</f>
      </c>
      <c r="Q93" s="4">
        <v>1</v>
      </c>
      <c r="R93" s="4">
        <f>IF($J93="","",N93+P93)</f>
      </c>
      <c r="S93" s="4">
        <f>IF($J93="","",K93-L93-M93-N93-O93-P93-Q93)</f>
      </c>
      <c r="T93" s="4">
        <f>IF($J93="","",(S93-V93)/I93*100)</f>
      </c>
      <c r="U93" s="4">
        <f>IF($J93="","",L93-R93)</f>
      </c>
      <c r="W93" s="4">
        <f>IF($J93="","",S93-V93)</f>
      </c>
    </row>
    <row r="94" spans="1:28" x14ac:dyDescent="0.25">
      <c r="A94" s="8"/>
      <c r="D94" s="9"/>
      <c r="I94" s="4"/>
      <c r="J94" s="4"/>
      <c r="K94" s="4">
        <f>IF($J94="","",J94-I94)</f>
      </c>
      <c r="L94" s="4">
        <f>IF($J94="","",K94*16.67%)</f>
      </c>
      <c r="M94" s="4">
        <f>IF($J94="","",J94*7%)</f>
      </c>
      <c r="N94" s="4">
        <f>IF($J94="","",M94*20%)</f>
      </c>
      <c r="O94" s="4"/>
      <c r="P94" s="4">
        <f>IF($J94="","",O94*20%)</f>
      </c>
      <c r="Q94" s="4">
        <v>1</v>
      </c>
      <c r="R94" s="4">
        <f>IF($J94="","",N94+P94)</f>
      </c>
      <c r="S94" s="4">
        <f>IF($J94="","",K94-L94-M94-N94-O94-P94-Q94)</f>
      </c>
      <c r="T94" s="4">
        <f>IF($J94="","",(S94-V94)/I94*100)</f>
      </c>
      <c r="U94" s="4">
        <f>IF($J94="","",L94-R94)</f>
      </c>
      <c r="W94" s="4">
        <f>IF($J94="","",S94-V94)</f>
      </c>
    </row>
    <row r="95" spans="1:28" x14ac:dyDescent="0.25">
      <c r="A95" s="8"/>
      <c r="D95" s="9"/>
      <c r="I95" s="4"/>
      <c r="J95" s="4"/>
      <c r="K95" s="4">
        <f>IF($J95="","",J95-I95)</f>
      </c>
      <c r="L95" s="4">
        <f>IF($J95="","",K95*16.67%)</f>
      </c>
      <c r="M95" s="4">
        <f>IF($J95="","",J95*7%)</f>
      </c>
      <c r="N95" s="4">
        <f>IF($J95="","",M95*20%)</f>
      </c>
      <c r="O95" s="4"/>
      <c r="P95" s="4">
        <f>IF($J95="","",O95*20%)</f>
      </c>
      <c r="Q95" s="4">
        <v>1</v>
      </c>
      <c r="R95" s="4">
        <f>IF($J95="","",N95+P95)</f>
      </c>
      <c r="S95" s="4">
        <f>IF($J95="","",K95-L95-M95-N95-O95-P95-Q95)</f>
      </c>
      <c r="T95" s="4">
        <f>IF($J95="","",(S95-V95)/I95*100)</f>
      </c>
      <c r="U95" s="4">
        <f>IF($J95="","",L95-R95)</f>
      </c>
      <c r="W95" s="4">
        <f>IF($J95="","",S95-V95)</f>
      </c>
    </row>
    <row r="96" spans="1:28" x14ac:dyDescent="0.25">
      <c r="A96" s="8"/>
      <c r="D96" s="9"/>
      <c r="I96" s="4"/>
      <c r="J96" s="4"/>
      <c r="K96" s="4">
        <f>IF($J96="","",J96-I96)</f>
      </c>
      <c r="L96" s="4">
        <f>IF($J96="","",K96*16.67%)</f>
      </c>
      <c r="M96" s="4">
        <f>IF($J96="","",J96*7%)</f>
      </c>
      <c r="N96" s="4">
        <f>IF($J96="","",M96*20%)</f>
      </c>
      <c r="O96" s="4"/>
      <c r="P96" s="4">
        <f>IF($J96="","",O96*20%)</f>
      </c>
      <c r="Q96" s="4">
        <v>1</v>
      </c>
      <c r="R96" s="4">
        <f>IF($J96="","",N96+P96)</f>
      </c>
      <c r="S96" s="4">
        <f>IF($J96="","",K96-L96-M96-N96-O96-P96-Q96)</f>
      </c>
      <c r="T96" s="4">
        <f>IF($J96="","",(S96-V96)/I96*100)</f>
      </c>
      <c r="U96" s="4">
        <f>IF($J96="","",L96-R96)</f>
      </c>
      <c r="W96" s="4">
        <f>IF($J96="","",S96-V96)</f>
      </c>
    </row>
    <row r="97" spans="1:28" x14ac:dyDescent="0.25">
      <c r="A97" s="8"/>
      <c r="D97" s="9"/>
      <c r="I97" s="4"/>
      <c r="J97" s="4"/>
      <c r="K97" s="4">
        <f>IF($J97="","",J97-I97)</f>
      </c>
      <c r="L97" s="4">
        <f>IF($J97="","",K97*16.67%)</f>
      </c>
      <c r="M97" s="4">
        <f>IF($J97="","",J97*7%)</f>
      </c>
      <c r="N97" s="4">
        <f>IF($J97="","",M97*20%)</f>
      </c>
      <c r="O97" s="4"/>
      <c r="P97" s="4">
        <f>IF($J97="","",O97*20%)</f>
      </c>
      <c r="Q97" s="4">
        <v>1</v>
      </c>
      <c r="R97" s="4">
        <f>IF($J97="","",N97+P97)</f>
      </c>
      <c r="S97" s="4">
        <f>IF($J97="","",K97-L97-M97-N97-O97-P97-Q97)</f>
      </c>
      <c r="T97" s="4">
        <f>IF($J97="","",(S97-V97)/I97*100)</f>
      </c>
      <c r="U97" s="4">
        <f>IF($J97="","",L97-R97)</f>
      </c>
      <c r="W97" s="4">
        <f>IF($J97="","",S97-V97)</f>
      </c>
    </row>
    <row r="98" spans="1:28" x14ac:dyDescent="0.25">
      <c r="A98" s="8"/>
      <c r="D98" s="9"/>
      <c r="I98" s="4"/>
      <c r="J98" s="4"/>
      <c r="K98" s="4">
        <f>IF($J98="","",J98-I98)</f>
      </c>
      <c r="L98" s="4">
        <f>IF($J98="","",K98*16.67%)</f>
      </c>
      <c r="M98" s="4">
        <f>IF($J98="","",J98*7%)</f>
      </c>
      <c r="N98" s="4">
        <f>IF($J98="","",M98*20%)</f>
      </c>
      <c r="O98" s="4"/>
      <c r="P98" s="4">
        <f>IF($J98="","",O98*20%)</f>
      </c>
      <c r="Q98" s="4">
        <v>1</v>
      </c>
      <c r="R98" s="4">
        <f>IF($J98="","",N98+P98)</f>
      </c>
      <c r="S98" s="4">
        <f>IF($J98="","",K98-L98-M98-N98-O98-P98-Q98)</f>
      </c>
      <c r="T98" s="4">
        <f>IF($J98="","",(S98-V98)/I98*100)</f>
      </c>
      <c r="U98" s="4">
        <f>IF($J98="","",L98-R98)</f>
      </c>
      <c r="W98" s="4">
        <f>IF($J98="","",S98-V98)</f>
      </c>
    </row>
    <row r="99" spans="1:28" x14ac:dyDescent="0.25">
      <c r="A99" s="8"/>
      <c r="D99" s="9"/>
      <c r="I99" s="4"/>
      <c r="J99" s="4"/>
      <c r="K99" s="4">
        <f>IF($J99="","",J99-I99)</f>
      </c>
      <c r="L99" s="4">
        <f>IF($J99="","",K99*16.67%)</f>
      </c>
      <c r="M99" s="4">
        <f>IF($J99="","",J99*7%)</f>
      </c>
      <c r="N99" s="4">
        <f>IF($J99="","",M99*20%)</f>
      </c>
      <c r="O99" s="4"/>
      <c r="P99" s="4">
        <f>IF($J99="","",O99*20%)</f>
      </c>
      <c r="Q99" s="4">
        <v>1</v>
      </c>
      <c r="R99" s="4">
        <f>IF($J99="","",N99+P99)</f>
      </c>
      <c r="S99" s="4">
        <f>IF($J99="","",K99-L99-M99-N99-O99-P99-Q99)</f>
      </c>
      <c r="T99" s="4">
        <f>IF($J99="","",(S99-V99)/I99*100)</f>
      </c>
      <c r="U99" s="4">
        <f>IF($J99="","",L99-R99)</f>
      </c>
      <c r="W99" s="4">
        <f>IF($J99="","",S99-V99)</f>
      </c>
    </row>
    <row r="100" spans="1:28" x14ac:dyDescent="0.25">
      <c r="A100" s="8"/>
      <c r="D100" s="9"/>
      <c r="I100" s="4"/>
      <c r="J100" s="4"/>
      <c r="K100" s="4">
        <f>IF($J100="","",J100-I100)</f>
      </c>
      <c r="L100" s="4">
        <f>IF($J100="","",K100*16.67%)</f>
      </c>
      <c r="M100" s="4">
        <f>IF($J100="","",J100*7%)</f>
      </c>
      <c r="N100" s="4">
        <f>IF($J100="","",M100*20%)</f>
      </c>
      <c r="O100" s="4"/>
      <c r="P100" s="4">
        <f>IF($J100="","",O100*20%)</f>
      </c>
      <c r="Q100" s="4">
        <v>1</v>
      </c>
      <c r="R100" s="4">
        <f>IF($J100="","",N100+P100)</f>
      </c>
      <c r="S100" s="4">
        <f>IF($J100="","",K100-L100-M100-N100-O100-P100-Q100)</f>
      </c>
      <c r="T100" s="4">
        <f>IF($J100="","",(S100-V100)/I100*100)</f>
      </c>
      <c r="U100" s="4">
        <f>IF($J100="","",L100-R100)</f>
      </c>
      <c r="W100" s="4">
        <f>IF($J100="","",S100-V100)</f>
      </c>
    </row>
    <row r="101" spans="1:28" x14ac:dyDescent="0.25">
      <c r="A101" s="8"/>
      <c r="D101" s="9"/>
      <c r="I101" s="4"/>
      <c r="J101" s="4"/>
      <c r="K101" s="4">
        <f>IF($J101="","",J101-I101)</f>
      </c>
      <c r="L101" s="4">
        <f>IF($J101="","",K101*16.67%)</f>
      </c>
      <c r="M101" s="4">
        <f>IF($J101="","",J101*7%)</f>
      </c>
      <c r="N101" s="4">
        <f>IF($J101="","",M101*20%)</f>
      </c>
      <c r="O101" s="4"/>
      <c r="P101" s="4">
        <f>IF($J101="","",O101*20%)</f>
      </c>
      <c r="Q101" s="4">
        <v>1</v>
      </c>
      <c r="R101" s="4">
        <f>IF($J101="","",N101+P101)</f>
      </c>
      <c r="S101" s="4">
        <f>IF($J101="","",K101-L101-M101-N101-O101-P101-Q101)</f>
      </c>
      <c r="T101" s="4">
        <f>IF($J101="","",(S101-V101)/I101*100)</f>
      </c>
      <c r="U101" s="4">
        <f>IF($J101="","",L101-R101)</f>
      </c>
      <c r="W101" s="4">
        <f>IF($J101="","",S101-V101)</f>
      </c>
    </row>
    <row r="102" spans="1:28" x14ac:dyDescent="0.25">
      <c r="A102" s="8"/>
      <c r="D102" s="9"/>
      <c r="I102" s="4"/>
      <c r="J102" s="4"/>
      <c r="K102" s="4">
        <f>IF($J102="","",J102-I102)</f>
      </c>
      <c r="L102" s="4">
        <f>IF($J102="","",K102*16.67%)</f>
      </c>
      <c r="M102" s="4">
        <f>IF($J102="","",J102*7%)</f>
      </c>
      <c r="N102" s="4">
        <f>IF($J102="","",M102*20%)</f>
      </c>
      <c r="O102" s="4"/>
      <c r="P102" s="4">
        <f>IF($J102="","",O102*20%)</f>
      </c>
      <c r="Q102" s="4">
        <v>1</v>
      </c>
      <c r="R102" s="4">
        <f>IF($J102="","",N102+P102)</f>
      </c>
      <c r="S102" s="4">
        <f>IF($J102="","",K102-L102-M102-N102-O102-P102-Q102)</f>
      </c>
      <c r="T102" s="4">
        <f>IF($J102="","",(S102-V102)/I102*100)</f>
      </c>
      <c r="U102" s="4">
        <f>IF($J102="","",L102-R102)</f>
      </c>
      <c r="W102" s="4">
        <f>IF($J102="","",S102-V102)</f>
      </c>
    </row>
    <row r="103" spans="1:28" x14ac:dyDescent="0.25">
      <c r="A103" s="8"/>
      <c r="D103" s="9"/>
      <c r="I103" s="4"/>
      <c r="J103" s="4"/>
      <c r="K103" s="4">
        <f>IF($J103="","",J103-I103)</f>
      </c>
      <c r="L103" s="4">
        <f>IF($J103="","",K103*16.67%)</f>
      </c>
      <c r="M103" s="4">
        <f>IF($J103="","",J103*7%)</f>
      </c>
      <c r="N103" s="4">
        <f>IF($J103="","",M103*20%)</f>
      </c>
      <c r="O103" s="4"/>
      <c r="P103" s="4">
        <f>IF($J103="","",O103*20%)</f>
      </c>
      <c r="Q103" s="4">
        <v>1</v>
      </c>
      <c r="R103" s="4">
        <f>IF($J103="","",N103+P103)</f>
      </c>
      <c r="S103" s="4">
        <f>IF($J103="","",K103-L103-M103-N103-O103-P103-Q103)</f>
      </c>
      <c r="T103" s="4">
        <f>IF($J103="","",(S103-V103)/I103*100)</f>
      </c>
      <c r="U103" s="4">
        <f>IF($J103="","",L103-R103)</f>
      </c>
      <c r="W103" s="4">
        <f>IF($J103="","",S103-V103)</f>
      </c>
    </row>
    <row r="104" spans="1:28" x14ac:dyDescent="0.25">
      <c r="A104" s="8"/>
      <c r="D104" s="9"/>
      <c r="I104" s="4"/>
      <c r="J104" s="4"/>
      <c r="K104" s="4">
        <f>IF($J104="","",J104-I104)</f>
      </c>
      <c r="L104" s="4">
        <f>IF($J104="","",K104*16.67%)</f>
      </c>
      <c r="M104" s="4">
        <f>IF($J104="","",J104*7%)</f>
      </c>
      <c r="N104" s="4">
        <f>IF($J104="","",M104*20%)</f>
      </c>
      <c r="O104" s="4"/>
      <c r="P104" s="4">
        <f>IF($J104="","",O104*20%)</f>
      </c>
      <c r="Q104" s="4">
        <v>1</v>
      </c>
      <c r="R104" s="4">
        <f>IF($J104="","",N104+P104)</f>
      </c>
      <c r="S104" s="4">
        <f>IF($J104="","",K104-L104-M104-N104-O104-P104-Q104)</f>
      </c>
      <c r="T104" s="4">
        <f>IF($J104="","",(S104-V104)/I104*100)</f>
      </c>
      <c r="U104" s="4">
        <f>IF($J104="","",L104-R104)</f>
      </c>
      <c r="W104" s="4">
        <f>IF($J104="","",S104-V104)</f>
      </c>
    </row>
    <row r="105" spans="1:28" x14ac:dyDescent="0.25">
      <c r="A105" s="8"/>
      <c r="D105" s="9"/>
      <c r="I105" s="4"/>
      <c r="J105" s="4"/>
      <c r="K105" s="4">
        <f>IF($J105="","",J105-I105)</f>
      </c>
      <c r="L105" s="4">
        <f>IF($J105="","",K105*16.67%)</f>
      </c>
      <c r="M105" s="4">
        <f>IF($J105="","",J105*7%)</f>
      </c>
      <c r="N105" s="4">
        <f>IF($J105="","",M105*20%)</f>
      </c>
      <c r="O105" s="4"/>
      <c r="P105" s="4">
        <f>IF($J105="","",O105*20%)</f>
      </c>
      <c r="Q105" s="4">
        <v>1</v>
      </c>
      <c r="R105" s="4">
        <f>IF($J105="","",N105+P105)</f>
      </c>
      <c r="S105" s="4">
        <f>IF($J105="","",K105-L105-M105-N105-O105-P105-Q105)</f>
      </c>
      <c r="T105" s="4">
        <f>IF($J105="","",(S105-V105)/I105*100)</f>
      </c>
      <c r="U105" s="4">
        <f>IF($J105="","",L105-R105)</f>
      </c>
      <c r="W105" s="4">
        <f>IF($J105="","",S105-V105)</f>
      </c>
    </row>
    <row r="106" spans="1:28" x14ac:dyDescent="0.25">
      <c r="A106" s="8"/>
      <c r="D106" s="9"/>
      <c r="I106" s="4"/>
      <c r="J106" s="4"/>
      <c r="K106" s="4">
        <f>IF($J106="","",J106-I106)</f>
      </c>
      <c r="L106" s="4">
        <f>IF($J106="","",K106*16.67%)</f>
      </c>
      <c r="M106" s="4">
        <f>IF($J106="","",J106*7%)</f>
      </c>
      <c r="N106" s="4">
        <f>IF($J106="","",M106*20%)</f>
      </c>
      <c r="O106" s="4"/>
      <c r="P106" s="4">
        <f>IF($J106="","",O106*20%)</f>
      </c>
      <c r="Q106" s="4">
        <v>1</v>
      </c>
      <c r="R106" s="4">
        <f>IF($J106="","",N106+P106)</f>
      </c>
      <c r="S106" s="4">
        <f>IF($J106="","",K106-L106-M106-N106-O106-P106-Q106)</f>
      </c>
      <c r="T106" s="4">
        <f>IF($J106="","",(S106-V106)/I106*100)</f>
      </c>
      <c r="U106" s="4">
        <f>IF($J106="","",L106-R106)</f>
      </c>
      <c r="W106" s="4">
        <f>IF($J106="","",S106-V106)</f>
      </c>
    </row>
    <row r="107" spans="1:28" x14ac:dyDescent="0.25">
      <c r="A107" s="8"/>
      <c r="D107" s="9"/>
      <c r="I107" s="4"/>
      <c r="J107" s="4"/>
      <c r="K107" s="4">
        <f>IF($J107="","",J107-I107)</f>
      </c>
      <c r="L107" s="4">
        <f>IF($J107="","",K107*16.67%)</f>
      </c>
      <c r="M107" s="4">
        <f>IF($J107="","",J107*7%)</f>
      </c>
      <c r="N107" s="4">
        <f>IF($J107="","",M107*20%)</f>
      </c>
      <c r="O107" s="4"/>
      <c r="P107" s="4">
        <f>IF($J107="","",O107*20%)</f>
      </c>
      <c r="Q107" s="4">
        <v>1</v>
      </c>
      <c r="R107" s="4">
        <f>IF($J107="","",N107+P107)</f>
      </c>
      <c r="S107" s="4">
        <f>IF($J107="","",K107-L107-M107-N107-O107-P107-Q107)</f>
      </c>
      <c r="T107" s="4">
        <f>IF($J107="","",(S107-V107)/I107*100)</f>
      </c>
      <c r="U107" s="4">
        <f>IF($J107="","",L107-R107)</f>
      </c>
      <c r="W107" s="4">
        <f>IF($J107="","",S107-V107)</f>
      </c>
    </row>
    <row r="108" spans="1:28" x14ac:dyDescent="0.25">
      <c r="A108" s="8"/>
      <c r="D108" s="9"/>
      <c r="I108" s="4"/>
      <c r="J108" s="4"/>
      <c r="K108" s="4">
        <f>IF($J108="","",J108-I108)</f>
      </c>
      <c r="L108" s="4">
        <f>IF($J108="","",K108*16.67%)</f>
      </c>
      <c r="M108" s="4">
        <f>IF($J108="","",J108*7%)</f>
      </c>
      <c r="N108" s="4">
        <f>IF($J108="","",M108*20%)</f>
      </c>
      <c r="O108" s="4"/>
      <c r="P108" s="4">
        <f>IF($J108="","",O108*20%)</f>
      </c>
      <c r="Q108" s="4">
        <v>1</v>
      </c>
      <c r="R108" s="4">
        <f>IF($J108="","",N108+P108)</f>
      </c>
      <c r="S108" s="4">
        <f>IF($J108="","",K108-L108-M108-N108-O108-P108-Q108)</f>
      </c>
      <c r="T108" s="4">
        <f>IF($J108="","",(S108-V108)/I108*100)</f>
      </c>
      <c r="U108" s="4">
        <f>IF($J108="","",L108-R108)</f>
      </c>
      <c r="W108" s="4">
        <f>IF($J108="","",S108-V108)</f>
      </c>
    </row>
    <row r="109" spans="1:28" x14ac:dyDescent="0.25">
      <c r="A109" s="8"/>
      <c r="D109" s="9"/>
      <c r="I109" s="4"/>
      <c r="J109" s="4"/>
      <c r="K109" s="4">
        <f>IF($J109="","",J109-I109)</f>
      </c>
      <c r="L109" s="4">
        <f>IF($J109="","",K109*16.67%)</f>
      </c>
      <c r="M109" s="4">
        <f>IF($J109="","",J109*7%)</f>
      </c>
      <c r="N109" s="4">
        <f>IF($J109="","",M109*20%)</f>
      </c>
      <c r="O109" s="4"/>
      <c r="P109" s="4">
        <f>IF($J109="","",O109*20%)</f>
      </c>
      <c r="Q109" s="4">
        <v>1</v>
      </c>
      <c r="R109" s="4">
        <f>IF($J109="","",N109+P109)</f>
      </c>
      <c r="S109" s="4">
        <f>IF($J109="","",K109-L109-M109-N109-O109-P109-Q109)</f>
      </c>
      <c r="T109" s="4">
        <f>IF($J109="","",(S109-V109)/I109*100)</f>
      </c>
      <c r="U109" s="4">
        <f>IF($J109="","",L109-R109)</f>
      </c>
      <c r="W109" s="4">
        <f>IF($J109="","",S109-V109)</f>
      </c>
    </row>
    <row r="110" spans="1:28" x14ac:dyDescent="0.25">
      <c r="A110" s="8"/>
      <c r="D110" s="9"/>
      <c r="I110" s="4"/>
      <c r="J110" s="4"/>
      <c r="K110" s="4">
        <f>IF($J110="","",J110-I110)</f>
      </c>
      <c r="L110" s="4">
        <f>IF($J110="","",K110*16.67%)</f>
      </c>
      <c r="M110" s="4">
        <f>IF($J110="","",J110*7%)</f>
      </c>
      <c r="N110" s="4">
        <f>IF($J110="","",M110*20%)</f>
      </c>
      <c r="O110" s="4"/>
      <c r="P110" s="4">
        <f>IF($J110="","",O110*20%)</f>
      </c>
      <c r="Q110" s="4">
        <v>1</v>
      </c>
      <c r="R110" s="4">
        <f>IF($J110="","",N110+P110)</f>
      </c>
      <c r="S110" s="4">
        <f>IF($J110="","",K110-L110-M110-N110-O110-P110-Q110)</f>
      </c>
      <c r="T110" s="4">
        <f>IF($J110="","",(S110-V110)/I110*100)</f>
      </c>
      <c r="U110" s="4">
        <f>IF($J110="","",L110-R110)</f>
      </c>
      <c r="W110" s="4">
        <f>IF($J110="","",S110-V110)</f>
      </c>
    </row>
    <row r="111" spans="1:28" x14ac:dyDescent="0.25">
      <c r="A111" s="8"/>
      <c r="D111" s="9"/>
      <c r="I111" s="4"/>
      <c r="J111" s="4"/>
      <c r="K111" s="4">
        <f>IF($J111="","",J111-I111)</f>
      </c>
      <c r="L111" s="4">
        <f>IF($J111="","",K111*16.67%)</f>
      </c>
      <c r="M111" s="4">
        <f>IF($J111="","",J111*7%)</f>
      </c>
      <c r="N111" s="4">
        <f>IF($J111="","",M111*20%)</f>
      </c>
      <c r="O111" s="4"/>
      <c r="P111" s="4">
        <f>IF($J111="","",O111*20%)</f>
      </c>
      <c r="Q111" s="4">
        <v>1</v>
      </c>
      <c r="R111" s="4">
        <f>IF($J111="","",N111+P111)</f>
      </c>
      <c r="S111" s="4">
        <f>IF($J111="","",K111-L111-M111-N111-O111-P111-Q111)</f>
      </c>
      <c r="T111" s="4">
        <f>IF($J111="","",(S111-V111)/I111*100)</f>
      </c>
      <c r="U111" s="4">
        <f>IF($J111="","",L111-R111)</f>
      </c>
      <c r="W111" s="4">
        <f>IF($J111="","",S111-V111)</f>
      </c>
    </row>
    <row r="112" spans="1:28" x14ac:dyDescent="0.25">
      <c r="A112" s="8"/>
      <c r="D112" s="9"/>
      <c r="I112" s="4"/>
      <c r="J112" s="4"/>
      <c r="K112" s="4">
        <f>IF($J112="","",J112-I112)</f>
      </c>
      <c r="L112" s="4">
        <f>IF($J112="","",K112*16.67%)</f>
      </c>
      <c r="M112" s="4">
        <f>IF($J112="","",J112*7%)</f>
      </c>
      <c r="N112" s="4">
        <f>IF($J112="","",M112*20%)</f>
      </c>
      <c r="O112" s="4"/>
      <c r="P112" s="4">
        <f>IF($J112="","",O112*20%)</f>
      </c>
      <c r="Q112" s="4">
        <v>1</v>
      </c>
      <c r="R112" s="4">
        <f>IF($J112="","",N112+P112)</f>
      </c>
      <c r="S112" s="4">
        <f>IF($J112="","",K112-L112-M112-N112-O112-P112-Q112)</f>
      </c>
      <c r="T112" s="4">
        <f>IF($J112="","",(S112-V112)/I112*100)</f>
      </c>
      <c r="U112" s="4">
        <f>IF($J112="","",L112-R112)</f>
      </c>
      <c r="W112" s="4">
        <f>IF($J112="","",S112-V112)</f>
      </c>
    </row>
    <row r="113" spans="1:28" x14ac:dyDescent="0.25">
      <c r="A113" s="8"/>
      <c r="D113" s="9"/>
      <c r="I113" s="4"/>
      <c r="J113" s="4"/>
      <c r="K113" s="4">
        <f>IF($J113="","",J113-I113)</f>
      </c>
      <c r="L113" s="4">
        <f>IF($J113="","",K113*16.67%)</f>
      </c>
      <c r="M113" s="4">
        <f>IF($J113="","",J113*7%)</f>
      </c>
      <c r="N113" s="4">
        <f>IF($J113="","",M113*20%)</f>
      </c>
      <c r="O113" s="4"/>
      <c r="P113" s="4">
        <f>IF($J113="","",O113*20%)</f>
      </c>
      <c r="Q113" s="4">
        <v>1</v>
      </c>
      <c r="R113" s="4">
        <f>IF($J113="","",N113+P113)</f>
      </c>
      <c r="S113" s="4">
        <f>IF($J113="","",K113-L113-M113-N113-O113-P113-Q113)</f>
      </c>
      <c r="T113" s="4">
        <f>IF($J113="","",(S113-V113)/I113*100)</f>
      </c>
      <c r="U113" s="4">
        <f>IF($J113="","",L113-R113)</f>
      </c>
      <c r="W113" s="4">
        <f>IF($J113="","",S113-V113)</f>
      </c>
    </row>
    <row r="114" spans="1:28" x14ac:dyDescent="0.25">
      <c r="A114" s="8"/>
      <c r="D114" s="9"/>
      <c r="I114" s="4"/>
      <c r="J114" s="4"/>
      <c r="K114" s="4">
        <f>IF($J114="","",J114-I114)</f>
      </c>
      <c r="L114" s="4">
        <f>IF($J114="","",K114*16.67%)</f>
      </c>
      <c r="M114" s="4">
        <f>IF($J114="","",J114*7%)</f>
      </c>
      <c r="N114" s="4">
        <f>IF($J114="","",M114*20%)</f>
      </c>
      <c r="O114" s="4"/>
      <c r="P114" s="4">
        <f>IF($J114="","",O114*20%)</f>
      </c>
      <c r="Q114" s="4">
        <v>1</v>
      </c>
      <c r="R114" s="4">
        <f>IF($J114="","",N114+P114)</f>
      </c>
      <c r="S114" s="4">
        <f>IF($J114="","",K114-L114-M114-N114-O114-P114-Q114)</f>
      </c>
      <c r="T114" s="4">
        <f>IF($J114="","",(S114-V114)/I114*100)</f>
      </c>
      <c r="U114" s="4">
        <f>IF($J114="","",L114-R114)</f>
      </c>
      <c r="W114" s="4">
        <f>IF($J114="","",S114-V114)</f>
      </c>
    </row>
    <row r="115" spans="1:28" x14ac:dyDescent="0.25">
      <c r="A115" s="8"/>
      <c r="D115" s="9"/>
      <c r="I115" s="4"/>
      <c r="J115" s="4"/>
      <c r="K115" s="4">
        <f>IF($J115="","",J115-I115)</f>
      </c>
      <c r="L115" s="4">
        <f>IF($J115="","",K115*16.67%)</f>
      </c>
      <c r="M115" s="4">
        <f>IF($J115="","",J115*7%)</f>
      </c>
      <c r="N115" s="4">
        <f>IF($J115="","",M115*20%)</f>
      </c>
      <c r="O115" s="4"/>
      <c r="P115" s="4">
        <f>IF($J115="","",O115*20%)</f>
      </c>
      <c r="Q115" s="4">
        <v>1</v>
      </c>
      <c r="R115" s="4">
        <f>IF($J115="","",N115+P115)</f>
      </c>
      <c r="S115" s="4">
        <f>IF($J115="","",K115-L115-M115-N115-O115-P115-Q115)</f>
      </c>
      <c r="T115" s="4">
        <f>IF($J115="","",(S115-V115)/I115*100)</f>
      </c>
      <c r="U115" s="4">
        <f>IF($J115="","",L115-R115)</f>
      </c>
      <c r="W115" s="4">
        <f>IF($J115="","",S115-V115)</f>
      </c>
    </row>
    <row r="116" spans="1:28" x14ac:dyDescent="0.25">
      <c r="A116" s="8"/>
      <c r="D116" s="9"/>
      <c r="I116" s="4"/>
      <c r="J116" s="4"/>
      <c r="K116" s="4">
        <f>IF($J116="","",J116-I116)</f>
      </c>
      <c r="L116" s="4">
        <f>IF($J116="","",K116*16.67%)</f>
      </c>
      <c r="M116" s="4">
        <f>IF($J116="","",J116*7%)</f>
      </c>
      <c r="N116" s="4">
        <f>IF($J116="","",M116*20%)</f>
      </c>
      <c r="O116" s="4"/>
      <c r="P116" s="4">
        <f>IF($J116="","",O116*20%)</f>
      </c>
      <c r="Q116" s="4">
        <v>1</v>
      </c>
      <c r="R116" s="4">
        <f>IF($J116="","",N116+P116)</f>
      </c>
      <c r="S116" s="4">
        <f>IF($J116="","",K116-L116-M116-N116-O116-P116-Q116)</f>
      </c>
      <c r="T116" s="4">
        <f>IF($J116="","",(S116-V116)/I116*100)</f>
      </c>
      <c r="U116" s="4">
        <f>IF($J116="","",L116-R116)</f>
      </c>
      <c r="W116" s="4">
        <f>IF($J116="","",S116-V116)</f>
      </c>
    </row>
    <row r="117" spans="1:28" x14ac:dyDescent="0.25">
      <c r="A117" s="8"/>
      <c r="D117" s="9"/>
      <c r="I117" s="4"/>
      <c r="J117" s="4"/>
      <c r="K117" s="4">
        <f>IF($J117="","",J117-I117)</f>
      </c>
      <c r="L117" s="4">
        <f>IF($J117="","",K117*16.67%)</f>
      </c>
      <c r="M117" s="4">
        <f>IF($J117="","",J117*7%)</f>
      </c>
      <c r="N117" s="4">
        <f>IF($J117="","",M117*20%)</f>
      </c>
      <c r="O117" s="4"/>
      <c r="P117" s="4">
        <f>IF($J117="","",O117*20%)</f>
      </c>
      <c r="Q117" s="4">
        <v>1</v>
      </c>
      <c r="R117" s="4">
        <f>IF($J117="","",N117+P117)</f>
      </c>
      <c r="S117" s="4">
        <f>IF($J117="","",K117-L117-M117-N117-O117-P117-Q117)</f>
      </c>
      <c r="T117" s="4">
        <f>IF($J117="","",(S117-V117)/I117*100)</f>
      </c>
      <c r="U117" s="4">
        <f>IF($J117="","",L117-R117)</f>
      </c>
      <c r="W117" s="4">
        <f>IF($J117="","",S117-V117)</f>
      </c>
    </row>
    <row r="118" spans="1:28" x14ac:dyDescent="0.25">
      <c r="A118" s="8"/>
      <c r="D118" s="9"/>
      <c r="I118" s="4"/>
      <c r="J118" s="4"/>
      <c r="K118" s="4">
        <f>IF($J118="","",J118-I118)</f>
      </c>
      <c r="L118" s="4">
        <f>IF($J118="","",K118*16.67%)</f>
      </c>
      <c r="M118" s="4">
        <f>IF($J118="","",J118*7%)</f>
      </c>
      <c r="N118" s="4">
        <f>IF($J118="","",M118*20%)</f>
      </c>
      <c r="O118" s="4"/>
      <c r="P118" s="4">
        <f>IF($J118="","",O118*20%)</f>
      </c>
      <c r="Q118" s="4">
        <v>1</v>
      </c>
      <c r="R118" s="4">
        <f>IF($J118="","",N118+P118)</f>
      </c>
      <c r="S118" s="4">
        <f>IF($J118="","",K118-L118-M118-N118-O118-P118-Q118)</f>
      </c>
      <c r="T118" s="4">
        <f>IF($J118="","",(S118-V118)/I118*100)</f>
      </c>
      <c r="U118" s="4">
        <f>IF($J118="","",L118-R118)</f>
      </c>
      <c r="W118" s="4">
        <f>IF($J118="","",S118-V118)</f>
      </c>
    </row>
    <row r="119" spans="1:28" x14ac:dyDescent="0.25">
      <c r="A119" s="8"/>
      <c r="D119" s="9"/>
      <c r="I119" s="4"/>
      <c r="J119" s="4"/>
      <c r="K119" s="4">
        <f>IF($J119="","",J119-I119)</f>
      </c>
      <c r="L119" s="4">
        <f>IF($J119="","",K119*16.67%)</f>
      </c>
      <c r="M119" s="4">
        <f>IF($J119="","",J119*7%)</f>
      </c>
      <c r="N119" s="4">
        <f>IF($J119="","",M119*20%)</f>
      </c>
      <c r="O119" s="4"/>
      <c r="P119" s="4">
        <f>IF($J119="","",O119*20%)</f>
      </c>
      <c r="Q119" s="4">
        <v>1</v>
      </c>
      <c r="R119" s="4">
        <f>IF($J119="","",N119+P119)</f>
      </c>
      <c r="S119" s="4">
        <f>IF($J119="","",K119-L119-M119-N119-O119-P119-Q119)</f>
      </c>
      <c r="T119" s="4">
        <f>IF($J119="","",(S119-V119)/I119*100)</f>
      </c>
      <c r="U119" s="4">
        <f>IF($J119="","",L119-R119)</f>
      </c>
      <c r="W119" s="4">
        <f>IF($J119="","",S119-V119)</f>
      </c>
    </row>
    <row r="120" spans="1:28" x14ac:dyDescent="0.25">
      <c r="A120" s="8"/>
      <c r="D120" s="9"/>
      <c r="I120" s="4"/>
      <c r="J120" s="4"/>
      <c r="K120" s="4">
        <f>IF($J120="","",J120-I120)</f>
      </c>
      <c r="L120" s="4">
        <f>IF($J120="","",K120*16.67%)</f>
      </c>
      <c r="M120" s="4">
        <f>IF($J120="","",J120*7%)</f>
      </c>
      <c r="N120" s="4">
        <f>IF($J120="","",M120*20%)</f>
      </c>
      <c r="O120" s="4"/>
      <c r="P120" s="4">
        <f>IF($J120="","",O120*20%)</f>
      </c>
      <c r="Q120" s="4">
        <v>1</v>
      </c>
      <c r="R120" s="4">
        <f>IF($J120="","",N120+P120)</f>
      </c>
      <c r="S120" s="4">
        <f>IF($J120="","",K120-L120-M120-N120-O120-P120-Q120)</f>
      </c>
      <c r="T120" s="4">
        <f>IF($J120="","",(S120-V120)/I120*100)</f>
      </c>
      <c r="U120" s="4">
        <f>IF($J120="","",L120-R120)</f>
      </c>
      <c r="W120" s="4">
        <f>IF($J120="","",S120-V120)</f>
      </c>
    </row>
    <row r="121" spans="1:28" x14ac:dyDescent="0.25">
      <c r="A121" s="8"/>
      <c r="D121" s="9"/>
      <c r="I121" s="4"/>
      <c r="J121" s="4"/>
      <c r="K121" s="4">
        <f>IF($J121="","",J121-I121)</f>
      </c>
      <c r="L121" s="4">
        <f>IF($J121="","",K121*16.67%)</f>
      </c>
      <c r="M121" s="4">
        <f>IF($J121="","",J121*7%)</f>
      </c>
      <c r="N121" s="4">
        <f>IF($J121="","",M121*20%)</f>
      </c>
      <c r="O121" s="4"/>
      <c r="P121" s="4">
        <f>IF($J121="","",O121*20%)</f>
      </c>
      <c r="Q121" s="4">
        <v>1</v>
      </c>
      <c r="R121" s="4">
        <f>IF($J121="","",N121+P121)</f>
      </c>
      <c r="S121" s="4">
        <f>IF($J121="","",K121-L121-M121-N121-O121-P121-Q121)</f>
      </c>
      <c r="T121" s="4">
        <f>IF($J121="","",(S121-V121)/I121*100)</f>
      </c>
      <c r="U121" s="4">
        <f>IF($J121="","",L121-R121)</f>
      </c>
      <c r="W121" s="4">
        <f>IF($J121="","",S121-V121)</f>
      </c>
    </row>
    <row r="122" spans="1:28" x14ac:dyDescent="0.25">
      <c r="A122" s="8"/>
      <c r="D122" s="9"/>
      <c r="I122" s="4"/>
      <c r="J122" s="4"/>
      <c r="K122" s="4">
        <f>IF($J122="","",J122-I122)</f>
      </c>
      <c r="L122" s="4">
        <f>IF($J122="","",K122*16.67%)</f>
      </c>
      <c r="M122" s="4">
        <f>IF($J122="","",J122*7%)</f>
      </c>
      <c r="N122" s="4">
        <f>IF($J122="","",M122*20%)</f>
      </c>
      <c r="O122" s="4"/>
      <c r="P122" s="4">
        <f>IF($J122="","",O122*20%)</f>
      </c>
      <c r="Q122" s="4">
        <v>1</v>
      </c>
      <c r="R122" s="4">
        <f>IF($J122="","",N122+P122)</f>
      </c>
      <c r="S122" s="4">
        <f>IF($J122="","",K122-L122-M122-N122-O122-P122-Q122)</f>
      </c>
      <c r="T122" s="4">
        <f>IF($J122="","",(S122-V122)/I122*100)</f>
      </c>
      <c r="U122" s="4">
        <f>IF($J122="","",L122-R122)</f>
      </c>
      <c r="W122" s="4">
        <f>IF($J122="","",S122-V122)</f>
      </c>
    </row>
    <row r="123" spans="1:28" x14ac:dyDescent="0.25">
      <c r="A123" s="8"/>
      <c r="D123" s="9"/>
      <c r="I123" s="4"/>
      <c r="J123" s="4"/>
      <c r="K123" s="4">
        <f>IF($J123="","",J123-I123)</f>
      </c>
      <c r="L123" s="4">
        <f>IF($J123="","",K123*16.67%)</f>
      </c>
      <c r="M123" s="4">
        <f>IF($J123="","",J123*7%)</f>
      </c>
      <c r="N123" s="4">
        <f>IF($J123="","",M123*20%)</f>
      </c>
      <c r="O123" s="4"/>
      <c r="P123" s="4">
        <f>IF($J123="","",O123*20%)</f>
      </c>
      <c r="Q123" s="4">
        <v>1</v>
      </c>
      <c r="R123" s="4">
        <f>IF($J123="","",N123+P123)</f>
      </c>
      <c r="S123" s="4">
        <f>IF($J123="","",K123-L123-M123-N123-O123-P123-Q123)</f>
      </c>
      <c r="T123" s="4">
        <f>IF($J123="","",(S123-V123)/I123*100)</f>
      </c>
      <c r="U123" s="4">
        <f>IF($J123="","",L123-R123)</f>
      </c>
      <c r="W123" s="4">
        <f>IF($J123="","",S123-V123)</f>
      </c>
    </row>
    <row r="124" spans="1:28" x14ac:dyDescent="0.25">
      <c r="A124" s="8"/>
      <c r="D124" s="9"/>
      <c r="I124" s="4"/>
      <c r="J124" s="4"/>
      <c r="K124" s="4">
        <f>IF($J124="","",J124-I124)</f>
      </c>
      <c r="L124" s="4">
        <f>IF($J124="","",K124*16.67%)</f>
      </c>
      <c r="M124" s="4">
        <f>IF($J124="","",J124*7%)</f>
      </c>
      <c r="N124" s="4">
        <f>IF($J124="","",M124*20%)</f>
      </c>
      <c r="O124" s="4"/>
      <c r="P124" s="4">
        <f>IF($J124="","",O124*20%)</f>
      </c>
      <c r="Q124" s="4">
        <v>1</v>
      </c>
      <c r="R124" s="4">
        <f>IF($J124="","",N124+P124)</f>
      </c>
      <c r="S124" s="4">
        <f>IF($J124="","",K124-L124-M124-N124-O124-P124-Q124)</f>
      </c>
      <c r="T124" s="4">
        <f>IF($J124="","",(S124-V124)/I124*100)</f>
      </c>
      <c r="U124" s="4">
        <f>IF($J124="","",L124-R124)</f>
      </c>
      <c r="W124" s="4">
        <f>IF($J124="","",S124-V124)</f>
      </c>
    </row>
    <row r="125" spans="1:28" x14ac:dyDescent="0.25">
      <c r="A125" s="8"/>
      <c r="D125" s="9"/>
      <c r="I125" s="4"/>
      <c r="J125" s="4"/>
      <c r="K125" s="4">
        <f>IF($J125="","",J125-I125)</f>
      </c>
      <c r="L125" s="4">
        <f>IF($J125="","",K125*16.67%)</f>
      </c>
      <c r="M125" s="4">
        <f>IF($J125="","",J125*7%)</f>
      </c>
      <c r="N125" s="4">
        <f>IF($J125="","",M125*20%)</f>
      </c>
      <c r="O125" s="4"/>
      <c r="P125" s="4">
        <f>IF($J125="","",O125*20%)</f>
      </c>
      <c r="Q125" s="4">
        <v>1</v>
      </c>
      <c r="R125" s="4">
        <f>IF($J125="","",N125+P125)</f>
      </c>
      <c r="S125" s="4">
        <f>IF($J125="","",K125-L125-M125-N125-O125-P125-Q125)</f>
      </c>
      <c r="T125" s="4">
        <f>IF($J125="","",(S125-V125)/I125*100)</f>
      </c>
      <c r="U125" s="4">
        <f>IF($J125="","",L125-R125)</f>
      </c>
      <c r="W125" s="4">
        <f>IF($J125="","",S125-V125)</f>
      </c>
    </row>
    <row r="126" spans="1:28" x14ac:dyDescent="0.25">
      <c r="A126" s="8"/>
      <c r="D126" s="9"/>
      <c r="I126" s="4"/>
      <c r="J126" s="4"/>
      <c r="K126" s="4">
        <f>IF($J126="","",J126-I126)</f>
      </c>
      <c r="L126" s="4">
        <f>IF($J126="","",K126*16.67%)</f>
      </c>
      <c r="M126" s="4">
        <f>IF($J126="","",J126*7%)</f>
      </c>
      <c r="N126" s="4">
        <f>IF($J126="","",M126*20%)</f>
      </c>
      <c r="O126" s="4"/>
      <c r="P126" s="4">
        <f>IF($J126="","",O126*20%)</f>
      </c>
      <c r="Q126" s="4">
        <v>1</v>
      </c>
      <c r="R126" s="4">
        <f>IF($J126="","",N126+P126)</f>
      </c>
      <c r="S126" s="4">
        <f>IF($J126="","",K126-L126-M126-N126-O126-P126-Q126)</f>
      </c>
      <c r="T126" s="4">
        <f>IF($J126="","",(S126-V126)/I126*100)</f>
      </c>
      <c r="U126" s="4">
        <f>IF($J126="","",L126-R126)</f>
      </c>
      <c r="W126" s="4">
        <f>IF($J126="","",S126-V126)</f>
      </c>
    </row>
    <row r="127" spans="1:28" x14ac:dyDescent="0.25">
      <c r="A127" s="8"/>
      <c r="D127" s="9"/>
      <c r="I127" s="4"/>
      <c r="J127" s="4"/>
      <c r="K127" s="4">
        <f>IF($J127="","",J127-I127)</f>
      </c>
      <c r="L127" s="4">
        <f>IF($J127="","",K127*16.67%)</f>
      </c>
      <c r="M127" s="4">
        <f>IF($J127="","",J127*7%)</f>
      </c>
      <c r="N127" s="4">
        <f>IF($J127="","",M127*20%)</f>
      </c>
      <c r="O127" s="4"/>
      <c r="P127" s="4">
        <f>IF($J127="","",O127*20%)</f>
      </c>
      <c r="Q127" s="4">
        <v>1</v>
      </c>
      <c r="R127" s="4">
        <f>IF($J127="","",N127+P127)</f>
      </c>
      <c r="S127" s="4">
        <f>IF($J127="","",K127-L127-M127-N127-O127-P127-Q127)</f>
      </c>
      <c r="T127" s="4">
        <f>IF($J127="","",(S127-V127)/I127*100)</f>
      </c>
      <c r="U127" s="4">
        <f>IF($J127="","",L127-R127)</f>
      </c>
      <c r="W127" s="4">
        <f>IF($J127="","",S127-V127)</f>
      </c>
    </row>
    <row r="128" spans="1:28" x14ac:dyDescent="0.25">
      <c r="A128" s="8"/>
      <c r="D128" s="9"/>
      <c r="I128" s="4"/>
      <c r="J128" s="4"/>
      <c r="K128" s="4">
        <f>IF($J128="","",J128-I128)</f>
      </c>
      <c r="L128" s="4">
        <f>IF($J128="","",K128*16.67%)</f>
      </c>
      <c r="M128" s="4">
        <f>IF($J128="","",J128*7%)</f>
      </c>
      <c r="N128" s="4">
        <f>IF($J128="","",M128*20%)</f>
      </c>
      <c r="O128" s="4"/>
      <c r="P128" s="4">
        <f>IF($J128="","",O128*20%)</f>
      </c>
      <c r="Q128" s="4">
        <v>1</v>
      </c>
      <c r="R128" s="4">
        <f>IF($J128="","",N128+P128)</f>
      </c>
      <c r="S128" s="4">
        <f>IF($J128="","",K128-L128-M128-N128-O128-P128-Q128)</f>
      </c>
      <c r="T128" s="4">
        <f>IF($J128="","",(S128-V128)/I128*100)</f>
      </c>
      <c r="U128" s="4">
        <f>IF($J128="","",L128-R128)</f>
      </c>
      <c r="W128" s="4">
        <f>IF($J128="","",S128-V128)</f>
      </c>
    </row>
    <row r="129" spans="1:28" x14ac:dyDescent="0.25">
      <c r="A129" s="8"/>
      <c r="D129" s="9"/>
      <c r="I129" s="4"/>
      <c r="J129" s="4"/>
      <c r="K129" s="4">
        <f>IF($J129="","",J129-I129)</f>
      </c>
      <c r="L129" s="4">
        <f>IF($J129="","",K129*16.67%)</f>
      </c>
      <c r="M129" s="4">
        <f>IF($J129="","",J129*7%)</f>
      </c>
      <c r="N129" s="4">
        <f>IF($J129="","",M129*20%)</f>
      </c>
      <c r="O129" s="4"/>
      <c r="P129" s="4">
        <f>IF($J129="","",O129*20%)</f>
      </c>
      <c r="Q129" s="4">
        <v>1</v>
      </c>
      <c r="R129" s="4">
        <f>IF($J129="","",N129+P129)</f>
      </c>
      <c r="S129" s="4">
        <f>IF($J129="","",K129-L129-M129-N129-O129-P129-Q129)</f>
      </c>
      <c r="T129" s="4">
        <f>IF($J129="","",(S129-V129)/I129*100)</f>
      </c>
      <c r="U129" s="4">
        <f>IF($J129="","",L129-R129)</f>
      </c>
      <c r="W129" s="4">
        <f>IF($J129="","",S129-V129)</f>
      </c>
    </row>
    <row r="130" spans="1:28" x14ac:dyDescent="0.25">
      <c r="A130" s="8"/>
      <c r="D130" s="9"/>
      <c r="I130" s="4"/>
      <c r="J130" s="4"/>
      <c r="K130" s="4">
        <f>IF($J130="","",J130-I130)</f>
      </c>
      <c r="L130" s="4">
        <f>IF($J130="","",K130*16.67%)</f>
      </c>
      <c r="M130" s="4">
        <f>IF($J130="","",J130*7%)</f>
      </c>
      <c r="N130" s="4">
        <f>IF($J130="","",M130*20%)</f>
      </c>
      <c r="O130" s="4"/>
      <c r="P130" s="4">
        <f>IF($J130="","",O130*20%)</f>
      </c>
      <c r="Q130" s="4">
        <v>1</v>
      </c>
      <c r="R130" s="4">
        <f>IF($J130="","",N130+P130)</f>
      </c>
      <c r="S130" s="4">
        <f>IF($J130="","",K130-L130-M130-N130-O130-P130-Q130)</f>
      </c>
      <c r="T130" s="4">
        <f>IF($J130="","",(S130-V130)/I130*100)</f>
      </c>
      <c r="U130" s="4">
        <f>IF($J130="","",L130-R130)</f>
      </c>
      <c r="W130" s="4">
        <f>IF($J130="","",S130-V130)</f>
      </c>
    </row>
    <row r="131" spans="1:28" x14ac:dyDescent="0.25">
      <c r="A131" s="8"/>
      <c r="D131" s="9"/>
      <c r="I131" s="4"/>
      <c r="J131" s="4"/>
      <c r="K131" s="4">
        <f>IF($J131="","",J131-I131)</f>
      </c>
      <c r="L131" s="4">
        <f>IF($J131="","",K131*16.67%)</f>
      </c>
      <c r="M131" s="4">
        <f>IF($J131="","",J131*7%)</f>
      </c>
      <c r="N131" s="4">
        <f>IF($J131="","",M131*20%)</f>
      </c>
      <c r="O131" s="4"/>
      <c r="P131" s="4">
        <f>IF($J131="","",O131*20%)</f>
      </c>
      <c r="Q131" s="4">
        <v>1</v>
      </c>
      <c r="R131" s="4">
        <f>IF($J131="","",N131+P131)</f>
      </c>
      <c r="S131" s="4">
        <f>IF($J131="","",K131-L131-M131-N131-O131-P131-Q131)</f>
      </c>
      <c r="T131" s="4">
        <f>IF($J131="","",(S131-V131)/I131*100)</f>
      </c>
      <c r="U131" s="4">
        <f>IF($J131="","",L131-R131)</f>
      </c>
      <c r="W131" s="4">
        <f>IF($J131="","",S131-V131)</f>
      </c>
    </row>
    <row r="132" spans="1:28" x14ac:dyDescent="0.25">
      <c r="A132" s="8"/>
      <c r="D132" s="9"/>
      <c r="I132" s="4"/>
      <c r="J132" s="4"/>
      <c r="K132" s="4">
        <f>IF($J132="","",J132-I132)</f>
      </c>
      <c r="L132" s="4">
        <f>IF($J132="","",K132*16.67%)</f>
      </c>
      <c r="M132" s="4">
        <f>IF($J132="","",J132*7%)</f>
      </c>
      <c r="N132" s="4">
        <f>IF($J132="","",M132*20%)</f>
      </c>
      <c r="O132" s="4"/>
      <c r="P132" s="4">
        <f>IF($J132="","",O132*20%)</f>
      </c>
      <c r="Q132" s="4">
        <v>1</v>
      </c>
      <c r="R132" s="4">
        <f>IF($J132="","",N132+P132)</f>
      </c>
      <c r="S132" s="4">
        <f>IF($J132="","",K132-L132-M132-N132-O132-P132-Q132)</f>
      </c>
      <c r="T132" s="4">
        <f>IF($J132="","",(S132-V132)/I132*100)</f>
      </c>
      <c r="U132" s="4">
        <f>IF($J132="","",L132-R132)</f>
      </c>
      <c r="W132" s="4">
        <f>IF($J132="","",S132-V132)</f>
      </c>
    </row>
    <row r="133" spans="1:28" x14ac:dyDescent="0.25">
      <c r="A133" s="8"/>
      <c r="D133" s="9"/>
      <c r="I133" s="4"/>
      <c r="J133" s="4"/>
      <c r="K133" s="4">
        <f>IF($J133="","",J133-I133)</f>
      </c>
      <c r="L133" s="4">
        <f>IF($J133="","",K133*16.67%)</f>
      </c>
      <c r="M133" s="4">
        <f>IF($J133="","",J133*7%)</f>
      </c>
      <c r="N133" s="4">
        <f>IF($J133="","",M133*20%)</f>
      </c>
      <c r="O133" s="4"/>
      <c r="P133" s="4">
        <f>IF($J133="","",O133*20%)</f>
      </c>
      <c r="Q133" s="4">
        <v>1</v>
      </c>
      <c r="R133" s="4">
        <f>IF($J133="","",N133+P133)</f>
      </c>
      <c r="S133" s="4">
        <f>IF($J133="","",K133-L133-M133-N133-O133-P133-Q133)</f>
      </c>
      <c r="T133" s="4">
        <f>IF($J133="","",(S133-V133)/I133*100)</f>
      </c>
      <c r="U133" s="4">
        <f>IF($J133="","",L133-R133)</f>
      </c>
      <c r="W133" s="4">
        <f>IF($J133="","",S133-V133)</f>
      </c>
    </row>
    <row r="134" spans="1:28" x14ac:dyDescent="0.25">
      <c r="A134" s="8"/>
      <c r="D134" s="9"/>
      <c r="I134" s="4"/>
      <c r="J134" s="4"/>
      <c r="K134" s="4">
        <f>IF($J134="","",J134-I134)</f>
      </c>
      <c r="L134" s="4">
        <f>IF($J134="","",K134*16.67%)</f>
      </c>
      <c r="M134" s="4">
        <f>IF($J134="","",J134*7%)</f>
      </c>
      <c r="N134" s="4">
        <f>IF($J134="","",M134*20%)</f>
      </c>
      <c r="O134" s="4"/>
      <c r="P134" s="4">
        <f>IF($J134="","",O134*20%)</f>
      </c>
      <c r="Q134" s="4">
        <v>1</v>
      </c>
      <c r="R134" s="4">
        <f>IF($J134="","",N134+P134)</f>
      </c>
      <c r="S134" s="4">
        <f>IF($J134="","",K134-L134-M134-N134-O134-P134-Q134)</f>
      </c>
      <c r="T134" s="4">
        <f>IF($J134="","",(S134-V134)/I134*100)</f>
      </c>
      <c r="U134" s="4">
        <f>IF($J134="","",L134-R134)</f>
      </c>
      <c r="W134" s="4">
        <f>IF($J134="","",S134-V134)</f>
      </c>
    </row>
    <row r="135" spans="1:28" x14ac:dyDescent="0.25">
      <c r="A135" s="8"/>
      <c r="D135" s="9"/>
      <c r="I135" s="4"/>
      <c r="J135" s="4"/>
      <c r="K135" s="4">
        <f>IF($J135="","",J135-I135)</f>
      </c>
      <c r="L135" s="4">
        <f>IF($J135="","",K135*16.67%)</f>
      </c>
      <c r="M135" s="4">
        <f>IF($J135="","",J135*7%)</f>
      </c>
      <c r="N135" s="4">
        <f>IF($J135="","",M135*20%)</f>
      </c>
      <c r="O135" s="4"/>
      <c r="P135" s="4">
        <f>IF($J135="","",O135*20%)</f>
      </c>
      <c r="Q135" s="4">
        <v>1</v>
      </c>
      <c r="R135" s="4">
        <f>IF($J135="","",N135+P135)</f>
      </c>
      <c r="S135" s="4">
        <f>IF($J135="","",K135-L135-M135-N135-O135-P135-Q135)</f>
      </c>
      <c r="T135" s="4">
        <f>IF($J135="","",(S135-V135)/I135*100)</f>
      </c>
      <c r="U135" s="4">
        <f>IF($J135="","",L135-R135)</f>
      </c>
      <c r="W135" s="4">
        <f>IF($J135="","",S135-V135)</f>
      </c>
    </row>
    <row r="136" spans="1:28" x14ac:dyDescent="0.25">
      <c r="A136" s="8"/>
      <c r="D136" s="9"/>
      <c r="I136" s="4"/>
      <c r="J136" s="4"/>
      <c r="K136" s="4">
        <f>IF($J136="","",J136-I136)</f>
      </c>
      <c r="L136" s="4">
        <f>IF($J136="","",K136*16.67%)</f>
      </c>
      <c r="M136" s="4">
        <f>IF($J136="","",J136*7%)</f>
      </c>
      <c r="N136" s="4">
        <f>IF($J136="","",M136*20%)</f>
      </c>
      <c r="O136" s="4"/>
      <c r="P136" s="4">
        <f>IF($J136="","",O136*20%)</f>
      </c>
      <c r="Q136" s="4">
        <v>1</v>
      </c>
      <c r="R136" s="4">
        <f>IF($J136="","",N136+P136)</f>
      </c>
      <c r="S136" s="4">
        <f>IF($J136="","",K136-L136-M136-N136-O136-P136-Q136)</f>
      </c>
      <c r="T136" s="4">
        <f>IF($J136="","",(S136-V136)/I136*100)</f>
      </c>
      <c r="U136" s="4">
        <f>IF($J136="","",L136-R136)</f>
      </c>
      <c r="W136" s="4">
        <f>IF($J136="","",S136-V136)</f>
      </c>
    </row>
    <row r="137" spans="1:28" x14ac:dyDescent="0.25">
      <c r="A137" s="8"/>
      <c r="D137" s="9"/>
      <c r="I137" s="4"/>
      <c r="J137" s="4"/>
      <c r="K137" s="4">
        <f>IF($J137="","",J137-I137)</f>
      </c>
      <c r="L137" s="4">
        <f>IF($J137="","",K137*16.67%)</f>
      </c>
      <c r="M137" s="4">
        <f>IF($J137="","",J137*7%)</f>
      </c>
      <c r="N137" s="4">
        <f>IF($J137="","",M137*20%)</f>
      </c>
      <c r="O137" s="4"/>
      <c r="P137" s="4">
        <f>IF($J137="","",O137*20%)</f>
      </c>
      <c r="Q137" s="4">
        <v>1</v>
      </c>
      <c r="R137" s="4">
        <f>IF($J137="","",N137+P137)</f>
      </c>
      <c r="S137" s="4">
        <f>IF($J137="","",K137-L137-M137-N137-O137-P137-Q137)</f>
      </c>
      <c r="T137" s="4">
        <f>IF($J137="","",(S137-V137)/I137*100)</f>
      </c>
      <c r="U137" s="4">
        <f>IF($J137="","",L137-R137)</f>
      </c>
      <c r="W137" s="4">
        <f>IF($J137="","",S137-V137)</f>
      </c>
    </row>
    <row r="138" spans="1:28" x14ac:dyDescent="0.25">
      <c r="A138" s="8"/>
      <c r="D138" s="9"/>
      <c r="I138" s="4"/>
      <c r="J138" s="4"/>
      <c r="K138" s="4">
        <f>IF($J138="","",J138-I138)</f>
      </c>
      <c r="L138" s="4">
        <f>IF($J138="","",K138*16.67%)</f>
      </c>
      <c r="M138" s="4">
        <f>IF($J138="","",J138*7%)</f>
      </c>
      <c r="N138" s="4">
        <f>IF($J138="","",M138*20%)</f>
      </c>
      <c r="O138" s="4"/>
      <c r="P138" s="4">
        <f>IF($J138="","",O138*20%)</f>
      </c>
      <c r="Q138" s="4">
        <v>1</v>
      </c>
      <c r="R138" s="4">
        <f>IF($J138="","",N138+P138)</f>
      </c>
      <c r="S138" s="4">
        <f>IF($J138="","",K138-L138-M138-N138-O138-P138-Q138)</f>
      </c>
      <c r="T138" s="4">
        <f>IF($J138="","",(S138-V138)/I138*100)</f>
      </c>
      <c r="U138" s="4">
        <f>IF($J138="","",L138-R138)</f>
      </c>
      <c r="W138" s="4">
        <f>IF($J138="","",S138-V138)</f>
      </c>
    </row>
    <row r="139" spans="1:28" x14ac:dyDescent="0.25">
      <c r="A139" s="8"/>
      <c r="D139" s="9"/>
      <c r="I139" s="4"/>
      <c r="J139" s="4"/>
      <c r="K139" s="4">
        <f>IF($J139="","",J139-I139)</f>
      </c>
      <c r="L139" s="4">
        <f>IF($J139="","",K139*16.67%)</f>
      </c>
      <c r="M139" s="4">
        <f>IF($J139="","",J139*7%)</f>
      </c>
      <c r="N139" s="4">
        <f>IF($J139="","",M139*20%)</f>
      </c>
      <c r="O139" s="4"/>
      <c r="P139" s="4">
        <f>IF($J139="","",O139*20%)</f>
      </c>
      <c r="Q139" s="4">
        <v>1</v>
      </c>
      <c r="R139" s="4">
        <f>IF($J139="","",N139+P139)</f>
      </c>
      <c r="S139" s="4">
        <f>IF($J139="","",K139-L139-M139-N139-O139-P139-Q139)</f>
      </c>
      <c r="T139" s="4">
        <f>IF($J139="","",(S139-V139)/I139*100)</f>
      </c>
      <c r="U139" s="4">
        <f>IF($J139="","",L139-R139)</f>
      </c>
      <c r="W139" s="4">
        <f>IF($J139="","",S139-V139)</f>
      </c>
    </row>
    <row r="140" spans="1:28" x14ac:dyDescent="0.25">
      <c r="A140" s="8"/>
      <c r="D140" s="9"/>
      <c r="I140" s="4"/>
      <c r="J140" s="4"/>
      <c r="K140" s="4">
        <f>IF($J140="","",J140-I140)</f>
      </c>
      <c r="L140" s="4">
        <f>IF($J140="","",K140*16.67%)</f>
      </c>
      <c r="M140" s="4">
        <f>IF($J140="","",J140*7%)</f>
      </c>
      <c r="N140" s="4">
        <f>IF($J140="","",M140*20%)</f>
      </c>
      <c r="O140" s="4"/>
      <c r="P140" s="4">
        <f>IF($J140="","",O140*20%)</f>
      </c>
      <c r="Q140" s="4">
        <v>1</v>
      </c>
      <c r="R140" s="4">
        <f>IF($J140="","",N140+P140)</f>
      </c>
      <c r="S140" s="4">
        <f>IF($J140="","",K140-L140-M140-N140-O140-P140-Q140)</f>
      </c>
      <c r="T140" s="4">
        <f>IF($J140="","",(S140-V140)/I140*100)</f>
      </c>
      <c r="U140" s="4">
        <f>IF($J140="","",L140-R140)</f>
      </c>
      <c r="W140" s="4">
        <f>IF($J140="","",S140-V140)</f>
      </c>
    </row>
    <row r="141" spans="1:28" x14ac:dyDescent="0.25">
      <c r="A141" s="8"/>
      <c r="D141" s="9"/>
      <c r="I141" s="4"/>
      <c r="J141" s="4"/>
      <c r="K141" s="4">
        <f>IF($J141="","",J141-I141)</f>
      </c>
      <c r="L141" s="4">
        <f>IF($J141="","",K141*16.67%)</f>
      </c>
      <c r="M141" s="4">
        <f>IF($J141="","",J141*7%)</f>
      </c>
      <c r="N141" s="4">
        <f>IF($J141="","",M141*20%)</f>
      </c>
      <c r="O141" s="4"/>
      <c r="P141" s="4">
        <f>IF($J141="","",O141*20%)</f>
      </c>
      <c r="Q141" s="4">
        <v>1</v>
      </c>
      <c r="R141" s="4">
        <f>IF($J141="","",N141+P141)</f>
      </c>
      <c r="S141" s="4">
        <f>IF($J141="","",K141-L141-M141-N141-O141-P141-Q141)</f>
      </c>
      <c r="T141" s="4">
        <f>IF($J141="","",(S141-V141)/I141*100)</f>
      </c>
      <c r="U141" s="4">
        <f>IF($J141="","",L141-R141)</f>
      </c>
      <c r="W141" s="4">
        <f>IF($J141="","",S141-V141)</f>
      </c>
    </row>
    <row r="142" spans="1:28" x14ac:dyDescent="0.25">
      <c r="A142" s="8"/>
      <c r="D142" s="9"/>
      <c r="I142" s="4"/>
      <c r="J142" s="4"/>
      <c r="K142" s="4">
        <f>IF($J142="","",J142-I142)</f>
      </c>
      <c r="L142" s="4">
        <f>IF($J142="","",K142*16.67%)</f>
      </c>
      <c r="M142" s="4">
        <f>IF($J142="","",J142*7%)</f>
      </c>
      <c r="N142" s="4">
        <f>IF($J142="","",M142*20%)</f>
      </c>
      <c r="O142" s="4"/>
      <c r="P142" s="4">
        <f>IF($J142="","",O142*20%)</f>
      </c>
      <c r="Q142" s="4">
        <v>1</v>
      </c>
      <c r="R142" s="4">
        <f>IF($J142="","",N142+P142)</f>
      </c>
      <c r="S142" s="4">
        <f>IF($J142="","",K142-L142-M142-N142-O142-P142-Q142)</f>
      </c>
      <c r="T142" s="4">
        <f>IF($J142="","",(S142-V142)/I142*100)</f>
      </c>
      <c r="U142" s="4">
        <f>IF($J142="","",L142-R142)</f>
      </c>
      <c r="W142" s="4">
        <f>IF($J142="","",S142-V142)</f>
      </c>
    </row>
    <row r="143" spans="1:28" x14ac:dyDescent="0.25">
      <c r="A143" s="8"/>
      <c r="D143" s="9"/>
      <c r="I143" s="4"/>
      <c r="J143" s="4"/>
      <c r="K143" s="4">
        <f>IF($J143="","",J143-I143)</f>
      </c>
      <c r="L143" s="4">
        <f>IF($J143="","",K143*16.67%)</f>
      </c>
      <c r="M143" s="4">
        <f>IF($J143="","",J143*7%)</f>
      </c>
      <c r="N143" s="4">
        <f>IF($J143="","",M143*20%)</f>
      </c>
      <c r="O143" s="4"/>
      <c r="P143" s="4">
        <f>IF($J143="","",O143*20%)</f>
      </c>
      <c r="Q143" s="4">
        <v>1</v>
      </c>
      <c r="R143" s="4">
        <f>IF($J143="","",N143+P143)</f>
      </c>
      <c r="S143" s="4">
        <f>IF($J143="","",K143-L143-M143-N143-O143-P143-Q143)</f>
      </c>
      <c r="T143" s="4">
        <f>IF($J143="","",(S143-V143)/I143*100)</f>
      </c>
      <c r="U143" s="4">
        <f>IF($J143="","",L143-R143)</f>
      </c>
      <c r="W143" s="4">
        <f>IF($J143="","",S143-V143)</f>
      </c>
    </row>
    <row r="144" spans="1:28" x14ac:dyDescent="0.25">
      <c r="A144" s="8"/>
      <c r="D144" s="9"/>
      <c r="I144" s="4"/>
      <c r="J144" s="4"/>
      <c r="K144" s="4">
        <f>IF($J144="","",J144-I144)</f>
      </c>
      <c r="L144" s="4">
        <f>IF($J144="","",K144*16.67%)</f>
      </c>
      <c r="M144" s="4">
        <f>IF($J144="","",J144*7%)</f>
      </c>
      <c r="N144" s="4">
        <f>IF($J144="","",M144*20%)</f>
      </c>
      <c r="O144" s="4"/>
      <c r="P144" s="4">
        <f>IF($J144="","",O144*20%)</f>
      </c>
      <c r="Q144" s="4">
        <v>1</v>
      </c>
      <c r="R144" s="4">
        <f>IF($J144="","",N144+P144)</f>
      </c>
      <c r="S144" s="4">
        <f>IF($J144="","",K144-L144-M144-N144-O144-P144-Q144)</f>
      </c>
      <c r="T144" s="4">
        <f>IF($J144="","",(S144-V144)/I144*100)</f>
      </c>
      <c r="U144" s="4">
        <f>IF($J144="","",L144-R144)</f>
      </c>
      <c r="W144" s="4">
        <f>IF($J144="","",S144-V144)</f>
      </c>
    </row>
    <row r="145" spans="1:28" x14ac:dyDescent="0.25">
      <c r="A145" s="8"/>
      <c r="D145" s="9"/>
      <c r="I145" s="4"/>
      <c r="J145" s="4"/>
      <c r="K145" s="4">
        <f>IF($J145="","",J145-I145)</f>
      </c>
      <c r="L145" s="4">
        <f>IF($J145="","",K145*16.67%)</f>
      </c>
      <c r="M145" s="4">
        <f>IF($J145="","",J145*7%)</f>
      </c>
      <c r="N145" s="4">
        <f>IF($J145="","",M145*20%)</f>
      </c>
      <c r="O145" s="4"/>
      <c r="P145" s="4">
        <f>IF($J145="","",O145*20%)</f>
      </c>
      <c r="Q145" s="4">
        <v>1</v>
      </c>
      <c r="R145" s="4">
        <f>IF($J145="","",N145+P145)</f>
      </c>
      <c r="S145" s="4">
        <f>IF($J145="","",K145-L145-M145-N145-O145-P145-Q145)</f>
      </c>
      <c r="T145" s="4">
        <f>IF($J145="","",(S145-V145)/I145*100)</f>
      </c>
      <c r="U145" s="4">
        <f>IF($J145="","",L145-R145)</f>
      </c>
      <c r="W145" s="4">
        <f>IF($J145="","",S145-V145)</f>
      </c>
    </row>
    <row r="146" spans="1:28" x14ac:dyDescent="0.25">
      <c r="A146" s="8"/>
      <c r="D146" s="9"/>
      <c r="I146" s="4"/>
      <c r="J146" s="4"/>
      <c r="K146" s="4">
        <f>IF($J146="","",J146-I146)</f>
      </c>
      <c r="L146" s="4">
        <f>IF($J146="","",K146*16.67%)</f>
      </c>
      <c r="M146" s="4">
        <f>IF($J146="","",J146*7%)</f>
      </c>
      <c r="N146" s="4">
        <f>IF($J146="","",M146*20%)</f>
      </c>
      <c r="O146" s="4"/>
      <c r="P146" s="4">
        <f>IF($J146="","",O146*20%)</f>
      </c>
      <c r="Q146" s="4">
        <v>1</v>
      </c>
      <c r="R146" s="4">
        <f>IF($J146="","",N146+P146)</f>
      </c>
      <c r="S146" s="4">
        <f>IF($J146="","",K146-L146-M146-N146-O146-P146-Q146)</f>
      </c>
      <c r="T146" s="4">
        <f>IF($J146="","",(S146-V146)/I146*100)</f>
      </c>
      <c r="U146" s="4">
        <f>IF($J146="","",L146-R146)</f>
      </c>
      <c r="W146" s="4">
        <f>IF($J146="","",S146-V146)</f>
      </c>
    </row>
    <row r="147" spans="1:28" x14ac:dyDescent="0.25">
      <c r="A147" s="8"/>
      <c r="D147" s="9"/>
      <c r="I147" s="4"/>
      <c r="J147" s="4"/>
      <c r="K147" s="4">
        <f>IF($J147="","",J147-I147)</f>
      </c>
      <c r="L147" s="4">
        <f>IF($J147="","",K147*16.67%)</f>
      </c>
      <c r="M147" s="4">
        <f>IF($J147="","",J147*7%)</f>
      </c>
      <c r="N147" s="4">
        <f>IF($J147="","",M147*20%)</f>
      </c>
      <c r="O147" s="4"/>
      <c r="P147" s="4">
        <f>IF($J147="","",O147*20%)</f>
      </c>
      <c r="Q147" s="4">
        <v>1</v>
      </c>
      <c r="R147" s="4">
        <f>IF($J147="","",N147+P147)</f>
      </c>
      <c r="S147" s="4">
        <f>IF($J147="","",K147-L147-M147-N147-O147-P147-Q147)</f>
      </c>
      <c r="T147" s="4">
        <f>IF($J147="","",(S147-V147)/I147*100)</f>
      </c>
      <c r="U147" s="4">
        <f>IF($J147="","",L147-R147)</f>
      </c>
      <c r="W147" s="4">
        <f>IF($J147="","",S147-V147)</f>
      </c>
    </row>
    <row r="148" spans="1:28" x14ac:dyDescent="0.25">
      <c r="A148" s="8"/>
      <c r="D148" s="9"/>
      <c r="I148" s="4"/>
      <c r="J148" s="4"/>
      <c r="K148" s="4">
        <f>IF($J148="","",J148-I148)</f>
      </c>
      <c r="L148" s="4">
        <f>IF($J148="","",K148*16.67%)</f>
      </c>
      <c r="M148" s="4">
        <f>IF($J148="","",J148*7%)</f>
      </c>
      <c r="N148" s="4">
        <f>IF($J148="","",M148*20%)</f>
      </c>
      <c r="O148" s="4"/>
      <c r="P148" s="4">
        <f>IF($J148="","",O148*20%)</f>
      </c>
      <c r="Q148" s="4">
        <v>1</v>
      </c>
      <c r="R148" s="4">
        <f>IF($J148="","",N148+P148)</f>
      </c>
      <c r="S148" s="4">
        <f>IF($J148="","",K148-L148-M148-N148-O148-P148-Q148)</f>
      </c>
      <c r="T148" s="4">
        <f>IF($J148="","",(S148-V148)/I148*100)</f>
      </c>
      <c r="U148" s="4">
        <f>IF($J148="","",L148-R148)</f>
      </c>
      <c r="W148" s="4">
        <f>IF($J148="","",S148-V148)</f>
      </c>
    </row>
    <row r="149" spans="1:28" x14ac:dyDescent="0.25">
      <c r="A149" s="8"/>
      <c r="D149" s="9"/>
      <c r="I149" s="4"/>
      <c r="J149" s="4"/>
      <c r="K149" s="4">
        <f>IF($J149="","",J149-I149)</f>
      </c>
      <c r="L149" s="4">
        <f>IF($J149="","",K149*16.67%)</f>
      </c>
      <c r="M149" s="4">
        <f>IF($J149="","",J149*7%)</f>
      </c>
      <c r="N149" s="4">
        <f>IF($J149="","",M149*20%)</f>
      </c>
      <c r="O149" s="4"/>
      <c r="P149" s="4">
        <f>IF($J149="","",O149*20%)</f>
      </c>
      <c r="Q149" s="4">
        <v>1</v>
      </c>
      <c r="R149" s="4">
        <f>IF($J149="","",N149+P149)</f>
      </c>
      <c r="S149" s="4">
        <f>IF($J149="","",K149-L149-M149-N149-O149-P149-Q149)</f>
      </c>
      <c r="T149" s="4">
        <f>IF($J149="","",(S149-V149)/I149*100)</f>
      </c>
      <c r="U149" s="4">
        <f>IF($J149="","",L149-R149)</f>
      </c>
      <c r="W149" s="4">
        <f>IF($J149="","",S149-V149)</f>
      </c>
    </row>
    <row r="150" spans="1:28" x14ac:dyDescent="0.25">
      <c r="A150" s="8"/>
      <c r="D150" s="9"/>
      <c r="I150" s="4"/>
      <c r="J150" s="4"/>
      <c r="K150" s="4">
        <f>IF($J150="","",J150-I150)</f>
      </c>
      <c r="L150" s="4">
        <f>IF($J150="","",K150*16.67%)</f>
      </c>
      <c r="M150" s="4">
        <f>IF($J150="","",J150*7%)</f>
      </c>
      <c r="N150" s="4">
        <f>IF($J150="","",M150*20%)</f>
      </c>
      <c r="O150" s="4"/>
      <c r="P150" s="4">
        <f>IF($J150="","",O150*20%)</f>
      </c>
      <c r="Q150" s="4">
        <v>1</v>
      </c>
      <c r="R150" s="4">
        <f>IF($J150="","",N150+P150)</f>
      </c>
      <c r="S150" s="4">
        <f>IF($J150="","",K150-L150-M150-N150-O150-P150-Q150)</f>
      </c>
      <c r="T150" s="4">
        <f>IF($J150="","",(S150-V150)/I150*100)</f>
      </c>
      <c r="U150" s="4">
        <f>IF($J150="","",L150-R150)</f>
      </c>
      <c r="W150" s="4">
        <f>IF($J150="","",S150-V150)</f>
      </c>
    </row>
    <row r="151" spans="1:28" x14ac:dyDescent="0.25">
      <c r="A151" s="8"/>
      <c r="D151" s="9"/>
      <c r="I151" s="4"/>
      <c r="J151" s="4"/>
      <c r="K151" s="4">
        <f>IF($J151="","",J151-I151)</f>
      </c>
      <c r="L151" s="4">
        <f>IF($J151="","",K151*16.67%)</f>
      </c>
      <c r="M151" s="4">
        <f>IF($J151="","",J151*7%)</f>
      </c>
      <c r="N151" s="4">
        <f>IF($J151="","",M151*20%)</f>
      </c>
      <c r="O151" s="4"/>
      <c r="P151" s="4">
        <f>IF($J151="","",O151*20%)</f>
      </c>
      <c r="Q151" s="4">
        <v>1</v>
      </c>
      <c r="R151" s="4">
        <f>IF($J151="","",N151+P151)</f>
      </c>
      <c r="S151" s="4">
        <f>IF($J151="","",K151-L151-M151-N151-O151-P151-Q151)</f>
      </c>
      <c r="T151" s="4">
        <f>IF($J151="","",(S151-V151)/I151*100)</f>
      </c>
      <c r="U151" s="4">
        <f>IF($J151="","",L151-R151)</f>
      </c>
      <c r="W151" s="4">
        <f>IF($J151="","",S151-V151)</f>
      </c>
    </row>
    <row r="152" spans="1:28" x14ac:dyDescent="0.25">
      <c r="A152" s="8"/>
      <c r="D152" s="9"/>
      <c r="I152" s="4"/>
      <c r="J152" s="4"/>
      <c r="K152" s="4">
        <f>IF($J152="","",J152-I152)</f>
      </c>
      <c r="L152" s="4">
        <f>IF($J152="","",K152*16.67%)</f>
      </c>
      <c r="M152" s="4">
        <f>IF($J152="","",J152*7%)</f>
      </c>
      <c r="N152" s="4">
        <f>IF($J152="","",M152*20%)</f>
      </c>
      <c r="O152" s="4"/>
      <c r="P152" s="4">
        <f>IF($J152="","",O152*20%)</f>
      </c>
      <c r="Q152" s="4">
        <v>1</v>
      </c>
      <c r="R152" s="4">
        <f>IF($J152="","",N152+P152)</f>
      </c>
      <c r="S152" s="4">
        <f>IF($J152="","",K152-L152-M152-N152-O152-P152-Q152)</f>
      </c>
      <c r="T152" s="4">
        <f>IF($J152="","",(S152-V152)/I152*100)</f>
      </c>
      <c r="U152" s="4">
        <f>IF($J152="","",L152-R152)</f>
      </c>
      <c r="W152" s="4">
        <f>IF($J152="","",S152-V152)</f>
      </c>
    </row>
    <row r="153" spans="1:28" x14ac:dyDescent="0.25">
      <c r="A153" s="8"/>
      <c r="D153" s="9"/>
      <c r="I153" s="4"/>
      <c r="J153" s="4"/>
      <c r="K153" s="4">
        <f>IF($J153="","",J153-I153)</f>
      </c>
      <c r="L153" s="4">
        <f>IF($J153="","",K153*16.67%)</f>
      </c>
      <c r="M153" s="4">
        <f>IF($J153="","",J153*7%)</f>
      </c>
      <c r="N153" s="4">
        <f>IF($J153="","",M153*20%)</f>
      </c>
      <c r="O153" s="4"/>
      <c r="P153" s="4">
        <f>IF($J153="","",O153*20%)</f>
      </c>
      <c r="Q153" s="4">
        <v>1</v>
      </c>
      <c r="R153" s="4">
        <f>IF($J153="","",N153+P153)</f>
      </c>
      <c r="S153" s="4">
        <f>IF($J153="","",K153-L153-M153-N153-O153-P153-Q153)</f>
      </c>
      <c r="T153" s="4">
        <f>IF($J153="","",(S153-V153)/I153*100)</f>
      </c>
      <c r="U153" s="4">
        <f>IF($J153="","",L153-R153)</f>
      </c>
      <c r="W153" s="4">
        <f>IF($J153="","",S153-V153)</f>
      </c>
    </row>
    <row r="154" spans="1:28" x14ac:dyDescent="0.25">
      <c r="A154" s="8"/>
      <c r="D154" s="9"/>
      <c r="I154" s="4"/>
      <c r="J154" s="4"/>
      <c r="K154" s="4">
        <f>IF($J154="","",J154-I154)</f>
      </c>
      <c r="L154" s="4">
        <f>IF($J154="","",K154*16.67%)</f>
      </c>
      <c r="M154" s="4">
        <f>IF($J154="","",J154*7%)</f>
      </c>
      <c r="N154" s="4">
        <f>IF($J154="","",M154*20%)</f>
      </c>
      <c r="O154" s="4"/>
      <c r="P154" s="4">
        <f>IF($J154="","",O154*20%)</f>
      </c>
      <c r="Q154" s="4">
        <v>1</v>
      </c>
      <c r="R154" s="4">
        <f>IF($J154="","",N154+P154)</f>
      </c>
      <c r="S154" s="4">
        <f>IF($J154="","",K154-L154-M154-N154-O154-P154-Q154)</f>
      </c>
      <c r="T154" s="4">
        <f>IF($J154="","",(S154-V154)/I154*100)</f>
      </c>
      <c r="U154" s="4">
        <f>IF($J154="","",L154-R154)</f>
      </c>
      <c r="W154" s="4">
        <f>IF($J154="","",S154-V154)</f>
      </c>
    </row>
    <row r="155" spans="1:28" x14ac:dyDescent="0.25">
      <c r="A155" s="8"/>
      <c r="D155" s="9"/>
      <c r="I155" s="4"/>
      <c r="J155" s="4"/>
      <c r="K155" s="4">
        <f>IF($J155="","",J155-I155)</f>
      </c>
      <c r="L155" s="4">
        <f>IF($J155="","",K155*16.67%)</f>
      </c>
      <c r="M155" s="4">
        <f>IF($J155="","",J155*7%)</f>
      </c>
      <c r="N155" s="4">
        <f>IF($J155="","",M155*20%)</f>
      </c>
      <c r="O155" s="4"/>
      <c r="P155" s="4">
        <f>IF($J155="","",O155*20%)</f>
      </c>
      <c r="Q155" s="4">
        <v>1</v>
      </c>
      <c r="R155" s="4">
        <f>IF($J155="","",N155+P155)</f>
      </c>
      <c r="S155" s="4">
        <f>IF($J155="","",K155-L155-M155-N155-O155-P155-Q155)</f>
      </c>
      <c r="T155" s="4">
        <f>IF($J155="","",(S155-V155)/I155*100)</f>
      </c>
      <c r="U155" s="4">
        <f>IF($J155="","",L155-R155)</f>
      </c>
      <c r="W155" s="4">
        <f>IF($J155="","",S155-V155)</f>
      </c>
    </row>
    <row r="156" spans="1:28" x14ac:dyDescent="0.25">
      <c r="A156" s="8"/>
      <c r="D156" s="9"/>
      <c r="I156" s="4"/>
      <c r="J156" s="4"/>
      <c r="K156" s="4">
        <f>IF($J156="","",J156-I156)</f>
      </c>
      <c r="L156" s="4">
        <f>IF($J156="","",K156*16.67%)</f>
      </c>
      <c r="M156" s="4">
        <f>IF($J156="","",J156*7%)</f>
      </c>
      <c r="N156" s="4">
        <f>IF($J156="","",M156*20%)</f>
      </c>
      <c r="O156" s="4"/>
      <c r="P156" s="4">
        <f>IF($J156="","",O156*20%)</f>
      </c>
      <c r="Q156" s="4">
        <v>1</v>
      </c>
      <c r="R156" s="4">
        <f>IF($J156="","",N156+P156)</f>
      </c>
      <c r="S156" s="4">
        <f>IF($J156="","",K156-L156-M156-N156-O156-P156-Q156)</f>
      </c>
      <c r="T156" s="4">
        <f>IF($J156="","",(S156-V156)/I156*100)</f>
      </c>
      <c r="U156" s="4">
        <f>IF($J156="","",L156-R156)</f>
      </c>
      <c r="W156" s="4">
        <f>IF($J156="","",S156-V156)</f>
      </c>
    </row>
    <row r="157" spans="1:28" x14ac:dyDescent="0.25">
      <c r="A157" s="8"/>
      <c r="D157" s="9"/>
      <c r="I157" s="4"/>
      <c r="J157" s="4"/>
      <c r="K157" s="4">
        <f>IF($J157="","",J157-I157)</f>
      </c>
      <c r="L157" s="4">
        <f>IF($J157="","",K157*16.67%)</f>
      </c>
      <c r="M157" s="4">
        <f>IF($J157="","",J157*7%)</f>
      </c>
      <c r="N157" s="4">
        <f>IF($J157="","",M157*20%)</f>
      </c>
      <c r="O157" s="4"/>
      <c r="P157" s="4">
        <f>IF($J157="","",O157*20%)</f>
      </c>
      <c r="Q157" s="4">
        <v>1</v>
      </c>
      <c r="R157" s="4">
        <f>IF($J157="","",N157+P157)</f>
      </c>
      <c r="S157" s="4">
        <f>IF($J157="","",K157-L157-M157-N157-O157-P157-Q157)</f>
      </c>
      <c r="T157" s="4">
        <f>IF($J157="","",(S157-V157)/I157*100)</f>
      </c>
      <c r="U157" s="4">
        <f>IF($J157="","",L157-R157)</f>
      </c>
      <c r="W157" s="4">
        <f>IF($J157="","",S157-V157)</f>
      </c>
    </row>
    <row r="158" spans="1:28" x14ac:dyDescent="0.25">
      <c r="A158" s="8"/>
      <c r="D158" s="9"/>
      <c r="I158" s="4"/>
      <c r="J158" s="4"/>
      <c r="K158" s="4">
        <f>IF($J158="","",J158-I158)</f>
      </c>
      <c r="L158" s="4">
        <f>IF($J158="","",K158*16.67%)</f>
      </c>
      <c r="M158" s="4">
        <f>IF($J158="","",J158*7%)</f>
      </c>
      <c r="N158" s="4">
        <f>IF($J158="","",M158*20%)</f>
      </c>
      <c r="O158" s="4"/>
      <c r="P158" s="4">
        <f>IF($J158="","",O158*20%)</f>
      </c>
      <c r="Q158" s="4">
        <v>1</v>
      </c>
      <c r="R158" s="4">
        <f>IF($J158="","",N158+P158)</f>
      </c>
      <c r="S158" s="4">
        <f>IF($J158="","",K158-L158-M158-N158-O158-P158-Q158)</f>
      </c>
      <c r="T158" s="4">
        <f>IF($J158="","",(S158-V158)/I158*100)</f>
      </c>
      <c r="U158" s="4">
        <f>IF($J158="","",L158-R158)</f>
      </c>
      <c r="W158" s="4">
        <f>IF($J158="","",S158-V158)</f>
      </c>
    </row>
    <row r="159" spans="1:28" x14ac:dyDescent="0.25">
      <c r="A159" s="8"/>
      <c r="D159" s="9"/>
      <c r="I159" s="4"/>
      <c r="J159" s="4"/>
      <c r="K159" s="4">
        <f>IF($J159="","",J159-I159)</f>
      </c>
      <c r="L159" s="4">
        <f>IF($J159="","",K159*16.67%)</f>
      </c>
      <c r="M159" s="4">
        <f>IF($J159="","",J159*7%)</f>
      </c>
      <c r="N159" s="4">
        <f>IF($J159="","",M159*20%)</f>
      </c>
      <c r="O159" s="4"/>
      <c r="P159" s="4">
        <f>IF($J159="","",O159*20%)</f>
      </c>
      <c r="Q159" s="4">
        <v>1</v>
      </c>
      <c r="R159" s="4">
        <f>IF($J159="","",N159+P159)</f>
      </c>
      <c r="S159" s="4">
        <f>IF($J159="","",K159-L159-M159-N159-O159-P159-Q159)</f>
      </c>
      <c r="T159" s="4">
        <f>IF($J159="","",(S159-V159)/I159*100)</f>
      </c>
      <c r="U159" s="4">
        <f>IF($J159="","",L159-R159)</f>
      </c>
      <c r="W159" s="4">
        <f>IF($J159="","",S159-V159)</f>
      </c>
    </row>
    <row r="160" spans="1:28" x14ac:dyDescent="0.25">
      <c r="A160" s="8"/>
      <c r="D160" s="9"/>
      <c r="I160" s="4"/>
      <c r="J160" s="4"/>
      <c r="K160" s="4">
        <f>IF($J160="","",J160-I160)</f>
      </c>
      <c r="L160" s="4">
        <f>IF($J160="","",K160*16.67%)</f>
      </c>
      <c r="M160" s="4">
        <f>IF($J160="","",J160*7%)</f>
      </c>
      <c r="N160" s="4">
        <f>IF($J160="","",M160*20%)</f>
      </c>
      <c r="O160" s="4"/>
      <c r="P160" s="4">
        <f>IF($J160="","",O160*20%)</f>
      </c>
      <c r="Q160" s="4">
        <v>1</v>
      </c>
      <c r="R160" s="4">
        <f>IF($J160="","",N160+P160)</f>
      </c>
      <c r="S160" s="4">
        <f>IF($J160="","",K160-L160-M160-N160-O160-P160-Q160)</f>
      </c>
      <c r="T160" s="4">
        <f>IF($J160="","",(S160-V160)/I160*100)</f>
      </c>
      <c r="U160" s="4">
        <f>IF($J160="","",L160-R160)</f>
      </c>
      <c r="W160" s="4">
        <f>IF($J160="","",S160-V160)</f>
      </c>
    </row>
    <row r="161" spans="1:28" x14ac:dyDescent="0.25">
      <c r="A161" s="8"/>
      <c r="D161" s="9"/>
      <c r="I161" s="4"/>
      <c r="J161" s="4"/>
      <c r="K161" s="4">
        <f>IF($J161="","",J161-I161)</f>
      </c>
      <c r="L161" s="4">
        <f>IF($J161="","",K161*16.67%)</f>
      </c>
      <c r="M161" s="4">
        <f>IF($J161="","",J161*7%)</f>
      </c>
      <c r="N161" s="4">
        <f>IF($J161="","",M161*20%)</f>
      </c>
      <c r="O161" s="4"/>
      <c r="P161" s="4">
        <f>IF($J161="","",O161*20%)</f>
      </c>
      <c r="Q161" s="4">
        <v>1</v>
      </c>
      <c r="R161" s="4">
        <f>IF($J161="","",N161+P161)</f>
      </c>
      <c r="S161" s="4">
        <f>IF($J161="","",K161-L161-M161-N161-O161-P161-Q161)</f>
      </c>
      <c r="T161" s="4">
        <f>IF($J161="","",(S161-V161)/I161*100)</f>
      </c>
      <c r="U161" s="4">
        <f>IF($J161="","",L161-R161)</f>
      </c>
      <c r="W161" s="4">
        <f>IF($J161="","",S161-V161)</f>
      </c>
    </row>
    <row r="162" spans="1:28" x14ac:dyDescent="0.25">
      <c r="A162" s="8"/>
      <c r="D162" s="9"/>
      <c r="I162" s="4"/>
      <c r="J162" s="4"/>
      <c r="K162" s="4">
        <f>IF($J162="","",J162-I162)</f>
      </c>
      <c r="L162" s="4">
        <f>IF($J162="","",K162*16.67%)</f>
      </c>
      <c r="M162" s="4">
        <f>IF($J162="","",J162*7%)</f>
      </c>
      <c r="N162" s="4">
        <f>IF($J162="","",M162*20%)</f>
      </c>
      <c r="O162" s="4"/>
      <c r="P162" s="4">
        <f>IF($J162="","",O162*20%)</f>
      </c>
      <c r="Q162" s="4">
        <v>1</v>
      </c>
      <c r="R162" s="4">
        <f>IF($J162="","",N162+P162)</f>
      </c>
      <c r="S162" s="4">
        <f>IF($J162="","",K162-L162-M162-N162-O162-P162-Q162)</f>
      </c>
      <c r="T162" s="4">
        <f>IF($J162="","",(S162-V162)/I162*100)</f>
      </c>
      <c r="U162" s="4">
        <f>IF($J162="","",L162-R162)</f>
      </c>
      <c r="W162" s="4">
        <f>IF($J162="","",S162-V162)</f>
      </c>
    </row>
    <row r="163" spans="1:28" x14ac:dyDescent="0.25">
      <c r="A163" s="8"/>
      <c r="D163" s="9"/>
      <c r="I163" s="4"/>
      <c r="J163" s="4"/>
      <c r="K163" s="4">
        <f>IF($J163="","",J163-I163)</f>
      </c>
      <c r="L163" s="4">
        <f>IF($J163="","",K163*16.67%)</f>
      </c>
      <c r="M163" s="4">
        <f>IF($J163="","",J163*7%)</f>
      </c>
      <c r="N163" s="4">
        <f>IF($J163="","",M163*20%)</f>
      </c>
      <c r="O163" s="4"/>
      <c r="P163" s="4">
        <f>IF($J163="","",O163*20%)</f>
      </c>
      <c r="Q163" s="4">
        <v>1</v>
      </c>
      <c r="R163" s="4">
        <f>IF($J163="","",N163+P163)</f>
      </c>
      <c r="S163" s="4">
        <f>IF($J163="","",K163-L163-M163-N163-O163-P163-Q163)</f>
      </c>
      <c r="T163" s="4">
        <f>IF($J163="","",(S163-V163)/I163*100)</f>
      </c>
      <c r="U163" s="4">
        <f>IF($J163="","",L163-R163)</f>
      </c>
      <c r="W163" s="4">
        <f>IF($J163="","",S163-V163)</f>
      </c>
    </row>
    <row r="164" spans="1:28" x14ac:dyDescent="0.25">
      <c r="A164" s="8"/>
      <c r="D164" s="9"/>
      <c r="I164" s="4"/>
      <c r="J164" s="4"/>
      <c r="K164" s="4">
        <f>IF($J164="","",J164-I164)</f>
      </c>
      <c r="L164" s="4">
        <f>IF($J164="","",K164*16.67%)</f>
      </c>
      <c r="M164" s="4">
        <f>IF($J164="","",J164*7%)</f>
      </c>
      <c r="N164" s="4">
        <f>IF($J164="","",M164*20%)</f>
      </c>
      <c r="O164" s="4"/>
      <c r="P164" s="4">
        <f>IF($J164="","",O164*20%)</f>
      </c>
      <c r="Q164" s="4">
        <v>1</v>
      </c>
      <c r="R164" s="4">
        <f>IF($J164="","",N164+P164)</f>
      </c>
      <c r="S164" s="4">
        <f>IF($J164="","",K164-L164-M164-N164-O164-P164-Q164)</f>
      </c>
      <c r="T164" s="4">
        <f>IF($J164="","",(S164-V164)/I164*100)</f>
      </c>
      <c r="U164" s="4">
        <f>IF($J164="","",L164-R164)</f>
      </c>
      <c r="W164" s="4">
        <f>IF($J164="","",S164-V164)</f>
      </c>
    </row>
    <row r="165" spans="1:28" x14ac:dyDescent="0.25">
      <c r="A165" s="8"/>
      <c r="D165" s="9"/>
      <c r="I165" s="4"/>
      <c r="J165" s="4"/>
      <c r="K165" s="4">
        <f>IF($J165="","",J165-I165)</f>
      </c>
      <c r="L165" s="4">
        <f>IF($J165="","",K165*16.67%)</f>
      </c>
      <c r="M165" s="4">
        <f>IF($J165="","",J165*7%)</f>
      </c>
      <c r="N165" s="4">
        <f>IF($J165="","",M165*20%)</f>
      </c>
      <c r="O165" s="4"/>
      <c r="P165" s="4">
        <f>IF($J165="","",O165*20%)</f>
      </c>
      <c r="Q165" s="4">
        <v>1</v>
      </c>
      <c r="R165" s="4">
        <f>IF($J165="","",N165+P165)</f>
      </c>
      <c r="S165" s="4">
        <f>IF($J165="","",K165-L165-M165-N165-O165-P165-Q165)</f>
      </c>
      <c r="T165" s="4">
        <f>IF($J165="","",(S165-V165)/I165*100)</f>
      </c>
      <c r="U165" s="4">
        <f>IF($J165="","",L165-R165)</f>
      </c>
      <c r="W165" s="4">
        <f>IF($J165="","",S165-V165)</f>
      </c>
    </row>
    <row r="166" spans="1:28" x14ac:dyDescent="0.25">
      <c r="A166" s="8"/>
      <c r="D166" s="9"/>
      <c r="I166" s="4"/>
      <c r="J166" s="4"/>
      <c r="K166" s="4">
        <f>IF($J166="","",J166-I166)</f>
      </c>
      <c r="L166" s="4">
        <f>IF($J166="","",K166*16.67%)</f>
      </c>
      <c r="M166" s="4">
        <f>IF($J166="","",J166*7%)</f>
      </c>
      <c r="N166" s="4">
        <f>IF($J166="","",M166*20%)</f>
      </c>
      <c r="O166" s="4"/>
      <c r="P166" s="4">
        <f>IF($J166="","",O166*20%)</f>
      </c>
      <c r="Q166" s="4">
        <v>1</v>
      </c>
      <c r="R166" s="4">
        <f>IF($J166="","",N166+P166)</f>
      </c>
      <c r="S166" s="4">
        <f>IF($J166="","",K166-L166-M166-N166-O166-P166-Q166)</f>
      </c>
      <c r="T166" s="4">
        <f>IF($J166="","",(S166-V166)/I166*100)</f>
      </c>
      <c r="U166" s="4">
        <f>IF($J166="","",L166-R166)</f>
      </c>
      <c r="W166" s="4">
        <f>IF($J166="","",S166-V166)</f>
      </c>
    </row>
    <row r="167" spans="1:28" x14ac:dyDescent="0.25">
      <c r="A167" s="8"/>
      <c r="D167" s="9"/>
      <c r="I167" s="4"/>
      <c r="J167" s="4"/>
      <c r="K167" s="4">
        <f>IF($J167="","",J167-I167)</f>
      </c>
      <c r="L167" s="4">
        <f>IF($J167="","",K167*16.67%)</f>
      </c>
      <c r="M167" s="4">
        <f>IF($J167="","",J167*7%)</f>
      </c>
      <c r="N167" s="4">
        <f>IF($J167="","",M167*20%)</f>
      </c>
      <c r="O167" s="4"/>
      <c r="P167" s="4">
        <f>IF($J167="","",O167*20%)</f>
      </c>
      <c r="Q167" s="4">
        <v>1</v>
      </c>
      <c r="R167" s="4">
        <f>IF($J167="","",N167+P167)</f>
      </c>
      <c r="S167" s="4">
        <f>IF($J167="","",K167-L167-M167-N167-O167-P167-Q167)</f>
      </c>
      <c r="T167" s="4">
        <f>IF($J167="","",(S167-V167)/I167*100)</f>
      </c>
      <c r="U167" s="4">
        <f>IF($J167="","",L167-R167)</f>
      </c>
      <c r="W167" s="4">
        <f>IF($J167="","",S167-V167)</f>
      </c>
    </row>
    <row r="168" spans="1:28" x14ac:dyDescent="0.25">
      <c r="A168" s="8"/>
      <c r="D168" s="9"/>
      <c r="I168" s="4"/>
      <c r="J168" s="4"/>
      <c r="K168" s="4">
        <f>IF($J168="","",J168-I168)</f>
      </c>
      <c r="L168" s="4">
        <f>IF($J168="","",K168*16.67%)</f>
      </c>
      <c r="M168" s="4">
        <f>IF($J168="","",J168*7%)</f>
      </c>
      <c r="N168" s="4">
        <f>IF($J168="","",M168*20%)</f>
      </c>
      <c r="O168" s="4"/>
      <c r="P168" s="4">
        <f>IF($J168="","",O168*20%)</f>
      </c>
      <c r="Q168" s="4">
        <v>1</v>
      </c>
      <c r="R168" s="4">
        <f>IF($J168="","",N168+P168)</f>
      </c>
      <c r="S168" s="4">
        <f>IF($J168="","",K168-L168-M168-N168-O168-P168-Q168)</f>
      </c>
      <c r="T168" s="4">
        <f>IF($J168="","",(S168-V168)/I168*100)</f>
      </c>
      <c r="U168" s="4">
        <f>IF($J168="","",L168-R168)</f>
      </c>
      <c r="W168" s="4">
        <f>IF($J168="","",S168-V168)</f>
      </c>
    </row>
    <row r="169" spans="1:28" x14ac:dyDescent="0.25">
      <c r="A169" s="8"/>
      <c r="D169" s="9"/>
      <c r="I169" s="4"/>
      <c r="J169" s="4"/>
      <c r="K169" s="4">
        <f>IF($J169="","",J169-I169)</f>
      </c>
      <c r="L169" s="4">
        <f>IF($J169="","",K169*16.67%)</f>
      </c>
      <c r="M169" s="4">
        <f>IF($J169="","",J169*7%)</f>
      </c>
      <c r="N169" s="4">
        <f>IF($J169="","",M169*20%)</f>
      </c>
      <c r="O169" s="4"/>
      <c r="P169" s="4">
        <f>IF($J169="","",O169*20%)</f>
      </c>
      <c r="Q169" s="4">
        <v>1</v>
      </c>
      <c r="R169" s="4">
        <f>IF($J169="","",N169+P169)</f>
      </c>
      <c r="S169" s="4">
        <f>IF($J169="","",K169-L169-M169-N169-O169-P169-Q169)</f>
      </c>
      <c r="T169" s="4">
        <f>IF($J169="","",(S169-V169)/I169*100)</f>
      </c>
      <c r="U169" s="4">
        <f>IF($J169="","",L169-R169)</f>
      </c>
      <c r="W169" s="4">
        <f>IF($J169="","",S169-V169)</f>
      </c>
    </row>
    <row r="170" spans="1:28" x14ac:dyDescent="0.25">
      <c r="A170" s="8"/>
      <c r="D170" s="9"/>
      <c r="I170" s="4"/>
      <c r="J170" s="4"/>
      <c r="K170" s="4">
        <f>IF($J170="","",J170-I170)</f>
      </c>
      <c r="L170" s="4">
        <f>IF($J170="","",K170*16.67%)</f>
      </c>
      <c r="M170" s="4">
        <f>IF($J170="","",J170*7%)</f>
      </c>
      <c r="N170" s="4">
        <f>IF($J170="","",M170*20%)</f>
      </c>
      <c r="O170" s="4"/>
      <c r="P170" s="4">
        <f>IF($J170="","",O170*20%)</f>
      </c>
      <c r="Q170" s="4">
        <v>1</v>
      </c>
      <c r="R170" s="4">
        <f>IF($J170="","",N170+P170)</f>
      </c>
      <c r="S170" s="4">
        <f>IF($J170="","",K170-L170-M170-N170-O170-P170-Q170)</f>
      </c>
      <c r="T170" s="4">
        <f>IF($J170="","",(S170-V170)/I170*100)</f>
      </c>
      <c r="U170" s="4">
        <f>IF($J170="","",L170-R170)</f>
      </c>
      <c r="W170" s="4">
        <f>IF($J170="","",S170-V170)</f>
      </c>
    </row>
    <row r="171" spans="1:28" x14ac:dyDescent="0.25">
      <c r="A171" s="8"/>
      <c r="D171" s="9"/>
      <c r="I171" s="4"/>
      <c r="J171" s="4"/>
      <c r="K171" s="4">
        <f>IF($J171="","",J171-I171)</f>
      </c>
      <c r="L171" s="4">
        <f>IF($J171="","",K171*16.67%)</f>
      </c>
      <c r="M171" s="4">
        <f>IF($J171="","",J171*7%)</f>
      </c>
      <c r="N171" s="4">
        <f>IF($J171="","",M171*20%)</f>
      </c>
      <c r="O171" s="4"/>
      <c r="P171" s="4">
        <f>IF($J171="","",O171*20%)</f>
      </c>
      <c r="Q171" s="4">
        <v>1</v>
      </c>
      <c r="R171" s="4">
        <f>IF($J171="","",N171+P171)</f>
      </c>
      <c r="S171" s="4">
        <f>IF($J171="","",K171-L171-M171-N171-O171-P171-Q171)</f>
      </c>
      <c r="T171" s="4">
        <f>IF($J171="","",(S171-V171)/I171*100)</f>
      </c>
      <c r="U171" s="4">
        <f>IF($J171="","",L171-R171)</f>
      </c>
      <c r="W171" s="4">
        <f>IF($J171="","",S171-V171)</f>
      </c>
    </row>
    <row r="172" spans="1:28" x14ac:dyDescent="0.25">
      <c r="A172" s="8"/>
      <c r="D172" s="9"/>
      <c r="I172" s="4"/>
      <c r="J172" s="4"/>
      <c r="K172" s="4">
        <f>IF($J172="","",J172-I172)</f>
      </c>
      <c r="L172" s="4">
        <f>IF($J172="","",K172*16.67%)</f>
      </c>
      <c r="M172" s="4">
        <f>IF($J172="","",J172*7%)</f>
      </c>
      <c r="N172" s="4">
        <f>IF($J172="","",M172*20%)</f>
      </c>
      <c r="O172" s="4"/>
      <c r="P172" s="4">
        <f>IF($J172="","",O172*20%)</f>
      </c>
      <c r="Q172" s="4">
        <v>1</v>
      </c>
      <c r="R172" s="4">
        <f>IF($J172="","",N172+P172)</f>
      </c>
      <c r="S172" s="4">
        <f>IF($J172="","",K172-L172-M172-N172-O172-P172-Q172)</f>
      </c>
      <c r="T172" s="4">
        <f>IF($J172="","",(S172-V172)/I172*100)</f>
      </c>
      <c r="U172" s="4">
        <f>IF($J172="","",L172-R172)</f>
      </c>
      <c r="W172" s="4">
        <f>IF($J172="","",S172-V172)</f>
      </c>
    </row>
    <row r="173" spans="1:28" x14ac:dyDescent="0.25">
      <c r="A173" s="8"/>
      <c r="D173" s="9"/>
      <c r="I173" s="4"/>
      <c r="J173" s="4"/>
      <c r="K173" s="4">
        <f>IF($J173="","",J173-I173)</f>
      </c>
      <c r="L173" s="4">
        <f>IF($J173="","",K173*16.67%)</f>
      </c>
      <c r="M173" s="4">
        <f>IF($J173="","",J173*7%)</f>
      </c>
      <c r="N173" s="4">
        <f>IF($J173="","",M173*20%)</f>
      </c>
      <c r="O173" s="4"/>
      <c r="P173" s="4">
        <f>IF($J173="","",O173*20%)</f>
      </c>
      <c r="Q173" s="4">
        <v>1</v>
      </c>
      <c r="R173" s="4">
        <f>IF($J173="","",N173+P173)</f>
      </c>
      <c r="S173" s="4">
        <f>IF($J173="","",K173-L173-M173-N173-O173-P173-Q173)</f>
      </c>
      <c r="T173" s="4">
        <f>IF($J173="","",(S173-V173)/I173*100)</f>
      </c>
      <c r="U173" s="4">
        <f>IF($J173="","",L173-R173)</f>
      </c>
      <c r="W173" s="4">
        <f>IF($J173="","",S173-V173)</f>
      </c>
    </row>
    <row r="174" spans="1:28" x14ac:dyDescent="0.25">
      <c r="A174" s="8"/>
      <c r="D174" s="9"/>
      <c r="I174" s="4"/>
      <c r="J174" s="4"/>
      <c r="K174" s="4">
        <f>IF($J174="","",J174-I174)</f>
      </c>
      <c r="L174" s="4">
        <f>IF($J174="","",K174*16.67%)</f>
      </c>
      <c r="M174" s="4">
        <f>IF($J174="","",J174*7%)</f>
      </c>
      <c r="N174" s="4">
        <f>IF($J174="","",M174*20%)</f>
      </c>
      <c r="O174" s="4"/>
      <c r="P174" s="4">
        <f>IF($J174="","",O174*20%)</f>
      </c>
      <c r="Q174" s="4">
        <v>1</v>
      </c>
      <c r="R174" s="4">
        <f>IF($J174="","",N174+P174)</f>
      </c>
      <c r="S174" s="4">
        <f>IF($J174="","",K174-L174-M174-N174-O174-P174-Q174)</f>
      </c>
      <c r="T174" s="4">
        <f>IF($J174="","",(S174-V174)/I174*100)</f>
      </c>
      <c r="U174" s="4">
        <f>IF($J174="","",L174-R174)</f>
      </c>
      <c r="W174" s="4">
        <f>IF($J174="","",S174-V174)</f>
      </c>
    </row>
    <row r="175" spans="1:28" x14ac:dyDescent="0.25">
      <c r="A175" s="8"/>
      <c r="D175" s="9"/>
      <c r="I175" s="4"/>
      <c r="J175" s="4"/>
      <c r="K175" s="4">
        <f>IF($J175="","",J175-I175)</f>
      </c>
      <c r="L175" s="4">
        <f>IF($J175="","",K175*16.67%)</f>
      </c>
      <c r="M175" s="4">
        <f>IF($J175="","",J175*7%)</f>
      </c>
      <c r="N175" s="4">
        <f>IF($J175="","",M175*20%)</f>
      </c>
      <c r="O175" s="4"/>
      <c r="P175" s="4">
        <f>IF($J175="","",O175*20%)</f>
      </c>
      <c r="Q175" s="4">
        <v>1</v>
      </c>
      <c r="R175" s="4">
        <f>IF($J175="","",N175+P175)</f>
      </c>
      <c r="S175" s="4">
        <f>IF($J175="","",K175-L175-M175-N175-O175-P175-Q175)</f>
      </c>
      <c r="T175" s="4">
        <f>IF($J175="","",(S175-V175)/I175*100)</f>
      </c>
      <c r="U175" s="4">
        <f>IF($J175="","",L175-R175)</f>
      </c>
      <c r="W175" s="4">
        <f>IF($J175="","",S175-V175)</f>
      </c>
    </row>
    <row r="176" spans="1:28" x14ac:dyDescent="0.25">
      <c r="A176" s="8"/>
      <c r="D176" s="9"/>
      <c r="I176" s="4"/>
      <c r="J176" s="4"/>
      <c r="K176" s="4">
        <f>IF($J176="","",J176-I176)</f>
      </c>
      <c r="L176" s="4">
        <f>IF($J176="","",K176*16.67%)</f>
      </c>
      <c r="M176" s="4">
        <f>IF($J176="","",J176*7%)</f>
      </c>
      <c r="N176" s="4">
        <f>IF($J176="","",M176*20%)</f>
      </c>
      <c r="O176" s="4"/>
      <c r="P176" s="4">
        <f>IF($J176="","",O176*20%)</f>
      </c>
      <c r="Q176" s="4">
        <v>1</v>
      </c>
      <c r="R176" s="4">
        <f>IF($J176="","",N176+P176)</f>
      </c>
      <c r="S176" s="4">
        <f>IF($J176="","",K176-L176-M176-N176-O176-P176-Q176)</f>
      </c>
      <c r="T176" s="4">
        <f>IF($J176="","",(S176-V176)/I176*100)</f>
      </c>
      <c r="U176" s="4">
        <f>IF($J176="","",L176-R176)</f>
      </c>
      <c r="W176" s="4">
        <f>IF($J176="","",S176-V176)</f>
      </c>
    </row>
    <row r="177" spans="1:28" x14ac:dyDescent="0.25">
      <c r="A177" s="8"/>
      <c r="D177" s="9"/>
      <c r="I177" s="4"/>
      <c r="J177" s="4"/>
      <c r="K177" s="4">
        <f>IF($J177="","",J177-I177)</f>
      </c>
      <c r="L177" s="4">
        <f>IF($J177="","",K177*16.67%)</f>
      </c>
      <c r="M177" s="4">
        <f>IF($J177="","",J177*7%)</f>
      </c>
      <c r="N177" s="4">
        <f>IF($J177="","",M177*20%)</f>
      </c>
      <c r="O177" s="4"/>
      <c r="P177" s="4">
        <f>IF($J177="","",O177*20%)</f>
      </c>
      <c r="Q177" s="4">
        <v>1</v>
      </c>
      <c r="R177" s="4">
        <f>IF($J177="","",N177+P177)</f>
      </c>
      <c r="S177" s="4">
        <f>IF($J177="","",K177-L177-M177-N177-O177-P177-Q177)</f>
      </c>
      <c r="T177" s="4">
        <f>IF($J177="","",(S177-V177)/I177*100)</f>
      </c>
      <c r="U177" s="4">
        <f>IF($J177="","",L177-R177)</f>
      </c>
      <c r="W177" s="4">
        <f>IF($J177="","",S177-V177)</f>
      </c>
    </row>
    <row r="178" spans="1:28" x14ac:dyDescent="0.25">
      <c r="A178" s="8"/>
      <c r="D178" s="9"/>
      <c r="I178" s="4"/>
      <c r="J178" s="4"/>
      <c r="K178" s="4">
        <f>IF($J178="","",J178-I178)</f>
      </c>
      <c r="L178" s="4">
        <f>IF($J178="","",K178*16.67%)</f>
      </c>
      <c r="M178" s="4">
        <f>IF($J178="","",J178*7%)</f>
      </c>
      <c r="N178" s="4">
        <f>IF($J178="","",M178*20%)</f>
      </c>
      <c r="O178" s="4"/>
      <c r="P178" s="4">
        <f>IF($J178="","",O178*20%)</f>
      </c>
      <c r="Q178" s="4">
        <v>1</v>
      </c>
      <c r="R178" s="4">
        <f>IF($J178="","",N178+P178)</f>
      </c>
      <c r="S178" s="4">
        <f>IF($J178="","",K178-L178-M178-N178-O178-P178-Q178)</f>
      </c>
      <c r="T178" s="4">
        <f>IF($J178="","",(S178-V178)/I178*100)</f>
      </c>
      <c r="U178" s="4">
        <f>IF($J178="","",L178-R178)</f>
      </c>
      <c r="W178" s="4">
        <f>IF($J178="","",S178-V178)</f>
      </c>
    </row>
    <row r="179" spans="1:28" x14ac:dyDescent="0.25">
      <c r="A179" s="8"/>
      <c r="D179" s="9"/>
      <c r="I179" s="4"/>
      <c r="J179" s="4"/>
      <c r="K179" s="4">
        <f>IF($J179="","",J179-I179)</f>
      </c>
      <c r="L179" s="4">
        <f>IF($J179="","",K179*16.67%)</f>
      </c>
      <c r="M179" s="4">
        <f>IF($J179="","",J179*7%)</f>
      </c>
      <c r="N179" s="4">
        <f>IF($J179="","",M179*20%)</f>
      </c>
      <c r="O179" s="4"/>
      <c r="P179" s="4">
        <f>IF($J179="","",O179*20%)</f>
      </c>
      <c r="Q179" s="4">
        <v>1</v>
      </c>
      <c r="R179" s="4">
        <f>IF($J179="","",N179+P179)</f>
      </c>
      <c r="S179" s="4">
        <f>IF($J179="","",K179-L179-M179-N179-O179-P179-Q179)</f>
      </c>
      <c r="T179" s="4">
        <f>IF($J179="","",(S179-V179)/I179*100)</f>
      </c>
      <c r="U179" s="4">
        <f>IF($J179="","",L179-R179)</f>
      </c>
      <c r="W179" s="4">
        <f>IF($J179="","",S179-V179)</f>
      </c>
    </row>
    <row r="180" spans="1:28" x14ac:dyDescent="0.25">
      <c r="A180" s="8"/>
      <c r="D180" s="9"/>
      <c r="I180" s="4"/>
      <c r="J180" s="4"/>
      <c r="K180" s="4">
        <f>IF($J180="","",J180-I180)</f>
      </c>
      <c r="L180" s="4">
        <f>IF($J180="","",K180*16.67%)</f>
      </c>
      <c r="M180" s="4">
        <f>IF($J180="","",J180*7%)</f>
      </c>
      <c r="N180" s="4">
        <f>IF($J180="","",M180*20%)</f>
      </c>
      <c r="O180" s="4"/>
      <c r="P180" s="4">
        <f>IF($J180="","",O180*20%)</f>
      </c>
      <c r="Q180" s="4">
        <v>1</v>
      </c>
      <c r="R180" s="4">
        <f>IF($J180="","",N180+P180)</f>
      </c>
      <c r="S180" s="4">
        <f>IF($J180="","",K180-L180-M180-N180-O180-P180-Q180)</f>
      </c>
      <c r="T180" s="4">
        <f>IF($J180="","",(S180-V180)/I180*100)</f>
      </c>
      <c r="U180" s="4">
        <f>IF($J180="","",L180-R180)</f>
      </c>
      <c r="W180" s="4">
        <f>IF($J180="","",S180-V180)</f>
      </c>
    </row>
    <row r="181" spans="1:28" x14ac:dyDescent="0.25">
      <c r="A181" s="8"/>
      <c r="D181" s="9"/>
      <c r="I181" s="4"/>
      <c r="J181" s="4"/>
      <c r="K181" s="4">
        <f>IF($J181="","",J181-I181)</f>
      </c>
      <c r="L181" s="4">
        <f>IF($J181="","",K181*16.67%)</f>
      </c>
      <c r="M181" s="4">
        <f>IF($J181="","",J181*7%)</f>
      </c>
      <c r="N181" s="4">
        <f>IF($J181="","",M181*20%)</f>
      </c>
      <c r="O181" s="4"/>
      <c r="P181" s="4">
        <f>IF($J181="","",O181*20%)</f>
      </c>
      <c r="Q181" s="4">
        <v>1</v>
      </c>
      <c r="R181" s="4">
        <f>IF($J181="","",N181+P181)</f>
      </c>
      <c r="S181" s="4">
        <f>IF($J181="","",K181-L181-M181-N181-O181-P181-Q181)</f>
      </c>
      <c r="T181" s="4">
        <f>IF($J181="","",(S181-V181)/I181*100)</f>
      </c>
      <c r="U181" s="4">
        <f>IF($J181="","",L181-R181)</f>
      </c>
      <c r="W181" s="4">
        <f>IF($J181="","",S181-V181)</f>
      </c>
    </row>
    <row r="182" spans="1:28" x14ac:dyDescent="0.25">
      <c r="A182" s="8"/>
      <c r="D182" s="9"/>
      <c r="I182" s="4"/>
      <c r="J182" s="4"/>
      <c r="K182" s="4">
        <f>IF($J182="","",J182-I182)</f>
      </c>
      <c r="L182" s="4">
        <f>IF($J182="","",K182*16.67%)</f>
      </c>
      <c r="M182" s="4">
        <f>IF($J182="","",J182*7%)</f>
      </c>
      <c r="N182" s="4">
        <f>IF($J182="","",M182*20%)</f>
      </c>
      <c r="O182" s="4"/>
      <c r="P182" s="4">
        <f>IF($J182="","",O182*20%)</f>
      </c>
      <c r="Q182" s="4">
        <v>1</v>
      </c>
      <c r="R182" s="4">
        <f>IF($J182="","",N182+P182)</f>
      </c>
      <c r="S182" s="4">
        <f>IF($J182="","",K182-L182-M182-N182-O182-P182-Q182)</f>
      </c>
      <c r="T182" s="4">
        <f>IF($J182="","",(S182-V182)/I182*100)</f>
      </c>
      <c r="U182" s="4">
        <f>IF($J182="","",L182-R182)</f>
      </c>
      <c r="W182" s="4">
        <f>IF($J182="","",S182-V182)</f>
      </c>
    </row>
    <row r="183" spans="1:28" x14ac:dyDescent="0.25">
      <c r="A183" s="8"/>
      <c r="D183" s="9"/>
      <c r="I183" s="4"/>
      <c r="J183" s="4"/>
      <c r="K183" s="4">
        <f>IF($J183="","",J183-I183)</f>
      </c>
      <c r="L183" s="4">
        <f>IF($J183="","",K183*16.67%)</f>
      </c>
      <c r="M183" s="4">
        <f>IF($J183="","",J183*7%)</f>
      </c>
      <c r="N183" s="4">
        <f>IF($J183="","",M183*20%)</f>
      </c>
      <c r="O183" s="4"/>
      <c r="P183" s="4">
        <f>IF($J183="","",O183*20%)</f>
      </c>
      <c r="Q183" s="4">
        <v>1</v>
      </c>
      <c r="R183" s="4">
        <f>IF($J183="","",N183+P183)</f>
      </c>
      <c r="S183" s="4">
        <f>IF($J183="","",K183-L183-M183-N183-O183-P183-Q183)</f>
      </c>
      <c r="T183" s="4">
        <f>IF($J183="","",(S183-V183)/I183*100)</f>
      </c>
      <c r="U183" s="4">
        <f>IF($J183="","",L183-R183)</f>
      </c>
      <c r="W183" s="4">
        <f>IF($J183="","",S183-V183)</f>
      </c>
    </row>
    <row r="184" spans="1:28" x14ac:dyDescent="0.25">
      <c r="A184" s="8"/>
      <c r="D184" s="9"/>
      <c r="I184" s="4"/>
      <c r="J184" s="4"/>
      <c r="K184" s="4">
        <f>IF($J184="","",J184-I184)</f>
      </c>
      <c r="L184" s="4">
        <f>IF($J184="","",K184*16.67%)</f>
      </c>
      <c r="M184" s="4">
        <f>IF($J184="","",J184*7%)</f>
      </c>
      <c r="N184" s="4">
        <f>IF($J184="","",M184*20%)</f>
      </c>
      <c r="O184" s="4"/>
      <c r="P184" s="4">
        <f>IF($J184="","",O184*20%)</f>
      </c>
      <c r="Q184" s="4">
        <v>1</v>
      </c>
      <c r="R184" s="4">
        <f>IF($J184="","",N184+P184)</f>
      </c>
      <c r="S184" s="4">
        <f>IF($J184="","",K184-L184-M184-N184-O184-P184-Q184)</f>
      </c>
      <c r="T184" s="4">
        <f>IF($J184="","",(S184-V184)/I184*100)</f>
      </c>
      <c r="U184" s="4">
        <f>IF($J184="","",L184-R184)</f>
      </c>
      <c r="W184" s="4">
        <f>IF($J184="","",S184-V184)</f>
      </c>
    </row>
    <row r="185" spans="1:28" x14ac:dyDescent="0.25">
      <c r="A185" s="8"/>
      <c r="D185" s="9"/>
      <c r="I185" s="4"/>
      <c r="J185" s="4"/>
      <c r="K185" s="4">
        <f>IF($J185="","",J185-I185)</f>
      </c>
      <c r="L185" s="4">
        <f>IF($J185="","",K185*16.67%)</f>
      </c>
      <c r="M185" s="4">
        <f>IF($J185="","",J185*7%)</f>
      </c>
      <c r="N185" s="4">
        <f>IF($J185="","",M185*20%)</f>
      </c>
      <c r="O185" s="4"/>
      <c r="P185" s="4">
        <f>IF($J185="","",O185*20%)</f>
      </c>
      <c r="Q185" s="4">
        <v>1</v>
      </c>
      <c r="R185" s="4">
        <f>IF($J185="","",N185+P185)</f>
      </c>
      <c r="S185" s="4">
        <f>IF($J185="","",K185-L185-M185-N185-O185-P185-Q185)</f>
      </c>
      <c r="T185" s="4">
        <f>IF($J185="","",(S185-V185)/I185*100)</f>
      </c>
      <c r="U185" s="4">
        <f>IF($J185="","",L185-R185)</f>
      </c>
      <c r="W185" s="4">
        <f>IF($J185="","",S185-V185)</f>
      </c>
    </row>
    <row r="186" spans="1:28" x14ac:dyDescent="0.25">
      <c r="A186" s="8"/>
      <c r="D186" s="9"/>
      <c r="I186" s="4"/>
      <c r="J186" s="4"/>
      <c r="K186" s="4">
        <f>IF($J186="","",J186-I186)</f>
      </c>
      <c r="L186" s="4">
        <f>IF($J186="","",K186*16.67%)</f>
      </c>
      <c r="M186" s="4">
        <f>IF($J186="","",J186*7%)</f>
      </c>
      <c r="N186" s="4">
        <f>IF($J186="","",M186*20%)</f>
      </c>
      <c r="O186" s="4"/>
      <c r="P186" s="4">
        <f>IF($J186="","",O186*20%)</f>
      </c>
      <c r="Q186" s="4">
        <v>1</v>
      </c>
      <c r="R186" s="4">
        <f>IF($J186="","",N186+P186)</f>
      </c>
      <c r="S186" s="4">
        <f>IF($J186="","",K186-L186-M186-N186-O186-P186-Q186)</f>
      </c>
      <c r="T186" s="4">
        <f>IF($J186="","",(S186-V186)/I186*100)</f>
      </c>
      <c r="U186" s="4">
        <f>IF($J186="","",L186-R186)</f>
      </c>
      <c r="W186" s="4">
        <f>IF($J186="","",S186-V186)</f>
      </c>
    </row>
    <row r="187" spans="1:28" x14ac:dyDescent="0.25">
      <c r="A187" s="8"/>
      <c r="D187" s="9"/>
      <c r="I187" s="4"/>
      <c r="J187" s="4"/>
      <c r="K187" s="4">
        <f>IF($J187="","",J187-I187)</f>
      </c>
      <c r="L187" s="4">
        <f>IF($J187="","",K187*16.67%)</f>
      </c>
      <c r="M187" s="4">
        <f>IF($J187="","",J187*7%)</f>
      </c>
      <c r="N187" s="4">
        <f>IF($J187="","",M187*20%)</f>
      </c>
      <c r="O187" s="4"/>
      <c r="P187" s="4">
        <f>IF($J187="","",O187*20%)</f>
      </c>
      <c r="Q187" s="4">
        <v>1</v>
      </c>
      <c r="R187" s="4">
        <f>IF($J187="","",N187+P187)</f>
      </c>
      <c r="S187" s="4">
        <f>IF($J187="","",K187-L187-M187-N187-O187-P187-Q187)</f>
      </c>
      <c r="T187" s="4">
        <f>IF($J187="","",(S187-V187)/I187*100)</f>
      </c>
      <c r="U187" s="4">
        <f>IF($J187="","",L187-R187)</f>
      </c>
      <c r="W187" s="4">
        <f>IF($J187="","",S187-V187)</f>
      </c>
    </row>
    <row r="188" spans="1:28" x14ac:dyDescent="0.25">
      <c r="A188" s="8"/>
      <c r="D188" s="9"/>
      <c r="I188" s="4"/>
      <c r="J188" s="4"/>
      <c r="K188" s="4">
        <f>IF($J188="","",J188-I188)</f>
      </c>
      <c r="L188" s="4">
        <f>IF($J188="","",K188*16.67%)</f>
      </c>
      <c r="M188" s="4">
        <f>IF($J188="","",J188*7%)</f>
      </c>
      <c r="N188" s="4">
        <f>IF($J188="","",M188*20%)</f>
      </c>
      <c r="O188" s="4"/>
      <c r="P188" s="4">
        <f>IF($J188="","",O188*20%)</f>
      </c>
      <c r="Q188" s="4">
        <v>1</v>
      </c>
      <c r="R188" s="4">
        <f>IF($J188="","",N188+P188)</f>
      </c>
      <c r="S188" s="4">
        <f>IF($J188="","",K188-L188-M188-N188-O188-P188-Q188)</f>
      </c>
      <c r="T188" s="4">
        <f>IF($J188="","",(S188-V188)/I188*100)</f>
      </c>
      <c r="U188" s="4">
        <f>IF($J188="","",L188-R188)</f>
      </c>
      <c r="W188" s="4">
        <f>IF($J188="","",S188-V188)</f>
      </c>
    </row>
    <row r="189" spans="1:28" x14ac:dyDescent="0.25">
      <c r="A189" s="8"/>
      <c r="D189" s="9"/>
      <c r="I189" s="4"/>
      <c r="J189" s="4"/>
      <c r="K189" s="4">
        <f>IF($J189="","",J189-I189)</f>
      </c>
      <c r="L189" s="4">
        <f>IF($J189="","",K189*16.67%)</f>
      </c>
      <c r="M189" s="4">
        <f>IF($J189="","",J189*7%)</f>
      </c>
      <c r="N189" s="4">
        <f>IF($J189="","",M189*20%)</f>
      </c>
      <c r="O189" s="4"/>
      <c r="P189" s="4">
        <f>IF($J189="","",O189*20%)</f>
      </c>
      <c r="Q189" s="4">
        <v>1</v>
      </c>
      <c r="R189" s="4">
        <f>IF($J189="","",N189+P189)</f>
      </c>
      <c r="S189" s="4">
        <f>IF($J189="","",K189-L189-M189-N189-O189-P189-Q189)</f>
      </c>
      <c r="T189" s="4">
        <f>IF($J189="","",(S189-V189)/I189*100)</f>
      </c>
      <c r="U189" s="4">
        <f>IF($J189="","",L189-R189)</f>
      </c>
      <c r="W189" s="4">
        <f>IF($J189="","",S189-V189)</f>
      </c>
    </row>
    <row r="190" spans="1:28" x14ac:dyDescent="0.25">
      <c r="A190" s="8"/>
      <c r="D190" s="9"/>
      <c r="I190" s="4"/>
      <c r="J190" s="4"/>
      <c r="K190" s="4">
        <f>IF($J190="","",J190-I190)</f>
      </c>
      <c r="L190" s="4">
        <f>IF($J190="","",K190*16.67%)</f>
      </c>
      <c r="M190" s="4">
        <f>IF($J190="","",J190*7%)</f>
      </c>
      <c r="N190" s="4">
        <f>IF($J190="","",M190*20%)</f>
      </c>
      <c r="O190" s="4"/>
      <c r="P190" s="4">
        <f>IF($J190="","",O190*20%)</f>
      </c>
      <c r="Q190" s="4">
        <v>1</v>
      </c>
      <c r="R190" s="4">
        <f>IF($J190="","",N190+P190)</f>
      </c>
      <c r="S190" s="4">
        <f>IF($J190="","",K190-L190-M190-N190-O190-P190-Q190)</f>
      </c>
      <c r="T190" s="4">
        <f>IF($J190="","",(S190-V190)/I190*100)</f>
      </c>
      <c r="U190" s="4">
        <f>IF($J190="","",L190-R190)</f>
      </c>
      <c r="W190" s="4">
        <f>IF($J190="","",S190-V190)</f>
      </c>
    </row>
    <row r="191" spans="1:28" x14ac:dyDescent="0.25">
      <c r="A191" s="8"/>
      <c r="D191" s="9"/>
      <c r="I191" s="4"/>
      <c r="J191" s="4"/>
      <c r="K191" s="4">
        <f>IF($J191="","",J191-I191)</f>
      </c>
      <c r="L191" s="4">
        <f>IF($J191="","",K191*16.67%)</f>
      </c>
      <c r="M191" s="4">
        <f>IF($J191="","",J191*7%)</f>
      </c>
      <c r="N191" s="4">
        <f>IF($J191="","",M191*20%)</f>
      </c>
      <c r="O191" s="4"/>
      <c r="P191" s="4">
        <f>IF($J191="","",O191*20%)</f>
      </c>
      <c r="Q191" s="4">
        <v>1</v>
      </c>
      <c r="R191" s="4">
        <f>IF($J191="","",N191+P191)</f>
      </c>
      <c r="S191" s="4">
        <f>IF($J191="","",K191-L191-M191-N191-O191-P191-Q191)</f>
      </c>
      <c r="T191" s="4">
        <f>IF($J191="","",(S191-V191)/I191*100)</f>
      </c>
      <c r="U191" s="4">
        <f>IF($J191="","",L191-R191)</f>
      </c>
      <c r="W191" s="4">
        <f>IF($J191="","",S191-V191)</f>
      </c>
    </row>
    <row r="192" spans="1:28" x14ac:dyDescent="0.25">
      <c r="A192" s="8"/>
      <c r="D192" s="9"/>
      <c r="I192" s="4"/>
      <c r="J192" s="4"/>
      <c r="K192" s="4">
        <f>IF($J192="","",J192-I192)</f>
      </c>
      <c r="L192" s="4">
        <f>IF($J192="","",K192*16.67%)</f>
      </c>
      <c r="M192" s="4">
        <f>IF($J192="","",J192*7%)</f>
      </c>
      <c r="N192" s="4">
        <f>IF($J192="","",M192*20%)</f>
      </c>
      <c r="O192" s="4"/>
      <c r="P192" s="4">
        <f>IF($J192="","",O192*20%)</f>
      </c>
      <c r="Q192" s="4">
        <v>1</v>
      </c>
      <c r="R192" s="4">
        <f>IF($J192="","",N192+P192)</f>
      </c>
      <c r="S192" s="4">
        <f>IF($J192="","",K192-L192-M192-N192-O192-P192-Q192)</f>
      </c>
      <c r="T192" s="4">
        <f>IF($J192="","",(S192-V192)/I192*100)</f>
      </c>
      <c r="U192" s="4">
        <f>IF($J192="","",L192-R192)</f>
      </c>
      <c r="W192" s="4">
        <f>IF($J192="","",S192-V192)</f>
      </c>
    </row>
    <row r="193" spans="1:28" x14ac:dyDescent="0.25">
      <c r="A193" s="8"/>
      <c r="D193" s="9"/>
      <c r="I193" s="4"/>
      <c r="J193" s="4"/>
      <c r="K193" s="4">
        <f>IF($J193="","",J193-I193)</f>
      </c>
      <c r="L193" s="4">
        <f>IF($J193="","",K193*16.67%)</f>
      </c>
      <c r="M193" s="4">
        <f>IF($J193="","",J193*7%)</f>
      </c>
      <c r="N193" s="4">
        <f>IF($J193="","",M193*20%)</f>
      </c>
      <c r="O193" s="4"/>
      <c r="P193" s="4">
        <f>IF($J193="","",O193*20%)</f>
      </c>
      <c r="Q193" s="4">
        <v>1</v>
      </c>
      <c r="R193" s="4">
        <f>IF($J193="","",N193+P193)</f>
      </c>
      <c r="S193" s="4">
        <f>IF($J193="","",K193-L193-M193-N193-O193-P193-Q193)</f>
      </c>
      <c r="T193" s="4">
        <f>IF($J193="","",(S193-V193)/I193*100)</f>
      </c>
      <c r="U193" s="4">
        <f>IF($J193="","",L193-R193)</f>
      </c>
      <c r="W193" s="4">
        <f>IF($J193="","",S193-V193)</f>
      </c>
    </row>
    <row r="194" spans="1:28" x14ac:dyDescent="0.25">
      <c r="A194" s="8"/>
      <c r="D194" s="9"/>
      <c r="I194" s="4"/>
      <c r="J194" s="4"/>
      <c r="K194" s="4">
        <f>IF($J194="","",J194-I194)</f>
      </c>
      <c r="L194" s="4">
        <f>IF($J194="","",K194*16.67%)</f>
      </c>
      <c r="M194" s="4">
        <f>IF($J194="","",J194*7%)</f>
      </c>
      <c r="N194" s="4">
        <f>IF($J194="","",M194*20%)</f>
      </c>
      <c r="O194" s="4"/>
      <c r="P194" s="4">
        <f>IF($J194="","",O194*20%)</f>
      </c>
      <c r="Q194" s="4">
        <v>1</v>
      </c>
      <c r="R194" s="4">
        <f>IF($J194="","",N194+P194)</f>
      </c>
      <c r="S194" s="4">
        <f>IF($J194="","",K194-L194-M194-N194-O194-P194-Q194)</f>
      </c>
      <c r="T194" s="4">
        <f>IF($J194="","",(S194-V194)/I194*100)</f>
      </c>
      <c r="U194" s="4">
        <f>IF($J194="","",L194-R194)</f>
      </c>
      <c r="W194" s="4">
        <f>IF($J194="","",S194-V194)</f>
      </c>
    </row>
    <row r="195" spans="1:28" x14ac:dyDescent="0.25">
      <c r="A195" s="8"/>
      <c r="D195" s="9"/>
      <c r="I195" s="4"/>
      <c r="J195" s="4"/>
      <c r="K195" s="4">
        <f>IF($J195="","",J195-I195)</f>
      </c>
      <c r="L195" s="4">
        <f>IF($J195="","",K195*16.67%)</f>
      </c>
      <c r="M195" s="4">
        <f>IF($J195="","",J195*7%)</f>
      </c>
      <c r="N195" s="4">
        <f>IF($J195="","",M195*20%)</f>
      </c>
      <c r="O195" s="4"/>
      <c r="P195" s="4">
        <f>IF($J195="","",O195*20%)</f>
      </c>
      <c r="Q195" s="4">
        <v>1</v>
      </c>
      <c r="R195" s="4">
        <f>IF($J195="","",N195+P195)</f>
      </c>
      <c r="S195" s="4">
        <f>IF($J195="","",K195-L195-M195-N195-O195-P195-Q195)</f>
      </c>
      <c r="T195" s="4">
        <f>IF($J195="","",(S195-V195)/I195*100)</f>
      </c>
      <c r="U195" s="4">
        <f>IF($J195="","",L195-R195)</f>
      </c>
      <c r="W195" s="4">
        <f>IF($J195="","",S195-V195)</f>
      </c>
    </row>
    <row r="196" spans="1:28" x14ac:dyDescent="0.25">
      <c r="A196" s="8"/>
      <c r="D196" s="9"/>
      <c r="I196" s="4"/>
      <c r="J196" s="4"/>
      <c r="K196" s="4">
        <f>IF($J196="","",J196-I196)</f>
      </c>
      <c r="L196" s="4">
        <f>IF($J196="","",K196*16.67%)</f>
      </c>
      <c r="M196" s="4">
        <f>IF($J196="","",J196*7%)</f>
      </c>
      <c r="N196" s="4">
        <f>IF($J196="","",M196*20%)</f>
      </c>
      <c r="O196" s="4"/>
      <c r="P196" s="4">
        <f>IF($J196="","",O196*20%)</f>
      </c>
      <c r="Q196" s="4">
        <v>1</v>
      </c>
      <c r="R196" s="4">
        <f>IF($J196="","",N196+P196)</f>
      </c>
      <c r="S196" s="4">
        <f>IF($J196="","",K196-L196-M196-N196-O196-P196-Q196)</f>
      </c>
      <c r="T196" s="4">
        <f>IF($J196="","",(S196-V196)/I196*100)</f>
      </c>
      <c r="U196" s="4">
        <f>IF($J196="","",L196-R196)</f>
      </c>
      <c r="W196" s="4">
        <f>IF($J196="","",S196-V196)</f>
      </c>
    </row>
    <row r="197" spans="1:28" x14ac:dyDescent="0.25">
      <c r="A197" s="8"/>
      <c r="D197" s="9"/>
      <c r="I197" s="4"/>
      <c r="J197" s="4"/>
      <c r="K197" s="4">
        <f>IF($J197="","",J197-I197)</f>
      </c>
      <c r="L197" s="4">
        <f>IF($J197="","",K197*16.67%)</f>
      </c>
      <c r="M197" s="4">
        <f>IF($J197="","",J197*7%)</f>
      </c>
      <c r="N197" s="4">
        <f>IF($J197="","",M197*20%)</f>
      </c>
      <c r="O197" s="4"/>
      <c r="P197" s="4">
        <f>IF($J197="","",O197*20%)</f>
      </c>
      <c r="Q197" s="4">
        <v>1</v>
      </c>
      <c r="R197" s="4">
        <f>IF($J197="","",N197+P197)</f>
      </c>
      <c r="S197" s="4">
        <f>IF($J197="","",K197-L197-M197-N197-O197-P197-Q197)</f>
      </c>
      <c r="T197" s="4">
        <f>IF($J197="","",(S197-V197)/I197*100)</f>
      </c>
      <c r="U197" s="4">
        <f>IF($J197="","",L197-R197)</f>
      </c>
      <c r="W197" s="4">
        <f>IF($J197="","",S197-V197)</f>
      </c>
    </row>
    <row r="198" spans="1:28" x14ac:dyDescent="0.25">
      <c r="A198" s="8"/>
      <c r="D198" s="9"/>
      <c r="I198" s="4"/>
      <c r="J198" s="4"/>
      <c r="K198" s="4">
        <f>IF($J198="","",J198-I198)</f>
      </c>
      <c r="L198" s="4">
        <f>IF($J198="","",K198*16.67%)</f>
      </c>
      <c r="M198" s="4">
        <f>IF($J198="","",J198*7%)</f>
      </c>
      <c r="N198" s="4">
        <f>IF($J198="","",M198*20%)</f>
      </c>
      <c r="O198" s="4"/>
      <c r="P198" s="4">
        <f>IF($J198="","",O198*20%)</f>
      </c>
      <c r="Q198" s="4">
        <v>1</v>
      </c>
      <c r="R198" s="4">
        <f>IF($J198="","",N198+P198)</f>
      </c>
      <c r="S198" s="4">
        <f>IF($J198="","",K198-L198-M198-N198-O198-P198-Q198)</f>
      </c>
      <c r="T198" s="4">
        <f>IF($J198="","",(S198-V198)/I198*100)</f>
      </c>
      <c r="U198" s="4">
        <f>IF($J198="","",L198-R198)</f>
      </c>
      <c r="W198" s="4">
        <f>IF($J198="","",S198-V198)</f>
      </c>
    </row>
    <row r="199" spans="1:28" x14ac:dyDescent="0.25">
      <c r="A199" s="8"/>
      <c r="D199" s="9"/>
      <c r="I199" s="4"/>
      <c r="J199" s="4"/>
      <c r="K199" s="4">
        <f>IF($J199="","",J199-I199)</f>
      </c>
      <c r="L199" s="4">
        <f>IF($J199="","",K199*16.67%)</f>
      </c>
      <c r="M199" s="4">
        <f>IF($J199="","",J199*7%)</f>
      </c>
      <c r="N199" s="4">
        <f>IF($J199="","",M199*20%)</f>
      </c>
      <c r="O199" s="4"/>
      <c r="P199" s="4">
        <f>IF($J199="","",O199*20%)</f>
      </c>
      <c r="Q199" s="4">
        <v>1</v>
      </c>
      <c r="R199" s="4">
        <f>IF($J199="","",N199+P199)</f>
      </c>
      <c r="S199" s="4">
        <f>IF($J199="","",K199-L199-M199-N199-O199-P199-Q199)</f>
      </c>
      <c r="T199" s="4">
        <f>IF($J199="","",(S199-V199)/I199*100)</f>
      </c>
      <c r="U199" s="4">
        <f>IF($J199="","",L199-R199)</f>
      </c>
      <c r="W199" s="4">
        <f>IF($J199="","",S199-V199)</f>
      </c>
    </row>
    <row r="200" spans="1:28" x14ac:dyDescent="0.25">
      <c r="A200" s="8"/>
      <c r="D200" s="9"/>
      <c r="I200" s="4"/>
      <c r="J200" s="4"/>
      <c r="K200" s="4">
        <f>IF($J200="","",J200-I200)</f>
      </c>
      <c r="L200" s="4">
        <f>IF($J200="","",K200*16.67%)</f>
      </c>
      <c r="M200" s="4">
        <f>IF($J200="","",J200*7%)</f>
      </c>
      <c r="N200" s="4">
        <f>IF($J200="","",M200*20%)</f>
      </c>
      <c r="O200" s="4"/>
      <c r="P200" s="4">
        <f>IF($J200="","",O200*20%)</f>
      </c>
      <c r="Q200" s="4">
        <v>1</v>
      </c>
      <c r="R200" s="4">
        <f>IF($J200="","",N200+P200)</f>
      </c>
      <c r="S200" s="4">
        <f>IF($J200="","",K200-L200-M200-N200-O200-P200-Q200)</f>
      </c>
      <c r="T200" s="4">
        <f>IF($J200="","",(S200-V200)/I200*100)</f>
      </c>
      <c r="U200" s="4">
        <f>IF($J200="","",L200-R200)</f>
      </c>
      <c r="W200" s="4">
        <f>IF($J200="","",S200-V200)</f>
      </c>
    </row>
    <row r="201" spans="1:28" x14ac:dyDescent="0.25">
      <c r="A201" s="8"/>
      <c r="D201" s="9"/>
      <c r="I201" s="4"/>
      <c r="J201" s="4"/>
      <c r="K201" s="4">
        <f>IF($J201="","",J201-I201)</f>
      </c>
      <c r="L201" s="4">
        <f>IF($J201="","",K201*16.67%)</f>
      </c>
      <c r="M201" s="4">
        <f>IF($J201="","",J201*7%)</f>
      </c>
      <c r="N201" s="4">
        <f>IF($J201="","",M201*20%)</f>
      </c>
      <c r="O201" s="4"/>
      <c r="P201" s="4">
        <f>IF($J201="","",O201*20%)</f>
      </c>
      <c r="Q201" s="4">
        <v>1</v>
      </c>
      <c r="R201" s="4">
        <f>IF($J201="","",N201+P201)</f>
      </c>
      <c r="S201" s="4">
        <f>IF($J201="","",K201-L201-M201-N201-O201-P201-Q201)</f>
      </c>
      <c r="T201" s="4">
        <f>IF($J201="","",(S201-V201)/I201*100)</f>
      </c>
      <c r="U201" s="4">
        <f>IF($J201="","",L201-R201)</f>
      </c>
      <c r="W201" s="4">
        <f>IF($J201="","",S201-V201)</f>
      </c>
    </row>
    <row r="202" spans="1:28" x14ac:dyDescent="0.25">
      <c r="A202" s="8"/>
      <c r="D202" s="9"/>
      <c r="I202" s="4"/>
      <c r="J202" s="4"/>
      <c r="K202" s="4">
        <f>IF($J202="","",J202-I202)</f>
      </c>
      <c r="L202" s="4">
        <f>IF($J202="","",K202*16.67%)</f>
      </c>
      <c r="M202" s="4">
        <f>IF($J202="","",J202*7%)</f>
      </c>
      <c r="N202" s="4">
        <f>IF($J202="","",M202*20%)</f>
      </c>
      <c r="O202" s="4"/>
      <c r="P202" s="4">
        <f>IF($J202="","",O202*20%)</f>
      </c>
      <c r="Q202" s="4">
        <v>1</v>
      </c>
      <c r="R202" s="4">
        <f>IF($J202="","",N202+P202)</f>
      </c>
      <c r="S202" s="4">
        <f>IF($J202="","",K202-L202-M202-N202-O202-P202-Q202)</f>
      </c>
      <c r="T202" s="4">
        <f>IF($J202="","",(S202-V202)/I202*100)</f>
      </c>
      <c r="U202" s="4">
        <f>IF($J202="","",L202-R202)</f>
      </c>
      <c r="W202" s="4">
        <f>IF($J202="","",S202-V202)</f>
      </c>
    </row>
    <row r="203" spans="1:28" s="7" customFormat="1" x14ac:dyDescent="0.25">
      <c r="A203" s="3" t="s">
        <v>18</v>
      </c>
      <c r="B203" s="7"/>
      <c r="C203" s="7"/>
      <c r="D203" s="7"/>
      <c r="E203" s="7"/>
      <c r="F203" s="7"/>
      <c r="G203" s="7"/>
      <c r="H203" s="7"/>
      <c r="I203" s="14">
        <f>SUM(I2:I202)</f>
      </c>
      <c r="J203" s="14">
        <f>SUM(J2:J202)</f>
      </c>
      <c r="K203" s="14">
        <f>SUM(K2:K202)</f>
      </c>
      <c r="L203" s="14">
        <f>SUM(L2:L202)</f>
      </c>
      <c r="M203" s="14">
        <f>SUM(M2:M202)</f>
      </c>
      <c r="N203" s="14">
        <f>SUM(N2:N202)</f>
      </c>
      <c r="O203" s="14">
        <f>SUM(O2:O202)</f>
      </c>
      <c r="P203" s="14">
        <f>SUM(P2:P202)</f>
      </c>
      <c r="Q203" s="14">
        <f>SUM(Q2:Q202)</f>
      </c>
      <c r="R203" s="14">
        <f>SUM(R2:R202)</f>
      </c>
      <c r="S203" s="14">
        <f>SUM(S2:S202)</f>
      </c>
      <c r="T203" s="14">
        <f>IFERROR((S203-V203)/I203*100,0)</f>
      </c>
      <c r="U203" s="14">
        <f>SUM(U2:U202)</f>
      </c>
      <c r="V203" s="14">
        <f>SUM(V2:V202)</f>
      </c>
      <c r="W203" s="14">
        <f>SUM(W2:W202)</f>
      </c>
      <c r="X203" s="7"/>
      <c r="Y203" s="7"/>
      <c r="Z203" s="7"/>
      <c r="AA203" s="7"/>
      <c r="AB203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202"/>
  <sheetFormatPr defaultRowHeight="15" outlineLevelRow="0" outlineLevelCol="0" x14ac:dyDescent="55"/>
  <sheetData>
    <row r="1" spans="1:29" x14ac:dyDescent="0.25">
      <c r="A1" t="s">
        <v>26</v>
      </c>
      <c r="B1" t="s">
        <v>27</v>
      </c>
      <c r="C1" t="s">
        <v>28</v>
      </c>
      <c r="D1" t="s">
        <v>29</v>
      </c>
      <c r="E1" t="s">
        <v>30</v>
      </c>
      <c r="F1" t="s">
        <v>31</v>
      </c>
      <c r="G1" t="s">
        <v>32</v>
      </c>
      <c r="H1" t="s">
        <v>33</v>
      </c>
      <c r="I1" t="s">
        <v>34</v>
      </c>
      <c r="J1" t="s">
        <v>35</v>
      </c>
      <c r="K1" t="s">
        <v>36</v>
      </c>
      <c r="L1" t="s">
        <v>37</v>
      </c>
      <c r="M1" t="s">
        <v>38</v>
      </c>
      <c r="N1" t="s">
        <v>39</v>
      </c>
      <c r="O1" t="s">
        <v>107</v>
      </c>
      <c r="P1" t="s">
        <v>43</v>
      </c>
      <c r="Q1" t="s">
        <v>44</v>
      </c>
      <c r="R1" t="s">
        <v>45</v>
      </c>
      <c r="S1" t="s">
        <v>46</v>
      </c>
      <c r="T1" t="s">
        <v>47</v>
      </c>
      <c r="U1" t="s">
        <v>48</v>
      </c>
      <c r="V1" t="s">
        <v>49</v>
      </c>
      <c r="W1" t="s">
        <v>50</v>
      </c>
      <c r="X1" t="s">
        <v>11</v>
      </c>
      <c r="Y1" t="s">
        <v>51</v>
      </c>
      <c r="Z1" t="s">
        <v>52</v>
      </c>
      <c r="AA1" t="s">
        <v>53</v>
      </c>
      <c r="AB1" t="s">
        <v>54</v>
      </c>
      <c r="AC1" t="s">
        <v>55</v>
      </c>
    </row>
    <row r="2" spans="1:29" x14ac:dyDescent="0.25">
      <c r="A2" s="8"/>
      <c r="D2" s="9"/>
      <c r="J2" s="4"/>
      <c r="K2" s="4"/>
      <c r="L2" s="4">
        <f>IF($K2="","",K2-J2)</f>
      </c>
      <c r="M2" s="4">
        <f>IF($K2="","",L2*16.67%)</f>
      </c>
      <c r="N2" s="4"/>
      <c r="O2" s="4">
        <f>IF($K2="","",N2*20%)</f>
      </c>
      <c r="P2" s="4"/>
      <c r="Q2" s="4">
        <f>IF($K2="","",P2*20%)</f>
      </c>
      <c r="R2" s="4">
        <v>1</v>
      </c>
      <c r="S2" s="4">
        <f>IF($K2="","",Q2)</f>
      </c>
      <c r="T2" s="4">
        <f>IF($K2="","",L2-M2-N2-P2-Q2-R2)</f>
      </c>
      <c r="U2" s="4">
        <f>IF($K2="","",(T2-W2)/J2*100)</f>
      </c>
      <c r="V2" s="4">
        <f>IF($K2="","",M2-S2)</f>
      </c>
      <c r="X2" s="4">
        <f>IF($K2="","",T2-W2)</f>
      </c>
    </row>
    <row r="3" spans="1:29" x14ac:dyDescent="0.25">
      <c r="A3" s="8"/>
      <c r="D3" s="9"/>
      <c r="J3" s="4"/>
      <c r="K3" s="4"/>
      <c r="L3" s="4">
        <f>IF($K3="","",K3-J3)</f>
      </c>
      <c r="M3" s="4">
        <f>IF($K3="","",L3*16.67%)</f>
      </c>
      <c r="N3" s="4"/>
      <c r="O3" s="4">
        <f>IF($K3="","",N3*20%)</f>
      </c>
      <c r="P3" s="4"/>
      <c r="Q3" s="4">
        <f>IF($K3="","",P3*20%)</f>
      </c>
      <c r="R3" s="4">
        <v>1</v>
      </c>
      <c r="S3" s="4">
        <f>IF($K3="","",Q3)</f>
      </c>
      <c r="T3" s="4">
        <f>IF($K3="","",L3-M3-N3-P3-Q3-R3)</f>
      </c>
      <c r="U3" s="4">
        <f>IF($K3="","",(T3-W3)/J3*100)</f>
      </c>
      <c r="V3" s="4">
        <f>IF($K3="","",M3-S3)</f>
      </c>
      <c r="X3" s="4">
        <f>IF($K3="","",T3-W3)</f>
      </c>
    </row>
    <row r="4" spans="1:29" x14ac:dyDescent="0.25">
      <c r="A4" s="8"/>
      <c r="D4" s="9"/>
      <c r="J4" s="4"/>
      <c r="K4" s="4"/>
      <c r="L4" s="4">
        <f>IF($K4="","",K4-J4)</f>
      </c>
      <c r="M4" s="4">
        <f>IF($K4="","",L4*16.67%)</f>
      </c>
      <c r="N4" s="4"/>
      <c r="O4" s="4">
        <f>IF($K4="","",N4*20%)</f>
      </c>
      <c r="P4" s="4"/>
      <c r="Q4" s="4">
        <f>IF($K4="","",P4*20%)</f>
      </c>
      <c r="R4" s="4">
        <v>1</v>
      </c>
      <c r="S4" s="4">
        <f>IF($K4="","",Q4)</f>
      </c>
      <c r="T4" s="4">
        <f>IF($K4="","",L4-M4-N4-P4-Q4-R4)</f>
      </c>
      <c r="U4" s="4">
        <f>IF($K4="","",(T4-W4)/J4*100)</f>
      </c>
      <c r="V4" s="4">
        <f>IF($K4="","",M4-S4)</f>
      </c>
      <c r="X4" s="4">
        <f>IF($K4="","",T4-W4)</f>
      </c>
    </row>
    <row r="5" spans="1:29" x14ac:dyDescent="0.25">
      <c r="A5" s="8"/>
      <c r="D5" s="9"/>
      <c r="J5" s="4"/>
      <c r="K5" s="4"/>
      <c r="L5" s="4">
        <f>IF($K5="","",K5-J5)</f>
      </c>
      <c r="M5" s="4">
        <f>IF($K5="","",L5*16.67%)</f>
      </c>
      <c r="N5" s="4"/>
      <c r="O5" s="4">
        <f>IF($K5="","",N5*20%)</f>
      </c>
      <c r="P5" s="4"/>
      <c r="Q5" s="4">
        <f>IF($K5="","",P5*20%)</f>
      </c>
      <c r="R5" s="4">
        <v>1</v>
      </c>
      <c r="S5" s="4">
        <f>IF($K5="","",Q5)</f>
      </c>
      <c r="T5" s="4">
        <f>IF($K5="","",L5-M5-N5-P5-Q5-R5)</f>
      </c>
      <c r="U5" s="4">
        <f>IF($K5="","",(T5-W5)/J5*100)</f>
      </c>
      <c r="V5" s="4">
        <f>IF($K5="","",M5-S5)</f>
      </c>
      <c r="X5" s="4">
        <f>IF($K5="","",T5-W5)</f>
      </c>
    </row>
    <row r="6" spans="1:29" x14ac:dyDescent="0.25">
      <c r="A6" s="8"/>
      <c r="D6" s="9"/>
      <c r="J6" s="4"/>
      <c r="K6" s="4"/>
      <c r="L6" s="4">
        <f>IF($K6="","",K6-J6)</f>
      </c>
      <c r="M6" s="4">
        <f>IF($K6="","",L6*16.67%)</f>
      </c>
      <c r="N6" s="4"/>
      <c r="O6" s="4">
        <f>IF($K6="","",N6*20%)</f>
      </c>
      <c r="P6" s="4"/>
      <c r="Q6" s="4">
        <f>IF($K6="","",P6*20%)</f>
      </c>
      <c r="R6" s="4">
        <v>1</v>
      </c>
      <c r="S6" s="4">
        <f>IF($K6="","",Q6)</f>
      </c>
      <c r="T6" s="4">
        <f>IF($K6="","",L6-M6-N6-P6-Q6-R6)</f>
      </c>
      <c r="U6" s="4">
        <f>IF($K6="","",(T6-W6)/J6*100)</f>
      </c>
      <c r="V6" s="4">
        <f>IF($K6="","",M6-S6)</f>
      </c>
      <c r="X6" s="4">
        <f>IF($K6="","",T6-W6)</f>
      </c>
    </row>
    <row r="7" spans="1:29" x14ac:dyDescent="0.25">
      <c r="A7" s="8"/>
      <c r="D7" s="9"/>
      <c r="J7" s="4"/>
      <c r="K7" s="4"/>
      <c r="L7" s="4">
        <f>IF($K7="","",K7-J7)</f>
      </c>
      <c r="M7" s="4">
        <f>IF($K7="","",L7*16.67%)</f>
      </c>
      <c r="N7" s="4"/>
      <c r="O7" s="4">
        <f>IF($K7="","",N7*20%)</f>
      </c>
      <c r="P7" s="4"/>
      <c r="Q7" s="4">
        <f>IF($K7="","",P7*20%)</f>
      </c>
      <c r="R7" s="4">
        <v>1</v>
      </c>
      <c r="S7" s="4">
        <f>IF($K7="","",Q7)</f>
      </c>
      <c r="T7" s="4">
        <f>IF($K7="","",L7-M7-N7-P7-Q7-R7)</f>
      </c>
      <c r="U7" s="4">
        <f>IF($K7="","",(T7-W7)/J7*100)</f>
      </c>
      <c r="V7" s="4">
        <f>IF($K7="","",M7-S7)</f>
      </c>
      <c r="X7" s="4">
        <f>IF($K7="","",T7-W7)</f>
      </c>
    </row>
    <row r="8" spans="1:29" x14ac:dyDescent="0.25">
      <c r="A8" s="8"/>
      <c r="D8" s="9"/>
      <c r="J8" s="4"/>
      <c r="K8" s="4"/>
      <c r="L8" s="4">
        <f>IF($K8="","",K8-J8)</f>
      </c>
      <c r="M8" s="4">
        <f>IF($K8="","",L8*16.67%)</f>
      </c>
      <c r="N8" s="4"/>
      <c r="O8" s="4">
        <f>IF($K8="","",N8*20%)</f>
      </c>
      <c r="P8" s="4"/>
      <c r="Q8" s="4">
        <f>IF($K8="","",P8*20%)</f>
      </c>
      <c r="R8" s="4">
        <v>1</v>
      </c>
      <c r="S8" s="4">
        <f>IF($K8="","",Q8)</f>
      </c>
      <c r="T8" s="4">
        <f>IF($K8="","",L8-M8-N8-P8-Q8-R8)</f>
      </c>
      <c r="U8" s="4">
        <f>IF($K8="","",(T8-W8)/J8*100)</f>
      </c>
      <c r="V8" s="4">
        <f>IF($K8="","",M8-S8)</f>
      </c>
      <c r="X8" s="4">
        <f>IF($K8="","",T8-W8)</f>
      </c>
    </row>
    <row r="9" spans="1:29" x14ac:dyDescent="0.25">
      <c r="A9" s="8"/>
      <c r="D9" s="9"/>
      <c r="J9" s="4"/>
      <c r="K9" s="4"/>
      <c r="L9" s="4">
        <f>IF($K9="","",K9-J9)</f>
      </c>
      <c r="M9" s="4">
        <f>IF($K9="","",L9*16.67%)</f>
      </c>
      <c r="N9" s="4"/>
      <c r="O9" s="4">
        <f>IF($K9="","",N9*20%)</f>
      </c>
      <c r="P9" s="4"/>
      <c r="Q9" s="4">
        <f>IF($K9="","",P9*20%)</f>
      </c>
      <c r="R9" s="4">
        <v>1</v>
      </c>
      <c r="S9" s="4">
        <f>IF($K9="","",Q9)</f>
      </c>
      <c r="T9" s="4">
        <f>IF($K9="","",L9-M9-N9-P9-Q9-R9)</f>
      </c>
      <c r="U9" s="4">
        <f>IF($K9="","",(T9-W9)/J9*100)</f>
      </c>
      <c r="V9" s="4">
        <f>IF($K9="","",M9-S9)</f>
      </c>
      <c r="X9" s="4">
        <f>IF($K9="","",T9-W9)</f>
      </c>
    </row>
    <row r="10" spans="1:29" x14ac:dyDescent="0.25">
      <c r="A10" s="8"/>
      <c r="D10" s="9"/>
      <c r="J10" s="4"/>
      <c r="K10" s="4"/>
      <c r="L10" s="4">
        <f>IF($K10="","",K10-J10)</f>
      </c>
      <c r="M10" s="4">
        <f>IF($K10="","",L10*16.67%)</f>
      </c>
      <c r="N10" s="4"/>
      <c r="O10" s="4">
        <f>IF($K10="","",N10*20%)</f>
      </c>
      <c r="P10" s="4"/>
      <c r="Q10" s="4">
        <f>IF($K10="","",P10*20%)</f>
      </c>
      <c r="R10" s="4">
        <v>1</v>
      </c>
      <c r="S10" s="4">
        <f>IF($K10="","",Q10)</f>
      </c>
      <c r="T10" s="4">
        <f>IF($K10="","",L10-M10-N10-P10-Q10-R10)</f>
      </c>
      <c r="U10" s="4">
        <f>IF($K10="","",(T10-W10)/J10*100)</f>
      </c>
      <c r="V10" s="4">
        <f>IF($K10="","",M10-S10)</f>
      </c>
      <c r="X10" s="4">
        <f>IF($K10="","",T10-W10)</f>
      </c>
    </row>
    <row r="11" spans="1:29" x14ac:dyDescent="0.25">
      <c r="A11" s="8"/>
      <c r="D11" s="9"/>
      <c r="J11" s="4"/>
      <c r="K11" s="4"/>
      <c r="L11" s="4">
        <f>IF($K11="","",K11-J11)</f>
      </c>
      <c r="M11" s="4">
        <f>IF($K11="","",L11*16.67%)</f>
      </c>
      <c r="N11" s="4"/>
      <c r="O11" s="4">
        <f>IF($K11="","",N11*20%)</f>
      </c>
      <c r="P11" s="4"/>
      <c r="Q11" s="4">
        <f>IF($K11="","",P11*20%)</f>
      </c>
      <c r="R11" s="4">
        <v>1</v>
      </c>
      <c r="S11" s="4">
        <f>IF($K11="","",Q11)</f>
      </c>
      <c r="T11" s="4">
        <f>IF($K11="","",L11-M11-N11-P11-Q11-R11)</f>
      </c>
      <c r="U11" s="4">
        <f>IF($K11="","",(T11-W11)/J11*100)</f>
      </c>
      <c r="V11" s="4">
        <f>IF($K11="","",M11-S11)</f>
      </c>
      <c r="X11" s="4">
        <f>IF($K11="","",T11-W11)</f>
      </c>
    </row>
    <row r="12" spans="1:29" x14ac:dyDescent="0.25">
      <c r="A12" s="8"/>
      <c r="D12" s="9"/>
      <c r="J12" s="4"/>
      <c r="K12" s="4"/>
      <c r="L12" s="4">
        <f>IF($K12="","",K12-J12)</f>
      </c>
      <c r="M12" s="4">
        <f>IF($K12="","",L12*16.67%)</f>
      </c>
      <c r="N12" s="4"/>
      <c r="O12" s="4">
        <f>IF($K12="","",N12*20%)</f>
      </c>
      <c r="P12" s="4"/>
      <c r="Q12" s="4">
        <f>IF($K12="","",P12*20%)</f>
      </c>
      <c r="R12" s="4">
        <v>1</v>
      </c>
      <c r="S12" s="4">
        <f>IF($K12="","",Q12)</f>
      </c>
      <c r="T12" s="4">
        <f>IF($K12="","",L12-M12-N12-P12-Q12-R12)</f>
      </c>
      <c r="U12" s="4">
        <f>IF($K12="","",(T12-W12)/J12*100)</f>
      </c>
      <c r="V12" s="4">
        <f>IF($K12="","",M12-S12)</f>
      </c>
      <c r="X12" s="4">
        <f>IF($K12="","",T12-W12)</f>
      </c>
    </row>
    <row r="13" spans="1:29" x14ac:dyDescent="0.25">
      <c r="A13" s="8"/>
      <c r="D13" s="9"/>
      <c r="J13" s="4"/>
      <c r="K13" s="4"/>
      <c r="L13" s="4">
        <f>IF($K13="","",K13-J13)</f>
      </c>
      <c r="M13" s="4">
        <f>IF($K13="","",L13*16.67%)</f>
      </c>
      <c r="N13" s="4"/>
      <c r="O13" s="4">
        <f>IF($K13="","",N13*20%)</f>
      </c>
      <c r="P13" s="4"/>
      <c r="Q13" s="4">
        <f>IF($K13="","",P13*20%)</f>
      </c>
      <c r="R13" s="4">
        <v>1</v>
      </c>
      <c r="S13" s="4">
        <f>IF($K13="","",Q13)</f>
      </c>
      <c r="T13" s="4">
        <f>IF($K13="","",L13-M13-N13-P13-Q13-R13)</f>
      </c>
      <c r="U13" s="4">
        <f>IF($K13="","",(T13-W13)/J13*100)</f>
      </c>
      <c r="V13" s="4">
        <f>IF($K13="","",M13-S13)</f>
      </c>
      <c r="X13" s="4">
        <f>IF($K13="","",T13-W13)</f>
      </c>
    </row>
    <row r="14" spans="1:29" x14ac:dyDescent="0.25">
      <c r="A14" s="8"/>
      <c r="D14" s="9"/>
      <c r="J14" s="4"/>
      <c r="K14" s="4"/>
      <c r="L14" s="4">
        <f>IF($K14="","",K14-J14)</f>
      </c>
      <c r="M14" s="4">
        <f>IF($K14="","",L14*16.67%)</f>
      </c>
      <c r="N14" s="4"/>
      <c r="O14" s="4">
        <f>IF($K14="","",N14*20%)</f>
      </c>
      <c r="P14" s="4"/>
      <c r="Q14" s="4">
        <f>IF($K14="","",P14*20%)</f>
      </c>
      <c r="R14" s="4">
        <v>1</v>
      </c>
      <c r="S14" s="4">
        <f>IF($K14="","",Q14)</f>
      </c>
      <c r="T14" s="4">
        <f>IF($K14="","",L14-M14-N14-P14-Q14-R14)</f>
      </c>
      <c r="U14" s="4">
        <f>IF($K14="","",(T14-W14)/J14*100)</f>
      </c>
      <c r="V14" s="4">
        <f>IF($K14="","",M14-S14)</f>
      </c>
      <c r="X14" s="4">
        <f>IF($K14="","",T14-W14)</f>
      </c>
    </row>
    <row r="15" spans="1:29" x14ac:dyDescent="0.25">
      <c r="A15" s="8"/>
      <c r="D15" s="9"/>
      <c r="J15" s="4"/>
      <c r="K15" s="4"/>
      <c r="L15" s="4">
        <f>IF($K15="","",K15-J15)</f>
      </c>
      <c r="M15" s="4">
        <f>IF($K15="","",L15*16.67%)</f>
      </c>
      <c r="N15" s="4"/>
      <c r="O15" s="4">
        <f>IF($K15="","",N15*20%)</f>
      </c>
      <c r="P15" s="4"/>
      <c r="Q15" s="4">
        <f>IF($K15="","",P15*20%)</f>
      </c>
      <c r="R15" s="4">
        <v>1</v>
      </c>
      <c r="S15" s="4">
        <f>IF($K15="","",Q15)</f>
      </c>
      <c r="T15" s="4">
        <f>IF($K15="","",L15-M15-N15-P15-Q15-R15)</f>
      </c>
      <c r="U15" s="4">
        <f>IF($K15="","",(T15-W15)/J15*100)</f>
      </c>
      <c r="V15" s="4">
        <f>IF($K15="","",M15-S15)</f>
      </c>
      <c r="X15" s="4">
        <f>IF($K15="","",T15-W15)</f>
      </c>
    </row>
    <row r="16" spans="1:29" x14ac:dyDescent="0.25">
      <c r="A16" s="8"/>
      <c r="D16" s="9"/>
      <c r="J16" s="4"/>
      <c r="K16" s="4"/>
      <c r="L16" s="4">
        <f>IF($K16="","",K16-J16)</f>
      </c>
      <c r="M16" s="4">
        <f>IF($K16="","",L16*16.67%)</f>
      </c>
      <c r="N16" s="4"/>
      <c r="O16" s="4">
        <f>IF($K16="","",N16*20%)</f>
      </c>
      <c r="P16" s="4"/>
      <c r="Q16" s="4">
        <f>IF($K16="","",P16*20%)</f>
      </c>
      <c r="R16" s="4">
        <v>1</v>
      </c>
      <c r="S16" s="4">
        <f>IF($K16="","",Q16)</f>
      </c>
      <c r="T16" s="4">
        <f>IF($K16="","",L16-M16-N16-P16-Q16-R16)</f>
      </c>
      <c r="U16" s="4">
        <f>IF($K16="","",(T16-W16)/J16*100)</f>
      </c>
      <c r="V16" s="4">
        <f>IF($K16="","",M16-S16)</f>
      </c>
      <c r="X16" s="4">
        <f>IF($K16="","",T16-W16)</f>
      </c>
    </row>
    <row r="17" spans="1:29" x14ac:dyDescent="0.25">
      <c r="A17" s="8"/>
      <c r="D17" s="9"/>
      <c r="J17" s="4"/>
      <c r="K17" s="4"/>
      <c r="L17" s="4">
        <f>IF($K17="","",K17-J17)</f>
      </c>
      <c r="M17" s="4">
        <f>IF($K17="","",L17*16.67%)</f>
      </c>
      <c r="N17" s="4"/>
      <c r="O17" s="4">
        <f>IF($K17="","",N17*20%)</f>
      </c>
      <c r="P17" s="4"/>
      <c r="Q17" s="4">
        <f>IF($K17="","",P17*20%)</f>
      </c>
      <c r="R17" s="4">
        <v>1</v>
      </c>
      <c r="S17" s="4">
        <f>IF($K17="","",Q17)</f>
      </c>
      <c r="T17" s="4">
        <f>IF($K17="","",L17-M17-N17-P17-Q17-R17)</f>
      </c>
      <c r="U17" s="4">
        <f>IF($K17="","",(T17-W17)/J17*100)</f>
      </c>
      <c r="V17" s="4">
        <f>IF($K17="","",M17-S17)</f>
      </c>
      <c r="X17" s="4">
        <f>IF($K17="","",T17-W17)</f>
      </c>
    </row>
    <row r="18" spans="1:29" x14ac:dyDescent="0.25">
      <c r="A18" s="8"/>
      <c r="D18" s="9"/>
      <c r="J18" s="4"/>
      <c r="K18" s="4"/>
      <c r="L18" s="4">
        <f>IF($K18="","",K18-J18)</f>
      </c>
      <c r="M18" s="4">
        <f>IF($K18="","",L18*16.67%)</f>
      </c>
      <c r="N18" s="4"/>
      <c r="O18" s="4">
        <f>IF($K18="","",N18*20%)</f>
      </c>
      <c r="P18" s="4"/>
      <c r="Q18" s="4">
        <f>IF($K18="","",P18*20%)</f>
      </c>
      <c r="R18" s="4">
        <v>1</v>
      </c>
      <c r="S18" s="4">
        <f>IF($K18="","",Q18)</f>
      </c>
      <c r="T18" s="4">
        <f>IF($K18="","",L18-M18-N18-P18-Q18-R18)</f>
      </c>
      <c r="U18" s="4">
        <f>IF($K18="","",(T18-W18)/J18*100)</f>
      </c>
      <c r="V18" s="4">
        <f>IF($K18="","",M18-S18)</f>
      </c>
      <c r="X18" s="4">
        <f>IF($K18="","",T18-W18)</f>
      </c>
    </row>
    <row r="19" spans="1:29" x14ac:dyDescent="0.25">
      <c r="A19" s="8"/>
      <c r="D19" s="9"/>
      <c r="J19" s="4"/>
      <c r="K19" s="4"/>
      <c r="L19" s="4">
        <f>IF($K19="","",K19-J19)</f>
      </c>
      <c r="M19" s="4">
        <f>IF($K19="","",L19*16.67%)</f>
      </c>
      <c r="N19" s="4"/>
      <c r="O19" s="4">
        <f>IF($K19="","",N19*20%)</f>
      </c>
      <c r="P19" s="4"/>
      <c r="Q19" s="4">
        <f>IF($K19="","",P19*20%)</f>
      </c>
      <c r="R19" s="4">
        <v>1</v>
      </c>
      <c r="S19" s="4">
        <f>IF($K19="","",Q19)</f>
      </c>
      <c r="T19" s="4">
        <f>IF($K19="","",L19-M19-N19-P19-Q19-R19)</f>
      </c>
      <c r="U19" s="4">
        <f>IF($K19="","",(T19-W19)/J19*100)</f>
      </c>
      <c r="V19" s="4">
        <f>IF($K19="","",M19-S19)</f>
      </c>
      <c r="X19" s="4">
        <f>IF($K19="","",T19-W19)</f>
      </c>
    </row>
    <row r="20" spans="1:29" x14ac:dyDescent="0.25">
      <c r="A20" s="8"/>
      <c r="D20" s="9"/>
      <c r="J20" s="4"/>
      <c r="K20" s="4"/>
      <c r="L20" s="4">
        <f>IF($K20="","",K20-J20)</f>
      </c>
      <c r="M20" s="4">
        <f>IF($K20="","",L20*16.67%)</f>
      </c>
      <c r="N20" s="4"/>
      <c r="O20" s="4">
        <f>IF($K20="","",N20*20%)</f>
      </c>
      <c r="P20" s="4"/>
      <c r="Q20" s="4">
        <f>IF($K20="","",P20*20%)</f>
      </c>
      <c r="R20" s="4">
        <v>1</v>
      </c>
      <c r="S20" s="4">
        <f>IF($K20="","",Q20)</f>
      </c>
      <c r="T20" s="4">
        <f>IF($K20="","",L20-M20-N20-P20-Q20-R20)</f>
      </c>
      <c r="U20" s="4">
        <f>IF($K20="","",(T20-W20)/J20*100)</f>
      </c>
      <c r="V20" s="4">
        <f>IF($K20="","",M20-S20)</f>
      </c>
      <c r="X20" s="4">
        <f>IF($K20="","",T20-W20)</f>
      </c>
    </row>
    <row r="21" spans="1:29" x14ac:dyDescent="0.25">
      <c r="A21" s="8"/>
      <c r="D21" s="9"/>
      <c r="J21" s="4"/>
      <c r="K21" s="4"/>
      <c r="L21" s="4">
        <f>IF($K21="","",K21-J21)</f>
      </c>
      <c r="M21" s="4">
        <f>IF($K21="","",L21*16.67%)</f>
      </c>
      <c r="N21" s="4"/>
      <c r="O21" s="4">
        <f>IF($K21="","",N21*20%)</f>
      </c>
      <c r="P21" s="4"/>
      <c r="Q21" s="4">
        <f>IF($K21="","",P21*20%)</f>
      </c>
      <c r="R21" s="4">
        <v>1</v>
      </c>
      <c r="S21" s="4">
        <f>IF($K21="","",Q21)</f>
      </c>
      <c r="T21" s="4">
        <f>IF($K21="","",L21-M21-N21-P21-Q21-R21)</f>
      </c>
      <c r="U21" s="4">
        <f>IF($K21="","",(T21-W21)/J21*100)</f>
      </c>
      <c r="V21" s="4">
        <f>IF($K21="","",M21-S21)</f>
      </c>
      <c r="X21" s="4">
        <f>IF($K21="","",T21-W21)</f>
      </c>
    </row>
    <row r="22" spans="1:29" x14ac:dyDescent="0.25">
      <c r="A22" s="8"/>
      <c r="D22" s="9"/>
      <c r="J22" s="4"/>
      <c r="K22" s="4"/>
      <c r="L22" s="4">
        <f>IF($K22="","",K22-J22)</f>
      </c>
      <c r="M22" s="4">
        <f>IF($K22="","",L22*16.67%)</f>
      </c>
      <c r="N22" s="4"/>
      <c r="O22" s="4">
        <f>IF($K22="","",N22*20%)</f>
      </c>
      <c r="P22" s="4"/>
      <c r="Q22" s="4">
        <f>IF($K22="","",P22*20%)</f>
      </c>
      <c r="R22" s="4">
        <v>1</v>
      </c>
      <c r="S22" s="4">
        <f>IF($K22="","",Q22)</f>
      </c>
      <c r="T22" s="4">
        <f>IF($K22="","",L22-M22-N22-P22-Q22-R22)</f>
      </c>
      <c r="U22" s="4">
        <f>IF($K22="","",(T22-W22)/J22*100)</f>
      </c>
      <c r="V22" s="4">
        <f>IF($K22="","",M22-S22)</f>
      </c>
      <c r="X22" s="4">
        <f>IF($K22="","",T22-W22)</f>
      </c>
    </row>
    <row r="23" spans="1:29" x14ac:dyDescent="0.25">
      <c r="A23" s="8"/>
      <c r="D23" s="9"/>
      <c r="J23" s="4"/>
      <c r="K23" s="4"/>
      <c r="L23" s="4">
        <f>IF($K23="","",K23-J23)</f>
      </c>
      <c r="M23" s="4">
        <f>IF($K23="","",L23*16.67%)</f>
      </c>
      <c r="N23" s="4"/>
      <c r="O23" s="4">
        <f>IF($K23="","",N23*20%)</f>
      </c>
      <c r="P23" s="4"/>
      <c r="Q23" s="4">
        <f>IF($K23="","",P23*20%)</f>
      </c>
      <c r="R23" s="4">
        <v>1</v>
      </c>
      <c r="S23" s="4">
        <f>IF($K23="","",Q23)</f>
      </c>
      <c r="T23" s="4">
        <f>IF($K23="","",L23-M23-N23-P23-Q23-R23)</f>
      </c>
      <c r="U23" s="4">
        <f>IF($K23="","",(T23-W23)/J23*100)</f>
      </c>
      <c r="V23" s="4">
        <f>IF($K23="","",M23-S23)</f>
      </c>
      <c r="X23" s="4">
        <f>IF($K23="","",T23-W23)</f>
      </c>
    </row>
    <row r="24" spans="1:29" x14ac:dyDescent="0.25">
      <c r="A24" s="8"/>
      <c r="D24" s="9"/>
      <c r="J24" s="4"/>
      <c r="K24" s="4"/>
      <c r="L24" s="4">
        <f>IF($K24="","",K24-J24)</f>
      </c>
      <c r="M24" s="4">
        <f>IF($K24="","",L24*16.67%)</f>
      </c>
      <c r="N24" s="4"/>
      <c r="O24" s="4">
        <f>IF($K24="","",N24*20%)</f>
      </c>
      <c r="P24" s="4"/>
      <c r="Q24" s="4">
        <f>IF($K24="","",P24*20%)</f>
      </c>
      <c r="R24" s="4">
        <v>1</v>
      </c>
      <c r="S24" s="4">
        <f>IF($K24="","",Q24)</f>
      </c>
      <c r="T24" s="4">
        <f>IF($K24="","",L24-M24-N24-P24-Q24-R24)</f>
      </c>
      <c r="U24" s="4">
        <f>IF($K24="","",(T24-W24)/J24*100)</f>
      </c>
      <c r="V24" s="4">
        <f>IF($K24="","",M24-S24)</f>
      </c>
      <c r="X24" s="4">
        <f>IF($K24="","",T24-W24)</f>
      </c>
    </row>
    <row r="25" spans="1:29" x14ac:dyDescent="0.25">
      <c r="A25" s="8"/>
      <c r="D25" s="9"/>
      <c r="J25" s="4"/>
      <c r="K25" s="4"/>
      <c r="L25" s="4">
        <f>IF($K25="","",K25-J25)</f>
      </c>
      <c r="M25" s="4">
        <f>IF($K25="","",L25*16.67%)</f>
      </c>
      <c r="N25" s="4"/>
      <c r="O25" s="4">
        <f>IF($K25="","",N25*20%)</f>
      </c>
      <c r="P25" s="4"/>
      <c r="Q25" s="4">
        <f>IF($K25="","",P25*20%)</f>
      </c>
      <c r="R25" s="4">
        <v>1</v>
      </c>
      <c r="S25" s="4">
        <f>IF($K25="","",Q25)</f>
      </c>
      <c r="T25" s="4">
        <f>IF($K25="","",L25-M25-N25-P25-Q25-R25)</f>
      </c>
      <c r="U25" s="4">
        <f>IF($K25="","",(T25-W25)/J25*100)</f>
      </c>
      <c r="V25" s="4">
        <f>IF($K25="","",M25-S25)</f>
      </c>
      <c r="X25" s="4">
        <f>IF($K25="","",T25-W25)</f>
      </c>
    </row>
    <row r="26" spans="1:29" x14ac:dyDescent="0.25">
      <c r="A26" s="8"/>
      <c r="D26" s="9"/>
      <c r="J26" s="4"/>
      <c r="K26" s="4"/>
      <c r="L26" s="4">
        <f>IF($K26="","",K26-J26)</f>
      </c>
      <c r="M26" s="4">
        <f>IF($K26="","",L26*16.67%)</f>
      </c>
      <c r="N26" s="4"/>
      <c r="O26" s="4">
        <f>IF($K26="","",N26*20%)</f>
      </c>
      <c r="P26" s="4"/>
      <c r="Q26" s="4">
        <f>IF($K26="","",P26*20%)</f>
      </c>
      <c r="R26" s="4">
        <v>1</v>
      </c>
      <c r="S26" s="4">
        <f>IF($K26="","",Q26)</f>
      </c>
      <c r="T26" s="4">
        <f>IF($K26="","",L26-M26-N26-P26-Q26-R26)</f>
      </c>
      <c r="U26" s="4">
        <f>IF($K26="","",(T26-W26)/J26*100)</f>
      </c>
      <c r="V26" s="4">
        <f>IF($K26="","",M26-S26)</f>
      </c>
      <c r="X26" s="4">
        <f>IF($K26="","",T26-W26)</f>
      </c>
    </row>
    <row r="27" spans="1:29" x14ac:dyDescent="0.25">
      <c r="A27" s="8"/>
      <c r="D27" s="9"/>
      <c r="J27" s="4"/>
      <c r="K27" s="4"/>
      <c r="L27" s="4">
        <f>IF($K27="","",K27-J27)</f>
      </c>
      <c r="M27" s="4">
        <f>IF($K27="","",L27*16.67%)</f>
      </c>
      <c r="N27" s="4"/>
      <c r="O27" s="4">
        <f>IF($K27="","",N27*20%)</f>
      </c>
      <c r="P27" s="4"/>
      <c r="Q27" s="4">
        <f>IF($K27="","",P27*20%)</f>
      </c>
      <c r="R27" s="4">
        <v>1</v>
      </c>
      <c r="S27" s="4">
        <f>IF($K27="","",Q27)</f>
      </c>
      <c r="T27" s="4">
        <f>IF($K27="","",L27-M27-N27-P27-Q27-R27)</f>
      </c>
      <c r="U27" s="4">
        <f>IF($K27="","",(T27-W27)/J27*100)</f>
      </c>
      <c r="V27" s="4">
        <f>IF($K27="","",M27-S27)</f>
      </c>
      <c r="X27" s="4">
        <f>IF($K27="","",T27-W27)</f>
      </c>
    </row>
    <row r="28" spans="1:29" x14ac:dyDescent="0.25">
      <c r="A28" s="8"/>
      <c r="D28" s="9"/>
      <c r="J28" s="4"/>
      <c r="K28" s="4"/>
      <c r="L28" s="4">
        <f>IF($K28="","",K28-J28)</f>
      </c>
      <c r="M28" s="4">
        <f>IF($K28="","",L28*16.67%)</f>
      </c>
      <c r="N28" s="4"/>
      <c r="O28" s="4">
        <f>IF($K28="","",N28*20%)</f>
      </c>
      <c r="P28" s="4"/>
      <c r="Q28" s="4">
        <f>IF($K28="","",P28*20%)</f>
      </c>
      <c r="R28" s="4">
        <v>1</v>
      </c>
      <c r="S28" s="4">
        <f>IF($K28="","",Q28)</f>
      </c>
      <c r="T28" s="4">
        <f>IF($K28="","",L28-M28-N28-P28-Q28-R28)</f>
      </c>
      <c r="U28" s="4">
        <f>IF($K28="","",(T28-W28)/J28*100)</f>
      </c>
      <c r="V28" s="4">
        <f>IF($K28="","",M28-S28)</f>
      </c>
      <c r="X28" s="4">
        <f>IF($K28="","",T28-W28)</f>
      </c>
    </row>
    <row r="29" spans="1:29" x14ac:dyDescent="0.25">
      <c r="A29" s="8"/>
      <c r="D29" s="9"/>
      <c r="J29" s="4"/>
      <c r="K29" s="4"/>
      <c r="L29" s="4">
        <f>IF($K29="","",K29-J29)</f>
      </c>
      <c r="M29" s="4">
        <f>IF($K29="","",L29*16.67%)</f>
      </c>
      <c r="N29" s="4"/>
      <c r="O29" s="4">
        <f>IF($K29="","",N29*20%)</f>
      </c>
      <c r="P29" s="4"/>
      <c r="Q29" s="4">
        <f>IF($K29="","",P29*20%)</f>
      </c>
      <c r="R29" s="4">
        <v>1</v>
      </c>
      <c r="S29" s="4">
        <f>IF($K29="","",Q29)</f>
      </c>
      <c r="T29" s="4">
        <f>IF($K29="","",L29-M29-N29-P29-Q29-R29)</f>
      </c>
      <c r="U29" s="4">
        <f>IF($K29="","",(T29-W29)/J29*100)</f>
      </c>
      <c r="V29" s="4">
        <f>IF($K29="","",M29-S29)</f>
      </c>
      <c r="X29" s="4">
        <f>IF($K29="","",T29-W29)</f>
      </c>
    </row>
    <row r="30" spans="1:29" x14ac:dyDescent="0.25">
      <c r="A30" s="8"/>
      <c r="D30" s="9"/>
      <c r="J30" s="4"/>
      <c r="K30" s="4"/>
      <c r="L30" s="4">
        <f>IF($K30="","",K30-J30)</f>
      </c>
      <c r="M30" s="4">
        <f>IF($K30="","",L30*16.67%)</f>
      </c>
      <c r="N30" s="4"/>
      <c r="O30" s="4">
        <f>IF($K30="","",N30*20%)</f>
      </c>
      <c r="P30" s="4"/>
      <c r="Q30" s="4">
        <f>IF($K30="","",P30*20%)</f>
      </c>
      <c r="R30" s="4">
        <v>1</v>
      </c>
      <c r="S30" s="4">
        <f>IF($K30="","",Q30)</f>
      </c>
      <c r="T30" s="4">
        <f>IF($K30="","",L30-M30-N30-P30-Q30-R30)</f>
      </c>
      <c r="U30" s="4">
        <f>IF($K30="","",(T30-W30)/J30*100)</f>
      </c>
      <c r="V30" s="4">
        <f>IF($K30="","",M30-S30)</f>
      </c>
      <c r="X30" s="4">
        <f>IF($K30="","",T30-W30)</f>
      </c>
    </row>
    <row r="31" spans="1:29" x14ac:dyDescent="0.25">
      <c r="A31" s="8"/>
      <c r="D31" s="9"/>
      <c r="J31" s="4"/>
      <c r="K31" s="4"/>
      <c r="L31" s="4">
        <f>IF($K31="","",K31-J31)</f>
      </c>
      <c r="M31" s="4">
        <f>IF($K31="","",L31*16.67%)</f>
      </c>
      <c r="N31" s="4"/>
      <c r="O31" s="4">
        <f>IF($K31="","",N31*20%)</f>
      </c>
      <c r="P31" s="4"/>
      <c r="Q31" s="4">
        <f>IF($K31="","",P31*20%)</f>
      </c>
      <c r="R31" s="4">
        <v>1</v>
      </c>
      <c r="S31" s="4">
        <f>IF($K31="","",Q31)</f>
      </c>
      <c r="T31" s="4">
        <f>IF($K31="","",L31-M31-N31-P31-Q31-R31)</f>
      </c>
      <c r="U31" s="4">
        <f>IF($K31="","",(T31-W31)/J31*100)</f>
      </c>
      <c r="V31" s="4">
        <f>IF($K31="","",M31-S31)</f>
      </c>
      <c r="X31" s="4">
        <f>IF($K31="","",T31-W31)</f>
      </c>
    </row>
    <row r="32" spans="1:29" x14ac:dyDescent="0.25">
      <c r="A32" s="8"/>
      <c r="D32" s="9"/>
      <c r="J32" s="4"/>
      <c r="K32" s="4"/>
      <c r="L32" s="4">
        <f>IF($K32="","",K32-J32)</f>
      </c>
      <c r="M32" s="4">
        <f>IF($K32="","",L32*16.67%)</f>
      </c>
      <c r="N32" s="4"/>
      <c r="O32" s="4">
        <f>IF($K32="","",N32*20%)</f>
      </c>
      <c r="P32" s="4"/>
      <c r="Q32" s="4">
        <f>IF($K32="","",P32*20%)</f>
      </c>
      <c r="R32" s="4">
        <v>1</v>
      </c>
      <c r="S32" s="4">
        <f>IF($K32="","",Q32)</f>
      </c>
      <c r="T32" s="4">
        <f>IF($K32="","",L32-M32-N32-P32-Q32-R32)</f>
      </c>
      <c r="U32" s="4">
        <f>IF($K32="","",(T32-W32)/J32*100)</f>
      </c>
      <c r="V32" s="4">
        <f>IF($K32="","",M32-S32)</f>
      </c>
      <c r="X32" s="4">
        <f>IF($K32="","",T32-W32)</f>
      </c>
    </row>
    <row r="33" spans="1:29" x14ac:dyDescent="0.25">
      <c r="A33" s="8"/>
      <c r="D33" s="9"/>
      <c r="J33" s="4"/>
      <c r="K33" s="4"/>
      <c r="L33" s="4">
        <f>IF($K33="","",K33-J33)</f>
      </c>
      <c r="M33" s="4">
        <f>IF($K33="","",L33*16.67%)</f>
      </c>
      <c r="N33" s="4"/>
      <c r="O33" s="4">
        <f>IF($K33="","",N33*20%)</f>
      </c>
      <c r="P33" s="4"/>
      <c r="Q33" s="4">
        <f>IF($K33="","",P33*20%)</f>
      </c>
      <c r="R33" s="4">
        <v>1</v>
      </c>
      <c r="S33" s="4">
        <f>IF($K33="","",Q33)</f>
      </c>
      <c r="T33" s="4">
        <f>IF($K33="","",L33-M33-N33-P33-Q33-R33)</f>
      </c>
      <c r="U33" s="4">
        <f>IF($K33="","",(T33-W33)/J33*100)</f>
      </c>
      <c r="V33" s="4">
        <f>IF($K33="","",M33-S33)</f>
      </c>
      <c r="X33" s="4">
        <f>IF($K33="","",T33-W33)</f>
      </c>
    </row>
    <row r="34" spans="1:29" x14ac:dyDescent="0.25">
      <c r="A34" s="8"/>
      <c r="D34" s="9"/>
      <c r="J34" s="4"/>
      <c r="K34" s="4"/>
      <c r="L34" s="4">
        <f>IF($K34="","",K34-J34)</f>
      </c>
      <c r="M34" s="4">
        <f>IF($K34="","",L34*16.67%)</f>
      </c>
      <c r="N34" s="4"/>
      <c r="O34" s="4">
        <f>IF($K34="","",N34*20%)</f>
      </c>
      <c r="P34" s="4"/>
      <c r="Q34" s="4">
        <f>IF($K34="","",P34*20%)</f>
      </c>
      <c r="R34" s="4">
        <v>1</v>
      </c>
      <c r="S34" s="4">
        <f>IF($K34="","",Q34)</f>
      </c>
      <c r="T34" s="4">
        <f>IF($K34="","",L34-M34-N34-P34-Q34-R34)</f>
      </c>
      <c r="U34" s="4">
        <f>IF($K34="","",(T34-W34)/J34*100)</f>
      </c>
      <c r="V34" s="4">
        <f>IF($K34="","",M34-S34)</f>
      </c>
      <c r="X34" s="4">
        <f>IF($K34="","",T34-W34)</f>
      </c>
    </row>
    <row r="35" spans="1:29" x14ac:dyDescent="0.25">
      <c r="A35" s="8"/>
      <c r="D35" s="9"/>
      <c r="J35" s="4"/>
      <c r="K35" s="4"/>
      <c r="L35" s="4">
        <f>IF($K35="","",K35-J35)</f>
      </c>
      <c r="M35" s="4">
        <f>IF($K35="","",L35*16.67%)</f>
      </c>
      <c r="N35" s="4"/>
      <c r="O35" s="4">
        <f>IF($K35="","",N35*20%)</f>
      </c>
      <c r="P35" s="4"/>
      <c r="Q35" s="4">
        <f>IF($K35="","",P35*20%)</f>
      </c>
      <c r="R35" s="4">
        <v>1</v>
      </c>
      <c r="S35" s="4">
        <f>IF($K35="","",Q35)</f>
      </c>
      <c r="T35" s="4">
        <f>IF($K35="","",L35-M35-N35-P35-Q35-R35)</f>
      </c>
      <c r="U35" s="4">
        <f>IF($K35="","",(T35-W35)/J35*100)</f>
      </c>
      <c r="V35" s="4">
        <f>IF($K35="","",M35-S35)</f>
      </c>
      <c r="X35" s="4">
        <f>IF($K35="","",T35-W35)</f>
      </c>
    </row>
    <row r="36" spans="1:29" x14ac:dyDescent="0.25">
      <c r="A36" s="8"/>
      <c r="D36" s="9"/>
      <c r="J36" s="4"/>
      <c r="K36" s="4"/>
      <c r="L36" s="4">
        <f>IF($K36="","",K36-J36)</f>
      </c>
      <c r="M36" s="4">
        <f>IF($K36="","",L36*16.67%)</f>
      </c>
      <c r="N36" s="4"/>
      <c r="O36" s="4">
        <f>IF($K36="","",N36*20%)</f>
      </c>
      <c r="P36" s="4"/>
      <c r="Q36" s="4">
        <f>IF($K36="","",P36*20%)</f>
      </c>
      <c r="R36" s="4">
        <v>1</v>
      </c>
      <c r="S36" s="4">
        <f>IF($K36="","",Q36)</f>
      </c>
      <c r="T36" s="4">
        <f>IF($K36="","",L36-M36-N36-P36-Q36-R36)</f>
      </c>
      <c r="U36" s="4">
        <f>IF($K36="","",(T36-W36)/J36*100)</f>
      </c>
      <c r="V36" s="4">
        <f>IF($K36="","",M36-S36)</f>
      </c>
      <c r="X36" s="4">
        <f>IF($K36="","",T36-W36)</f>
      </c>
    </row>
    <row r="37" spans="1:29" x14ac:dyDescent="0.25">
      <c r="A37" s="8"/>
      <c r="D37" s="9"/>
      <c r="J37" s="4"/>
      <c r="K37" s="4"/>
      <c r="L37" s="4">
        <f>IF($K37="","",K37-J37)</f>
      </c>
      <c r="M37" s="4">
        <f>IF($K37="","",L37*16.67%)</f>
      </c>
      <c r="N37" s="4"/>
      <c r="O37" s="4">
        <f>IF($K37="","",N37*20%)</f>
      </c>
      <c r="P37" s="4"/>
      <c r="Q37" s="4">
        <f>IF($K37="","",P37*20%)</f>
      </c>
      <c r="R37" s="4">
        <v>1</v>
      </c>
      <c r="S37" s="4">
        <f>IF($K37="","",Q37)</f>
      </c>
      <c r="T37" s="4">
        <f>IF($K37="","",L37-M37-N37-P37-Q37-R37)</f>
      </c>
      <c r="U37" s="4">
        <f>IF($K37="","",(T37-W37)/J37*100)</f>
      </c>
      <c r="V37" s="4">
        <f>IF($K37="","",M37-S37)</f>
      </c>
      <c r="X37" s="4">
        <f>IF($K37="","",T37-W37)</f>
      </c>
    </row>
    <row r="38" spans="1:29" x14ac:dyDescent="0.25">
      <c r="A38" s="8"/>
      <c r="D38" s="9"/>
      <c r="J38" s="4"/>
      <c r="K38" s="4"/>
      <c r="L38" s="4">
        <f>IF($K38="","",K38-J38)</f>
      </c>
      <c r="M38" s="4">
        <f>IF($K38="","",L38*16.67%)</f>
      </c>
      <c r="N38" s="4"/>
      <c r="O38" s="4">
        <f>IF($K38="","",N38*20%)</f>
      </c>
      <c r="P38" s="4"/>
      <c r="Q38" s="4">
        <f>IF($K38="","",P38*20%)</f>
      </c>
      <c r="R38" s="4">
        <v>1</v>
      </c>
      <c r="S38" s="4">
        <f>IF($K38="","",Q38)</f>
      </c>
      <c r="T38" s="4">
        <f>IF($K38="","",L38-M38-N38-P38-Q38-R38)</f>
      </c>
      <c r="U38" s="4">
        <f>IF($K38="","",(T38-W38)/J38*100)</f>
      </c>
      <c r="V38" s="4">
        <f>IF($K38="","",M38-S38)</f>
      </c>
      <c r="X38" s="4">
        <f>IF($K38="","",T38-W38)</f>
      </c>
    </row>
    <row r="39" spans="1:29" x14ac:dyDescent="0.25">
      <c r="A39" s="8"/>
      <c r="D39" s="9"/>
      <c r="J39" s="4"/>
      <c r="K39" s="4"/>
      <c r="L39" s="4">
        <f>IF($K39="","",K39-J39)</f>
      </c>
      <c r="M39" s="4">
        <f>IF($K39="","",L39*16.67%)</f>
      </c>
      <c r="N39" s="4"/>
      <c r="O39" s="4">
        <f>IF($K39="","",N39*20%)</f>
      </c>
      <c r="P39" s="4"/>
      <c r="Q39" s="4">
        <f>IF($K39="","",P39*20%)</f>
      </c>
      <c r="R39" s="4">
        <v>1</v>
      </c>
      <c r="S39" s="4">
        <f>IF($K39="","",Q39)</f>
      </c>
      <c r="T39" s="4">
        <f>IF($K39="","",L39-M39-N39-P39-Q39-R39)</f>
      </c>
      <c r="U39" s="4">
        <f>IF($K39="","",(T39-W39)/J39*100)</f>
      </c>
      <c r="V39" s="4">
        <f>IF($K39="","",M39-S39)</f>
      </c>
      <c r="X39" s="4">
        <f>IF($K39="","",T39-W39)</f>
      </c>
    </row>
    <row r="40" spans="1:29" x14ac:dyDescent="0.25">
      <c r="A40" s="8"/>
      <c r="D40" s="9"/>
      <c r="J40" s="4"/>
      <c r="K40" s="4"/>
      <c r="L40" s="4">
        <f>IF($K40="","",K40-J40)</f>
      </c>
      <c r="M40" s="4">
        <f>IF($K40="","",L40*16.67%)</f>
      </c>
      <c r="N40" s="4"/>
      <c r="O40" s="4">
        <f>IF($K40="","",N40*20%)</f>
      </c>
      <c r="P40" s="4"/>
      <c r="Q40" s="4">
        <f>IF($K40="","",P40*20%)</f>
      </c>
      <c r="R40" s="4">
        <v>1</v>
      </c>
      <c r="S40" s="4">
        <f>IF($K40="","",Q40)</f>
      </c>
      <c r="T40" s="4">
        <f>IF($K40="","",L40-M40-N40-P40-Q40-R40)</f>
      </c>
      <c r="U40" s="4">
        <f>IF($K40="","",(T40-W40)/J40*100)</f>
      </c>
      <c r="V40" s="4">
        <f>IF($K40="","",M40-S40)</f>
      </c>
      <c r="X40" s="4">
        <f>IF($K40="","",T40-W40)</f>
      </c>
    </row>
    <row r="41" spans="1:29" x14ac:dyDescent="0.25">
      <c r="A41" s="8"/>
      <c r="D41" s="9"/>
      <c r="J41" s="4"/>
      <c r="K41" s="4"/>
      <c r="L41" s="4">
        <f>IF($K41="","",K41-J41)</f>
      </c>
      <c r="M41" s="4">
        <f>IF($K41="","",L41*16.67%)</f>
      </c>
      <c r="N41" s="4"/>
      <c r="O41" s="4">
        <f>IF($K41="","",N41*20%)</f>
      </c>
      <c r="P41" s="4"/>
      <c r="Q41" s="4">
        <f>IF($K41="","",P41*20%)</f>
      </c>
      <c r="R41" s="4">
        <v>1</v>
      </c>
      <c r="S41" s="4">
        <f>IF($K41="","",Q41)</f>
      </c>
      <c r="T41" s="4">
        <f>IF($K41="","",L41-M41-N41-P41-Q41-R41)</f>
      </c>
      <c r="U41" s="4">
        <f>IF($K41="","",(T41-W41)/J41*100)</f>
      </c>
      <c r="V41" s="4">
        <f>IF($K41="","",M41-S41)</f>
      </c>
      <c r="X41" s="4">
        <f>IF($K41="","",T41-W41)</f>
      </c>
    </row>
    <row r="42" spans="1:29" x14ac:dyDescent="0.25">
      <c r="A42" s="8"/>
      <c r="D42" s="9"/>
      <c r="J42" s="4"/>
      <c r="K42" s="4"/>
      <c r="L42" s="4">
        <f>IF($K42="","",K42-J42)</f>
      </c>
      <c r="M42" s="4">
        <f>IF($K42="","",L42*16.67%)</f>
      </c>
      <c r="N42" s="4"/>
      <c r="O42" s="4">
        <f>IF($K42="","",N42*20%)</f>
      </c>
      <c r="P42" s="4"/>
      <c r="Q42" s="4">
        <f>IF($K42="","",P42*20%)</f>
      </c>
      <c r="R42" s="4">
        <v>1</v>
      </c>
      <c r="S42" s="4">
        <f>IF($K42="","",Q42)</f>
      </c>
      <c r="T42" s="4">
        <f>IF($K42="","",L42-M42-N42-P42-Q42-R42)</f>
      </c>
      <c r="U42" s="4">
        <f>IF($K42="","",(T42-W42)/J42*100)</f>
      </c>
      <c r="V42" s="4">
        <f>IF($K42="","",M42-S42)</f>
      </c>
      <c r="X42" s="4">
        <f>IF($K42="","",T42-W42)</f>
      </c>
    </row>
    <row r="43" spans="1:29" x14ac:dyDescent="0.25">
      <c r="A43" s="8"/>
      <c r="D43" s="9"/>
      <c r="J43" s="4"/>
      <c r="K43" s="4"/>
      <c r="L43" s="4">
        <f>IF($K43="","",K43-J43)</f>
      </c>
      <c r="M43" s="4">
        <f>IF($K43="","",L43*16.67%)</f>
      </c>
      <c r="N43" s="4"/>
      <c r="O43" s="4">
        <f>IF($K43="","",N43*20%)</f>
      </c>
      <c r="P43" s="4"/>
      <c r="Q43" s="4">
        <f>IF($K43="","",P43*20%)</f>
      </c>
      <c r="R43" s="4">
        <v>1</v>
      </c>
      <c r="S43" s="4">
        <f>IF($K43="","",Q43)</f>
      </c>
      <c r="T43" s="4">
        <f>IF($K43="","",L43-M43-N43-P43-Q43-R43)</f>
      </c>
      <c r="U43" s="4">
        <f>IF($K43="","",(T43-W43)/J43*100)</f>
      </c>
      <c r="V43" s="4">
        <f>IF($K43="","",M43-S43)</f>
      </c>
      <c r="X43" s="4">
        <f>IF($K43="","",T43-W43)</f>
      </c>
    </row>
    <row r="44" spans="1:29" x14ac:dyDescent="0.25">
      <c r="A44" s="8"/>
      <c r="D44" s="9"/>
      <c r="J44" s="4"/>
      <c r="K44" s="4"/>
      <c r="L44" s="4">
        <f>IF($K44="","",K44-J44)</f>
      </c>
      <c r="M44" s="4">
        <f>IF($K44="","",L44*16.67%)</f>
      </c>
      <c r="N44" s="4"/>
      <c r="O44" s="4">
        <f>IF($K44="","",N44*20%)</f>
      </c>
      <c r="P44" s="4"/>
      <c r="Q44" s="4">
        <f>IF($K44="","",P44*20%)</f>
      </c>
      <c r="R44" s="4">
        <v>1</v>
      </c>
      <c r="S44" s="4">
        <f>IF($K44="","",Q44)</f>
      </c>
      <c r="T44" s="4">
        <f>IF($K44="","",L44-M44-N44-P44-Q44-R44)</f>
      </c>
      <c r="U44" s="4">
        <f>IF($K44="","",(T44-W44)/J44*100)</f>
      </c>
      <c r="V44" s="4">
        <f>IF($K44="","",M44-S44)</f>
      </c>
      <c r="X44" s="4">
        <f>IF($K44="","",T44-W44)</f>
      </c>
    </row>
    <row r="45" spans="1:29" x14ac:dyDescent="0.25">
      <c r="A45" s="8"/>
      <c r="D45" s="9"/>
      <c r="J45" s="4"/>
      <c r="K45" s="4"/>
      <c r="L45" s="4">
        <f>IF($K45="","",K45-J45)</f>
      </c>
      <c r="M45" s="4">
        <f>IF($K45="","",L45*16.67%)</f>
      </c>
      <c r="N45" s="4"/>
      <c r="O45" s="4">
        <f>IF($K45="","",N45*20%)</f>
      </c>
      <c r="P45" s="4"/>
      <c r="Q45" s="4">
        <f>IF($K45="","",P45*20%)</f>
      </c>
      <c r="R45" s="4">
        <v>1</v>
      </c>
      <c r="S45" s="4">
        <f>IF($K45="","",Q45)</f>
      </c>
      <c r="T45" s="4">
        <f>IF($K45="","",L45-M45-N45-P45-Q45-R45)</f>
      </c>
      <c r="U45" s="4">
        <f>IF($K45="","",(T45-W45)/J45*100)</f>
      </c>
      <c r="V45" s="4">
        <f>IF($K45="","",M45-S45)</f>
      </c>
      <c r="X45" s="4">
        <f>IF($K45="","",T45-W45)</f>
      </c>
    </row>
    <row r="46" spans="1:29" x14ac:dyDescent="0.25">
      <c r="A46" s="8"/>
      <c r="D46" s="9"/>
      <c r="J46" s="4"/>
      <c r="K46" s="4"/>
      <c r="L46" s="4">
        <f>IF($K46="","",K46-J46)</f>
      </c>
      <c r="M46" s="4">
        <f>IF($K46="","",L46*16.67%)</f>
      </c>
      <c r="N46" s="4"/>
      <c r="O46" s="4">
        <f>IF($K46="","",N46*20%)</f>
      </c>
      <c r="P46" s="4"/>
      <c r="Q46" s="4">
        <f>IF($K46="","",P46*20%)</f>
      </c>
      <c r="R46" s="4">
        <v>1</v>
      </c>
      <c r="S46" s="4">
        <f>IF($K46="","",Q46)</f>
      </c>
      <c r="T46" s="4">
        <f>IF($K46="","",L46-M46-N46-P46-Q46-R46)</f>
      </c>
      <c r="U46" s="4">
        <f>IF($K46="","",(T46-W46)/J46*100)</f>
      </c>
      <c r="V46" s="4">
        <f>IF($K46="","",M46-S46)</f>
      </c>
      <c r="X46" s="4">
        <f>IF($K46="","",T46-W46)</f>
      </c>
    </row>
    <row r="47" spans="1:29" x14ac:dyDescent="0.25">
      <c r="A47" s="8"/>
      <c r="D47" s="9"/>
      <c r="J47" s="4"/>
      <c r="K47" s="4"/>
      <c r="L47" s="4">
        <f>IF($K47="","",K47-J47)</f>
      </c>
      <c r="M47" s="4">
        <f>IF($K47="","",L47*16.67%)</f>
      </c>
      <c r="N47" s="4"/>
      <c r="O47" s="4">
        <f>IF($K47="","",N47*20%)</f>
      </c>
      <c r="P47" s="4"/>
      <c r="Q47" s="4">
        <f>IF($K47="","",P47*20%)</f>
      </c>
      <c r="R47" s="4">
        <v>1</v>
      </c>
      <c r="S47" s="4">
        <f>IF($K47="","",Q47)</f>
      </c>
      <c r="T47" s="4">
        <f>IF($K47="","",L47-M47-N47-P47-Q47-R47)</f>
      </c>
      <c r="U47" s="4">
        <f>IF($K47="","",(T47-W47)/J47*100)</f>
      </c>
      <c r="V47" s="4">
        <f>IF($K47="","",M47-S47)</f>
      </c>
      <c r="X47" s="4">
        <f>IF($K47="","",T47-W47)</f>
      </c>
    </row>
    <row r="48" spans="1:29" x14ac:dyDescent="0.25">
      <c r="A48" s="8"/>
      <c r="D48" s="9"/>
      <c r="J48" s="4"/>
      <c r="K48" s="4"/>
      <c r="L48" s="4">
        <f>IF($K48="","",K48-J48)</f>
      </c>
      <c r="M48" s="4">
        <f>IF($K48="","",L48*16.67%)</f>
      </c>
      <c r="N48" s="4"/>
      <c r="O48" s="4">
        <f>IF($K48="","",N48*20%)</f>
      </c>
      <c r="P48" s="4"/>
      <c r="Q48" s="4">
        <f>IF($K48="","",P48*20%)</f>
      </c>
      <c r="R48" s="4">
        <v>1</v>
      </c>
      <c r="S48" s="4">
        <f>IF($K48="","",Q48)</f>
      </c>
      <c r="T48" s="4">
        <f>IF($K48="","",L48-M48-N48-P48-Q48-R48)</f>
      </c>
      <c r="U48" s="4">
        <f>IF($K48="","",(T48-W48)/J48*100)</f>
      </c>
      <c r="V48" s="4">
        <f>IF($K48="","",M48-S48)</f>
      </c>
      <c r="X48" s="4">
        <f>IF($K48="","",T48-W48)</f>
      </c>
    </row>
    <row r="49" spans="1:29" x14ac:dyDescent="0.25">
      <c r="A49" s="8"/>
      <c r="D49" s="9"/>
      <c r="J49" s="4"/>
      <c r="K49" s="4"/>
      <c r="L49" s="4">
        <f>IF($K49="","",K49-J49)</f>
      </c>
      <c r="M49" s="4">
        <f>IF($K49="","",L49*16.67%)</f>
      </c>
      <c r="N49" s="4"/>
      <c r="O49" s="4">
        <f>IF($K49="","",N49*20%)</f>
      </c>
      <c r="P49" s="4"/>
      <c r="Q49" s="4">
        <f>IF($K49="","",P49*20%)</f>
      </c>
      <c r="R49" s="4">
        <v>1</v>
      </c>
      <c r="S49" s="4">
        <f>IF($K49="","",Q49)</f>
      </c>
      <c r="T49" s="4">
        <f>IF($K49="","",L49-M49-N49-P49-Q49-R49)</f>
      </c>
      <c r="U49" s="4">
        <f>IF($K49="","",(T49-W49)/J49*100)</f>
      </c>
      <c r="V49" s="4">
        <f>IF($K49="","",M49-S49)</f>
      </c>
      <c r="X49" s="4">
        <f>IF($K49="","",T49-W49)</f>
      </c>
    </row>
    <row r="50" spans="1:29" x14ac:dyDescent="0.25">
      <c r="A50" s="8"/>
      <c r="D50" s="9"/>
      <c r="J50" s="4"/>
      <c r="K50" s="4"/>
      <c r="L50" s="4">
        <f>IF($K50="","",K50-J50)</f>
      </c>
      <c r="M50" s="4">
        <f>IF($K50="","",L50*16.67%)</f>
      </c>
      <c r="N50" s="4"/>
      <c r="O50" s="4">
        <f>IF($K50="","",N50*20%)</f>
      </c>
      <c r="P50" s="4"/>
      <c r="Q50" s="4">
        <f>IF($K50="","",P50*20%)</f>
      </c>
      <c r="R50" s="4">
        <v>1</v>
      </c>
      <c r="S50" s="4">
        <f>IF($K50="","",Q50)</f>
      </c>
      <c r="T50" s="4">
        <f>IF($K50="","",L50-M50-N50-P50-Q50-R50)</f>
      </c>
      <c r="U50" s="4">
        <f>IF($K50="","",(T50-W50)/J50*100)</f>
      </c>
      <c r="V50" s="4">
        <f>IF($K50="","",M50-S50)</f>
      </c>
      <c r="X50" s="4">
        <f>IF($K50="","",T50-W50)</f>
      </c>
    </row>
    <row r="51" spans="1:29" x14ac:dyDescent="0.25">
      <c r="A51" s="8"/>
      <c r="D51" s="9"/>
      <c r="J51" s="4"/>
      <c r="K51" s="4"/>
      <c r="L51" s="4">
        <f>IF($K51="","",K51-J51)</f>
      </c>
      <c r="M51" s="4">
        <f>IF($K51="","",L51*16.67%)</f>
      </c>
      <c r="N51" s="4"/>
      <c r="O51" s="4">
        <f>IF($K51="","",N51*20%)</f>
      </c>
      <c r="P51" s="4"/>
      <c r="Q51" s="4">
        <f>IF($K51="","",P51*20%)</f>
      </c>
      <c r="R51" s="4">
        <v>1</v>
      </c>
      <c r="S51" s="4">
        <f>IF($K51="","",Q51)</f>
      </c>
      <c r="T51" s="4">
        <f>IF($K51="","",L51-M51-N51-P51-Q51-R51)</f>
      </c>
      <c r="U51" s="4">
        <f>IF($K51="","",(T51-W51)/J51*100)</f>
      </c>
      <c r="V51" s="4">
        <f>IF($K51="","",M51-S51)</f>
      </c>
      <c r="X51" s="4">
        <f>IF($K51="","",T51-W51)</f>
      </c>
    </row>
    <row r="52" spans="1:29" x14ac:dyDescent="0.25">
      <c r="A52" s="8"/>
      <c r="D52" s="9"/>
      <c r="J52" s="4"/>
      <c r="K52" s="4"/>
      <c r="L52" s="4">
        <f>IF($K52="","",K52-J52)</f>
      </c>
      <c r="M52" s="4">
        <f>IF($K52="","",L52*16.67%)</f>
      </c>
      <c r="N52" s="4"/>
      <c r="O52" s="4">
        <f>IF($K52="","",N52*20%)</f>
      </c>
      <c r="P52" s="4"/>
      <c r="Q52" s="4">
        <f>IF($K52="","",P52*20%)</f>
      </c>
      <c r="R52" s="4">
        <v>1</v>
      </c>
      <c r="S52" s="4">
        <f>IF($K52="","",Q52)</f>
      </c>
      <c r="T52" s="4">
        <f>IF($K52="","",L52-M52-N52-P52-Q52-R52)</f>
      </c>
      <c r="U52" s="4">
        <f>IF($K52="","",(T52-W52)/J52*100)</f>
      </c>
      <c r="V52" s="4">
        <f>IF($K52="","",M52-S52)</f>
      </c>
      <c r="X52" s="4">
        <f>IF($K52="","",T52-W52)</f>
      </c>
    </row>
    <row r="53" spans="1:29" x14ac:dyDescent="0.25">
      <c r="A53" s="8"/>
      <c r="D53" s="9"/>
      <c r="J53" s="4"/>
      <c r="K53" s="4"/>
      <c r="L53" s="4">
        <f>IF($K53="","",K53-J53)</f>
      </c>
      <c r="M53" s="4">
        <f>IF($K53="","",L53*16.67%)</f>
      </c>
      <c r="N53" s="4"/>
      <c r="O53" s="4">
        <f>IF($K53="","",N53*20%)</f>
      </c>
      <c r="P53" s="4"/>
      <c r="Q53" s="4">
        <f>IF($K53="","",P53*20%)</f>
      </c>
      <c r="R53" s="4">
        <v>1</v>
      </c>
      <c r="S53" s="4">
        <f>IF($K53="","",Q53)</f>
      </c>
      <c r="T53" s="4">
        <f>IF($K53="","",L53-M53-N53-P53-Q53-R53)</f>
      </c>
      <c r="U53" s="4">
        <f>IF($K53="","",(T53-W53)/J53*100)</f>
      </c>
      <c r="V53" s="4">
        <f>IF($K53="","",M53-S53)</f>
      </c>
      <c r="X53" s="4">
        <f>IF($K53="","",T53-W53)</f>
      </c>
    </row>
    <row r="54" spans="1:29" x14ac:dyDescent="0.25">
      <c r="A54" s="8"/>
      <c r="D54" s="9"/>
      <c r="J54" s="4"/>
      <c r="K54" s="4"/>
      <c r="L54" s="4">
        <f>IF($K54="","",K54-J54)</f>
      </c>
      <c r="M54" s="4">
        <f>IF($K54="","",L54*16.67%)</f>
      </c>
      <c r="N54" s="4"/>
      <c r="O54" s="4">
        <f>IF($K54="","",N54*20%)</f>
      </c>
      <c r="P54" s="4"/>
      <c r="Q54" s="4">
        <f>IF($K54="","",P54*20%)</f>
      </c>
      <c r="R54" s="4">
        <v>1</v>
      </c>
      <c r="S54" s="4">
        <f>IF($K54="","",Q54)</f>
      </c>
      <c r="T54" s="4">
        <f>IF($K54="","",L54-M54-N54-P54-Q54-R54)</f>
      </c>
      <c r="U54" s="4">
        <f>IF($K54="","",(T54-W54)/J54*100)</f>
      </c>
      <c r="V54" s="4">
        <f>IF($K54="","",M54-S54)</f>
      </c>
      <c r="X54" s="4">
        <f>IF($K54="","",T54-W54)</f>
      </c>
    </row>
    <row r="55" spans="1:29" x14ac:dyDescent="0.25">
      <c r="A55" s="8"/>
      <c r="D55" s="9"/>
      <c r="J55" s="4"/>
      <c r="K55" s="4"/>
      <c r="L55" s="4">
        <f>IF($K55="","",K55-J55)</f>
      </c>
      <c r="M55" s="4">
        <f>IF($K55="","",L55*16.67%)</f>
      </c>
      <c r="N55" s="4"/>
      <c r="O55" s="4">
        <f>IF($K55="","",N55*20%)</f>
      </c>
      <c r="P55" s="4"/>
      <c r="Q55" s="4">
        <f>IF($K55="","",P55*20%)</f>
      </c>
      <c r="R55" s="4">
        <v>1</v>
      </c>
      <c r="S55" s="4">
        <f>IF($K55="","",Q55)</f>
      </c>
      <c r="T55" s="4">
        <f>IF($K55="","",L55-M55-N55-P55-Q55-R55)</f>
      </c>
      <c r="U55" s="4">
        <f>IF($K55="","",(T55-W55)/J55*100)</f>
      </c>
      <c r="V55" s="4">
        <f>IF($K55="","",M55-S55)</f>
      </c>
      <c r="X55" s="4">
        <f>IF($K55="","",T55-W55)</f>
      </c>
    </row>
    <row r="56" spans="1:29" x14ac:dyDescent="0.25">
      <c r="A56" s="8"/>
      <c r="D56" s="9"/>
      <c r="J56" s="4"/>
      <c r="K56" s="4"/>
      <c r="L56" s="4">
        <f>IF($K56="","",K56-J56)</f>
      </c>
      <c r="M56" s="4">
        <f>IF($K56="","",L56*16.67%)</f>
      </c>
      <c r="N56" s="4"/>
      <c r="O56" s="4">
        <f>IF($K56="","",N56*20%)</f>
      </c>
      <c r="P56" s="4"/>
      <c r="Q56" s="4">
        <f>IF($K56="","",P56*20%)</f>
      </c>
      <c r="R56" s="4">
        <v>1</v>
      </c>
      <c r="S56" s="4">
        <f>IF($K56="","",Q56)</f>
      </c>
      <c r="T56" s="4">
        <f>IF($K56="","",L56-M56-N56-P56-Q56-R56)</f>
      </c>
      <c r="U56" s="4">
        <f>IF($K56="","",(T56-W56)/J56*100)</f>
      </c>
      <c r="V56" s="4">
        <f>IF($K56="","",M56-S56)</f>
      </c>
      <c r="X56" s="4">
        <f>IF($K56="","",T56-W56)</f>
      </c>
    </row>
    <row r="57" spans="1:29" x14ac:dyDescent="0.25">
      <c r="A57" s="8"/>
      <c r="D57" s="9"/>
      <c r="J57" s="4"/>
      <c r="K57" s="4"/>
      <c r="L57" s="4">
        <f>IF($K57="","",K57-J57)</f>
      </c>
      <c r="M57" s="4">
        <f>IF($K57="","",L57*16.67%)</f>
      </c>
      <c r="N57" s="4"/>
      <c r="O57" s="4">
        <f>IF($K57="","",N57*20%)</f>
      </c>
      <c r="P57" s="4"/>
      <c r="Q57" s="4">
        <f>IF($K57="","",P57*20%)</f>
      </c>
      <c r="R57" s="4">
        <v>1</v>
      </c>
      <c r="S57" s="4">
        <f>IF($K57="","",Q57)</f>
      </c>
      <c r="T57" s="4">
        <f>IF($K57="","",L57-M57-N57-P57-Q57-R57)</f>
      </c>
      <c r="U57" s="4">
        <f>IF($K57="","",(T57-W57)/J57*100)</f>
      </c>
      <c r="V57" s="4">
        <f>IF($K57="","",M57-S57)</f>
      </c>
      <c r="X57" s="4">
        <f>IF($K57="","",T57-W57)</f>
      </c>
    </row>
    <row r="58" spans="1:29" x14ac:dyDescent="0.25">
      <c r="A58" s="8"/>
      <c r="D58" s="9"/>
      <c r="J58" s="4"/>
      <c r="K58" s="4"/>
      <c r="L58" s="4">
        <f>IF($K58="","",K58-J58)</f>
      </c>
      <c r="M58" s="4">
        <f>IF($K58="","",L58*16.67%)</f>
      </c>
      <c r="N58" s="4"/>
      <c r="O58" s="4">
        <f>IF($K58="","",N58*20%)</f>
      </c>
      <c r="P58" s="4"/>
      <c r="Q58" s="4">
        <f>IF($K58="","",P58*20%)</f>
      </c>
      <c r="R58" s="4">
        <v>1</v>
      </c>
      <c r="S58" s="4">
        <f>IF($K58="","",Q58)</f>
      </c>
      <c r="T58" s="4">
        <f>IF($K58="","",L58-M58-N58-P58-Q58-R58)</f>
      </c>
      <c r="U58" s="4">
        <f>IF($K58="","",(T58-W58)/J58*100)</f>
      </c>
      <c r="V58" s="4">
        <f>IF($K58="","",M58-S58)</f>
      </c>
      <c r="X58" s="4">
        <f>IF($K58="","",T58-W58)</f>
      </c>
    </row>
    <row r="59" spans="1:29" x14ac:dyDescent="0.25">
      <c r="A59" s="8"/>
      <c r="D59" s="9"/>
      <c r="J59" s="4"/>
      <c r="K59" s="4"/>
      <c r="L59" s="4">
        <f>IF($K59="","",K59-J59)</f>
      </c>
      <c r="M59" s="4">
        <f>IF($K59="","",L59*16.67%)</f>
      </c>
      <c r="N59" s="4"/>
      <c r="O59" s="4">
        <f>IF($K59="","",N59*20%)</f>
      </c>
      <c r="P59" s="4"/>
      <c r="Q59" s="4">
        <f>IF($K59="","",P59*20%)</f>
      </c>
      <c r="R59" s="4">
        <v>1</v>
      </c>
      <c r="S59" s="4">
        <f>IF($K59="","",Q59)</f>
      </c>
      <c r="T59" s="4">
        <f>IF($K59="","",L59-M59-N59-P59-Q59-R59)</f>
      </c>
      <c r="U59" s="4">
        <f>IF($K59="","",(T59-W59)/J59*100)</f>
      </c>
      <c r="V59" s="4">
        <f>IF($K59="","",M59-S59)</f>
      </c>
      <c r="X59" s="4">
        <f>IF($K59="","",T59-W59)</f>
      </c>
    </row>
    <row r="60" spans="1:29" x14ac:dyDescent="0.25">
      <c r="A60" s="8"/>
      <c r="D60" s="9"/>
      <c r="J60" s="4"/>
      <c r="K60" s="4"/>
      <c r="L60" s="4">
        <f>IF($K60="","",K60-J60)</f>
      </c>
      <c r="M60" s="4">
        <f>IF($K60="","",L60*16.67%)</f>
      </c>
      <c r="N60" s="4"/>
      <c r="O60" s="4">
        <f>IF($K60="","",N60*20%)</f>
      </c>
      <c r="P60" s="4"/>
      <c r="Q60" s="4">
        <f>IF($K60="","",P60*20%)</f>
      </c>
      <c r="R60" s="4">
        <v>1</v>
      </c>
      <c r="S60" s="4">
        <f>IF($K60="","",Q60)</f>
      </c>
      <c r="T60" s="4">
        <f>IF($K60="","",L60-M60-N60-P60-Q60-R60)</f>
      </c>
      <c r="U60" s="4">
        <f>IF($K60="","",(T60-W60)/J60*100)</f>
      </c>
      <c r="V60" s="4">
        <f>IF($K60="","",M60-S60)</f>
      </c>
      <c r="X60" s="4">
        <f>IF($K60="","",T60-W60)</f>
      </c>
    </row>
    <row r="61" spans="1:29" x14ac:dyDescent="0.25">
      <c r="A61" s="8"/>
      <c r="D61" s="9"/>
      <c r="J61" s="4"/>
      <c r="K61" s="4"/>
      <c r="L61" s="4">
        <f>IF($K61="","",K61-J61)</f>
      </c>
      <c r="M61" s="4">
        <f>IF($K61="","",L61*16.67%)</f>
      </c>
      <c r="N61" s="4"/>
      <c r="O61" s="4">
        <f>IF($K61="","",N61*20%)</f>
      </c>
      <c r="P61" s="4"/>
      <c r="Q61" s="4">
        <f>IF($K61="","",P61*20%)</f>
      </c>
      <c r="R61" s="4">
        <v>1</v>
      </c>
      <c r="S61" s="4">
        <f>IF($K61="","",Q61)</f>
      </c>
      <c r="T61" s="4">
        <f>IF($K61="","",L61-M61-N61-P61-Q61-R61)</f>
      </c>
      <c r="U61" s="4">
        <f>IF($K61="","",(T61-W61)/J61*100)</f>
      </c>
      <c r="V61" s="4">
        <f>IF($K61="","",M61-S61)</f>
      </c>
      <c r="X61" s="4">
        <f>IF($K61="","",T61-W61)</f>
      </c>
    </row>
    <row r="62" spans="1:29" x14ac:dyDescent="0.25">
      <c r="A62" s="8"/>
      <c r="D62" s="9"/>
      <c r="J62" s="4"/>
      <c r="K62" s="4"/>
      <c r="L62" s="4">
        <f>IF($K62="","",K62-J62)</f>
      </c>
      <c r="M62" s="4">
        <f>IF($K62="","",L62*16.67%)</f>
      </c>
      <c r="N62" s="4"/>
      <c r="O62" s="4">
        <f>IF($K62="","",N62*20%)</f>
      </c>
      <c r="P62" s="4"/>
      <c r="Q62" s="4">
        <f>IF($K62="","",P62*20%)</f>
      </c>
      <c r="R62" s="4">
        <v>1</v>
      </c>
      <c r="S62" s="4">
        <f>IF($K62="","",Q62)</f>
      </c>
      <c r="T62" s="4">
        <f>IF($K62="","",L62-M62-N62-P62-Q62-R62)</f>
      </c>
      <c r="U62" s="4">
        <f>IF($K62="","",(T62-W62)/J62*100)</f>
      </c>
      <c r="V62" s="4">
        <f>IF($K62="","",M62-S62)</f>
      </c>
      <c r="X62" s="4">
        <f>IF($K62="","",T62-W62)</f>
      </c>
    </row>
    <row r="63" spans="1:29" x14ac:dyDescent="0.25">
      <c r="A63" s="8"/>
      <c r="D63" s="9"/>
      <c r="J63" s="4"/>
      <c r="K63" s="4"/>
      <c r="L63" s="4">
        <f>IF($K63="","",K63-J63)</f>
      </c>
      <c r="M63" s="4">
        <f>IF($K63="","",L63*16.67%)</f>
      </c>
      <c r="N63" s="4"/>
      <c r="O63" s="4">
        <f>IF($K63="","",N63*20%)</f>
      </c>
      <c r="P63" s="4"/>
      <c r="Q63" s="4">
        <f>IF($K63="","",P63*20%)</f>
      </c>
      <c r="R63" s="4">
        <v>1</v>
      </c>
      <c r="S63" s="4">
        <f>IF($K63="","",Q63)</f>
      </c>
      <c r="T63" s="4">
        <f>IF($K63="","",L63-M63-N63-P63-Q63-R63)</f>
      </c>
      <c r="U63" s="4">
        <f>IF($K63="","",(T63-W63)/J63*100)</f>
      </c>
      <c r="V63" s="4">
        <f>IF($K63="","",M63-S63)</f>
      </c>
      <c r="X63" s="4">
        <f>IF($K63="","",T63-W63)</f>
      </c>
    </row>
    <row r="64" spans="1:29" x14ac:dyDescent="0.25">
      <c r="A64" s="8"/>
      <c r="D64" s="9"/>
      <c r="J64" s="4"/>
      <c r="K64" s="4"/>
      <c r="L64" s="4">
        <f>IF($K64="","",K64-J64)</f>
      </c>
      <c r="M64" s="4">
        <f>IF($K64="","",L64*16.67%)</f>
      </c>
      <c r="N64" s="4"/>
      <c r="O64" s="4">
        <f>IF($K64="","",N64*20%)</f>
      </c>
      <c r="P64" s="4"/>
      <c r="Q64" s="4">
        <f>IF($K64="","",P64*20%)</f>
      </c>
      <c r="R64" s="4">
        <v>1</v>
      </c>
      <c r="S64" s="4">
        <f>IF($K64="","",Q64)</f>
      </c>
      <c r="T64" s="4">
        <f>IF($K64="","",L64-M64-N64-P64-Q64-R64)</f>
      </c>
      <c r="U64" s="4">
        <f>IF($K64="","",(T64-W64)/J64*100)</f>
      </c>
      <c r="V64" s="4">
        <f>IF($K64="","",M64-S64)</f>
      </c>
      <c r="X64" s="4">
        <f>IF($K64="","",T64-W64)</f>
      </c>
    </row>
    <row r="65" spans="1:29" x14ac:dyDescent="0.25">
      <c r="A65" s="8"/>
      <c r="D65" s="9"/>
      <c r="J65" s="4"/>
      <c r="K65" s="4"/>
      <c r="L65" s="4">
        <f>IF($K65="","",K65-J65)</f>
      </c>
      <c r="M65" s="4">
        <f>IF($K65="","",L65*16.67%)</f>
      </c>
      <c r="N65" s="4"/>
      <c r="O65" s="4">
        <f>IF($K65="","",N65*20%)</f>
      </c>
      <c r="P65" s="4"/>
      <c r="Q65" s="4">
        <f>IF($K65="","",P65*20%)</f>
      </c>
      <c r="R65" s="4">
        <v>1</v>
      </c>
      <c r="S65" s="4">
        <f>IF($K65="","",Q65)</f>
      </c>
      <c r="T65" s="4">
        <f>IF($K65="","",L65-M65-N65-P65-Q65-R65)</f>
      </c>
      <c r="U65" s="4">
        <f>IF($K65="","",(T65-W65)/J65*100)</f>
      </c>
      <c r="V65" s="4">
        <f>IF($K65="","",M65-S65)</f>
      </c>
      <c r="X65" s="4">
        <f>IF($K65="","",T65-W65)</f>
      </c>
    </row>
    <row r="66" spans="1:29" x14ac:dyDescent="0.25">
      <c r="A66" s="8"/>
      <c r="D66" s="9"/>
      <c r="J66" s="4"/>
      <c r="K66" s="4"/>
      <c r="L66" s="4">
        <f>IF($K66="","",K66-J66)</f>
      </c>
      <c r="M66" s="4">
        <f>IF($K66="","",L66*16.67%)</f>
      </c>
      <c r="N66" s="4"/>
      <c r="O66" s="4">
        <f>IF($K66="","",N66*20%)</f>
      </c>
      <c r="P66" s="4"/>
      <c r="Q66" s="4">
        <f>IF($K66="","",P66*20%)</f>
      </c>
      <c r="R66" s="4">
        <v>1</v>
      </c>
      <c r="S66" s="4">
        <f>IF($K66="","",Q66)</f>
      </c>
      <c r="T66" s="4">
        <f>IF($K66="","",L66-M66-N66-P66-Q66-R66)</f>
      </c>
      <c r="U66" s="4">
        <f>IF($K66="","",(T66-W66)/J66*100)</f>
      </c>
      <c r="V66" s="4">
        <f>IF($K66="","",M66-S66)</f>
      </c>
      <c r="X66" s="4">
        <f>IF($K66="","",T66-W66)</f>
      </c>
    </row>
    <row r="67" spans="1:29" x14ac:dyDescent="0.25">
      <c r="A67" s="8"/>
      <c r="D67" s="9"/>
      <c r="J67" s="4"/>
      <c r="K67" s="4"/>
      <c r="L67" s="4">
        <f>IF($K67="","",K67-J67)</f>
      </c>
      <c r="M67" s="4">
        <f>IF($K67="","",L67*16.67%)</f>
      </c>
      <c r="N67" s="4"/>
      <c r="O67" s="4">
        <f>IF($K67="","",N67*20%)</f>
      </c>
      <c r="P67" s="4"/>
      <c r="Q67" s="4">
        <f>IF($K67="","",P67*20%)</f>
      </c>
      <c r="R67" s="4">
        <v>1</v>
      </c>
      <c r="S67" s="4">
        <f>IF($K67="","",Q67)</f>
      </c>
      <c r="T67" s="4">
        <f>IF($K67="","",L67-M67-N67-P67-Q67-R67)</f>
      </c>
      <c r="U67" s="4">
        <f>IF($K67="","",(T67-W67)/J67*100)</f>
      </c>
      <c r="V67" s="4">
        <f>IF($K67="","",M67-S67)</f>
      </c>
      <c r="X67" s="4">
        <f>IF($K67="","",T67-W67)</f>
      </c>
    </row>
    <row r="68" spans="1:29" x14ac:dyDescent="0.25">
      <c r="A68" s="8"/>
      <c r="D68" s="9"/>
      <c r="J68" s="4"/>
      <c r="K68" s="4"/>
      <c r="L68" s="4">
        <f>IF($K68="","",K68-J68)</f>
      </c>
      <c r="M68" s="4">
        <f>IF($K68="","",L68*16.67%)</f>
      </c>
      <c r="N68" s="4"/>
      <c r="O68" s="4">
        <f>IF($K68="","",N68*20%)</f>
      </c>
      <c r="P68" s="4"/>
      <c r="Q68" s="4">
        <f>IF($K68="","",P68*20%)</f>
      </c>
      <c r="R68" s="4">
        <v>1</v>
      </c>
      <c r="S68" s="4">
        <f>IF($K68="","",Q68)</f>
      </c>
      <c r="T68" s="4">
        <f>IF($K68="","",L68-M68-N68-P68-Q68-R68)</f>
      </c>
      <c r="U68" s="4">
        <f>IF($K68="","",(T68-W68)/J68*100)</f>
      </c>
      <c r="V68" s="4">
        <f>IF($K68="","",M68-S68)</f>
      </c>
      <c r="X68" s="4">
        <f>IF($K68="","",T68-W68)</f>
      </c>
    </row>
    <row r="69" spans="1:29" x14ac:dyDescent="0.25">
      <c r="A69" s="8"/>
      <c r="D69" s="9"/>
      <c r="J69" s="4"/>
      <c r="K69" s="4"/>
      <c r="L69" s="4">
        <f>IF($K69="","",K69-J69)</f>
      </c>
      <c r="M69" s="4">
        <f>IF($K69="","",L69*16.67%)</f>
      </c>
      <c r="N69" s="4"/>
      <c r="O69" s="4">
        <f>IF($K69="","",N69*20%)</f>
      </c>
      <c r="P69" s="4"/>
      <c r="Q69" s="4">
        <f>IF($K69="","",P69*20%)</f>
      </c>
      <c r="R69" s="4">
        <v>1</v>
      </c>
      <c r="S69" s="4">
        <f>IF($K69="","",Q69)</f>
      </c>
      <c r="T69" s="4">
        <f>IF($K69="","",L69-M69-N69-P69-Q69-R69)</f>
      </c>
      <c r="U69" s="4">
        <f>IF($K69="","",(T69-W69)/J69*100)</f>
      </c>
      <c r="V69" s="4">
        <f>IF($K69="","",M69-S69)</f>
      </c>
      <c r="X69" s="4">
        <f>IF($K69="","",T69-W69)</f>
      </c>
    </row>
    <row r="70" spans="1:29" x14ac:dyDescent="0.25">
      <c r="A70" s="8"/>
      <c r="D70" s="9"/>
      <c r="J70" s="4"/>
      <c r="K70" s="4"/>
      <c r="L70" s="4">
        <f>IF($K70="","",K70-J70)</f>
      </c>
      <c r="M70" s="4">
        <f>IF($K70="","",L70*16.67%)</f>
      </c>
      <c r="N70" s="4"/>
      <c r="O70" s="4">
        <f>IF($K70="","",N70*20%)</f>
      </c>
      <c r="P70" s="4"/>
      <c r="Q70" s="4">
        <f>IF($K70="","",P70*20%)</f>
      </c>
      <c r="R70" s="4">
        <v>1</v>
      </c>
      <c r="S70" s="4">
        <f>IF($K70="","",Q70)</f>
      </c>
      <c r="T70" s="4">
        <f>IF($K70="","",L70-M70-N70-P70-Q70-R70)</f>
      </c>
      <c r="U70" s="4">
        <f>IF($K70="","",(T70-W70)/J70*100)</f>
      </c>
      <c r="V70" s="4">
        <f>IF($K70="","",M70-S70)</f>
      </c>
      <c r="X70" s="4">
        <f>IF($K70="","",T70-W70)</f>
      </c>
    </row>
    <row r="71" spans="1:29" x14ac:dyDescent="0.25">
      <c r="A71" s="8"/>
      <c r="D71" s="9"/>
      <c r="J71" s="4"/>
      <c r="K71" s="4"/>
      <c r="L71" s="4">
        <f>IF($K71="","",K71-J71)</f>
      </c>
      <c r="M71" s="4">
        <f>IF($K71="","",L71*16.67%)</f>
      </c>
      <c r="N71" s="4"/>
      <c r="O71" s="4">
        <f>IF($K71="","",N71*20%)</f>
      </c>
      <c r="P71" s="4"/>
      <c r="Q71" s="4">
        <f>IF($K71="","",P71*20%)</f>
      </c>
      <c r="R71" s="4">
        <v>1</v>
      </c>
      <c r="S71" s="4">
        <f>IF($K71="","",Q71)</f>
      </c>
      <c r="T71" s="4">
        <f>IF($K71="","",L71-M71-N71-P71-Q71-R71)</f>
      </c>
      <c r="U71" s="4">
        <f>IF($K71="","",(T71-W71)/J71*100)</f>
      </c>
      <c r="V71" s="4">
        <f>IF($K71="","",M71-S71)</f>
      </c>
      <c r="X71" s="4">
        <f>IF($K71="","",T71-W71)</f>
      </c>
    </row>
    <row r="72" spans="1:29" x14ac:dyDescent="0.25">
      <c r="A72" s="8"/>
      <c r="D72" s="9"/>
      <c r="J72" s="4"/>
      <c r="K72" s="4"/>
      <c r="L72" s="4">
        <f>IF($K72="","",K72-J72)</f>
      </c>
      <c r="M72" s="4">
        <f>IF($K72="","",L72*16.67%)</f>
      </c>
      <c r="N72" s="4"/>
      <c r="O72" s="4">
        <f>IF($K72="","",N72*20%)</f>
      </c>
      <c r="P72" s="4"/>
      <c r="Q72" s="4">
        <f>IF($K72="","",P72*20%)</f>
      </c>
      <c r="R72" s="4">
        <v>1</v>
      </c>
      <c r="S72" s="4">
        <f>IF($K72="","",Q72)</f>
      </c>
      <c r="T72" s="4">
        <f>IF($K72="","",L72-M72-N72-P72-Q72-R72)</f>
      </c>
      <c r="U72" s="4">
        <f>IF($K72="","",(T72-W72)/J72*100)</f>
      </c>
      <c r="V72" s="4">
        <f>IF($K72="","",M72-S72)</f>
      </c>
      <c r="X72" s="4">
        <f>IF($K72="","",T72-W72)</f>
      </c>
    </row>
    <row r="73" spans="1:29" x14ac:dyDescent="0.25">
      <c r="A73" s="8"/>
      <c r="D73" s="9"/>
      <c r="J73" s="4"/>
      <c r="K73" s="4"/>
      <c r="L73" s="4">
        <f>IF($K73="","",K73-J73)</f>
      </c>
      <c r="M73" s="4">
        <f>IF($K73="","",L73*16.67%)</f>
      </c>
      <c r="N73" s="4"/>
      <c r="O73" s="4">
        <f>IF($K73="","",N73*20%)</f>
      </c>
      <c r="P73" s="4"/>
      <c r="Q73" s="4">
        <f>IF($K73="","",P73*20%)</f>
      </c>
      <c r="R73" s="4">
        <v>1</v>
      </c>
      <c r="S73" s="4">
        <f>IF($K73="","",Q73)</f>
      </c>
      <c r="T73" s="4">
        <f>IF($K73="","",L73-M73-N73-P73-Q73-R73)</f>
      </c>
      <c r="U73" s="4">
        <f>IF($K73="","",(T73-W73)/J73*100)</f>
      </c>
      <c r="V73" s="4">
        <f>IF($K73="","",M73-S73)</f>
      </c>
      <c r="X73" s="4">
        <f>IF($K73="","",T73-W73)</f>
      </c>
    </row>
    <row r="74" spans="1:29" x14ac:dyDescent="0.25">
      <c r="A74" s="8"/>
      <c r="D74" s="9"/>
      <c r="J74" s="4"/>
      <c r="K74" s="4"/>
      <c r="L74" s="4">
        <f>IF($K74="","",K74-J74)</f>
      </c>
      <c r="M74" s="4">
        <f>IF($K74="","",L74*16.67%)</f>
      </c>
      <c r="N74" s="4"/>
      <c r="O74" s="4">
        <f>IF($K74="","",N74*20%)</f>
      </c>
      <c r="P74" s="4"/>
      <c r="Q74" s="4">
        <f>IF($K74="","",P74*20%)</f>
      </c>
      <c r="R74" s="4">
        <v>1</v>
      </c>
      <c r="S74" s="4">
        <f>IF($K74="","",Q74)</f>
      </c>
      <c r="T74" s="4">
        <f>IF($K74="","",L74-M74-N74-P74-Q74-R74)</f>
      </c>
      <c r="U74" s="4">
        <f>IF($K74="","",(T74-W74)/J74*100)</f>
      </c>
      <c r="V74" s="4">
        <f>IF($K74="","",M74-S74)</f>
      </c>
      <c r="X74" s="4">
        <f>IF($K74="","",T74-W74)</f>
      </c>
    </row>
    <row r="75" spans="1:29" x14ac:dyDescent="0.25">
      <c r="A75" s="8"/>
      <c r="D75" s="9"/>
      <c r="J75" s="4"/>
      <c r="K75" s="4"/>
      <c r="L75" s="4">
        <f>IF($K75="","",K75-J75)</f>
      </c>
      <c r="M75" s="4">
        <f>IF($K75="","",L75*16.67%)</f>
      </c>
      <c r="N75" s="4"/>
      <c r="O75" s="4">
        <f>IF($K75="","",N75*20%)</f>
      </c>
      <c r="P75" s="4"/>
      <c r="Q75" s="4">
        <f>IF($K75="","",P75*20%)</f>
      </c>
      <c r="R75" s="4">
        <v>1</v>
      </c>
      <c r="S75" s="4">
        <f>IF($K75="","",Q75)</f>
      </c>
      <c r="T75" s="4">
        <f>IF($K75="","",L75-M75-N75-P75-Q75-R75)</f>
      </c>
      <c r="U75" s="4">
        <f>IF($K75="","",(T75-W75)/J75*100)</f>
      </c>
      <c r="V75" s="4">
        <f>IF($K75="","",M75-S75)</f>
      </c>
      <c r="X75" s="4">
        <f>IF($K75="","",T75-W75)</f>
      </c>
    </row>
    <row r="76" spans="1:29" x14ac:dyDescent="0.25">
      <c r="A76" s="8"/>
      <c r="D76" s="9"/>
      <c r="J76" s="4"/>
      <c r="K76" s="4"/>
      <c r="L76" s="4">
        <f>IF($K76="","",K76-J76)</f>
      </c>
      <c r="M76" s="4">
        <f>IF($K76="","",L76*16.67%)</f>
      </c>
      <c r="N76" s="4"/>
      <c r="O76" s="4">
        <f>IF($K76="","",N76*20%)</f>
      </c>
      <c r="P76" s="4"/>
      <c r="Q76" s="4">
        <f>IF($K76="","",P76*20%)</f>
      </c>
      <c r="R76" s="4">
        <v>1</v>
      </c>
      <c r="S76" s="4">
        <f>IF($K76="","",Q76)</f>
      </c>
      <c r="T76" s="4">
        <f>IF($K76="","",L76-M76-N76-P76-Q76-R76)</f>
      </c>
      <c r="U76" s="4">
        <f>IF($K76="","",(T76-W76)/J76*100)</f>
      </c>
      <c r="V76" s="4">
        <f>IF($K76="","",M76-S76)</f>
      </c>
      <c r="X76" s="4">
        <f>IF($K76="","",T76-W76)</f>
      </c>
    </row>
    <row r="77" spans="1:29" x14ac:dyDescent="0.25">
      <c r="A77" s="8"/>
      <c r="D77" s="9"/>
      <c r="J77" s="4"/>
      <c r="K77" s="4"/>
      <c r="L77" s="4">
        <f>IF($K77="","",K77-J77)</f>
      </c>
      <c r="M77" s="4">
        <f>IF($K77="","",L77*16.67%)</f>
      </c>
      <c r="N77" s="4"/>
      <c r="O77" s="4">
        <f>IF($K77="","",N77*20%)</f>
      </c>
      <c r="P77" s="4"/>
      <c r="Q77" s="4">
        <f>IF($K77="","",P77*20%)</f>
      </c>
      <c r="R77" s="4">
        <v>1</v>
      </c>
      <c r="S77" s="4">
        <f>IF($K77="","",Q77)</f>
      </c>
      <c r="T77" s="4">
        <f>IF($K77="","",L77-M77-N77-P77-Q77-R77)</f>
      </c>
      <c r="U77" s="4">
        <f>IF($K77="","",(T77-W77)/J77*100)</f>
      </c>
      <c r="V77" s="4">
        <f>IF($K77="","",M77-S77)</f>
      </c>
      <c r="X77" s="4">
        <f>IF($K77="","",T77-W77)</f>
      </c>
    </row>
    <row r="78" spans="1:29" x14ac:dyDescent="0.25">
      <c r="A78" s="8"/>
      <c r="D78" s="9"/>
      <c r="J78" s="4"/>
      <c r="K78" s="4"/>
      <c r="L78" s="4">
        <f>IF($K78="","",K78-J78)</f>
      </c>
      <c r="M78" s="4">
        <f>IF($K78="","",L78*16.67%)</f>
      </c>
      <c r="N78" s="4"/>
      <c r="O78" s="4">
        <f>IF($K78="","",N78*20%)</f>
      </c>
      <c r="P78" s="4"/>
      <c r="Q78" s="4">
        <f>IF($K78="","",P78*20%)</f>
      </c>
      <c r="R78" s="4">
        <v>1</v>
      </c>
      <c r="S78" s="4">
        <f>IF($K78="","",Q78)</f>
      </c>
      <c r="T78" s="4">
        <f>IF($K78="","",L78-M78-N78-P78-Q78-R78)</f>
      </c>
      <c r="U78" s="4">
        <f>IF($K78="","",(T78-W78)/J78*100)</f>
      </c>
      <c r="V78" s="4">
        <f>IF($K78="","",M78-S78)</f>
      </c>
      <c r="X78" s="4">
        <f>IF($K78="","",T78-W78)</f>
      </c>
    </row>
    <row r="79" spans="1:29" x14ac:dyDescent="0.25">
      <c r="A79" s="8"/>
      <c r="D79" s="9"/>
      <c r="J79" s="4"/>
      <c r="K79" s="4"/>
      <c r="L79" s="4">
        <f>IF($K79="","",K79-J79)</f>
      </c>
      <c r="M79" s="4">
        <f>IF($K79="","",L79*16.67%)</f>
      </c>
      <c r="N79" s="4"/>
      <c r="O79" s="4">
        <f>IF($K79="","",N79*20%)</f>
      </c>
      <c r="P79" s="4"/>
      <c r="Q79" s="4">
        <f>IF($K79="","",P79*20%)</f>
      </c>
      <c r="R79" s="4">
        <v>1</v>
      </c>
      <c r="S79" s="4">
        <f>IF($K79="","",Q79)</f>
      </c>
      <c r="T79" s="4">
        <f>IF($K79="","",L79-M79-N79-P79-Q79-R79)</f>
      </c>
      <c r="U79" s="4">
        <f>IF($K79="","",(T79-W79)/J79*100)</f>
      </c>
      <c r="V79" s="4">
        <f>IF($K79="","",M79-S79)</f>
      </c>
      <c r="X79" s="4">
        <f>IF($K79="","",T79-W79)</f>
      </c>
    </row>
    <row r="80" spans="1:29" x14ac:dyDescent="0.25">
      <c r="A80" s="8"/>
      <c r="D80" s="9"/>
      <c r="J80" s="4"/>
      <c r="K80" s="4"/>
      <c r="L80" s="4">
        <f>IF($K80="","",K80-J80)</f>
      </c>
      <c r="M80" s="4">
        <f>IF($K80="","",L80*16.67%)</f>
      </c>
      <c r="N80" s="4"/>
      <c r="O80" s="4">
        <f>IF($K80="","",N80*20%)</f>
      </c>
      <c r="P80" s="4"/>
      <c r="Q80" s="4">
        <f>IF($K80="","",P80*20%)</f>
      </c>
      <c r="R80" s="4">
        <v>1</v>
      </c>
      <c r="S80" s="4">
        <f>IF($K80="","",Q80)</f>
      </c>
      <c r="T80" s="4">
        <f>IF($K80="","",L80-M80-N80-P80-Q80-R80)</f>
      </c>
      <c r="U80" s="4">
        <f>IF($K80="","",(T80-W80)/J80*100)</f>
      </c>
      <c r="V80" s="4">
        <f>IF($K80="","",M80-S80)</f>
      </c>
      <c r="X80" s="4">
        <f>IF($K80="","",T80-W80)</f>
      </c>
    </row>
    <row r="81" spans="1:29" x14ac:dyDescent="0.25">
      <c r="A81" s="8"/>
      <c r="D81" s="9"/>
      <c r="J81" s="4"/>
      <c r="K81" s="4"/>
      <c r="L81" s="4">
        <f>IF($K81="","",K81-J81)</f>
      </c>
      <c r="M81" s="4">
        <f>IF($K81="","",L81*16.67%)</f>
      </c>
      <c r="N81" s="4"/>
      <c r="O81" s="4">
        <f>IF($K81="","",N81*20%)</f>
      </c>
      <c r="P81" s="4"/>
      <c r="Q81" s="4">
        <f>IF($K81="","",P81*20%)</f>
      </c>
      <c r="R81" s="4">
        <v>1</v>
      </c>
      <c r="S81" s="4">
        <f>IF($K81="","",Q81)</f>
      </c>
      <c r="T81" s="4">
        <f>IF($K81="","",L81-M81-N81-P81-Q81-R81)</f>
      </c>
      <c r="U81" s="4">
        <f>IF($K81="","",(T81-W81)/J81*100)</f>
      </c>
      <c r="V81" s="4">
        <f>IF($K81="","",M81-S81)</f>
      </c>
      <c r="X81" s="4">
        <f>IF($K81="","",T81-W81)</f>
      </c>
    </row>
    <row r="82" spans="1:29" x14ac:dyDescent="0.25">
      <c r="A82" s="8"/>
      <c r="D82" s="9"/>
      <c r="J82" s="4"/>
      <c r="K82" s="4"/>
      <c r="L82" s="4">
        <f>IF($K82="","",K82-J82)</f>
      </c>
      <c r="M82" s="4">
        <f>IF($K82="","",L82*16.67%)</f>
      </c>
      <c r="N82" s="4"/>
      <c r="O82" s="4">
        <f>IF($K82="","",N82*20%)</f>
      </c>
      <c r="P82" s="4"/>
      <c r="Q82" s="4">
        <f>IF($K82="","",P82*20%)</f>
      </c>
      <c r="R82" s="4">
        <v>1</v>
      </c>
      <c r="S82" s="4">
        <f>IF($K82="","",Q82)</f>
      </c>
      <c r="T82" s="4">
        <f>IF($K82="","",L82-M82-N82-P82-Q82-R82)</f>
      </c>
      <c r="U82" s="4">
        <f>IF($K82="","",(T82-W82)/J82*100)</f>
      </c>
      <c r="V82" s="4">
        <f>IF($K82="","",M82-S82)</f>
      </c>
      <c r="X82" s="4">
        <f>IF($K82="","",T82-W82)</f>
      </c>
    </row>
    <row r="83" spans="1:29" x14ac:dyDescent="0.25">
      <c r="A83" s="8"/>
      <c r="D83" s="9"/>
      <c r="J83" s="4"/>
      <c r="K83" s="4"/>
      <c r="L83" s="4">
        <f>IF($K83="","",K83-J83)</f>
      </c>
      <c r="M83" s="4">
        <f>IF($K83="","",L83*16.67%)</f>
      </c>
      <c r="N83" s="4"/>
      <c r="O83" s="4">
        <f>IF($K83="","",N83*20%)</f>
      </c>
      <c r="P83" s="4"/>
      <c r="Q83" s="4">
        <f>IF($K83="","",P83*20%)</f>
      </c>
      <c r="R83" s="4">
        <v>1</v>
      </c>
      <c r="S83" s="4">
        <f>IF($K83="","",Q83)</f>
      </c>
      <c r="T83" s="4">
        <f>IF($K83="","",L83-M83-N83-P83-Q83-R83)</f>
      </c>
      <c r="U83" s="4">
        <f>IF($K83="","",(T83-W83)/J83*100)</f>
      </c>
      <c r="V83" s="4">
        <f>IF($K83="","",M83-S83)</f>
      </c>
      <c r="X83" s="4">
        <f>IF($K83="","",T83-W83)</f>
      </c>
    </row>
    <row r="84" spans="1:29" x14ac:dyDescent="0.25">
      <c r="A84" s="8"/>
      <c r="D84" s="9"/>
      <c r="J84" s="4"/>
      <c r="K84" s="4"/>
      <c r="L84" s="4">
        <f>IF($K84="","",K84-J84)</f>
      </c>
      <c r="M84" s="4">
        <f>IF($K84="","",L84*16.67%)</f>
      </c>
      <c r="N84" s="4"/>
      <c r="O84" s="4">
        <f>IF($K84="","",N84*20%)</f>
      </c>
      <c r="P84" s="4"/>
      <c r="Q84" s="4">
        <f>IF($K84="","",P84*20%)</f>
      </c>
      <c r="R84" s="4">
        <v>1</v>
      </c>
      <c r="S84" s="4">
        <f>IF($K84="","",Q84)</f>
      </c>
      <c r="T84" s="4">
        <f>IF($K84="","",L84-M84-N84-P84-Q84-R84)</f>
      </c>
      <c r="U84" s="4">
        <f>IF($K84="","",(T84-W84)/J84*100)</f>
      </c>
      <c r="V84" s="4">
        <f>IF($K84="","",M84-S84)</f>
      </c>
      <c r="X84" s="4">
        <f>IF($K84="","",T84-W84)</f>
      </c>
    </row>
    <row r="85" spans="1:29" x14ac:dyDescent="0.25">
      <c r="A85" s="8"/>
      <c r="D85" s="9"/>
      <c r="J85" s="4"/>
      <c r="K85" s="4"/>
      <c r="L85" s="4">
        <f>IF($K85="","",K85-J85)</f>
      </c>
      <c r="M85" s="4">
        <f>IF($K85="","",L85*16.67%)</f>
      </c>
      <c r="N85" s="4"/>
      <c r="O85" s="4">
        <f>IF($K85="","",N85*20%)</f>
      </c>
      <c r="P85" s="4"/>
      <c r="Q85" s="4">
        <f>IF($K85="","",P85*20%)</f>
      </c>
      <c r="R85" s="4">
        <v>1</v>
      </c>
      <c r="S85" s="4">
        <f>IF($K85="","",Q85)</f>
      </c>
      <c r="T85" s="4">
        <f>IF($K85="","",L85-M85-N85-P85-Q85-R85)</f>
      </c>
      <c r="U85" s="4">
        <f>IF($K85="","",(T85-W85)/J85*100)</f>
      </c>
      <c r="V85" s="4">
        <f>IF($K85="","",M85-S85)</f>
      </c>
      <c r="X85" s="4">
        <f>IF($K85="","",T85-W85)</f>
      </c>
    </row>
    <row r="86" spans="1:29" x14ac:dyDescent="0.25">
      <c r="A86" s="8"/>
      <c r="D86" s="9"/>
      <c r="J86" s="4"/>
      <c r="K86" s="4"/>
      <c r="L86" s="4">
        <f>IF($K86="","",K86-J86)</f>
      </c>
      <c r="M86" s="4">
        <f>IF($K86="","",L86*16.67%)</f>
      </c>
      <c r="N86" s="4"/>
      <c r="O86" s="4">
        <f>IF($K86="","",N86*20%)</f>
      </c>
      <c r="P86" s="4"/>
      <c r="Q86" s="4">
        <f>IF($K86="","",P86*20%)</f>
      </c>
      <c r="R86" s="4">
        <v>1</v>
      </c>
      <c r="S86" s="4">
        <f>IF($K86="","",Q86)</f>
      </c>
      <c r="T86" s="4">
        <f>IF($K86="","",L86-M86-N86-P86-Q86-R86)</f>
      </c>
      <c r="U86" s="4">
        <f>IF($K86="","",(T86-W86)/J86*100)</f>
      </c>
      <c r="V86" s="4">
        <f>IF($K86="","",M86-S86)</f>
      </c>
      <c r="X86" s="4">
        <f>IF($K86="","",T86-W86)</f>
      </c>
    </row>
    <row r="87" spans="1:29" x14ac:dyDescent="0.25">
      <c r="A87" s="8"/>
      <c r="D87" s="9"/>
      <c r="J87" s="4"/>
      <c r="K87" s="4"/>
      <c r="L87" s="4">
        <f>IF($K87="","",K87-J87)</f>
      </c>
      <c r="M87" s="4">
        <f>IF($K87="","",L87*16.67%)</f>
      </c>
      <c r="N87" s="4"/>
      <c r="O87" s="4">
        <f>IF($K87="","",N87*20%)</f>
      </c>
      <c r="P87" s="4"/>
      <c r="Q87" s="4">
        <f>IF($K87="","",P87*20%)</f>
      </c>
      <c r="R87" s="4">
        <v>1</v>
      </c>
      <c r="S87" s="4">
        <f>IF($K87="","",Q87)</f>
      </c>
      <c r="T87" s="4">
        <f>IF($K87="","",L87-M87-N87-P87-Q87-R87)</f>
      </c>
      <c r="U87" s="4">
        <f>IF($K87="","",(T87-W87)/J87*100)</f>
      </c>
      <c r="V87" s="4">
        <f>IF($K87="","",M87-S87)</f>
      </c>
      <c r="X87" s="4">
        <f>IF($K87="","",T87-W87)</f>
      </c>
    </row>
    <row r="88" spans="1:29" x14ac:dyDescent="0.25">
      <c r="A88" s="8"/>
      <c r="D88" s="9"/>
      <c r="J88" s="4"/>
      <c r="K88" s="4"/>
      <c r="L88" s="4">
        <f>IF($K88="","",K88-J88)</f>
      </c>
      <c r="M88" s="4">
        <f>IF($K88="","",L88*16.67%)</f>
      </c>
      <c r="N88" s="4"/>
      <c r="O88" s="4">
        <f>IF($K88="","",N88*20%)</f>
      </c>
      <c r="P88" s="4"/>
      <c r="Q88" s="4">
        <f>IF($K88="","",P88*20%)</f>
      </c>
      <c r="R88" s="4">
        <v>1</v>
      </c>
      <c r="S88" s="4">
        <f>IF($K88="","",Q88)</f>
      </c>
      <c r="T88" s="4">
        <f>IF($K88="","",L88-M88-N88-P88-Q88-R88)</f>
      </c>
      <c r="U88" s="4">
        <f>IF($K88="","",(T88-W88)/J88*100)</f>
      </c>
      <c r="V88" s="4">
        <f>IF($K88="","",M88-S88)</f>
      </c>
      <c r="X88" s="4">
        <f>IF($K88="","",T88-W88)</f>
      </c>
    </row>
    <row r="89" spans="1:29" x14ac:dyDescent="0.25">
      <c r="A89" s="8"/>
      <c r="D89" s="9"/>
      <c r="J89" s="4"/>
      <c r="K89" s="4"/>
      <c r="L89" s="4">
        <f>IF($K89="","",K89-J89)</f>
      </c>
      <c r="M89" s="4">
        <f>IF($K89="","",L89*16.67%)</f>
      </c>
      <c r="N89" s="4"/>
      <c r="O89" s="4">
        <f>IF($K89="","",N89*20%)</f>
      </c>
      <c r="P89" s="4"/>
      <c r="Q89" s="4">
        <f>IF($K89="","",P89*20%)</f>
      </c>
      <c r="R89" s="4">
        <v>1</v>
      </c>
      <c r="S89" s="4">
        <f>IF($K89="","",Q89)</f>
      </c>
      <c r="T89" s="4">
        <f>IF($K89="","",L89-M89-N89-P89-Q89-R89)</f>
      </c>
      <c r="U89" s="4">
        <f>IF($K89="","",(T89-W89)/J89*100)</f>
      </c>
      <c r="V89" s="4">
        <f>IF($K89="","",M89-S89)</f>
      </c>
      <c r="X89" s="4">
        <f>IF($K89="","",T89-W89)</f>
      </c>
    </row>
    <row r="90" spans="1:29" x14ac:dyDescent="0.25">
      <c r="A90" s="8"/>
      <c r="D90" s="9"/>
      <c r="J90" s="4"/>
      <c r="K90" s="4"/>
      <c r="L90" s="4">
        <f>IF($K90="","",K90-J90)</f>
      </c>
      <c r="M90" s="4">
        <f>IF($K90="","",L90*16.67%)</f>
      </c>
      <c r="N90" s="4"/>
      <c r="O90" s="4">
        <f>IF($K90="","",N90*20%)</f>
      </c>
      <c r="P90" s="4"/>
      <c r="Q90" s="4">
        <f>IF($K90="","",P90*20%)</f>
      </c>
      <c r="R90" s="4">
        <v>1</v>
      </c>
      <c r="S90" s="4">
        <f>IF($K90="","",Q90)</f>
      </c>
      <c r="T90" s="4">
        <f>IF($K90="","",L90-M90-N90-P90-Q90-R90)</f>
      </c>
      <c r="U90" s="4">
        <f>IF($K90="","",(T90-W90)/J90*100)</f>
      </c>
      <c r="V90" s="4">
        <f>IF($K90="","",M90-S90)</f>
      </c>
      <c r="X90" s="4">
        <f>IF($K90="","",T90-W90)</f>
      </c>
    </row>
    <row r="91" spans="1:29" x14ac:dyDescent="0.25">
      <c r="A91" s="8"/>
      <c r="D91" s="9"/>
      <c r="J91" s="4"/>
      <c r="K91" s="4"/>
      <c r="L91" s="4">
        <f>IF($K91="","",K91-J91)</f>
      </c>
      <c r="M91" s="4">
        <f>IF($K91="","",L91*16.67%)</f>
      </c>
      <c r="N91" s="4"/>
      <c r="O91" s="4">
        <f>IF($K91="","",N91*20%)</f>
      </c>
      <c r="P91" s="4"/>
      <c r="Q91" s="4">
        <f>IF($K91="","",P91*20%)</f>
      </c>
      <c r="R91" s="4">
        <v>1</v>
      </c>
      <c r="S91" s="4">
        <f>IF($K91="","",Q91)</f>
      </c>
      <c r="T91" s="4">
        <f>IF($K91="","",L91-M91-N91-P91-Q91-R91)</f>
      </c>
      <c r="U91" s="4">
        <f>IF($K91="","",(T91-W91)/J91*100)</f>
      </c>
      <c r="V91" s="4">
        <f>IF($K91="","",M91-S91)</f>
      </c>
      <c r="X91" s="4">
        <f>IF($K91="","",T91-W91)</f>
      </c>
    </row>
    <row r="92" spans="1:29" x14ac:dyDescent="0.25">
      <c r="A92" s="8"/>
      <c r="D92" s="9"/>
      <c r="J92" s="4"/>
      <c r="K92" s="4"/>
      <c r="L92" s="4">
        <f>IF($K92="","",K92-J92)</f>
      </c>
      <c r="M92" s="4">
        <f>IF($K92="","",L92*16.67%)</f>
      </c>
      <c r="N92" s="4"/>
      <c r="O92" s="4">
        <f>IF($K92="","",N92*20%)</f>
      </c>
      <c r="P92" s="4"/>
      <c r="Q92" s="4">
        <f>IF($K92="","",P92*20%)</f>
      </c>
      <c r="R92" s="4">
        <v>1</v>
      </c>
      <c r="S92" s="4">
        <f>IF($K92="","",Q92)</f>
      </c>
      <c r="T92" s="4">
        <f>IF($K92="","",L92-M92-N92-P92-Q92-R92)</f>
      </c>
      <c r="U92" s="4">
        <f>IF($K92="","",(T92-W92)/J92*100)</f>
      </c>
      <c r="V92" s="4">
        <f>IF($K92="","",M92-S92)</f>
      </c>
      <c r="X92" s="4">
        <f>IF($K92="","",T92-W92)</f>
      </c>
    </row>
    <row r="93" spans="1:29" x14ac:dyDescent="0.25">
      <c r="A93" s="8"/>
      <c r="D93" s="9"/>
      <c r="J93" s="4"/>
      <c r="K93" s="4"/>
      <c r="L93" s="4">
        <f>IF($K93="","",K93-J93)</f>
      </c>
      <c r="M93" s="4">
        <f>IF($K93="","",L93*16.67%)</f>
      </c>
      <c r="N93" s="4"/>
      <c r="O93" s="4">
        <f>IF($K93="","",N93*20%)</f>
      </c>
      <c r="P93" s="4"/>
      <c r="Q93" s="4">
        <f>IF($K93="","",P93*20%)</f>
      </c>
      <c r="R93" s="4">
        <v>1</v>
      </c>
      <c r="S93" s="4">
        <f>IF($K93="","",Q93)</f>
      </c>
      <c r="T93" s="4">
        <f>IF($K93="","",L93-M93-N93-P93-Q93-R93)</f>
      </c>
      <c r="U93" s="4">
        <f>IF($K93="","",(T93-W93)/J93*100)</f>
      </c>
      <c r="V93" s="4">
        <f>IF($K93="","",M93-S93)</f>
      </c>
      <c r="X93" s="4">
        <f>IF($K93="","",T93-W93)</f>
      </c>
    </row>
    <row r="94" spans="1:29" x14ac:dyDescent="0.25">
      <c r="A94" s="8"/>
      <c r="D94" s="9"/>
      <c r="J94" s="4"/>
      <c r="K94" s="4"/>
      <c r="L94" s="4">
        <f>IF($K94="","",K94-J94)</f>
      </c>
      <c r="M94" s="4">
        <f>IF($K94="","",L94*16.67%)</f>
      </c>
      <c r="N94" s="4"/>
      <c r="O94" s="4">
        <f>IF($K94="","",N94*20%)</f>
      </c>
      <c r="P94" s="4"/>
      <c r="Q94" s="4">
        <f>IF($K94="","",P94*20%)</f>
      </c>
      <c r="R94" s="4">
        <v>1</v>
      </c>
      <c r="S94" s="4">
        <f>IF($K94="","",Q94)</f>
      </c>
      <c r="T94" s="4">
        <f>IF($K94="","",L94-M94-N94-P94-Q94-R94)</f>
      </c>
      <c r="U94" s="4">
        <f>IF($K94="","",(T94-W94)/J94*100)</f>
      </c>
      <c r="V94" s="4">
        <f>IF($K94="","",M94-S94)</f>
      </c>
      <c r="X94" s="4">
        <f>IF($K94="","",T94-W94)</f>
      </c>
    </row>
    <row r="95" spans="1:29" x14ac:dyDescent="0.25">
      <c r="A95" s="8"/>
      <c r="D95" s="9"/>
      <c r="J95" s="4"/>
      <c r="K95" s="4"/>
      <c r="L95" s="4">
        <f>IF($K95="","",K95-J95)</f>
      </c>
      <c r="M95" s="4">
        <f>IF($K95="","",L95*16.67%)</f>
      </c>
      <c r="N95" s="4"/>
      <c r="O95" s="4">
        <f>IF($K95="","",N95*20%)</f>
      </c>
      <c r="P95" s="4"/>
      <c r="Q95" s="4">
        <f>IF($K95="","",P95*20%)</f>
      </c>
      <c r="R95" s="4">
        <v>1</v>
      </c>
      <c r="S95" s="4">
        <f>IF($K95="","",Q95)</f>
      </c>
      <c r="T95" s="4">
        <f>IF($K95="","",L95-M95-N95-P95-Q95-R95)</f>
      </c>
      <c r="U95" s="4">
        <f>IF($K95="","",(T95-W95)/J95*100)</f>
      </c>
      <c r="V95" s="4">
        <f>IF($K95="","",M95-S95)</f>
      </c>
      <c r="X95" s="4">
        <f>IF($K95="","",T95-W95)</f>
      </c>
    </row>
    <row r="96" spans="1:29" x14ac:dyDescent="0.25">
      <c r="A96" s="8"/>
      <c r="D96" s="9"/>
      <c r="J96" s="4"/>
      <c r="K96" s="4"/>
      <c r="L96" s="4">
        <f>IF($K96="","",K96-J96)</f>
      </c>
      <c r="M96" s="4">
        <f>IF($K96="","",L96*16.67%)</f>
      </c>
      <c r="N96" s="4"/>
      <c r="O96" s="4">
        <f>IF($K96="","",N96*20%)</f>
      </c>
      <c r="P96" s="4"/>
      <c r="Q96" s="4">
        <f>IF($K96="","",P96*20%)</f>
      </c>
      <c r="R96" s="4">
        <v>1</v>
      </c>
      <c r="S96" s="4">
        <f>IF($K96="","",Q96)</f>
      </c>
      <c r="T96" s="4">
        <f>IF($K96="","",L96-M96-N96-P96-Q96-R96)</f>
      </c>
      <c r="U96" s="4">
        <f>IF($K96="","",(T96-W96)/J96*100)</f>
      </c>
      <c r="V96" s="4">
        <f>IF($K96="","",M96-S96)</f>
      </c>
      <c r="X96" s="4">
        <f>IF($K96="","",T96-W96)</f>
      </c>
    </row>
    <row r="97" spans="1:29" x14ac:dyDescent="0.25">
      <c r="A97" s="8"/>
      <c r="D97" s="9"/>
      <c r="J97" s="4"/>
      <c r="K97" s="4"/>
      <c r="L97" s="4">
        <f>IF($K97="","",K97-J97)</f>
      </c>
      <c r="M97" s="4">
        <f>IF($K97="","",L97*16.67%)</f>
      </c>
      <c r="N97" s="4"/>
      <c r="O97" s="4">
        <f>IF($K97="","",N97*20%)</f>
      </c>
      <c r="P97" s="4"/>
      <c r="Q97" s="4">
        <f>IF($K97="","",P97*20%)</f>
      </c>
      <c r="R97" s="4">
        <v>1</v>
      </c>
      <c r="S97" s="4">
        <f>IF($K97="","",Q97)</f>
      </c>
      <c r="T97" s="4">
        <f>IF($K97="","",L97-M97-N97-P97-Q97-R97)</f>
      </c>
      <c r="U97" s="4">
        <f>IF($K97="","",(T97-W97)/J97*100)</f>
      </c>
      <c r="V97" s="4">
        <f>IF($K97="","",M97-S97)</f>
      </c>
      <c r="X97" s="4">
        <f>IF($K97="","",T97-W97)</f>
      </c>
    </row>
    <row r="98" spans="1:29" x14ac:dyDescent="0.25">
      <c r="A98" s="8"/>
      <c r="D98" s="9"/>
      <c r="J98" s="4"/>
      <c r="K98" s="4"/>
      <c r="L98" s="4">
        <f>IF($K98="","",K98-J98)</f>
      </c>
      <c r="M98" s="4">
        <f>IF($K98="","",L98*16.67%)</f>
      </c>
      <c r="N98" s="4"/>
      <c r="O98" s="4">
        <f>IF($K98="","",N98*20%)</f>
      </c>
      <c r="P98" s="4"/>
      <c r="Q98" s="4">
        <f>IF($K98="","",P98*20%)</f>
      </c>
      <c r="R98" s="4">
        <v>1</v>
      </c>
      <c r="S98" s="4">
        <f>IF($K98="","",Q98)</f>
      </c>
      <c r="T98" s="4">
        <f>IF($K98="","",L98-M98-N98-P98-Q98-R98)</f>
      </c>
      <c r="U98" s="4">
        <f>IF($K98="","",(T98-W98)/J98*100)</f>
      </c>
      <c r="V98" s="4">
        <f>IF($K98="","",M98-S98)</f>
      </c>
      <c r="X98" s="4">
        <f>IF($K98="","",T98-W98)</f>
      </c>
    </row>
    <row r="99" spans="1:29" x14ac:dyDescent="0.25">
      <c r="A99" s="8"/>
      <c r="D99" s="9"/>
      <c r="J99" s="4"/>
      <c r="K99" s="4"/>
      <c r="L99" s="4">
        <f>IF($K99="","",K99-J99)</f>
      </c>
      <c r="M99" s="4">
        <f>IF($K99="","",L99*16.67%)</f>
      </c>
      <c r="N99" s="4"/>
      <c r="O99" s="4">
        <f>IF($K99="","",N99*20%)</f>
      </c>
      <c r="P99" s="4"/>
      <c r="Q99" s="4">
        <f>IF($K99="","",P99*20%)</f>
      </c>
      <c r="R99" s="4">
        <v>1</v>
      </c>
      <c r="S99" s="4">
        <f>IF($K99="","",Q99)</f>
      </c>
      <c r="T99" s="4">
        <f>IF($K99="","",L99-M99-N99-P99-Q99-R99)</f>
      </c>
      <c r="U99" s="4">
        <f>IF($K99="","",(T99-W99)/J99*100)</f>
      </c>
      <c r="V99" s="4">
        <f>IF($K99="","",M99-S99)</f>
      </c>
      <c r="X99" s="4">
        <f>IF($K99="","",T99-W99)</f>
      </c>
    </row>
    <row r="100" spans="1:29" x14ac:dyDescent="0.25">
      <c r="A100" s="8"/>
      <c r="D100" s="9"/>
      <c r="J100" s="4"/>
      <c r="K100" s="4"/>
      <c r="L100" s="4">
        <f>IF($K100="","",K100-J100)</f>
      </c>
      <c r="M100" s="4">
        <f>IF($K100="","",L100*16.67%)</f>
      </c>
      <c r="N100" s="4"/>
      <c r="O100" s="4">
        <f>IF($K100="","",N100*20%)</f>
      </c>
      <c r="P100" s="4"/>
      <c r="Q100" s="4">
        <f>IF($K100="","",P100*20%)</f>
      </c>
      <c r="R100" s="4">
        <v>1</v>
      </c>
      <c r="S100" s="4">
        <f>IF($K100="","",Q100)</f>
      </c>
      <c r="T100" s="4">
        <f>IF($K100="","",L100-M100-N100-P100-Q100-R100)</f>
      </c>
      <c r="U100" s="4">
        <f>IF($K100="","",(T100-W100)/J100*100)</f>
      </c>
      <c r="V100" s="4">
        <f>IF($K100="","",M100-S100)</f>
      </c>
      <c r="X100" s="4">
        <f>IF($K100="","",T100-W100)</f>
      </c>
    </row>
    <row r="101" spans="1:29" x14ac:dyDescent="0.25">
      <c r="A101" s="8"/>
      <c r="D101" s="9"/>
      <c r="J101" s="4"/>
      <c r="K101" s="4"/>
      <c r="L101" s="4">
        <f>IF($K101="","",K101-J101)</f>
      </c>
      <c r="M101" s="4">
        <f>IF($K101="","",L101*16.67%)</f>
      </c>
      <c r="N101" s="4"/>
      <c r="O101" s="4">
        <f>IF($K101="","",N101*20%)</f>
      </c>
      <c r="P101" s="4"/>
      <c r="Q101" s="4">
        <f>IF($K101="","",P101*20%)</f>
      </c>
      <c r="R101" s="4">
        <v>1</v>
      </c>
      <c r="S101" s="4">
        <f>IF($K101="","",Q101)</f>
      </c>
      <c r="T101" s="4">
        <f>IF($K101="","",L101-M101-N101-P101-Q101-R101)</f>
      </c>
      <c r="U101" s="4">
        <f>IF($K101="","",(T101-W101)/J101*100)</f>
      </c>
      <c r="V101" s="4">
        <f>IF($K101="","",M101-S101)</f>
      </c>
      <c r="X101" s="4">
        <f>IF($K101="","",T101-W101)</f>
      </c>
    </row>
    <row r="102" spans="1:29" x14ac:dyDescent="0.25">
      <c r="A102" s="8"/>
      <c r="D102" s="9"/>
      <c r="J102" s="4"/>
      <c r="K102" s="4"/>
      <c r="L102" s="4">
        <f>IF($K102="","",K102-J102)</f>
      </c>
      <c r="M102" s="4">
        <f>IF($K102="","",L102*16.67%)</f>
      </c>
      <c r="N102" s="4"/>
      <c r="O102" s="4">
        <f>IF($K102="","",N102*20%)</f>
      </c>
      <c r="P102" s="4"/>
      <c r="Q102" s="4">
        <f>IF($K102="","",P102*20%)</f>
      </c>
      <c r="R102" s="4">
        <v>1</v>
      </c>
      <c r="S102" s="4">
        <f>IF($K102="","",Q102)</f>
      </c>
      <c r="T102" s="4">
        <f>IF($K102="","",L102-M102-N102-P102-Q102-R102)</f>
      </c>
      <c r="U102" s="4">
        <f>IF($K102="","",(T102-W102)/J102*100)</f>
      </c>
      <c r="V102" s="4">
        <f>IF($K102="","",M102-S102)</f>
      </c>
      <c r="X102" s="4">
        <f>IF($K102="","",T102-W102)</f>
      </c>
    </row>
    <row r="103" spans="1:29" x14ac:dyDescent="0.25">
      <c r="A103" s="8"/>
      <c r="D103" s="9"/>
      <c r="J103" s="4"/>
      <c r="K103" s="4"/>
      <c r="L103" s="4">
        <f>IF($K103="","",K103-J103)</f>
      </c>
      <c r="M103" s="4">
        <f>IF($K103="","",L103*16.67%)</f>
      </c>
      <c r="N103" s="4"/>
      <c r="O103" s="4">
        <f>IF($K103="","",N103*20%)</f>
      </c>
      <c r="P103" s="4"/>
      <c r="Q103" s="4">
        <f>IF($K103="","",P103*20%)</f>
      </c>
      <c r="R103" s="4">
        <v>1</v>
      </c>
      <c r="S103" s="4">
        <f>IF($K103="","",Q103)</f>
      </c>
      <c r="T103" s="4">
        <f>IF($K103="","",L103-M103-N103-P103-Q103-R103)</f>
      </c>
      <c r="U103" s="4">
        <f>IF($K103="","",(T103-W103)/J103*100)</f>
      </c>
      <c r="V103" s="4">
        <f>IF($K103="","",M103-S103)</f>
      </c>
      <c r="X103" s="4">
        <f>IF($K103="","",T103-W103)</f>
      </c>
    </row>
    <row r="104" spans="1:29" x14ac:dyDescent="0.25">
      <c r="A104" s="8"/>
      <c r="D104" s="9"/>
      <c r="J104" s="4"/>
      <c r="K104" s="4"/>
      <c r="L104" s="4">
        <f>IF($K104="","",K104-J104)</f>
      </c>
      <c r="M104" s="4">
        <f>IF($K104="","",L104*16.67%)</f>
      </c>
      <c r="N104" s="4"/>
      <c r="O104" s="4">
        <f>IF($K104="","",N104*20%)</f>
      </c>
      <c r="P104" s="4"/>
      <c r="Q104" s="4">
        <f>IF($K104="","",P104*20%)</f>
      </c>
      <c r="R104" s="4">
        <v>1</v>
      </c>
      <c r="S104" s="4">
        <f>IF($K104="","",Q104)</f>
      </c>
      <c r="T104" s="4">
        <f>IF($K104="","",L104-M104-N104-P104-Q104-R104)</f>
      </c>
      <c r="U104" s="4">
        <f>IF($K104="","",(T104-W104)/J104*100)</f>
      </c>
      <c r="V104" s="4">
        <f>IF($K104="","",M104-S104)</f>
      </c>
      <c r="X104" s="4">
        <f>IF($K104="","",T104-W104)</f>
      </c>
    </row>
    <row r="105" spans="1:29" x14ac:dyDescent="0.25">
      <c r="A105" s="8"/>
      <c r="D105" s="9"/>
      <c r="J105" s="4"/>
      <c r="K105" s="4"/>
      <c r="L105" s="4">
        <f>IF($K105="","",K105-J105)</f>
      </c>
      <c r="M105" s="4">
        <f>IF($K105="","",L105*16.67%)</f>
      </c>
      <c r="N105" s="4"/>
      <c r="O105" s="4">
        <f>IF($K105="","",N105*20%)</f>
      </c>
      <c r="P105" s="4"/>
      <c r="Q105" s="4">
        <f>IF($K105="","",P105*20%)</f>
      </c>
      <c r="R105" s="4">
        <v>1</v>
      </c>
      <c r="S105" s="4">
        <f>IF($K105="","",Q105)</f>
      </c>
      <c r="T105" s="4">
        <f>IF($K105="","",L105-M105-N105-P105-Q105-R105)</f>
      </c>
      <c r="U105" s="4">
        <f>IF($K105="","",(T105-W105)/J105*100)</f>
      </c>
      <c r="V105" s="4">
        <f>IF($K105="","",M105-S105)</f>
      </c>
      <c r="X105" s="4">
        <f>IF($K105="","",T105-W105)</f>
      </c>
    </row>
    <row r="106" spans="1:29" x14ac:dyDescent="0.25">
      <c r="A106" s="8"/>
      <c r="D106" s="9"/>
      <c r="J106" s="4"/>
      <c r="K106" s="4"/>
      <c r="L106" s="4">
        <f>IF($K106="","",K106-J106)</f>
      </c>
      <c r="M106" s="4">
        <f>IF($K106="","",L106*16.67%)</f>
      </c>
      <c r="N106" s="4"/>
      <c r="O106" s="4">
        <f>IF($K106="","",N106*20%)</f>
      </c>
      <c r="P106" s="4"/>
      <c r="Q106" s="4">
        <f>IF($K106="","",P106*20%)</f>
      </c>
      <c r="R106" s="4">
        <v>1</v>
      </c>
      <c r="S106" s="4">
        <f>IF($K106="","",Q106)</f>
      </c>
      <c r="T106" s="4">
        <f>IF($K106="","",L106-M106-N106-P106-Q106-R106)</f>
      </c>
      <c r="U106" s="4">
        <f>IF($K106="","",(T106-W106)/J106*100)</f>
      </c>
      <c r="V106" s="4">
        <f>IF($K106="","",M106-S106)</f>
      </c>
      <c r="X106" s="4">
        <f>IF($K106="","",T106-W106)</f>
      </c>
    </row>
    <row r="107" spans="1:29" x14ac:dyDescent="0.25">
      <c r="A107" s="8"/>
      <c r="D107" s="9"/>
      <c r="J107" s="4"/>
      <c r="K107" s="4"/>
      <c r="L107" s="4">
        <f>IF($K107="","",K107-J107)</f>
      </c>
      <c r="M107" s="4">
        <f>IF($K107="","",L107*16.67%)</f>
      </c>
      <c r="N107" s="4"/>
      <c r="O107" s="4">
        <f>IF($K107="","",N107*20%)</f>
      </c>
      <c r="P107" s="4"/>
      <c r="Q107" s="4">
        <f>IF($K107="","",P107*20%)</f>
      </c>
      <c r="R107" s="4">
        <v>1</v>
      </c>
      <c r="S107" s="4">
        <f>IF($K107="","",Q107)</f>
      </c>
      <c r="T107" s="4">
        <f>IF($K107="","",L107-M107-N107-P107-Q107-R107)</f>
      </c>
      <c r="U107" s="4">
        <f>IF($K107="","",(T107-W107)/J107*100)</f>
      </c>
      <c r="V107" s="4">
        <f>IF($K107="","",M107-S107)</f>
      </c>
      <c r="X107" s="4">
        <f>IF($K107="","",T107-W107)</f>
      </c>
    </row>
    <row r="108" spans="1:29" x14ac:dyDescent="0.25">
      <c r="A108" s="8"/>
      <c r="D108" s="9"/>
      <c r="J108" s="4"/>
      <c r="K108" s="4"/>
      <c r="L108" s="4">
        <f>IF($K108="","",K108-J108)</f>
      </c>
      <c r="M108" s="4">
        <f>IF($K108="","",L108*16.67%)</f>
      </c>
      <c r="N108" s="4"/>
      <c r="O108" s="4">
        <f>IF($K108="","",N108*20%)</f>
      </c>
      <c r="P108" s="4"/>
      <c r="Q108" s="4">
        <f>IF($K108="","",P108*20%)</f>
      </c>
      <c r="R108" s="4">
        <v>1</v>
      </c>
      <c r="S108" s="4">
        <f>IF($K108="","",Q108)</f>
      </c>
      <c r="T108" s="4">
        <f>IF($K108="","",L108-M108-N108-P108-Q108-R108)</f>
      </c>
      <c r="U108" s="4">
        <f>IF($K108="","",(T108-W108)/J108*100)</f>
      </c>
      <c r="V108" s="4">
        <f>IF($K108="","",M108-S108)</f>
      </c>
      <c r="X108" s="4">
        <f>IF($K108="","",T108-W108)</f>
      </c>
    </row>
    <row r="109" spans="1:29" x14ac:dyDescent="0.25">
      <c r="A109" s="8"/>
      <c r="D109" s="9"/>
      <c r="J109" s="4"/>
      <c r="K109" s="4"/>
      <c r="L109" s="4">
        <f>IF($K109="","",K109-J109)</f>
      </c>
      <c r="M109" s="4">
        <f>IF($K109="","",L109*16.67%)</f>
      </c>
      <c r="N109" s="4"/>
      <c r="O109" s="4">
        <f>IF($K109="","",N109*20%)</f>
      </c>
      <c r="P109" s="4"/>
      <c r="Q109" s="4">
        <f>IF($K109="","",P109*20%)</f>
      </c>
      <c r="R109" s="4">
        <v>1</v>
      </c>
      <c r="S109" s="4">
        <f>IF($K109="","",Q109)</f>
      </c>
      <c r="T109" s="4">
        <f>IF($K109="","",L109-M109-N109-P109-Q109-R109)</f>
      </c>
      <c r="U109" s="4">
        <f>IF($K109="","",(T109-W109)/J109*100)</f>
      </c>
      <c r="V109" s="4">
        <f>IF($K109="","",M109-S109)</f>
      </c>
      <c r="X109" s="4">
        <f>IF($K109="","",T109-W109)</f>
      </c>
    </row>
    <row r="110" spans="1:29" x14ac:dyDescent="0.25">
      <c r="A110" s="8"/>
      <c r="D110" s="9"/>
      <c r="J110" s="4"/>
      <c r="K110" s="4"/>
      <c r="L110" s="4">
        <f>IF($K110="","",K110-J110)</f>
      </c>
      <c r="M110" s="4">
        <f>IF($K110="","",L110*16.67%)</f>
      </c>
      <c r="N110" s="4"/>
      <c r="O110" s="4">
        <f>IF($K110="","",N110*20%)</f>
      </c>
      <c r="P110" s="4"/>
      <c r="Q110" s="4">
        <f>IF($K110="","",P110*20%)</f>
      </c>
      <c r="R110" s="4">
        <v>1</v>
      </c>
      <c r="S110" s="4">
        <f>IF($K110="","",Q110)</f>
      </c>
      <c r="T110" s="4">
        <f>IF($K110="","",L110-M110-N110-P110-Q110-R110)</f>
      </c>
      <c r="U110" s="4">
        <f>IF($K110="","",(T110-W110)/J110*100)</f>
      </c>
      <c r="V110" s="4">
        <f>IF($K110="","",M110-S110)</f>
      </c>
      <c r="X110" s="4">
        <f>IF($K110="","",T110-W110)</f>
      </c>
    </row>
    <row r="111" spans="1:29" x14ac:dyDescent="0.25">
      <c r="A111" s="8"/>
      <c r="D111" s="9"/>
      <c r="J111" s="4"/>
      <c r="K111" s="4"/>
      <c r="L111" s="4">
        <f>IF($K111="","",K111-J111)</f>
      </c>
      <c r="M111" s="4">
        <f>IF($K111="","",L111*16.67%)</f>
      </c>
      <c r="N111" s="4"/>
      <c r="O111" s="4">
        <f>IF($K111="","",N111*20%)</f>
      </c>
      <c r="P111" s="4"/>
      <c r="Q111" s="4">
        <f>IF($K111="","",P111*20%)</f>
      </c>
      <c r="R111" s="4">
        <v>1</v>
      </c>
      <c r="S111" s="4">
        <f>IF($K111="","",Q111)</f>
      </c>
      <c r="T111" s="4">
        <f>IF($K111="","",L111-M111-N111-P111-Q111-R111)</f>
      </c>
      <c r="U111" s="4">
        <f>IF($K111="","",(T111-W111)/J111*100)</f>
      </c>
      <c r="V111" s="4">
        <f>IF($K111="","",M111-S111)</f>
      </c>
      <c r="X111" s="4">
        <f>IF($K111="","",T111-W111)</f>
      </c>
    </row>
    <row r="112" spans="1:29" x14ac:dyDescent="0.25">
      <c r="A112" s="8"/>
      <c r="D112" s="9"/>
      <c r="J112" s="4"/>
      <c r="K112" s="4"/>
      <c r="L112" s="4">
        <f>IF($K112="","",K112-J112)</f>
      </c>
      <c r="M112" s="4">
        <f>IF($K112="","",L112*16.67%)</f>
      </c>
      <c r="N112" s="4"/>
      <c r="O112" s="4">
        <f>IF($K112="","",N112*20%)</f>
      </c>
      <c r="P112" s="4"/>
      <c r="Q112" s="4">
        <f>IF($K112="","",P112*20%)</f>
      </c>
      <c r="R112" s="4">
        <v>1</v>
      </c>
      <c r="S112" s="4">
        <f>IF($K112="","",Q112)</f>
      </c>
      <c r="T112" s="4">
        <f>IF($K112="","",L112-M112-N112-P112-Q112-R112)</f>
      </c>
      <c r="U112" s="4">
        <f>IF($K112="","",(T112-W112)/J112*100)</f>
      </c>
      <c r="V112" s="4">
        <f>IF($K112="","",M112-S112)</f>
      </c>
      <c r="X112" s="4">
        <f>IF($K112="","",T112-W112)</f>
      </c>
    </row>
    <row r="113" spans="1:29" x14ac:dyDescent="0.25">
      <c r="A113" s="8"/>
      <c r="D113" s="9"/>
      <c r="J113" s="4"/>
      <c r="K113" s="4"/>
      <c r="L113" s="4">
        <f>IF($K113="","",K113-J113)</f>
      </c>
      <c r="M113" s="4">
        <f>IF($K113="","",L113*16.67%)</f>
      </c>
      <c r="N113" s="4"/>
      <c r="O113" s="4">
        <f>IF($K113="","",N113*20%)</f>
      </c>
      <c r="P113" s="4"/>
      <c r="Q113" s="4">
        <f>IF($K113="","",P113*20%)</f>
      </c>
      <c r="R113" s="4">
        <v>1</v>
      </c>
      <c r="S113" s="4">
        <f>IF($K113="","",Q113)</f>
      </c>
      <c r="T113" s="4">
        <f>IF($K113="","",L113-M113-N113-P113-Q113-R113)</f>
      </c>
      <c r="U113" s="4">
        <f>IF($K113="","",(T113-W113)/J113*100)</f>
      </c>
      <c r="V113" s="4">
        <f>IF($K113="","",M113-S113)</f>
      </c>
      <c r="X113" s="4">
        <f>IF($K113="","",T113-W113)</f>
      </c>
    </row>
    <row r="114" spans="1:29" x14ac:dyDescent="0.25">
      <c r="A114" s="8"/>
      <c r="D114" s="9"/>
      <c r="J114" s="4"/>
      <c r="K114" s="4"/>
      <c r="L114" s="4">
        <f>IF($K114="","",K114-J114)</f>
      </c>
      <c r="M114" s="4">
        <f>IF($K114="","",L114*16.67%)</f>
      </c>
      <c r="N114" s="4"/>
      <c r="O114" s="4">
        <f>IF($K114="","",N114*20%)</f>
      </c>
      <c r="P114" s="4"/>
      <c r="Q114" s="4">
        <f>IF($K114="","",P114*20%)</f>
      </c>
      <c r="R114" s="4">
        <v>1</v>
      </c>
      <c r="S114" s="4">
        <f>IF($K114="","",Q114)</f>
      </c>
      <c r="T114" s="4">
        <f>IF($K114="","",L114-M114-N114-P114-Q114-R114)</f>
      </c>
      <c r="U114" s="4">
        <f>IF($K114="","",(T114-W114)/J114*100)</f>
      </c>
      <c r="V114" s="4">
        <f>IF($K114="","",M114-S114)</f>
      </c>
      <c r="X114" s="4">
        <f>IF($K114="","",T114-W114)</f>
      </c>
    </row>
    <row r="115" spans="1:29" x14ac:dyDescent="0.25">
      <c r="A115" s="8"/>
      <c r="D115" s="9"/>
      <c r="J115" s="4"/>
      <c r="K115" s="4"/>
      <c r="L115" s="4">
        <f>IF($K115="","",K115-J115)</f>
      </c>
      <c r="M115" s="4">
        <f>IF($K115="","",L115*16.67%)</f>
      </c>
      <c r="N115" s="4"/>
      <c r="O115" s="4">
        <f>IF($K115="","",N115*20%)</f>
      </c>
      <c r="P115" s="4"/>
      <c r="Q115" s="4">
        <f>IF($K115="","",P115*20%)</f>
      </c>
      <c r="R115" s="4">
        <v>1</v>
      </c>
      <c r="S115" s="4">
        <f>IF($K115="","",Q115)</f>
      </c>
      <c r="T115" s="4">
        <f>IF($K115="","",L115-M115-N115-P115-Q115-R115)</f>
      </c>
      <c r="U115" s="4">
        <f>IF($K115="","",(T115-W115)/J115*100)</f>
      </c>
      <c r="V115" s="4">
        <f>IF($K115="","",M115-S115)</f>
      </c>
      <c r="X115" s="4">
        <f>IF($K115="","",T115-W115)</f>
      </c>
    </row>
    <row r="116" spans="1:29" x14ac:dyDescent="0.25">
      <c r="A116" s="8"/>
      <c r="D116" s="9"/>
      <c r="J116" s="4"/>
      <c r="K116" s="4"/>
      <c r="L116" s="4">
        <f>IF($K116="","",K116-J116)</f>
      </c>
      <c r="M116" s="4">
        <f>IF($K116="","",L116*16.67%)</f>
      </c>
      <c r="N116" s="4"/>
      <c r="O116" s="4">
        <f>IF($K116="","",N116*20%)</f>
      </c>
      <c r="P116" s="4"/>
      <c r="Q116" s="4">
        <f>IF($K116="","",P116*20%)</f>
      </c>
      <c r="R116" s="4">
        <v>1</v>
      </c>
      <c r="S116" s="4">
        <f>IF($K116="","",Q116)</f>
      </c>
      <c r="T116" s="4">
        <f>IF($K116="","",L116-M116-N116-P116-Q116-R116)</f>
      </c>
      <c r="U116" s="4">
        <f>IF($K116="","",(T116-W116)/J116*100)</f>
      </c>
      <c r="V116" s="4">
        <f>IF($K116="","",M116-S116)</f>
      </c>
      <c r="X116" s="4">
        <f>IF($K116="","",T116-W116)</f>
      </c>
    </row>
    <row r="117" spans="1:29" x14ac:dyDescent="0.25">
      <c r="A117" s="8"/>
      <c r="D117" s="9"/>
      <c r="J117" s="4"/>
      <c r="K117" s="4"/>
      <c r="L117" s="4">
        <f>IF($K117="","",K117-J117)</f>
      </c>
      <c r="M117" s="4">
        <f>IF($K117="","",L117*16.67%)</f>
      </c>
      <c r="N117" s="4"/>
      <c r="O117" s="4">
        <f>IF($K117="","",N117*20%)</f>
      </c>
      <c r="P117" s="4"/>
      <c r="Q117" s="4">
        <f>IF($K117="","",P117*20%)</f>
      </c>
      <c r="R117" s="4">
        <v>1</v>
      </c>
      <c r="S117" s="4">
        <f>IF($K117="","",Q117)</f>
      </c>
      <c r="T117" s="4">
        <f>IF($K117="","",L117-M117-N117-P117-Q117-R117)</f>
      </c>
      <c r="U117" s="4">
        <f>IF($K117="","",(T117-W117)/J117*100)</f>
      </c>
      <c r="V117" s="4">
        <f>IF($K117="","",M117-S117)</f>
      </c>
      <c r="X117" s="4">
        <f>IF($K117="","",T117-W117)</f>
      </c>
    </row>
    <row r="118" spans="1:29" x14ac:dyDescent="0.25">
      <c r="A118" s="8"/>
      <c r="D118" s="9"/>
      <c r="J118" s="4"/>
      <c r="K118" s="4"/>
      <c r="L118" s="4">
        <f>IF($K118="","",K118-J118)</f>
      </c>
      <c r="M118" s="4">
        <f>IF($K118="","",L118*16.67%)</f>
      </c>
      <c r="N118" s="4"/>
      <c r="O118" s="4">
        <f>IF($K118="","",N118*20%)</f>
      </c>
      <c r="P118" s="4"/>
      <c r="Q118" s="4">
        <f>IF($K118="","",P118*20%)</f>
      </c>
      <c r="R118" s="4">
        <v>1</v>
      </c>
      <c r="S118" s="4">
        <f>IF($K118="","",Q118)</f>
      </c>
      <c r="T118" s="4">
        <f>IF($K118="","",L118-M118-N118-P118-Q118-R118)</f>
      </c>
      <c r="U118" s="4">
        <f>IF($K118="","",(T118-W118)/J118*100)</f>
      </c>
      <c r="V118" s="4">
        <f>IF($K118="","",M118-S118)</f>
      </c>
      <c r="X118" s="4">
        <f>IF($K118="","",T118-W118)</f>
      </c>
    </row>
    <row r="119" spans="1:29" x14ac:dyDescent="0.25">
      <c r="A119" s="8"/>
      <c r="D119" s="9"/>
      <c r="J119" s="4"/>
      <c r="K119" s="4"/>
      <c r="L119" s="4">
        <f>IF($K119="","",K119-J119)</f>
      </c>
      <c r="M119" s="4">
        <f>IF($K119="","",L119*16.67%)</f>
      </c>
      <c r="N119" s="4"/>
      <c r="O119" s="4">
        <f>IF($K119="","",N119*20%)</f>
      </c>
      <c r="P119" s="4"/>
      <c r="Q119" s="4">
        <f>IF($K119="","",P119*20%)</f>
      </c>
      <c r="R119" s="4">
        <v>1</v>
      </c>
      <c r="S119" s="4">
        <f>IF($K119="","",Q119)</f>
      </c>
      <c r="T119" s="4">
        <f>IF($K119="","",L119-M119-N119-P119-Q119-R119)</f>
      </c>
      <c r="U119" s="4">
        <f>IF($K119="","",(T119-W119)/J119*100)</f>
      </c>
      <c r="V119" s="4">
        <f>IF($K119="","",M119-S119)</f>
      </c>
      <c r="X119" s="4">
        <f>IF($K119="","",T119-W119)</f>
      </c>
    </row>
    <row r="120" spans="1:29" x14ac:dyDescent="0.25">
      <c r="A120" s="8"/>
      <c r="D120" s="9"/>
      <c r="J120" s="4"/>
      <c r="K120" s="4"/>
      <c r="L120" s="4">
        <f>IF($K120="","",K120-J120)</f>
      </c>
      <c r="M120" s="4">
        <f>IF($K120="","",L120*16.67%)</f>
      </c>
      <c r="N120" s="4"/>
      <c r="O120" s="4">
        <f>IF($K120="","",N120*20%)</f>
      </c>
      <c r="P120" s="4"/>
      <c r="Q120" s="4">
        <f>IF($K120="","",P120*20%)</f>
      </c>
      <c r="R120" s="4">
        <v>1</v>
      </c>
      <c r="S120" s="4">
        <f>IF($K120="","",Q120)</f>
      </c>
      <c r="T120" s="4">
        <f>IF($K120="","",L120-M120-N120-P120-Q120-R120)</f>
      </c>
      <c r="U120" s="4">
        <f>IF($K120="","",(T120-W120)/J120*100)</f>
      </c>
      <c r="V120" s="4">
        <f>IF($K120="","",M120-S120)</f>
      </c>
      <c r="X120" s="4">
        <f>IF($K120="","",T120-W120)</f>
      </c>
    </row>
    <row r="121" spans="1:29" x14ac:dyDescent="0.25">
      <c r="A121" s="8"/>
      <c r="D121" s="9"/>
      <c r="J121" s="4"/>
      <c r="K121" s="4"/>
      <c r="L121" s="4">
        <f>IF($K121="","",K121-J121)</f>
      </c>
      <c r="M121" s="4">
        <f>IF($K121="","",L121*16.67%)</f>
      </c>
      <c r="N121" s="4"/>
      <c r="O121" s="4">
        <f>IF($K121="","",N121*20%)</f>
      </c>
      <c r="P121" s="4"/>
      <c r="Q121" s="4">
        <f>IF($K121="","",P121*20%)</f>
      </c>
      <c r="R121" s="4">
        <v>1</v>
      </c>
      <c r="S121" s="4">
        <f>IF($K121="","",Q121)</f>
      </c>
      <c r="T121" s="4">
        <f>IF($K121="","",L121-M121-N121-P121-Q121-R121)</f>
      </c>
      <c r="U121" s="4">
        <f>IF($K121="","",(T121-W121)/J121*100)</f>
      </c>
      <c r="V121" s="4">
        <f>IF($K121="","",M121-S121)</f>
      </c>
      <c r="X121" s="4">
        <f>IF($K121="","",T121-W121)</f>
      </c>
    </row>
    <row r="122" spans="1:29" x14ac:dyDescent="0.25">
      <c r="A122" s="8"/>
      <c r="D122" s="9"/>
      <c r="J122" s="4"/>
      <c r="K122" s="4"/>
      <c r="L122" s="4">
        <f>IF($K122="","",K122-J122)</f>
      </c>
      <c r="M122" s="4">
        <f>IF($K122="","",L122*16.67%)</f>
      </c>
      <c r="N122" s="4"/>
      <c r="O122" s="4">
        <f>IF($K122="","",N122*20%)</f>
      </c>
      <c r="P122" s="4"/>
      <c r="Q122" s="4">
        <f>IF($K122="","",P122*20%)</f>
      </c>
      <c r="R122" s="4">
        <v>1</v>
      </c>
      <c r="S122" s="4">
        <f>IF($K122="","",Q122)</f>
      </c>
      <c r="T122" s="4">
        <f>IF($K122="","",L122-M122-N122-P122-Q122-R122)</f>
      </c>
      <c r="U122" s="4">
        <f>IF($K122="","",(T122-W122)/J122*100)</f>
      </c>
      <c r="V122" s="4">
        <f>IF($K122="","",M122-S122)</f>
      </c>
      <c r="X122" s="4">
        <f>IF($K122="","",T122-W122)</f>
      </c>
    </row>
    <row r="123" spans="1:29" x14ac:dyDescent="0.25">
      <c r="A123" s="8"/>
      <c r="D123" s="9"/>
      <c r="J123" s="4"/>
      <c r="K123" s="4"/>
      <c r="L123" s="4">
        <f>IF($K123="","",K123-J123)</f>
      </c>
      <c r="M123" s="4">
        <f>IF($K123="","",L123*16.67%)</f>
      </c>
      <c r="N123" s="4"/>
      <c r="O123" s="4">
        <f>IF($K123="","",N123*20%)</f>
      </c>
      <c r="P123" s="4"/>
      <c r="Q123" s="4">
        <f>IF($K123="","",P123*20%)</f>
      </c>
      <c r="R123" s="4">
        <v>1</v>
      </c>
      <c r="S123" s="4">
        <f>IF($K123="","",Q123)</f>
      </c>
      <c r="T123" s="4">
        <f>IF($K123="","",L123-M123-N123-P123-Q123-R123)</f>
      </c>
      <c r="U123" s="4">
        <f>IF($K123="","",(T123-W123)/J123*100)</f>
      </c>
      <c r="V123" s="4">
        <f>IF($K123="","",M123-S123)</f>
      </c>
      <c r="X123" s="4">
        <f>IF($K123="","",T123-W123)</f>
      </c>
    </row>
    <row r="124" spans="1:29" x14ac:dyDescent="0.25">
      <c r="A124" s="8"/>
      <c r="D124" s="9"/>
      <c r="J124" s="4"/>
      <c r="K124" s="4"/>
      <c r="L124" s="4">
        <f>IF($K124="","",K124-J124)</f>
      </c>
      <c r="M124" s="4">
        <f>IF($K124="","",L124*16.67%)</f>
      </c>
      <c r="N124" s="4"/>
      <c r="O124" s="4">
        <f>IF($K124="","",N124*20%)</f>
      </c>
      <c r="P124" s="4"/>
      <c r="Q124" s="4">
        <f>IF($K124="","",P124*20%)</f>
      </c>
      <c r="R124" s="4">
        <v>1</v>
      </c>
      <c r="S124" s="4">
        <f>IF($K124="","",Q124)</f>
      </c>
      <c r="T124" s="4">
        <f>IF($K124="","",L124-M124-N124-P124-Q124-R124)</f>
      </c>
      <c r="U124" s="4">
        <f>IF($K124="","",(T124-W124)/J124*100)</f>
      </c>
      <c r="V124" s="4">
        <f>IF($K124="","",M124-S124)</f>
      </c>
      <c r="X124" s="4">
        <f>IF($K124="","",T124-W124)</f>
      </c>
    </row>
    <row r="125" spans="1:29" x14ac:dyDescent="0.25">
      <c r="A125" s="8"/>
      <c r="D125" s="9"/>
      <c r="J125" s="4"/>
      <c r="K125" s="4"/>
      <c r="L125" s="4">
        <f>IF($K125="","",K125-J125)</f>
      </c>
      <c r="M125" s="4">
        <f>IF($K125="","",L125*16.67%)</f>
      </c>
      <c r="N125" s="4"/>
      <c r="O125" s="4">
        <f>IF($K125="","",N125*20%)</f>
      </c>
      <c r="P125" s="4"/>
      <c r="Q125" s="4">
        <f>IF($K125="","",P125*20%)</f>
      </c>
      <c r="R125" s="4">
        <v>1</v>
      </c>
      <c r="S125" s="4">
        <f>IF($K125="","",Q125)</f>
      </c>
      <c r="T125" s="4">
        <f>IF($K125="","",L125-M125-N125-P125-Q125-R125)</f>
      </c>
      <c r="U125" s="4">
        <f>IF($K125="","",(T125-W125)/J125*100)</f>
      </c>
      <c r="V125" s="4">
        <f>IF($K125="","",M125-S125)</f>
      </c>
      <c r="X125" s="4">
        <f>IF($K125="","",T125-W125)</f>
      </c>
    </row>
    <row r="126" spans="1:29" x14ac:dyDescent="0.25">
      <c r="A126" s="8"/>
      <c r="D126" s="9"/>
      <c r="J126" s="4"/>
      <c r="K126" s="4"/>
      <c r="L126" s="4">
        <f>IF($K126="","",K126-J126)</f>
      </c>
      <c r="M126" s="4">
        <f>IF($K126="","",L126*16.67%)</f>
      </c>
      <c r="N126" s="4"/>
      <c r="O126" s="4">
        <f>IF($K126="","",N126*20%)</f>
      </c>
      <c r="P126" s="4"/>
      <c r="Q126" s="4">
        <f>IF($K126="","",P126*20%)</f>
      </c>
      <c r="R126" s="4">
        <v>1</v>
      </c>
      <c r="S126" s="4">
        <f>IF($K126="","",Q126)</f>
      </c>
      <c r="T126" s="4">
        <f>IF($K126="","",L126-M126-N126-P126-Q126-R126)</f>
      </c>
      <c r="U126" s="4">
        <f>IF($K126="","",(T126-W126)/J126*100)</f>
      </c>
      <c r="V126" s="4">
        <f>IF($K126="","",M126-S126)</f>
      </c>
      <c r="X126" s="4">
        <f>IF($K126="","",T126-W126)</f>
      </c>
    </row>
    <row r="127" spans="1:29" x14ac:dyDescent="0.25">
      <c r="A127" s="8"/>
      <c r="D127" s="9"/>
      <c r="J127" s="4"/>
      <c r="K127" s="4"/>
      <c r="L127" s="4">
        <f>IF($K127="","",K127-J127)</f>
      </c>
      <c r="M127" s="4">
        <f>IF($K127="","",L127*16.67%)</f>
      </c>
      <c r="N127" s="4"/>
      <c r="O127" s="4">
        <f>IF($K127="","",N127*20%)</f>
      </c>
      <c r="P127" s="4"/>
      <c r="Q127" s="4">
        <f>IF($K127="","",P127*20%)</f>
      </c>
      <c r="R127" s="4">
        <v>1</v>
      </c>
      <c r="S127" s="4">
        <f>IF($K127="","",Q127)</f>
      </c>
      <c r="T127" s="4">
        <f>IF($K127="","",L127-M127-N127-P127-Q127-R127)</f>
      </c>
      <c r="U127" s="4">
        <f>IF($K127="","",(T127-W127)/J127*100)</f>
      </c>
      <c r="V127" s="4">
        <f>IF($K127="","",M127-S127)</f>
      </c>
      <c r="X127" s="4">
        <f>IF($K127="","",T127-W127)</f>
      </c>
    </row>
    <row r="128" spans="1:29" x14ac:dyDescent="0.25">
      <c r="A128" s="8"/>
      <c r="D128" s="9"/>
      <c r="J128" s="4"/>
      <c r="K128" s="4"/>
      <c r="L128" s="4">
        <f>IF($K128="","",K128-J128)</f>
      </c>
      <c r="M128" s="4">
        <f>IF($K128="","",L128*16.67%)</f>
      </c>
      <c r="N128" s="4"/>
      <c r="O128" s="4">
        <f>IF($K128="","",N128*20%)</f>
      </c>
      <c r="P128" s="4"/>
      <c r="Q128" s="4">
        <f>IF($K128="","",P128*20%)</f>
      </c>
      <c r="R128" s="4">
        <v>1</v>
      </c>
      <c r="S128" s="4">
        <f>IF($K128="","",Q128)</f>
      </c>
      <c r="T128" s="4">
        <f>IF($K128="","",L128-M128-N128-P128-Q128-R128)</f>
      </c>
      <c r="U128" s="4">
        <f>IF($K128="","",(T128-W128)/J128*100)</f>
      </c>
      <c r="V128" s="4">
        <f>IF($K128="","",M128-S128)</f>
      </c>
      <c r="X128" s="4">
        <f>IF($K128="","",T128-W128)</f>
      </c>
    </row>
    <row r="129" spans="1:29" x14ac:dyDescent="0.25">
      <c r="A129" s="8"/>
      <c r="D129" s="9"/>
      <c r="J129" s="4"/>
      <c r="K129" s="4"/>
      <c r="L129" s="4">
        <f>IF($K129="","",K129-J129)</f>
      </c>
      <c r="M129" s="4">
        <f>IF($K129="","",L129*16.67%)</f>
      </c>
      <c r="N129" s="4"/>
      <c r="O129" s="4">
        <f>IF($K129="","",N129*20%)</f>
      </c>
      <c r="P129" s="4"/>
      <c r="Q129" s="4">
        <f>IF($K129="","",P129*20%)</f>
      </c>
      <c r="R129" s="4">
        <v>1</v>
      </c>
      <c r="S129" s="4">
        <f>IF($K129="","",Q129)</f>
      </c>
      <c r="T129" s="4">
        <f>IF($K129="","",L129-M129-N129-P129-Q129-R129)</f>
      </c>
      <c r="U129" s="4">
        <f>IF($K129="","",(T129-W129)/J129*100)</f>
      </c>
      <c r="V129" s="4">
        <f>IF($K129="","",M129-S129)</f>
      </c>
      <c r="X129" s="4">
        <f>IF($K129="","",T129-W129)</f>
      </c>
    </row>
    <row r="130" spans="1:29" x14ac:dyDescent="0.25">
      <c r="A130" s="8"/>
      <c r="D130" s="9"/>
      <c r="J130" s="4"/>
      <c r="K130" s="4"/>
      <c r="L130" s="4">
        <f>IF($K130="","",K130-J130)</f>
      </c>
      <c r="M130" s="4">
        <f>IF($K130="","",L130*16.67%)</f>
      </c>
      <c r="N130" s="4"/>
      <c r="O130" s="4">
        <f>IF($K130="","",N130*20%)</f>
      </c>
      <c r="P130" s="4"/>
      <c r="Q130" s="4">
        <f>IF($K130="","",P130*20%)</f>
      </c>
      <c r="R130" s="4">
        <v>1</v>
      </c>
      <c r="S130" s="4">
        <f>IF($K130="","",Q130)</f>
      </c>
      <c r="T130" s="4">
        <f>IF($K130="","",L130-M130-N130-P130-Q130-R130)</f>
      </c>
      <c r="U130" s="4">
        <f>IF($K130="","",(T130-W130)/J130*100)</f>
      </c>
      <c r="V130" s="4">
        <f>IF($K130="","",M130-S130)</f>
      </c>
      <c r="X130" s="4">
        <f>IF($K130="","",T130-W130)</f>
      </c>
    </row>
    <row r="131" spans="1:29" x14ac:dyDescent="0.25">
      <c r="A131" s="8"/>
      <c r="D131" s="9"/>
      <c r="J131" s="4"/>
      <c r="K131" s="4"/>
      <c r="L131" s="4">
        <f>IF($K131="","",K131-J131)</f>
      </c>
      <c r="M131" s="4">
        <f>IF($K131="","",L131*16.67%)</f>
      </c>
      <c r="N131" s="4"/>
      <c r="O131" s="4">
        <f>IF($K131="","",N131*20%)</f>
      </c>
      <c r="P131" s="4"/>
      <c r="Q131" s="4">
        <f>IF($K131="","",P131*20%)</f>
      </c>
      <c r="R131" s="4">
        <v>1</v>
      </c>
      <c r="S131" s="4">
        <f>IF($K131="","",Q131)</f>
      </c>
      <c r="T131" s="4">
        <f>IF($K131="","",L131-M131-N131-P131-Q131-R131)</f>
      </c>
      <c r="U131" s="4">
        <f>IF($K131="","",(T131-W131)/J131*100)</f>
      </c>
      <c r="V131" s="4">
        <f>IF($K131="","",M131-S131)</f>
      </c>
      <c r="X131" s="4">
        <f>IF($K131="","",T131-W131)</f>
      </c>
    </row>
    <row r="132" spans="1:29" x14ac:dyDescent="0.25">
      <c r="A132" s="8"/>
      <c r="D132" s="9"/>
      <c r="J132" s="4"/>
      <c r="K132" s="4"/>
      <c r="L132" s="4">
        <f>IF($K132="","",K132-J132)</f>
      </c>
      <c r="M132" s="4">
        <f>IF($K132="","",L132*16.67%)</f>
      </c>
      <c r="N132" s="4"/>
      <c r="O132" s="4">
        <f>IF($K132="","",N132*20%)</f>
      </c>
      <c r="P132" s="4"/>
      <c r="Q132" s="4">
        <f>IF($K132="","",P132*20%)</f>
      </c>
      <c r="R132" s="4">
        <v>1</v>
      </c>
      <c r="S132" s="4">
        <f>IF($K132="","",Q132)</f>
      </c>
      <c r="T132" s="4">
        <f>IF($K132="","",L132-M132-N132-P132-Q132-R132)</f>
      </c>
      <c r="U132" s="4">
        <f>IF($K132="","",(T132-W132)/J132*100)</f>
      </c>
      <c r="V132" s="4">
        <f>IF($K132="","",M132-S132)</f>
      </c>
      <c r="X132" s="4">
        <f>IF($K132="","",T132-W132)</f>
      </c>
    </row>
    <row r="133" spans="1:29" x14ac:dyDescent="0.25">
      <c r="A133" s="8"/>
      <c r="D133" s="9"/>
      <c r="J133" s="4"/>
      <c r="K133" s="4"/>
      <c r="L133" s="4">
        <f>IF($K133="","",K133-J133)</f>
      </c>
      <c r="M133" s="4">
        <f>IF($K133="","",L133*16.67%)</f>
      </c>
      <c r="N133" s="4"/>
      <c r="O133" s="4">
        <f>IF($K133="","",N133*20%)</f>
      </c>
      <c r="P133" s="4"/>
      <c r="Q133" s="4">
        <f>IF($K133="","",P133*20%)</f>
      </c>
      <c r="R133" s="4">
        <v>1</v>
      </c>
      <c r="S133" s="4">
        <f>IF($K133="","",Q133)</f>
      </c>
      <c r="T133" s="4">
        <f>IF($K133="","",L133-M133-N133-P133-Q133-R133)</f>
      </c>
      <c r="U133" s="4">
        <f>IF($K133="","",(T133-W133)/J133*100)</f>
      </c>
      <c r="V133" s="4">
        <f>IF($K133="","",M133-S133)</f>
      </c>
      <c r="X133" s="4">
        <f>IF($K133="","",T133-W133)</f>
      </c>
    </row>
    <row r="134" spans="1:29" x14ac:dyDescent="0.25">
      <c r="A134" s="8"/>
      <c r="D134" s="9"/>
      <c r="J134" s="4"/>
      <c r="K134" s="4"/>
      <c r="L134" s="4">
        <f>IF($K134="","",K134-J134)</f>
      </c>
      <c r="M134" s="4">
        <f>IF($K134="","",L134*16.67%)</f>
      </c>
      <c r="N134" s="4"/>
      <c r="O134" s="4">
        <f>IF($K134="","",N134*20%)</f>
      </c>
      <c r="P134" s="4"/>
      <c r="Q134" s="4">
        <f>IF($K134="","",P134*20%)</f>
      </c>
      <c r="R134" s="4">
        <v>1</v>
      </c>
      <c r="S134" s="4">
        <f>IF($K134="","",Q134)</f>
      </c>
      <c r="T134" s="4">
        <f>IF($K134="","",L134-M134-N134-P134-Q134-R134)</f>
      </c>
      <c r="U134" s="4">
        <f>IF($K134="","",(T134-W134)/J134*100)</f>
      </c>
      <c r="V134" s="4">
        <f>IF($K134="","",M134-S134)</f>
      </c>
      <c r="X134" s="4">
        <f>IF($K134="","",T134-W134)</f>
      </c>
    </row>
    <row r="135" spans="1:29" x14ac:dyDescent="0.25">
      <c r="A135" s="8"/>
      <c r="D135" s="9"/>
      <c r="J135" s="4"/>
      <c r="K135" s="4"/>
      <c r="L135" s="4">
        <f>IF($K135="","",K135-J135)</f>
      </c>
      <c r="M135" s="4">
        <f>IF($K135="","",L135*16.67%)</f>
      </c>
      <c r="N135" s="4"/>
      <c r="O135" s="4">
        <f>IF($K135="","",N135*20%)</f>
      </c>
      <c r="P135" s="4"/>
      <c r="Q135" s="4">
        <f>IF($K135="","",P135*20%)</f>
      </c>
      <c r="R135" s="4">
        <v>1</v>
      </c>
      <c r="S135" s="4">
        <f>IF($K135="","",Q135)</f>
      </c>
      <c r="T135" s="4">
        <f>IF($K135="","",L135-M135-N135-P135-Q135-R135)</f>
      </c>
      <c r="U135" s="4">
        <f>IF($K135="","",(T135-W135)/J135*100)</f>
      </c>
      <c r="V135" s="4">
        <f>IF($K135="","",M135-S135)</f>
      </c>
      <c r="X135" s="4">
        <f>IF($K135="","",T135-W135)</f>
      </c>
    </row>
    <row r="136" spans="1:29" x14ac:dyDescent="0.25">
      <c r="A136" s="8"/>
      <c r="D136" s="9"/>
      <c r="J136" s="4"/>
      <c r="K136" s="4"/>
      <c r="L136" s="4">
        <f>IF($K136="","",K136-J136)</f>
      </c>
      <c r="M136" s="4">
        <f>IF($K136="","",L136*16.67%)</f>
      </c>
      <c r="N136" s="4"/>
      <c r="O136" s="4">
        <f>IF($K136="","",N136*20%)</f>
      </c>
      <c r="P136" s="4"/>
      <c r="Q136" s="4">
        <f>IF($K136="","",P136*20%)</f>
      </c>
      <c r="R136" s="4">
        <v>1</v>
      </c>
      <c r="S136" s="4">
        <f>IF($K136="","",Q136)</f>
      </c>
      <c r="T136" s="4">
        <f>IF($K136="","",L136-M136-N136-P136-Q136-R136)</f>
      </c>
      <c r="U136" s="4">
        <f>IF($K136="","",(T136-W136)/J136*100)</f>
      </c>
      <c r="V136" s="4">
        <f>IF($K136="","",M136-S136)</f>
      </c>
      <c r="X136" s="4">
        <f>IF($K136="","",T136-W136)</f>
      </c>
    </row>
    <row r="137" spans="1:29" x14ac:dyDescent="0.25">
      <c r="A137" s="8"/>
      <c r="D137" s="9"/>
      <c r="J137" s="4"/>
      <c r="K137" s="4"/>
      <c r="L137" s="4">
        <f>IF($K137="","",K137-J137)</f>
      </c>
      <c r="M137" s="4">
        <f>IF($K137="","",L137*16.67%)</f>
      </c>
      <c r="N137" s="4"/>
      <c r="O137" s="4">
        <f>IF($K137="","",N137*20%)</f>
      </c>
      <c r="P137" s="4"/>
      <c r="Q137" s="4">
        <f>IF($K137="","",P137*20%)</f>
      </c>
      <c r="R137" s="4">
        <v>1</v>
      </c>
      <c r="S137" s="4">
        <f>IF($K137="","",Q137)</f>
      </c>
      <c r="T137" s="4">
        <f>IF($K137="","",L137-M137-N137-P137-Q137-R137)</f>
      </c>
      <c r="U137" s="4">
        <f>IF($K137="","",(T137-W137)/J137*100)</f>
      </c>
      <c r="V137" s="4">
        <f>IF($K137="","",M137-S137)</f>
      </c>
      <c r="X137" s="4">
        <f>IF($K137="","",T137-W137)</f>
      </c>
    </row>
    <row r="138" spans="1:29" x14ac:dyDescent="0.25">
      <c r="A138" s="8"/>
      <c r="D138" s="9"/>
      <c r="J138" s="4"/>
      <c r="K138" s="4"/>
      <c r="L138" s="4">
        <f>IF($K138="","",K138-J138)</f>
      </c>
      <c r="M138" s="4">
        <f>IF($K138="","",L138*16.67%)</f>
      </c>
      <c r="N138" s="4"/>
      <c r="O138" s="4">
        <f>IF($K138="","",N138*20%)</f>
      </c>
      <c r="P138" s="4"/>
      <c r="Q138" s="4">
        <f>IF($K138="","",P138*20%)</f>
      </c>
      <c r="R138" s="4">
        <v>1</v>
      </c>
      <c r="S138" s="4">
        <f>IF($K138="","",Q138)</f>
      </c>
      <c r="T138" s="4">
        <f>IF($K138="","",L138-M138-N138-P138-Q138-R138)</f>
      </c>
      <c r="U138" s="4">
        <f>IF($K138="","",(T138-W138)/J138*100)</f>
      </c>
      <c r="V138" s="4">
        <f>IF($K138="","",M138-S138)</f>
      </c>
      <c r="X138" s="4">
        <f>IF($K138="","",T138-W138)</f>
      </c>
    </row>
    <row r="139" spans="1:29" x14ac:dyDescent="0.25">
      <c r="A139" s="8"/>
      <c r="D139" s="9"/>
      <c r="J139" s="4"/>
      <c r="K139" s="4"/>
      <c r="L139" s="4">
        <f>IF($K139="","",K139-J139)</f>
      </c>
      <c r="M139" s="4">
        <f>IF($K139="","",L139*16.67%)</f>
      </c>
      <c r="N139" s="4"/>
      <c r="O139" s="4">
        <f>IF($K139="","",N139*20%)</f>
      </c>
      <c r="P139" s="4"/>
      <c r="Q139" s="4">
        <f>IF($K139="","",P139*20%)</f>
      </c>
      <c r="R139" s="4">
        <v>1</v>
      </c>
      <c r="S139" s="4">
        <f>IF($K139="","",Q139)</f>
      </c>
      <c r="T139" s="4">
        <f>IF($K139="","",L139-M139-N139-P139-Q139-R139)</f>
      </c>
      <c r="U139" s="4">
        <f>IF($K139="","",(T139-W139)/J139*100)</f>
      </c>
      <c r="V139" s="4">
        <f>IF($K139="","",M139-S139)</f>
      </c>
      <c r="X139" s="4">
        <f>IF($K139="","",T139-W139)</f>
      </c>
    </row>
    <row r="140" spans="1:29" x14ac:dyDescent="0.25">
      <c r="A140" s="8"/>
      <c r="D140" s="9"/>
      <c r="J140" s="4"/>
      <c r="K140" s="4"/>
      <c r="L140" s="4">
        <f>IF($K140="","",K140-J140)</f>
      </c>
      <c r="M140" s="4">
        <f>IF($K140="","",L140*16.67%)</f>
      </c>
      <c r="N140" s="4"/>
      <c r="O140" s="4">
        <f>IF($K140="","",N140*20%)</f>
      </c>
      <c r="P140" s="4"/>
      <c r="Q140" s="4">
        <f>IF($K140="","",P140*20%)</f>
      </c>
      <c r="R140" s="4">
        <v>1</v>
      </c>
      <c r="S140" s="4">
        <f>IF($K140="","",Q140)</f>
      </c>
      <c r="T140" s="4">
        <f>IF($K140="","",L140-M140-N140-P140-Q140-R140)</f>
      </c>
      <c r="U140" s="4">
        <f>IF($K140="","",(T140-W140)/J140*100)</f>
      </c>
      <c r="V140" s="4">
        <f>IF($K140="","",M140-S140)</f>
      </c>
      <c r="X140" s="4">
        <f>IF($K140="","",T140-W140)</f>
      </c>
    </row>
    <row r="141" spans="1:29" x14ac:dyDescent="0.25">
      <c r="A141" s="8"/>
      <c r="D141" s="9"/>
      <c r="J141" s="4"/>
      <c r="K141" s="4"/>
      <c r="L141" s="4">
        <f>IF($K141="","",K141-J141)</f>
      </c>
      <c r="M141" s="4">
        <f>IF($K141="","",L141*16.67%)</f>
      </c>
      <c r="N141" s="4"/>
      <c r="O141" s="4">
        <f>IF($K141="","",N141*20%)</f>
      </c>
      <c r="P141" s="4"/>
      <c r="Q141" s="4">
        <f>IF($K141="","",P141*20%)</f>
      </c>
      <c r="R141" s="4">
        <v>1</v>
      </c>
      <c r="S141" s="4">
        <f>IF($K141="","",Q141)</f>
      </c>
      <c r="T141" s="4">
        <f>IF($K141="","",L141-M141-N141-P141-Q141-R141)</f>
      </c>
      <c r="U141" s="4">
        <f>IF($K141="","",(T141-W141)/J141*100)</f>
      </c>
      <c r="V141" s="4">
        <f>IF($K141="","",M141-S141)</f>
      </c>
      <c r="X141" s="4">
        <f>IF($K141="","",T141-W141)</f>
      </c>
    </row>
    <row r="142" spans="1:29" x14ac:dyDescent="0.25">
      <c r="A142" s="8"/>
      <c r="D142" s="9"/>
      <c r="J142" s="4"/>
      <c r="K142" s="4"/>
      <c r="L142" s="4">
        <f>IF($K142="","",K142-J142)</f>
      </c>
      <c r="M142" s="4">
        <f>IF($K142="","",L142*16.67%)</f>
      </c>
      <c r="N142" s="4"/>
      <c r="O142" s="4">
        <f>IF($K142="","",N142*20%)</f>
      </c>
      <c r="P142" s="4"/>
      <c r="Q142" s="4">
        <f>IF($K142="","",P142*20%)</f>
      </c>
      <c r="R142" s="4">
        <v>1</v>
      </c>
      <c r="S142" s="4">
        <f>IF($K142="","",Q142)</f>
      </c>
      <c r="T142" s="4">
        <f>IF($K142="","",L142-M142-N142-P142-Q142-R142)</f>
      </c>
      <c r="U142" s="4">
        <f>IF($K142="","",(T142-W142)/J142*100)</f>
      </c>
      <c r="V142" s="4">
        <f>IF($K142="","",M142-S142)</f>
      </c>
      <c r="X142" s="4">
        <f>IF($K142="","",T142-W142)</f>
      </c>
    </row>
    <row r="143" spans="1:29" x14ac:dyDescent="0.25">
      <c r="A143" s="8"/>
      <c r="D143" s="9"/>
      <c r="J143" s="4"/>
      <c r="K143" s="4"/>
      <c r="L143" s="4">
        <f>IF($K143="","",K143-J143)</f>
      </c>
      <c r="M143" s="4">
        <f>IF($K143="","",L143*16.67%)</f>
      </c>
      <c r="N143" s="4"/>
      <c r="O143" s="4">
        <f>IF($K143="","",N143*20%)</f>
      </c>
      <c r="P143" s="4"/>
      <c r="Q143" s="4">
        <f>IF($K143="","",P143*20%)</f>
      </c>
      <c r="R143" s="4">
        <v>1</v>
      </c>
      <c r="S143" s="4">
        <f>IF($K143="","",Q143)</f>
      </c>
      <c r="T143" s="4">
        <f>IF($K143="","",L143-M143-N143-P143-Q143-R143)</f>
      </c>
      <c r="U143" s="4">
        <f>IF($K143="","",(T143-W143)/J143*100)</f>
      </c>
      <c r="V143" s="4">
        <f>IF($K143="","",M143-S143)</f>
      </c>
      <c r="X143" s="4">
        <f>IF($K143="","",T143-W143)</f>
      </c>
    </row>
    <row r="144" spans="1:29" x14ac:dyDescent="0.25">
      <c r="A144" s="8"/>
      <c r="D144" s="9"/>
      <c r="J144" s="4"/>
      <c r="K144" s="4"/>
      <c r="L144" s="4">
        <f>IF($K144="","",K144-J144)</f>
      </c>
      <c r="M144" s="4">
        <f>IF($K144="","",L144*16.67%)</f>
      </c>
      <c r="N144" s="4"/>
      <c r="O144" s="4">
        <f>IF($K144="","",N144*20%)</f>
      </c>
      <c r="P144" s="4"/>
      <c r="Q144" s="4">
        <f>IF($K144="","",P144*20%)</f>
      </c>
      <c r="R144" s="4">
        <v>1</v>
      </c>
      <c r="S144" s="4">
        <f>IF($K144="","",Q144)</f>
      </c>
      <c r="T144" s="4">
        <f>IF($K144="","",L144-M144-N144-P144-Q144-R144)</f>
      </c>
      <c r="U144" s="4">
        <f>IF($K144="","",(T144-W144)/J144*100)</f>
      </c>
      <c r="V144" s="4">
        <f>IF($K144="","",M144-S144)</f>
      </c>
      <c r="X144" s="4">
        <f>IF($K144="","",T144-W144)</f>
      </c>
    </row>
    <row r="145" spans="1:29" x14ac:dyDescent="0.25">
      <c r="A145" s="8"/>
      <c r="D145" s="9"/>
      <c r="J145" s="4"/>
      <c r="K145" s="4"/>
      <c r="L145" s="4">
        <f>IF($K145="","",K145-J145)</f>
      </c>
      <c r="M145" s="4">
        <f>IF($K145="","",L145*16.67%)</f>
      </c>
      <c r="N145" s="4"/>
      <c r="O145" s="4">
        <f>IF($K145="","",N145*20%)</f>
      </c>
      <c r="P145" s="4"/>
      <c r="Q145" s="4">
        <f>IF($K145="","",P145*20%)</f>
      </c>
      <c r="R145" s="4">
        <v>1</v>
      </c>
      <c r="S145" s="4">
        <f>IF($K145="","",Q145)</f>
      </c>
      <c r="T145" s="4">
        <f>IF($K145="","",L145-M145-N145-P145-Q145-R145)</f>
      </c>
      <c r="U145" s="4">
        <f>IF($K145="","",(T145-W145)/J145*100)</f>
      </c>
      <c r="V145" s="4">
        <f>IF($K145="","",M145-S145)</f>
      </c>
      <c r="X145" s="4">
        <f>IF($K145="","",T145-W145)</f>
      </c>
    </row>
    <row r="146" spans="1:29" x14ac:dyDescent="0.25">
      <c r="A146" s="8"/>
      <c r="D146" s="9"/>
      <c r="J146" s="4"/>
      <c r="K146" s="4"/>
      <c r="L146" s="4">
        <f>IF($K146="","",K146-J146)</f>
      </c>
      <c r="M146" s="4">
        <f>IF($K146="","",L146*16.67%)</f>
      </c>
      <c r="N146" s="4"/>
      <c r="O146" s="4">
        <f>IF($K146="","",N146*20%)</f>
      </c>
      <c r="P146" s="4"/>
      <c r="Q146" s="4">
        <f>IF($K146="","",P146*20%)</f>
      </c>
      <c r="R146" s="4">
        <v>1</v>
      </c>
      <c r="S146" s="4">
        <f>IF($K146="","",Q146)</f>
      </c>
      <c r="T146" s="4">
        <f>IF($K146="","",L146-M146-N146-P146-Q146-R146)</f>
      </c>
      <c r="U146" s="4">
        <f>IF($K146="","",(T146-W146)/J146*100)</f>
      </c>
      <c r="V146" s="4">
        <f>IF($K146="","",M146-S146)</f>
      </c>
      <c r="X146" s="4">
        <f>IF($K146="","",T146-W146)</f>
      </c>
    </row>
    <row r="147" spans="1:29" x14ac:dyDescent="0.25">
      <c r="A147" s="8"/>
      <c r="D147" s="9"/>
      <c r="J147" s="4"/>
      <c r="K147" s="4"/>
      <c r="L147" s="4">
        <f>IF($K147="","",K147-J147)</f>
      </c>
      <c r="M147" s="4">
        <f>IF($K147="","",L147*16.67%)</f>
      </c>
      <c r="N147" s="4"/>
      <c r="O147" s="4">
        <f>IF($K147="","",N147*20%)</f>
      </c>
      <c r="P147" s="4"/>
      <c r="Q147" s="4">
        <f>IF($K147="","",P147*20%)</f>
      </c>
      <c r="R147" s="4">
        <v>1</v>
      </c>
      <c r="S147" s="4">
        <f>IF($K147="","",Q147)</f>
      </c>
      <c r="T147" s="4">
        <f>IF($K147="","",L147-M147-N147-P147-Q147-R147)</f>
      </c>
      <c r="U147" s="4">
        <f>IF($K147="","",(T147-W147)/J147*100)</f>
      </c>
      <c r="V147" s="4">
        <f>IF($K147="","",M147-S147)</f>
      </c>
      <c r="X147" s="4">
        <f>IF($K147="","",T147-W147)</f>
      </c>
    </row>
    <row r="148" spans="1:29" x14ac:dyDescent="0.25">
      <c r="A148" s="8"/>
      <c r="D148" s="9"/>
      <c r="J148" s="4"/>
      <c r="K148" s="4"/>
      <c r="L148" s="4">
        <f>IF($K148="","",K148-J148)</f>
      </c>
      <c r="M148" s="4">
        <f>IF($K148="","",L148*16.67%)</f>
      </c>
      <c r="N148" s="4"/>
      <c r="O148" s="4">
        <f>IF($K148="","",N148*20%)</f>
      </c>
      <c r="P148" s="4"/>
      <c r="Q148" s="4">
        <f>IF($K148="","",P148*20%)</f>
      </c>
      <c r="R148" s="4">
        <v>1</v>
      </c>
      <c r="S148" s="4">
        <f>IF($K148="","",Q148)</f>
      </c>
      <c r="T148" s="4">
        <f>IF($K148="","",L148-M148-N148-P148-Q148-R148)</f>
      </c>
      <c r="U148" s="4">
        <f>IF($K148="","",(T148-W148)/J148*100)</f>
      </c>
      <c r="V148" s="4">
        <f>IF($K148="","",M148-S148)</f>
      </c>
      <c r="X148" s="4">
        <f>IF($K148="","",T148-W148)</f>
      </c>
    </row>
    <row r="149" spans="1:29" x14ac:dyDescent="0.25">
      <c r="A149" s="8"/>
      <c r="D149" s="9"/>
      <c r="J149" s="4"/>
      <c r="K149" s="4"/>
      <c r="L149" s="4">
        <f>IF($K149="","",K149-J149)</f>
      </c>
      <c r="M149" s="4">
        <f>IF($K149="","",L149*16.67%)</f>
      </c>
      <c r="N149" s="4"/>
      <c r="O149" s="4">
        <f>IF($K149="","",N149*20%)</f>
      </c>
      <c r="P149" s="4"/>
      <c r="Q149" s="4">
        <f>IF($K149="","",P149*20%)</f>
      </c>
      <c r="R149" s="4">
        <v>1</v>
      </c>
      <c r="S149" s="4">
        <f>IF($K149="","",Q149)</f>
      </c>
      <c r="T149" s="4">
        <f>IF($K149="","",L149-M149-N149-P149-Q149-R149)</f>
      </c>
      <c r="U149" s="4">
        <f>IF($K149="","",(T149-W149)/J149*100)</f>
      </c>
      <c r="V149" s="4">
        <f>IF($K149="","",M149-S149)</f>
      </c>
      <c r="X149" s="4">
        <f>IF($K149="","",T149-W149)</f>
      </c>
    </row>
    <row r="150" spans="1:29" x14ac:dyDescent="0.25">
      <c r="A150" s="8"/>
      <c r="D150" s="9"/>
      <c r="J150" s="4"/>
      <c r="K150" s="4"/>
      <c r="L150" s="4">
        <f>IF($K150="","",K150-J150)</f>
      </c>
      <c r="M150" s="4">
        <f>IF($K150="","",L150*16.67%)</f>
      </c>
      <c r="N150" s="4"/>
      <c r="O150" s="4">
        <f>IF($K150="","",N150*20%)</f>
      </c>
      <c r="P150" s="4"/>
      <c r="Q150" s="4">
        <f>IF($K150="","",P150*20%)</f>
      </c>
      <c r="R150" s="4">
        <v>1</v>
      </c>
      <c r="S150" s="4">
        <f>IF($K150="","",Q150)</f>
      </c>
      <c r="T150" s="4">
        <f>IF($K150="","",L150-M150-N150-P150-Q150-R150)</f>
      </c>
      <c r="U150" s="4">
        <f>IF($K150="","",(T150-W150)/J150*100)</f>
      </c>
      <c r="V150" s="4">
        <f>IF($K150="","",M150-S150)</f>
      </c>
      <c r="X150" s="4">
        <f>IF($K150="","",T150-W150)</f>
      </c>
    </row>
    <row r="151" spans="1:29" x14ac:dyDescent="0.25">
      <c r="A151" s="8"/>
      <c r="D151" s="9"/>
      <c r="J151" s="4"/>
      <c r="K151" s="4"/>
      <c r="L151" s="4">
        <f>IF($K151="","",K151-J151)</f>
      </c>
      <c r="M151" s="4">
        <f>IF($K151="","",L151*16.67%)</f>
      </c>
      <c r="N151" s="4"/>
      <c r="O151" s="4">
        <f>IF($K151="","",N151*20%)</f>
      </c>
      <c r="P151" s="4"/>
      <c r="Q151" s="4">
        <f>IF($K151="","",P151*20%)</f>
      </c>
      <c r="R151" s="4">
        <v>1</v>
      </c>
      <c r="S151" s="4">
        <f>IF($K151="","",Q151)</f>
      </c>
      <c r="T151" s="4">
        <f>IF($K151="","",L151-M151-N151-P151-Q151-R151)</f>
      </c>
      <c r="U151" s="4">
        <f>IF($K151="","",(T151-W151)/J151*100)</f>
      </c>
      <c r="V151" s="4">
        <f>IF($K151="","",M151-S151)</f>
      </c>
      <c r="X151" s="4">
        <f>IF($K151="","",T151-W151)</f>
      </c>
    </row>
    <row r="152" spans="1:29" x14ac:dyDescent="0.25">
      <c r="A152" s="8"/>
      <c r="D152" s="9"/>
      <c r="J152" s="4"/>
      <c r="K152" s="4"/>
      <c r="L152" s="4">
        <f>IF($K152="","",K152-J152)</f>
      </c>
      <c r="M152" s="4">
        <f>IF($K152="","",L152*16.67%)</f>
      </c>
      <c r="N152" s="4"/>
      <c r="O152" s="4">
        <f>IF($K152="","",N152*20%)</f>
      </c>
      <c r="P152" s="4"/>
      <c r="Q152" s="4">
        <f>IF($K152="","",P152*20%)</f>
      </c>
      <c r="R152" s="4">
        <v>1</v>
      </c>
      <c r="S152" s="4">
        <f>IF($K152="","",Q152)</f>
      </c>
      <c r="T152" s="4">
        <f>IF($K152="","",L152-M152-N152-P152-Q152-R152)</f>
      </c>
      <c r="U152" s="4">
        <f>IF($K152="","",(T152-W152)/J152*100)</f>
      </c>
      <c r="V152" s="4">
        <f>IF($K152="","",M152-S152)</f>
      </c>
      <c r="X152" s="4">
        <f>IF($K152="","",T152-W152)</f>
      </c>
    </row>
    <row r="153" spans="1:29" x14ac:dyDescent="0.25">
      <c r="A153" s="8"/>
      <c r="D153" s="9"/>
      <c r="J153" s="4"/>
      <c r="K153" s="4"/>
      <c r="L153" s="4">
        <f>IF($K153="","",K153-J153)</f>
      </c>
      <c r="M153" s="4">
        <f>IF($K153="","",L153*16.67%)</f>
      </c>
      <c r="N153" s="4"/>
      <c r="O153" s="4">
        <f>IF($K153="","",N153*20%)</f>
      </c>
      <c r="P153" s="4"/>
      <c r="Q153" s="4">
        <f>IF($K153="","",P153*20%)</f>
      </c>
      <c r="R153" s="4">
        <v>1</v>
      </c>
      <c r="S153" s="4">
        <f>IF($K153="","",Q153)</f>
      </c>
      <c r="T153" s="4">
        <f>IF($K153="","",L153-M153-N153-P153-Q153-R153)</f>
      </c>
      <c r="U153" s="4">
        <f>IF($K153="","",(T153-W153)/J153*100)</f>
      </c>
      <c r="V153" s="4">
        <f>IF($K153="","",M153-S153)</f>
      </c>
      <c r="X153" s="4">
        <f>IF($K153="","",T153-W153)</f>
      </c>
    </row>
    <row r="154" spans="1:29" x14ac:dyDescent="0.25">
      <c r="A154" s="8"/>
      <c r="D154" s="9"/>
      <c r="J154" s="4"/>
      <c r="K154" s="4"/>
      <c r="L154" s="4">
        <f>IF($K154="","",K154-J154)</f>
      </c>
      <c r="M154" s="4">
        <f>IF($K154="","",L154*16.67%)</f>
      </c>
      <c r="N154" s="4"/>
      <c r="O154" s="4">
        <f>IF($K154="","",N154*20%)</f>
      </c>
      <c r="P154" s="4"/>
      <c r="Q154" s="4">
        <f>IF($K154="","",P154*20%)</f>
      </c>
      <c r="R154" s="4">
        <v>1</v>
      </c>
      <c r="S154" s="4">
        <f>IF($K154="","",Q154)</f>
      </c>
      <c r="T154" s="4">
        <f>IF($K154="","",L154-M154-N154-P154-Q154-R154)</f>
      </c>
      <c r="U154" s="4">
        <f>IF($K154="","",(T154-W154)/J154*100)</f>
      </c>
      <c r="V154" s="4">
        <f>IF($K154="","",M154-S154)</f>
      </c>
      <c r="X154" s="4">
        <f>IF($K154="","",T154-W154)</f>
      </c>
    </row>
    <row r="155" spans="1:29" x14ac:dyDescent="0.25">
      <c r="A155" s="8"/>
      <c r="D155" s="9"/>
      <c r="J155" s="4"/>
      <c r="K155" s="4"/>
      <c r="L155" s="4">
        <f>IF($K155="","",K155-J155)</f>
      </c>
      <c r="M155" s="4">
        <f>IF($K155="","",L155*16.67%)</f>
      </c>
      <c r="N155" s="4"/>
      <c r="O155" s="4">
        <f>IF($K155="","",N155*20%)</f>
      </c>
      <c r="P155" s="4"/>
      <c r="Q155" s="4">
        <f>IF($K155="","",P155*20%)</f>
      </c>
      <c r="R155" s="4">
        <v>1</v>
      </c>
      <c r="S155" s="4">
        <f>IF($K155="","",Q155)</f>
      </c>
      <c r="T155" s="4">
        <f>IF($K155="","",L155-M155-N155-P155-Q155-R155)</f>
      </c>
      <c r="U155" s="4">
        <f>IF($K155="","",(T155-W155)/J155*100)</f>
      </c>
      <c r="V155" s="4">
        <f>IF($K155="","",M155-S155)</f>
      </c>
      <c r="X155" s="4">
        <f>IF($K155="","",T155-W155)</f>
      </c>
    </row>
    <row r="156" spans="1:29" x14ac:dyDescent="0.25">
      <c r="A156" s="8"/>
      <c r="D156" s="9"/>
      <c r="J156" s="4"/>
      <c r="K156" s="4"/>
      <c r="L156" s="4">
        <f>IF($K156="","",K156-J156)</f>
      </c>
      <c r="M156" s="4">
        <f>IF($K156="","",L156*16.67%)</f>
      </c>
      <c r="N156" s="4"/>
      <c r="O156" s="4">
        <f>IF($K156="","",N156*20%)</f>
      </c>
      <c r="P156" s="4"/>
      <c r="Q156" s="4">
        <f>IF($K156="","",P156*20%)</f>
      </c>
      <c r="R156" s="4">
        <v>1</v>
      </c>
      <c r="S156" s="4">
        <f>IF($K156="","",Q156)</f>
      </c>
      <c r="T156" s="4">
        <f>IF($K156="","",L156-M156-N156-P156-Q156-R156)</f>
      </c>
      <c r="U156" s="4">
        <f>IF($K156="","",(T156-W156)/J156*100)</f>
      </c>
      <c r="V156" s="4">
        <f>IF($K156="","",M156-S156)</f>
      </c>
      <c r="X156" s="4">
        <f>IF($K156="","",T156-W156)</f>
      </c>
    </row>
    <row r="157" spans="1:29" x14ac:dyDescent="0.25">
      <c r="A157" s="8"/>
      <c r="D157" s="9"/>
      <c r="J157" s="4"/>
      <c r="K157" s="4"/>
      <c r="L157" s="4">
        <f>IF($K157="","",K157-J157)</f>
      </c>
      <c r="M157" s="4">
        <f>IF($K157="","",L157*16.67%)</f>
      </c>
      <c r="N157" s="4"/>
      <c r="O157" s="4">
        <f>IF($K157="","",N157*20%)</f>
      </c>
      <c r="P157" s="4"/>
      <c r="Q157" s="4">
        <f>IF($K157="","",P157*20%)</f>
      </c>
      <c r="R157" s="4">
        <v>1</v>
      </c>
      <c r="S157" s="4">
        <f>IF($K157="","",Q157)</f>
      </c>
      <c r="T157" s="4">
        <f>IF($K157="","",L157-M157-N157-P157-Q157-R157)</f>
      </c>
      <c r="U157" s="4">
        <f>IF($K157="","",(T157-W157)/J157*100)</f>
      </c>
      <c r="V157" s="4">
        <f>IF($K157="","",M157-S157)</f>
      </c>
      <c r="X157" s="4">
        <f>IF($K157="","",T157-W157)</f>
      </c>
    </row>
    <row r="158" spans="1:29" x14ac:dyDescent="0.25">
      <c r="A158" s="8"/>
      <c r="D158" s="9"/>
      <c r="J158" s="4"/>
      <c r="K158" s="4"/>
      <c r="L158" s="4">
        <f>IF($K158="","",K158-J158)</f>
      </c>
      <c r="M158" s="4">
        <f>IF($K158="","",L158*16.67%)</f>
      </c>
      <c r="N158" s="4"/>
      <c r="O158" s="4">
        <f>IF($K158="","",N158*20%)</f>
      </c>
      <c r="P158" s="4"/>
      <c r="Q158" s="4">
        <f>IF($K158="","",P158*20%)</f>
      </c>
      <c r="R158" s="4">
        <v>1</v>
      </c>
      <c r="S158" s="4">
        <f>IF($K158="","",Q158)</f>
      </c>
      <c r="T158" s="4">
        <f>IF($K158="","",L158-M158-N158-P158-Q158-R158)</f>
      </c>
      <c r="U158" s="4">
        <f>IF($K158="","",(T158-W158)/J158*100)</f>
      </c>
      <c r="V158" s="4">
        <f>IF($K158="","",M158-S158)</f>
      </c>
      <c r="X158" s="4">
        <f>IF($K158="","",T158-W158)</f>
      </c>
    </row>
    <row r="159" spans="1:29" x14ac:dyDescent="0.25">
      <c r="A159" s="8"/>
      <c r="D159" s="9"/>
      <c r="J159" s="4"/>
      <c r="K159" s="4"/>
      <c r="L159" s="4">
        <f>IF($K159="","",K159-J159)</f>
      </c>
      <c r="M159" s="4">
        <f>IF($K159="","",L159*16.67%)</f>
      </c>
      <c r="N159" s="4"/>
      <c r="O159" s="4">
        <f>IF($K159="","",N159*20%)</f>
      </c>
      <c r="P159" s="4"/>
      <c r="Q159" s="4">
        <f>IF($K159="","",P159*20%)</f>
      </c>
      <c r="R159" s="4">
        <v>1</v>
      </c>
      <c r="S159" s="4">
        <f>IF($K159="","",Q159)</f>
      </c>
      <c r="T159" s="4">
        <f>IF($K159="","",L159-M159-N159-P159-Q159-R159)</f>
      </c>
      <c r="U159" s="4">
        <f>IF($K159="","",(T159-W159)/J159*100)</f>
      </c>
      <c r="V159" s="4">
        <f>IF($K159="","",M159-S159)</f>
      </c>
      <c r="X159" s="4">
        <f>IF($K159="","",T159-W159)</f>
      </c>
    </row>
    <row r="160" spans="1:29" x14ac:dyDescent="0.25">
      <c r="A160" s="8"/>
      <c r="D160" s="9"/>
      <c r="J160" s="4"/>
      <c r="K160" s="4"/>
      <c r="L160" s="4">
        <f>IF($K160="","",K160-J160)</f>
      </c>
      <c r="M160" s="4">
        <f>IF($K160="","",L160*16.67%)</f>
      </c>
      <c r="N160" s="4"/>
      <c r="O160" s="4">
        <f>IF($K160="","",N160*20%)</f>
      </c>
      <c r="P160" s="4"/>
      <c r="Q160" s="4">
        <f>IF($K160="","",P160*20%)</f>
      </c>
      <c r="R160" s="4">
        <v>1</v>
      </c>
      <c r="S160" s="4">
        <f>IF($K160="","",Q160)</f>
      </c>
      <c r="T160" s="4">
        <f>IF($K160="","",L160-M160-N160-P160-Q160-R160)</f>
      </c>
      <c r="U160" s="4">
        <f>IF($K160="","",(T160-W160)/J160*100)</f>
      </c>
      <c r="V160" s="4">
        <f>IF($K160="","",M160-S160)</f>
      </c>
      <c r="X160" s="4">
        <f>IF($K160="","",T160-W160)</f>
      </c>
    </row>
    <row r="161" spans="1:29" x14ac:dyDescent="0.25">
      <c r="A161" s="8"/>
      <c r="D161" s="9"/>
      <c r="J161" s="4"/>
      <c r="K161" s="4"/>
      <c r="L161" s="4">
        <f>IF($K161="","",K161-J161)</f>
      </c>
      <c r="M161" s="4">
        <f>IF($K161="","",L161*16.67%)</f>
      </c>
      <c r="N161" s="4"/>
      <c r="O161" s="4">
        <f>IF($K161="","",N161*20%)</f>
      </c>
      <c r="P161" s="4"/>
      <c r="Q161" s="4">
        <f>IF($K161="","",P161*20%)</f>
      </c>
      <c r="R161" s="4">
        <v>1</v>
      </c>
      <c r="S161" s="4">
        <f>IF($K161="","",Q161)</f>
      </c>
      <c r="T161" s="4">
        <f>IF($K161="","",L161-M161-N161-P161-Q161-R161)</f>
      </c>
      <c r="U161" s="4">
        <f>IF($K161="","",(T161-W161)/J161*100)</f>
      </c>
      <c r="V161" s="4">
        <f>IF($K161="","",M161-S161)</f>
      </c>
      <c r="X161" s="4">
        <f>IF($K161="","",T161-W161)</f>
      </c>
    </row>
    <row r="162" spans="1:29" x14ac:dyDescent="0.25">
      <c r="A162" s="8"/>
      <c r="D162" s="9"/>
      <c r="J162" s="4"/>
      <c r="K162" s="4"/>
      <c r="L162" s="4">
        <f>IF($K162="","",K162-J162)</f>
      </c>
      <c r="M162" s="4">
        <f>IF($K162="","",L162*16.67%)</f>
      </c>
      <c r="N162" s="4"/>
      <c r="O162" s="4">
        <f>IF($K162="","",N162*20%)</f>
      </c>
      <c r="P162" s="4"/>
      <c r="Q162" s="4">
        <f>IF($K162="","",P162*20%)</f>
      </c>
      <c r="R162" s="4">
        <v>1</v>
      </c>
      <c r="S162" s="4">
        <f>IF($K162="","",Q162)</f>
      </c>
      <c r="T162" s="4">
        <f>IF($K162="","",L162-M162-N162-P162-Q162-R162)</f>
      </c>
      <c r="U162" s="4">
        <f>IF($K162="","",(T162-W162)/J162*100)</f>
      </c>
      <c r="V162" s="4">
        <f>IF($K162="","",M162-S162)</f>
      </c>
      <c r="X162" s="4">
        <f>IF($K162="","",T162-W162)</f>
      </c>
    </row>
    <row r="163" spans="1:29" x14ac:dyDescent="0.25">
      <c r="A163" s="8"/>
      <c r="D163" s="9"/>
      <c r="J163" s="4"/>
      <c r="K163" s="4"/>
      <c r="L163" s="4">
        <f>IF($K163="","",K163-J163)</f>
      </c>
      <c r="M163" s="4">
        <f>IF($K163="","",L163*16.67%)</f>
      </c>
      <c r="N163" s="4"/>
      <c r="O163" s="4">
        <f>IF($K163="","",N163*20%)</f>
      </c>
      <c r="P163" s="4"/>
      <c r="Q163" s="4">
        <f>IF($K163="","",P163*20%)</f>
      </c>
      <c r="R163" s="4">
        <v>1</v>
      </c>
      <c r="S163" s="4">
        <f>IF($K163="","",Q163)</f>
      </c>
      <c r="T163" s="4">
        <f>IF($K163="","",L163-M163-N163-P163-Q163-R163)</f>
      </c>
      <c r="U163" s="4">
        <f>IF($K163="","",(T163-W163)/J163*100)</f>
      </c>
      <c r="V163" s="4">
        <f>IF($K163="","",M163-S163)</f>
      </c>
      <c r="X163" s="4">
        <f>IF($K163="","",T163-W163)</f>
      </c>
    </row>
    <row r="164" spans="1:29" x14ac:dyDescent="0.25">
      <c r="A164" s="8"/>
      <c r="D164" s="9"/>
      <c r="J164" s="4"/>
      <c r="K164" s="4"/>
      <c r="L164" s="4">
        <f>IF($K164="","",K164-J164)</f>
      </c>
      <c r="M164" s="4">
        <f>IF($K164="","",L164*16.67%)</f>
      </c>
      <c r="N164" s="4"/>
      <c r="O164" s="4">
        <f>IF($K164="","",N164*20%)</f>
      </c>
      <c r="P164" s="4"/>
      <c r="Q164" s="4">
        <f>IF($K164="","",P164*20%)</f>
      </c>
      <c r="R164" s="4">
        <v>1</v>
      </c>
      <c r="S164" s="4">
        <f>IF($K164="","",Q164)</f>
      </c>
      <c r="T164" s="4">
        <f>IF($K164="","",L164-M164-N164-P164-Q164-R164)</f>
      </c>
      <c r="U164" s="4">
        <f>IF($K164="","",(T164-W164)/J164*100)</f>
      </c>
      <c r="V164" s="4">
        <f>IF($K164="","",M164-S164)</f>
      </c>
      <c r="X164" s="4">
        <f>IF($K164="","",T164-W164)</f>
      </c>
    </row>
    <row r="165" spans="1:29" x14ac:dyDescent="0.25">
      <c r="A165" s="8"/>
      <c r="D165" s="9"/>
      <c r="J165" s="4"/>
      <c r="K165" s="4"/>
      <c r="L165" s="4">
        <f>IF($K165="","",K165-J165)</f>
      </c>
      <c r="M165" s="4">
        <f>IF($K165="","",L165*16.67%)</f>
      </c>
      <c r="N165" s="4"/>
      <c r="O165" s="4">
        <f>IF($K165="","",N165*20%)</f>
      </c>
      <c r="P165" s="4"/>
      <c r="Q165" s="4">
        <f>IF($K165="","",P165*20%)</f>
      </c>
      <c r="R165" s="4">
        <v>1</v>
      </c>
      <c r="S165" s="4">
        <f>IF($K165="","",Q165)</f>
      </c>
      <c r="T165" s="4">
        <f>IF($K165="","",L165-M165-N165-P165-Q165-R165)</f>
      </c>
      <c r="U165" s="4">
        <f>IF($K165="","",(T165-W165)/J165*100)</f>
      </c>
      <c r="V165" s="4">
        <f>IF($K165="","",M165-S165)</f>
      </c>
      <c r="X165" s="4">
        <f>IF($K165="","",T165-W165)</f>
      </c>
    </row>
    <row r="166" spans="1:29" x14ac:dyDescent="0.25">
      <c r="A166" s="8"/>
      <c r="D166" s="9"/>
      <c r="J166" s="4"/>
      <c r="K166" s="4"/>
      <c r="L166" s="4">
        <f>IF($K166="","",K166-J166)</f>
      </c>
      <c r="M166" s="4">
        <f>IF($K166="","",L166*16.67%)</f>
      </c>
      <c r="N166" s="4"/>
      <c r="O166" s="4">
        <f>IF($K166="","",N166*20%)</f>
      </c>
      <c r="P166" s="4"/>
      <c r="Q166" s="4">
        <f>IF($K166="","",P166*20%)</f>
      </c>
      <c r="R166" s="4">
        <v>1</v>
      </c>
      <c r="S166" s="4">
        <f>IF($K166="","",Q166)</f>
      </c>
      <c r="T166" s="4">
        <f>IF($K166="","",L166-M166-N166-P166-Q166-R166)</f>
      </c>
      <c r="U166" s="4">
        <f>IF($K166="","",(T166-W166)/J166*100)</f>
      </c>
      <c r="V166" s="4">
        <f>IF($K166="","",M166-S166)</f>
      </c>
      <c r="X166" s="4">
        <f>IF($K166="","",T166-W166)</f>
      </c>
    </row>
    <row r="167" spans="1:29" x14ac:dyDescent="0.25">
      <c r="A167" s="8"/>
      <c r="D167" s="9"/>
      <c r="J167" s="4"/>
      <c r="K167" s="4"/>
      <c r="L167" s="4">
        <f>IF($K167="","",K167-J167)</f>
      </c>
      <c r="M167" s="4">
        <f>IF($K167="","",L167*16.67%)</f>
      </c>
      <c r="N167" s="4"/>
      <c r="O167" s="4">
        <f>IF($K167="","",N167*20%)</f>
      </c>
      <c r="P167" s="4"/>
      <c r="Q167" s="4">
        <f>IF($K167="","",P167*20%)</f>
      </c>
      <c r="R167" s="4">
        <v>1</v>
      </c>
      <c r="S167" s="4">
        <f>IF($K167="","",Q167)</f>
      </c>
      <c r="T167" s="4">
        <f>IF($K167="","",L167-M167-N167-P167-Q167-R167)</f>
      </c>
      <c r="U167" s="4">
        <f>IF($K167="","",(T167-W167)/J167*100)</f>
      </c>
      <c r="V167" s="4">
        <f>IF($K167="","",M167-S167)</f>
      </c>
      <c r="X167" s="4">
        <f>IF($K167="","",T167-W167)</f>
      </c>
    </row>
    <row r="168" spans="1:29" x14ac:dyDescent="0.25">
      <c r="A168" s="8"/>
      <c r="D168" s="9"/>
      <c r="J168" s="4"/>
      <c r="K168" s="4"/>
      <c r="L168" s="4">
        <f>IF($K168="","",K168-J168)</f>
      </c>
      <c r="M168" s="4">
        <f>IF($K168="","",L168*16.67%)</f>
      </c>
      <c r="N168" s="4"/>
      <c r="O168" s="4">
        <f>IF($K168="","",N168*20%)</f>
      </c>
      <c r="P168" s="4"/>
      <c r="Q168" s="4">
        <f>IF($K168="","",P168*20%)</f>
      </c>
      <c r="R168" s="4">
        <v>1</v>
      </c>
      <c r="S168" s="4">
        <f>IF($K168="","",Q168)</f>
      </c>
      <c r="T168" s="4">
        <f>IF($K168="","",L168-M168-N168-P168-Q168-R168)</f>
      </c>
      <c r="U168" s="4">
        <f>IF($K168="","",(T168-W168)/J168*100)</f>
      </c>
      <c r="V168" s="4">
        <f>IF($K168="","",M168-S168)</f>
      </c>
      <c r="X168" s="4">
        <f>IF($K168="","",T168-W168)</f>
      </c>
    </row>
    <row r="169" spans="1:29" x14ac:dyDescent="0.25">
      <c r="A169" s="8"/>
      <c r="D169" s="9"/>
      <c r="J169" s="4"/>
      <c r="K169" s="4"/>
      <c r="L169" s="4">
        <f>IF($K169="","",K169-J169)</f>
      </c>
      <c r="M169" s="4">
        <f>IF($K169="","",L169*16.67%)</f>
      </c>
      <c r="N169" s="4"/>
      <c r="O169" s="4">
        <f>IF($K169="","",N169*20%)</f>
      </c>
      <c r="P169" s="4"/>
      <c r="Q169" s="4">
        <f>IF($K169="","",P169*20%)</f>
      </c>
      <c r="R169" s="4">
        <v>1</v>
      </c>
      <c r="S169" s="4">
        <f>IF($K169="","",Q169)</f>
      </c>
      <c r="T169" s="4">
        <f>IF($K169="","",L169-M169-N169-P169-Q169-R169)</f>
      </c>
      <c r="U169" s="4">
        <f>IF($K169="","",(T169-W169)/J169*100)</f>
      </c>
      <c r="V169" s="4">
        <f>IF($K169="","",M169-S169)</f>
      </c>
      <c r="X169" s="4">
        <f>IF($K169="","",T169-W169)</f>
      </c>
    </row>
    <row r="170" spans="1:29" x14ac:dyDescent="0.25">
      <c r="A170" s="8"/>
      <c r="D170" s="9"/>
      <c r="J170" s="4"/>
      <c r="K170" s="4"/>
      <c r="L170" s="4">
        <f>IF($K170="","",K170-J170)</f>
      </c>
      <c r="M170" s="4">
        <f>IF($K170="","",L170*16.67%)</f>
      </c>
      <c r="N170" s="4"/>
      <c r="O170" s="4">
        <f>IF($K170="","",N170*20%)</f>
      </c>
      <c r="P170" s="4"/>
      <c r="Q170" s="4">
        <f>IF($K170="","",P170*20%)</f>
      </c>
      <c r="R170" s="4">
        <v>1</v>
      </c>
      <c r="S170" s="4">
        <f>IF($K170="","",Q170)</f>
      </c>
      <c r="T170" s="4">
        <f>IF($K170="","",L170-M170-N170-P170-Q170-R170)</f>
      </c>
      <c r="U170" s="4">
        <f>IF($K170="","",(T170-W170)/J170*100)</f>
      </c>
      <c r="V170" s="4">
        <f>IF($K170="","",M170-S170)</f>
      </c>
      <c r="X170" s="4">
        <f>IF($K170="","",T170-W170)</f>
      </c>
    </row>
    <row r="171" spans="1:29" x14ac:dyDescent="0.25">
      <c r="A171" s="8"/>
      <c r="D171" s="9"/>
      <c r="J171" s="4"/>
      <c r="K171" s="4"/>
      <c r="L171" s="4">
        <f>IF($K171="","",K171-J171)</f>
      </c>
      <c r="M171" s="4">
        <f>IF($K171="","",L171*16.67%)</f>
      </c>
      <c r="N171" s="4"/>
      <c r="O171" s="4">
        <f>IF($K171="","",N171*20%)</f>
      </c>
      <c r="P171" s="4"/>
      <c r="Q171" s="4">
        <f>IF($K171="","",P171*20%)</f>
      </c>
      <c r="R171" s="4">
        <v>1</v>
      </c>
      <c r="S171" s="4">
        <f>IF($K171="","",Q171)</f>
      </c>
      <c r="T171" s="4">
        <f>IF($K171="","",L171-M171-N171-P171-Q171-R171)</f>
      </c>
      <c r="U171" s="4">
        <f>IF($K171="","",(T171-W171)/J171*100)</f>
      </c>
      <c r="V171" s="4">
        <f>IF($K171="","",M171-S171)</f>
      </c>
      <c r="X171" s="4">
        <f>IF($K171="","",T171-W171)</f>
      </c>
    </row>
    <row r="172" spans="1:29" x14ac:dyDescent="0.25">
      <c r="A172" s="8"/>
      <c r="D172" s="9"/>
      <c r="J172" s="4"/>
      <c r="K172" s="4"/>
      <c r="L172" s="4">
        <f>IF($K172="","",K172-J172)</f>
      </c>
      <c r="M172" s="4">
        <f>IF($K172="","",L172*16.67%)</f>
      </c>
      <c r="N172" s="4"/>
      <c r="O172" s="4">
        <f>IF($K172="","",N172*20%)</f>
      </c>
      <c r="P172" s="4"/>
      <c r="Q172" s="4">
        <f>IF($K172="","",P172*20%)</f>
      </c>
      <c r="R172" s="4">
        <v>1</v>
      </c>
      <c r="S172" s="4">
        <f>IF($K172="","",Q172)</f>
      </c>
      <c r="T172" s="4">
        <f>IF($K172="","",L172-M172-N172-P172-Q172-R172)</f>
      </c>
      <c r="U172" s="4">
        <f>IF($K172="","",(T172-W172)/J172*100)</f>
      </c>
      <c r="V172" s="4">
        <f>IF($K172="","",M172-S172)</f>
      </c>
      <c r="X172" s="4">
        <f>IF($K172="","",T172-W172)</f>
      </c>
    </row>
    <row r="173" spans="1:29" x14ac:dyDescent="0.25">
      <c r="A173" s="8"/>
      <c r="D173" s="9"/>
      <c r="J173" s="4"/>
      <c r="K173" s="4"/>
      <c r="L173" s="4">
        <f>IF($K173="","",K173-J173)</f>
      </c>
      <c r="M173" s="4">
        <f>IF($K173="","",L173*16.67%)</f>
      </c>
      <c r="N173" s="4"/>
      <c r="O173" s="4">
        <f>IF($K173="","",N173*20%)</f>
      </c>
      <c r="P173" s="4"/>
      <c r="Q173" s="4">
        <f>IF($K173="","",P173*20%)</f>
      </c>
      <c r="R173" s="4">
        <v>1</v>
      </c>
      <c r="S173" s="4">
        <f>IF($K173="","",Q173)</f>
      </c>
      <c r="T173" s="4">
        <f>IF($K173="","",L173-M173-N173-P173-Q173-R173)</f>
      </c>
      <c r="U173" s="4">
        <f>IF($K173="","",(T173-W173)/J173*100)</f>
      </c>
      <c r="V173" s="4">
        <f>IF($K173="","",M173-S173)</f>
      </c>
      <c r="X173" s="4">
        <f>IF($K173="","",T173-W173)</f>
      </c>
    </row>
    <row r="174" spans="1:29" x14ac:dyDescent="0.25">
      <c r="A174" s="8"/>
      <c r="D174" s="9"/>
      <c r="J174" s="4"/>
      <c r="K174" s="4"/>
      <c r="L174" s="4">
        <f>IF($K174="","",K174-J174)</f>
      </c>
      <c r="M174" s="4">
        <f>IF($K174="","",L174*16.67%)</f>
      </c>
      <c r="N174" s="4"/>
      <c r="O174" s="4">
        <f>IF($K174="","",N174*20%)</f>
      </c>
      <c r="P174" s="4"/>
      <c r="Q174" s="4">
        <f>IF($K174="","",P174*20%)</f>
      </c>
      <c r="R174" s="4">
        <v>1</v>
      </c>
      <c r="S174" s="4">
        <f>IF($K174="","",Q174)</f>
      </c>
      <c r="T174" s="4">
        <f>IF($K174="","",L174-M174-N174-P174-Q174-R174)</f>
      </c>
      <c r="U174" s="4">
        <f>IF($K174="","",(T174-W174)/J174*100)</f>
      </c>
      <c r="V174" s="4">
        <f>IF($K174="","",M174-S174)</f>
      </c>
      <c r="X174" s="4">
        <f>IF($K174="","",T174-W174)</f>
      </c>
    </row>
    <row r="175" spans="1:29" x14ac:dyDescent="0.25">
      <c r="A175" s="8"/>
      <c r="D175" s="9"/>
      <c r="J175" s="4"/>
      <c r="K175" s="4"/>
      <c r="L175" s="4">
        <f>IF($K175="","",K175-J175)</f>
      </c>
      <c r="M175" s="4">
        <f>IF($K175="","",L175*16.67%)</f>
      </c>
      <c r="N175" s="4"/>
      <c r="O175" s="4">
        <f>IF($K175="","",N175*20%)</f>
      </c>
      <c r="P175" s="4"/>
      <c r="Q175" s="4">
        <f>IF($K175="","",P175*20%)</f>
      </c>
      <c r="R175" s="4">
        <v>1</v>
      </c>
      <c r="S175" s="4">
        <f>IF($K175="","",Q175)</f>
      </c>
      <c r="T175" s="4">
        <f>IF($K175="","",L175-M175-N175-P175-Q175-R175)</f>
      </c>
      <c r="U175" s="4">
        <f>IF($K175="","",(T175-W175)/J175*100)</f>
      </c>
      <c r="V175" s="4">
        <f>IF($K175="","",M175-S175)</f>
      </c>
      <c r="X175" s="4">
        <f>IF($K175="","",T175-W175)</f>
      </c>
    </row>
    <row r="176" spans="1:29" x14ac:dyDescent="0.25">
      <c r="A176" s="8"/>
      <c r="D176" s="9"/>
      <c r="J176" s="4"/>
      <c r="K176" s="4"/>
      <c r="L176" s="4">
        <f>IF($K176="","",K176-J176)</f>
      </c>
      <c r="M176" s="4">
        <f>IF($K176="","",L176*16.67%)</f>
      </c>
      <c r="N176" s="4"/>
      <c r="O176" s="4">
        <f>IF($K176="","",N176*20%)</f>
      </c>
      <c r="P176" s="4"/>
      <c r="Q176" s="4">
        <f>IF($K176="","",P176*20%)</f>
      </c>
      <c r="R176" s="4">
        <v>1</v>
      </c>
      <c r="S176" s="4">
        <f>IF($K176="","",Q176)</f>
      </c>
      <c r="T176" s="4">
        <f>IF($K176="","",L176-M176-N176-P176-Q176-R176)</f>
      </c>
      <c r="U176" s="4">
        <f>IF($K176="","",(T176-W176)/J176*100)</f>
      </c>
      <c r="V176" s="4">
        <f>IF($K176="","",M176-S176)</f>
      </c>
      <c r="X176" s="4">
        <f>IF($K176="","",T176-W176)</f>
      </c>
    </row>
    <row r="177" spans="1:29" x14ac:dyDescent="0.25">
      <c r="A177" s="8"/>
      <c r="D177" s="9"/>
      <c r="J177" s="4"/>
      <c r="K177" s="4"/>
      <c r="L177" s="4">
        <f>IF($K177="","",K177-J177)</f>
      </c>
      <c r="M177" s="4">
        <f>IF($K177="","",L177*16.67%)</f>
      </c>
      <c r="N177" s="4"/>
      <c r="O177" s="4">
        <f>IF($K177="","",N177*20%)</f>
      </c>
      <c r="P177" s="4"/>
      <c r="Q177" s="4">
        <f>IF($K177="","",P177*20%)</f>
      </c>
      <c r="R177" s="4">
        <v>1</v>
      </c>
      <c r="S177" s="4">
        <f>IF($K177="","",Q177)</f>
      </c>
      <c r="T177" s="4">
        <f>IF($K177="","",L177-M177-N177-P177-Q177-R177)</f>
      </c>
      <c r="U177" s="4">
        <f>IF($K177="","",(T177-W177)/J177*100)</f>
      </c>
      <c r="V177" s="4">
        <f>IF($K177="","",M177-S177)</f>
      </c>
      <c r="X177" s="4">
        <f>IF($K177="","",T177-W177)</f>
      </c>
    </row>
    <row r="178" spans="1:29" x14ac:dyDescent="0.25">
      <c r="A178" s="8"/>
      <c r="D178" s="9"/>
      <c r="J178" s="4"/>
      <c r="K178" s="4"/>
      <c r="L178" s="4">
        <f>IF($K178="","",K178-J178)</f>
      </c>
      <c r="M178" s="4">
        <f>IF($K178="","",L178*16.67%)</f>
      </c>
      <c r="N178" s="4"/>
      <c r="O178" s="4">
        <f>IF($K178="","",N178*20%)</f>
      </c>
      <c r="P178" s="4"/>
      <c r="Q178" s="4">
        <f>IF($K178="","",P178*20%)</f>
      </c>
      <c r="R178" s="4">
        <v>1</v>
      </c>
      <c r="S178" s="4">
        <f>IF($K178="","",Q178)</f>
      </c>
      <c r="T178" s="4">
        <f>IF($K178="","",L178-M178-N178-P178-Q178-R178)</f>
      </c>
      <c r="U178" s="4">
        <f>IF($K178="","",(T178-W178)/J178*100)</f>
      </c>
      <c r="V178" s="4">
        <f>IF($K178="","",M178-S178)</f>
      </c>
      <c r="X178" s="4">
        <f>IF($K178="","",T178-W178)</f>
      </c>
    </row>
    <row r="179" spans="1:29" x14ac:dyDescent="0.25">
      <c r="A179" s="8"/>
      <c r="D179" s="9"/>
      <c r="J179" s="4"/>
      <c r="K179" s="4"/>
      <c r="L179" s="4">
        <f>IF($K179="","",K179-J179)</f>
      </c>
      <c r="M179" s="4">
        <f>IF($K179="","",L179*16.67%)</f>
      </c>
      <c r="N179" s="4"/>
      <c r="O179" s="4">
        <f>IF($K179="","",N179*20%)</f>
      </c>
      <c r="P179" s="4"/>
      <c r="Q179" s="4">
        <f>IF($K179="","",P179*20%)</f>
      </c>
      <c r="R179" s="4">
        <v>1</v>
      </c>
      <c r="S179" s="4">
        <f>IF($K179="","",Q179)</f>
      </c>
      <c r="T179" s="4">
        <f>IF($K179="","",L179-M179-N179-P179-Q179-R179)</f>
      </c>
      <c r="U179" s="4">
        <f>IF($K179="","",(T179-W179)/J179*100)</f>
      </c>
      <c r="V179" s="4">
        <f>IF($K179="","",M179-S179)</f>
      </c>
      <c r="X179" s="4">
        <f>IF($K179="","",T179-W179)</f>
      </c>
    </row>
    <row r="180" spans="1:29" x14ac:dyDescent="0.25">
      <c r="A180" s="8"/>
      <c r="D180" s="9"/>
      <c r="J180" s="4"/>
      <c r="K180" s="4"/>
      <c r="L180" s="4">
        <f>IF($K180="","",K180-J180)</f>
      </c>
      <c r="M180" s="4">
        <f>IF($K180="","",L180*16.67%)</f>
      </c>
      <c r="N180" s="4"/>
      <c r="O180" s="4">
        <f>IF($K180="","",N180*20%)</f>
      </c>
      <c r="P180" s="4"/>
      <c r="Q180" s="4">
        <f>IF($K180="","",P180*20%)</f>
      </c>
      <c r="R180" s="4">
        <v>1</v>
      </c>
      <c r="S180" s="4">
        <f>IF($K180="","",Q180)</f>
      </c>
      <c r="T180" s="4">
        <f>IF($K180="","",L180-M180-N180-P180-Q180-R180)</f>
      </c>
      <c r="U180" s="4">
        <f>IF($K180="","",(T180-W180)/J180*100)</f>
      </c>
      <c r="V180" s="4">
        <f>IF($K180="","",M180-S180)</f>
      </c>
      <c r="X180" s="4">
        <f>IF($K180="","",T180-W180)</f>
      </c>
    </row>
    <row r="181" spans="1:29" x14ac:dyDescent="0.25">
      <c r="A181" s="8"/>
      <c r="D181" s="9"/>
      <c r="J181" s="4"/>
      <c r="K181" s="4"/>
      <c r="L181" s="4">
        <f>IF($K181="","",K181-J181)</f>
      </c>
      <c r="M181" s="4">
        <f>IF($K181="","",L181*16.67%)</f>
      </c>
      <c r="N181" s="4"/>
      <c r="O181" s="4">
        <f>IF($K181="","",N181*20%)</f>
      </c>
      <c r="P181" s="4"/>
      <c r="Q181" s="4">
        <f>IF($K181="","",P181*20%)</f>
      </c>
      <c r="R181" s="4">
        <v>1</v>
      </c>
      <c r="S181" s="4">
        <f>IF($K181="","",Q181)</f>
      </c>
      <c r="T181" s="4">
        <f>IF($K181="","",L181-M181-N181-P181-Q181-R181)</f>
      </c>
      <c r="U181" s="4">
        <f>IF($K181="","",(T181-W181)/J181*100)</f>
      </c>
      <c r="V181" s="4">
        <f>IF($K181="","",M181-S181)</f>
      </c>
      <c r="X181" s="4">
        <f>IF($K181="","",T181-W181)</f>
      </c>
    </row>
    <row r="182" spans="1:29" x14ac:dyDescent="0.25">
      <c r="A182" s="8"/>
      <c r="D182" s="9"/>
      <c r="J182" s="4"/>
      <c r="K182" s="4"/>
      <c r="L182" s="4">
        <f>IF($K182="","",K182-J182)</f>
      </c>
      <c r="M182" s="4">
        <f>IF($K182="","",L182*16.67%)</f>
      </c>
      <c r="N182" s="4"/>
      <c r="O182" s="4">
        <f>IF($K182="","",N182*20%)</f>
      </c>
      <c r="P182" s="4"/>
      <c r="Q182" s="4">
        <f>IF($K182="","",P182*20%)</f>
      </c>
      <c r="R182" s="4">
        <v>1</v>
      </c>
      <c r="S182" s="4">
        <f>IF($K182="","",Q182)</f>
      </c>
      <c r="T182" s="4">
        <f>IF($K182="","",L182-M182-N182-P182-Q182-R182)</f>
      </c>
      <c r="U182" s="4">
        <f>IF($K182="","",(T182-W182)/J182*100)</f>
      </c>
      <c r="V182" s="4">
        <f>IF($K182="","",M182-S182)</f>
      </c>
      <c r="X182" s="4">
        <f>IF($K182="","",T182-W182)</f>
      </c>
    </row>
    <row r="183" spans="1:29" x14ac:dyDescent="0.25">
      <c r="A183" s="8"/>
      <c r="D183" s="9"/>
      <c r="J183" s="4"/>
      <c r="K183" s="4"/>
      <c r="L183" s="4">
        <f>IF($K183="","",K183-J183)</f>
      </c>
      <c r="M183" s="4">
        <f>IF($K183="","",L183*16.67%)</f>
      </c>
      <c r="N183" s="4"/>
      <c r="O183" s="4">
        <f>IF($K183="","",N183*20%)</f>
      </c>
      <c r="P183" s="4"/>
      <c r="Q183" s="4">
        <f>IF($K183="","",P183*20%)</f>
      </c>
      <c r="R183" s="4">
        <v>1</v>
      </c>
      <c r="S183" s="4">
        <f>IF($K183="","",Q183)</f>
      </c>
      <c r="T183" s="4">
        <f>IF($K183="","",L183-M183-N183-P183-Q183-R183)</f>
      </c>
      <c r="U183" s="4">
        <f>IF($K183="","",(T183-W183)/J183*100)</f>
      </c>
      <c r="V183" s="4">
        <f>IF($K183="","",M183-S183)</f>
      </c>
      <c r="X183" s="4">
        <f>IF($K183="","",T183-W183)</f>
      </c>
    </row>
    <row r="184" spans="1:29" x14ac:dyDescent="0.25">
      <c r="A184" s="8"/>
      <c r="D184" s="9"/>
      <c r="J184" s="4"/>
      <c r="K184" s="4"/>
      <c r="L184" s="4">
        <f>IF($K184="","",K184-J184)</f>
      </c>
      <c r="M184" s="4">
        <f>IF($K184="","",L184*16.67%)</f>
      </c>
      <c r="N184" s="4"/>
      <c r="O184" s="4">
        <f>IF($K184="","",N184*20%)</f>
      </c>
      <c r="P184" s="4"/>
      <c r="Q184" s="4">
        <f>IF($K184="","",P184*20%)</f>
      </c>
      <c r="R184" s="4">
        <v>1</v>
      </c>
      <c r="S184" s="4">
        <f>IF($K184="","",Q184)</f>
      </c>
      <c r="T184" s="4">
        <f>IF($K184="","",L184-M184-N184-P184-Q184-R184)</f>
      </c>
      <c r="U184" s="4">
        <f>IF($K184="","",(T184-W184)/J184*100)</f>
      </c>
      <c r="V184" s="4">
        <f>IF($K184="","",M184-S184)</f>
      </c>
      <c r="X184" s="4">
        <f>IF($K184="","",T184-W184)</f>
      </c>
    </row>
    <row r="185" spans="1:29" x14ac:dyDescent="0.25">
      <c r="A185" s="8"/>
      <c r="D185" s="9"/>
      <c r="J185" s="4"/>
      <c r="K185" s="4"/>
      <c r="L185" s="4">
        <f>IF($K185="","",K185-J185)</f>
      </c>
      <c r="M185" s="4">
        <f>IF($K185="","",L185*16.67%)</f>
      </c>
      <c r="N185" s="4"/>
      <c r="O185" s="4">
        <f>IF($K185="","",N185*20%)</f>
      </c>
      <c r="P185" s="4"/>
      <c r="Q185" s="4">
        <f>IF($K185="","",P185*20%)</f>
      </c>
      <c r="R185" s="4">
        <v>1</v>
      </c>
      <c r="S185" s="4">
        <f>IF($K185="","",Q185)</f>
      </c>
      <c r="T185" s="4">
        <f>IF($K185="","",L185-M185-N185-P185-Q185-R185)</f>
      </c>
      <c r="U185" s="4">
        <f>IF($K185="","",(T185-W185)/J185*100)</f>
      </c>
      <c r="V185" s="4">
        <f>IF($K185="","",M185-S185)</f>
      </c>
      <c r="X185" s="4">
        <f>IF($K185="","",T185-W185)</f>
      </c>
    </row>
    <row r="186" spans="1:29" x14ac:dyDescent="0.25">
      <c r="A186" s="8"/>
      <c r="D186" s="9"/>
      <c r="J186" s="4"/>
      <c r="K186" s="4"/>
      <c r="L186" s="4">
        <f>IF($K186="","",K186-J186)</f>
      </c>
      <c r="M186" s="4">
        <f>IF($K186="","",L186*16.67%)</f>
      </c>
      <c r="N186" s="4"/>
      <c r="O186" s="4">
        <f>IF($K186="","",N186*20%)</f>
      </c>
      <c r="P186" s="4"/>
      <c r="Q186" s="4">
        <f>IF($K186="","",P186*20%)</f>
      </c>
      <c r="R186" s="4">
        <v>1</v>
      </c>
      <c r="S186" s="4">
        <f>IF($K186="","",Q186)</f>
      </c>
      <c r="T186" s="4">
        <f>IF($K186="","",L186-M186-N186-P186-Q186-R186)</f>
      </c>
      <c r="U186" s="4">
        <f>IF($K186="","",(T186-W186)/J186*100)</f>
      </c>
      <c r="V186" s="4">
        <f>IF($K186="","",M186-S186)</f>
      </c>
      <c r="X186" s="4">
        <f>IF($K186="","",T186-W186)</f>
      </c>
    </row>
    <row r="187" spans="1:29" x14ac:dyDescent="0.25">
      <c r="A187" s="8"/>
      <c r="D187" s="9"/>
      <c r="J187" s="4"/>
      <c r="K187" s="4"/>
      <c r="L187" s="4">
        <f>IF($K187="","",K187-J187)</f>
      </c>
      <c r="M187" s="4">
        <f>IF($K187="","",L187*16.67%)</f>
      </c>
      <c r="N187" s="4"/>
      <c r="O187" s="4">
        <f>IF($K187="","",N187*20%)</f>
      </c>
      <c r="P187" s="4"/>
      <c r="Q187" s="4">
        <f>IF($K187="","",P187*20%)</f>
      </c>
      <c r="R187" s="4">
        <v>1</v>
      </c>
      <c r="S187" s="4">
        <f>IF($K187="","",Q187)</f>
      </c>
      <c r="T187" s="4">
        <f>IF($K187="","",L187-M187-N187-P187-Q187-R187)</f>
      </c>
      <c r="U187" s="4">
        <f>IF($K187="","",(T187-W187)/J187*100)</f>
      </c>
      <c r="V187" s="4">
        <f>IF($K187="","",M187-S187)</f>
      </c>
      <c r="X187" s="4">
        <f>IF($K187="","",T187-W187)</f>
      </c>
    </row>
    <row r="188" spans="1:29" x14ac:dyDescent="0.25">
      <c r="A188" s="8"/>
      <c r="D188" s="9"/>
      <c r="J188" s="4"/>
      <c r="K188" s="4"/>
      <c r="L188" s="4">
        <f>IF($K188="","",K188-J188)</f>
      </c>
      <c r="M188" s="4">
        <f>IF($K188="","",L188*16.67%)</f>
      </c>
      <c r="N188" s="4"/>
      <c r="O188" s="4">
        <f>IF($K188="","",N188*20%)</f>
      </c>
      <c r="P188" s="4"/>
      <c r="Q188" s="4">
        <f>IF($K188="","",P188*20%)</f>
      </c>
      <c r="R188" s="4">
        <v>1</v>
      </c>
      <c r="S188" s="4">
        <f>IF($K188="","",Q188)</f>
      </c>
      <c r="T188" s="4">
        <f>IF($K188="","",L188-M188-N188-P188-Q188-R188)</f>
      </c>
      <c r="U188" s="4">
        <f>IF($K188="","",(T188-W188)/J188*100)</f>
      </c>
      <c r="V188" s="4">
        <f>IF($K188="","",M188-S188)</f>
      </c>
      <c r="X188" s="4">
        <f>IF($K188="","",T188-W188)</f>
      </c>
    </row>
    <row r="189" spans="1:29" x14ac:dyDescent="0.25">
      <c r="A189" s="8"/>
      <c r="D189" s="9"/>
      <c r="J189" s="4"/>
      <c r="K189" s="4"/>
      <c r="L189" s="4">
        <f>IF($K189="","",K189-J189)</f>
      </c>
      <c r="M189" s="4">
        <f>IF($K189="","",L189*16.67%)</f>
      </c>
      <c r="N189" s="4"/>
      <c r="O189" s="4">
        <f>IF($K189="","",N189*20%)</f>
      </c>
      <c r="P189" s="4"/>
      <c r="Q189" s="4">
        <f>IF($K189="","",P189*20%)</f>
      </c>
      <c r="R189" s="4">
        <v>1</v>
      </c>
      <c r="S189" s="4">
        <f>IF($K189="","",Q189)</f>
      </c>
      <c r="T189" s="4">
        <f>IF($K189="","",L189-M189-N189-P189-Q189-R189)</f>
      </c>
      <c r="U189" s="4">
        <f>IF($K189="","",(T189-W189)/J189*100)</f>
      </c>
      <c r="V189" s="4">
        <f>IF($K189="","",M189-S189)</f>
      </c>
      <c r="X189" s="4">
        <f>IF($K189="","",T189-W189)</f>
      </c>
    </row>
    <row r="190" spans="1:29" x14ac:dyDescent="0.25">
      <c r="A190" s="8"/>
      <c r="D190" s="9"/>
      <c r="J190" s="4"/>
      <c r="K190" s="4"/>
      <c r="L190" s="4">
        <f>IF($K190="","",K190-J190)</f>
      </c>
      <c r="M190" s="4">
        <f>IF($K190="","",L190*16.67%)</f>
      </c>
      <c r="N190" s="4"/>
      <c r="O190" s="4">
        <f>IF($K190="","",N190*20%)</f>
      </c>
      <c r="P190" s="4"/>
      <c r="Q190" s="4">
        <f>IF($K190="","",P190*20%)</f>
      </c>
      <c r="R190" s="4">
        <v>1</v>
      </c>
      <c r="S190" s="4">
        <f>IF($K190="","",Q190)</f>
      </c>
      <c r="T190" s="4">
        <f>IF($K190="","",L190-M190-N190-P190-Q190-R190)</f>
      </c>
      <c r="U190" s="4">
        <f>IF($K190="","",(T190-W190)/J190*100)</f>
      </c>
      <c r="V190" s="4">
        <f>IF($K190="","",M190-S190)</f>
      </c>
      <c r="X190" s="4">
        <f>IF($K190="","",T190-W190)</f>
      </c>
    </row>
    <row r="191" spans="1:29" x14ac:dyDescent="0.25">
      <c r="A191" s="8"/>
      <c r="D191" s="9"/>
      <c r="J191" s="4"/>
      <c r="K191" s="4"/>
      <c r="L191" s="4">
        <f>IF($K191="","",K191-J191)</f>
      </c>
      <c r="M191" s="4">
        <f>IF($K191="","",L191*16.67%)</f>
      </c>
      <c r="N191" s="4"/>
      <c r="O191" s="4">
        <f>IF($K191="","",N191*20%)</f>
      </c>
      <c r="P191" s="4"/>
      <c r="Q191" s="4">
        <f>IF($K191="","",P191*20%)</f>
      </c>
      <c r="R191" s="4">
        <v>1</v>
      </c>
      <c r="S191" s="4">
        <f>IF($K191="","",Q191)</f>
      </c>
      <c r="T191" s="4">
        <f>IF($K191="","",L191-M191-N191-P191-Q191-R191)</f>
      </c>
      <c r="U191" s="4">
        <f>IF($K191="","",(T191-W191)/J191*100)</f>
      </c>
      <c r="V191" s="4">
        <f>IF($K191="","",M191-S191)</f>
      </c>
      <c r="X191" s="4">
        <f>IF($K191="","",T191-W191)</f>
      </c>
    </row>
    <row r="192" spans="1:29" x14ac:dyDescent="0.25">
      <c r="A192" s="8"/>
      <c r="D192" s="9"/>
      <c r="J192" s="4"/>
      <c r="K192" s="4"/>
      <c r="L192" s="4">
        <f>IF($K192="","",K192-J192)</f>
      </c>
      <c r="M192" s="4">
        <f>IF($K192="","",L192*16.67%)</f>
      </c>
      <c r="N192" s="4"/>
      <c r="O192" s="4">
        <f>IF($K192="","",N192*20%)</f>
      </c>
      <c r="P192" s="4"/>
      <c r="Q192" s="4">
        <f>IF($K192="","",P192*20%)</f>
      </c>
      <c r="R192" s="4">
        <v>1</v>
      </c>
      <c r="S192" s="4">
        <f>IF($K192="","",Q192)</f>
      </c>
      <c r="T192" s="4">
        <f>IF($K192="","",L192-M192-N192-P192-Q192-R192)</f>
      </c>
      <c r="U192" s="4">
        <f>IF($K192="","",(T192-W192)/J192*100)</f>
      </c>
      <c r="V192" s="4">
        <f>IF($K192="","",M192-S192)</f>
      </c>
      <c r="X192" s="4">
        <f>IF($K192="","",T192-W192)</f>
      </c>
    </row>
    <row r="193" spans="1:29" x14ac:dyDescent="0.25">
      <c r="A193" s="8"/>
      <c r="D193" s="9"/>
      <c r="J193" s="4"/>
      <c r="K193" s="4"/>
      <c r="L193" s="4">
        <f>IF($K193="","",K193-J193)</f>
      </c>
      <c r="M193" s="4">
        <f>IF($K193="","",L193*16.67%)</f>
      </c>
      <c r="N193" s="4"/>
      <c r="O193" s="4">
        <f>IF($K193="","",N193*20%)</f>
      </c>
      <c r="P193" s="4"/>
      <c r="Q193" s="4">
        <f>IF($K193="","",P193*20%)</f>
      </c>
      <c r="R193" s="4">
        <v>1</v>
      </c>
      <c r="S193" s="4">
        <f>IF($K193="","",Q193)</f>
      </c>
      <c r="T193" s="4">
        <f>IF($K193="","",L193-M193-N193-P193-Q193-R193)</f>
      </c>
      <c r="U193" s="4">
        <f>IF($K193="","",(T193-W193)/J193*100)</f>
      </c>
      <c r="V193" s="4">
        <f>IF($K193="","",M193-S193)</f>
      </c>
      <c r="X193" s="4">
        <f>IF($K193="","",T193-W193)</f>
      </c>
    </row>
    <row r="194" spans="1:29" x14ac:dyDescent="0.25">
      <c r="A194" s="8"/>
      <c r="D194" s="9"/>
      <c r="J194" s="4"/>
      <c r="K194" s="4"/>
      <c r="L194" s="4">
        <f>IF($K194="","",K194-J194)</f>
      </c>
      <c r="M194" s="4">
        <f>IF($K194="","",L194*16.67%)</f>
      </c>
      <c r="N194" s="4"/>
      <c r="O194" s="4">
        <f>IF($K194="","",N194*20%)</f>
      </c>
      <c r="P194" s="4"/>
      <c r="Q194" s="4">
        <f>IF($K194="","",P194*20%)</f>
      </c>
      <c r="R194" s="4">
        <v>1</v>
      </c>
      <c r="S194" s="4">
        <f>IF($K194="","",Q194)</f>
      </c>
      <c r="T194" s="4">
        <f>IF($K194="","",L194-M194-N194-P194-Q194-R194)</f>
      </c>
      <c r="U194" s="4">
        <f>IF($K194="","",(T194-W194)/J194*100)</f>
      </c>
      <c r="V194" s="4">
        <f>IF($K194="","",M194-S194)</f>
      </c>
      <c r="X194" s="4">
        <f>IF($K194="","",T194-W194)</f>
      </c>
    </row>
    <row r="195" spans="1:29" x14ac:dyDescent="0.25">
      <c r="A195" s="8"/>
      <c r="D195" s="9"/>
      <c r="J195" s="4"/>
      <c r="K195" s="4"/>
      <c r="L195" s="4">
        <f>IF($K195="","",K195-J195)</f>
      </c>
      <c r="M195" s="4">
        <f>IF($K195="","",L195*16.67%)</f>
      </c>
      <c r="N195" s="4"/>
      <c r="O195" s="4">
        <f>IF($K195="","",N195*20%)</f>
      </c>
      <c r="P195" s="4"/>
      <c r="Q195" s="4">
        <f>IF($K195="","",P195*20%)</f>
      </c>
      <c r="R195" s="4">
        <v>1</v>
      </c>
      <c r="S195" s="4">
        <f>IF($K195="","",Q195)</f>
      </c>
      <c r="T195" s="4">
        <f>IF($K195="","",L195-M195-N195-P195-Q195-R195)</f>
      </c>
      <c r="U195" s="4">
        <f>IF($K195="","",(T195-W195)/J195*100)</f>
      </c>
      <c r="V195" s="4">
        <f>IF($K195="","",M195-S195)</f>
      </c>
      <c r="X195" s="4">
        <f>IF($K195="","",T195-W195)</f>
      </c>
    </row>
    <row r="196" spans="1:29" x14ac:dyDescent="0.25">
      <c r="A196" s="8"/>
      <c r="D196" s="9"/>
      <c r="J196" s="4"/>
      <c r="K196" s="4"/>
      <c r="L196" s="4">
        <f>IF($K196="","",K196-J196)</f>
      </c>
      <c r="M196" s="4">
        <f>IF($K196="","",L196*16.67%)</f>
      </c>
      <c r="N196" s="4"/>
      <c r="O196" s="4">
        <f>IF($K196="","",N196*20%)</f>
      </c>
      <c r="P196" s="4"/>
      <c r="Q196" s="4">
        <f>IF($K196="","",P196*20%)</f>
      </c>
      <c r="R196" s="4">
        <v>1</v>
      </c>
      <c r="S196" s="4">
        <f>IF($K196="","",Q196)</f>
      </c>
      <c r="T196" s="4">
        <f>IF($K196="","",L196-M196-N196-P196-Q196-R196)</f>
      </c>
      <c r="U196" s="4">
        <f>IF($K196="","",(T196-W196)/J196*100)</f>
      </c>
      <c r="V196" s="4">
        <f>IF($K196="","",M196-S196)</f>
      </c>
      <c r="X196" s="4">
        <f>IF($K196="","",T196-W196)</f>
      </c>
    </row>
    <row r="197" spans="1:29" x14ac:dyDescent="0.25">
      <c r="A197" s="8"/>
      <c r="D197" s="9"/>
      <c r="J197" s="4"/>
      <c r="K197" s="4"/>
      <c r="L197" s="4">
        <f>IF($K197="","",K197-J197)</f>
      </c>
      <c r="M197" s="4">
        <f>IF($K197="","",L197*16.67%)</f>
      </c>
      <c r="N197" s="4"/>
      <c r="O197" s="4">
        <f>IF($K197="","",N197*20%)</f>
      </c>
      <c r="P197" s="4"/>
      <c r="Q197" s="4">
        <f>IF($K197="","",P197*20%)</f>
      </c>
      <c r="R197" s="4">
        <v>1</v>
      </c>
      <c r="S197" s="4">
        <f>IF($K197="","",Q197)</f>
      </c>
      <c r="T197" s="4">
        <f>IF($K197="","",L197-M197-N197-P197-Q197-R197)</f>
      </c>
      <c r="U197" s="4">
        <f>IF($K197="","",(T197-W197)/J197*100)</f>
      </c>
      <c r="V197" s="4">
        <f>IF($K197="","",M197-S197)</f>
      </c>
      <c r="X197" s="4">
        <f>IF($K197="","",T197-W197)</f>
      </c>
    </row>
    <row r="198" spans="1:29" x14ac:dyDescent="0.25">
      <c r="A198" s="8"/>
      <c r="D198" s="9"/>
      <c r="J198" s="4"/>
      <c r="K198" s="4"/>
      <c r="L198" s="4">
        <f>IF($K198="","",K198-J198)</f>
      </c>
      <c r="M198" s="4">
        <f>IF($K198="","",L198*16.67%)</f>
      </c>
      <c r="N198" s="4"/>
      <c r="O198" s="4">
        <f>IF($K198="","",N198*20%)</f>
      </c>
      <c r="P198" s="4"/>
      <c r="Q198" s="4">
        <f>IF($K198="","",P198*20%)</f>
      </c>
      <c r="R198" s="4">
        <v>1</v>
      </c>
      <c r="S198" s="4">
        <f>IF($K198="","",Q198)</f>
      </c>
      <c r="T198" s="4">
        <f>IF($K198="","",L198-M198-N198-P198-Q198-R198)</f>
      </c>
      <c r="U198" s="4">
        <f>IF($K198="","",(T198-W198)/J198*100)</f>
      </c>
      <c r="V198" s="4">
        <f>IF($K198="","",M198-S198)</f>
      </c>
      <c r="X198" s="4">
        <f>IF($K198="","",T198-W198)</f>
      </c>
    </row>
    <row r="199" spans="1:29" x14ac:dyDescent="0.25">
      <c r="A199" s="8"/>
      <c r="D199" s="9"/>
      <c r="J199" s="4"/>
      <c r="K199" s="4"/>
      <c r="L199" s="4">
        <f>IF($K199="","",K199-J199)</f>
      </c>
      <c r="M199" s="4">
        <f>IF($K199="","",L199*16.67%)</f>
      </c>
      <c r="N199" s="4"/>
      <c r="O199" s="4">
        <f>IF($K199="","",N199*20%)</f>
      </c>
      <c r="P199" s="4"/>
      <c r="Q199" s="4">
        <f>IF($K199="","",P199*20%)</f>
      </c>
      <c r="R199" s="4">
        <v>1</v>
      </c>
      <c r="S199" s="4">
        <f>IF($K199="","",Q199)</f>
      </c>
      <c r="T199" s="4">
        <f>IF($K199="","",L199-M199-N199-P199-Q199-R199)</f>
      </c>
      <c r="U199" s="4">
        <f>IF($K199="","",(T199-W199)/J199*100)</f>
      </c>
      <c r="V199" s="4">
        <f>IF($K199="","",M199-S199)</f>
      </c>
      <c r="X199" s="4">
        <f>IF($K199="","",T199-W199)</f>
      </c>
    </row>
    <row r="200" spans="1:29" x14ac:dyDescent="0.25">
      <c r="A200" s="8"/>
      <c r="D200" s="9"/>
      <c r="J200" s="4"/>
      <c r="K200" s="4"/>
      <c r="L200" s="4">
        <f>IF($K200="","",K200-J200)</f>
      </c>
      <c r="M200" s="4">
        <f>IF($K200="","",L200*16.67%)</f>
      </c>
      <c r="N200" s="4"/>
      <c r="O200" s="4">
        <f>IF($K200="","",N200*20%)</f>
      </c>
      <c r="P200" s="4"/>
      <c r="Q200" s="4">
        <f>IF($K200="","",P200*20%)</f>
      </c>
      <c r="R200" s="4">
        <v>1</v>
      </c>
      <c r="S200" s="4">
        <f>IF($K200="","",Q200)</f>
      </c>
      <c r="T200" s="4">
        <f>IF($K200="","",L200-M200-N200-P200-Q200-R200)</f>
      </c>
      <c r="U200" s="4">
        <f>IF($K200="","",(T200-W200)/J200*100)</f>
      </c>
      <c r="V200" s="4">
        <f>IF($K200="","",M200-S200)</f>
      </c>
      <c r="X200" s="4">
        <f>IF($K200="","",T200-W200)</f>
      </c>
    </row>
    <row r="201" spans="1:29" x14ac:dyDescent="0.25">
      <c r="A201" s="8"/>
      <c r="D201" s="9"/>
      <c r="J201" s="4"/>
      <c r="K201" s="4"/>
      <c r="L201" s="4">
        <f>IF($K201="","",K201-J201)</f>
      </c>
      <c r="M201" s="4">
        <f>IF($K201="","",L201*16.67%)</f>
      </c>
      <c r="N201" s="4"/>
      <c r="O201" s="4">
        <f>IF($K201="","",N201*20%)</f>
      </c>
      <c r="P201" s="4"/>
      <c r="Q201" s="4">
        <f>IF($K201="","",P201*20%)</f>
      </c>
      <c r="R201" s="4">
        <v>1</v>
      </c>
      <c r="S201" s="4">
        <f>IF($K201="","",Q201)</f>
      </c>
      <c r="T201" s="4">
        <f>IF($K201="","",L201-M201-N201-P201-Q201-R201)</f>
      </c>
      <c r="U201" s="4">
        <f>IF($K201="","",(T201-W201)/J201*100)</f>
      </c>
      <c r="V201" s="4">
        <f>IF($K201="","",M201-S201)</f>
      </c>
      <c r="X201" s="4">
        <f>IF($K201="","",T201-W201)</f>
      </c>
    </row>
    <row r="202" spans="1:29" s="7" customFormat="1" x14ac:dyDescent="0.25">
      <c r="A202" s="3" t="s">
        <v>18</v>
      </c>
      <c r="B202" s="7"/>
      <c r="C202" s="7"/>
      <c r="D202" s="7"/>
      <c r="E202" s="7"/>
      <c r="F202" s="7"/>
      <c r="G202" s="7"/>
      <c r="H202" s="7"/>
      <c r="I202" s="14">
        <f>SUM(I2:I201)</f>
      </c>
      <c r="J202" s="14">
        <f>SUM(J2:J201)</f>
      </c>
      <c r="K202" s="14">
        <f>SUM(K2:K201)</f>
      </c>
      <c r="L202" s="14">
        <f>SUM(L2:L201)</f>
      </c>
      <c r="M202" s="14">
        <f>SUM(M2:M201)</f>
      </c>
      <c r="N202" s="14">
        <f>SUM(N2:N201)</f>
      </c>
      <c r="O202" s="14">
        <f>SUM(O2:O201)</f>
      </c>
      <c r="P202" s="14">
        <f>SUM(P2:P201)</f>
      </c>
      <c r="Q202" s="14">
        <f>SUM(Q2:Q201)</f>
      </c>
      <c r="R202" s="14">
        <f>SUM(R2:R201)</f>
      </c>
      <c r="S202" s="14">
        <f>SUM(S2:S201)</f>
      </c>
      <c r="T202" s="14">
        <f>SUM(T2:T201)</f>
      </c>
      <c r="U202" s="14">
        <f>IFERROR((T202-W202)/J202*100,0)</f>
      </c>
      <c r="V202" s="14">
        <f>SUM(V2:V201)</f>
      </c>
      <c r="W202" s="14">
        <f>SUM(W2:W201)</f>
      </c>
      <c r="X202" s="14">
        <f>SUM(X2:X201)</f>
      </c>
      <c r="Y202" s="7"/>
      <c r="Z202" s="7"/>
      <c r="AA202" s="7"/>
      <c r="AB202" s="7"/>
      <c r="AC202" s="7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0"/>
  <sheetFormatPr defaultRowHeight="15" outlineLevelRow="0" outlineLevelCol="0" x14ac:dyDescent="55"/>
  <cols>
    <col min="1" max="1" width="16" customWidth="1"/>
    <col min="2" max="15" width="14" customWidth="1"/>
    <col min="16" max="16" width="18" customWidth="1"/>
  </cols>
  <sheetData>
    <row r="1" spans="1:1" s="1" customFormat="1" x14ac:dyDescent="0.25">
      <c r="A1" s="1" t="s">
        <v>108</v>
      </c>
    </row>
    <row r="2" ht="46" customHeight="1" spans="1:1" x14ac:dyDescent="0.25">
      <c r="A2" s="2" t="s">
        <v>109</v>
      </c>
    </row>
    <row r="4" spans="1:16" s="3" customFormat="1" x14ac:dyDescent="0.25">
      <c r="A4" s="3" t="s">
        <v>4</v>
      </c>
      <c r="B4" s="3" t="s">
        <v>5</v>
      </c>
      <c r="C4" s="3" t="s">
        <v>110</v>
      </c>
      <c r="D4" s="3" t="s">
        <v>9</v>
      </c>
      <c r="E4" s="3" t="s">
        <v>111</v>
      </c>
      <c r="F4" s="3" t="s">
        <v>6</v>
      </c>
      <c r="G4" s="3" t="s">
        <v>7</v>
      </c>
      <c r="H4" s="3" t="s">
        <v>8</v>
      </c>
      <c r="I4" s="3" t="s">
        <v>112</v>
      </c>
      <c r="J4" s="3" t="s">
        <v>113</v>
      </c>
      <c r="K4" s="3" t="s">
        <v>114</v>
      </c>
      <c r="L4" s="3" t="s">
        <v>115</v>
      </c>
      <c r="M4" s="3" t="s">
        <v>116</v>
      </c>
      <c r="N4" s="3" t="s">
        <v>11</v>
      </c>
      <c r="O4" s="3" t="s">
        <v>12</v>
      </c>
      <c r="P4" s="3" t="s">
        <v>117</v>
      </c>
    </row>
    <row r="5" spans="1:16" x14ac:dyDescent="0.25">
      <c r="A5" t="s">
        <v>13</v>
      </c>
      <c r="B5">
        <v>3</v>
      </c>
      <c r="C5" s="4">
        <v>969.96</v>
      </c>
      <c r="D5" s="4">
        <v>102.9</v>
      </c>
      <c r="E5">
        <v>4</v>
      </c>
      <c r="F5">
        <v>3</v>
      </c>
      <c r="G5">
        <v>1</v>
      </c>
      <c r="H5">
        <v>0</v>
      </c>
      <c r="I5">
        <v>0</v>
      </c>
      <c r="J5" s="4">
        <v>73.19999999999999</v>
      </c>
      <c r="K5" s="4">
        <v>0</v>
      </c>
      <c r="L5" s="4">
        <v>0</v>
      </c>
      <c r="M5" s="4">
        <v>73.19999999999999</v>
      </c>
      <c r="N5" s="4">
        <v>29.700000000000017</v>
      </c>
      <c r="O5" s="4">
        <v>3.061981937399482</v>
      </c>
      <c r="P5" t="s">
        <v>1</v>
      </c>
    </row>
    <row r="6" spans="1:16" x14ac:dyDescent="0.25">
      <c r="A6" t="s">
        <v>15</v>
      </c>
      <c r="B6">
        <v>2</v>
      </c>
      <c r="C6" s="4">
        <v>372.97</v>
      </c>
      <c r="D6" s="4">
        <v>50.1</v>
      </c>
      <c r="E6">
        <v>1</v>
      </c>
      <c r="F6">
        <v>0</v>
      </c>
      <c r="G6">
        <v>0</v>
      </c>
      <c r="H6">
        <v>1</v>
      </c>
      <c r="I6">
        <v>0</v>
      </c>
      <c r="J6" s="4">
        <v>19.2</v>
      </c>
      <c r="K6" s="4">
        <v>0</v>
      </c>
      <c r="L6" s="4">
        <v>0</v>
      </c>
      <c r="M6" s="4">
        <v>19.2</v>
      </c>
      <c r="N6" s="4">
        <v>30.900000000000002</v>
      </c>
      <c r="O6" s="4">
        <v>8.28484864734429</v>
      </c>
      <c r="P6">
        <v>1</v>
      </c>
    </row>
    <row r="7" spans="1:16" x14ac:dyDescent="0.25">
      <c r="A7" t="s">
        <v>16</v>
      </c>
      <c r="B7">
        <v>1</v>
      </c>
      <c r="C7" s="4">
        <v>410</v>
      </c>
      <c r="D7" s="4">
        <v>44</v>
      </c>
      <c r="E7">
        <v>0</v>
      </c>
      <c r="F7">
        <v>0</v>
      </c>
      <c r="G7">
        <v>0</v>
      </c>
      <c r="H7">
        <v>0</v>
      </c>
      <c r="I7">
        <v>0</v>
      </c>
      <c r="J7" s="4">
        <v>0</v>
      </c>
      <c r="K7" s="4">
        <v>0</v>
      </c>
      <c r="L7" s="4">
        <v>0</v>
      </c>
      <c r="M7" s="4">
        <v>0</v>
      </c>
      <c r="N7" s="4">
        <v>44</v>
      </c>
      <c r="O7" s="4">
        <v>10.731707317073171</v>
      </c>
      <c r="P7" t="s">
        <v>1</v>
      </c>
    </row>
    <row r="8" spans="1:16" s="3" customFormat="1" x14ac:dyDescent="0.25">
      <c r="A8" s="3" t="s">
        <v>18</v>
      </c>
      <c r="B8" s="3">
        <v>6</v>
      </c>
      <c r="C8" s="15">
        <v>1752.93</v>
      </c>
      <c r="D8" s="15">
        <v>197</v>
      </c>
      <c r="E8" s="3">
        <v>5</v>
      </c>
      <c r="F8" s="3">
        <v>3</v>
      </c>
      <c r="G8" s="3">
        <v>1</v>
      </c>
      <c r="H8" s="3">
        <v>1</v>
      </c>
      <c r="I8" s="3">
        <v>0</v>
      </c>
      <c r="J8" s="15">
        <v>92.39999999999999</v>
      </c>
      <c r="K8" s="15">
        <v>0</v>
      </c>
      <c r="L8" s="15">
        <v>0</v>
      </c>
      <c r="M8" s="15">
        <v>92.39999999999999</v>
      </c>
      <c r="N8" s="15">
        <v>104.60000000000001</v>
      </c>
      <c r="O8" s="15">
        <v>5.967152139560622</v>
      </c>
      <c r="P8" s="3">
        <v>1</v>
      </c>
    </row>
    <row r="10" ht="28" customHeight="1" spans="1:1" x14ac:dyDescent="0.25">
      <c r="A10" s="16" t="s">
        <v>118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"/>
  <sheetFormatPr defaultRowHeight="15" outlineLevelRow="0" outlineLevelCol="0" x14ac:dyDescent="55"/>
  <cols>
    <col min="1" max="4" width="14" customWidth="1"/>
    <col min="5" max="5" width="26" customWidth="1"/>
    <col min="6" max="11" width="14" customWidth="1"/>
    <col min="12" max="12" width="28" customWidth="1"/>
  </cols>
  <sheetData>
    <row r="1" spans="1:12" s="7" customFormat="1" x14ac:dyDescent="0.25">
      <c r="A1" s="7" t="s">
        <v>26</v>
      </c>
      <c r="B1" s="7" t="s">
        <v>4</v>
      </c>
      <c r="C1" s="7" t="s">
        <v>27</v>
      </c>
      <c r="D1" s="7" t="s">
        <v>28</v>
      </c>
      <c r="E1" s="7" t="s">
        <v>119</v>
      </c>
      <c r="F1" s="7" t="s">
        <v>33</v>
      </c>
      <c r="G1" s="7" t="s">
        <v>34</v>
      </c>
      <c r="H1" s="7" t="s">
        <v>35</v>
      </c>
      <c r="I1" s="7" t="s">
        <v>36</v>
      </c>
      <c r="J1" s="7" t="s">
        <v>47</v>
      </c>
      <c r="K1" s="7" t="s">
        <v>48</v>
      </c>
      <c r="L1" s="7" t="s">
        <v>55</v>
      </c>
    </row>
    <row r="2" spans="1:12" x14ac:dyDescent="0.25">
      <c r="A2" s="10">
        <v>46224.5</v>
      </c>
      <c r="B2" s="11" t="s">
        <v>13</v>
      </c>
      <c r="C2" s="11" t="s">
        <v>63</v>
      </c>
      <c r="D2" s="11" t="s">
        <v>64</v>
      </c>
      <c r="E2" s="11" t="s">
        <v>120</v>
      </c>
      <c r="F2" s="11" t="s">
        <v>62</v>
      </c>
      <c r="G2" s="11">
        <v>1</v>
      </c>
      <c r="H2" s="13">
        <v>3.2</v>
      </c>
      <c r="I2" s="13">
        <v>9.99</v>
      </c>
      <c r="J2" s="13">
        <v>1.8</v>
      </c>
      <c r="K2" s="17">
        <v>56.32</v>
      </c>
      <c r="L2" s="11" t="s">
        <v>1</v>
      </c>
    </row>
    <row r="3" spans="1:12" x14ac:dyDescent="0.25">
      <c r="A3" s="8">
        <v>46223.5</v>
      </c>
      <c r="B3" t="s">
        <v>15</v>
      </c>
      <c r="C3" t="s">
        <v>90</v>
      </c>
      <c r="D3" t="s">
        <v>91</v>
      </c>
      <c r="E3" t="s">
        <v>121</v>
      </c>
      <c r="F3" t="s">
        <v>62</v>
      </c>
      <c r="G3">
        <v>3</v>
      </c>
      <c r="H3" s="4">
        <v>3.3</v>
      </c>
      <c r="I3" s="4">
        <v>17.97</v>
      </c>
      <c r="J3" s="4">
        <v>7.83</v>
      </c>
      <c r="K3" s="18">
        <v>237.27</v>
      </c>
      <c r="L3" t="s">
        <v>1</v>
      </c>
    </row>
    <row r="4" spans="1:12" x14ac:dyDescent="0.25">
      <c r="A4" s="8">
        <v>46222.5</v>
      </c>
      <c r="B4" t="s">
        <v>13</v>
      </c>
      <c r="C4" t="s">
        <v>67</v>
      </c>
      <c r="D4" t="s">
        <v>64</v>
      </c>
      <c r="E4" t="s">
        <v>120</v>
      </c>
      <c r="F4" t="s">
        <v>62</v>
      </c>
      <c r="G4">
        <v>4</v>
      </c>
      <c r="H4" s="4">
        <v>12.8</v>
      </c>
      <c r="I4" s="4">
        <v>39.96</v>
      </c>
      <c r="J4" s="4">
        <v>16.21</v>
      </c>
      <c r="K4" s="18">
        <v>126.63</v>
      </c>
      <c r="L4" t="s">
        <v>1</v>
      </c>
    </row>
    <row r="5" spans="1:12" s="7" customFormat="1" x14ac:dyDescent="0.25">
      <c r="A5" s="7" t="s">
        <v>18</v>
      </c>
      <c r="B5" s="7" t="s">
        <v>1</v>
      </c>
      <c r="C5" s="7" t="s">
        <v>1</v>
      </c>
      <c r="D5" s="7" t="s">
        <v>1</v>
      </c>
      <c r="E5" s="7" t="s">
        <v>1</v>
      </c>
      <c r="F5" s="7" t="s">
        <v>1</v>
      </c>
      <c r="G5" s="7">
        <f>SUM(G2:G4)</f>
      </c>
      <c r="H5" s="14">
        <f>SUM(H2:H4)</f>
      </c>
      <c r="I5" s="14">
        <f>SUM(I2:I4)</f>
      </c>
      <c r="J5" s="14">
        <f>SUM(J2:J4)</f>
      </c>
      <c r="K5" s="7" t="s">
        <v>1</v>
      </c>
      <c r="L5" s="7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0"/>
  <sheetFormatPr defaultRowHeight="15" outlineLevelRow="0" outlineLevelCol="0" x14ac:dyDescent="55"/>
  <cols>
    <col min="1" max="1" width="28" customWidth="1"/>
    <col min="2" max="2" width="24" customWidth="1"/>
  </cols>
  <sheetData>
    <row r="1" spans="1:2" x14ac:dyDescent="0.25">
      <c r="A1" s="7" t="s">
        <v>122</v>
      </c>
      <c r="B1" t="s">
        <v>123</v>
      </c>
    </row>
    <row r="2" spans="1:2" x14ac:dyDescent="0.25">
      <c r="A2" s="7" t="s">
        <v>124</v>
      </c>
      <c r="B2">
        <v>4</v>
      </c>
    </row>
    <row r="3" spans="1:2" x14ac:dyDescent="0.25">
      <c r="A3" s="7" t="s">
        <v>6</v>
      </c>
      <c r="B3">
        <v>2</v>
      </c>
    </row>
    <row r="4" spans="1:2" x14ac:dyDescent="0.25">
      <c r="A4" s="7" t="s">
        <v>7</v>
      </c>
      <c r="B4">
        <v>1</v>
      </c>
    </row>
    <row r="5" spans="1:2" x14ac:dyDescent="0.25">
      <c r="A5" s="7" t="s">
        <v>8</v>
      </c>
      <c r="B5">
        <v>1</v>
      </c>
    </row>
    <row r="6" spans="1:2" x14ac:dyDescent="0.25">
      <c r="A6" s="7" t="s">
        <v>125</v>
      </c>
      <c r="B6" s="4">
        <v>73.2</v>
      </c>
    </row>
    <row r="7" spans="1:2" x14ac:dyDescent="0.25">
      <c r="A7" s="7" t="s">
        <v>126</v>
      </c>
      <c r="B7" s="4">
        <v>18.3</v>
      </c>
    </row>
    <row r="9" spans="1:2" x14ac:dyDescent="0.25">
      <c r="A9" s="7" t="s">
        <v>127</v>
      </c>
      <c r="B9" s="7" t="s">
        <v>128</v>
      </c>
    </row>
    <row r="10" spans="1:2" x14ac:dyDescent="0.25">
      <c r="A10" s="7" t="s">
        <v>13</v>
      </c>
      <c r="B10" t="s">
        <v>129</v>
      </c>
    </row>
    <row r="11" spans="1:2" x14ac:dyDescent="0.25">
      <c r="A11" s="7" t="s">
        <v>15</v>
      </c>
      <c r="B11" t="s">
        <v>130</v>
      </c>
    </row>
    <row r="13" spans="1:2" x14ac:dyDescent="0.25">
      <c r="A13" s="7" t="s">
        <v>131</v>
      </c>
      <c r="B13" t="s">
        <v>1</v>
      </c>
    </row>
    <row r="14" spans="1:2" x14ac:dyDescent="0.25">
      <c r="A14" t="s">
        <v>132</v>
      </c>
      <c r="B14" t="s">
        <v>133</v>
      </c>
    </row>
    <row r="15" spans="1:2" x14ac:dyDescent="0.25">
      <c r="A15" t="s">
        <v>70</v>
      </c>
      <c r="B15" t="s">
        <v>134</v>
      </c>
    </row>
    <row r="16" spans="1:2" x14ac:dyDescent="0.25">
      <c r="A16" t="s">
        <v>135</v>
      </c>
      <c r="B16" t="s">
        <v>136</v>
      </c>
    </row>
    <row r="18" spans="1:2" x14ac:dyDescent="0.25">
      <c r="A18" s="7" t="s">
        <v>137</v>
      </c>
      <c r="B18" t="s">
        <v>1</v>
      </c>
    </row>
    <row r="19" spans="1:2" x14ac:dyDescent="0.25">
      <c r="A19" t="s">
        <v>138</v>
      </c>
      <c r="B19" t="s">
        <v>139</v>
      </c>
    </row>
    <row r="20" spans="1:2" x14ac:dyDescent="0.25">
      <c r="A20" t="s">
        <v>140</v>
      </c>
      <c r="B20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"/>
  <sheetFormatPr defaultRowHeight="15" outlineLevelRow="0" outlineLevelCol="0" x14ac:dyDescent="55"/>
  <sheetData>
    <row r="1" spans="1:16" x14ac:dyDescent="0.25">
      <c r="A1" t="s">
        <v>51</v>
      </c>
      <c r="B1" t="s">
        <v>141</v>
      </c>
      <c r="C1" t="s">
        <v>30</v>
      </c>
      <c r="D1" t="s">
        <v>32</v>
      </c>
      <c r="E1" t="s">
        <v>31</v>
      </c>
      <c r="F1" t="s">
        <v>33</v>
      </c>
      <c r="G1" t="s">
        <v>142</v>
      </c>
      <c r="H1" t="s">
        <v>143</v>
      </c>
      <c r="I1" t="s">
        <v>4</v>
      </c>
      <c r="J1" t="s">
        <v>144</v>
      </c>
      <c r="K1" t="s">
        <v>52</v>
      </c>
      <c r="L1" t="s">
        <v>145</v>
      </c>
      <c r="M1" t="s">
        <v>55</v>
      </c>
      <c r="N1" t="s">
        <v>146</v>
      </c>
      <c r="O1" t="s">
        <v>53</v>
      </c>
      <c r="P1" t="s">
        <v>10</v>
      </c>
    </row>
    <row r="2" spans="1:16" x14ac:dyDescent="0.25">
      <c r="A2" s="10">
        <v>46226.5</v>
      </c>
      <c r="B2" s="12" t="s">
        <v>69</v>
      </c>
      <c r="C2" s="11" t="s">
        <v>147</v>
      </c>
      <c r="D2" s="11" t="s">
        <v>61</v>
      </c>
      <c r="E2" s="11" t="s">
        <v>60</v>
      </c>
      <c r="F2" s="11" t="s">
        <v>62</v>
      </c>
      <c r="G2" s="10">
        <v>46222.5</v>
      </c>
      <c r="H2" s="13">
        <v>605</v>
      </c>
      <c r="I2" s="11" t="s">
        <v>13</v>
      </c>
      <c r="J2" s="11" t="s">
        <v>148</v>
      </c>
      <c r="K2" s="11" t="s">
        <v>70</v>
      </c>
      <c r="L2" s="11" t="s">
        <v>149</v>
      </c>
      <c r="M2" s="11" t="s">
        <v>1</v>
      </c>
      <c r="N2" s="13">
        <v>9.6</v>
      </c>
      <c r="O2" s="11">
        <v>3</v>
      </c>
      <c r="P2" s="13">
        <v>28.799999999999997</v>
      </c>
    </row>
    <row r="3" spans="1:16" x14ac:dyDescent="0.25">
      <c r="A3" s="10">
        <v>46225.5</v>
      </c>
      <c r="B3" s="12" t="s">
        <v>98</v>
      </c>
      <c r="C3" s="11" t="s">
        <v>150</v>
      </c>
      <c r="D3" s="11" t="s">
        <v>95</v>
      </c>
      <c r="E3" s="11" t="s">
        <v>60</v>
      </c>
      <c r="F3" s="11" t="s">
        <v>151</v>
      </c>
      <c r="G3" s="10">
        <v>46219.5</v>
      </c>
      <c r="H3" s="13">
        <v>375</v>
      </c>
      <c r="I3" s="11" t="s">
        <v>15</v>
      </c>
      <c r="J3" s="11" t="s">
        <v>100</v>
      </c>
      <c r="K3" s="11" t="s">
        <v>100</v>
      </c>
      <c r="L3" s="11" t="s">
        <v>152</v>
      </c>
      <c r="M3" s="11" t="s">
        <v>1</v>
      </c>
      <c r="N3" s="13">
        <v>9.6</v>
      </c>
      <c r="O3" s="11">
        <v>2</v>
      </c>
      <c r="P3" s="13">
        <v>19.2</v>
      </c>
    </row>
    <row r="4" spans="1:16" x14ac:dyDescent="0.25">
      <c r="A4" s="10">
        <v>46224.5</v>
      </c>
      <c r="B4" s="12" t="s">
        <v>75</v>
      </c>
      <c r="C4" s="11" t="s">
        <v>153</v>
      </c>
      <c r="D4" s="11" t="s">
        <v>77</v>
      </c>
      <c r="E4" s="11" t="s">
        <v>60</v>
      </c>
      <c r="F4" s="11" t="s">
        <v>62</v>
      </c>
      <c r="G4" s="10">
        <v>46218.5</v>
      </c>
      <c r="H4" s="13">
        <v>325</v>
      </c>
      <c r="I4" s="11" t="s">
        <v>13</v>
      </c>
      <c r="J4" s="11" t="s">
        <v>148</v>
      </c>
      <c r="K4" s="11" t="s">
        <v>65</v>
      </c>
      <c r="L4" s="11" t="s">
        <v>154</v>
      </c>
      <c r="M4" s="11" t="s">
        <v>155</v>
      </c>
      <c r="N4" s="13">
        <v>9.6</v>
      </c>
      <c r="O4" s="11">
        <v>2</v>
      </c>
      <c r="P4" s="13">
        <v>19.2</v>
      </c>
    </row>
    <row r="5" spans="1:16" x14ac:dyDescent="0.25">
      <c r="A5" s="10">
        <v>46227.5</v>
      </c>
      <c r="B5" s="12" t="s">
        <v>1</v>
      </c>
      <c r="C5" s="11" t="s">
        <v>120</v>
      </c>
      <c r="D5" s="11" t="s">
        <v>1</v>
      </c>
      <c r="E5" s="11" t="s">
        <v>1</v>
      </c>
      <c r="F5" s="11" t="s">
        <v>62</v>
      </c>
      <c r="G5" s="10">
        <v>46224.5</v>
      </c>
      <c r="H5" s="13">
        <v>9.99</v>
      </c>
      <c r="I5" s="11" t="s">
        <v>13</v>
      </c>
      <c r="J5" s="11" t="s">
        <v>156</v>
      </c>
      <c r="K5" s="11" t="s">
        <v>65</v>
      </c>
      <c r="L5" s="11" t="s">
        <v>66</v>
      </c>
      <c r="M5" s="11" t="s">
        <v>1</v>
      </c>
      <c r="N5" s="13">
        <v>3</v>
      </c>
      <c r="O5" s="11">
        <v>2</v>
      </c>
      <c r="P5" s="13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3"/>
  <sheetFormatPr defaultRowHeight="15" outlineLevelRow="0" outlineLevelCol="0" x14ac:dyDescent="55"/>
  <sheetData>
    <row r="1" spans="1:7" x14ac:dyDescent="0.25">
      <c r="A1" t="s">
        <v>141</v>
      </c>
      <c r="B1" t="s">
        <v>30</v>
      </c>
      <c r="C1" t="s">
        <v>157</v>
      </c>
      <c r="D1" t="s">
        <v>158</v>
      </c>
      <c r="E1" t="s">
        <v>159</v>
      </c>
      <c r="F1" t="s">
        <v>160</v>
      </c>
      <c r="G1" t="s">
        <v>55</v>
      </c>
    </row>
    <row r="2" spans="1:7" x14ac:dyDescent="0.25">
      <c r="A2" s="9" t="s">
        <v>75</v>
      </c>
      <c r="B2" t="s">
        <v>153</v>
      </c>
      <c r="C2" s="8">
        <v>46204.5</v>
      </c>
      <c r="D2" t="s">
        <v>161</v>
      </c>
      <c r="E2" t="s">
        <v>62</v>
      </c>
      <c r="F2" s="4">
        <v>200</v>
      </c>
      <c r="G2" t="s">
        <v>1</v>
      </c>
    </row>
    <row r="3" spans="1:7" x14ac:dyDescent="0.25">
      <c r="A3" s="9" t="s">
        <v>75</v>
      </c>
      <c r="B3" t="s">
        <v>153</v>
      </c>
      <c r="C3" s="8">
        <v>46218.5</v>
      </c>
      <c r="D3" t="s">
        <v>162</v>
      </c>
      <c r="E3" t="s">
        <v>163</v>
      </c>
      <c r="F3" s="4">
        <v>325</v>
      </c>
      <c r="G3" t="s">
        <v>1</v>
      </c>
    </row>
    <row r="4" spans="1:7" x14ac:dyDescent="0.25">
      <c r="A4" s="9" t="s">
        <v>75</v>
      </c>
      <c r="B4" t="s">
        <v>153</v>
      </c>
      <c r="C4" s="8">
        <v>46218.5</v>
      </c>
      <c r="D4" t="s">
        <v>162</v>
      </c>
      <c r="E4" t="s">
        <v>164</v>
      </c>
      <c r="F4" s="4">
        <v>325</v>
      </c>
      <c r="G4" t="s">
        <v>1</v>
      </c>
    </row>
    <row r="5" spans="1:7" x14ac:dyDescent="0.25">
      <c r="A5" s="12" t="s">
        <v>75</v>
      </c>
      <c r="B5" s="11" t="s">
        <v>153</v>
      </c>
      <c r="C5" s="10">
        <v>46224.5</v>
      </c>
      <c r="D5" s="11" t="s">
        <v>165</v>
      </c>
      <c r="E5" s="11" t="s">
        <v>166</v>
      </c>
      <c r="F5" s="13">
        <v>-19.2</v>
      </c>
      <c r="G5" s="11" t="s">
        <v>155</v>
      </c>
    </row>
    <row r="6" spans="1:7" x14ac:dyDescent="0.25">
      <c r="A6" s="12" t="s">
        <v>75</v>
      </c>
      <c r="B6" s="11" t="s">
        <v>153</v>
      </c>
      <c r="C6" s="10">
        <v>46224.5</v>
      </c>
      <c r="D6" s="11" t="s">
        <v>165</v>
      </c>
      <c r="E6" s="11" t="s">
        <v>166</v>
      </c>
      <c r="F6" s="13">
        <v>-19.2</v>
      </c>
      <c r="G6" s="11" t="s">
        <v>1</v>
      </c>
    </row>
    <row r="7" spans="1:7" x14ac:dyDescent="0.25">
      <c r="A7" s="9" t="s">
        <v>98</v>
      </c>
      <c r="B7" t="s">
        <v>150</v>
      </c>
      <c r="C7" s="8">
        <v>46204.5</v>
      </c>
      <c r="D7" t="s">
        <v>161</v>
      </c>
      <c r="E7" t="s">
        <v>151</v>
      </c>
      <c r="F7" s="4">
        <v>200</v>
      </c>
      <c r="G7" t="s">
        <v>1</v>
      </c>
    </row>
    <row r="8" spans="1:7" x14ac:dyDescent="0.25">
      <c r="A8" s="9" t="s">
        <v>98</v>
      </c>
      <c r="B8" t="s">
        <v>150</v>
      </c>
      <c r="C8" s="8">
        <v>46219.5</v>
      </c>
      <c r="D8" t="s">
        <v>162</v>
      </c>
      <c r="E8" t="s">
        <v>167</v>
      </c>
      <c r="F8" s="4">
        <v>375</v>
      </c>
      <c r="G8" t="s">
        <v>1</v>
      </c>
    </row>
    <row r="9" spans="1:7" x14ac:dyDescent="0.25">
      <c r="A9" s="12" t="s">
        <v>98</v>
      </c>
      <c r="B9" s="11" t="s">
        <v>150</v>
      </c>
      <c r="C9" s="10">
        <v>46225.5</v>
      </c>
      <c r="D9" s="11" t="s">
        <v>165</v>
      </c>
      <c r="E9" s="11" t="s">
        <v>168</v>
      </c>
      <c r="F9" s="13">
        <v>-19.2</v>
      </c>
      <c r="G9" s="11" t="s">
        <v>1</v>
      </c>
    </row>
    <row r="10" spans="1:7" x14ac:dyDescent="0.25">
      <c r="A10" s="9" t="s">
        <v>98</v>
      </c>
      <c r="B10" t="s">
        <v>150</v>
      </c>
      <c r="C10" s="8">
        <v>46225.5</v>
      </c>
      <c r="D10" t="s">
        <v>169</v>
      </c>
      <c r="E10" t="s">
        <v>100</v>
      </c>
      <c r="F10" s="4"/>
      <c r="G10" t="s">
        <v>1</v>
      </c>
    </row>
    <row r="11" spans="1:7" x14ac:dyDescent="0.25">
      <c r="A11" s="9" t="s">
        <v>69</v>
      </c>
      <c r="B11" t="s">
        <v>147</v>
      </c>
      <c r="C11" s="8">
        <v>46204.5</v>
      </c>
      <c r="D11" t="s">
        <v>161</v>
      </c>
      <c r="E11" t="s">
        <v>62</v>
      </c>
      <c r="F11" s="4">
        <v>200</v>
      </c>
      <c r="G11" t="s">
        <v>1</v>
      </c>
    </row>
    <row r="12" spans="1:7" x14ac:dyDescent="0.25">
      <c r="A12" s="9" t="s">
        <v>69</v>
      </c>
      <c r="B12" t="s">
        <v>147</v>
      </c>
      <c r="C12" s="8">
        <v>46222.5</v>
      </c>
      <c r="D12" t="s">
        <v>162</v>
      </c>
      <c r="E12" t="s">
        <v>170</v>
      </c>
      <c r="F12" s="4">
        <v>605</v>
      </c>
      <c r="G12" t="s">
        <v>1</v>
      </c>
    </row>
    <row r="13" spans="1:7" x14ac:dyDescent="0.25">
      <c r="A13" s="12" t="s">
        <v>69</v>
      </c>
      <c r="B13" s="11" t="s">
        <v>147</v>
      </c>
      <c r="C13" s="10">
        <v>46226.5</v>
      </c>
      <c r="D13" s="11" t="s">
        <v>165</v>
      </c>
      <c r="E13" s="11" t="s">
        <v>171</v>
      </c>
      <c r="F13" s="13">
        <v>-28.799999999999997</v>
      </c>
      <c r="G13" s="11" t="s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AMAZON</vt:lpstr>
      <vt:lpstr>BM</vt:lpstr>
      <vt:lpstr>EBAY</vt:lpstr>
      <vt:lpstr>ONBUY</vt:lpstr>
      <vt:lpstr>TEMU</vt:lpstr>
      <vt:lpstr>Returns &amp; Profit</vt:lpstr>
      <vt:lpstr>Accessories</vt:lpstr>
      <vt:lpstr>Returns Summary</vt:lpstr>
      <vt:lpstr>Returns Detail</vt:lpstr>
      <vt:lpstr>Unit Histories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2026-08-11T16:04:25Z</dcterms:created>
  <dcterms:modified xsi:type="dcterms:W3CDTF">2026-08-11T16:04:25Z</dcterms:modified>
</cp:coreProperties>
</file>