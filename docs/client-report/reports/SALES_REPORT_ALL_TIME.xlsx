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<sst xmlns="http://schemas.openxmlformats.org/spreadsheetml/2006/main" count="526" uniqueCount="183">
  <si>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</si>
  <si>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</si>
  <si>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</si>
  <si>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</si>
  <si>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</si>
  <si>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</si>
  <si>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</si>
  <si>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</si>
  <si>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</si>
  <si>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</si>
  <si>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</si>
  <si>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</si>
  <si>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</si>
  <si>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</si>
  <si>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</si>
  <si>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</si>
  <si>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</si>
  <si>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</si>
  <si>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</si>
  <si>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</si>
  <si>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</si>
  <si>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</si>
  <si>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</si>
  <si>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</si>
  <si>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</si>
  <si>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</si>
  <si>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</si>
  <si>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</si>
  <si>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</si>
  <si>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</si>
  <si>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</si>
  <si>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</si>
  <si>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</si>
  <si>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</si>
  <si>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</si>
  <si>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</si>
  <si>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</si>
  <si>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</si>
  <si>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</si>
  <si>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</si>
  <si>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</si>
  <si>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</si>
  <si>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</si>
  <si>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</si>
  <si>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</si>
  <si>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</si>
  <si>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</si>
  <si>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</si>
  <si>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</si>
  <si>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</si>
  <si>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</si>
  <si>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</si>
  <si>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</si>
  <si>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</si>
  <si>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</si>
  <si>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</si>
  <si>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</si>
  <si>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</si>
  <si>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</si>
  <si>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</si>
  <si>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</si>
  <si>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</si>
  <si>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AMZ-1009</t>
  </si>
  <si>
    <t>IP14-256-PUR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</si>
  <si>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</si>
  <si>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</si>
  <si>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</si>
  <si>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</si>
  <si>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</si>
  <si>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</si>
  <si>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</si>
  <si>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</si>
  <si>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</si>
  <si>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</si>
  <si>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</si>
  <si>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</si>
  <si>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</si>
  <si>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</si>
  <si>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</si>
  <si>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</si>
  <si>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IP12-64-BLK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</si>
  <si>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</si>
  <si>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</si>
  <si>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</si>
  <si>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</si>
  <si>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</si>
  <si>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</si>
  <si>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</si>
  <si>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</si>
  <si>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</si>
  <si>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</si>
  <si>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</si>
  <si>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</si>
  <si>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</si>
  <si>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</si>
  <si>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</si>
  <si>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</si>
  <si>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</si>
  <si>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</si>
  <si>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</si>
  <si>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</si>
  <si>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IP12-128-BLK</t>
  </si>
  <si>
    <t>350000000000302</t>
  </si>
  <si>
    <t>128GB</t>
  </si>
  <si>
    <t>EB-2007</t>
  </si>
  <si>
    <t>S22-128-GRN</t>
  </si>
  <si>
    <t>350000000000402</t>
  </si>
  <si>
    <t>In Repair</t>
  </si>
  <si>
    <t>In Repair — Cracked rear glass in transit</t>
  </si>
  <si>
    <t>VAT 20%</t>
  </si>
  <si>
    <t>OB-3001</t>
  </si>
  <si>
    <t>IP13-128-MID</t>
  </si>
  <si>
    <t>350000000000303</t>
  </si>
  <si>
    <t>iPhone 13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</si>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</sst>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356.98+SUM('AMAZON'!$V$9:$V$208)</f>
      </c>
      <c r="G6" s="4">
        <v>60.17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99.57+SUM('EBAY'!$Y$5:$Y$204)</f>
      </c>
      <c r="G8" s="4">
        <v>19.68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9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46226.5</v>
      </c>
      <c r="B2" t="s">
        <v>62</v>
      </c>
      <c r="C2" t="s">
        <v>63</v>
      </c>
      <c r="D2" s="9" t="s">
        <v>64</v>
      </c>
      <c r="E2" t="s">
        <v>65</v>
      </c>
      <c r="F2" t="s">
        <v>66</v>
      </c>
      <c r="G2" t="s">
        <v>67</v>
      </c>
      <c r="H2" t="s">
        <v>68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(V2-AC2)/J2*100</f>
      </c>
      <c r="X2" s="4">
        <f>M2-U2</f>
      </c>
      <c r="AD2" s="4">
        <f>V2-AC2</f>
      </c>
      <c r="AI2" t="s">
        <v>1</v>
      </c>
    </row>
    <row r="3" spans="1:35" x14ac:dyDescent="0.25">
      <c r="A3" s="10">
        <v>46224.5</v>
      </c>
      <c r="B3" s="11" t="s">
        <v>69</v>
      </c>
      <c r="C3" s="11" t="s">
        <v>70</v>
      </c>
      <c r="D3" s="12" t="s">
        <v>1</v>
      </c>
      <c r="E3" s="11" t="s">
        <v>70</v>
      </c>
      <c r="F3" s="11" t="s">
        <v>1</v>
      </c>
      <c r="G3" s="11" t="s">
        <v>1</v>
      </c>
      <c r="H3" s="11" t="s">
        <v>68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0</v>
      </c>
      <c r="U3" s="13">
        <f>O3+Q3+S3</f>
      </c>
      <c r="V3" s="13">
        <f>L3-M3-N3-O3-P3-Q3-R3-S3-T3</f>
      </c>
      <c r="W3" s="13">
        <f>(V3-AC3)/J3*100</f>
      </c>
      <c r="X3" s="13">
        <f>M3-U3</f>
      </c>
      <c r="Y3" s="13">
        <v>6</v>
      </c>
      <c r="Z3" s="13">
        <v>0.17</v>
      </c>
      <c r="AA3" s="11"/>
      <c r="AB3" s="11"/>
      <c r="AC3" s="13">
        <f>Y3+Z3+AA3-AB3</f>
      </c>
      <c r="AD3" s="13">
        <f>V3-AC3</f>
      </c>
      <c r="AE3" s="10">
        <v>46227.5</v>
      </c>
      <c r="AF3" s="11" t="s">
        <v>71</v>
      </c>
      <c r="AG3" s="11">
        <v>2</v>
      </c>
      <c r="AH3" s="11" t="s">
        <v>72</v>
      </c>
      <c r="AI3" s="11" t="s">
        <v>1</v>
      </c>
    </row>
    <row r="4" spans="1:35" x14ac:dyDescent="0.25">
      <c r="A4" s="8">
        <v>46222.5</v>
      </c>
      <c r="B4" t="s">
        <v>73</v>
      </c>
      <c r="C4" t="s">
        <v>70</v>
      </c>
      <c r="D4" s="9" t="s">
        <v>1</v>
      </c>
      <c r="E4" t="s">
        <v>70</v>
      </c>
      <c r="F4" t="s">
        <v>1</v>
      </c>
      <c r="G4" t="s">
        <v>1</v>
      </c>
      <c r="H4" t="s">
        <v>68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0</v>
      </c>
      <c r="U4" s="4">
        <f>O4+Q4+S4</f>
      </c>
      <c r="V4" s="4">
        <f>L4-M4-N4-O4-P4-Q4-R4-S4-T4</f>
      </c>
      <c r="W4" s="4">
        <f>(V4-AC4)/J4*100</f>
      </c>
      <c r="X4" s="4">
        <f>M4-U4</f>
      </c>
      <c r="AD4" s="4">
        <f>V4-AC4</f>
      </c>
      <c r="AI4" t="s">
        <v>1</v>
      </c>
    </row>
    <row r="5" spans="1:35" x14ac:dyDescent="0.25">
      <c r="A5" s="10">
        <v>46222.5</v>
      </c>
      <c r="B5" s="11" t="s">
        <v>74</v>
      </c>
      <c r="C5" s="11" t="s">
        <v>63</v>
      </c>
      <c r="D5" s="12" t="s">
        <v>75</v>
      </c>
      <c r="E5" s="11" t="s">
        <v>65</v>
      </c>
      <c r="F5" s="11" t="s">
        <v>66</v>
      </c>
      <c r="G5" s="11" t="s">
        <v>67</v>
      </c>
      <c r="H5" s="11" t="s">
        <v>68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(V5-AC5)/J5*100</f>
      </c>
      <c r="X5" s="13">
        <f>M5-U5</f>
      </c>
      <c r="Y5" s="13">
        <v>28.799999999999997</v>
      </c>
      <c r="Z5" s="11"/>
      <c r="AA5" s="11"/>
      <c r="AB5" s="11"/>
      <c r="AC5" s="13">
        <f>Y5+Z5+AA5-AB5</f>
      </c>
      <c r="AD5" s="13">
        <f>V5-AC5</f>
      </c>
      <c r="AE5" s="10">
        <v>46226.5</v>
      </c>
      <c r="AF5" s="11" t="s">
        <v>76</v>
      </c>
      <c r="AG5" s="11">
        <v>3</v>
      </c>
      <c r="AH5" s="11" t="s">
        <v>77</v>
      </c>
      <c r="AI5" s="11" t="s">
        <v>78</v>
      </c>
    </row>
    <row r="6" spans="1:35" x14ac:dyDescent="0.25">
      <c r="A6" s="10">
        <v>46218.5</v>
      </c>
      <c r="B6" s="11" t="s">
        <v>79</v>
      </c>
      <c r="C6" s="11" t="s">
        <v>80</v>
      </c>
      <c r="D6" s="12" t="s">
        <v>81</v>
      </c>
      <c r="E6" s="11" t="s">
        <v>82</v>
      </c>
      <c r="F6" s="11" t="s">
        <v>66</v>
      </c>
      <c r="G6" s="11" t="s">
        <v>83</v>
      </c>
      <c r="H6" s="11" t="s">
        <v>68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(V6-AC6)/J6*100</f>
      </c>
      <c r="X6" s="13">
        <f>M6-U6</f>
      </c>
      <c r="Y6" s="13">
        <v>19.2</v>
      </c>
      <c r="Z6" s="13">
        <v>6</v>
      </c>
      <c r="AA6" s="11"/>
      <c r="AB6" s="11"/>
      <c r="AC6" s="13">
        <f>Y6+Z6+AA6-AB6</f>
      </c>
      <c r="AD6" s="13">
        <f>V6-AC6</f>
      </c>
      <c r="AE6" s="10">
        <v>46224.5</v>
      </c>
      <c r="AF6" s="11" t="s">
        <v>71</v>
      </c>
      <c r="AG6" s="11">
        <v>2</v>
      </c>
      <c r="AH6" s="11" t="s">
        <v>84</v>
      </c>
      <c r="AI6" s="11" t="s">
        <v>1</v>
      </c>
    </row>
    <row r="7" spans="1:35" x14ac:dyDescent="0.25">
      <c r="A7" s="10">
        <v>46218.5</v>
      </c>
      <c r="B7" s="11" t="s">
        <v>85</v>
      </c>
      <c r="C7" s="11" t="s">
        <v>80</v>
      </c>
      <c r="D7" s="12" t="s">
        <v>81</v>
      </c>
      <c r="E7" s="11" t="s">
        <v>82</v>
      </c>
      <c r="F7" s="11" t="s">
        <v>66</v>
      </c>
      <c r="G7" s="11" t="s">
        <v>83</v>
      </c>
      <c r="H7" s="11" t="s">
        <v>68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(V7-AC7)/J7*100</f>
      </c>
      <c r="X7" s="13">
        <f>M7-U7</f>
      </c>
      <c r="Y7" s="13">
        <v>19.2</v>
      </c>
      <c r="Z7" s="13">
        <v>6</v>
      </c>
      <c r="AA7" s="11"/>
      <c r="AB7" s="11"/>
      <c r="AC7" s="13">
        <f>Y7+Z7+AA7-AB7</f>
      </c>
      <c r="AD7" s="13">
        <f>V7-AC7</f>
      </c>
      <c r="AE7" s="10">
        <v>46224.5</v>
      </c>
      <c r="AF7" s="11" t="s">
        <v>71</v>
      </c>
      <c r="AG7" s="11">
        <v>2</v>
      </c>
      <c r="AH7" s="11" t="s">
        <v>84</v>
      </c>
      <c r="AI7" s="11" t="s">
        <v>1</v>
      </c>
    </row>
    <row r="8" spans="1:35" x14ac:dyDescent="0.25">
      <c r="A8" s="8">
        <v>46213.5</v>
      </c>
      <c r="B8" t="s">
        <v>86</v>
      </c>
      <c r="C8" t="s">
        <v>80</v>
      </c>
      <c r="D8" s="9" t="s">
        <v>87</v>
      </c>
      <c r="E8" t="s">
        <v>82</v>
      </c>
      <c r="F8" t="s">
        <v>66</v>
      </c>
      <c r="G8" t="s">
        <v>83</v>
      </c>
      <c r="H8" t="s">
        <v>68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(V8-AC8)/J8*100</f>
      </c>
      <c r="X8" s="4">
        <f>M8-U8</f>
      </c>
      <c r="AD8" s="4">
        <f>V8-AC8</f>
      </c>
      <c r="AI8" t="s">
        <v>1</v>
      </c>
    </row>
    <row r="9" spans="1:35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IF($K205="","",(V205-AC205)/J205*100)</f>
      </c>
      <c r="X205" s="4">
        <f>IF($K205="","",M205-U205)</f>
      </c>
      <c r="AD205" s="4">
        <f>IF($K205="","",V205-AC205)</f>
      </c>
    </row>
    <row r="206" spans="1:35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IF($K206="","",(V206-AC206)/J206*100)</f>
      </c>
      <c r="X206" s="4">
        <f>IF($K206="","",M206-U206)</f>
      </c>
      <c r="AD206" s="4">
        <f>IF($K206="","",V206-AC206)</f>
      </c>
    </row>
    <row r="207" spans="1:35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IF($K207="","",(V207-AC207)/J207*100)</f>
      </c>
      <c r="X207" s="4">
        <f>IF($K207="","",M207-U207)</f>
      </c>
      <c r="AD207" s="4">
        <f>IF($K207="","",V207-AC207)</f>
      </c>
    </row>
    <row r="208" spans="1:35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IF($K208="","",(V208-AC208)/J208*100)</f>
      </c>
      <c r="X208" s="4">
        <f>IF($K208="","",M208-U208)</f>
      </c>
      <c r="AD208" s="4">
        <f>IF($K208="","",V208-AC208)</f>
      </c>
    </row>
    <row r="209" spans="1:35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IFERROR((V209-AC209)/J209*100,0)</f>
      </c>
      <c r="X209" s="14">
        <f>SUM(X2:X208)</f>
      </c>
      <c r="Y209" s="14">
        <f>SUM(Y2:Y208)</f>
      </c>
      <c r="Z209" s="14">
        <f>SUM(Z2:Z208)</f>
      </c>
      <c r="AA209" s="14">
        <f>SUM(AA2:AA208)</f>
      </c>
      <c r="AB209" s="14">
        <f>SUM(AB2:AB208)</f>
      </c>
      <c r="AC209" s="14">
        <f>SUM(AC2:AC208)</f>
      </c>
      <c r="AD209" s="14">
        <f>SUM(AD2:AD208)</f>
      </c>
      <c r="AE209" s="7"/>
      <c r="AF209" s="7"/>
      <c r="AG209" s="7"/>
      <c r="AH209" s="7"/>
      <c r="AI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88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89</v>
      </c>
      <c r="Q1" t="s">
        <v>90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/>
      <c r="D2" s="9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8"/>
      <c r="D3" s="9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8"/>
      <c r="D4" s="9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8"/>
      <c r="D5" s="9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8"/>
      <c r="D6" s="9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8"/>
      <c r="D7" s="9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8"/>
      <c r="D8" s="9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8"/>
      <c r="D9" s="9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8"/>
      <c r="D10" s="9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8"/>
      <c r="D11" s="9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8"/>
      <c r="D12" s="9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8"/>
      <c r="D13" s="9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8"/>
      <c r="D14" s="9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8"/>
      <c r="D15" s="9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8"/>
      <c r="D16" s="9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8"/>
      <c r="D17" s="9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8"/>
      <c r="D18" s="9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8"/>
      <c r="D19" s="9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8"/>
      <c r="D20" s="9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8"/>
      <c r="D21" s="9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8"/>
      <c r="D22" s="9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8"/>
      <c r="D23" s="9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8"/>
      <c r="D24" s="9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8"/>
      <c r="D25" s="9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8"/>
      <c r="D26" s="9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8"/>
      <c r="D27" s="9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8"/>
      <c r="D28" s="9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8"/>
      <c r="D29" s="9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8"/>
      <c r="D30" s="9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8"/>
      <c r="D31" s="9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8"/>
      <c r="D32" s="9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8"/>
      <c r="D33" s="9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8"/>
      <c r="D34" s="9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8"/>
      <c r="D35" s="9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8"/>
      <c r="D36" s="9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8"/>
      <c r="D37" s="9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8"/>
      <c r="D38" s="9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8"/>
      <c r="D39" s="9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8"/>
      <c r="D40" s="9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8"/>
      <c r="D41" s="9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8"/>
      <c r="D42" s="9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8"/>
      <c r="D43" s="9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8"/>
      <c r="D44" s="9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8"/>
      <c r="D45" s="9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8"/>
      <c r="D46" s="9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8"/>
      <c r="D47" s="9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8"/>
      <c r="D48" s="9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8"/>
      <c r="D49" s="9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8"/>
      <c r="D50" s="9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8"/>
      <c r="D51" s="9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8"/>
      <c r="D52" s="9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8"/>
      <c r="D53" s="9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8"/>
      <c r="D54" s="9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8"/>
      <c r="D55" s="9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8"/>
      <c r="D56" s="9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8"/>
      <c r="D57" s="9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8"/>
      <c r="D58" s="9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8"/>
      <c r="D59" s="9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8"/>
      <c r="D60" s="9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8"/>
      <c r="D61" s="9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8"/>
      <c r="D62" s="9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8"/>
      <c r="D63" s="9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8"/>
      <c r="D64" s="9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8"/>
      <c r="D65" s="9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8"/>
      <c r="D66" s="9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8"/>
      <c r="D67" s="9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8"/>
      <c r="D68" s="9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8"/>
      <c r="D69" s="9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8"/>
      <c r="D70" s="9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8"/>
      <c r="D71" s="9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8"/>
      <c r="D72" s="9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8"/>
      <c r="D73" s="9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8"/>
      <c r="D74" s="9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8"/>
      <c r="D75" s="9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8"/>
      <c r="D76" s="9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8"/>
      <c r="D77" s="9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8"/>
      <c r="D78" s="9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8"/>
      <c r="D79" s="9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8"/>
      <c r="D80" s="9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8"/>
      <c r="D81" s="9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8"/>
      <c r="D82" s="9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8"/>
      <c r="D83" s="9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8"/>
      <c r="D84" s="9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8"/>
      <c r="D85" s="9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8"/>
      <c r="D86" s="9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8"/>
      <c r="D87" s="9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8"/>
      <c r="D88" s="9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8"/>
      <c r="D89" s="9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8"/>
      <c r="D90" s="9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8"/>
      <c r="D91" s="9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8"/>
      <c r="D92" s="9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8"/>
      <c r="D93" s="9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8"/>
      <c r="D94" s="9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8"/>
      <c r="D95" s="9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8"/>
      <c r="D96" s="9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8"/>
      <c r="D97" s="9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8"/>
      <c r="D98" s="9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8"/>
      <c r="D99" s="9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8"/>
      <c r="D100" s="9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8"/>
      <c r="D101" s="9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8"/>
      <c r="D102" s="9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8"/>
      <c r="D103" s="9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8"/>
      <c r="D104" s="9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8"/>
      <c r="D105" s="9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8"/>
      <c r="D106" s="9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8"/>
      <c r="D107" s="9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8"/>
      <c r="D108" s="9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8"/>
      <c r="D109" s="9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8"/>
      <c r="D110" s="9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8"/>
      <c r="D111" s="9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8"/>
      <c r="D112" s="9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8"/>
      <c r="D113" s="9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8"/>
      <c r="D114" s="9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8"/>
      <c r="D115" s="9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8"/>
      <c r="D116" s="9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8"/>
      <c r="D117" s="9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8"/>
      <c r="D118" s="9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8"/>
      <c r="D119" s="9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8"/>
      <c r="D120" s="9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8"/>
      <c r="D121" s="9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8"/>
      <c r="D122" s="9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8"/>
      <c r="D123" s="9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8"/>
      <c r="D124" s="9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8"/>
      <c r="D125" s="9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8"/>
      <c r="D126" s="9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8"/>
      <c r="D127" s="9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8"/>
      <c r="D128" s="9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8"/>
      <c r="D129" s="9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8"/>
      <c r="D130" s="9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8"/>
      <c r="D131" s="9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8"/>
      <c r="D132" s="9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8"/>
      <c r="D133" s="9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8"/>
      <c r="D134" s="9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8"/>
      <c r="D135" s="9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8"/>
      <c r="D136" s="9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8"/>
      <c r="D137" s="9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8"/>
      <c r="D138" s="9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8"/>
      <c r="D139" s="9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8"/>
      <c r="D140" s="9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8"/>
      <c r="D141" s="9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8"/>
      <c r="D142" s="9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8"/>
      <c r="D143" s="9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8"/>
      <c r="D144" s="9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8"/>
      <c r="D145" s="9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8"/>
      <c r="D146" s="9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8"/>
      <c r="D147" s="9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8"/>
      <c r="D148" s="9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8"/>
      <c r="D149" s="9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8"/>
      <c r="D150" s="9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8"/>
      <c r="D151" s="9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8"/>
      <c r="D152" s="9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8"/>
      <c r="D153" s="9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8"/>
      <c r="D154" s="9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8"/>
      <c r="D155" s="9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8"/>
      <c r="D156" s="9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8"/>
      <c r="D157" s="9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8"/>
      <c r="D158" s="9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8"/>
      <c r="D159" s="9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8"/>
      <c r="D160" s="9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8"/>
      <c r="D161" s="9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8"/>
      <c r="D162" s="9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8"/>
      <c r="D163" s="9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8"/>
      <c r="D164" s="9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8"/>
      <c r="D165" s="9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8"/>
      <c r="D166" s="9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8"/>
      <c r="D167" s="9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8"/>
      <c r="D168" s="9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8"/>
      <c r="D169" s="9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8"/>
      <c r="D170" s="9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8"/>
      <c r="D171" s="9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8"/>
      <c r="D172" s="9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8"/>
      <c r="D173" s="9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8"/>
      <c r="D174" s="9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8"/>
      <c r="D175" s="9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8"/>
      <c r="D176" s="9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8"/>
      <c r="D177" s="9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8"/>
      <c r="D178" s="9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8"/>
      <c r="D179" s="9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8"/>
      <c r="D180" s="9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8"/>
      <c r="D181" s="9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8"/>
      <c r="D182" s="9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8"/>
      <c r="D183" s="9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8"/>
      <c r="D184" s="9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8"/>
      <c r="D185" s="9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8"/>
      <c r="D186" s="9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8"/>
      <c r="D187" s="9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8"/>
      <c r="D188" s="9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8"/>
      <c r="D189" s="9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8"/>
      <c r="D190" s="9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8"/>
      <c r="D191" s="9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8"/>
      <c r="D192" s="9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8"/>
      <c r="D193" s="9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8"/>
      <c r="D194" s="9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8"/>
      <c r="D195" s="9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8"/>
      <c r="D196" s="9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8"/>
      <c r="D197" s="9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8"/>
      <c r="D198" s="9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8"/>
      <c r="D199" s="9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8"/>
      <c r="D200" s="9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8"/>
      <c r="D201" s="9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5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91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92</v>
      </c>
      <c r="P1" t="s">
        <v>93</v>
      </c>
      <c r="Q1" t="s">
        <v>94</v>
      </c>
      <c r="R1" t="s">
        <v>95</v>
      </c>
      <c r="S1" t="s">
        <v>45</v>
      </c>
      <c r="T1" t="s">
        <v>46</v>
      </c>
      <c r="U1" t="s">
        <v>96</v>
      </c>
      <c r="V1" t="s">
        <v>97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8">
        <v>46223.5</v>
      </c>
      <c r="B2" t="s">
        <v>98</v>
      </c>
      <c r="C2" t="s">
        <v>99</v>
      </c>
      <c r="D2" s="9" t="s">
        <v>1</v>
      </c>
      <c r="E2" t="s">
        <v>99</v>
      </c>
      <c r="F2" t="s">
        <v>1</v>
      </c>
      <c r="G2" t="s">
        <v>1</v>
      </c>
      <c r="H2" t="s">
        <v>68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(Y2-AF2)/J2*100</f>
      </c>
      <c r="AA2" s="4">
        <f>M2-X2</f>
      </c>
      <c r="AG2" s="4">
        <f>Y2-AF2</f>
      </c>
      <c r="AL2" t="s">
        <v>1</v>
      </c>
    </row>
    <row r="3" spans="1:38" x14ac:dyDescent="0.25">
      <c r="A3" s="8">
        <v>46221.5</v>
      </c>
      <c r="B3" t="s">
        <v>100</v>
      </c>
      <c r="C3" t="s">
        <v>101</v>
      </c>
      <c r="D3" s="9" t="s">
        <v>102</v>
      </c>
      <c r="E3" t="s">
        <v>82</v>
      </c>
      <c r="F3" t="s">
        <v>66</v>
      </c>
      <c r="G3" t="s">
        <v>103</v>
      </c>
      <c r="H3" t="s">
        <v>68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(Y3-AF3)/J3*100</f>
      </c>
      <c r="AA3" s="4">
        <f>M3-X3</f>
      </c>
      <c r="AG3" s="4">
        <f>Y3-AF3</f>
      </c>
      <c r="AL3" t="s">
        <v>1</v>
      </c>
    </row>
    <row r="4" spans="1:38" x14ac:dyDescent="0.25">
      <c r="A4" s="10">
        <v>46219.5</v>
      </c>
      <c r="B4" s="11" t="s">
        <v>104</v>
      </c>
      <c r="C4" s="11" t="s">
        <v>105</v>
      </c>
      <c r="D4" s="12" t="s">
        <v>106</v>
      </c>
      <c r="E4" s="11" t="s">
        <v>105</v>
      </c>
      <c r="F4" s="11" t="s">
        <v>66</v>
      </c>
      <c r="G4" s="11" t="s">
        <v>103</v>
      </c>
      <c r="H4" s="11" t="s">
        <v>68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(Y4-AF4)/J4*100</f>
      </c>
      <c r="AA4" s="13">
        <f>M4-X4</f>
      </c>
      <c r="AB4" s="13">
        <v>19.2</v>
      </c>
      <c r="AC4" s="13">
        <v>0.48</v>
      </c>
      <c r="AD4" s="11"/>
      <c r="AE4" s="11"/>
      <c r="AF4" s="13">
        <f>AB4+AC4+AD4-AE4</f>
      </c>
      <c r="AG4" s="13">
        <f>Y4-AF4</f>
      </c>
      <c r="AH4" s="10">
        <v>46225.5</v>
      </c>
      <c r="AI4" s="11" t="s">
        <v>107</v>
      </c>
      <c r="AJ4" s="11">
        <v>2</v>
      </c>
      <c r="AK4" s="11" t="s">
        <v>108</v>
      </c>
      <c r="AL4" s="11" t="s">
        <v>1</v>
      </c>
    </row>
    <row r="5" spans="1:3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IF($K202="","",(Y202-AF202)/J202*100)</f>
      </c>
      <c r="AA202" s="4">
        <f>IF($K202="","",M202-X202)</f>
      </c>
      <c r="AG202" s="4">
        <f>IF($K202="","",Y202-AF202)</f>
      </c>
    </row>
    <row r="203" spans="1:38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IF($K203="","",(Y203-AF203)/J203*100)</f>
      </c>
      <c r="AA203" s="4">
        <f>IF($K203="","",M203-X203)</f>
      </c>
      <c r="AG203" s="4">
        <f>IF($K203="","",Y203-AF203)</f>
      </c>
    </row>
    <row r="204" spans="1:38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IF($K204="","",(Y204-AF204)/J204*100)</f>
      </c>
      <c r="AA204" s="4">
        <f>IF($K204="","",M204-X204)</f>
      </c>
      <c r="AG204" s="4">
        <f>IF($K204="","",Y204-AF204)</f>
      </c>
    </row>
    <row r="205" spans="1:38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IFERROR((Y205-AF205)/K205*100,0)</f>
      </c>
      <c r="AA205" s="14">
        <f>SUM(AA2:AA204)</f>
      </c>
      <c r="AB205" s="14">
        <f>SUM(AB2:AB204)</f>
      </c>
      <c r="AC205" s="14">
        <f>SUM(AC2:AC204)</f>
      </c>
      <c r="AD205" s="14">
        <f>SUM(AD2:AD204)</f>
      </c>
      <c r="AE205" s="14">
        <f>SUM(AE2:AE204)</f>
      </c>
      <c r="AF205" s="14">
        <f>SUM(AF2:AF204)</f>
      </c>
      <c r="AG205" s="14">
        <f>SUM(AG2:AG204)</f>
      </c>
      <c r="AH205" s="7"/>
      <c r="AI205" s="7"/>
      <c r="AJ205" s="7"/>
      <c r="AK205" s="7"/>
      <c r="AL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3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109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8">
        <v>46228.5</v>
      </c>
      <c r="B2" t="s">
        <v>110</v>
      </c>
      <c r="C2" t="s">
        <v>111</v>
      </c>
      <c r="D2" s="9" t="s">
        <v>112</v>
      </c>
      <c r="E2" t="s">
        <v>113</v>
      </c>
      <c r="F2" t="s">
        <v>66</v>
      </c>
      <c r="G2" t="s">
        <v>103</v>
      </c>
      <c r="H2" t="s">
        <v>68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(S2-Z2)/I2*100</f>
      </c>
      <c r="U2" s="4">
        <f>L2-R2</f>
      </c>
      <c r="AA2" s="4">
        <f>S2-Z2</f>
      </c>
      <c r="AF2" t="s">
        <v>1</v>
      </c>
    </row>
    <row r="3" spans="1:32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IF($J202="","",(S202-Z202)/I202*100)</f>
      </c>
      <c r="U202" s="4">
        <f>IF($J202="","",L202-R202)</f>
      </c>
      <c r="AA202" s="4">
        <f>IF($J202="","",S202-Z202)</f>
      </c>
    </row>
    <row r="203" spans="1:32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IFERROR((S203-Z203)/I203*100,0)</f>
      </c>
      <c r="U203" s="14">
        <f>SUM(U2:U202)</f>
      </c>
      <c r="V203" s="14">
        <f>SUM(V2:V202)</f>
      </c>
      <c r="W203" s="14">
        <f>SUM(W2:W202)</f>
      </c>
      <c r="X203" s="14">
        <f>SUM(X2:X202)</f>
      </c>
      <c r="Y203" s="14">
        <f>SUM(Y2:Y202)</f>
      </c>
      <c r="Z203" s="14">
        <f>SUM(Z2:Z202)</f>
      </c>
      <c r="AA203" s="14">
        <f>SUM(AA2:AA202)</f>
      </c>
      <c r="AB203" s="7"/>
      <c r="AC203" s="7"/>
      <c r="AD203" s="7"/>
      <c r="AE203" s="7"/>
      <c r="AF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114</v>
      </c>
      <c r="P1" t="s">
        <v>115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116</v>
      </c>
    </row>
    <row r="2" ht="46" customHeight="1" spans="1:1" x14ac:dyDescent="0.25">
      <c r="A2" s="2" t="s">
        <v>117</v>
      </c>
    </row>
    <row r="4" spans="1:17" s="3" customFormat="1" x14ac:dyDescent="0.25">
      <c r="A4" s="3" t="s">
        <v>4</v>
      </c>
      <c r="B4" s="3" t="s">
        <v>5</v>
      </c>
      <c r="C4" s="3" t="s">
        <v>118</v>
      </c>
      <c r="D4" s="3" t="s">
        <v>9</v>
      </c>
      <c r="E4" s="3" t="s">
        <v>119</v>
      </c>
      <c r="F4" s="3" t="s">
        <v>6</v>
      </c>
      <c r="G4" s="3" t="s">
        <v>7</v>
      </c>
      <c r="H4" s="3" t="s">
        <v>8</v>
      </c>
      <c r="I4" s="3" t="s">
        <v>120</v>
      </c>
      <c r="J4" s="3" t="s">
        <v>121</v>
      </c>
      <c r="K4" s="3" t="s">
        <v>122</v>
      </c>
      <c r="L4" s="3" t="s">
        <v>123</v>
      </c>
      <c r="M4" s="3" t="s">
        <v>124</v>
      </c>
      <c r="N4" s="3" t="s">
        <v>10</v>
      </c>
      <c r="O4" s="3" t="s">
        <v>11</v>
      </c>
      <c r="P4" s="3" t="s">
        <v>12</v>
      </c>
      <c r="Q4" s="3" t="s">
        <v>125</v>
      </c>
    </row>
    <row r="5" spans="1:17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12.168</v>
      </c>
      <c r="N5" s="4">
        <v>85.368</v>
      </c>
      <c r="O5" s="4">
        <v>17.53200000000001</v>
      </c>
      <c r="P5" s="4">
        <v>1.807497216380058</v>
      </c>
      <c r="Q5" t="s">
        <v>1</v>
      </c>
    </row>
    <row r="6" spans="1:17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0.48</v>
      </c>
      <c r="N6" s="4">
        <v>19.68</v>
      </c>
      <c r="O6" s="4">
        <v>30.42</v>
      </c>
      <c r="P6" s="4">
        <v>8.156151969327292</v>
      </c>
      <c r="Q6">
        <v>1</v>
      </c>
    </row>
    <row r="7" spans="1:17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44</v>
      </c>
      <c r="P7" s="4">
        <v>10.731707317073171</v>
      </c>
      <c r="Q7" t="s">
        <v>1</v>
      </c>
    </row>
    <row r="8" spans="1:17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12.648</v>
      </c>
      <c r="N8" s="15">
        <v>105.04799999999999</v>
      </c>
      <c r="O8" s="15">
        <v>91.95200000000001</v>
      </c>
      <c r="P8" s="15">
        <v>5.245617337828665</v>
      </c>
      <c r="Q8" s="3">
        <v>1</v>
      </c>
    </row>
    <row r="10" ht="28" customHeight="1" spans="1:1" x14ac:dyDescent="0.25">
      <c r="A10" s="16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127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  <row r="2" spans="1:12" x14ac:dyDescent="0.25">
      <c r="A2" s="10">
        <v>46224.5</v>
      </c>
      <c r="B2" s="11" t="s">
        <v>13</v>
      </c>
      <c r="C2" s="11" t="s">
        <v>69</v>
      </c>
      <c r="D2" s="11" t="s">
        <v>70</v>
      </c>
      <c r="E2" s="11" t="s">
        <v>128</v>
      </c>
      <c r="F2" s="11" t="s">
        <v>68</v>
      </c>
      <c r="G2" s="11">
        <v>1</v>
      </c>
      <c r="H2" s="13">
        <v>3.2</v>
      </c>
      <c r="I2" s="13">
        <v>9.99</v>
      </c>
      <c r="J2" s="13">
        <v>1.8</v>
      </c>
      <c r="K2" s="17">
        <v>56.32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98</v>
      </c>
      <c r="D3" t="s">
        <v>99</v>
      </c>
      <c r="E3" t="s">
        <v>129</v>
      </c>
      <c r="F3" t="s">
        <v>68</v>
      </c>
      <c r="G3">
        <v>3</v>
      </c>
      <c r="H3" s="4">
        <v>3.3</v>
      </c>
      <c r="I3" s="4">
        <v>17.97</v>
      </c>
      <c r="J3" s="4">
        <v>7.83</v>
      </c>
      <c r="K3" s="18">
        <v>237.27</v>
      </c>
      <c r="L3" t="s">
        <v>1</v>
      </c>
    </row>
    <row r="4" spans="1:12" x14ac:dyDescent="0.25">
      <c r="A4" s="8">
        <v>46222.5</v>
      </c>
      <c r="B4" t="s">
        <v>13</v>
      </c>
      <c r="C4" t="s">
        <v>73</v>
      </c>
      <c r="D4" t="s">
        <v>70</v>
      </c>
      <c r="E4" t="s">
        <v>128</v>
      </c>
      <c r="F4" t="s">
        <v>68</v>
      </c>
      <c r="G4">
        <v>4</v>
      </c>
      <c r="H4" s="4">
        <v>12.8</v>
      </c>
      <c r="I4" s="4">
        <v>39.96</v>
      </c>
      <c r="J4" s="4">
        <v>16.21</v>
      </c>
      <c r="K4" s="18">
        <v>126.63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130</v>
      </c>
      <c r="B1" t="s">
        <v>131</v>
      </c>
    </row>
    <row r="2" spans="1:2" x14ac:dyDescent="0.25">
      <c r="A2" s="7" t="s">
        <v>132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133</v>
      </c>
      <c r="B6" s="4">
        <v>73.2</v>
      </c>
    </row>
    <row r="7" spans="1:2" x14ac:dyDescent="0.25">
      <c r="A7" s="7" t="s">
        <v>134</v>
      </c>
      <c r="B7" s="4">
        <v>18.3</v>
      </c>
    </row>
    <row r="9" spans="1:2" x14ac:dyDescent="0.25">
      <c r="A9" s="7" t="s">
        <v>135</v>
      </c>
      <c r="B9" s="7" t="s">
        <v>136</v>
      </c>
    </row>
    <row r="10" spans="1:2" x14ac:dyDescent="0.25">
      <c r="A10" s="7" t="s">
        <v>13</v>
      </c>
      <c r="B10" t="s">
        <v>137</v>
      </c>
    </row>
    <row r="11" spans="1:2" x14ac:dyDescent="0.25">
      <c r="A11" s="7" t="s">
        <v>15</v>
      </c>
      <c r="B11" t="s">
        <v>138</v>
      </c>
    </row>
    <row r="13" spans="1:2" x14ac:dyDescent="0.25">
      <c r="A13" s="7" t="s">
        <v>139</v>
      </c>
      <c r="B13" t="s">
        <v>1</v>
      </c>
    </row>
    <row r="14" spans="1:2" x14ac:dyDescent="0.25">
      <c r="A14" t="s">
        <v>140</v>
      </c>
      <c r="B14" t="s">
        <v>141</v>
      </c>
    </row>
    <row r="15" spans="1:2" x14ac:dyDescent="0.25">
      <c r="A15" t="s">
        <v>76</v>
      </c>
      <c r="B15" t="s">
        <v>142</v>
      </c>
    </row>
    <row r="16" spans="1:2" x14ac:dyDescent="0.25">
      <c r="A16" t="s">
        <v>143</v>
      </c>
      <c r="B16" t="s">
        <v>144</v>
      </c>
    </row>
    <row r="18" spans="1:2" x14ac:dyDescent="0.25">
      <c r="A18" s="7" t="s">
        <v>145</v>
      </c>
      <c r="B18" t="s">
        <v>1</v>
      </c>
    </row>
    <row r="19" spans="1:2" x14ac:dyDescent="0.25">
      <c r="A19" t="s">
        <v>146</v>
      </c>
      <c r="B19" t="s">
        <v>147</v>
      </c>
    </row>
    <row r="20" spans="1:2" x14ac:dyDescent="0.25">
      <c r="A20" t="s">
        <v>148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FormatPr defaultRowHeight="15" outlineLevelRow="0" outlineLevelCol="0" x14ac:dyDescent="55"/>
  <sheetData>
    <row r="1" spans="1:18" x14ac:dyDescent="0.25">
      <c r="A1" t="s">
        <v>57</v>
      </c>
      <c r="B1" t="s">
        <v>149</v>
      </c>
      <c r="C1" t="s">
        <v>32</v>
      </c>
      <c r="D1" t="s">
        <v>34</v>
      </c>
      <c r="E1" t="s">
        <v>33</v>
      </c>
      <c r="F1" t="s">
        <v>35</v>
      </c>
      <c r="G1" t="s">
        <v>150</v>
      </c>
      <c r="H1" t="s">
        <v>151</v>
      </c>
      <c r="I1" t="s">
        <v>4</v>
      </c>
      <c r="J1" t="s">
        <v>152</v>
      </c>
      <c r="K1" t="s">
        <v>58</v>
      </c>
      <c r="L1" t="s">
        <v>153</v>
      </c>
      <c r="M1" t="s">
        <v>61</v>
      </c>
      <c r="N1" t="s">
        <v>154</v>
      </c>
      <c r="O1" t="s">
        <v>59</v>
      </c>
      <c r="P1" t="s">
        <v>155</v>
      </c>
      <c r="Q1" t="s">
        <v>156</v>
      </c>
      <c r="R1" t="s">
        <v>157</v>
      </c>
    </row>
    <row r="2" spans="1:18" x14ac:dyDescent="0.25">
      <c r="A2" s="10">
        <v>46226.5</v>
      </c>
      <c r="B2" s="12" t="s">
        <v>75</v>
      </c>
      <c r="C2" s="11" t="s">
        <v>158</v>
      </c>
      <c r="D2" s="11" t="s">
        <v>67</v>
      </c>
      <c r="E2" s="11" t="s">
        <v>66</v>
      </c>
      <c r="F2" s="11" t="s">
        <v>68</v>
      </c>
      <c r="G2" s="10">
        <v>46222.5</v>
      </c>
      <c r="H2" s="13">
        <v>605</v>
      </c>
      <c r="I2" s="11" t="s">
        <v>13</v>
      </c>
      <c r="J2" s="11" t="s">
        <v>159</v>
      </c>
      <c r="K2" s="11" t="s">
        <v>76</v>
      </c>
      <c r="L2" s="11" t="s">
        <v>160</v>
      </c>
      <c r="M2" s="11" t="s">
        <v>1</v>
      </c>
      <c r="N2" s="13">
        <v>9.6</v>
      </c>
      <c r="O2" s="11">
        <v>3</v>
      </c>
      <c r="P2" s="13">
        <v>28.799999999999997</v>
      </c>
      <c r="Q2" s="13"/>
      <c r="R2" s="10">
        <v>46204.5</v>
      </c>
    </row>
    <row r="3" spans="1:18" x14ac:dyDescent="0.25">
      <c r="A3" s="10">
        <v>46225.5</v>
      </c>
      <c r="B3" s="12" t="s">
        <v>106</v>
      </c>
      <c r="C3" s="11" t="s">
        <v>161</v>
      </c>
      <c r="D3" s="11" t="s">
        <v>103</v>
      </c>
      <c r="E3" s="11" t="s">
        <v>66</v>
      </c>
      <c r="F3" s="11" t="s">
        <v>162</v>
      </c>
      <c r="G3" s="10">
        <v>46219.5</v>
      </c>
      <c r="H3" s="13">
        <v>375</v>
      </c>
      <c r="I3" s="11" t="s">
        <v>15</v>
      </c>
      <c r="J3" s="11" t="s">
        <v>107</v>
      </c>
      <c r="K3" s="11" t="s">
        <v>107</v>
      </c>
      <c r="L3" s="11" t="s">
        <v>163</v>
      </c>
      <c r="M3" s="11" t="s">
        <v>1</v>
      </c>
      <c r="N3" s="13">
        <v>9.6</v>
      </c>
      <c r="O3" s="11">
        <v>2</v>
      </c>
      <c r="P3" s="13">
        <v>19.2</v>
      </c>
      <c r="Q3" s="13">
        <v>0.48</v>
      </c>
      <c r="R3" s="10">
        <v>46204.5</v>
      </c>
    </row>
    <row r="4" spans="1:18" x14ac:dyDescent="0.25">
      <c r="A4" s="10">
        <v>46224.5</v>
      </c>
      <c r="B4" s="12" t="s">
        <v>81</v>
      </c>
      <c r="C4" s="11" t="s">
        <v>164</v>
      </c>
      <c r="D4" s="11" t="s">
        <v>83</v>
      </c>
      <c r="E4" s="11" t="s">
        <v>66</v>
      </c>
      <c r="F4" s="11" t="s">
        <v>68</v>
      </c>
      <c r="G4" s="10">
        <v>46218.5</v>
      </c>
      <c r="H4" s="13">
        <v>325</v>
      </c>
      <c r="I4" s="11" t="s">
        <v>13</v>
      </c>
      <c r="J4" s="11" t="s">
        <v>159</v>
      </c>
      <c r="K4" s="11" t="s">
        <v>71</v>
      </c>
      <c r="L4" s="11" t="s">
        <v>165</v>
      </c>
      <c r="M4" s="11" t="s">
        <v>166</v>
      </c>
      <c r="N4" s="13">
        <v>9.6</v>
      </c>
      <c r="O4" s="11">
        <v>2</v>
      </c>
      <c r="P4" s="13">
        <v>19.2</v>
      </c>
      <c r="Q4" s="13">
        <v>6</v>
      </c>
      <c r="R4" s="10">
        <v>46204.5</v>
      </c>
    </row>
    <row r="5" spans="1:18" x14ac:dyDescent="0.25">
      <c r="A5" s="10">
        <v>46227.5</v>
      </c>
      <c r="B5" s="12" t="s">
        <v>1</v>
      </c>
      <c r="C5" s="11" t="s">
        <v>128</v>
      </c>
      <c r="D5" s="11" t="s">
        <v>1</v>
      </c>
      <c r="E5" s="11" t="s">
        <v>1</v>
      </c>
      <c r="F5" s="11" t="s">
        <v>68</v>
      </c>
      <c r="G5" s="10">
        <v>46224.5</v>
      </c>
      <c r="H5" s="13">
        <v>9.99</v>
      </c>
      <c r="I5" s="11" t="s">
        <v>13</v>
      </c>
      <c r="J5" s="11" t="s">
        <v>167</v>
      </c>
      <c r="K5" s="11" t="s">
        <v>71</v>
      </c>
      <c r="L5" s="11" t="s">
        <v>72</v>
      </c>
      <c r="M5" s="11" t="s">
        <v>1</v>
      </c>
      <c r="N5" s="13">
        <v>3</v>
      </c>
      <c r="O5" s="11">
        <v>2</v>
      </c>
      <c r="P5" s="13">
        <v>6</v>
      </c>
      <c r="Q5" s="11"/>
      <c r="R5" s="1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149</v>
      </c>
      <c r="B1" t="s">
        <v>32</v>
      </c>
      <c r="C1" t="s">
        <v>168</v>
      </c>
      <c r="D1" t="s">
        <v>169</v>
      </c>
      <c r="E1" t="s">
        <v>170</v>
      </c>
      <c r="F1" t="s">
        <v>171</v>
      </c>
      <c r="G1" t="s">
        <v>61</v>
      </c>
    </row>
    <row r="2" spans="1:7" x14ac:dyDescent="0.25">
      <c r="A2" s="9" t="s">
        <v>81</v>
      </c>
      <c r="B2" t="s">
        <v>164</v>
      </c>
      <c r="C2" s="8">
        <v>46204.5</v>
      </c>
      <c r="D2" t="s">
        <v>172</v>
      </c>
      <c r="E2" t="s">
        <v>68</v>
      </c>
      <c r="F2" s="4">
        <v>200</v>
      </c>
      <c r="G2" t="s">
        <v>1</v>
      </c>
    </row>
    <row r="3" spans="1:7" x14ac:dyDescent="0.25">
      <c r="A3" s="9" t="s">
        <v>81</v>
      </c>
      <c r="B3" t="s">
        <v>164</v>
      </c>
      <c r="C3" s="8">
        <v>46218.5</v>
      </c>
      <c r="D3" t="s">
        <v>173</v>
      </c>
      <c r="E3" t="s">
        <v>174</v>
      </c>
      <c r="F3" s="4">
        <v>325</v>
      </c>
      <c r="G3" t="s">
        <v>1</v>
      </c>
    </row>
    <row r="4" spans="1:7" x14ac:dyDescent="0.25">
      <c r="A4" s="9" t="s">
        <v>81</v>
      </c>
      <c r="B4" t="s">
        <v>164</v>
      </c>
      <c r="C4" s="8">
        <v>46218.5</v>
      </c>
      <c r="D4" t="s">
        <v>173</v>
      </c>
      <c r="E4" t="s">
        <v>175</v>
      </c>
      <c r="F4" s="4">
        <v>325</v>
      </c>
      <c r="G4" t="s">
        <v>1</v>
      </c>
    </row>
    <row r="5" spans="1:7" x14ac:dyDescent="0.25">
      <c r="A5" s="12" t="s">
        <v>81</v>
      </c>
      <c r="B5" s="11" t="s">
        <v>164</v>
      </c>
      <c r="C5" s="10">
        <v>46224.5</v>
      </c>
      <c r="D5" s="11" t="s">
        <v>176</v>
      </c>
      <c r="E5" s="11" t="s">
        <v>177</v>
      </c>
      <c r="F5" s="13">
        <v>-19.2</v>
      </c>
      <c r="G5" s="11" t="s">
        <v>166</v>
      </c>
    </row>
    <row r="6" spans="1:7" x14ac:dyDescent="0.25">
      <c r="A6" s="12" t="s">
        <v>81</v>
      </c>
      <c r="B6" s="11" t="s">
        <v>164</v>
      </c>
      <c r="C6" s="10">
        <v>46224.5</v>
      </c>
      <c r="D6" s="11" t="s">
        <v>176</v>
      </c>
      <c r="E6" s="11" t="s">
        <v>177</v>
      </c>
      <c r="F6" s="13">
        <v>-19.2</v>
      </c>
      <c r="G6" s="11" t="s">
        <v>1</v>
      </c>
    </row>
    <row r="7" spans="1:7" x14ac:dyDescent="0.25">
      <c r="A7" s="9" t="s">
        <v>106</v>
      </c>
      <c r="B7" t="s">
        <v>161</v>
      </c>
      <c r="C7" s="8">
        <v>46204.5</v>
      </c>
      <c r="D7" t="s">
        <v>172</v>
      </c>
      <c r="E7" t="s">
        <v>162</v>
      </c>
      <c r="F7" s="4">
        <v>200</v>
      </c>
      <c r="G7" t="s">
        <v>1</v>
      </c>
    </row>
    <row r="8" spans="1:7" x14ac:dyDescent="0.25">
      <c r="A8" s="9" t="s">
        <v>106</v>
      </c>
      <c r="B8" t="s">
        <v>161</v>
      </c>
      <c r="C8" s="8">
        <v>46219.5</v>
      </c>
      <c r="D8" t="s">
        <v>173</v>
      </c>
      <c r="E8" t="s">
        <v>178</v>
      </c>
      <c r="F8" s="4">
        <v>375</v>
      </c>
      <c r="G8" t="s">
        <v>1</v>
      </c>
    </row>
    <row r="9" spans="1:7" x14ac:dyDescent="0.25">
      <c r="A9" s="12" t="s">
        <v>106</v>
      </c>
      <c r="B9" s="11" t="s">
        <v>161</v>
      </c>
      <c r="C9" s="10">
        <v>46225.5</v>
      </c>
      <c r="D9" s="11" t="s">
        <v>176</v>
      </c>
      <c r="E9" s="11" t="s">
        <v>179</v>
      </c>
      <c r="F9" s="13">
        <v>-19.2</v>
      </c>
      <c r="G9" s="11" t="s">
        <v>1</v>
      </c>
    </row>
    <row r="10" spans="1:7" x14ac:dyDescent="0.25">
      <c r="A10" s="9" t="s">
        <v>106</v>
      </c>
      <c r="B10" t="s">
        <v>161</v>
      </c>
      <c r="C10" s="8">
        <v>46225.5</v>
      </c>
      <c r="D10" t="s">
        <v>180</v>
      </c>
      <c r="E10" t="s">
        <v>107</v>
      </c>
      <c r="F10" s="4"/>
      <c r="G10" t="s">
        <v>1</v>
      </c>
    </row>
    <row r="11" spans="1:7" x14ac:dyDescent="0.25">
      <c r="A11" s="9" t="s">
        <v>75</v>
      </c>
      <c r="B11" t="s">
        <v>158</v>
      </c>
      <c r="C11" s="8">
        <v>46204.5</v>
      </c>
      <c r="D11" t="s">
        <v>172</v>
      </c>
      <c r="E11" t="s">
        <v>68</v>
      </c>
      <c r="F11" s="4">
        <v>200</v>
      </c>
      <c r="G11" t="s">
        <v>1</v>
      </c>
    </row>
    <row r="12" spans="1:7" x14ac:dyDescent="0.25">
      <c r="A12" s="9" t="s">
        <v>75</v>
      </c>
      <c r="B12" t="s">
        <v>158</v>
      </c>
      <c r="C12" s="8">
        <v>46222.5</v>
      </c>
      <c r="D12" t="s">
        <v>173</v>
      </c>
      <c r="E12" t="s">
        <v>181</v>
      </c>
      <c r="F12" s="4">
        <v>605</v>
      </c>
      <c r="G12" t="s">
        <v>1</v>
      </c>
    </row>
    <row r="13" spans="1:7" x14ac:dyDescent="0.25">
      <c r="A13" s="12" t="s">
        <v>75</v>
      </c>
      <c r="B13" s="11" t="s">
        <v>158</v>
      </c>
      <c r="C13" s="10">
        <v>46226.5</v>
      </c>
      <c r="D13" s="11" t="s">
        <v>176</v>
      </c>
      <c r="E13" s="11" t="s">
        <v>182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2026-09-09T09:36:37Z</dcterms:created>
  <dcterms:modified xsi:type="dcterms:W3CDTF">2026-09-09T09:36:37Z</dcterms:modified>
</cp:coreProperties>
</file>