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Accessories" state="visible" r:id="rId10"/>
    <sheet sheetId="8" name="Returns Summary" state="visible" r:id="rId11"/>
    <sheet sheetId="9" name="Returns Detail" state="visible" r:id="rId12"/>
    <sheet sheetId="10" name="Unit Histories" state="visible" r:id="rId13"/>
  </sheets>
  <calcPr calcId="171027"/>
</workbook>
</file>

<file path=xl/sharedStrings.xml><?xml version="1.0" encoding="utf-8"?>
<sst xmlns="http://schemas.openxmlformats.org/spreadsheetml/2006/main" count="470" uniqueCount="160">
  <si>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</si>
  <si>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</si>
  <si>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</si>
  <si>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</si>
  <si>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</si>
  <si>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</si>
  <si>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</si>
  <si>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</si>
  <si>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</si>
  <si>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</si>
  <si>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</si>
  <si>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</si>
  <si>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</si>
  <si>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</si>
  <si>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</si>
  <si>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</si>
  <si>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</si>
  <si>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</si>
  <si>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</si>
  <si>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</si>
  <si>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</si>
  <si>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</si>
  <si>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</si>
  <si>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</si>
  <si>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</si>
  <si>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</si>
  <si>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</si>
  <si>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</si>
  <si>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</si>
  <si>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</si>
  <si>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</si>
  <si>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</si>
  <si>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</si>
  <si>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</si>
  <si>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</si>
  <si>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</si>
  <si>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</si>
  <si>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</si>
  <si>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</si>
  <si>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</si>
  <si>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</si>
  <si>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</si>
  <si>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</si>
  <si>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</si>
  <si>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</si>
  <si>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</si>
  <si>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</si>
  <si>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</si>
  <si>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</si>
  <si>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</si>
  <si>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</si>
  <si>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</si>
  <si>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</si>
  <si>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Storage</t>
  </si>
  <si>
    <t>Colour</t>
  </si>
  <si>
    <t>AMZ-1009</t>
  </si>
  <si>
    <t>Apple iPhone 14 256GB</t>
  </si>
  <si>
    <t>350000000000404</t>
  </si>
  <si>
    <t>MOBILE WHOLESALE LTD</t>
  </si>
  <si>
    <t>iPhone 14</t>
  </si>
  <si>
    <t>256GB</t>
  </si>
  <si>
    <t>BLACK</t>
  </si>
  <si>
    <t>AMZ-ACC-2</t>
  </si>
  <si>
    <t>USB-C-20W-CHARGER</t>
  </si>
  <si>
    <t>Refund</t>
  </si>
  <si>
    <t>Wrong item ordered</t>
  </si>
  <si>
    <t>AMZ-ACC-1</t>
  </si>
  <si>
    <t>AMZ-1008</t>
  </si>
  <si>
    <t>350000000000403</t>
  </si>
  <si>
    <t>[REPLACED BY IMEI 350000000000404]</t>
  </si>
  <si>
    <t>Replacement</t>
  </si>
  <si>
    <t>Replacement — Face ID intermittent</t>
  </si>
  <si>
    <t>AMZ-1005</t>
  </si>
  <si>
    <t>Apple iPhone 12 64GB</t>
  </si>
  <si>
    <t>350000000000401</t>
  </si>
  <si>
    <t>iPhone 12</t>
  </si>
  <si>
    <t>Refund — Battery health below 85%</t>
  </si>
  <si>
    <t>64GB</t>
  </si>
  <si>
    <t>AMZ-1005-LEGACY</t>
  </si>
  <si>
    <t>AMZ-1001</t>
  </si>
  <si>
    <t>350000000000301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</si>
  <si>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</si>
  <si>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</si>
  <si>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</si>
  <si>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</si>
  <si>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</si>
  <si>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</si>
  <si>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</si>
  <si>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</si>
  <si>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EB-ACC-1</t>
  </si>
  <si>
    <t>TEMPERED-GLASS-IP13</t>
  </si>
  <si>
    <t>EB-2001</t>
  </si>
  <si>
    <t>Apple iPhone 12 128GB</t>
  </si>
  <si>
    <t>350000000000302</t>
  </si>
  <si>
    <t>128GB</t>
  </si>
  <si>
    <t>EB-2007</t>
  </si>
  <si>
    <t>Samsung S22-128-GRN</t>
  </si>
  <si>
    <t>350000000000402</t>
  </si>
  <si>
    <t>S22-128-GRN</t>
  </si>
  <si>
    <t>In Repair</t>
  </si>
  <si>
    <t>In Repair — Cracked rear glass in transit</t>
  </si>
  <si>
    <t>VAT 20%</t>
  </si>
  <si>
    <t>OB-3001</t>
  </si>
  <si>
    <t>Apple iPhone 13 128GB</t>
  </si>
  <si>
    <t>350000000000303</t>
  </si>
  <si>
    <t>iPhone 13</t>
  </si>
  <si>
    <t>Commission VAT</t>
  </si>
  <si>
    <t>Name</t>
  </si>
  <si>
    <t>USB-C 20W Charger</t>
  </si>
  <si>
    <t>Tempered Glass · iPhone 13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</si>
  <si>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</si>
  <si>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</si>
  <si>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</si>
  <si>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</si>
  <si>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</si>
  <si>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</si>
  <si>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</si>
  <si>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3 · £54.00</t>
  </si>
  <si>
    <t>1 · £19.20</t>
  </si>
  <si>
    <t>Carriage cost policy</t>
  </si>
  <si>
    <t>Refund / Repair / To-Supplier</t>
  </si>
  <si>
    <t>2 legs (outbound + inbound)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</si>
  <si>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</si>
  <si>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</si>
  <si>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</si>
  <si>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</si>
  <si>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</si>
  <si>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2026-07-21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</si>
  <si>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</si>
  <si>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</si>
  <si>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</si>
  <si>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</si>
  <si>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</si>
  <si>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</si>
  <si>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</si>
  <si>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IPHONE 14</t>
  </si>
  <si>
    <t>Back to Inventory</t>
  </si>
  <si>
    <t>Face ID intermittent</t>
  </si>
  <si>
    <t>SAMSUNG GALAXY S22</t>
  </si>
  <si>
    <t>PHONEBOX DIRECT</t>
  </si>
  <si>
    <t>Cracked rear glass in transit</t>
  </si>
  <si>
    <t>IPHONE 12</t>
  </si>
  <si>
    <t>Battery health below 85%</t>
  </si>
  <si>
    <t>Customer reported rapid drain; QC confirmed 79%.</t>
  </si>
  <si>
    <t>Accessory</t>
  </si>
  <si>
    <t>Event Date</t>
  </si>
  <si>
    <t>Event</t>
  </si>
  <si>
    <t>Detail</t>
  </si>
  <si>
    <t>Amount £</t>
  </si>
  <si>
    <t>STOCK IN</t>
  </si>
  <si>
    <t>SOLD</t>
  </si>
  <si>
    <t>AMAZON · AMZ-1005</t>
  </si>
  <si>
    <t>AMAZON · AMZ-1005-LEGACY</t>
  </si>
  <si>
    <t>RETURNED</t>
  </si>
  <si>
    <t>Refund · Refund — Battery health below 85%</t>
  </si>
  <si>
    <t>EBAY · EB-2007</t>
  </si>
  <si>
    <t>In Repair · In Repair — Cracked rear glass in transit</t>
  </si>
  <si>
    <t>STATUS</t>
  </si>
  <si>
    <t>AMAZON · AMZ-1008</t>
  </si>
  <si>
    <t>Replacement · Replacement — Face ID intermittent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</si>
</sst>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3" x14ac:knownFonts="1">
    <font>
      <color theme="1"/>
      <family val="2"/>
      <scheme val="minor"/>
      <sz val="11"/>
      <name val="Calibri"/>
    </font>
    <font>
      <b/>
      <sz val="13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164" fontId="0" fillId="0" borderId="0" xfId="0" applyNumberFormat="1"/>
    <xf numFmtId="1" fontId="0" fillId="0" borderId="0" xfId="0" applyNumberForma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2" fillId="0" borderId="0" xfId="0" applyNumberFormat="1" applyFont="1"/>
    <xf numFmtId="165" fontId="0" fillId="4" borderId="0" xfId="0" applyNumberFormat="1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3</v>
      </c>
      <c r="C5">
        <v>2</v>
      </c>
      <c r="D5">
        <v>1</v>
      </c>
      <c r="E5">
        <v>0</v>
      </c>
      <c r="F5" s="3">
        <v>355.98</v>
      </c>
      <c r="G5" s="3">
        <v>54</v>
      </c>
      <c r="H5" s="3">
        <v>301.98</v>
      </c>
      <c r="I5" s="3">
        <v>73.15</v>
      </c>
    </row>
    <row r="6" spans="1:9" x14ac:dyDescent="0.25">
      <c r="A6" t="s">
        <v>13</v>
      </c>
      <c r="B6">
        <v>0</v>
      </c>
      <c r="C6">
        <v>0</v>
      </c>
      <c r="D6">
        <v>0</v>
      </c>
      <c r="E6">
        <v>0</v>
      </c>
      <c r="F6" s="3">
        <v>0</v>
      </c>
      <c r="G6" s="3">
        <v>0</v>
      </c>
      <c r="H6" s="3">
        <v>0</v>
      </c>
      <c r="I6" s="3">
        <v>0</v>
      </c>
    </row>
    <row r="7" spans="1:9" x14ac:dyDescent="0.25">
      <c r="A7" t="s">
        <v>14</v>
      </c>
      <c r="B7">
        <v>2</v>
      </c>
      <c r="C7">
        <v>0</v>
      </c>
      <c r="D7">
        <v>0</v>
      </c>
      <c r="E7">
        <v>1</v>
      </c>
      <c r="F7" s="3">
        <v>98.57</v>
      </c>
      <c r="G7" s="3">
        <v>19.2</v>
      </c>
      <c r="H7" s="3">
        <v>79.37</v>
      </c>
      <c r="I7" s="3">
        <v>39.04</v>
      </c>
    </row>
    <row r="8" spans="1:9" x14ac:dyDescent="0.25">
      <c r="A8" t="s">
        <v>15</v>
      </c>
      <c r="B8">
        <v>1</v>
      </c>
      <c r="C8">
        <v>0</v>
      </c>
      <c r="D8">
        <v>0</v>
      </c>
      <c r="E8">
        <v>0</v>
      </c>
      <c r="F8" s="3">
        <v>129.95</v>
      </c>
      <c r="G8" s="3">
        <v>0</v>
      </c>
      <c r="H8" s="3">
        <v>129.95</v>
      </c>
      <c r="I8" s="3">
        <v>64.97</v>
      </c>
    </row>
    <row r="9" spans="1:9" x14ac:dyDescent="0.25">
      <c r="A9" t="s">
        <v>16</v>
      </c>
      <c r="B9">
        <v>0</v>
      </c>
      <c r="C9">
        <v>0</v>
      </c>
      <c r="D9">
        <v>0</v>
      </c>
      <c r="E9">
        <v>0</v>
      </c>
      <c r="F9" s="3">
        <v>0</v>
      </c>
      <c r="G9" s="3">
        <v>0</v>
      </c>
      <c r="H9" s="3">
        <v>0</v>
      </c>
      <c r="I9" s="3">
        <v>0</v>
      </c>
    </row>
    <row r="10" spans="1:9" s="4" customFormat="1" x14ac:dyDescent="0.25">
      <c r="A10" s="4" t="s">
        <v>17</v>
      </c>
      <c r="B10" s="4">
        <v>6</v>
      </c>
      <c r="C10" s="4">
        <v>2</v>
      </c>
      <c r="D10" s="4">
        <v>1</v>
      </c>
      <c r="E10" s="4">
        <v>1</v>
      </c>
      <c r="F10" s="5">
        <v>584.5</v>
      </c>
      <c r="G10" s="5">
        <v>73.2</v>
      </c>
      <c r="H10" s="5">
        <v>511.3</v>
      </c>
      <c r="I10" s="5">
        <v>62.65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9"/>
  <sheetFormatPr defaultRowHeight="15" outlineLevelRow="0" outlineLevelCol="0" x14ac:dyDescent="55"/>
  <sheetData>
    <row r="1" spans="1:31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10</v>
      </c>
      <c r="AD1" t="s">
        <v>53</v>
      </c>
      <c r="AE1" t="s">
        <v>54</v>
      </c>
    </row>
    <row r="2" spans="1:31" x14ac:dyDescent="0.25">
      <c r="A2" s="7">
        <v>46226.5</v>
      </c>
      <c r="B2" t="s">
        <v>55</v>
      </c>
      <c r="C2" t="s">
        <v>56</v>
      </c>
      <c r="D2" s="8" t="s">
        <v>57</v>
      </c>
      <c r="E2" t="s">
        <v>58</v>
      </c>
      <c r="F2">
        <v>1</v>
      </c>
      <c r="G2" s="3">
        <v>200</v>
      </c>
      <c r="H2" s="3">
        <v>610</v>
      </c>
      <c r="I2" s="3">
        <f>H2-G2</f>
      </c>
      <c r="J2" s="3">
        <f>I2*16.67%</f>
      </c>
      <c r="K2" s="3">
        <f>H2/100*7</f>
      </c>
      <c r="L2" s="3">
        <f>K2*20%</f>
      </c>
      <c r="M2" s="3">
        <f>K2*2%</f>
      </c>
      <c r="N2" s="3">
        <f>M2*20%</f>
      </c>
      <c r="O2" s="3">
        <v>8</v>
      </c>
      <c r="P2" s="3">
        <f>O2*20%</f>
      </c>
      <c r="Q2" s="3">
        <v>1</v>
      </c>
      <c r="R2" s="3">
        <f>L2+N2+P2</f>
      </c>
      <c r="S2" s="3">
        <f>I2-J2-K2-L2-M2-N2-O2-P2-Q2</f>
      </c>
      <c r="T2" s="3">
        <f>(S2-AB2)/G2*100</f>
      </c>
      <c r="U2" s="3">
        <f>J2-R2</f>
      </c>
      <c r="V2" t="s">
        <v>1</v>
      </c>
      <c r="W2" t="s">
        <v>59</v>
      </c>
      <c r="AC2" s="3">
        <f>S2-AB2</f>
      </c>
      <c r="AD2" t="s">
        <v>60</v>
      </c>
      <c r="AE2" t="s">
        <v>61</v>
      </c>
    </row>
    <row r="3" spans="1:31" x14ac:dyDescent="0.25">
      <c r="A3" s="9">
        <v>46224.5</v>
      </c>
      <c r="B3" s="10" t="s">
        <v>62</v>
      </c>
      <c r="C3" s="10" t="s">
        <v>63</v>
      </c>
      <c r="D3" s="11" t="s">
        <v>1</v>
      </c>
      <c r="E3" s="10" t="s">
        <v>58</v>
      </c>
      <c r="F3" s="10">
        <v>1</v>
      </c>
      <c r="G3" s="12">
        <v>3.2</v>
      </c>
      <c r="H3" s="12">
        <v>9.99</v>
      </c>
      <c r="I3" s="12">
        <f>H3-G3</f>
      </c>
      <c r="J3" s="12">
        <f>I3*16.67%</f>
      </c>
      <c r="K3" s="12">
        <f>H3/100*7</f>
      </c>
      <c r="L3" s="12">
        <f>K3*20%</f>
      </c>
      <c r="M3" s="12">
        <f>K3*2%</f>
      </c>
      <c r="N3" s="12">
        <f>M3*20%</f>
      </c>
      <c r="O3" s="12">
        <v>2.5</v>
      </c>
      <c r="P3" s="12">
        <f>O3*20%</f>
      </c>
      <c r="Q3" s="12">
        <v>1</v>
      </c>
      <c r="R3" s="12">
        <f>L3+N3+P3</f>
      </c>
      <c r="S3" s="12">
        <f>I3-J3-K3-L3-M3-N3-O3-P3-Q3</f>
      </c>
      <c r="T3" s="12">
        <f>(S3-AB3)/G3*100</f>
      </c>
      <c r="U3" s="12">
        <f>J3-R3</f>
      </c>
      <c r="V3" s="10" t="s">
        <v>1</v>
      </c>
      <c r="W3" s="10" t="s">
        <v>63</v>
      </c>
      <c r="X3" s="9">
        <v>46227.5</v>
      </c>
      <c r="Y3" s="10" t="s">
        <v>64</v>
      </c>
      <c r="Z3" s="10" t="s">
        <v>65</v>
      </c>
      <c r="AA3" s="10">
        <v>2</v>
      </c>
      <c r="AB3" s="12">
        <v>6</v>
      </c>
      <c r="AC3" s="12">
        <f>S3-AB3</f>
      </c>
      <c r="AD3" s="10" t="s">
        <v>1</v>
      </c>
      <c r="AE3" s="10" t="s">
        <v>1</v>
      </c>
    </row>
    <row r="4" spans="1:31" x14ac:dyDescent="0.25">
      <c r="A4" s="7">
        <v>46222.5</v>
      </c>
      <c r="B4" t="s">
        <v>66</v>
      </c>
      <c r="C4" t="s">
        <v>63</v>
      </c>
      <c r="D4" s="8" t="s">
        <v>1</v>
      </c>
      <c r="E4" t="s">
        <v>58</v>
      </c>
      <c r="F4">
        <v>4</v>
      </c>
      <c r="G4" s="3">
        <v>12.8</v>
      </c>
      <c r="H4" s="3">
        <v>39.96</v>
      </c>
      <c r="I4" s="3">
        <f>H4-G4</f>
      </c>
      <c r="J4" s="3">
        <f>I4*16.67%</f>
      </c>
      <c r="K4" s="3">
        <f>H4/100*7</f>
      </c>
      <c r="L4" s="3">
        <f>K4*20%</f>
      </c>
      <c r="M4" s="3">
        <f>K4*2%</f>
      </c>
      <c r="N4" s="3">
        <f>M4*20%</f>
      </c>
      <c r="O4" s="3">
        <v>2.5</v>
      </c>
      <c r="P4" s="3">
        <f>O4*20%</f>
      </c>
      <c r="Q4" s="3">
        <v>1</v>
      </c>
      <c r="R4" s="3">
        <f>L4+N4+P4</f>
      </c>
      <c r="S4" s="3">
        <f>I4-J4-K4-L4-M4-N4-O4-P4-Q4</f>
      </c>
      <c r="T4" s="3">
        <f>(S4-AB4)/G4*100</f>
      </c>
      <c r="U4" s="3">
        <f>J4-R4</f>
      </c>
      <c r="V4" t="s">
        <v>1</v>
      </c>
      <c r="W4" t="s">
        <v>63</v>
      </c>
      <c r="AC4" s="3">
        <f>S4-AB4</f>
      </c>
      <c r="AD4" t="s">
        <v>1</v>
      </c>
      <c r="AE4" t="s">
        <v>1</v>
      </c>
    </row>
    <row r="5" spans="1:31" x14ac:dyDescent="0.25">
      <c r="A5" s="9">
        <v>46222.5</v>
      </c>
      <c r="B5" s="10" t="s">
        <v>67</v>
      </c>
      <c r="C5" s="10" t="s">
        <v>56</v>
      </c>
      <c r="D5" s="11" t="s">
        <v>68</v>
      </c>
      <c r="E5" s="10" t="s">
        <v>58</v>
      </c>
      <c r="F5" s="10">
        <v>1</v>
      </c>
      <c r="G5" s="12">
        <v>200</v>
      </c>
      <c r="H5" s="12">
        <v>605</v>
      </c>
      <c r="I5" s="12">
        <f>H5-G5</f>
      </c>
      <c r="J5" s="12">
        <f>I5*16.67%</f>
      </c>
      <c r="K5" s="12">
        <f>H5/100*7</f>
      </c>
      <c r="L5" s="12">
        <f>K5*20%</f>
      </c>
      <c r="M5" s="12">
        <f>K5*2%</f>
      </c>
      <c r="N5" s="12">
        <f>M5*20%</f>
      </c>
      <c r="O5" s="12">
        <v>8</v>
      </c>
      <c r="P5" s="12">
        <f>O5*20%</f>
      </c>
      <c r="Q5" s="12">
        <v>1</v>
      </c>
      <c r="R5" s="12">
        <f>L5+N5+P5</f>
      </c>
      <c r="S5" s="12">
        <f>I5-J5-K5-L5-M5-N5-O5-P5-Q5</f>
      </c>
      <c r="T5" s="12">
        <f>(S5-AB5)/G5*100</f>
      </c>
      <c r="U5" s="12">
        <f>J5-R5</f>
      </c>
      <c r="V5" s="10" t="s">
        <v>69</v>
      </c>
      <c r="W5" s="10" t="s">
        <v>59</v>
      </c>
      <c r="X5" s="9">
        <v>46226.5</v>
      </c>
      <c r="Y5" s="10" t="s">
        <v>70</v>
      </c>
      <c r="Z5" s="10" t="s">
        <v>71</v>
      </c>
      <c r="AA5" s="10">
        <v>3</v>
      </c>
      <c r="AB5" s="12">
        <v>28.799999999999997</v>
      </c>
      <c r="AC5" s="12">
        <f>S5-AB5</f>
      </c>
      <c r="AD5" s="10" t="s">
        <v>60</v>
      </c>
      <c r="AE5" s="10" t="s">
        <v>61</v>
      </c>
    </row>
    <row r="6" spans="1:31" x14ac:dyDescent="0.25">
      <c r="A6" s="9">
        <v>46218.5</v>
      </c>
      <c r="B6" s="10" t="s">
        <v>72</v>
      </c>
      <c r="C6" s="10" t="s">
        <v>73</v>
      </c>
      <c r="D6" s="11" t="s">
        <v>74</v>
      </c>
      <c r="E6" s="10" t="s">
        <v>58</v>
      </c>
      <c r="F6" s="10">
        <v>1</v>
      </c>
      <c r="G6" s="12">
        <v>200</v>
      </c>
      <c r="H6" s="12">
        <v>325</v>
      </c>
      <c r="I6" s="12">
        <f>H6-G6</f>
      </c>
      <c r="J6" s="12">
        <f>I6*16.67%</f>
      </c>
      <c r="K6" s="12">
        <f>H6/100*7</f>
      </c>
      <c r="L6" s="12">
        <f>K6*20%</f>
      </c>
      <c r="M6" s="12">
        <f>K6*2%</f>
      </c>
      <c r="N6" s="12">
        <f>M6*20%</f>
      </c>
      <c r="O6" s="12">
        <v>8</v>
      </c>
      <c r="P6" s="12">
        <f>O6*20%</f>
      </c>
      <c r="Q6" s="12">
        <v>1</v>
      </c>
      <c r="R6" s="12">
        <f>L6+N6+P6</f>
      </c>
      <c r="S6" s="12">
        <f>I6-J6-K6-L6-M6-N6-O6-P6-Q6</f>
      </c>
      <c r="T6" s="12">
        <f>(S6-AB6)/G6*100</f>
      </c>
      <c r="U6" s="12">
        <f>J6-R6</f>
      </c>
      <c r="V6" s="10" t="s">
        <v>1</v>
      </c>
      <c r="W6" s="10" t="s">
        <v>75</v>
      </c>
      <c r="X6" s="9">
        <v>46224.5</v>
      </c>
      <c r="Y6" s="10" t="s">
        <v>64</v>
      </c>
      <c r="Z6" s="10" t="s">
        <v>76</v>
      </c>
      <c r="AA6" s="10">
        <v>2</v>
      </c>
      <c r="AB6" s="12">
        <v>19.2</v>
      </c>
      <c r="AC6" s="12">
        <f>S6-AB6</f>
      </c>
      <c r="AD6" s="10" t="s">
        <v>77</v>
      </c>
      <c r="AE6" s="10" t="s">
        <v>61</v>
      </c>
    </row>
    <row r="7" spans="1:31" x14ac:dyDescent="0.25">
      <c r="A7" s="9">
        <v>46218.5</v>
      </c>
      <c r="B7" s="10" t="s">
        <v>78</v>
      </c>
      <c r="C7" s="10" t="s">
        <v>73</v>
      </c>
      <c r="D7" s="11" t="s">
        <v>74</v>
      </c>
      <c r="E7" s="10" t="s">
        <v>58</v>
      </c>
      <c r="F7" s="10">
        <v>1</v>
      </c>
      <c r="G7" s="12">
        <v>200</v>
      </c>
      <c r="H7" s="12">
        <v>325</v>
      </c>
      <c r="I7" s="12">
        <f>H7-G7</f>
      </c>
      <c r="J7" s="12">
        <f>I7*16.67%</f>
      </c>
      <c r="K7" s="12">
        <f>H7/100*7</f>
      </c>
      <c r="L7" s="12">
        <f>K7*20%</f>
      </c>
      <c r="M7" s="12">
        <f>K7*2%</f>
      </c>
      <c r="N7" s="12">
        <f>M7*20%</f>
      </c>
      <c r="O7" s="12">
        <v>8</v>
      </c>
      <c r="P7" s="12">
        <f>O7*20%</f>
      </c>
      <c r="Q7" s="12">
        <v>1</v>
      </c>
      <c r="R7" s="12">
        <f>L7+N7+P7</f>
      </c>
      <c r="S7" s="12">
        <f>I7-J7-K7-L7-M7-N7-O7-P7-Q7</f>
      </c>
      <c r="T7" s="12">
        <f>(S7-AB7)/G7*100</f>
      </c>
      <c r="U7" s="12">
        <f>J7-R7</f>
      </c>
      <c r="V7" s="10" t="s">
        <v>1</v>
      </c>
      <c r="W7" s="10" t="s">
        <v>75</v>
      </c>
      <c r="X7" s="9">
        <v>46224.5</v>
      </c>
      <c r="Y7" s="10" t="s">
        <v>64</v>
      </c>
      <c r="Z7" s="10" t="s">
        <v>76</v>
      </c>
      <c r="AA7" s="10">
        <v>2</v>
      </c>
      <c r="AB7" s="12">
        <v>19.2</v>
      </c>
      <c r="AC7" s="12">
        <f>S7-AB7</f>
      </c>
      <c r="AD7" s="10" t="s">
        <v>77</v>
      </c>
      <c r="AE7" s="10" t="s">
        <v>61</v>
      </c>
    </row>
    <row r="8" spans="1:31" x14ac:dyDescent="0.25">
      <c r="A8" s="7">
        <v>46213.5</v>
      </c>
      <c r="B8" t="s">
        <v>79</v>
      </c>
      <c r="C8" t="s">
        <v>73</v>
      </c>
      <c r="D8" s="8" t="s">
        <v>80</v>
      </c>
      <c r="E8" t="s">
        <v>58</v>
      </c>
      <c r="F8">
        <v>1</v>
      </c>
      <c r="G8" s="3">
        <v>200</v>
      </c>
      <c r="H8" s="3">
        <v>320</v>
      </c>
      <c r="I8" s="3">
        <f>H8-G8</f>
      </c>
      <c r="J8" s="3">
        <f>I8*16.67%</f>
      </c>
      <c r="K8" s="3">
        <f>H8/100*7</f>
      </c>
      <c r="L8" s="3">
        <f>K8*20%</f>
      </c>
      <c r="M8" s="3">
        <f>K8*2%</f>
      </c>
      <c r="N8" s="3">
        <f>M8*20%</f>
      </c>
      <c r="O8" s="3">
        <v>8</v>
      </c>
      <c r="P8" s="3">
        <f>O8*20%</f>
      </c>
      <c r="Q8" s="3">
        <v>1</v>
      </c>
      <c r="R8" s="3">
        <f>L8+N8+P8</f>
      </c>
      <c r="S8" s="3">
        <f>I8-J8-K8-L8-M8-N8-O8-P8-Q8</f>
      </c>
      <c r="T8" s="3">
        <f>(S8-AB8)/G8*100</f>
      </c>
      <c r="U8" s="3">
        <f>J8-R8</f>
      </c>
      <c r="V8" t="s">
        <v>1</v>
      </c>
      <c r="W8" t="s">
        <v>75</v>
      </c>
      <c r="AC8" s="3">
        <f>S8-AB8</f>
      </c>
      <c r="AD8" t="s">
        <v>77</v>
      </c>
      <c r="AE8" t="s">
        <v>61</v>
      </c>
    </row>
    <row r="9" spans="1:31" s="6" customFormat="1" x14ac:dyDescent="0.25">
      <c r="A9" s="2" t="s">
        <v>17</v>
      </c>
      <c r="B9" s="6"/>
      <c r="C9" s="6"/>
      <c r="D9" s="6"/>
      <c r="E9" s="6"/>
      <c r="F9" s="13">
        <f>SUM(F2:F8)</f>
      </c>
      <c r="G9" s="13">
        <f>SUM(G2:G8)</f>
      </c>
      <c r="H9" s="13">
        <f>SUM(H2:H8)</f>
      </c>
      <c r="I9" s="13">
        <f>SUM(I2:I8)</f>
      </c>
      <c r="J9" s="13">
        <f>SUM(J2:J8)</f>
      </c>
      <c r="K9" s="13">
        <f>SUM(K2:K8)</f>
      </c>
      <c r="L9" s="13">
        <f>SUM(L2:L8)</f>
      </c>
      <c r="M9" s="13">
        <f>SUM(M2:M8)</f>
      </c>
      <c r="N9" s="13">
        <f>SUM(N2:N8)</f>
      </c>
      <c r="O9" s="13">
        <f>SUM(O2:O8)</f>
      </c>
      <c r="P9" s="13">
        <f>SUM(P2:P8)</f>
      </c>
      <c r="Q9" s="13">
        <f>SUM(Q2:Q8)</f>
      </c>
      <c r="R9" s="13">
        <f>SUM(R2:R8)</f>
      </c>
      <c r="S9" s="13">
        <f>SUM(S2:S8)</f>
      </c>
      <c r="T9" s="13">
        <f>IFERROR((S9-AB9)/G9*100,0)</f>
      </c>
      <c r="U9" s="13">
        <f>SUM(U2:U8)</f>
      </c>
      <c r="V9" s="6"/>
      <c r="W9" s="6"/>
      <c r="X9" s="6"/>
      <c r="Y9" s="6"/>
      <c r="Z9" s="6"/>
      <c r="AA9" s="6"/>
      <c r="AB9" s="13">
        <f>SUM(AB2:AB8)</f>
      </c>
      <c r="AC9" s="13">
        <f>SUM(AC2:AC8)</f>
      </c>
      <c r="AD9" s="6"/>
      <c r="AE9" s="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81</v>
      </c>
      <c r="M1" t="s">
        <v>39</v>
      </c>
      <c r="N1" t="s">
        <v>40</v>
      </c>
      <c r="O1" t="s">
        <v>41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5"/>
  <sheetFormatPr defaultRowHeight="15" outlineLevelRow="0" outlineLevelCol="0" x14ac:dyDescent="55"/>
  <sheetData>
    <row r="1" spans="1:34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82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83</v>
      </c>
      <c r="M1" t="s">
        <v>84</v>
      </c>
      <c r="N1" t="s">
        <v>85</v>
      </c>
      <c r="O1" t="s">
        <v>86</v>
      </c>
      <c r="P1" t="s">
        <v>39</v>
      </c>
      <c r="Q1" t="s">
        <v>40</v>
      </c>
      <c r="R1" t="s">
        <v>87</v>
      </c>
      <c r="S1" t="s">
        <v>88</v>
      </c>
      <c r="T1" t="s">
        <v>41</v>
      </c>
      <c r="U1" t="s">
        <v>42</v>
      </c>
      <c r="V1" t="s">
        <v>43</v>
      </c>
      <c r="W1" t="s">
        <v>44</v>
      </c>
      <c r="X1" t="s">
        <v>45</v>
      </c>
      <c r="Y1" t="s">
        <v>46</v>
      </c>
      <c r="Z1" t="s">
        <v>47</v>
      </c>
      <c r="AA1" t="s">
        <v>48</v>
      </c>
      <c r="AB1" t="s">
        <v>49</v>
      </c>
      <c r="AC1" t="s">
        <v>50</v>
      </c>
      <c r="AD1" t="s">
        <v>51</v>
      </c>
      <c r="AE1" t="s">
        <v>52</v>
      </c>
      <c r="AF1" t="s">
        <v>10</v>
      </c>
      <c r="AG1" t="s">
        <v>53</v>
      </c>
      <c r="AH1" t="s">
        <v>54</v>
      </c>
    </row>
    <row r="2" spans="1:34" x14ac:dyDescent="0.25">
      <c r="A2" s="7">
        <v>46223.5</v>
      </c>
      <c r="B2" t="s">
        <v>89</v>
      </c>
      <c r="C2" t="s">
        <v>90</v>
      </c>
      <c r="D2" s="8" t="s">
        <v>1</v>
      </c>
      <c r="E2" t="s">
        <v>58</v>
      </c>
      <c r="F2">
        <v>3</v>
      </c>
      <c r="G2" s="3">
        <v>3.3</v>
      </c>
      <c r="H2" s="3">
        <v>17.97</v>
      </c>
      <c r="I2" s="3">
        <f>H2-G2</f>
      </c>
      <c r="J2" s="3">
        <f>I2*16.67%</f>
      </c>
      <c r="K2" s="3">
        <f>(H2*6.9%)-(H2*6.9%)*10%</f>
      </c>
      <c r="L2" s="3">
        <f>H2*0.35%</f>
      </c>
      <c r="M2" s="3">
        <v>0.4</v>
      </c>
      <c r="N2" s="3">
        <f>(K2+L2+M2)*20%</f>
      </c>
      <c r="O2" s="3">
        <f>K2+L2+M2+N2</f>
      </c>
      <c r="P2" s="3">
        <v>2.5</v>
      </c>
      <c r="Q2" s="3">
        <v>0</v>
      </c>
      <c r="R2" s="3">
        <v>0</v>
      </c>
      <c r="S2" s="3">
        <f>R2*20%</f>
      </c>
      <c r="T2" s="3">
        <v>1</v>
      </c>
      <c r="U2" s="3">
        <f>N2+Q2+S2</f>
      </c>
      <c r="V2" s="3">
        <f>I2-J2-O2-P2-Q2-R2-S2-T2</f>
      </c>
      <c r="W2" s="3">
        <f>(V2-AE2)/H2*100</f>
      </c>
      <c r="X2" s="3">
        <f>J2-U2</f>
      </c>
      <c r="Y2" t="s">
        <v>1</v>
      </c>
      <c r="Z2" t="s">
        <v>90</v>
      </c>
      <c r="AF2" s="3">
        <f>V2-AE2</f>
      </c>
      <c r="AG2" t="s">
        <v>1</v>
      </c>
      <c r="AH2" t="s">
        <v>1</v>
      </c>
    </row>
    <row r="3" spans="1:34" x14ac:dyDescent="0.25">
      <c r="A3" s="7">
        <v>46221.5</v>
      </c>
      <c r="B3" t="s">
        <v>91</v>
      </c>
      <c r="C3" t="s">
        <v>92</v>
      </c>
      <c r="D3" s="8" t="s">
        <v>93</v>
      </c>
      <c r="E3" t="s">
        <v>58</v>
      </c>
      <c r="F3">
        <v>1</v>
      </c>
      <c r="G3" s="3">
        <v>200</v>
      </c>
      <c r="H3" s="3">
        <v>355</v>
      </c>
      <c r="I3" s="3">
        <f>H3-G3</f>
      </c>
      <c r="J3" s="3">
        <f>I3*16.67%</f>
      </c>
      <c r="K3" s="3">
        <f>(H3*6.9%)-(H3*6.9%)*10%</f>
      </c>
      <c r="L3" s="3">
        <f>H3*0.35%</f>
      </c>
      <c r="M3" s="3">
        <v>0.4</v>
      </c>
      <c r="N3" s="3">
        <f>(K3+L3+M3)*20%</f>
      </c>
      <c r="O3" s="3">
        <f>K3+L3+M3+N3</f>
      </c>
      <c r="P3" s="3">
        <v>8</v>
      </c>
      <c r="Q3" s="3">
        <v>0</v>
      </c>
      <c r="R3" s="3">
        <v>0</v>
      </c>
      <c r="S3" s="3">
        <f>R3*20%</f>
      </c>
      <c r="T3" s="3">
        <v>1</v>
      </c>
      <c r="U3" s="3">
        <f>N3+Q3+S3</f>
      </c>
      <c r="V3" s="3">
        <f>I3-J3-O3-P3-Q3-R3-S3-T3</f>
      </c>
      <c r="W3" s="3">
        <f>(V3-AE3)/H3*100</f>
      </c>
      <c r="X3" s="3">
        <f>J3-U3</f>
      </c>
      <c r="Y3" t="s">
        <v>1</v>
      </c>
      <c r="Z3" t="s">
        <v>75</v>
      </c>
      <c r="AF3" s="3">
        <f>V3-AE3</f>
      </c>
      <c r="AG3" t="s">
        <v>94</v>
      </c>
      <c r="AH3" t="s">
        <v>61</v>
      </c>
    </row>
    <row r="4" spans="1:34" x14ac:dyDescent="0.25">
      <c r="A4" s="9">
        <v>46219.5</v>
      </c>
      <c r="B4" s="10" t="s">
        <v>95</v>
      </c>
      <c r="C4" s="10" t="s">
        <v>96</v>
      </c>
      <c r="D4" s="11" t="s">
        <v>97</v>
      </c>
      <c r="E4" s="10" t="s">
        <v>58</v>
      </c>
      <c r="F4" s="10">
        <v>1</v>
      </c>
      <c r="G4" s="12">
        <v>200</v>
      </c>
      <c r="H4" s="12">
        <v>375</v>
      </c>
      <c r="I4" s="12">
        <f>H4-G4</f>
      </c>
      <c r="J4" s="12">
        <f>I4*16.67%</f>
      </c>
      <c r="K4" s="12">
        <f>(H4*6.9%)-(H4*6.9%)*10%</f>
      </c>
      <c r="L4" s="12">
        <f>H4*0.35%</f>
      </c>
      <c r="M4" s="12">
        <v>0.4</v>
      </c>
      <c r="N4" s="12">
        <f>(K4+L4+M4)*20%</f>
      </c>
      <c r="O4" s="12">
        <f>K4+L4+M4+N4</f>
      </c>
      <c r="P4" s="12">
        <v>8</v>
      </c>
      <c r="Q4" s="12">
        <v>0</v>
      </c>
      <c r="R4" s="12">
        <v>0</v>
      </c>
      <c r="S4" s="12">
        <f>R4*20%</f>
      </c>
      <c r="T4" s="12">
        <v>1</v>
      </c>
      <c r="U4" s="12">
        <f>N4+Q4+S4</f>
      </c>
      <c r="V4" s="12">
        <f>I4-J4-O4-P4-Q4-R4-S4-T4</f>
      </c>
      <c r="W4" s="12">
        <f>(V4-AE4)/H4*100</f>
      </c>
      <c r="X4" s="12">
        <f>J4-U4</f>
      </c>
      <c r="Y4" s="10" t="s">
        <v>1</v>
      </c>
      <c r="Z4" s="10" t="s">
        <v>98</v>
      </c>
      <c r="AA4" s="9">
        <v>46225.5</v>
      </c>
      <c r="AB4" s="10" t="s">
        <v>99</v>
      </c>
      <c r="AC4" s="10" t="s">
        <v>100</v>
      </c>
      <c r="AD4" s="10">
        <v>2</v>
      </c>
      <c r="AE4" s="12">
        <v>19.2</v>
      </c>
      <c r="AF4" s="12">
        <f>V4-AE4</f>
      </c>
      <c r="AG4" s="10" t="s">
        <v>94</v>
      </c>
      <c r="AH4" s="10" t="s">
        <v>61</v>
      </c>
    </row>
    <row r="5" spans="1:34" s="6" customFormat="1" x14ac:dyDescent="0.25">
      <c r="A5" s="2" t="s">
        <v>17</v>
      </c>
      <c r="B5" s="6"/>
      <c r="C5" s="6"/>
      <c r="D5" s="6"/>
      <c r="E5" s="6"/>
      <c r="F5" s="13">
        <f>SUM(F2:F4)</f>
      </c>
      <c r="G5" s="13">
        <f>SUM(G2:G4)</f>
      </c>
      <c r="H5" s="13">
        <f>SUM(H2:H4)</f>
      </c>
      <c r="I5" s="13">
        <f>SUM(I2:I4)</f>
      </c>
      <c r="J5" s="13">
        <f>SUM(J2:J4)</f>
      </c>
      <c r="K5" s="13">
        <f>SUM(K2:K4)</f>
      </c>
      <c r="L5" s="13">
        <f>SUM(L2:L4)</f>
      </c>
      <c r="M5" s="13">
        <f>SUM(M2:M4)</f>
      </c>
      <c r="N5" s="13">
        <f>SUM(N2:N4)</f>
      </c>
      <c r="O5" s="13">
        <f>SUM(O2:O4)</f>
      </c>
      <c r="P5" s="13">
        <f>SUM(P2:P4)</f>
      </c>
      <c r="Q5" s="13">
        <f>SUM(Q2:Q4)</f>
      </c>
      <c r="R5" s="13">
        <f>SUM(R2:R4)</f>
      </c>
      <c r="S5" s="13">
        <f>SUM(S2:S4)</f>
      </c>
      <c r="T5" s="13">
        <f>SUM(T2:T4)</f>
      </c>
      <c r="U5" s="13">
        <f>SUM(U2:U4)</f>
      </c>
      <c r="V5" s="13">
        <f>SUM(V2:V4)</f>
      </c>
      <c r="W5" s="13">
        <f>IFERROR((V5-AE5)/H5*100,0)</f>
      </c>
      <c r="X5" s="13">
        <f>SUM(X2:X4)</f>
      </c>
      <c r="Y5" s="6"/>
      <c r="Z5" s="6"/>
      <c r="AA5" s="6"/>
      <c r="AB5" s="6"/>
      <c r="AC5" s="6"/>
      <c r="AD5" s="6"/>
      <c r="AE5" s="13">
        <f>SUM(AE2:AE4)</f>
      </c>
      <c r="AF5" s="13">
        <f>SUM(AF2:AF4)</f>
      </c>
      <c r="AG5" s="6"/>
      <c r="AH5" s="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101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  <row r="2" spans="1:28" x14ac:dyDescent="0.25">
      <c r="A2" s="7">
        <v>46228.5</v>
      </c>
      <c r="B2" t="s">
        <v>102</v>
      </c>
      <c r="C2" t="s">
        <v>103</v>
      </c>
      <c r="D2" s="8" t="s">
        <v>104</v>
      </c>
      <c r="E2" t="s">
        <v>58</v>
      </c>
      <c r="F2" s="3">
        <v>200</v>
      </c>
      <c r="G2" s="3">
        <v>410</v>
      </c>
      <c r="H2" s="3">
        <f>G2-F2</f>
      </c>
      <c r="I2" s="3">
        <f>H2*16.67%</f>
      </c>
      <c r="J2" s="3">
        <f>G2*7%</f>
      </c>
      <c r="K2" s="3">
        <f>J2*20%</f>
      </c>
      <c r="L2" s="3">
        <v>8</v>
      </c>
      <c r="M2" s="3">
        <f>L2*20%</f>
      </c>
      <c r="N2" s="3">
        <v>1</v>
      </c>
      <c r="O2" s="3">
        <f>K2+M2</f>
      </c>
      <c r="P2" s="3">
        <f>H2-I2-J2-K2-L2-M2-N2</f>
      </c>
      <c r="Q2" s="3">
        <f>(P2-Y2)/F2*100</f>
      </c>
      <c r="R2" s="3">
        <f>I2-O2</f>
      </c>
      <c r="S2" t="s">
        <v>1</v>
      </c>
      <c r="T2" t="s">
        <v>105</v>
      </c>
      <c r="Z2" s="3">
        <f>P2-Y2</f>
      </c>
      <c r="AA2" t="s">
        <v>94</v>
      </c>
      <c r="AB2" t="s">
        <v>61</v>
      </c>
    </row>
    <row r="3" spans="1:28" s="6" customFormat="1" x14ac:dyDescent="0.25">
      <c r="A3" s="2" t="s">
        <v>17</v>
      </c>
      <c r="B3" s="6"/>
      <c r="C3" s="6"/>
      <c r="D3" s="6"/>
      <c r="E3" s="6"/>
      <c r="F3" s="13">
        <f>SUM(F2:F2)</f>
      </c>
      <c r="G3" s="13">
        <f>SUM(G2:G2)</f>
      </c>
      <c r="H3" s="13">
        <f>SUM(H2:H2)</f>
      </c>
      <c r="I3" s="13">
        <f>SUM(I2:I2)</f>
      </c>
      <c r="J3" s="13">
        <f>SUM(J2:J2)</f>
      </c>
      <c r="K3" s="13">
        <f>SUM(K2:K2)</f>
      </c>
      <c r="L3" s="13">
        <f>SUM(L2:L2)</f>
      </c>
      <c r="M3" s="13">
        <f>SUM(M2:M2)</f>
      </c>
      <c r="N3" s="13">
        <f>SUM(N2:N2)</f>
      </c>
      <c r="O3" s="13">
        <f>SUM(O2:O2)</f>
      </c>
      <c r="P3" s="13">
        <f>SUM(P2:P2)</f>
      </c>
      <c r="Q3" s="13">
        <f>IFERROR((P3-Y3)/F3*100,0)</f>
      </c>
      <c r="R3" s="13">
        <f>SUM(R2:R2)</f>
      </c>
      <c r="S3" s="6"/>
      <c r="T3" s="6"/>
      <c r="U3" s="6"/>
      <c r="V3" s="6"/>
      <c r="W3" s="6"/>
      <c r="X3" s="6"/>
      <c r="Y3" s="13">
        <f>SUM(Y2:Y2)</f>
      </c>
      <c r="Z3" s="13">
        <f>SUM(Z2:Z2)</f>
      </c>
      <c r="AA3" s="6"/>
      <c r="AB3" s="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"/>
  <sheetFormatPr defaultRowHeight="15" outlineLevelRow="0" outlineLevelCol="0" x14ac:dyDescent="55"/>
  <sheetData>
    <row r="1" spans="1:29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106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10</v>
      </c>
      <c r="AB1" t="s">
        <v>53</v>
      </c>
      <c r="AC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6" customFormat="1" x14ac:dyDescent="0.25">
      <c r="A1" s="6" t="s">
        <v>25</v>
      </c>
      <c r="B1" s="6" t="s">
        <v>3</v>
      </c>
      <c r="C1" s="6" t="s">
        <v>26</v>
      </c>
      <c r="D1" s="6" t="s">
        <v>27</v>
      </c>
      <c r="E1" s="6" t="s">
        <v>107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43</v>
      </c>
      <c r="K1" s="6" t="s">
        <v>44</v>
      </c>
      <c r="L1" s="6" t="s">
        <v>46</v>
      </c>
    </row>
    <row r="2" spans="1:12" x14ac:dyDescent="0.25">
      <c r="A2" s="9">
        <v>46224.5</v>
      </c>
      <c r="B2" s="10" t="s">
        <v>12</v>
      </c>
      <c r="C2" s="10" t="s">
        <v>62</v>
      </c>
      <c r="D2" s="10" t="s">
        <v>63</v>
      </c>
      <c r="E2" s="10" t="s">
        <v>108</v>
      </c>
      <c r="F2" s="10" t="s">
        <v>58</v>
      </c>
      <c r="G2" s="10">
        <v>1</v>
      </c>
      <c r="H2" s="12">
        <v>3.2</v>
      </c>
      <c r="I2" s="12">
        <v>9.99</v>
      </c>
      <c r="J2" s="12">
        <v>0.8</v>
      </c>
      <c r="K2" s="14">
        <v>25.07</v>
      </c>
      <c r="L2" s="10" t="s">
        <v>1</v>
      </c>
    </row>
    <row r="3" spans="1:12" x14ac:dyDescent="0.25">
      <c r="A3" s="7">
        <v>46223.5</v>
      </c>
      <c r="B3" t="s">
        <v>14</v>
      </c>
      <c r="C3" t="s">
        <v>89</v>
      </c>
      <c r="D3" t="s">
        <v>90</v>
      </c>
      <c r="E3" t="s">
        <v>109</v>
      </c>
      <c r="F3" t="s">
        <v>58</v>
      </c>
      <c r="G3">
        <v>3</v>
      </c>
      <c r="H3" s="3">
        <v>3.3</v>
      </c>
      <c r="I3" s="3">
        <v>17.97</v>
      </c>
      <c r="J3" s="3">
        <v>6.83</v>
      </c>
      <c r="K3" s="15">
        <v>38.01</v>
      </c>
      <c r="L3" t="s">
        <v>1</v>
      </c>
    </row>
    <row r="4" spans="1:12" x14ac:dyDescent="0.25">
      <c r="A4" s="7">
        <v>46222.5</v>
      </c>
      <c r="B4" t="s">
        <v>12</v>
      </c>
      <c r="C4" t="s">
        <v>66</v>
      </c>
      <c r="D4" t="s">
        <v>63</v>
      </c>
      <c r="E4" t="s">
        <v>108</v>
      </c>
      <c r="F4" t="s">
        <v>58</v>
      </c>
      <c r="G4">
        <v>4</v>
      </c>
      <c r="H4" s="3">
        <v>12.8</v>
      </c>
      <c r="I4" s="3">
        <v>39.96</v>
      </c>
      <c r="J4" s="3">
        <v>15.21</v>
      </c>
      <c r="K4" s="15">
        <v>118.82</v>
      </c>
      <c r="L4" t="s">
        <v>1</v>
      </c>
    </row>
    <row r="5" spans="1:12" s="6" customFormat="1" x14ac:dyDescent="0.25">
      <c r="A5" s="6" t="s">
        <v>17</v>
      </c>
      <c r="B5" s="6" t="s">
        <v>1</v>
      </c>
      <c r="C5" s="6" t="s">
        <v>1</v>
      </c>
      <c r="D5" s="6" t="s">
        <v>1</v>
      </c>
      <c r="E5" s="6" t="s">
        <v>1</v>
      </c>
      <c r="F5" s="6" t="s">
        <v>1</v>
      </c>
      <c r="G5" s="6">
        <f>SUM(G2:G4)</f>
      </c>
      <c r="H5" s="13">
        <f>SUM(H2:H4)</f>
      </c>
      <c r="I5" s="13">
        <f>SUM(I2:I4)</f>
      </c>
      <c r="J5" s="13">
        <f>SUM(J2:J4)</f>
      </c>
      <c r="K5" s="6" t="s">
        <v>1</v>
      </c>
      <c r="L5" s="6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6" t="s">
        <v>110</v>
      </c>
      <c r="B1" t="s">
        <v>111</v>
      </c>
    </row>
    <row r="2" spans="1:2" x14ac:dyDescent="0.25">
      <c r="A2" s="6" t="s">
        <v>112</v>
      </c>
      <c r="B2">
        <v>4</v>
      </c>
    </row>
    <row r="3" spans="1:2" x14ac:dyDescent="0.25">
      <c r="A3" s="6" t="s">
        <v>5</v>
      </c>
      <c r="B3">
        <v>2</v>
      </c>
    </row>
    <row r="4" spans="1:2" x14ac:dyDescent="0.25">
      <c r="A4" s="6" t="s">
        <v>6</v>
      </c>
      <c r="B4">
        <v>1</v>
      </c>
    </row>
    <row r="5" spans="1:2" x14ac:dyDescent="0.25">
      <c r="A5" s="6" t="s">
        <v>7</v>
      </c>
      <c r="B5">
        <v>1</v>
      </c>
    </row>
    <row r="6" spans="1:2" x14ac:dyDescent="0.25">
      <c r="A6" s="6" t="s">
        <v>113</v>
      </c>
      <c r="B6" s="3">
        <v>73.2</v>
      </c>
    </row>
    <row r="7" spans="1:2" x14ac:dyDescent="0.25">
      <c r="A7" s="6" t="s">
        <v>114</v>
      </c>
      <c r="B7" s="3">
        <v>18.3</v>
      </c>
    </row>
    <row r="9" spans="1:2" x14ac:dyDescent="0.25">
      <c r="A9" s="6" t="s">
        <v>115</v>
      </c>
      <c r="B9" s="6" t="s">
        <v>116</v>
      </c>
    </row>
    <row r="10" spans="1:2" x14ac:dyDescent="0.25">
      <c r="A10" s="6" t="s">
        <v>12</v>
      </c>
      <c r="B10" t="s">
        <v>117</v>
      </c>
    </row>
    <row r="11" spans="1:2" x14ac:dyDescent="0.25">
      <c r="A11" s="6" t="s">
        <v>14</v>
      </c>
      <c r="B11" t="s">
        <v>118</v>
      </c>
    </row>
    <row r="13" spans="1:2" x14ac:dyDescent="0.25">
      <c r="A13" s="6" t="s">
        <v>119</v>
      </c>
      <c r="B13" t="s">
        <v>1</v>
      </c>
    </row>
    <row r="14" spans="1:2" x14ac:dyDescent="0.25">
      <c r="A14" t="s">
        <v>120</v>
      </c>
      <c r="B14" t="s">
        <v>121</v>
      </c>
    </row>
    <row r="15" spans="1:2" x14ac:dyDescent="0.25">
      <c r="A15" t="s">
        <v>70</v>
      </c>
      <c r="B15" t="s">
        <v>122</v>
      </c>
    </row>
    <row r="16" spans="1:2" x14ac:dyDescent="0.25">
      <c r="A16" t="s">
        <v>123</v>
      </c>
      <c r="B16" t="s">
        <v>124</v>
      </c>
    </row>
    <row r="18" spans="1:2" x14ac:dyDescent="0.25">
      <c r="A18" s="6" t="s">
        <v>125</v>
      </c>
      <c r="B18" t="s">
        <v>1</v>
      </c>
    </row>
    <row r="19" spans="1:2" x14ac:dyDescent="0.25">
      <c r="A19" t="s">
        <v>126</v>
      </c>
      <c r="B19" t="s">
        <v>127</v>
      </c>
    </row>
    <row r="20" spans="1:2" x14ac:dyDescent="0.25">
      <c r="A20" t="s">
        <v>128</v>
      </c>
      <c r="B20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"/>
  <sheetFormatPr defaultRowHeight="15" outlineLevelRow="0" outlineLevelCol="0" x14ac:dyDescent="55"/>
  <sheetData>
    <row r="1" spans="1:16" x14ac:dyDescent="0.25">
      <c r="A1" t="s">
        <v>48</v>
      </c>
      <c r="B1" t="s">
        <v>129</v>
      </c>
      <c r="C1" t="s">
        <v>47</v>
      </c>
      <c r="D1" t="s">
        <v>53</v>
      </c>
      <c r="E1" t="s">
        <v>54</v>
      </c>
      <c r="F1" t="s">
        <v>29</v>
      </c>
      <c r="G1" t="s">
        <v>130</v>
      </c>
      <c r="H1" t="s">
        <v>131</v>
      </c>
      <c r="I1" t="s">
        <v>3</v>
      </c>
      <c r="J1" t="s">
        <v>132</v>
      </c>
      <c r="K1" t="s">
        <v>49</v>
      </c>
      <c r="L1" t="s">
        <v>133</v>
      </c>
      <c r="M1" t="s">
        <v>46</v>
      </c>
      <c r="N1" t="s">
        <v>134</v>
      </c>
      <c r="O1" t="s">
        <v>51</v>
      </c>
      <c r="P1" t="s">
        <v>9</v>
      </c>
    </row>
    <row r="2" spans="1:16" x14ac:dyDescent="0.25">
      <c r="A2" s="9">
        <v>46226.5</v>
      </c>
      <c r="B2" s="11" t="s">
        <v>68</v>
      </c>
      <c r="C2" s="10" t="s">
        <v>135</v>
      </c>
      <c r="D2" s="10" t="s">
        <v>60</v>
      </c>
      <c r="E2" s="10" t="s">
        <v>61</v>
      </c>
      <c r="F2" s="10" t="s">
        <v>58</v>
      </c>
      <c r="G2" s="9">
        <v>46222.5</v>
      </c>
      <c r="H2" s="12">
        <v>605</v>
      </c>
      <c r="I2" s="10" t="s">
        <v>12</v>
      </c>
      <c r="J2" s="10" t="s">
        <v>136</v>
      </c>
      <c r="K2" s="10" t="s">
        <v>70</v>
      </c>
      <c r="L2" s="10" t="s">
        <v>137</v>
      </c>
      <c r="M2" s="10" t="s">
        <v>1</v>
      </c>
      <c r="N2" s="12">
        <v>9.6</v>
      </c>
      <c r="O2" s="10">
        <v>3</v>
      </c>
      <c r="P2" s="12">
        <v>28.799999999999997</v>
      </c>
    </row>
    <row r="3" spans="1:16" x14ac:dyDescent="0.25">
      <c r="A3" s="9">
        <v>46225.5</v>
      </c>
      <c r="B3" s="11" t="s">
        <v>97</v>
      </c>
      <c r="C3" s="10" t="s">
        <v>138</v>
      </c>
      <c r="D3" s="10" t="s">
        <v>94</v>
      </c>
      <c r="E3" s="10" t="s">
        <v>61</v>
      </c>
      <c r="F3" s="10" t="s">
        <v>139</v>
      </c>
      <c r="G3" s="9">
        <v>46219.5</v>
      </c>
      <c r="H3" s="12">
        <v>375</v>
      </c>
      <c r="I3" s="10" t="s">
        <v>14</v>
      </c>
      <c r="J3" s="10" t="s">
        <v>99</v>
      </c>
      <c r="K3" s="10" t="s">
        <v>99</v>
      </c>
      <c r="L3" s="10" t="s">
        <v>140</v>
      </c>
      <c r="M3" s="10" t="s">
        <v>1</v>
      </c>
      <c r="N3" s="12">
        <v>9.6</v>
      </c>
      <c r="O3" s="10">
        <v>2</v>
      </c>
      <c r="P3" s="12">
        <v>19.2</v>
      </c>
    </row>
    <row r="4" spans="1:16" x14ac:dyDescent="0.25">
      <c r="A4" s="9">
        <v>46224.5</v>
      </c>
      <c r="B4" s="11" t="s">
        <v>74</v>
      </c>
      <c r="C4" s="10" t="s">
        <v>141</v>
      </c>
      <c r="D4" s="10" t="s">
        <v>77</v>
      </c>
      <c r="E4" s="10" t="s">
        <v>61</v>
      </c>
      <c r="F4" s="10" t="s">
        <v>58</v>
      </c>
      <c r="G4" s="9">
        <v>46218.5</v>
      </c>
      <c r="H4" s="12">
        <v>325</v>
      </c>
      <c r="I4" s="10" t="s">
        <v>12</v>
      </c>
      <c r="J4" s="10" t="s">
        <v>136</v>
      </c>
      <c r="K4" s="10" t="s">
        <v>64</v>
      </c>
      <c r="L4" s="10" t="s">
        <v>142</v>
      </c>
      <c r="M4" s="10" t="s">
        <v>143</v>
      </c>
      <c r="N4" s="12">
        <v>9.6</v>
      </c>
      <c r="O4" s="10">
        <v>2</v>
      </c>
      <c r="P4" s="12">
        <v>19.2</v>
      </c>
    </row>
    <row r="5" spans="1:16" x14ac:dyDescent="0.25">
      <c r="A5" s="9">
        <v>46227.5</v>
      </c>
      <c r="B5" s="11" t="s">
        <v>1</v>
      </c>
      <c r="C5" s="10" t="s">
        <v>108</v>
      </c>
      <c r="D5" s="10" t="s">
        <v>1</v>
      </c>
      <c r="E5" s="10" t="s">
        <v>1</v>
      </c>
      <c r="F5" s="10" t="s">
        <v>58</v>
      </c>
      <c r="G5" s="9">
        <v>46224.5</v>
      </c>
      <c r="H5" s="12">
        <v>9.99</v>
      </c>
      <c r="I5" s="10" t="s">
        <v>12</v>
      </c>
      <c r="J5" s="10" t="s">
        <v>144</v>
      </c>
      <c r="K5" s="10" t="s">
        <v>64</v>
      </c>
      <c r="L5" s="10" t="s">
        <v>65</v>
      </c>
      <c r="M5" s="10" t="s">
        <v>1</v>
      </c>
      <c r="N5" s="12">
        <v>3</v>
      </c>
      <c r="O5" s="10">
        <v>2</v>
      </c>
      <c r="P5" s="1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FormatPr defaultRowHeight="15" outlineLevelRow="0" outlineLevelCol="0" x14ac:dyDescent="55"/>
  <sheetData>
    <row r="1" spans="1:7" x14ac:dyDescent="0.25">
      <c r="A1" t="s">
        <v>129</v>
      </c>
      <c r="B1" t="s">
        <v>47</v>
      </c>
      <c r="C1" t="s">
        <v>145</v>
      </c>
      <c r="D1" t="s">
        <v>146</v>
      </c>
      <c r="E1" t="s">
        <v>147</v>
      </c>
      <c r="F1" t="s">
        <v>148</v>
      </c>
      <c r="G1" t="s">
        <v>46</v>
      </c>
    </row>
    <row r="2" spans="1:7" x14ac:dyDescent="0.25">
      <c r="A2" s="8" t="s">
        <v>74</v>
      </c>
      <c r="B2" t="s">
        <v>141</v>
      </c>
      <c r="C2" s="7">
        <v>46204.5</v>
      </c>
      <c r="D2" t="s">
        <v>149</v>
      </c>
      <c r="E2" t="s">
        <v>58</v>
      </c>
      <c r="F2" s="3">
        <v>200</v>
      </c>
      <c r="G2" t="s">
        <v>1</v>
      </c>
    </row>
    <row r="3" spans="1:7" x14ac:dyDescent="0.25">
      <c r="A3" s="8" t="s">
        <v>74</v>
      </c>
      <c r="B3" t="s">
        <v>141</v>
      </c>
      <c r="C3" s="7">
        <v>46218.5</v>
      </c>
      <c r="D3" t="s">
        <v>150</v>
      </c>
      <c r="E3" t="s">
        <v>151</v>
      </c>
      <c r="F3" s="3">
        <v>325</v>
      </c>
      <c r="G3" t="s">
        <v>1</v>
      </c>
    </row>
    <row r="4" spans="1:7" x14ac:dyDescent="0.25">
      <c r="A4" s="8" t="s">
        <v>74</v>
      </c>
      <c r="B4" t="s">
        <v>141</v>
      </c>
      <c r="C4" s="7">
        <v>46218.5</v>
      </c>
      <c r="D4" t="s">
        <v>150</v>
      </c>
      <c r="E4" t="s">
        <v>152</v>
      </c>
      <c r="F4" s="3">
        <v>325</v>
      </c>
      <c r="G4" t="s">
        <v>1</v>
      </c>
    </row>
    <row r="5" spans="1:7" x14ac:dyDescent="0.25">
      <c r="A5" s="11" t="s">
        <v>74</v>
      </c>
      <c r="B5" s="10" t="s">
        <v>141</v>
      </c>
      <c r="C5" s="9">
        <v>46224.5</v>
      </c>
      <c r="D5" s="10" t="s">
        <v>153</v>
      </c>
      <c r="E5" s="10" t="s">
        <v>154</v>
      </c>
      <c r="F5" s="12">
        <v>-19.2</v>
      </c>
      <c r="G5" s="10" t="s">
        <v>143</v>
      </c>
    </row>
    <row r="6" spans="1:7" x14ac:dyDescent="0.25">
      <c r="A6" s="11" t="s">
        <v>74</v>
      </c>
      <c r="B6" s="10" t="s">
        <v>141</v>
      </c>
      <c r="C6" s="9">
        <v>46224.5</v>
      </c>
      <c r="D6" s="10" t="s">
        <v>153</v>
      </c>
      <c r="E6" s="10" t="s">
        <v>154</v>
      </c>
      <c r="F6" s="12">
        <v>-19.2</v>
      </c>
      <c r="G6" s="10" t="s">
        <v>1</v>
      </c>
    </row>
    <row r="7" spans="1:7" x14ac:dyDescent="0.25">
      <c r="A7" s="8" t="s">
        <v>97</v>
      </c>
      <c r="B7" t="s">
        <v>138</v>
      </c>
      <c r="C7" s="7">
        <v>46204.5</v>
      </c>
      <c r="D7" t="s">
        <v>149</v>
      </c>
      <c r="E7" t="s">
        <v>139</v>
      </c>
      <c r="F7" s="3">
        <v>200</v>
      </c>
      <c r="G7" t="s">
        <v>1</v>
      </c>
    </row>
    <row r="8" spans="1:7" x14ac:dyDescent="0.25">
      <c r="A8" s="8" t="s">
        <v>97</v>
      </c>
      <c r="B8" t="s">
        <v>138</v>
      </c>
      <c r="C8" s="7">
        <v>46219.5</v>
      </c>
      <c r="D8" t="s">
        <v>150</v>
      </c>
      <c r="E8" t="s">
        <v>155</v>
      </c>
      <c r="F8" s="3">
        <v>375</v>
      </c>
      <c r="G8" t="s">
        <v>1</v>
      </c>
    </row>
    <row r="9" spans="1:7" x14ac:dyDescent="0.25">
      <c r="A9" s="11" t="s">
        <v>97</v>
      </c>
      <c r="B9" s="10" t="s">
        <v>138</v>
      </c>
      <c r="C9" s="9">
        <v>46225.5</v>
      </c>
      <c r="D9" s="10" t="s">
        <v>153</v>
      </c>
      <c r="E9" s="10" t="s">
        <v>156</v>
      </c>
      <c r="F9" s="12">
        <v>-19.2</v>
      </c>
      <c r="G9" s="10" t="s">
        <v>1</v>
      </c>
    </row>
    <row r="10" spans="1:7" x14ac:dyDescent="0.25">
      <c r="A10" s="8" t="s">
        <v>97</v>
      </c>
      <c r="B10" t="s">
        <v>138</v>
      </c>
      <c r="C10" s="7">
        <v>46225.5</v>
      </c>
      <c r="D10" t="s">
        <v>157</v>
      </c>
      <c r="E10" t="s">
        <v>99</v>
      </c>
      <c r="F10" s="3"/>
      <c r="G10" t="s">
        <v>1</v>
      </c>
    </row>
    <row r="11" spans="1:7" x14ac:dyDescent="0.25">
      <c r="A11" s="8" t="s">
        <v>68</v>
      </c>
      <c r="B11" t="s">
        <v>135</v>
      </c>
      <c r="C11" s="7">
        <v>46204.5</v>
      </c>
      <c r="D11" t="s">
        <v>149</v>
      </c>
      <c r="E11" t="s">
        <v>58</v>
      </c>
      <c r="F11" s="3">
        <v>200</v>
      </c>
      <c r="G11" t="s">
        <v>1</v>
      </c>
    </row>
    <row r="12" spans="1:7" x14ac:dyDescent="0.25">
      <c r="A12" s="8" t="s">
        <v>68</v>
      </c>
      <c r="B12" t="s">
        <v>135</v>
      </c>
      <c r="C12" s="7">
        <v>46222.5</v>
      </c>
      <c r="D12" t="s">
        <v>150</v>
      </c>
      <c r="E12" t="s">
        <v>158</v>
      </c>
      <c r="F12" s="3">
        <v>605</v>
      </c>
      <c r="G12" t="s">
        <v>1</v>
      </c>
    </row>
    <row r="13" spans="1:7" x14ac:dyDescent="0.25">
      <c r="A13" s="11" t="s">
        <v>68</v>
      </c>
      <c r="B13" s="10" t="s">
        <v>135</v>
      </c>
      <c r="C13" s="9">
        <v>46226.5</v>
      </c>
      <c r="D13" s="10" t="s">
        <v>153</v>
      </c>
      <c r="E13" s="10" t="s">
        <v>159</v>
      </c>
      <c r="F13" s="12">
        <v>-28.799999999999997</v>
      </c>
      <c r="G13" s="10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AMAZON</vt:lpstr>
      <vt:lpstr>BM</vt:lpstr>
      <vt:lpstr>EBAY</vt:lpstr>
      <vt:lpstr>ONBUY</vt:lpstr>
      <vt:lpstr>TEMU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2026-08-03T12:09:02Z</dcterms:created>
  <dcterms:modified xsi:type="dcterms:W3CDTF">2026-08-03T12:09:02Z</dcterms:modified>
</cp:coreProperties>
</file>