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<sst xmlns="http://schemas.openxmlformats.org/spreadsheetml/2006/main" count="498" uniqueCount="172">
  <si>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</si>
  <si>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</si>
  <si>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</si>
  <si>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</si>
  <si>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</si>
  <si>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</si>
  <si>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</si>
  <si>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</si>
  <si>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</si>
  <si>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</si>
  <si>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</si>
  <si>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</si>
  <si>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</si>
  <si>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</si>
  <si>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</si>
  <si>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</si>
  <si>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</si>
  <si>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</si>
  <si>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</si>
  <si>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</si>
  <si>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</si>
  <si>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</si>
  <si>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</si>
  <si>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</si>
  <si>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</si>
  <si>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</si>
  <si>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</si>
  <si>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</si>
  <si>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</si>
  <si>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</si>
  <si>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</si>
  <si>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</si>
  <si>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</si>
  <si>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</si>
  <si>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</si>
  <si>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</si>
  <si>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</si>
  <si>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</si>
  <si>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</si>
  <si>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</si>
  <si>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</si>
  <si>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</si>
  <si>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</si>
  <si>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</si>
  <si>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</si>
  <si>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</si>
  <si>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</si>
  <si>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</si>
  <si>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</si>
  <si>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</si>
  <si>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</si>
  <si>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</si>
  <si>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</si>
  <si>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</si>
  <si>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</si>
  <si>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</si>
  <si>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AMZ-1009</t>
  </si>
  <si>
    <t>Apple iPhone 14 256GB</t>
  </si>
  <si>
    <t>350000000000404</t>
  </si>
  <si>
    <t>iPhone 14</t>
  </si>
  <si>
    <t>BLACK</t>
  </si>
  <si>
    <t>256GB</t>
  </si>
  <si>
    <t>MOBILE WHOLESALE LTD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</si>
  <si>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</si>
  <si>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</si>
  <si>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</si>
  <si>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</si>
  <si>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</si>
  <si>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</si>
  <si>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</si>
  <si>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Replacement</t>
  </si>
  <si>
    <t>Replacement — Face ID intermittent</t>
  </si>
  <si>
    <t>[REPLACED BY IMEI 350000000000404]</t>
  </si>
  <si>
    <t>AMZ-1005</t>
  </si>
  <si>
    <t>Apple iPhone 12 64GB</t>
  </si>
  <si>
    <t>350000000000401</t>
  </si>
  <si>
    <t>iPhone 12</t>
  </si>
  <si>
    <t>64GB</t>
  </si>
  <si>
    <t>Refund — Battery health below 85%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</si>
  <si>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</si>
  <si>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</si>
  <si>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</si>
  <si>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</si>
  <si>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</si>
  <si>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</si>
  <si>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</si>
  <si>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</si>
  <si>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</si>
  <si>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</si>
  <si>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</si>
  <si>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</si>
  <si>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</si>
  <si>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</si>
  <si>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</si>
  <si>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</si>
  <si>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</si>
  <si>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</si>
  <si>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</si>
  <si>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</si>
  <si>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</si>
  <si>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</si>
  <si>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</si>
  <si>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</si>
  <si>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</si>
  <si>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</si>
  <si>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</si>
  <si>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</si>
  <si>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</si>
  <si>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</si>
  <si>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</si>
  <si>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</si>
  <si>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</si>
  <si>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</si>
  <si>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</si>
  <si>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</si>
  <si>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</si>
  <si>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</si>
  <si>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</si>
  <si>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1 return cost has not been entered yet (a repair invoice, or a supplier credit that has not landed). Return Cost is therefore a floor and Net GP an optimistic ceiling.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</si>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</sst>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355.98+SUM('AMAZON'!$V$9:$V$208)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98.57+SUM('EBAY'!$Y$5:$Y$204)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129.95+SUM('ONBUY'!$S$3:$S$202)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 t="s">
        <v>60</v>
      </c>
      <c r="G2" t="s">
        <v>61</v>
      </c>
      <c r="H2" t="s">
        <v>62</v>
      </c>
      <c r="I2">
        <v>1</v>
      </c>
      <c r="J2" s="4">
        <v>200</v>
      </c>
      <c r="K2" s="4">
        <v>610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8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(V2-Y2)/J2*100</f>
      </c>
      <c r="X2" s="4">
        <f>M2-U2</f>
      </c>
      <c r="Z2" s="4">
        <f>V2-Y2</f>
      </c>
      <c r="AE2" t="s">
        <v>1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64</v>
      </c>
      <c r="F3" s="11" t="s">
        <v>1</v>
      </c>
      <c r="G3" s="11" t="s">
        <v>1</v>
      </c>
      <c r="H3" s="11" t="s">
        <v>62</v>
      </c>
      <c r="I3" s="11">
        <v>1</v>
      </c>
      <c r="J3" s="13">
        <v>3.2</v>
      </c>
      <c r="K3" s="13">
        <v>9.99</v>
      </c>
      <c r="L3" s="13">
        <f>K3-J3</f>
      </c>
      <c r="M3" s="13">
        <f>L3*16.67%</f>
      </c>
      <c r="N3" s="13">
        <f>K3/100*7</f>
      </c>
      <c r="O3" s="13">
        <f>N3*20%</f>
      </c>
      <c r="P3" s="13">
        <f>N3*2%</f>
      </c>
      <c r="Q3" s="13">
        <f>P3*20%</f>
      </c>
      <c r="R3" s="13">
        <v>2.5</v>
      </c>
      <c r="S3" s="13">
        <f>R3*20%</f>
      </c>
      <c r="T3" s="13">
        <v>1</v>
      </c>
      <c r="U3" s="13">
        <f>O3+Q3+S3</f>
      </c>
      <c r="V3" s="13">
        <f>L3-M3-N3-O3-P3-Q3-R3-S3-T3</f>
      </c>
      <c r="W3" s="13">
        <f>(V3-Y3)/J3*100</f>
      </c>
      <c r="X3" s="13">
        <f>M3-U3</f>
      </c>
      <c r="Y3" s="13">
        <v>6</v>
      </c>
      <c r="Z3" s="13">
        <f>V3-Y3</f>
      </c>
      <c r="AA3" s="10">
        <v>46227.5</v>
      </c>
      <c r="AB3" s="11" t="s">
        <v>65</v>
      </c>
      <c r="AC3" s="11">
        <v>2</v>
      </c>
      <c r="AD3" s="11" t="s">
        <v>66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64</v>
      </c>
      <c r="F4" t="s">
        <v>1</v>
      </c>
      <c r="G4" t="s">
        <v>1</v>
      </c>
      <c r="H4" t="s">
        <v>62</v>
      </c>
      <c r="I4">
        <v>4</v>
      </c>
      <c r="J4" s="4">
        <v>12.8</v>
      </c>
      <c r="K4" s="4">
        <v>39.96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2.5</v>
      </c>
      <c r="S4" s="4">
        <f>R4*20%</f>
      </c>
      <c r="T4" s="4">
        <v>1</v>
      </c>
      <c r="U4" s="4">
        <f>O4+Q4+S4</f>
      </c>
      <c r="V4" s="4">
        <f>L4-M4-N4-O4-P4-Q4-R4-S4-T4</f>
      </c>
      <c r="W4" s="4">
        <f>(V4-Y4)/J4*100</f>
      </c>
      <c r="X4" s="4">
        <f>M4-U4</f>
      </c>
      <c r="Z4" s="4">
        <f>V4-Y4</f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 t="s">
        <v>60</v>
      </c>
      <c r="G5" s="11" t="s">
        <v>61</v>
      </c>
      <c r="H5" s="11" t="s">
        <v>62</v>
      </c>
      <c r="I5" s="11">
        <v>1</v>
      </c>
      <c r="J5" s="13">
        <v>200</v>
      </c>
      <c r="K5" s="13">
        <v>605</v>
      </c>
      <c r="L5" s="13">
        <f>K5-J5</f>
      </c>
      <c r="M5" s="13">
        <f>L5*16.67%</f>
      </c>
      <c r="N5" s="13">
        <f>K5/100*7</f>
      </c>
      <c r="O5" s="13">
        <f>N5*20%</f>
      </c>
      <c r="P5" s="13">
        <f>N5*2%</f>
      </c>
      <c r="Q5" s="13">
        <f>P5*20%</f>
      </c>
      <c r="R5" s="13">
        <v>8</v>
      </c>
      <c r="S5" s="13">
        <f>R5*20%</f>
      </c>
      <c r="T5" s="13">
        <v>1</v>
      </c>
      <c r="U5" s="13">
        <f>O5+Q5+S5</f>
      </c>
      <c r="V5" s="13">
        <f>L5-M5-N5-O5-P5-Q5-R5-S5-T5</f>
      </c>
      <c r="W5" s="13">
        <f>(V5-Y5)/J5*100</f>
      </c>
      <c r="X5" s="13">
        <f>M5-U5</f>
      </c>
      <c r="Y5" s="13">
        <v>28.799999999999997</v>
      </c>
      <c r="Z5" s="13">
        <f>V5-Y5</f>
      </c>
      <c r="AA5" s="10">
        <v>46226.5</v>
      </c>
      <c r="AB5" s="11" t="s">
        <v>70</v>
      </c>
      <c r="AC5" s="11">
        <v>3</v>
      </c>
      <c r="AD5" s="11" t="s">
        <v>71</v>
      </c>
      <c r="AE5" s="11" t="s">
        <v>72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76</v>
      </c>
      <c r="F6" s="11" t="s">
        <v>60</v>
      </c>
      <c r="G6" s="11" t="s">
        <v>77</v>
      </c>
      <c r="H6" s="11" t="s">
        <v>62</v>
      </c>
      <c r="I6" s="11">
        <v>1</v>
      </c>
      <c r="J6" s="13">
        <v>200</v>
      </c>
      <c r="K6" s="13">
        <v>325</v>
      </c>
      <c r="L6" s="13">
        <f>K6-J6</f>
      </c>
      <c r="M6" s="13">
        <f>L6*16.67%</f>
      </c>
      <c r="N6" s="13">
        <f>K6/100*7</f>
      </c>
      <c r="O6" s="13">
        <f>N6*20%</f>
      </c>
      <c r="P6" s="13">
        <f>N6*2%</f>
      </c>
      <c r="Q6" s="13">
        <f>P6*20%</f>
      </c>
      <c r="R6" s="13">
        <v>8</v>
      </c>
      <c r="S6" s="13">
        <f>R6*20%</f>
      </c>
      <c r="T6" s="13">
        <v>1</v>
      </c>
      <c r="U6" s="13">
        <f>O6+Q6+S6</f>
      </c>
      <c r="V6" s="13">
        <f>L6-M6-N6-O6-P6-Q6-R6-S6-T6</f>
      </c>
      <c r="W6" s="13">
        <f>(V6-Y6)/J6*100</f>
      </c>
      <c r="X6" s="13">
        <f>M6-U6</f>
      </c>
      <c r="Y6" s="13">
        <v>19.2</v>
      </c>
      <c r="Z6" s="13">
        <f>V6-Y6</f>
      </c>
      <c r="AA6" s="10">
        <v>46224.5</v>
      </c>
      <c r="AB6" s="11" t="s">
        <v>65</v>
      </c>
      <c r="AC6" s="11">
        <v>2</v>
      </c>
      <c r="AD6" s="11" t="s">
        <v>78</v>
      </c>
      <c r="AE6" s="11" t="s">
        <v>1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76</v>
      </c>
      <c r="F7" s="11" t="s">
        <v>60</v>
      </c>
      <c r="G7" s="11" t="s">
        <v>77</v>
      </c>
      <c r="H7" s="11" t="s">
        <v>62</v>
      </c>
      <c r="I7" s="11">
        <v>1</v>
      </c>
      <c r="J7" s="13">
        <v>200</v>
      </c>
      <c r="K7" s="13">
        <v>325</v>
      </c>
      <c r="L7" s="13">
        <f>K7-J7</f>
      </c>
      <c r="M7" s="13">
        <f>L7*16.67%</f>
      </c>
      <c r="N7" s="13">
        <f>K7/100*7</f>
      </c>
      <c r="O7" s="13">
        <f>N7*20%</f>
      </c>
      <c r="P7" s="13">
        <f>N7*2%</f>
      </c>
      <c r="Q7" s="13">
        <f>P7*20%</f>
      </c>
      <c r="R7" s="13">
        <v>8</v>
      </c>
      <c r="S7" s="13">
        <f>R7*20%</f>
      </c>
      <c r="T7" s="13">
        <v>1</v>
      </c>
      <c r="U7" s="13">
        <f>O7+Q7+S7</f>
      </c>
      <c r="V7" s="13">
        <f>L7-M7-N7-O7-P7-Q7-R7-S7-T7</f>
      </c>
      <c r="W7" s="13">
        <f>(V7-Y7)/J7*100</f>
      </c>
      <c r="X7" s="13">
        <f>M7-U7</f>
      </c>
      <c r="Y7" s="13">
        <v>19.2</v>
      </c>
      <c r="Z7" s="13">
        <f>V7-Y7</f>
      </c>
      <c r="AA7" s="10">
        <v>46224.5</v>
      </c>
      <c r="AB7" s="11" t="s">
        <v>65</v>
      </c>
      <c r="AC7" s="11">
        <v>2</v>
      </c>
      <c r="AD7" s="11" t="s">
        <v>78</v>
      </c>
      <c r="AE7" s="11" t="s">
        <v>1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76</v>
      </c>
      <c r="F8" t="s">
        <v>60</v>
      </c>
      <c r="G8" t="s">
        <v>77</v>
      </c>
      <c r="H8" t="s">
        <v>62</v>
      </c>
      <c r="I8">
        <v>1</v>
      </c>
      <c r="J8" s="4">
        <v>200</v>
      </c>
      <c r="K8" s="4">
        <v>320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8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IFERROR((V209-Y209)/J209*100,0)</f>
      </c>
      <c r="X209" s="14">
        <f>SUM(X2:X208)</f>
      </c>
      <c r="Y209" s="14">
        <f>SUM(Y2:Y208)</f>
      </c>
      <c r="Z209" s="14">
        <f>SUM(Z2:Z208)</f>
      </c>
      <c r="AA209" s="7"/>
      <c r="AB209" s="7"/>
      <c r="AC209" s="7"/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82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83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84</v>
      </c>
      <c r="P1" t="s">
        <v>85</v>
      </c>
      <c r="Q1" t="s">
        <v>86</v>
      </c>
      <c r="R1" t="s">
        <v>87</v>
      </c>
      <c r="S1" t="s">
        <v>43</v>
      </c>
      <c r="T1" t="s">
        <v>44</v>
      </c>
      <c r="U1" t="s">
        <v>88</v>
      </c>
      <c r="V1" t="s">
        <v>89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91</v>
      </c>
      <c r="F2" t="s">
        <v>1</v>
      </c>
      <c r="G2" t="s">
        <v>1</v>
      </c>
      <c r="H2" t="s">
        <v>62</v>
      </c>
      <c r="I2">
        <v>3</v>
      </c>
      <c r="J2" s="4">
        <v>3.3</v>
      </c>
      <c r="K2" s="4">
        <v>17.97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2.5</v>
      </c>
      <c r="T2" s="4">
        <v>0</v>
      </c>
      <c r="U2" s="4">
        <v>0</v>
      </c>
      <c r="V2" s="4">
        <f>U2*20%</f>
      </c>
      <c r="W2" s="4">
        <v>1</v>
      </c>
      <c r="X2" s="4">
        <f>Q2+T2+V2</f>
      </c>
      <c r="Y2" s="4">
        <f>L2-M2-R2-S2-T2-U2-V2-W2</f>
      </c>
      <c r="Z2" s="4">
        <f>(Y2-AB2)/K2*100</f>
      </c>
      <c r="AA2" s="4">
        <f>M2-X2</f>
      </c>
      <c r="AC2" s="4">
        <f>Y2-AB2</f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76</v>
      </c>
      <c r="F3" t="s">
        <v>60</v>
      </c>
      <c r="G3" t="s">
        <v>95</v>
      </c>
      <c r="H3" t="s">
        <v>62</v>
      </c>
      <c r="I3">
        <v>1</v>
      </c>
      <c r="J3" s="4">
        <v>200</v>
      </c>
      <c r="K3" s="4">
        <v>355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8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(Y3-AB3)/K3*100</f>
      </c>
      <c r="AA3" s="4">
        <f>M3-X3</f>
      </c>
      <c r="AC3" s="4">
        <f>Y3-AB3</f>
      </c>
      <c r="AH3" t="s">
        <v>1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99</v>
      </c>
      <c r="F4" s="11" t="s">
        <v>60</v>
      </c>
      <c r="G4" s="11" t="s">
        <v>95</v>
      </c>
      <c r="H4" s="11" t="s">
        <v>62</v>
      </c>
      <c r="I4" s="11">
        <v>1</v>
      </c>
      <c r="J4" s="13">
        <v>200</v>
      </c>
      <c r="K4" s="13">
        <v>375</v>
      </c>
      <c r="L4" s="13">
        <f>K4-J4</f>
      </c>
      <c r="M4" s="13">
        <f>L4*16.67%</f>
      </c>
      <c r="N4" s="13">
        <f>(K4*6.9%)-(K4*6.9%)*10%</f>
      </c>
      <c r="O4" s="13">
        <f>K4*0.35%</f>
      </c>
      <c r="P4" s="13">
        <v>0.4</v>
      </c>
      <c r="Q4" s="13">
        <f>(N4+O4+P4)*20%</f>
      </c>
      <c r="R4" s="13">
        <f>N4+O4+P4+Q4</f>
      </c>
      <c r="S4" s="13">
        <v>8</v>
      </c>
      <c r="T4" s="13">
        <v>0</v>
      </c>
      <c r="U4" s="13">
        <v>0</v>
      </c>
      <c r="V4" s="13">
        <f>U4*20%</f>
      </c>
      <c r="W4" s="13">
        <v>1</v>
      </c>
      <c r="X4" s="13">
        <f>Q4+T4+V4</f>
      </c>
      <c r="Y4" s="13">
        <f>L4-M4-R4-S4-T4-U4-V4-W4</f>
      </c>
      <c r="Z4" s="13">
        <f>(Y4-AB4)/K4*100</f>
      </c>
      <c r="AA4" s="13">
        <f>M4-X4</f>
      </c>
      <c r="AB4" s="13">
        <v>19.2</v>
      </c>
      <c r="AC4" s="13">
        <f>Y4-AB4</f>
      </c>
      <c r="AD4" s="10">
        <v>46225.5</v>
      </c>
      <c r="AE4" s="11" t="s">
        <v>100</v>
      </c>
      <c r="AF4" s="11">
        <v>2</v>
      </c>
      <c r="AG4" s="11" t="s">
        <v>101</v>
      </c>
      <c r="AH4" s="11" t="s">
        <v>1</v>
      </c>
    </row>
    <row r="5" spans="1:34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IF($K5="","",(Y5-AB5)/K5*100)</f>
      </c>
      <c r="AA5" s="4">
        <f>IF($K5="","",M5-X5)</f>
      </c>
      <c r="AC5" s="4">
        <f>IF($K5="","",Y5-AB5)</f>
      </c>
    </row>
    <row r="6" spans="1:34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IF($K6="","",(Y6-AB6)/K6*100)</f>
      </c>
      <c r="AA6" s="4">
        <f>IF($K6="","",M6-X6)</f>
      </c>
      <c r="AC6" s="4">
        <f>IF($K6="","",Y6-AB6)</f>
      </c>
    </row>
    <row r="7" spans="1:34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IF($K7="","",(Y7-AB7)/K7*100)</f>
      </c>
      <c r="AA7" s="4">
        <f>IF($K7="","",M7-X7)</f>
      </c>
      <c r="AC7" s="4">
        <f>IF($K7="","",Y7-AB7)</f>
      </c>
    </row>
    <row r="8" spans="1:34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IF($K8="","",(Y8-AB8)/K8*100)</f>
      </c>
      <c r="AA8" s="4">
        <f>IF($K8="","",M8-X8)</f>
      </c>
      <c r="AC8" s="4">
        <f>IF($K8="","",Y8-AB8)</f>
      </c>
    </row>
    <row r="9" spans="1:34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IF($K9="","",(Y9-AB9)/K9*100)</f>
      </c>
      <c r="AA9" s="4">
        <f>IF($K9="","",M9-X9)</f>
      </c>
      <c r="AC9" s="4">
        <f>IF($K9="","",Y9-AB9)</f>
      </c>
    </row>
    <row r="10" spans="1:34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IF($K10="","",(Y10-AB10)/K10*100)</f>
      </c>
      <c r="AA10" s="4">
        <f>IF($K10="","",M10-X10)</f>
      </c>
      <c r="AC10" s="4">
        <f>IF($K10="","",Y10-AB10)</f>
      </c>
    </row>
    <row r="11" spans="1:34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IF($K11="","",(Y11-AB11)/K11*100)</f>
      </c>
      <c r="AA11" s="4">
        <f>IF($K11="","",M11-X11)</f>
      </c>
      <c r="AC11" s="4">
        <f>IF($K11="","",Y11-AB11)</f>
      </c>
    </row>
    <row r="12" spans="1:34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IF($K12="","",(Y12-AB12)/K12*100)</f>
      </c>
      <c r="AA12" s="4">
        <f>IF($K12="","",M12-X12)</f>
      </c>
      <c r="AC12" s="4">
        <f>IF($K12="","",Y12-AB12)</f>
      </c>
    </row>
    <row r="13" spans="1:34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IF($K13="","",(Y13-AB13)/K13*100)</f>
      </c>
      <c r="AA13" s="4">
        <f>IF($K13="","",M13-X13)</f>
      </c>
      <c r="AC13" s="4">
        <f>IF($K13="","",Y13-AB13)</f>
      </c>
    </row>
    <row r="14" spans="1:34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IF($K14="","",(Y14-AB14)/K14*100)</f>
      </c>
      <c r="AA14" s="4">
        <f>IF($K14="","",M14-X14)</f>
      </c>
      <c r="AC14" s="4">
        <f>IF($K14="","",Y14-AB14)</f>
      </c>
    </row>
    <row r="15" spans="1:34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IF($K15="","",(Y15-AB15)/K15*100)</f>
      </c>
      <c r="AA15" s="4">
        <f>IF($K15="","",M15-X15)</f>
      </c>
      <c r="AC15" s="4">
        <f>IF($K15="","",Y15-AB15)</f>
      </c>
    </row>
    <row r="16" spans="1:34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IF($K16="","",(Y16-AB16)/K16*100)</f>
      </c>
      <c r="AA16" s="4">
        <f>IF($K16="","",M16-X16)</f>
      </c>
      <c r="AC16" s="4">
        <f>IF($K16="","",Y16-AB16)</f>
      </c>
    </row>
    <row r="17" spans="1:34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IF($K17="","",(Y17-AB17)/K17*100)</f>
      </c>
      <c r="AA17" s="4">
        <f>IF($K17="","",M17-X17)</f>
      </c>
      <c r="AC17" s="4">
        <f>IF($K17="","",Y17-AB17)</f>
      </c>
    </row>
    <row r="18" spans="1:34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IF($K18="","",(Y18-AB18)/K18*100)</f>
      </c>
      <c r="AA18" s="4">
        <f>IF($K18="","",M18-X18)</f>
      </c>
      <c r="AC18" s="4">
        <f>IF($K18="","",Y18-AB18)</f>
      </c>
    </row>
    <row r="19" spans="1:34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IF($K19="","",(Y19-AB19)/K19*100)</f>
      </c>
      <c r="AA19" s="4">
        <f>IF($K19="","",M19-X19)</f>
      </c>
      <c r="AC19" s="4">
        <f>IF($K19="","",Y19-AB19)</f>
      </c>
    </row>
    <row r="20" spans="1:34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IF($K20="","",(Y20-AB20)/K20*100)</f>
      </c>
      <c r="AA20" s="4">
        <f>IF($K20="","",M20-X20)</f>
      </c>
      <c r="AC20" s="4">
        <f>IF($K20="","",Y20-AB20)</f>
      </c>
    </row>
    <row r="21" spans="1:34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IF($K21="","",(Y21-AB21)/K21*100)</f>
      </c>
      <c r="AA21" s="4">
        <f>IF($K21="","",M21-X21)</f>
      </c>
      <c r="AC21" s="4">
        <f>IF($K21="","",Y21-AB21)</f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IF($K22="","",(Y22-AB22)/K22*100)</f>
      </c>
      <c r="AA22" s="4">
        <f>IF($K22="","",M22-X22)</f>
      </c>
      <c r="AC22" s="4">
        <f>IF($K22="","",Y22-AB22)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IF($K23="","",(Y23-AB23)/K23*100)</f>
      </c>
      <c r="AA23" s="4">
        <f>IF($K23="","",M23-X23)</f>
      </c>
      <c r="AC23" s="4">
        <f>IF($K23="","",Y23-AB23)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IF($K24="","",(Y24-AB24)/K24*100)</f>
      </c>
      <c r="AA24" s="4">
        <f>IF($K24="","",M24-X24)</f>
      </c>
      <c r="AC24" s="4">
        <f>IF($K24="","",Y24-AB24)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IF($K25="","",(Y25-AB25)/K25*100)</f>
      </c>
      <c r="AA25" s="4">
        <f>IF($K25="","",M25-X25)</f>
      </c>
      <c r="AC25" s="4">
        <f>IF($K25="","",Y25-AB25)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IF($K26="","",(Y26-AB26)/K26*100)</f>
      </c>
      <c r="AA26" s="4">
        <f>IF($K26="","",M26-X26)</f>
      </c>
      <c r="AC26" s="4">
        <f>IF($K26="","",Y26-AB26)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IF($K27="","",(Y27-AB27)/K27*100)</f>
      </c>
      <c r="AA27" s="4">
        <f>IF($K27="","",M27-X27)</f>
      </c>
      <c r="AC27" s="4">
        <f>IF($K27="","",Y27-AB27)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IF($K28="","",(Y28-AB28)/K28*100)</f>
      </c>
      <c r="AA28" s="4">
        <f>IF($K28="","",M28-X28)</f>
      </c>
      <c r="AC28" s="4">
        <f>IF($K28="","",Y28-AB28)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IF($K29="","",(Y29-AB29)/K29*100)</f>
      </c>
      <c r="AA29" s="4">
        <f>IF($K29="","",M29-X29)</f>
      </c>
      <c r="AC29" s="4">
        <f>IF($K29="","",Y29-AB29)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IF($K30="","",(Y30-AB30)/K30*100)</f>
      </c>
      <c r="AA30" s="4">
        <f>IF($K30="","",M30-X30)</f>
      </c>
      <c r="AC30" s="4">
        <f>IF($K30="","",Y30-AB30)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IF($K31="","",(Y31-AB31)/K31*100)</f>
      </c>
      <c r="AA31" s="4">
        <f>IF($K31="","",M31-X31)</f>
      </c>
      <c r="AC31" s="4">
        <f>IF($K31="","",Y31-AB31)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IF($K32="","",(Y32-AB32)/K32*100)</f>
      </c>
      <c r="AA32" s="4">
        <f>IF($K32="","",M32-X32)</f>
      </c>
      <c r="AC32" s="4">
        <f>IF($K32="","",Y32-AB32)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IF($K33="","",(Y33-AB33)/K33*100)</f>
      </c>
      <c r="AA33" s="4">
        <f>IF($K33="","",M33-X33)</f>
      </c>
      <c r="AC33" s="4">
        <f>IF($K33="","",Y33-AB33)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IF($K34="","",(Y34-AB34)/K34*100)</f>
      </c>
      <c r="AA34" s="4">
        <f>IF($K34="","",M34-X34)</f>
      </c>
      <c r="AC34" s="4">
        <f>IF($K34="","",Y34-AB34)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IF($K35="","",(Y35-AB35)/K35*100)</f>
      </c>
      <c r="AA35" s="4">
        <f>IF($K35="","",M35-X35)</f>
      </c>
      <c r="AC35" s="4">
        <f>IF($K35="","",Y35-AB35)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IF($K36="","",(Y36-AB36)/K36*100)</f>
      </c>
      <c r="AA36" s="4">
        <f>IF($K36="","",M36-X36)</f>
      </c>
      <c r="AC36" s="4">
        <f>IF($K36="","",Y36-AB36)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IF($K37="","",(Y37-AB37)/K37*100)</f>
      </c>
      <c r="AA37" s="4">
        <f>IF($K37="","",M37-X37)</f>
      </c>
      <c r="AC37" s="4">
        <f>IF($K37="","",Y37-AB37)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IF($K38="","",(Y38-AB38)/K38*100)</f>
      </c>
      <c r="AA38" s="4">
        <f>IF($K38="","",M38-X38)</f>
      </c>
      <c r="AC38" s="4">
        <f>IF($K38="","",Y38-AB38)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IF($K39="","",(Y39-AB39)/K39*100)</f>
      </c>
      <c r="AA39" s="4">
        <f>IF($K39="","",M39-X39)</f>
      </c>
      <c r="AC39" s="4">
        <f>IF($K39="","",Y39-AB39)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IF($K40="","",(Y40-AB40)/K40*100)</f>
      </c>
      <c r="AA40" s="4">
        <f>IF($K40="","",M40-X40)</f>
      </c>
      <c r="AC40" s="4">
        <f>IF($K40="","",Y40-AB40)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IF($K41="","",(Y41-AB41)/K41*100)</f>
      </c>
      <c r="AA41" s="4">
        <f>IF($K41="","",M41-X41)</f>
      </c>
      <c r="AC41" s="4">
        <f>IF($K41="","",Y41-AB41)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IF($K42="","",(Y42-AB42)/K42*100)</f>
      </c>
      <c r="AA42" s="4">
        <f>IF($K42="","",M42-X42)</f>
      </c>
      <c r="AC42" s="4">
        <f>IF($K42="","",Y42-AB42)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IF($K43="","",(Y43-AB43)/K43*100)</f>
      </c>
      <c r="AA43" s="4">
        <f>IF($K43="","",M43-X43)</f>
      </c>
      <c r="AC43" s="4">
        <f>IF($K43="","",Y43-AB43)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IF($K44="","",(Y44-AB44)/K44*100)</f>
      </c>
      <c r="AA44" s="4">
        <f>IF($K44="","",M44-X44)</f>
      </c>
      <c r="AC44" s="4">
        <f>IF($K44="","",Y44-AB44)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IF($K45="","",(Y45-AB45)/K45*100)</f>
      </c>
      <c r="AA45" s="4">
        <f>IF($K45="","",M45-X45)</f>
      </c>
      <c r="AC45" s="4">
        <f>IF($K45="","",Y45-AB45)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IF($K46="","",(Y46-AB46)/K46*100)</f>
      </c>
      <c r="AA46" s="4">
        <f>IF($K46="","",M46-X46)</f>
      </c>
      <c r="AC46" s="4">
        <f>IF($K46="","",Y46-AB46)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IF($K47="","",(Y47-AB47)/K47*100)</f>
      </c>
      <c r="AA47" s="4">
        <f>IF($K47="","",M47-X47)</f>
      </c>
      <c r="AC47" s="4">
        <f>IF($K47="","",Y47-AB47)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IF($K48="","",(Y48-AB48)/K48*100)</f>
      </c>
      <c r="AA48" s="4">
        <f>IF($K48="","",M48-X48)</f>
      </c>
      <c r="AC48" s="4">
        <f>IF($K48="","",Y48-AB48)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IF($K49="","",(Y49-AB49)/K49*100)</f>
      </c>
      <c r="AA49" s="4">
        <f>IF($K49="","",M49-X49)</f>
      </c>
      <c r="AC49" s="4">
        <f>IF($K49="","",Y49-AB49)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IF($K50="","",(Y50-AB50)/K50*100)</f>
      </c>
      <c r="AA50" s="4">
        <f>IF($K50="","",M50-X50)</f>
      </c>
      <c r="AC50" s="4">
        <f>IF($K50="","",Y50-AB50)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IF($K51="","",(Y51-AB51)/K51*100)</f>
      </c>
      <c r="AA51" s="4">
        <f>IF($K51="","",M51-X51)</f>
      </c>
      <c r="AC51" s="4">
        <f>IF($K51="","",Y51-AB51)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IF($K52="","",(Y52-AB52)/K52*100)</f>
      </c>
      <c r="AA52" s="4">
        <f>IF($K52="","",M52-X52)</f>
      </c>
      <c r="AC52" s="4">
        <f>IF($K52="","",Y52-AB52)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IF($K53="","",(Y53-AB53)/K53*100)</f>
      </c>
      <c r="AA53" s="4">
        <f>IF($K53="","",M53-X53)</f>
      </c>
      <c r="AC53" s="4">
        <f>IF($K53="","",Y53-AB53)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IF($K54="","",(Y54-AB54)/K54*100)</f>
      </c>
      <c r="AA54" s="4">
        <f>IF($K54="","",M54-X54)</f>
      </c>
      <c r="AC54" s="4">
        <f>IF($K54="","",Y54-AB54)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IF($K55="","",(Y55-AB55)/K55*100)</f>
      </c>
      <c r="AA55" s="4">
        <f>IF($K55="","",M55-X55)</f>
      </c>
      <c r="AC55" s="4">
        <f>IF($K55="","",Y55-AB55)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IF($K56="","",(Y56-AB56)/K56*100)</f>
      </c>
      <c r="AA56" s="4">
        <f>IF($K56="","",M56-X56)</f>
      </c>
      <c r="AC56" s="4">
        <f>IF($K56="","",Y56-AB56)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IF($K57="","",(Y57-AB57)/K57*100)</f>
      </c>
      <c r="AA57" s="4">
        <f>IF($K57="","",M57-X57)</f>
      </c>
      <c r="AC57" s="4">
        <f>IF($K57="","",Y57-AB57)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IF($K58="","",(Y58-AB58)/K58*100)</f>
      </c>
      <c r="AA58" s="4">
        <f>IF($K58="","",M58-X58)</f>
      </c>
      <c r="AC58" s="4">
        <f>IF($K58="","",Y58-AB58)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IF($K59="","",(Y59-AB59)/K59*100)</f>
      </c>
      <c r="AA59" s="4">
        <f>IF($K59="","",M59-X59)</f>
      </c>
      <c r="AC59" s="4">
        <f>IF($K59="","",Y59-AB59)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IF($K60="","",(Y60-AB60)/K60*100)</f>
      </c>
      <c r="AA60" s="4">
        <f>IF($K60="","",M60-X60)</f>
      </c>
      <c r="AC60" s="4">
        <f>IF($K60="","",Y60-AB60)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IF($K61="","",(Y61-AB61)/K61*100)</f>
      </c>
      <c r="AA61" s="4">
        <f>IF($K61="","",M61-X61)</f>
      </c>
      <c r="AC61" s="4">
        <f>IF($K61="","",Y61-AB61)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IF($K62="","",(Y62-AB62)/K62*100)</f>
      </c>
      <c r="AA62" s="4">
        <f>IF($K62="","",M62-X62)</f>
      </c>
      <c r="AC62" s="4">
        <f>IF($K62="","",Y62-AB62)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IF($K63="","",(Y63-AB63)/K63*100)</f>
      </c>
      <c r="AA63" s="4">
        <f>IF($K63="","",M63-X63)</f>
      </c>
      <c r="AC63" s="4">
        <f>IF($K63="","",Y63-AB63)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IF($K64="","",(Y64-AB64)/K64*100)</f>
      </c>
      <c r="AA64" s="4">
        <f>IF($K64="","",M64-X64)</f>
      </c>
      <c r="AC64" s="4">
        <f>IF($K64="","",Y64-AB64)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IF($K65="","",(Y65-AB65)/K65*100)</f>
      </c>
      <c r="AA65" s="4">
        <f>IF($K65="","",M65-X65)</f>
      </c>
      <c r="AC65" s="4">
        <f>IF($K65="","",Y65-AB65)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IF($K66="","",(Y66-AB66)/K66*100)</f>
      </c>
      <c r="AA66" s="4">
        <f>IF($K66="","",M66-X66)</f>
      </c>
      <c r="AC66" s="4">
        <f>IF($K66="","",Y66-AB66)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IF($K67="","",(Y67-AB67)/K67*100)</f>
      </c>
      <c r="AA67" s="4">
        <f>IF($K67="","",M67-X67)</f>
      </c>
      <c r="AC67" s="4">
        <f>IF($K67="","",Y67-AB67)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IF($K68="","",(Y68-AB68)/K68*100)</f>
      </c>
      <c r="AA68" s="4">
        <f>IF($K68="","",M68-X68)</f>
      </c>
      <c r="AC68" s="4">
        <f>IF($K68="","",Y68-AB68)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IF($K69="","",(Y69-AB69)/K69*100)</f>
      </c>
      <c r="AA69" s="4">
        <f>IF($K69="","",M69-X69)</f>
      </c>
      <c r="AC69" s="4">
        <f>IF($K69="","",Y69-AB69)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IF($K70="","",(Y70-AB70)/K70*100)</f>
      </c>
      <c r="AA70" s="4">
        <f>IF($K70="","",M70-X70)</f>
      </c>
      <c r="AC70" s="4">
        <f>IF($K70="","",Y70-AB70)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IF($K71="","",(Y71-AB71)/K71*100)</f>
      </c>
      <c r="AA71" s="4">
        <f>IF($K71="","",M71-X71)</f>
      </c>
      <c r="AC71" s="4">
        <f>IF($K71="","",Y71-AB71)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IF($K72="","",(Y72-AB72)/K72*100)</f>
      </c>
      <c r="AA72" s="4">
        <f>IF($K72="","",M72-X72)</f>
      </c>
      <c r="AC72" s="4">
        <f>IF($K72="","",Y72-AB72)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IF($K73="","",(Y73-AB73)/K73*100)</f>
      </c>
      <c r="AA73" s="4">
        <f>IF($K73="","",M73-X73)</f>
      </c>
      <c r="AC73" s="4">
        <f>IF($K73="","",Y73-AB73)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IF($K74="","",(Y74-AB74)/K74*100)</f>
      </c>
      <c r="AA74" s="4">
        <f>IF($K74="","",M74-X74)</f>
      </c>
      <c r="AC74" s="4">
        <f>IF($K74="","",Y74-AB74)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IF($K75="","",(Y75-AB75)/K75*100)</f>
      </c>
      <c r="AA75" s="4">
        <f>IF($K75="","",M75-X75)</f>
      </c>
      <c r="AC75" s="4">
        <f>IF($K75="","",Y75-AB75)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IF($K76="","",(Y76-AB76)/K76*100)</f>
      </c>
      <c r="AA76" s="4">
        <f>IF($K76="","",M76-X76)</f>
      </c>
      <c r="AC76" s="4">
        <f>IF($K76="","",Y76-AB76)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IF($K77="","",(Y77-AB77)/K77*100)</f>
      </c>
      <c r="AA77" s="4">
        <f>IF($K77="","",M77-X77)</f>
      </c>
      <c r="AC77" s="4">
        <f>IF($K77="","",Y77-AB77)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IF($K78="","",(Y78-AB78)/K78*100)</f>
      </c>
      <c r="AA78" s="4">
        <f>IF($K78="","",M78-X78)</f>
      </c>
      <c r="AC78" s="4">
        <f>IF($K78="","",Y78-AB78)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IF($K79="","",(Y79-AB79)/K79*100)</f>
      </c>
      <c r="AA79" s="4">
        <f>IF($K79="","",M79-X79)</f>
      </c>
      <c r="AC79" s="4">
        <f>IF($K79="","",Y79-AB79)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IF($K80="","",(Y80-AB80)/K80*100)</f>
      </c>
      <c r="AA80" s="4">
        <f>IF($K80="","",M80-X80)</f>
      </c>
      <c r="AC80" s="4">
        <f>IF($K80="","",Y80-AB80)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IF($K81="","",(Y81-AB81)/K81*100)</f>
      </c>
      <c r="AA81" s="4">
        <f>IF($K81="","",M81-X81)</f>
      </c>
      <c r="AC81" s="4">
        <f>IF($K81="","",Y81-AB81)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IF($K82="","",(Y82-AB82)/K82*100)</f>
      </c>
      <c r="AA82" s="4">
        <f>IF($K82="","",M82-X82)</f>
      </c>
      <c r="AC82" s="4">
        <f>IF($K82="","",Y82-AB82)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IF($K83="","",(Y83-AB83)/K83*100)</f>
      </c>
      <c r="AA83" s="4">
        <f>IF($K83="","",M83-X83)</f>
      </c>
      <c r="AC83" s="4">
        <f>IF($K83="","",Y83-AB83)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IF($K84="","",(Y84-AB84)/K84*100)</f>
      </c>
      <c r="AA84" s="4">
        <f>IF($K84="","",M84-X84)</f>
      </c>
      <c r="AC84" s="4">
        <f>IF($K84="","",Y84-AB84)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IF($K85="","",(Y85-AB85)/K85*100)</f>
      </c>
      <c r="AA85" s="4">
        <f>IF($K85="","",M85-X85)</f>
      </c>
      <c r="AC85" s="4">
        <f>IF($K85="","",Y85-AB85)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IF($K86="","",(Y86-AB86)/K86*100)</f>
      </c>
      <c r="AA86" s="4">
        <f>IF($K86="","",M86-X86)</f>
      </c>
      <c r="AC86" s="4">
        <f>IF($K86="","",Y86-AB86)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IF($K87="","",(Y87-AB87)/K87*100)</f>
      </c>
      <c r="AA87" s="4">
        <f>IF($K87="","",M87-X87)</f>
      </c>
      <c r="AC87" s="4">
        <f>IF($K87="","",Y87-AB87)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IF($K88="","",(Y88-AB88)/K88*100)</f>
      </c>
      <c r="AA88" s="4">
        <f>IF($K88="","",M88-X88)</f>
      </c>
      <c r="AC88" s="4">
        <f>IF($K88="","",Y88-AB88)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IF($K89="","",(Y89-AB89)/K89*100)</f>
      </c>
      <c r="AA89" s="4">
        <f>IF($K89="","",M89-X89)</f>
      </c>
      <c r="AC89" s="4">
        <f>IF($K89="","",Y89-AB89)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IF($K90="","",(Y90-AB90)/K90*100)</f>
      </c>
      <c r="AA90" s="4">
        <f>IF($K90="","",M90-X90)</f>
      </c>
      <c r="AC90" s="4">
        <f>IF($K90="","",Y90-AB90)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IF($K91="","",(Y91-AB91)/K91*100)</f>
      </c>
      <c r="AA91" s="4">
        <f>IF($K91="","",M91-X91)</f>
      </c>
      <c r="AC91" s="4">
        <f>IF($K91="","",Y91-AB91)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IF($K92="","",(Y92-AB92)/K92*100)</f>
      </c>
      <c r="AA92" s="4">
        <f>IF($K92="","",M92-X92)</f>
      </c>
      <c r="AC92" s="4">
        <f>IF($K92="","",Y92-AB92)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IF($K93="","",(Y93-AB93)/K93*100)</f>
      </c>
      <c r="AA93" s="4">
        <f>IF($K93="","",M93-X93)</f>
      </c>
      <c r="AC93" s="4">
        <f>IF($K93="","",Y93-AB93)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IF($K94="","",(Y94-AB94)/K94*100)</f>
      </c>
      <c r="AA94" s="4">
        <f>IF($K94="","",M94-X94)</f>
      </c>
      <c r="AC94" s="4">
        <f>IF($K94="","",Y94-AB94)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IF($K95="","",(Y95-AB95)/K95*100)</f>
      </c>
      <c r="AA95" s="4">
        <f>IF($K95="","",M95-X95)</f>
      </c>
      <c r="AC95" s="4">
        <f>IF($K95="","",Y95-AB95)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IF($K96="","",(Y96-AB96)/K96*100)</f>
      </c>
      <c r="AA96" s="4">
        <f>IF($K96="","",M96-X96)</f>
      </c>
      <c r="AC96" s="4">
        <f>IF($K96="","",Y96-AB96)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IF($K97="","",(Y97-AB97)/K97*100)</f>
      </c>
      <c r="AA97" s="4">
        <f>IF($K97="","",M97-X97)</f>
      </c>
      <c r="AC97" s="4">
        <f>IF($K97="","",Y97-AB97)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IF($K98="","",(Y98-AB98)/K98*100)</f>
      </c>
      <c r="AA98" s="4">
        <f>IF($K98="","",M98-X98)</f>
      </c>
      <c r="AC98" s="4">
        <f>IF($K98="","",Y98-AB98)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IF($K99="","",(Y99-AB99)/K99*100)</f>
      </c>
      <c r="AA99" s="4">
        <f>IF($K99="","",M99-X99)</f>
      </c>
      <c r="AC99" s="4">
        <f>IF($K99="","",Y99-AB99)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IF($K100="","",(Y100-AB100)/K100*100)</f>
      </c>
      <c r="AA100" s="4">
        <f>IF($K100="","",M100-X100)</f>
      </c>
      <c r="AC100" s="4">
        <f>IF($K100="","",Y100-AB100)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IF($K101="","",(Y101-AB101)/K101*100)</f>
      </c>
      <c r="AA101" s="4">
        <f>IF($K101="","",M101-X101)</f>
      </c>
      <c r="AC101" s="4">
        <f>IF($K101="","",Y101-AB101)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IF($K102="","",(Y102-AB102)/K102*100)</f>
      </c>
      <c r="AA102" s="4">
        <f>IF($K102="","",M102-X102)</f>
      </c>
      <c r="AC102" s="4">
        <f>IF($K102="","",Y102-AB102)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IF($K103="","",(Y103-AB103)/K103*100)</f>
      </c>
      <c r="AA103" s="4">
        <f>IF($K103="","",M103-X103)</f>
      </c>
      <c r="AC103" s="4">
        <f>IF($K103="","",Y103-AB103)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IF($K104="","",(Y104-AB104)/K104*100)</f>
      </c>
      <c r="AA104" s="4">
        <f>IF($K104="","",M104-X104)</f>
      </c>
      <c r="AC104" s="4">
        <f>IF($K104="","",Y104-AB104)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IF($K105="","",(Y105-AB105)/K105*100)</f>
      </c>
      <c r="AA105" s="4">
        <f>IF($K105="","",M105-X105)</f>
      </c>
      <c r="AC105" s="4">
        <f>IF($K105="","",Y105-AB105)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IF($K106="","",(Y106-AB106)/K106*100)</f>
      </c>
      <c r="AA106" s="4">
        <f>IF($K106="","",M106-X106)</f>
      </c>
      <c r="AC106" s="4">
        <f>IF($K106="","",Y106-AB106)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IF($K107="","",(Y107-AB107)/K107*100)</f>
      </c>
      <c r="AA107" s="4">
        <f>IF($K107="","",M107-X107)</f>
      </c>
      <c r="AC107" s="4">
        <f>IF($K107="","",Y107-AB107)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IF($K108="","",(Y108-AB108)/K108*100)</f>
      </c>
      <c r="AA108" s="4">
        <f>IF($K108="","",M108-X108)</f>
      </c>
      <c r="AC108" s="4">
        <f>IF($K108="","",Y108-AB108)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IF($K109="","",(Y109-AB109)/K109*100)</f>
      </c>
      <c r="AA109" s="4">
        <f>IF($K109="","",M109-X109)</f>
      </c>
      <c r="AC109" s="4">
        <f>IF($K109="","",Y109-AB109)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IF($K110="","",(Y110-AB110)/K110*100)</f>
      </c>
      <c r="AA110" s="4">
        <f>IF($K110="","",M110-X110)</f>
      </c>
      <c r="AC110" s="4">
        <f>IF($K110="","",Y110-AB110)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IF($K111="","",(Y111-AB111)/K111*100)</f>
      </c>
      <c r="AA111" s="4">
        <f>IF($K111="","",M111-X111)</f>
      </c>
      <c r="AC111" s="4">
        <f>IF($K111="","",Y111-AB111)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IF($K112="","",(Y112-AB112)/K112*100)</f>
      </c>
      <c r="AA112" s="4">
        <f>IF($K112="","",M112-X112)</f>
      </c>
      <c r="AC112" s="4">
        <f>IF($K112="","",Y112-AB112)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IF($K113="","",(Y113-AB113)/K113*100)</f>
      </c>
      <c r="AA113" s="4">
        <f>IF($K113="","",M113-X113)</f>
      </c>
      <c r="AC113" s="4">
        <f>IF($K113="","",Y113-AB113)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IF($K114="","",(Y114-AB114)/K114*100)</f>
      </c>
      <c r="AA114" s="4">
        <f>IF($K114="","",M114-X114)</f>
      </c>
      <c r="AC114" s="4">
        <f>IF($K114="","",Y114-AB114)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IF($K115="","",(Y115-AB115)/K115*100)</f>
      </c>
      <c r="AA115" s="4">
        <f>IF($K115="","",M115-X115)</f>
      </c>
      <c r="AC115" s="4">
        <f>IF($K115="","",Y115-AB115)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IF($K116="","",(Y116-AB116)/K116*100)</f>
      </c>
      <c r="AA116" s="4">
        <f>IF($K116="","",M116-X116)</f>
      </c>
      <c r="AC116" s="4">
        <f>IF($K116="","",Y116-AB116)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IF($K117="","",(Y117-AB117)/K117*100)</f>
      </c>
      <c r="AA117" s="4">
        <f>IF($K117="","",M117-X117)</f>
      </c>
      <c r="AC117" s="4">
        <f>IF($K117="","",Y117-AB117)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IF($K118="","",(Y118-AB118)/K118*100)</f>
      </c>
      <c r="AA118" s="4">
        <f>IF($K118="","",M118-X118)</f>
      </c>
      <c r="AC118" s="4">
        <f>IF($K118="","",Y118-AB118)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IF($K119="","",(Y119-AB119)/K119*100)</f>
      </c>
      <c r="AA119" s="4">
        <f>IF($K119="","",M119-X119)</f>
      </c>
      <c r="AC119" s="4">
        <f>IF($K119="","",Y119-AB119)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IF($K120="","",(Y120-AB120)/K120*100)</f>
      </c>
      <c r="AA120" s="4">
        <f>IF($K120="","",M120-X120)</f>
      </c>
      <c r="AC120" s="4">
        <f>IF($K120="","",Y120-AB120)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IF($K121="","",(Y121-AB121)/K121*100)</f>
      </c>
      <c r="AA121" s="4">
        <f>IF($K121="","",M121-X121)</f>
      </c>
      <c r="AC121" s="4">
        <f>IF($K121="","",Y121-AB121)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IF($K122="","",(Y122-AB122)/K122*100)</f>
      </c>
      <c r="AA122" s="4">
        <f>IF($K122="","",M122-X122)</f>
      </c>
      <c r="AC122" s="4">
        <f>IF($K122="","",Y122-AB122)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IF($K123="","",(Y123-AB123)/K123*100)</f>
      </c>
      <c r="AA123" s="4">
        <f>IF($K123="","",M123-X123)</f>
      </c>
      <c r="AC123" s="4">
        <f>IF($K123="","",Y123-AB123)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IF($K124="","",(Y124-AB124)/K124*100)</f>
      </c>
      <c r="AA124" s="4">
        <f>IF($K124="","",M124-X124)</f>
      </c>
      <c r="AC124" s="4">
        <f>IF($K124="","",Y124-AB124)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IF($K125="","",(Y125-AB125)/K125*100)</f>
      </c>
      <c r="AA125" s="4">
        <f>IF($K125="","",M125-X125)</f>
      </c>
      <c r="AC125" s="4">
        <f>IF($K125="","",Y125-AB125)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IF($K126="","",(Y126-AB126)/K126*100)</f>
      </c>
      <c r="AA126" s="4">
        <f>IF($K126="","",M126-X126)</f>
      </c>
      <c r="AC126" s="4">
        <f>IF($K126="","",Y126-AB126)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IF($K127="","",(Y127-AB127)/K127*100)</f>
      </c>
      <c r="AA127" s="4">
        <f>IF($K127="","",M127-X127)</f>
      </c>
      <c r="AC127" s="4">
        <f>IF($K127="","",Y127-AB127)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IF($K128="","",(Y128-AB128)/K128*100)</f>
      </c>
      <c r="AA128" s="4">
        <f>IF($K128="","",M128-X128)</f>
      </c>
      <c r="AC128" s="4">
        <f>IF($K128="","",Y128-AB128)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IF($K129="","",(Y129-AB129)/K129*100)</f>
      </c>
      <c r="AA129" s="4">
        <f>IF($K129="","",M129-X129)</f>
      </c>
      <c r="AC129" s="4">
        <f>IF($K129="","",Y129-AB129)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IF($K130="","",(Y130-AB130)/K130*100)</f>
      </c>
      <c r="AA130" s="4">
        <f>IF($K130="","",M130-X130)</f>
      </c>
      <c r="AC130" s="4">
        <f>IF($K130="","",Y130-AB130)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IF($K131="","",(Y131-AB131)/K131*100)</f>
      </c>
      <c r="AA131" s="4">
        <f>IF($K131="","",M131-X131)</f>
      </c>
      <c r="AC131" s="4">
        <f>IF($K131="","",Y131-AB131)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IF($K132="","",(Y132-AB132)/K132*100)</f>
      </c>
      <c r="AA132" s="4">
        <f>IF($K132="","",M132-X132)</f>
      </c>
      <c r="AC132" s="4">
        <f>IF($K132="","",Y132-AB132)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IF($K133="","",(Y133-AB133)/K133*100)</f>
      </c>
      <c r="AA133" s="4">
        <f>IF($K133="","",M133-X133)</f>
      </c>
      <c r="AC133" s="4">
        <f>IF($K133="","",Y133-AB133)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IF($K134="","",(Y134-AB134)/K134*100)</f>
      </c>
      <c r="AA134" s="4">
        <f>IF($K134="","",M134-X134)</f>
      </c>
      <c r="AC134" s="4">
        <f>IF($K134="","",Y134-AB134)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IF($K135="","",(Y135-AB135)/K135*100)</f>
      </c>
      <c r="AA135" s="4">
        <f>IF($K135="","",M135-X135)</f>
      </c>
      <c r="AC135" s="4">
        <f>IF($K135="","",Y135-AB135)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IF($K136="","",(Y136-AB136)/K136*100)</f>
      </c>
      <c r="AA136" s="4">
        <f>IF($K136="","",M136-X136)</f>
      </c>
      <c r="AC136" s="4">
        <f>IF($K136="","",Y136-AB136)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IF($K137="","",(Y137-AB137)/K137*100)</f>
      </c>
      <c r="AA137" s="4">
        <f>IF($K137="","",M137-X137)</f>
      </c>
      <c r="AC137" s="4">
        <f>IF($K137="","",Y137-AB137)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IF($K138="","",(Y138-AB138)/K138*100)</f>
      </c>
      <c r="AA138" s="4">
        <f>IF($K138="","",M138-X138)</f>
      </c>
      <c r="AC138" s="4">
        <f>IF($K138="","",Y138-AB138)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IF($K139="","",(Y139-AB139)/K139*100)</f>
      </c>
      <c r="AA139" s="4">
        <f>IF($K139="","",M139-X139)</f>
      </c>
      <c r="AC139" s="4">
        <f>IF($K139="","",Y139-AB139)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IF($K140="","",(Y140-AB140)/K140*100)</f>
      </c>
      <c r="AA140" s="4">
        <f>IF($K140="","",M140-X140)</f>
      </c>
      <c r="AC140" s="4">
        <f>IF($K140="","",Y140-AB140)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IF($K141="","",(Y141-AB141)/K141*100)</f>
      </c>
      <c r="AA141" s="4">
        <f>IF($K141="","",M141-X141)</f>
      </c>
      <c r="AC141" s="4">
        <f>IF($K141="","",Y141-AB141)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IF($K142="","",(Y142-AB142)/K142*100)</f>
      </c>
      <c r="AA142" s="4">
        <f>IF($K142="","",M142-X142)</f>
      </c>
      <c r="AC142" s="4">
        <f>IF($K142="","",Y142-AB142)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IF($K143="","",(Y143-AB143)/K143*100)</f>
      </c>
      <c r="AA143" s="4">
        <f>IF($K143="","",M143-X143)</f>
      </c>
      <c r="AC143" s="4">
        <f>IF($K143="","",Y143-AB143)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IF($K144="","",(Y144-AB144)/K144*100)</f>
      </c>
      <c r="AA144" s="4">
        <f>IF($K144="","",M144-X144)</f>
      </c>
      <c r="AC144" s="4">
        <f>IF($K144="","",Y144-AB144)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IF($K145="","",(Y145-AB145)/K145*100)</f>
      </c>
      <c r="AA145" s="4">
        <f>IF($K145="","",M145-X145)</f>
      </c>
      <c r="AC145" s="4">
        <f>IF($K145="","",Y145-AB145)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IF($K146="","",(Y146-AB146)/K146*100)</f>
      </c>
      <c r="AA146" s="4">
        <f>IF($K146="","",M146-X146)</f>
      </c>
      <c r="AC146" s="4">
        <f>IF($K146="","",Y146-AB146)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IF($K147="","",(Y147-AB147)/K147*100)</f>
      </c>
      <c r="AA147" s="4">
        <f>IF($K147="","",M147-X147)</f>
      </c>
      <c r="AC147" s="4">
        <f>IF($K147="","",Y147-AB147)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IF($K148="","",(Y148-AB148)/K148*100)</f>
      </c>
      <c r="AA148" s="4">
        <f>IF($K148="","",M148-X148)</f>
      </c>
      <c r="AC148" s="4">
        <f>IF($K148="","",Y148-AB148)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IF($K149="","",(Y149-AB149)/K149*100)</f>
      </c>
      <c r="AA149" s="4">
        <f>IF($K149="","",M149-X149)</f>
      </c>
      <c r="AC149" s="4">
        <f>IF($K149="","",Y149-AB149)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IF($K150="","",(Y150-AB150)/K150*100)</f>
      </c>
      <c r="AA150" s="4">
        <f>IF($K150="","",M150-X150)</f>
      </c>
      <c r="AC150" s="4">
        <f>IF($K150="","",Y150-AB150)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IF($K151="","",(Y151-AB151)/K151*100)</f>
      </c>
      <c r="AA151" s="4">
        <f>IF($K151="","",M151-X151)</f>
      </c>
      <c r="AC151" s="4">
        <f>IF($K151="","",Y151-AB151)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IF($K152="","",(Y152-AB152)/K152*100)</f>
      </c>
      <c r="AA152" s="4">
        <f>IF($K152="","",M152-X152)</f>
      </c>
      <c r="AC152" s="4">
        <f>IF($K152="","",Y152-AB152)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IF($K153="","",(Y153-AB153)/K153*100)</f>
      </c>
      <c r="AA153" s="4">
        <f>IF($K153="","",M153-X153)</f>
      </c>
      <c r="AC153" s="4">
        <f>IF($K153="","",Y153-AB153)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IF($K154="","",(Y154-AB154)/K154*100)</f>
      </c>
      <c r="AA154" s="4">
        <f>IF($K154="","",M154-X154)</f>
      </c>
      <c r="AC154" s="4">
        <f>IF($K154="","",Y154-AB154)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IF($K155="","",(Y155-AB155)/K155*100)</f>
      </c>
      <c r="AA155" s="4">
        <f>IF($K155="","",M155-X155)</f>
      </c>
      <c r="AC155" s="4">
        <f>IF($K155="","",Y155-AB155)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IF($K156="","",(Y156-AB156)/K156*100)</f>
      </c>
      <c r="AA156" s="4">
        <f>IF($K156="","",M156-X156)</f>
      </c>
      <c r="AC156" s="4">
        <f>IF($K156="","",Y156-AB156)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IF($K157="","",(Y157-AB157)/K157*100)</f>
      </c>
      <c r="AA157" s="4">
        <f>IF($K157="","",M157-X157)</f>
      </c>
      <c r="AC157" s="4">
        <f>IF($K157="","",Y157-AB157)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IF($K158="","",(Y158-AB158)/K158*100)</f>
      </c>
      <c r="AA158" s="4">
        <f>IF($K158="","",M158-X158)</f>
      </c>
      <c r="AC158" s="4">
        <f>IF($K158="","",Y158-AB158)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IF($K159="","",(Y159-AB159)/K159*100)</f>
      </c>
      <c r="AA159" s="4">
        <f>IF($K159="","",M159-X159)</f>
      </c>
      <c r="AC159" s="4">
        <f>IF($K159="","",Y159-AB159)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IF($K160="","",(Y160-AB160)/K160*100)</f>
      </c>
      <c r="AA160" s="4">
        <f>IF($K160="","",M160-X160)</f>
      </c>
      <c r="AC160" s="4">
        <f>IF($K160="","",Y160-AB160)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IF($K161="","",(Y161-AB161)/K161*100)</f>
      </c>
      <c r="AA161" s="4">
        <f>IF($K161="","",M161-X161)</f>
      </c>
      <c r="AC161" s="4">
        <f>IF($K161="","",Y161-AB161)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IF($K162="","",(Y162-AB162)/K162*100)</f>
      </c>
      <c r="AA162" s="4">
        <f>IF($K162="","",M162-X162)</f>
      </c>
      <c r="AC162" s="4">
        <f>IF($K162="","",Y162-AB162)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IF($K163="","",(Y163-AB163)/K163*100)</f>
      </c>
      <c r="AA163" s="4">
        <f>IF($K163="","",M163-X163)</f>
      </c>
      <c r="AC163" s="4">
        <f>IF($K163="","",Y163-AB163)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IF($K164="","",(Y164-AB164)/K164*100)</f>
      </c>
      <c r="AA164" s="4">
        <f>IF($K164="","",M164-X164)</f>
      </c>
      <c r="AC164" s="4">
        <f>IF($K164="","",Y164-AB164)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IF($K165="","",(Y165-AB165)/K165*100)</f>
      </c>
      <c r="AA165" s="4">
        <f>IF($K165="","",M165-X165)</f>
      </c>
      <c r="AC165" s="4">
        <f>IF($K165="","",Y165-AB165)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IF($K166="","",(Y166-AB166)/K166*100)</f>
      </c>
      <c r="AA166" s="4">
        <f>IF($K166="","",M166-X166)</f>
      </c>
      <c r="AC166" s="4">
        <f>IF($K166="","",Y166-AB166)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IF($K167="","",(Y167-AB167)/K167*100)</f>
      </c>
      <c r="AA167" s="4">
        <f>IF($K167="","",M167-X167)</f>
      </c>
      <c r="AC167" s="4">
        <f>IF($K167="","",Y167-AB167)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IF($K168="","",(Y168-AB168)/K168*100)</f>
      </c>
      <c r="AA168" s="4">
        <f>IF($K168="","",M168-X168)</f>
      </c>
      <c r="AC168" s="4">
        <f>IF($K168="","",Y168-AB168)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IF($K169="","",(Y169-AB169)/K169*100)</f>
      </c>
      <c r="AA169" s="4">
        <f>IF($K169="","",M169-X169)</f>
      </c>
      <c r="AC169" s="4">
        <f>IF($K169="","",Y169-AB169)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IF($K170="","",(Y170-AB170)/K170*100)</f>
      </c>
      <c r="AA170" s="4">
        <f>IF($K170="","",M170-X170)</f>
      </c>
      <c r="AC170" s="4">
        <f>IF($K170="","",Y170-AB170)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IF($K171="","",(Y171-AB171)/K171*100)</f>
      </c>
      <c r="AA171" s="4">
        <f>IF($K171="","",M171-X171)</f>
      </c>
      <c r="AC171" s="4">
        <f>IF($K171="","",Y171-AB171)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IF($K172="","",(Y172-AB172)/K172*100)</f>
      </c>
      <c r="AA172" s="4">
        <f>IF($K172="","",M172-X172)</f>
      </c>
      <c r="AC172" s="4">
        <f>IF($K172="","",Y172-AB172)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IF($K173="","",(Y173-AB173)/K173*100)</f>
      </c>
      <c r="AA173" s="4">
        <f>IF($K173="","",M173-X173)</f>
      </c>
      <c r="AC173" s="4">
        <f>IF($K173="","",Y173-AB173)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IF($K174="","",(Y174-AB174)/K174*100)</f>
      </c>
      <c r="AA174" s="4">
        <f>IF($K174="","",M174-X174)</f>
      </c>
      <c r="AC174" s="4">
        <f>IF($K174="","",Y174-AB174)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IF($K175="","",(Y175-AB175)/K175*100)</f>
      </c>
      <c r="AA175" s="4">
        <f>IF($K175="","",M175-X175)</f>
      </c>
      <c r="AC175" s="4">
        <f>IF($K175="","",Y175-AB175)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IF($K176="","",(Y176-AB176)/K176*100)</f>
      </c>
      <c r="AA176" s="4">
        <f>IF($K176="","",M176-X176)</f>
      </c>
      <c r="AC176" s="4">
        <f>IF($K176="","",Y176-AB176)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IF($K177="","",(Y177-AB177)/K177*100)</f>
      </c>
      <c r="AA177" s="4">
        <f>IF($K177="","",M177-X177)</f>
      </c>
      <c r="AC177" s="4">
        <f>IF($K177="","",Y177-AB177)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IF($K178="","",(Y178-AB178)/K178*100)</f>
      </c>
      <c r="AA178" s="4">
        <f>IF($K178="","",M178-X178)</f>
      </c>
      <c r="AC178" s="4">
        <f>IF($K178="","",Y178-AB178)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IF($K179="","",(Y179-AB179)/K179*100)</f>
      </c>
      <c r="AA179" s="4">
        <f>IF($K179="","",M179-X179)</f>
      </c>
      <c r="AC179" s="4">
        <f>IF($K179="","",Y179-AB179)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IF($K180="","",(Y180-AB180)/K180*100)</f>
      </c>
      <c r="AA180" s="4">
        <f>IF($K180="","",M180-X180)</f>
      </c>
      <c r="AC180" s="4">
        <f>IF($K180="","",Y180-AB180)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IF($K181="","",(Y181-AB181)/K181*100)</f>
      </c>
      <c r="AA181" s="4">
        <f>IF($K181="","",M181-X181)</f>
      </c>
      <c r="AC181" s="4">
        <f>IF($K181="","",Y181-AB181)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IF($K182="","",(Y182-AB182)/K182*100)</f>
      </c>
      <c r="AA182" s="4">
        <f>IF($K182="","",M182-X182)</f>
      </c>
      <c r="AC182" s="4">
        <f>IF($K182="","",Y182-AB182)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IF($K183="","",(Y183-AB183)/K183*100)</f>
      </c>
      <c r="AA183" s="4">
        <f>IF($K183="","",M183-X183)</f>
      </c>
      <c r="AC183" s="4">
        <f>IF($K183="","",Y183-AB183)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IF($K184="","",(Y184-AB184)/K184*100)</f>
      </c>
      <c r="AA184" s="4">
        <f>IF($K184="","",M184-X184)</f>
      </c>
      <c r="AC184" s="4">
        <f>IF($K184="","",Y184-AB184)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IF($K185="","",(Y185-AB185)/K185*100)</f>
      </c>
      <c r="AA185" s="4">
        <f>IF($K185="","",M185-X185)</f>
      </c>
      <c r="AC185" s="4">
        <f>IF($K185="","",Y185-AB185)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IF($K186="","",(Y186-AB186)/K186*100)</f>
      </c>
      <c r="AA186" s="4">
        <f>IF($K186="","",M186-X186)</f>
      </c>
      <c r="AC186" s="4">
        <f>IF($K186="","",Y186-AB186)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IF($K187="","",(Y187-AB187)/K187*100)</f>
      </c>
      <c r="AA187" s="4">
        <f>IF($K187="","",M187-X187)</f>
      </c>
      <c r="AC187" s="4">
        <f>IF($K187="","",Y187-AB187)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IF($K188="","",(Y188-AB188)/K188*100)</f>
      </c>
      <c r="AA188" s="4">
        <f>IF($K188="","",M188-X188)</f>
      </c>
      <c r="AC188" s="4">
        <f>IF($K188="","",Y188-AB188)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IF($K189="","",(Y189-AB189)/K189*100)</f>
      </c>
      <c r="AA189" s="4">
        <f>IF($K189="","",M189-X189)</f>
      </c>
      <c r="AC189" s="4">
        <f>IF($K189="","",Y189-AB189)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IF($K190="","",(Y190-AB190)/K190*100)</f>
      </c>
      <c r="AA190" s="4">
        <f>IF($K190="","",M190-X190)</f>
      </c>
      <c r="AC190" s="4">
        <f>IF($K190="","",Y190-AB190)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IF($K191="","",(Y191-AB191)/K191*100)</f>
      </c>
      <c r="AA191" s="4">
        <f>IF($K191="","",M191-X191)</f>
      </c>
      <c r="AC191" s="4">
        <f>IF($K191="","",Y191-AB191)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IF($K192="","",(Y192-AB192)/K192*100)</f>
      </c>
      <c r="AA192" s="4">
        <f>IF($K192="","",M192-X192)</f>
      </c>
      <c r="AC192" s="4">
        <f>IF($K192="","",Y192-AB192)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IF($K193="","",(Y193-AB193)/K193*100)</f>
      </c>
      <c r="AA193" s="4">
        <f>IF($K193="","",M193-X193)</f>
      </c>
      <c r="AC193" s="4">
        <f>IF($K193="","",Y193-AB193)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IF($K194="","",(Y194-AB194)/K194*100)</f>
      </c>
      <c r="AA194" s="4">
        <f>IF($K194="","",M194-X194)</f>
      </c>
      <c r="AC194" s="4">
        <f>IF($K194="","",Y194-AB194)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IF($K195="","",(Y195-AB195)/K195*100)</f>
      </c>
      <c r="AA195" s="4">
        <f>IF($K195="","",M195-X195)</f>
      </c>
      <c r="AC195" s="4">
        <f>IF($K195="","",Y195-AB195)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IF($K196="","",(Y196-AB196)/K196*100)</f>
      </c>
      <c r="AA196" s="4">
        <f>IF($K196="","",M196-X196)</f>
      </c>
      <c r="AC196" s="4">
        <f>IF($K196="","",Y196-AB196)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IF($K197="","",(Y197-AB197)/K197*100)</f>
      </c>
      <c r="AA197" s="4">
        <f>IF($K197="","",M197-X197)</f>
      </c>
      <c r="AC197" s="4">
        <f>IF($K197="","",Y197-AB197)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IF($K198="","",(Y198-AB198)/K198*100)</f>
      </c>
      <c r="AA198" s="4">
        <f>IF($K198="","",M198-X198)</f>
      </c>
      <c r="AC198" s="4">
        <f>IF($K198="","",Y198-AB198)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IF($K199="","",(Y199-AB199)/K199*100)</f>
      </c>
      <c r="AA199" s="4">
        <f>IF($K199="","",M199-X199)</f>
      </c>
      <c r="AC199" s="4">
        <f>IF($K199="","",Y199-AB199)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IF($K200="","",(Y200-AB200)/K200*100)</f>
      </c>
      <c r="AA200" s="4">
        <f>IF($K200="","",M200-X200)</f>
      </c>
      <c r="AC200" s="4">
        <f>IF($K200="","",Y200-AB200)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IF($K201="","",(Y201-AB201)/K201*100)</f>
      </c>
      <c r="AA201" s="4">
        <f>IF($K201="","",M201-X201)</f>
      </c>
      <c r="AC201" s="4">
        <f>IF($K201="","",Y201-AB201)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IF($K202="","",(K202*6.9%)-(K202*6.9%)*10%)</f>
      </c>
      <c r="O202" s="4">
        <f>IF($K202="","",K202*0.35%)</f>
      </c>
      <c r="P202" s="4">
        <v>0.4</v>
      </c>
      <c r="Q202" s="4">
        <f>IF($K202="","",(N202+O202+P202)*20%)</f>
      </c>
      <c r="R202" s="4">
        <f>IF($K202="","",N202+O202+P202+Q202)</f>
      </c>
      <c r="S202" s="4"/>
      <c r="T202" s="4"/>
      <c r="U202" s="4"/>
      <c r="V202" s="4">
        <f>IF($K202="","",U202*20%)</f>
      </c>
      <c r="W202" s="4">
        <v>1</v>
      </c>
      <c r="X202" s="4">
        <f>IF($K202="","",Q202+T202+V202)</f>
      </c>
      <c r="Y202" s="4">
        <f>IF($K202="","",L202-M202-R202-S202-T202-U202-V202-W202)</f>
      </c>
      <c r="Z202" s="4">
        <f>IF($K202="","",(Y202-AB202)/K202*100)</f>
      </c>
      <c r="AA202" s="4">
        <f>IF($K202="","",M202-X202)</f>
      </c>
      <c r="AC202" s="4">
        <f>IF($K202="","",Y202-AB202)</f>
      </c>
    </row>
    <row r="203" spans="1:34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IF($K203="","",(K203*6.9%)-(K203*6.9%)*10%)</f>
      </c>
      <c r="O203" s="4">
        <f>IF($K203="","",K203*0.35%)</f>
      </c>
      <c r="P203" s="4">
        <v>0.4</v>
      </c>
      <c r="Q203" s="4">
        <f>IF($K203="","",(N203+O203+P203)*20%)</f>
      </c>
      <c r="R203" s="4">
        <f>IF($K203="","",N203+O203+P203+Q203)</f>
      </c>
      <c r="S203" s="4"/>
      <c r="T203" s="4"/>
      <c r="U203" s="4"/>
      <c r="V203" s="4">
        <f>IF($K203="","",U203*20%)</f>
      </c>
      <c r="W203" s="4">
        <v>1</v>
      </c>
      <c r="X203" s="4">
        <f>IF($K203="","",Q203+T203+V203)</f>
      </c>
      <c r="Y203" s="4">
        <f>IF($K203="","",L203-M203-R203-S203-T203-U203-V203-W203)</f>
      </c>
      <c r="Z203" s="4">
        <f>IF($K203="","",(Y203-AB203)/K203*100)</f>
      </c>
      <c r="AA203" s="4">
        <f>IF($K203="","",M203-X203)</f>
      </c>
      <c r="AC203" s="4">
        <f>IF($K203="","",Y203-AB203)</f>
      </c>
    </row>
    <row r="204" spans="1:34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IF($K204="","",(K204*6.9%)-(K204*6.9%)*10%)</f>
      </c>
      <c r="O204" s="4">
        <f>IF($K204="","",K204*0.35%)</f>
      </c>
      <c r="P204" s="4">
        <v>0.4</v>
      </c>
      <c r="Q204" s="4">
        <f>IF($K204="","",(N204+O204+P204)*20%)</f>
      </c>
      <c r="R204" s="4">
        <f>IF($K204="","",N204+O204+P204+Q204)</f>
      </c>
      <c r="S204" s="4"/>
      <c r="T204" s="4"/>
      <c r="U204" s="4"/>
      <c r="V204" s="4">
        <f>IF($K204="","",U204*20%)</f>
      </c>
      <c r="W204" s="4">
        <v>1</v>
      </c>
      <c r="X204" s="4">
        <f>IF($K204="","",Q204+T204+V204)</f>
      </c>
      <c r="Y204" s="4">
        <f>IF($K204="","",L204-M204-R204-S204-T204-U204-V204-W204)</f>
      </c>
      <c r="Z204" s="4">
        <f>IF($K204="","",(Y204-AB204)/K204*100)</f>
      </c>
      <c r="AA204" s="4">
        <f>IF($K204="","",M204-X204)</f>
      </c>
      <c r="AC204" s="4">
        <f>IF($K204="","",Y204-AB204)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SUM(W2:W204)</f>
      </c>
      <c r="X205" s="14">
        <f>SUM(X2:X204)</f>
      </c>
      <c r="Y205" s="14">
        <f>SUM(Y2:Y204)</f>
      </c>
      <c r="Z205" s="14">
        <f>IFERROR((Y205-AB205)/K205*100,0)</f>
      </c>
      <c r="AA205" s="14">
        <f>SUM(AA2:AA204)</f>
      </c>
      <c r="AB205" s="14">
        <f>SUM(AB2:AB204)</f>
      </c>
      <c r="AC205" s="14">
        <f>SUM(AC2:AC204)</f>
      </c>
      <c r="AD205" s="7"/>
      <c r="AE205" s="7"/>
      <c r="AF205" s="7"/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102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106</v>
      </c>
      <c r="F2" t="s">
        <v>60</v>
      </c>
      <c r="G2" t="s">
        <v>95</v>
      </c>
      <c r="H2" t="s">
        <v>62</v>
      </c>
      <c r="I2" s="4">
        <v>200</v>
      </c>
      <c r="J2" s="4">
        <v>410</v>
      </c>
      <c r="K2" s="4">
        <f>J2-I2</f>
      </c>
      <c r="L2" s="4">
        <f>K2*16.67%</f>
      </c>
      <c r="M2" s="4">
        <f>J2*7%</f>
      </c>
      <c r="N2" s="4">
        <f>M2*20%</f>
      </c>
      <c r="O2" s="4">
        <v>8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(S2-V2)/I2*100</f>
      </c>
      <c r="U2" s="4">
        <f>L2-R2</f>
      </c>
      <c r="W2" s="4">
        <f>S2-V2</f>
      </c>
      <c r="AB2" t="s">
        <v>1</v>
      </c>
    </row>
    <row r="3" spans="1:28" x14ac:dyDescent="0.25">
      <c r="A3" s="8"/>
      <c r="D3" s="9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8"/>
      <c r="D4" s="9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8"/>
      <c r="D5" s="9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8"/>
      <c r="D6" s="9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8"/>
      <c r="D7" s="9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8"/>
      <c r="D8" s="9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8"/>
      <c r="D9" s="9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8"/>
      <c r="D10" s="9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8"/>
      <c r="D11" s="9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8"/>
      <c r="D12" s="9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8"/>
      <c r="D13" s="9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8"/>
      <c r="D14" s="9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8"/>
      <c r="D15" s="9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8"/>
      <c r="D16" s="9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8"/>
      <c r="D17" s="9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8"/>
      <c r="D18" s="9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8"/>
      <c r="D19" s="9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8"/>
      <c r="D20" s="9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8"/>
      <c r="D21" s="9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x14ac:dyDescent="0.25">
      <c r="A202" s="8"/>
      <c r="D202" s="9"/>
      <c r="I202" s="4"/>
      <c r="J202" s="4"/>
      <c r="K202" s="4">
        <f>IF($J202="","",J202-I202)</f>
      </c>
      <c r="L202" s="4">
        <f>IF($J202="","",K202*16.67%)</f>
      </c>
      <c r="M202" s="4">
        <f>IF($J202="","",J202*7%)</f>
      </c>
      <c r="N202" s="4">
        <f>IF($J202="","",M202*20%)</f>
      </c>
      <c r="O202" s="4"/>
      <c r="P202" s="4">
        <f>IF($J202="","",O202*20%)</f>
      </c>
      <c r="Q202" s="4">
        <v>1</v>
      </c>
      <c r="R202" s="4">
        <f>IF($J202="","",N202+P202)</f>
      </c>
      <c r="S202" s="4">
        <f>IF($J202="","",K202-L202-M202-N202-O202-P202-Q202)</f>
      </c>
      <c r="T202" s="4">
        <f>IF($J202="","",(S202-V202)/I202*100)</f>
      </c>
      <c r="U202" s="4">
        <f>IF($J202="","",L202-R202)</f>
      </c>
      <c r="W202" s="4">
        <f>IF($J202="","",S202-V202)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IFERROR((S203-V203)/I203*100,0)</f>
      </c>
      <c r="U203" s="14">
        <f>SUM(U2:U202)</f>
      </c>
      <c r="V203" s="14">
        <f>SUM(V2:V202)</f>
      </c>
      <c r="W203" s="14">
        <f>SUM(W2:W202)</f>
      </c>
      <c r="X203" s="7"/>
      <c r="Y203" s="7"/>
      <c r="Z203" s="7"/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107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108</v>
      </c>
    </row>
    <row r="2" ht="46" customHeight="1" spans="1:1" x14ac:dyDescent="0.25">
      <c r="A2" s="2" t="s">
        <v>109</v>
      </c>
    </row>
    <row r="4" spans="1:16" s="3" customFormat="1" x14ac:dyDescent="0.25">
      <c r="A4" s="3" t="s">
        <v>4</v>
      </c>
      <c r="B4" s="3" t="s">
        <v>5</v>
      </c>
      <c r="C4" s="3" t="s">
        <v>110</v>
      </c>
      <c r="D4" s="3" t="s">
        <v>9</v>
      </c>
      <c r="E4" s="3" t="s">
        <v>111</v>
      </c>
      <c r="F4" s="3" t="s">
        <v>6</v>
      </c>
      <c r="G4" s="3" t="s">
        <v>7</v>
      </c>
      <c r="H4" s="3" t="s">
        <v>8</v>
      </c>
      <c r="I4" s="3" t="s">
        <v>112</v>
      </c>
      <c r="J4" s="3" t="s">
        <v>113</v>
      </c>
      <c r="K4" s="3" t="s">
        <v>114</v>
      </c>
      <c r="L4" s="3" t="s">
        <v>115</v>
      </c>
      <c r="M4" s="3" t="s">
        <v>116</v>
      </c>
      <c r="N4" s="3" t="s">
        <v>11</v>
      </c>
      <c r="O4" s="3" t="s">
        <v>12</v>
      </c>
      <c r="P4" s="3" t="s">
        <v>117</v>
      </c>
    </row>
    <row r="5" spans="1:16" x14ac:dyDescent="0.25">
      <c r="A5" t="s">
        <v>13</v>
      </c>
      <c r="B5">
        <v>3</v>
      </c>
      <c r="C5" s="4">
        <v>969.96</v>
      </c>
      <c r="D5" s="4">
        <v>102.9</v>
      </c>
      <c r="E5">
        <v>4</v>
      </c>
      <c r="F5">
        <v>3</v>
      </c>
      <c r="G5">
        <v>1</v>
      </c>
      <c r="H5">
        <v>0</v>
      </c>
      <c r="I5">
        <v>0</v>
      </c>
      <c r="J5" s="4">
        <v>73.19999999999999</v>
      </c>
      <c r="K5" s="4">
        <v>0</v>
      </c>
      <c r="L5" s="4">
        <v>0</v>
      </c>
      <c r="M5" s="4">
        <v>73.19999999999999</v>
      </c>
      <c r="N5" s="4">
        <v>29.700000000000017</v>
      </c>
      <c r="O5" s="4">
        <v>3.061981937399482</v>
      </c>
      <c r="P5" t="s">
        <v>1</v>
      </c>
    </row>
    <row r="6" spans="1:16" x14ac:dyDescent="0.25">
      <c r="A6" t="s">
        <v>15</v>
      </c>
      <c r="B6">
        <v>2</v>
      </c>
      <c r="C6" s="4">
        <v>372.97</v>
      </c>
      <c r="D6" s="4">
        <v>50.1</v>
      </c>
      <c r="E6">
        <v>1</v>
      </c>
      <c r="F6">
        <v>0</v>
      </c>
      <c r="G6">
        <v>0</v>
      </c>
      <c r="H6">
        <v>1</v>
      </c>
      <c r="I6">
        <v>0</v>
      </c>
      <c r="J6" s="4">
        <v>19.2</v>
      </c>
      <c r="K6" s="4">
        <v>0</v>
      </c>
      <c r="L6" s="4">
        <v>0</v>
      </c>
      <c r="M6" s="4">
        <v>19.2</v>
      </c>
      <c r="N6" s="4">
        <v>30.900000000000002</v>
      </c>
      <c r="O6" s="4">
        <v>8.28484864734429</v>
      </c>
      <c r="P6">
        <v>1</v>
      </c>
    </row>
    <row r="7" spans="1:16" x14ac:dyDescent="0.25">
      <c r="A7" t="s">
        <v>16</v>
      </c>
      <c r="B7">
        <v>1</v>
      </c>
      <c r="C7" s="4">
        <v>410</v>
      </c>
      <c r="D7" s="4">
        <v>44</v>
      </c>
      <c r="E7">
        <v>0</v>
      </c>
      <c r="F7">
        <v>0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44</v>
      </c>
      <c r="O7" s="4">
        <v>10.731707317073171</v>
      </c>
      <c r="P7" t="s">
        <v>1</v>
      </c>
    </row>
    <row r="8" spans="1:16" s="3" customFormat="1" x14ac:dyDescent="0.25">
      <c r="A8" s="3" t="s">
        <v>18</v>
      </c>
      <c r="B8" s="3">
        <v>6</v>
      </c>
      <c r="C8" s="15">
        <v>1752.93</v>
      </c>
      <c r="D8" s="15">
        <v>197</v>
      </c>
      <c r="E8" s="3">
        <v>5</v>
      </c>
      <c r="F8" s="3">
        <v>3</v>
      </c>
      <c r="G8" s="3">
        <v>1</v>
      </c>
      <c r="H8" s="3">
        <v>1</v>
      </c>
      <c r="I8" s="3">
        <v>0</v>
      </c>
      <c r="J8" s="15">
        <v>92.39999999999999</v>
      </c>
      <c r="K8" s="15">
        <v>0</v>
      </c>
      <c r="L8" s="15">
        <v>0</v>
      </c>
      <c r="M8" s="15">
        <v>92.39999999999999</v>
      </c>
      <c r="N8" s="15">
        <v>104.60000000000001</v>
      </c>
      <c r="O8" s="15">
        <v>5.967152139560622</v>
      </c>
      <c r="P8" s="3">
        <v>1</v>
      </c>
    </row>
    <row r="10" ht="28" customHeight="1" spans="1:1" x14ac:dyDescent="0.25">
      <c r="A10" s="16" t="s">
        <v>118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119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120</v>
      </c>
      <c r="F2" s="11" t="s">
        <v>62</v>
      </c>
      <c r="G2" s="11">
        <v>1</v>
      </c>
      <c r="H2" s="13">
        <v>3.2</v>
      </c>
      <c r="I2" s="13">
        <v>9.99</v>
      </c>
      <c r="J2" s="13">
        <v>0.8</v>
      </c>
      <c r="K2" s="17">
        <v>25.07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121</v>
      </c>
      <c r="F3" t="s">
        <v>62</v>
      </c>
      <c r="G3">
        <v>3</v>
      </c>
      <c r="H3" s="4">
        <v>3.3</v>
      </c>
      <c r="I3" s="4">
        <v>17.97</v>
      </c>
      <c r="J3" s="4">
        <v>6.83</v>
      </c>
      <c r="K3" s="18">
        <v>38.01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120</v>
      </c>
      <c r="F4" t="s">
        <v>62</v>
      </c>
      <c r="G4">
        <v>4</v>
      </c>
      <c r="H4" s="4">
        <v>12.8</v>
      </c>
      <c r="I4" s="4">
        <v>39.96</v>
      </c>
      <c r="J4" s="4">
        <v>15.21</v>
      </c>
      <c r="K4" s="18">
        <v>118.82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122</v>
      </c>
      <c r="B1" t="s">
        <v>123</v>
      </c>
    </row>
    <row r="2" spans="1:2" x14ac:dyDescent="0.25">
      <c r="A2" s="7" t="s">
        <v>124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125</v>
      </c>
      <c r="B6" s="4">
        <v>73.2</v>
      </c>
    </row>
    <row r="7" spans="1:2" x14ac:dyDescent="0.25">
      <c r="A7" s="7" t="s">
        <v>126</v>
      </c>
      <c r="B7" s="4">
        <v>18.3</v>
      </c>
    </row>
    <row r="9" spans="1:2" x14ac:dyDescent="0.25">
      <c r="A9" s="7" t="s">
        <v>127</v>
      </c>
      <c r="B9" s="7" t="s">
        <v>128</v>
      </c>
    </row>
    <row r="10" spans="1:2" x14ac:dyDescent="0.25">
      <c r="A10" s="7" t="s">
        <v>13</v>
      </c>
      <c r="B10" t="s">
        <v>129</v>
      </c>
    </row>
    <row r="11" spans="1:2" x14ac:dyDescent="0.25">
      <c r="A11" s="7" t="s">
        <v>15</v>
      </c>
      <c r="B11" t="s">
        <v>130</v>
      </c>
    </row>
    <row r="13" spans="1:2" x14ac:dyDescent="0.25">
      <c r="A13" s="7" t="s">
        <v>131</v>
      </c>
      <c r="B13" t="s">
        <v>1</v>
      </c>
    </row>
    <row r="14" spans="1:2" x14ac:dyDescent="0.25">
      <c r="A14" t="s">
        <v>132</v>
      </c>
      <c r="B14" t="s">
        <v>133</v>
      </c>
    </row>
    <row r="15" spans="1:2" x14ac:dyDescent="0.25">
      <c r="A15" t="s">
        <v>70</v>
      </c>
      <c r="B15" t="s">
        <v>134</v>
      </c>
    </row>
    <row r="16" spans="1:2" x14ac:dyDescent="0.25">
      <c r="A16" t="s">
        <v>135</v>
      </c>
      <c r="B16" t="s">
        <v>136</v>
      </c>
    </row>
    <row r="18" spans="1:2" x14ac:dyDescent="0.25">
      <c r="A18" s="7" t="s">
        <v>137</v>
      </c>
      <c r="B18" t="s">
        <v>1</v>
      </c>
    </row>
    <row r="19" spans="1:2" x14ac:dyDescent="0.25">
      <c r="A19" t="s">
        <v>138</v>
      </c>
      <c r="B19" t="s">
        <v>139</v>
      </c>
    </row>
    <row r="20" spans="1:2" x14ac:dyDescent="0.25">
      <c r="A20" t="s">
        <v>140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51</v>
      </c>
      <c r="B1" t="s">
        <v>141</v>
      </c>
      <c r="C1" t="s">
        <v>30</v>
      </c>
      <c r="D1" t="s">
        <v>32</v>
      </c>
      <c r="E1" t="s">
        <v>31</v>
      </c>
      <c r="F1" t="s">
        <v>33</v>
      </c>
      <c r="G1" t="s">
        <v>142</v>
      </c>
      <c r="H1" t="s">
        <v>143</v>
      </c>
      <c r="I1" t="s">
        <v>4</v>
      </c>
      <c r="J1" t="s">
        <v>144</v>
      </c>
      <c r="K1" t="s">
        <v>52</v>
      </c>
      <c r="L1" t="s">
        <v>145</v>
      </c>
      <c r="M1" t="s">
        <v>55</v>
      </c>
      <c r="N1" t="s">
        <v>146</v>
      </c>
      <c r="O1" t="s">
        <v>53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147</v>
      </c>
      <c r="D2" s="11" t="s">
        <v>61</v>
      </c>
      <c r="E2" s="11" t="s">
        <v>60</v>
      </c>
      <c r="F2" s="11" t="s">
        <v>62</v>
      </c>
      <c r="G2" s="10">
        <v>46222.5</v>
      </c>
      <c r="H2" s="13">
        <v>605</v>
      </c>
      <c r="I2" s="11" t="s">
        <v>13</v>
      </c>
      <c r="J2" s="11" t="s">
        <v>148</v>
      </c>
      <c r="K2" s="11" t="s">
        <v>70</v>
      </c>
      <c r="L2" s="11" t="s">
        <v>149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150</v>
      </c>
      <c r="D3" s="11" t="s">
        <v>95</v>
      </c>
      <c r="E3" s="11" t="s">
        <v>60</v>
      </c>
      <c r="F3" s="11" t="s">
        <v>151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152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153</v>
      </c>
      <c r="D4" s="11" t="s">
        <v>77</v>
      </c>
      <c r="E4" s="11" t="s">
        <v>60</v>
      </c>
      <c r="F4" s="11" t="s">
        <v>62</v>
      </c>
      <c r="G4" s="10">
        <v>46218.5</v>
      </c>
      <c r="H4" s="13">
        <v>325</v>
      </c>
      <c r="I4" s="11" t="s">
        <v>13</v>
      </c>
      <c r="J4" s="11" t="s">
        <v>148</v>
      </c>
      <c r="K4" s="11" t="s">
        <v>65</v>
      </c>
      <c r="L4" s="11" t="s">
        <v>154</v>
      </c>
      <c r="M4" s="11" t="s">
        <v>155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120</v>
      </c>
      <c r="D5" s="11" t="s">
        <v>1</v>
      </c>
      <c r="E5" s="11" t="s">
        <v>1</v>
      </c>
      <c r="F5" s="11" t="s">
        <v>62</v>
      </c>
      <c r="G5" s="10">
        <v>46224.5</v>
      </c>
      <c r="H5" s="13">
        <v>9.99</v>
      </c>
      <c r="I5" s="11" t="s">
        <v>13</v>
      </c>
      <c r="J5" s="11" t="s">
        <v>156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141</v>
      </c>
      <c r="B1" t="s">
        <v>30</v>
      </c>
      <c r="C1" t="s">
        <v>157</v>
      </c>
      <c r="D1" t="s">
        <v>158</v>
      </c>
      <c r="E1" t="s">
        <v>159</v>
      </c>
      <c r="F1" t="s">
        <v>160</v>
      </c>
      <c r="G1" t="s">
        <v>55</v>
      </c>
    </row>
    <row r="2" spans="1:7" x14ac:dyDescent="0.25">
      <c r="A2" s="9" t="s">
        <v>75</v>
      </c>
      <c r="B2" t="s">
        <v>153</v>
      </c>
      <c r="C2" s="8">
        <v>46204.5</v>
      </c>
      <c r="D2" t="s">
        <v>161</v>
      </c>
      <c r="E2" t="s">
        <v>62</v>
      </c>
      <c r="F2" s="4">
        <v>200</v>
      </c>
      <c r="G2" t="s">
        <v>1</v>
      </c>
    </row>
    <row r="3" spans="1:7" x14ac:dyDescent="0.25">
      <c r="A3" s="9" t="s">
        <v>75</v>
      </c>
      <c r="B3" t="s">
        <v>153</v>
      </c>
      <c r="C3" s="8">
        <v>46218.5</v>
      </c>
      <c r="D3" t="s">
        <v>162</v>
      </c>
      <c r="E3" t="s">
        <v>163</v>
      </c>
      <c r="F3" s="4">
        <v>325</v>
      </c>
      <c r="G3" t="s">
        <v>1</v>
      </c>
    </row>
    <row r="4" spans="1:7" x14ac:dyDescent="0.25">
      <c r="A4" s="9" t="s">
        <v>75</v>
      </c>
      <c r="B4" t="s">
        <v>153</v>
      </c>
      <c r="C4" s="8">
        <v>46218.5</v>
      </c>
      <c r="D4" t="s">
        <v>162</v>
      </c>
      <c r="E4" t="s">
        <v>164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153</v>
      </c>
      <c r="C5" s="10">
        <v>46224.5</v>
      </c>
      <c r="D5" s="11" t="s">
        <v>165</v>
      </c>
      <c r="E5" s="11" t="s">
        <v>166</v>
      </c>
      <c r="F5" s="13">
        <v>-19.2</v>
      </c>
      <c r="G5" s="11" t="s">
        <v>155</v>
      </c>
    </row>
    <row r="6" spans="1:7" x14ac:dyDescent="0.25">
      <c r="A6" s="12" t="s">
        <v>75</v>
      </c>
      <c r="B6" s="11" t="s">
        <v>153</v>
      </c>
      <c r="C6" s="10">
        <v>46224.5</v>
      </c>
      <c r="D6" s="11" t="s">
        <v>165</v>
      </c>
      <c r="E6" s="11" t="s">
        <v>166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150</v>
      </c>
      <c r="C7" s="8">
        <v>46204.5</v>
      </c>
      <c r="D7" t="s">
        <v>161</v>
      </c>
      <c r="E7" t="s">
        <v>151</v>
      </c>
      <c r="F7" s="4">
        <v>200</v>
      </c>
      <c r="G7" t="s">
        <v>1</v>
      </c>
    </row>
    <row r="8" spans="1:7" x14ac:dyDescent="0.25">
      <c r="A8" s="9" t="s">
        <v>98</v>
      </c>
      <c r="B8" t="s">
        <v>150</v>
      </c>
      <c r="C8" s="8">
        <v>46219.5</v>
      </c>
      <c r="D8" t="s">
        <v>162</v>
      </c>
      <c r="E8" t="s">
        <v>167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150</v>
      </c>
      <c r="C9" s="10">
        <v>46225.5</v>
      </c>
      <c r="D9" s="11" t="s">
        <v>165</v>
      </c>
      <c r="E9" s="11" t="s">
        <v>168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150</v>
      </c>
      <c r="C10" s="8">
        <v>46225.5</v>
      </c>
      <c r="D10" t="s">
        <v>169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147</v>
      </c>
      <c r="C11" s="8">
        <v>46204.5</v>
      </c>
      <c r="D11" t="s">
        <v>161</v>
      </c>
      <c r="E11" t="s">
        <v>62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147</v>
      </c>
      <c r="C12" s="8">
        <v>46222.5</v>
      </c>
      <c r="D12" t="s">
        <v>162</v>
      </c>
      <c r="E12" t="s">
        <v>170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147</v>
      </c>
      <c r="C13" s="10">
        <v>46226.5</v>
      </c>
      <c r="D13" s="11" t="s">
        <v>165</v>
      </c>
      <c r="E13" s="11" t="s">
        <v>171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2026-08-07T14:44:16Z</dcterms:created>
  <dcterms:modified xsi:type="dcterms:W3CDTF">2026-08-07T14:44:16Z</dcterms:modified>
</cp:coreProperties>
</file>