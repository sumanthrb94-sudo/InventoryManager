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<sst xmlns="http://schemas.openxmlformats.org/spreadsheetml/2006/main" count="473" uniqueCount="161">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</sst>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355.98+SUM('AMAZON'!$S$9:$S$208)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98.57+SUM('EBAY'!$V$5:$V$204)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129.95+SUM('ONBUY'!$P$3:$P$202)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>
        <v>1</v>
      </c>
      <c r="G2" s="4">
        <v>200</v>
      </c>
      <c r="H2" s="4">
        <v>610</v>
      </c>
      <c r="I2" s="4">
        <f>H2-G2</f>
      </c>
      <c r="J2" s="4">
        <f>I2*16.67%</f>
      </c>
      <c r="K2" s="4">
        <f>H2/100*7</f>
      </c>
      <c r="L2" s="4">
        <f>K2*20%</f>
      </c>
      <c r="M2" s="4">
        <f>K2*2%</f>
      </c>
      <c r="N2" s="4">
        <f>M2*20%</f>
      </c>
      <c r="O2" s="4">
        <v>8</v>
      </c>
      <c r="P2" s="4">
        <f>O2*20%</f>
      </c>
      <c r="Q2" s="4">
        <v>1</v>
      </c>
      <c r="R2" s="4">
        <f>L2+N2+P2</f>
      </c>
      <c r="S2" s="4">
        <f>I2-J2-K2-L2-M2-N2-O2-P2-Q2</f>
      </c>
      <c r="T2" s="4">
        <f>(S2-AB2)/G2*100</f>
      </c>
      <c r="U2" s="4">
        <f>J2-R2</f>
      </c>
      <c r="V2" t="s">
        <v>1</v>
      </c>
      <c r="W2" t="s">
        <v>60</v>
      </c>
      <c r="AC2" s="4">
        <f>S2-AB2</f>
      </c>
      <c r="AD2" t="s">
        <v>61</v>
      </c>
      <c r="AE2" t="s">
        <v>62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59</v>
      </c>
      <c r="F3" s="11">
        <v>1</v>
      </c>
      <c r="G3" s="13">
        <v>3.2</v>
      </c>
      <c r="H3" s="13">
        <v>9.99</v>
      </c>
      <c r="I3" s="13">
        <f>H3-G3</f>
      </c>
      <c r="J3" s="13">
        <f>I3*16.67%</f>
      </c>
      <c r="K3" s="13">
        <f>H3/100*7</f>
      </c>
      <c r="L3" s="13">
        <f>K3*20%</f>
      </c>
      <c r="M3" s="13">
        <f>K3*2%</f>
      </c>
      <c r="N3" s="13">
        <f>M3*20%</f>
      </c>
      <c r="O3" s="13">
        <v>2.5</v>
      </c>
      <c r="P3" s="13">
        <f>O3*20%</f>
      </c>
      <c r="Q3" s="13">
        <v>1</v>
      </c>
      <c r="R3" s="13">
        <f>L3+N3+P3</f>
      </c>
      <c r="S3" s="13">
        <f>I3-J3-K3-L3-M3-N3-O3-P3-Q3</f>
      </c>
      <c r="T3" s="13">
        <f>(S3-AB3)/G3*100</f>
      </c>
      <c r="U3" s="13">
        <f>J3-R3</f>
      </c>
      <c r="V3" s="11" t="s">
        <v>1</v>
      </c>
      <c r="W3" s="11" t="s">
        <v>64</v>
      </c>
      <c r="X3" s="10">
        <v>46227.5</v>
      </c>
      <c r="Y3" s="11" t="s">
        <v>65</v>
      </c>
      <c r="Z3" s="11" t="s">
        <v>66</v>
      </c>
      <c r="AA3" s="11">
        <v>2</v>
      </c>
      <c r="AB3" s="13">
        <v>6</v>
      </c>
      <c r="AC3" s="13">
        <f>S3-AB3</f>
      </c>
      <c r="AD3" s="11" t="s">
        <v>1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59</v>
      </c>
      <c r="F4">
        <v>4</v>
      </c>
      <c r="G4" s="4">
        <v>12.8</v>
      </c>
      <c r="H4" s="4">
        <v>39.96</v>
      </c>
      <c r="I4" s="4">
        <f>H4-G4</f>
      </c>
      <c r="J4" s="4">
        <f>I4*16.67%</f>
      </c>
      <c r="K4" s="4">
        <f>H4/100*7</f>
      </c>
      <c r="L4" s="4">
        <f>K4*20%</f>
      </c>
      <c r="M4" s="4">
        <f>K4*2%</f>
      </c>
      <c r="N4" s="4">
        <f>M4*20%</f>
      </c>
      <c r="O4" s="4">
        <v>2.5</v>
      </c>
      <c r="P4" s="4">
        <f>O4*20%</f>
      </c>
      <c r="Q4" s="4">
        <v>1</v>
      </c>
      <c r="R4" s="4">
        <f>L4+N4+P4</f>
      </c>
      <c r="S4" s="4">
        <f>I4-J4-K4-L4-M4-N4-O4-P4-Q4</f>
      </c>
      <c r="T4" s="4">
        <f>(S4-AB4)/G4*100</f>
      </c>
      <c r="U4" s="4">
        <f>J4-R4</f>
      </c>
      <c r="V4" t="s">
        <v>1</v>
      </c>
      <c r="W4" t="s">
        <v>64</v>
      </c>
      <c r="AC4" s="4">
        <f>S4-AB4</f>
      </c>
      <c r="AD4" t="s">
        <v>1</v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>
        <v>1</v>
      </c>
      <c r="G5" s="13">
        <v>200</v>
      </c>
      <c r="H5" s="13">
        <v>605</v>
      </c>
      <c r="I5" s="13">
        <f>H5-G5</f>
      </c>
      <c r="J5" s="13">
        <f>I5*16.67%</f>
      </c>
      <c r="K5" s="13">
        <f>H5/100*7</f>
      </c>
      <c r="L5" s="13">
        <f>K5*20%</f>
      </c>
      <c r="M5" s="13">
        <f>K5*2%</f>
      </c>
      <c r="N5" s="13">
        <f>M5*20%</f>
      </c>
      <c r="O5" s="13">
        <v>8</v>
      </c>
      <c r="P5" s="13">
        <f>O5*20%</f>
      </c>
      <c r="Q5" s="13">
        <v>1</v>
      </c>
      <c r="R5" s="13">
        <f>L5+N5+P5</f>
      </c>
      <c r="S5" s="13">
        <f>I5-J5-K5-L5-M5-N5-O5-P5-Q5</f>
      </c>
      <c r="T5" s="13">
        <f>(S5-AB5)/G5*100</f>
      </c>
      <c r="U5" s="13">
        <f>J5-R5</f>
      </c>
      <c r="V5" s="11" t="s">
        <v>70</v>
      </c>
      <c r="W5" s="11" t="s">
        <v>60</v>
      </c>
      <c r="X5" s="10">
        <v>46226.5</v>
      </c>
      <c r="Y5" s="11" t="s">
        <v>71</v>
      </c>
      <c r="Z5" s="11" t="s">
        <v>72</v>
      </c>
      <c r="AA5" s="11">
        <v>3</v>
      </c>
      <c r="AB5" s="13">
        <v>28.799999999999997</v>
      </c>
      <c r="AC5" s="13">
        <f>S5-AB5</f>
      </c>
      <c r="AD5" s="11" t="s">
        <v>61</v>
      </c>
      <c r="AE5" s="11" t="s">
        <v>62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59</v>
      </c>
      <c r="F6" s="11">
        <v>1</v>
      </c>
      <c r="G6" s="13">
        <v>200</v>
      </c>
      <c r="H6" s="13">
        <v>325</v>
      </c>
      <c r="I6" s="13">
        <f>H6-G6</f>
      </c>
      <c r="J6" s="13">
        <f>I6*16.67%</f>
      </c>
      <c r="K6" s="13">
        <f>H6/100*7</f>
      </c>
      <c r="L6" s="13">
        <f>K6*20%</f>
      </c>
      <c r="M6" s="13">
        <f>K6*2%</f>
      </c>
      <c r="N6" s="13">
        <f>M6*20%</f>
      </c>
      <c r="O6" s="13">
        <v>8</v>
      </c>
      <c r="P6" s="13">
        <f>O6*20%</f>
      </c>
      <c r="Q6" s="13">
        <v>1</v>
      </c>
      <c r="R6" s="13">
        <f>L6+N6+P6</f>
      </c>
      <c r="S6" s="13">
        <f>I6-J6-K6-L6-M6-N6-O6-P6-Q6</f>
      </c>
      <c r="T6" s="13">
        <f>(S6-AB6)/G6*100</f>
      </c>
      <c r="U6" s="13">
        <f>J6-R6</f>
      </c>
      <c r="V6" s="11" t="s">
        <v>1</v>
      </c>
      <c r="W6" s="11" t="s">
        <v>76</v>
      </c>
      <c r="X6" s="10">
        <v>46224.5</v>
      </c>
      <c r="Y6" s="11" t="s">
        <v>65</v>
      </c>
      <c r="Z6" s="11" t="s">
        <v>77</v>
      </c>
      <c r="AA6" s="11">
        <v>2</v>
      </c>
      <c r="AB6" s="13">
        <v>19.2</v>
      </c>
      <c r="AC6" s="13">
        <f>S6-AB6</f>
      </c>
      <c r="AD6" s="11" t="s">
        <v>78</v>
      </c>
      <c r="AE6" s="11" t="s">
        <v>62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59</v>
      </c>
      <c r="F7" s="11">
        <v>1</v>
      </c>
      <c r="G7" s="13">
        <v>200</v>
      </c>
      <c r="H7" s="13">
        <v>325</v>
      </c>
      <c r="I7" s="13">
        <f>H7-G7</f>
      </c>
      <c r="J7" s="13">
        <f>I7*16.67%</f>
      </c>
      <c r="K7" s="13">
        <f>H7/100*7</f>
      </c>
      <c r="L7" s="13">
        <f>K7*20%</f>
      </c>
      <c r="M7" s="13">
        <f>K7*2%</f>
      </c>
      <c r="N7" s="13">
        <f>M7*20%</f>
      </c>
      <c r="O7" s="13">
        <v>8</v>
      </c>
      <c r="P7" s="13">
        <f>O7*20%</f>
      </c>
      <c r="Q7" s="13">
        <v>1</v>
      </c>
      <c r="R7" s="13">
        <f>L7+N7+P7</f>
      </c>
      <c r="S7" s="13">
        <f>I7-J7-K7-L7-M7-N7-O7-P7-Q7</f>
      </c>
      <c r="T7" s="13">
        <f>(S7-AB7)/G7*100</f>
      </c>
      <c r="U7" s="13">
        <f>J7-R7</f>
      </c>
      <c r="V7" s="11" t="s">
        <v>1</v>
      </c>
      <c r="W7" s="11" t="s">
        <v>76</v>
      </c>
      <c r="X7" s="10">
        <v>46224.5</v>
      </c>
      <c r="Y7" s="11" t="s">
        <v>65</v>
      </c>
      <c r="Z7" s="11" t="s">
        <v>77</v>
      </c>
      <c r="AA7" s="11">
        <v>2</v>
      </c>
      <c r="AB7" s="13">
        <v>19.2</v>
      </c>
      <c r="AC7" s="13">
        <f>S7-AB7</f>
      </c>
      <c r="AD7" s="11" t="s">
        <v>78</v>
      </c>
      <c r="AE7" s="11" t="s">
        <v>62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59</v>
      </c>
      <c r="F8">
        <v>1</v>
      </c>
      <c r="G8" s="4">
        <v>200</v>
      </c>
      <c r="H8" s="4">
        <v>320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8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76</v>
      </c>
      <c r="AC8" s="4">
        <f>S8-AB8</f>
      </c>
      <c r="AD8" t="s">
        <v>78</v>
      </c>
      <c r="AE8" t="s">
        <v>62</v>
      </c>
    </row>
    <row r="9" spans="1:29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8"/>
      <c r="D205" s="9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8"/>
      <c r="D206" s="9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8"/>
      <c r="D207" s="9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8"/>
      <c r="D208" s="9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83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84</v>
      </c>
      <c r="M1" t="s">
        <v>85</v>
      </c>
      <c r="N1" t="s">
        <v>86</v>
      </c>
      <c r="O1" t="s">
        <v>87</v>
      </c>
      <c r="P1" t="s">
        <v>40</v>
      </c>
      <c r="Q1" t="s">
        <v>41</v>
      </c>
      <c r="R1" t="s">
        <v>88</v>
      </c>
      <c r="S1" t="s">
        <v>89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59</v>
      </c>
      <c r="F2">
        <v>3</v>
      </c>
      <c r="G2" s="4">
        <v>3.3</v>
      </c>
      <c r="H2" s="4">
        <v>17.97</v>
      </c>
      <c r="I2" s="4">
        <f>H2-G2</f>
      </c>
      <c r="J2" s="4">
        <f>I2*16.67%</f>
      </c>
      <c r="K2" s="4">
        <f>(H2*6.9%)-(H2*6.9%)*10%</f>
      </c>
      <c r="L2" s="4">
        <f>H2*0.35%</f>
      </c>
      <c r="M2" s="4">
        <v>0.4</v>
      </c>
      <c r="N2" s="4">
        <f>(K2+L2+M2)*20%</f>
      </c>
      <c r="O2" s="4">
        <f>K2+L2+M2+N2</f>
      </c>
      <c r="P2" s="4">
        <v>2.5</v>
      </c>
      <c r="Q2" s="4">
        <v>0</v>
      </c>
      <c r="R2" s="4">
        <v>0</v>
      </c>
      <c r="S2" s="4">
        <f>R2*20%</f>
      </c>
      <c r="T2" s="4">
        <v>1</v>
      </c>
      <c r="U2" s="4">
        <f>N2+Q2+S2</f>
      </c>
      <c r="V2" s="4">
        <f>I2-J2-O2-P2-Q2-R2-S2-T2</f>
      </c>
      <c r="W2" s="4">
        <f>(V2-AE2)/H2*100</f>
      </c>
      <c r="X2" s="4">
        <f>J2-U2</f>
      </c>
      <c r="Y2" t="s">
        <v>1</v>
      </c>
      <c r="Z2" t="s">
        <v>91</v>
      </c>
      <c r="AF2" s="4">
        <f>V2-AE2</f>
      </c>
      <c r="AG2" t="s">
        <v>1</v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59</v>
      </c>
      <c r="F3">
        <v>1</v>
      </c>
      <c r="G3" s="4">
        <v>200</v>
      </c>
      <c r="H3" s="4">
        <v>355</v>
      </c>
      <c r="I3" s="4">
        <f>H3-G3</f>
      </c>
      <c r="J3" s="4">
        <f>I3*16.67%</f>
      </c>
      <c r="K3" s="4">
        <f>(H3*6.9%)-(H3*6.9%)*10%</f>
      </c>
      <c r="L3" s="4">
        <f>H3*0.35%</f>
      </c>
      <c r="M3" s="4">
        <v>0.4</v>
      </c>
      <c r="N3" s="4">
        <f>(K3+L3+M3)*20%</f>
      </c>
      <c r="O3" s="4">
        <f>K3+L3+M3+N3</f>
      </c>
      <c r="P3" s="4">
        <v>8</v>
      </c>
      <c r="Q3" s="4">
        <v>0</v>
      </c>
      <c r="R3" s="4">
        <v>0</v>
      </c>
      <c r="S3" s="4">
        <f>R3*20%</f>
      </c>
      <c r="T3" s="4">
        <v>1</v>
      </c>
      <c r="U3" s="4">
        <f>N3+Q3+S3</f>
      </c>
      <c r="V3" s="4">
        <f>I3-J3-O3-P3-Q3-R3-S3-T3</f>
      </c>
      <c r="W3" s="4">
        <f>(V3-AE3)/H3*100</f>
      </c>
      <c r="X3" s="4">
        <f>J3-U3</f>
      </c>
      <c r="Y3" t="s">
        <v>1</v>
      </c>
      <c r="Z3" t="s">
        <v>76</v>
      </c>
      <c r="AF3" s="4">
        <f>V3-AE3</f>
      </c>
      <c r="AG3" t="s">
        <v>95</v>
      </c>
      <c r="AH3" t="s">
        <v>62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59</v>
      </c>
      <c r="F4" s="11">
        <v>1</v>
      </c>
      <c r="G4" s="13">
        <v>200</v>
      </c>
      <c r="H4" s="13">
        <v>375</v>
      </c>
      <c r="I4" s="13">
        <f>H4-G4</f>
      </c>
      <c r="J4" s="13">
        <f>I4*16.67%</f>
      </c>
      <c r="K4" s="13">
        <f>(H4*6.9%)-(H4*6.9%)*10%</f>
      </c>
      <c r="L4" s="13">
        <f>H4*0.35%</f>
      </c>
      <c r="M4" s="13">
        <v>0.4</v>
      </c>
      <c r="N4" s="13">
        <f>(K4+L4+M4)*20%</f>
      </c>
      <c r="O4" s="13">
        <f>K4+L4+M4+N4</f>
      </c>
      <c r="P4" s="13">
        <v>8</v>
      </c>
      <c r="Q4" s="13">
        <v>0</v>
      </c>
      <c r="R4" s="13">
        <v>0</v>
      </c>
      <c r="S4" s="13">
        <f>R4*20%</f>
      </c>
      <c r="T4" s="13">
        <v>1</v>
      </c>
      <c r="U4" s="13">
        <f>N4+Q4+S4</f>
      </c>
      <c r="V4" s="13">
        <f>I4-J4-O4-P4-Q4-R4-S4-T4</f>
      </c>
      <c r="W4" s="13">
        <f>(V4-AE4)/H4*100</f>
      </c>
      <c r="X4" s="13">
        <f>J4-U4</f>
      </c>
      <c r="Y4" s="11" t="s">
        <v>1</v>
      </c>
      <c r="Z4" s="11" t="s">
        <v>99</v>
      </c>
      <c r="AA4" s="10">
        <v>46225.5</v>
      </c>
      <c r="AB4" s="11" t="s">
        <v>100</v>
      </c>
      <c r="AC4" s="11" t="s">
        <v>101</v>
      </c>
      <c r="AD4" s="11">
        <v>2</v>
      </c>
      <c r="AE4" s="13">
        <v>19.2</v>
      </c>
      <c r="AF4" s="13">
        <f>V4-AE4</f>
      </c>
      <c r="AG4" s="11" t="s">
        <v>95</v>
      </c>
      <c r="AH4" s="11" t="s">
        <v>62</v>
      </c>
    </row>
    <row r="5" spans="1:32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2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IF($H202="","",(H202*6.9%)-(H202*6.9%)*10%)</f>
      </c>
      <c r="L202" s="4">
        <f>IF($H202="","",H202*0.35%)</f>
      </c>
      <c r="M202" s="4">
        <v>0.4</v>
      </c>
      <c r="N202" s="4">
        <f>IF($H202="","",(K202+L202+M202)*20%)</f>
      </c>
      <c r="O202" s="4">
        <f>IF($H202="","",K202+L202+M202+N202)</f>
      </c>
      <c r="P202" s="4"/>
      <c r="Q202" s="4"/>
      <c r="R202" s="4"/>
      <c r="S202" s="4">
        <f>IF($H202="","",R202*20%)</f>
      </c>
      <c r="T202" s="4">
        <v>1</v>
      </c>
      <c r="U202" s="4">
        <f>IF($H202="","",N202+Q202+S202)</f>
      </c>
      <c r="V202" s="4">
        <f>IF($H202="","",I202-J202-O202-P202-Q202-R202-S202-T202)</f>
      </c>
      <c r="W202" s="4">
        <f>IF($H202="","",(V202-AE202)/H202*100)</f>
      </c>
      <c r="X202" s="4">
        <f>IF($H202="","",J202-U202)</f>
      </c>
      <c r="AF202" s="4">
        <f>IF($H202="","",V202-AE202)</f>
      </c>
    </row>
    <row r="203" spans="1:32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IF($H203="","",(H203*6.9%)-(H203*6.9%)*10%)</f>
      </c>
      <c r="L203" s="4">
        <f>IF($H203="","",H203*0.35%)</f>
      </c>
      <c r="M203" s="4">
        <v>0.4</v>
      </c>
      <c r="N203" s="4">
        <f>IF($H203="","",(K203+L203+M203)*20%)</f>
      </c>
      <c r="O203" s="4">
        <f>IF($H203="","",K203+L203+M203+N203)</f>
      </c>
      <c r="P203" s="4"/>
      <c r="Q203" s="4"/>
      <c r="R203" s="4"/>
      <c r="S203" s="4">
        <f>IF($H203="","",R203*20%)</f>
      </c>
      <c r="T203" s="4">
        <v>1</v>
      </c>
      <c r="U203" s="4">
        <f>IF($H203="","",N203+Q203+S203)</f>
      </c>
      <c r="V203" s="4">
        <f>IF($H203="","",I203-J203-O203-P203-Q203-R203-S203-T203)</f>
      </c>
      <c r="W203" s="4">
        <f>IF($H203="","",(V203-AE203)/H203*100)</f>
      </c>
      <c r="X203" s="4">
        <f>IF($H203="","",J203-U203)</f>
      </c>
      <c r="AF203" s="4">
        <f>IF($H203="","",V203-AE203)</f>
      </c>
    </row>
    <row r="204" spans="1:32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IF($H204="","",(H204*6.9%)-(H204*6.9%)*10%)</f>
      </c>
      <c r="L204" s="4">
        <f>IF($H204="","",H204*0.35%)</f>
      </c>
      <c r="M204" s="4">
        <v>0.4</v>
      </c>
      <c r="N204" s="4">
        <f>IF($H204="","",(K204+L204+M204)*20%)</f>
      </c>
      <c r="O204" s="4">
        <f>IF($H204="","",K204+L204+M204+N204)</f>
      </c>
      <c r="P204" s="4"/>
      <c r="Q204" s="4"/>
      <c r="R204" s="4"/>
      <c r="S204" s="4">
        <f>IF($H204="","",R204*20%)</f>
      </c>
      <c r="T204" s="4">
        <v>1</v>
      </c>
      <c r="U204" s="4">
        <f>IF($H204="","",N204+Q204+S204)</f>
      </c>
      <c r="V204" s="4">
        <f>IF($H204="","",I204-J204-O204-P204-Q204-R204-S204-T204)</f>
      </c>
      <c r="W204" s="4">
        <f>IF($H204="","",(V204-AE204)/H204*100)</f>
      </c>
      <c r="X204" s="4">
        <f>IF($H204="","",J204-U204)</f>
      </c>
      <c r="AF204" s="4">
        <f>IF($H204="","",V204-AE204)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IFERROR((V205-AE205)/H205*100,0)</f>
      </c>
      <c r="X205" s="14">
        <f>SUM(X2:X204)</f>
      </c>
      <c r="Y205" s="7"/>
      <c r="Z205" s="7"/>
      <c r="AA205" s="7"/>
      <c r="AB205" s="7"/>
      <c r="AC205" s="7"/>
      <c r="AD205" s="7"/>
      <c r="AE205" s="14">
        <f>SUM(AE2:AE204)</f>
      </c>
      <c r="AF205" s="14">
        <f>SUM(AF2:AF204)</f>
      </c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102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59</v>
      </c>
      <c r="F2" s="4">
        <v>200</v>
      </c>
      <c r="G2" s="4">
        <v>410</v>
      </c>
      <c r="H2" s="4">
        <f>G2-F2</f>
      </c>
      <c r="I2" s="4">
        <f>H2*16.67%</f>
      </c>
      <c r="J2" s="4">
        <f>G2*7%</f>
      </c>
      <c r="K2" s="4">
        <f>J2*20%</f>
      </c>
      <c r="L2" s="4">
        <v>8</v>
      </c>
      <c r="M2" s="4">
        <f>L2*20%</f>
      </c>
      <c r="N2" s="4">
        <v>1</v>
      </c>
      <c r="O2" s="4">
        <f>K2+M2</f>
      </c>
      <c r="P2" s="4">
        <f>H2-I2-J2-K2-L2-M2-N2</f>
      </c>
      <c r="Q2" s="4">
        <f>(P2-Y2)/F2*100</f>
      </c>
      <c r="R2" s="4">
        <f>I2-O2</f>
      </c>
      <c r="S2" t="s">
        <v>1</v>
      </c>
      <c r="T2" t="s">
        <v>106</v>
      </c>
      <c r="Z2" s="4">
        <f>P2-Y2</f>
      </c>
      <c r="AA2" t="s">
        <v>95</v>
      </c>
      <c r="AB2" t="s">
        <v>62</v>
      </c>
    </row>
    <row r="3" spans="1:26" x14ac:dyDescent="0.25">
      <c r="A3" s="8"/>
      <c r="D3" s="9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8"/>
      <c r="D4" s="9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8"/>
      <c r="D5" s="9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8"/>
      <c r="D6" s="9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8"/>
      <c r="D7" s="9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8"/>
      <c r="D8" s="9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8"/>
      <c r="D9" s="9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8"/>
      <c r="D10" s="9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8"/>
      <c r="D11" s="9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8"/>
      <c r="D12" s="9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8"/>
      <c r="D13" s="9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8"/>
      <c r="D14" s="9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8"/>
      <c r="D15" s="9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8"/>
      <c r="D16" s="9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8"/>
      <c r="D17" s="9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8"/>
      <c r="D18" s="9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8"/>
      <c r="D19" s="9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8"/>
      <c r="D20" s="9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8"/>
      <c r="D21" s="9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8"/>
      <c r="D22" s="9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8"/>
      <c r="D23" s="9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8"/>
      <c r="D24" s="9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8"/>
      <c r="D25" s="9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8"/>
      <c r="D26" s="9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8"/>
      <c r="D27" s="9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8"/>
      <c r="D28" s="9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8"/>
      <c r="D29" s="9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8"/>
      <c r="D30" s="9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8"/>
      <c r="D31" s="9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8"/>
      <c r="D32" s="9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8"/>
      <c r="D33" s="9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8"/>
      <c r="D34" s="9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8"/>
      <c r="D35" s="9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8"/>
      <c r="D36" s="9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8"/>
      <c r="D37" s="9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8"/>
      <c r="D38" s="9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8"/>
      <c r="D39" s="9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8"/>
      <c r="D40" s="9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8"/>
      <c r="D41" s="9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8"/>
      <c r="D42" s="9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8"/>
      <c r="D43" s="9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8"/>
      <c r="D44" s="9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8"/>
      <c r="D45" s="9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8"/>
      <c r="D46" s="9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8"/>
      <c r="D47" s="9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8"/>
      <c r="D48" s="9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8"/>
      <c r="D49" s="9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8"/>
      <c r="D50" s="9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8"/>
      <c r="D51" s="9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8"/>
      <c r="D52" s="9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8"/>
      <c r="D53" s="9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8"/>
      <c r="D54" s="9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8"/>
      <c r="D55" s="9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8"/>
      <c r="D56" s="9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8"/>
      <c r="D57" s="9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8"/>
      <c r="D58" s="9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8"/>
      <c r="D59" s="9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8"/>
      <c r="D60" s="9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8"/>
      <c r="D61" s="9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8"/>
      <c r="D62" s="9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8"/>
      <c r="D63" s="9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8"/>
      <c r="D64" s="9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8"/>
      <c r="D65" s="9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8"/>
      <c r="D66" s="9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8"/>
      <c r="D67" s="9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8"/>
      <c r="D68" s="9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8"/>
      <c r="D69" s="9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8"/>
      <c r="D70" s="9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8"/>
      <c r="D71" s="9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8"/>
      <c r="D72" s="9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8"/>
      <c r="D73" s="9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8"/>
      <c r="D74" s="9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8"/>
      <c r="D75" s="9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8"/>
      <c r="D76" s="9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8"/>
      <c r="D77" s="9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8"/>
      <c r="D78" s="9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8"/>
      <c r="D79" s="9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8"/>
      <c r="D80" s="9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8"/>
      <c r="D81" s="9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8"/>
      <c r="D82" s="9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8"/>
      <c r="D83" s="9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8"/>
      <c r="D84" s="9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8"/>
      <c r="D85" s="9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8"/>
      <c r="D86" s="9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8"/>
      <c r="D87" s="9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8"/>
      <c r="D88" s="9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8"/>
      <c r="D89" s="9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8"/>
      <c r="D90" s="9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8"/>
      <c r="D91" s="9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8"/>
      <c r="D92" s="9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8"/>
      <c r="D93" s="9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8"/>
      <c r="D94" s="9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8"/>
      <c r="D95" s="9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8"/>
      <c r="D96" s="9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8"/>
      <c r="D97" s="9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8"/>
      <c r="D98" s="9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8"/>
      <c r="D99" s="9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8"/>
      <c r="D100" s="9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8"/>
      <c r="D101" s="9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8"/>
      <c r="D102" s="9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8"/>
      <c r="D103" s="9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8"/>
      <c r="D104" s="9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8"/>
      <c r="D105" s="9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8"/>
      <c r="D106" s="9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8"/>
      <c r="D107" s="9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8"/>
      <c r="D108" s="9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8"/>
      <c r="D109" s="9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8"/>
      <c r="D110" s="9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8"/>
      <c r="D111" s="9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8"/>
      <c r="D112" s="9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8"/>
      <c r="D113" s="9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8"/>
      <c r="D114" s="9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8"/>
      <c r="D115" s="9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8"/>
      <c r="D116" s="9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8"/>
      <c r="D117" s="9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8"/>
      <c r="D118" s="9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8"/>
      <c r="D119" s="9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8"/>
      <c r="D120" s="9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8"/>
      <c r="D121" s="9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8"/>
      <c r="D122" s="9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8"/>
      <c r="D123" s="9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8"/>
      <c r="D124" s="9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8"/>
      <c r="D125" s="9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8"/>
      <c r="D126" s="9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8"/>
      <c r="D127" s="9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8"/>
      <c r="D128" s="9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8"/>
      <c r="D129" s="9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8"/>
      <c r="D130" s="9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8"/>
      <c r="D131" s="9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8"/>
      <c r="D132" s="9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8"/>
      <c r="D133" s="9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8"/>
      <c r="D134" s="9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8"/>
      <c r="D135" s="9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8"/>
      <c r="D136" s="9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8"/>
      <c r="D137" s="9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8"/>
      <c r="D138" s="9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8"/>
      <c r="D139" s="9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8"/>
      <c r="D140" s="9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8"/>
      <c r="D141" s="9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8"/>
      <c r="D142" s="9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8"/>
      <c r="D143" s="9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8"/>
      <c r="D144" s="9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8"/>
      <c r="D145" s="9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8"/>
      <c r="D146" s="9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8"/>
      <c r="D147" s="9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8"/>
      <c r="D148" s="9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8"/>
      <c r="D149" s="9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8"/>
      <c r="D150" s="9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8"/>
      <c r="D151" s="9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8"/>
      <c r="D152" s="9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8"/>
      <c r="D153" s="9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8"/>
      <c r="D154" s="9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8"/>
      <c r="D155" s="9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8"/>
      <c r="D156" s="9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8"/>
      <c r="D157" s="9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8"/>
      <c r="D158" s="9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8"/>
      <c r="D159" s="9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8"/>
      <c r="D160" s="9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8"/>
      <c r="D161" s="9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8"/>
      <c r="D162" s="9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8"/>
      <c r="D163" s="9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8"/>
      <c r="D164" s="9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8"/>
      <c r="D165" s="9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8"/>
      <c r="D166" s="9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8"/>
      <c r="D167" s="9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8"/>
      <c r="D168" s="9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8"/>
      <c r="D169" s="9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8"/>
      <c r="D170" s="9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8"/>
      <c r="D171" s="9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8"/>
      <c r="D172" s="9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8"/>
      <c r="D173" s="9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8"/>
      <c r="D174" s="9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8"/>
      <c r="D175" s="9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8"/>
      <c r="D176" s="9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8"/>
      <c r="D177" s="9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8"/>
      <c r="D178" s="9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8"/>
      <c r="D179" s="9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8"/>
      <c r="D180" s="9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8"/>
      <c r="D181" s="9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8"/>
      <c r="D182" s="9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8"/>
      <c r="D183" s="9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8"/>
      <c r="D184" s="9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8"/>
      <c r="D185" s="9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8"/>
      <c r="D186" s="9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8"/>
      <c r="D187" s="9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8"/>
      <c r="D188" s="9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8"/>
      <c r="D189" s="9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8"/>
      <c r="D190" s="9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8"/>
      <c r="D191" s="9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8"/>
      <c r="D192" s="9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8"/>
      <c r="D193" s="9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8"/>
      <c r="D194" s="9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8"/>
      <c r="D195" s="9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8"/>
      <c r="D196" s="9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8"/>
      <c r="D197" s="9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8"/>
      <c r="D198" s="9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8"/>
      <c r="D199" s="9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8"/>
      <c r="D200" s="9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8"/>
      <c r="D201" s="9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6" x14ac:dyDescent="0.25">
      <c r="A202" s="8"/>
      <c r="D202" s="9"/>
      <c r="F202" s="4"/>
      <c r="G202" s="4"/>
      <c r="H202" s="4">
        <f>IF($G202="","",G202-F202)</f>
      </c>
      <c r="I202" s="4">
        <f>IF($G202="","",H202*16.67%)</f>
      </c>
      <c r="J202" s="4">
        <f>IF($G202="","",G202*7%)</f>
      </c>
      <c r="K202" s="4">
        <f>IF($G202="","",J202*20%)</f>
      </c>
      <c r="L202" s="4"/>
      <c r="M202" s="4">
        <f>IF($G202="","",L202*20%)</f>
      </c>
      <c r="N202" s="4">
        <v>1</v>
      </c>
      <c r="O202" s="4">
        <f>IF($G202="","",K202+M202)</f>
      </c>
      <c r="P202" s="4">
        <f>IF($G202="","",H202-I202-J202-K202-L202-M202-N202)</f>
      </c>
      <c r="Q202" s="4">
        <f>IF($G202="","",(P202-Y202)/F202*100)</f>
      </c>
      <c r="R202" s="4">
        <f>IF($G202="","",I202-O202)</f>
      </c>
      <c r="Z202" s="4">
        <f>IF($G202="","",P202-Y202)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IFERROR((P203-Y203)/F203*100,0)</f>
      </c>
      <c r="R203" s="14">
        <f>SUM(R2:R202)</f>
      </c>
      <c r="S203" s="7"/>
      <c r="T203" s="7"/>
      <c r="U203" s="7"/>
      <c r="V203" s="7"/>
      <c r="W203" s="7"/>
      <c r="X203" s="7"/>
      <c r="Y203" s="14">
        <f>SUM(Y2:Y202)</f>
      </c>
      <c r="Z203" s="14">
        <f>SUM(Z2:Z202)</f>
      </c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107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108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109</v>
      </c>
      <c r="F2" s="11" t="s">
        <v>59</v>
      </c>
      <c r="G2" s="11">
        <v>1</v>
      </c>
      <c r="H2" s="13">
        <v>3.2</v>
      </c>
      <c r="I2" s="13">
        <v>9.99</v>
      </c>
      <c r="J2" s="13">
        <v>0.8</v>
      </c>
      <c r="K2" s="15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110</v>
      </c>
      <c r="F3" t="s">
        <v>59</v>
      </c>
      <c r="G3">
        <v>3</v>
      </c>
      <c r="H3" s="4">
        <v>3.3</v>
      </c>
      <c r="I3" s="4">
        <v>17.97</v>
      </c>
      <c r="J3" s="4">
        <v>6.83</v>
      </c>
      <c r="K3" s="16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109</v>
      </c>
      <c r="F4" t="s">
        <v>59</v>
      </c>
      <c r="G4">
        <v>4</v>
      </c>
      <c r="H4" s="4">
        <v>12.8</v>
      </c>
      <c r="I4" s="4">
        <v>39.96</v>
      </c>
      <c r="J4" s="4">
        <v>15.21</v>
      </c>
      <c r="K4" s="16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111</v>
      </c>
      <c r="B1" t="s">
        <v>112</v>
      </c>
    </row>
    <row r="2" spans="1:2" x14ac:dyDescent="0.25">
      <c r="A2" s="7" t="s">
        <v>113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114</v>
      </c>
      <c r="B6" s="4">
        <v>73.2</v>
      </c>
    </row>
    <row r="7" spans="1:2" x14ac:dyDescent="0.25">
      <c r="A7" s="7" t="s">
        <v>115</v>
      </c>
      <c r="B7" s="4">
        <v>18.3</v>
      </c>
    </row>
    <row r="9" spans="1:2" x14ac:dyDescent="0.25">
      <c r="A9" s="7" t="s">
        <v>116</v>
      </c>
      <c r="B9" s="7" t="s">
        <v>117</v>
      </c>
    </row>
    <row r="10" spans="1:2" x14ac:dyDescent="0.25">
      <c r="A10" s="7" t="s">
        <v>13</v>
      </c>
      <c r="B10" t="s">
        <v>118</v>
      </c>
    </row>
    <row r="11" spans="1:2" x14ac:dyDescent="0.25">
      <c r="A11" s="7" t="s">
        <v>15</v>
      </c>
      <c r="B11" t="s">
        <v>119</v>
      </c>
    </row>
    <row r="13" spans="1:2" x14ac:dyDescent="0.25">
      <c r="A13" s="7" t="s">
        <v>120</v>
      </c>
      <c r="B13" t="s">
        <v>1</v>
      </c>
    </row>
    <row r="14" spans="1:2" x14ac:dyDescent="0.25">
      <c r="A14" t="s">
        <v>121</v>
      </c>
      <c r="B14" t="s">
        <v>122</v>
      </c>
    </row>
    <row r="15" spans="1:2" x14ac:dyDescent="0.25">
      <c r="A15" t="s">
        <v>71</v>
      </c>
      <c r="B15" t="s">
        <v>123</v>
      </c>
    </row>
    <row r="16" spans="1:2" x14ac:dyDescent="0.25">
      <c r="A16" t="s">
        <v>124</v>
      </c>
      <c r="B16" t="s">
        <v>125</v>
      </c>
    </row>
    <row r="18" spans="1:2" x14ac:dyDescent="0.25">
      <c r="A18" s="7" t="s">
        <v>126</v>
      </c>
      <c r="B18" t="s">
        <v>1</v>
      </c>
    </row>
    <row r="19" spans="1:2" x14ac:dyDescent="0.25">
      <c r="A19" t="s">
        <v>127</v>
      </c>
      <c r="B19" t="s">
        <v>128</v>
      </c>
    </row>
    <row r="20" spans="1:2" x14ac:dyDescent="0.25">
      <c r="A20" t="s">
        <v>129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49</v>
      </c>
      <c r="B1" t="s">
        <v>130</v>
      </c>
      <c r="C1" t="s">
        <v>48</v>
      </c>
      <c r="D1" t="s">
        <v>54</v>
      </c>
      <c r="E1" t="s">
        <v>55</v>
      </c>
      <c r="F1" t="s">
        <v>30</v>
      </c>
      <c r="G1" t="s">
        <v>131</v>
      </c>
      <c r="H1" t="s">
        <v>132</v>
      </c>
      <c r="I1" t="s">
        <v>4</v>
      </c>
      <c r="J1" t="s">
        <v>133</v>
      </c>
      <c r="K1" t="s">
        <v>50</v>
      </c>
      <c r="L1" t="s">
        <v>134</v>
      </c>
      <c r="M1" t="s">
        <v>47</v>
      </c>
      <c r="N1" t="s">
        <v>135</v>
      </c>
      <c r="O1" t="s">
        <v>52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136</v>
      </c>
      <c r="D2" s="11" t="s">
        <v>61</v>
      </c>
      <c r="E2" s="11" t="s">
        <v>62</v>
      </c>
      <c r="F2" s="11" t="s">
        <v>59</v>
      </c>
      <c r="G2" s="10">
        <v>46222.5</v>
      </c>
      <c r="H2" s="13">
        <v>605</v>
      </c>
      <c r="I2" s="11" t="s">
        <v>13</v>
      </c>
      <c r="J2" s="11" t="s">
        <v>137</v>
      </c>
      <c r="K2" s="11" t="s">
        <v>71</v>
      </c>
      <c r="L2" s="11" t="s">
        <v>138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139</v>
      </c>
      <c r="D3" s="11" t="s">
        <v>95</v>
      </c>
      <c r="E3" s="11" t="s">
        <v>62</v>
      </c>
      <c r="F3" s="11" t="s">
        <v>140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141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142</v>
      </c>
      <c r="D4" s="11" t="s">
        <v>78</v>
      </c>
      <c r="E4" s="11" t="s">
        <v>62</v>
      </c>
      <c r="F4" s="11" t="s">
        <v>59</v>
      </c>
      <c r="G4" s="10">
        <v>46218.5</v>
      </c>
      <c r="H4" s="13">
        <v>325</v>
      </c>
      <c r="I4" s="11" t="s">
        <v>13</v>
      </c>
      <c r="J4" s="11" t="s">
        <v>137</v>
      </c>
      <c r="K4" s="11" t="s">
        <v>65</v>
      </c>
      <c r="L4" s="11" t="s">
        <v>143</v>
      </c>
      <c r="M4" s="11" t="s">
        <v>144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109</v>
      </c>
      <c r="D5" s="11" t="s">
        <v>1</v>
      </c>
      <c r="E5" s="11" t="s">
        <v>1</v>
      </c>
      <c r="F5" s="11" t="s">
        <v>59</v>
      </c>
      <c r="G5" s="10">
        <v>46224.5</v>
      </c>
      <c r="H5" s="13">
        <v>9.99</v>
      </c>
      <c r="I5" s="11" t="s">
        <v>13</v>
      </c>
      <c r="J5" s="11" t="s">
        <v>145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130</v>
      </c>
      <c r="B1" t="s">
        <v>48</v>
      </c>
      <c r="C1" t="s">
        <v>146</v>
      </c>
      <c r="D1" t="s">
        <v>147</v>
      </c>
      <c r="E1" t="s">
        <v>148</v>
      </c>
      <c r="F1" t="s">
        <v>149</v>
      </c>
      <c r="G1" t="s">
        <v>47</v>
      </c>
    </row>
    <row r="2" spans="1:7" x14ac:dyDescent="0.25">
      <c r="A2" s="9" t="s">
        <v>75</v>
      </c>
      <c r="B2" t="s">
        <v>142</v>
      </c>
      <c r="C2" s="8">
        <v>46204.5</v>
      </c>
      <c r="D2" t="s">
        <v>150</v>
      </c>
      <c r="E2" t="s">
        <v>59</v>
      </c>
      <c r="F2" s="4">
        <v>200</v>
      </c>
      <c r="G2" t="s">
        <v>1</v>
      </c>
    </row>
    <row r="3" spans="1:7" x14ac:dyDescent="0.25">
      <c r="A3" s="9" t="s">
        <v>75</v>
      </c>
      <c r="B3" t="s">
        <v>142</v>
      </c>
      <c r="C3" s="8">
        <v>46218.5</v>
      </c>
      <c r="D3" t="s">
        <v>151</v>
      </c>
      <c r="E3" t="s">
        <v>152</v>
      </c>
      <c r="F3" s="4">
        <v>325</v>
      </c>
      <c r="G3" t="s">
        <v>1</v>
      </c>
    </row>
    <row r="4" spans="1:7" x14ac:dyDescent="0.25">
      <c r="A4" s="9" t="s">
        <v>75</v>
      </c>
      <c r="B4" t="s">
        <v>142</v>
      </c>
      <c r="C4" s="8">
        <v>46218.5</v>
      </c>
      <c r="D4" t="s">
        <v>151</v>
      </c>
      <c r="E4" t="s">
        <v>153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142</v>
      </c>
      <c r="C5" s="10">
        <v>46224.5</v>
      </c>
      <c r="D5" s="11" t="s">
        <v>154</v>
      </c>
      <c r="E5" s="11" t="s">
        <v>155</v>
      </c>
      <c r="F5" s="13">
        <v>-19.2</v>
      </c>
      <c r="G5" s="11" t="s">
        <v>144</v>
      </c>
    </row>
    <row r="6" spans="1:7" x14ac:dyDescent="0.25">
      <c r="A6" s="12" t="s">
        <v>75</v>
      </c>
      <c r="B6" s="11" t="s">
        <v>142</v>
      </c>
      <c r="C6" s="10">
        <v>46224.5</v>
      </c>
      <c r="D6" s="11" t="s">
        <v>154</v>
      </c>
      <c r="E6" s="11" t="s">
        <v>155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139</v>
      </c>
      <c r="C7" s="8">
        <v>46204.5</v>
      </c>
      <c r="D7" t="s">
        <v>150</v>
      </c>
      <c r="E7" t="s">
        <v>140</v>
      </c>
      <c r="F7" s="4">
        <v>200</v>
      </c>
      <c r="G7" t="s">
        <v>1</v>
      </c>
    </row>
    <row r="8" spans="1:7" x14ac:dyDescent="0.25">
      <c r="A8" s="9" t="s">
        <v>98</v>
      </c>
      <c r="B8" t="s">
        <v>139</v>
      </c>
      <c r="C8" s="8">
        <v>46219.5</v>
      </c>
      <c r="D8" t="s">
        <v>151</v>
      </c>
      <c r="E8" t="s">
        <v>156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139</v>
      </c>
      <c r="C9" s="10">
        <v>46225.5</v>
      </c>
      <c r="D9" s="11" t="s">
        <v>154</v>
      </c>
      <c r="E9" s="11" t="s">
        <v>157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139</v>
      </c>
      <c r="C10" s="8">
        <v>46225.5</v>
      </c>
      <c r="D10" t="s">
        <v>158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136</v>
      </c>
      <c r="C11" s="8">
        <v>46204.5</v>
      </c>
      <c r="D11" t="s">
        <v>150</v>
      </c>
      <c r="E11" t="s">
        <v>59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136</v>
      </c>
      <c r="C12" s="8">
        <v>46222.5</v>
      </c>
      <c r="D12" t="s">
        <v>151</v>
      </c>
      <c r="E12" t="s">
        <v>159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136</v>
      </c>
      <c r="C13" s="10">
        <v>46226.5</v>
      </c>
      <c r="D13" s="11" t="s">
        <v>154</v>
      </c>
      <c r="E13" s="11" t="s">
        <v>160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2026-08-06T15:26:02Z</dcterms:created>
  <dcterms:modified xsi:type="dcterms:W3CDTF">2026-08-06T15:26:02Z</dcterms:modified>
</cp:coreProperties>
</file>