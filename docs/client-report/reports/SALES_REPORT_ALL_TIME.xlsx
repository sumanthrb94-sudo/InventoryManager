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<sst xmlns="http://schemas.openxmlformats.org/spreadsheetml/2006/main" count="1052" uniqueCount="346">
  <si>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</si>
  <si>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</si>
  <si>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</si>
  <si>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</si>
  <si>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</si>
  <si>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</si>
  <si>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</si>
  <si>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</si>
  <si>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</si>
  <si>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</si>
  <si>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</si>
  <si>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</si>
  <si>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</si>
  <si>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</si>
  <si>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</si>
  <si>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</si>
  <si>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</si>
  <si>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</si>
  <si>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</si>
  <si>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</si>
  <si>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</si>
  <si>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</si>
  <si>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</si>
  <si>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</si>
  <si>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</si>
  <si>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</si>
  <si>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</si>
  <si>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</si>
  <si>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</si>
  <si>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</si>
  <si>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</si>
  <si>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</si>
  <si>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</si>
  <si>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</si>
  <si>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</si>
  <si>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</si>
  <si>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</si>
  <si>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</si>
  <si>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</si>
  <si>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</si>
  <si>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</si>
  <si>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</si>
  <si>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</si>
  <si>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</si>
  <si>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</si>
  <si>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</si>
  <si>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</si>
  <si>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</si>
  <si>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</si>
  <si>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</si>
  <si>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</si>
  <si>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</si>
  <si>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</si>
  <si>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</si>
  <si>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</si>
  <si>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AMA-SHS-1</t>
  </si>
  <si>
    <t>Apple iPhone 64GB</t>
  </si>
  <si>
    <t>350190000007777</t>
  </si>
  <si>
    <t>NORTHSIDE STOCK</t>
  </si>
  <si>
    <t>iPhone</t>
  </si>
  <si>
    <t>64GB</t>
  </si>
  <si>
    <t>Unspecified</t>
  </si>
  <si>
    <t>AMA-5095</t>
  </si>
  <si>
    <t>GOO GOO-128GB-BLU 128GB</t>
  </si>
  <si>
    <t>350100007879405</t>
  </si>
  <si>
    <t>MOBILE WHOLESALE LTD</t>
  </si>
  <si>
    <t>GOO-128GB-BLU</t>
  </si>
  <si>
    <t>128GB</t>
  </si>
  <si>
    <t>AMA-5070</t>
  </si>
  <si>
    <t>SAM SAM-256GB-GRA 256GB</t>
  </si>
  <si>
    <t>350100000554330</t>
  </si>
  <si>
    <t>CELLHUB TRADING</t>
  </si>
  <si>
    <t>SAM-256GB-GRA</t>
  </si>
  <si>
    <t>256GB</t>
  </si>
  <si>
    <t>GRAPHITE</t>
  </si>
  <si>
    <t>AMA-5045</t>
  </si>
  <si>
    <t>SAM SAM-128GB-MID 128GB</t>
  </si>
  <si>
    <t>350100000356355</t>
  </si>
  <si>
    <t>SAM-128GB-MID</t>
  </si>
  <si>
    <t>MIDNIGHT</t>
  </si>
  <si>
    <t>AMA-5020</t>
  </si>
  <si>
    <t>Apple iPhone 256GB</t>
  </si>
  <si>
    <t>350100000158380</t>
  </si>
  <si>
    <t>GREEN</t>
  </si>
  <si>
    <t>AMA-5090</t>
  </si>
  <si>
    <t>Apple iPhone 128GB</t>
  </si>
  <si>
    <t>350100007839810</t>
  </si>
  <si>
    <t>PHONEBOX DIRECT</t>
  </si>
  <si>
    <t>AMA-5065</t>
  </si>
  <si>
    <t>350100000514735</t>
  </si>
  <si>
    <t>WHITE</t>
  </si>
  <si>
    <t>AMA-5040</t>
  </si>
  <si>
    <t>350100000316760</t>
  </si>
  <si>
    <t>AMA-5015</t>
  </si>
  <si>
    <t>GOO GOO-128GB-BLA 128GB</t>
  </si>
  <si>
    <t>350100000118785</t>
  </si>
  <si>
    <t>GOO-128GB-BLA</t>
  </si>
  <si>
    <t>BLACK</t>
  </si>
  <si>
    <t>AMA-5085</t>
  </si>
  <si>
    <t>SAM SAM-128GB-GRA 128GB</t>
  </si>
  <si>
    <t>350100000673115</t>
  </si>
  <si>
    <t>SAM-128GB-GRA</t>
  </si>
  <si>
    <t>AMA-5060</t>
  </si>
  <si>
    <t>SAM SAM-128GB-WHI 128GB</t>
  </si>
  <si>
    <t>350100000483059</t>
  </si>
  <si>
    <t>SAM-128GB-WHI</t>
  </si>
  <si>
    <t>AMA-5035</t>
  </si>
  <si>
    <t>350100000277165</t>
  </si>
  <si>
    <t>AMA-5010</t>
  </si>
  <si>
    <t>350100000079190</t>
  </si>
  <si>
    <t>AMA-5080</t>
  </si>
  <si>
    <t>350100000633520</t>
  </si>
  <si>
    <t>AMA-5055</t>
  </si>
  <si>
    <t>GOO GOO-128GB-MID 128GB</t>
  </si>
  <si>
    <t>350100000435545</t>
  </si>
  <si>
    <t>GOO-128GB-MID</t>
  </si>
  <si>
    <t>AMA-5030</t>
  </si>
  <si>
    <t>350100000237570</t>
  </si>
  <si>
    <t>AMA-5005</t>
  </si>
  <si>
    <t>350100000039595</t>
  </si>
  <si>
    <t>AMA-5075</t>
  </si>
  <si>
    <t>350100000593925</t>
  </si>
  <si>
    <t>AMA-5050</t>
  </si>
  <si>
    <t>350100000395950</t>
  </si>
  <si>
    <t>BLUE</t>
  </si>
  <si>
    <t>AMA-5025</t>
  </si>
  <si>
    <t>350100000197975</t>
  </si>
  <si>
    <t>STARLIGHT</t>
  </si>
  <si>
    <t>AMA-5000</t>
  </si>
  <si>
    <t>350100000007919</t>
  </si>
  <si>
    <t>Customer Care Fees</t>
  </si>
  <si>
    <t>BM-5071</t>
  </si>
  <si>
    <t>350100000562249</t>
  </si>
  <si>
    <t>BM-5046</t>
  </si>
  <si>
    <t>SAM SAM-256GB-PUR 256GB</t>
  </si>
  <si>
    <t>350100000364274</t>
  </si>
  <si>
    <t>SAM-256GB-PUR</t>
  </si>
  <si>
    <t>PURPLE</t>
  </si>
  <si>
    <t>BM-5021</t>
  </si>
  <si>
    <t>SAM SAM-128GB-BLU 128GB</t>
  </si>
  <si>
    <t>350100000166299</t>
  </si>
  <si>
    <t>SAM-128GB-BLU</t>
  </si>
  <si>
    <t>BM-5091</t>
  </si>
  <si>
    <t>350100007847729</t>
  </si>
  <si>
    <t>BM-5066</t>
  </si>
  <si>
    <t>350100000522654</t>
  </si>
  <si>
    <t>BM-5041</t>
  </si>
  <si>
    <t>350100000324679</t>
  </si>
  <si>
    <t>BM-5016</t>
  </si>
  <si>
    <t>350100000126704</t>
  </si>
  <si>
    <t>BM-5086</t>
  </si>
  <si>
    <t>350100000681034</t>
  </si>
  <si>
    <t>BM-5061</t>
  </si>
  <si>
    <t>BM-5036</t>
  </si>
  <si>
    <t>SAM SAM-128GB-GRE 128GB</t>
  </si>
  <si>
    <t>350100000293003</t>
  </si>
  <si>
    <t>SAM-128GB-GRE</t>
  </si>
  <si>
    <t>BM-5011</t>
  </si>
  <si>
    <t>350100000087109</t>
  </si>
  <si>
    <t>BM-5081</t>
  </si>
  <si>
    <t>350100000641439</t>
  </si>
  <si>
    <t>BM-5056</t>
  </si>
  <si>
    <t>350100000443464</t>
  </si>
  <si>
    <t>BM-5031</t>
  </si>
  <si>
    <t>GOO GOO-128GB-GRE 128GB</t>
  </si>
  <si>
    <t>350100000245489</t>
  </si>
  <si>
    <t>GOO-128GB-GRE</t>
  </si>
  <si>
    <t>BM-5006</t>
  </si>
  <si>
    <t>SAM SAM-256GB-WHI 256GB</t>
  </si>
  <si>
    <t>350100000047514</t>
  </si>
  <si>
    <t>SAM-256GB-WHI</t>
  </si>
  <si>
    <t>BM-5076</t>
  </si>
  <si>
    <t>350100000601844</t>
  </si>
  <si>
    <t>BM-5051</t>
  </si>
  <si>
    <t>350100000403869</t>
  </si>
  <si>
    <t>BM-5026</t>
  </si>
  <si>
    <t>350100000205894</t>
  </si>
  <si>
    <t>BM-5001</t>
  </si>
  <si>
    <t>BM-5096</t>
  </si>
  <si>
    <t>350100007887324</t>
  </si>
  <si>
    <t>Units</t>
  </si>
  <si>
    <t>ROF</t>
  </si>
  <si>
    <t>FVF</t>
  </si>
  <si>
    <t>VAT</t>
  </si>
  <si>
    <t>T.COM</t>
  </si>
  <si>
    <t>Marketing</t>
  </si>
  <si>
    <t>M. VAT</t>
  </si>
  <si>
    <t>EBA-5047</t>
  </si>
  <si>
    <t>GOO GOO-128GB-GRA 128GB</t>
  </si>
  <si>
    <t>350100000372193</t>
  </si>
  <si>
    <t>GOO-128GB-GRA</t>
  </si>
  <si>
    <t>EBA-5022</t>
  </si>
  <si>
    <t>SAM SAM-256GB-MID 256GB</t>
  </si>
  <si>
    <t>350100000174218</t>
  </si>
  <si>
    <t>SAM-256GB-MID</t>
  </si>
  <si>
    <t>EBA-5092</t>
  </si>
  <si>
    <t>350100007855648</t>
  </si>
  <si>
    <t>EBA-5067</t>
  </si>
  <si>
    <t>350100000530573</t>
  </si>
  <si>
    <t>EBA-5042</t>
  </si>
  <si>
    <t>350100000332598</t>
  </si>
  <si>
    <t>EBA-5017</t>
  </si>
  <si>
    <t>350100000134623</t>
  </si>
  <si>
    <t>EBA-5087</t>
  </si>
  <si>
    <t>GOO GOO-128GB-STA 128GB</t>
  </si>
  <si>
    <t>350100000688953</t>
  </si>
  <si>
    <t>GOO-128GB-STA</t>
  </si>
  <si>
    <t>EBA-5062</t>
  </si>
  <si>
    <t>SAM SAM-256GB-BLU 256GB</t>
  </si>
  <si>
    <t>350100000490978</t>
  </si>
  <si>
    <t>SAM-256GB-BLU</t>
  </si>
  <si>
    <t>EBA-5037</t>
  </si>
  <si>
    <t>EBA-5012</t>
  </si>
  <si>
    <t>350100000102947</t>
  </si>
  <si>
    <t>EBA-5082</t>
  </si>
  <si>
    <t>350100000649358</t>
  </si>
  <si>
    <t>EBA-5057</t>
  </si>
  <si>
    <t>350100000451383</t>
  </si>
  <si>
    <t>EBA-5032</t>
  </si>
  <si>
    <t>350100000253408</t>
  </si>
  <si>
    <t>EBA-5007</t>
  </si>
  <si>
    <t>GOO GOO-128GB-WHI 128GB</t>
  </si>
  <si>
    <t>350100000055433</t>
  </si>
  <si>
    <t>GOO-128GB-WHI</t>
  </si>
  <si>
    <t>EBA-5077</t>
  </si>
  <si>
    <t>350100000609763</t>
  </si>
  <si>
    <t>EBA-5052</t>
  </si>
  <si>
    <t>350100000411788</t>
  </si>
  <si>
    <t>EBA-5027</t>
  </si>
  <si>
    <t>350100000213813</t>
  </si>
  <si>
    <t>EBA-5002</t>
  </si>
  <si>
    <t>350100000015838</t>
  </si>
  <si>
    <t>EBA-5097</t>
  </si>
  <si>
    <t>350100007895243</t>
  </si>
  <si>
    <t>EBA-5072</t>
  </si>
  <si>
    <t>350100000578087</t>
  </si>
  <si>
    <t>VAT 20%</t>
  </si>
  <si>
    <t>ONB-5023</t>
  </si>
  <si>
    <t>350100000182137</t>
  </si>
  <si>
    <t>ONB-5093</t>
  </si>
  <si>
    <t>350100007863567</t>
  </si>
  <si>
    <t>ONB-5068</t>
  </si>
  <si>
    <t>350100000538492</t>
  </si>
  <si>
    <t>ONB-5043</t>
  </si>
  <si>
    <t>350100000340517</t>
  </si>
  <si>
    <t>ONB-5018</t>
  </si>
  <si>
    <t>350100000142542</t>
  </si>
  <si>
    <t>ONB-5088</t>
  </si>
  <si>
    <t>350100000696872</t>
  </si>
  <si>
    <t>ONB-5063</t>
  </si>
  <si>
    <t>350100000498897</t>
  </si>
  <si>
    <t>ONB-5038</t>
  </si>
  <si>
    <t>350100000300922</t>
  </si>
  <si>
    <t>ONB-5013</t>
  </si>
  <si>
    <t>ONB-5083</t>
  </si>
  <si>
    <t>350100000657277</t>
  </si>
  <si>
    <t>ONB-5058</t>
  </si>
  <si>
    <t>350100000459302</t>
  </si>
  <si>
    <t>ONB-5033</t>
  </si>
  <si>
    <t>350100000261327</t>
  </si>
  <si>
    <t>ONB-5008</t>
  </si>
  <si>
    <t>350100000063352</t>
  </si>
  <si>
    <t>ONB-5078</t>
  </si>
  <si>
    <t>SAM SAM-256GB-GRE 256GB</t>
  </si>
  <si>
    <t>350100000617682</t>
  </si>
  <si>
    <t>SAM-256GB-GRE</t>
  </si>
  <si>
    <t>ONB-5053</t>
  </si>
  <si>
    <t>SAM SAM-128GB-STA 128GB</t>
  </si>
  <si>
    <t>350100000419707</t>
  </si>
  <si>
    <t>SAM-128GB-STA</t>
  </si>
  <si>
    <t>ONB-5028</t>
  </si>
  <si>
    <t>350100000221732</t>
  </si>
  <si>
    <t>ONB-5003</t>
  </si>
  <si>
    <t>350100000023757</t>
  </si>
  <si>
    <t>ONB-5098</t>
  </si>
  <si>
    <t>350100007903162</t>
  </si>
  <si>
    <t>ONB-5073</t>
  </si>
  <si>
    <t>ONB-5048</t>
  </si>
  <si>
    <t>350100000388031</t>
  </si>
  <si>
    <t>Commission VAT</t>
  </si>
  <si>
    <t>TEM-5094</t>
  </si>
  <si>
    <t>350100007871486</t>
  </si>
  <si>
    <t>TEM-5069</t>
  </si>
  <si>
    <t>350100000546411</t>
  </si>
  <si>
    <t>TEM-5044</t>
  </si>
  <si>
    <t>350100000348436</t>
  </si>
  <si>
    <t>TEM-5019</t>
  </si>
  <si>
    <t>350100000150461</t>
  </si>
  <si>
    <t>TEM-5089</t>
  </si>
  <si>
    <t>350100000704791</t>
  </si>
  <si>
    <t>TEM-5064</t>
  </si>
  <si>
    <t>350100000506816</t>
  </si>
  <si>
    <t>TEM-5039</t>
  </si>
  <si>
    <t>350100000308841</t>
  </si>
  <si>
    <t>TEM-5014</t>
  </si>
  <si>
    <t>350100000110866</t>
  </si>
  <si>
    <t>TEM-5084</t>
  </si>
  <si>
    <t>TEM-5059</t>
  </si>
  <si>
    <t>350100000467221</t>
  </si>
  <si>
    <t>TEM-5034</t>
  </si>
  <si>
    <t>350100000269246</t>
  </si>
  <si>
    <t>TEM-5009</t>
  </si>
  <si>
    <t>350100000071271</t>
  </si>
  <si>
    <t>TEM-5079</t>
  </si>
  <si>
    <t>350100000625601</t>
  </si>
  <si>
    <t>TEM-5054</t>
  </si>
  <si>
    <t>350100000427626</t>
  </si>
  <si>
    <t>TEM-5029</t>
  </si>
  <si>
    <t>350100000229651</t>
  </si>
  <si>
    <t>TEM-5004</t>
  </si>
  <si>
    <t>350100000031676</t>
  </si>
  <si>
    <t>TEM-5099</t>
  </si>
  <si>
    <t>350100007911081</t>
  </si>
  <si>
    <t>TEM-5074</t>
  </si>
  <si>
    <t>350100000586006</t>
  </si>
  <si>
    <t>TEM-5049</t>
  </si>
  <si>
    <t>TEM-5024</t>
  </si>
  <si>
    <t>Name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</si>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</sst>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21</v>
      </c>
      <c r="C5">
        <v>0</v>
      </c>
      <c r="D5">
        <v>0</v>
      </c>
      <c r="E5">
        <v>0</v>
      </c>
      <c r="F5" s="3">
        <v>1112.38</v>
      </c>
      <c r="G5" s="3">
        <v>0</v>
      </c>
      <c r="H5" s="3">
        <v>1112.38</v>
      </c>
      <c r="I5" s="3">
        <v>17.34</v>
      </c>
    </row>
    <row r="6" spans="1:9" x14ac:dyDescent="0.25">
      <c r="A6" t="s">
        <v>13</v>
      </c>
      <c r="B6">
        <v>20</v>
      </c>
      <c r="C6">
        <v>0</v>
      </c>
      <c r="D6">
        <v>0</v>
      </c>
      <c r="E6">
        <v>0</v>
      </c>
      <c r="F6" s="3">
        <v>756.76</v>
      </c>
      <c r="G6" s="3">
        <v>0</v>
      </c>
      <c r="H6" s="3">
        <v>756.76</v>
      </c>
      <c r="I6" s="3">
        <v>11.34</v>
      </c>
    </row>
    <row r="7" spans="1:9" x14ac:dyDescent="0.25">
      <c r="A7" t="s">
        <v>14</v>
      </c>
      <c r="B7">
        <v>20</v>
      </c>
      <c r="C7">
        <v>0</v>
      </c>
      <c r="D7">
        <v>0</v>
      </c>
      <c r="E7">
        <v>0</v>
      </c>
      <c r="F7" s="3">
        <v>1278.25</v>
      </c>
      <c r="G7" s="3">
        <v>0</v>
      </c>
      <c r="H7" s="3">
        <v>1278.25</v>
      </c>
      <c r="I7" s="3">
        <v>19.86</v>
      </c>
    </row>
    <row r="8" spans="1:9" x14ac:dyDescent="0.25">
      <c r="A8" t="s">
        <v>15</v>
      </c>
      <c r="B8">
        <v>20</v>
      </c>
      <c r="C8">
        <v>0</v>
      </c>
      <c r="D8">
        <v>0</v>
      </c>
      <c r="E8">
        <v>0</v>
      </c>
      <c r="F8" s="3">
        <v>1133.34</v>
      </c>
      <c r="G8" s="3">
        <v>0</v>
      </c>
      <c r="H8" s="3">
        <v>1133.34</v>
      </c>
      <c r="I8" s="3">
        <v>16.96</v>
      </c>
    </row>
    <row r="9" spans="1:9" x14ac:dyDescent="0.25">
      <c r="A9" t="s">
        <v>16</v>
      </c>
      <c r="B9">
        <v>20</v>
      </c>
      <c r="C9">
        <v>0</v>
      </c>
      <c r="D9">
        <v>0</v>
      </c>
      <c r="E9">
        <v>0</v>
      </c>
      <c r="F9" s="3">
        <v>1336.79</v>
      </c>
      <c r="G9" s="3">
        <v>0</v>
      </c>
      <c r="H9" s="3">
        <v>1336.79</v>
      </c>
      <c r="I9" s="3">
        <v>19.58</v>
      </c>
    </row>
    <row r="10" spans="1:9" s="4" customFormat="1" x14ac:dyDescent="0.25">
      <c r="A10" s="4" t="s">
        <v>17</v>
      </c>
      <c r="B10" s="4">
        <v>101</v>
      </c>
      <c r="C10" s="4">
        <v>0</v>
      </c>
      <c r="D10" s="4">
        <v>0</v>
      </c>
      <c r="E10" s="4">
        <v>0</v>
      </c>
      <c r="F10" s="5">
        <v>5617.52</v>
      </c>
      <c r="G10" s="5">
        <v>0</v>
      </c>
      <c r="H10" s="5">
        <v>5617.52</v>
      </c>
      <c r="I10" s="5">
        <v>17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46227.5</v>
      </c>
      <c r="B2" t="s">
        <v>55</v>
      </c>
      <c r="C2" t="s">
        <v>56</v>
      </c>
      <c r="D2" s="8" t="s">
        <v>57</v>
      </c>
      <c r="E2" t="s">
        <v>58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(S2-AB2)/G2*100</f>
      </c>
      <c r="U2" s="3">
        <f>J2-R2</f>
      </c>
      <c r="V2" t="s">
        <v>1</v>
      </c>
      <c r="W2" t="s">
        <v>59</v>
      </c>
      <c r="AC2" s="3">
        <f>S2-AB2</f>
      </c>
      <c r="AD2" t="s">
        <v>60</v>
      </c>
      <c r="AE2" t="s">
        <v>61</v>
      </c>
    </row>
    <row r="3" spans="1:31" x14ac:dyDescent="0.25">
      <c r="A3" s="7">
        <v>46227.5</v>
      </c>
      <c r="B3" t="s">
        <v>62</v>
      </c>
      <c r="C3" t="s">
        <v>63</v>
      </c>
      <c r="D3" s="8" t="s">
        <v>64</v>
      </c>
      <c r="E3" t="s">
        <v>65</v>
      </c>
      <c r="F3">
        <v>1</v>
      </c>
      <c r="G3" s="3">
        <v>293.74</v>
      </c>
      <c r="H3" s="3">
        <v>406.06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(S3-AB3)/G3*100</f>
      </c>
      <c r="U3" s="3">
        <f>J3-R3</f>
      </c>
      <c r="V3" t="s">
        <v>1</v>
      </c>
      <c r="W3" t="s">
        <v>66</v>
      </c>
      <c r="AC3" s="3">
        <f>S3-AB3</f>
      </c>
      <c r="AD3" t="s">
        <v>67</v>
      </c>
      <c r="AE3" t="s">
        <v>61</v>
      </c>
    </row>
    <row r="4" spans="1:31" x14ac:dyDescent="0.25">
      <c r="A4" s="7">
        <v>46226.5</v>
      </c>
      <c r="B4" t="s">
        <v>68</v>
      </c>
      <c r="C4" t="s">
        <v>69</v>
      </c>
      <c r="D4" s="8" t="s">
        <v>70</v>
      </c>
      <c r="E4" t="s">
        <v>71</v>
      </c>
      <c r="F4">
        <v>1</v>
      </c>
      <c r="G4" s="3">
        <v>451.39</v>
      </c>
      <c r="H4" s="3">
        <v>574.19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2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(S4-AB4)/G4*100</f>
      </c>
      <c r="U4" s="3">
        <f>J4-R4</f>
      </c>
      <c r="V4" t="s">
        <v>1</v>
      </c>
      <c r="W4" t="s">
        <v>72</v>
      </c>
      <c r="AC4" s="3">
        <f>S4-AB4</f>
      </c>
      <c r="AD4" t="s">
        <v>73</v>
      </c>
      <c r="AE4" t="s">
        <v>74</v>
      </c>
    </row>
    <row r="5" spans="1:31" x14ac:dyDescent="0.25">
      <c r="A5" s="7">
        <v>46225.5</v>
      </c>
      <c r="B5" t="s">
        <v>75</v>
      </c>
      <c r="C5" t="s">
        <v>76</v>
      </c>
      <c r="D5" s="8" t="s">
        <v>77</v>
      </c>
      <c r="E5" t="s">
        <v>71</v>
      </c>
      <c r="F5">
        <v>1</v>
      </c>
      <c r="G5" s="3">
        <v>237.5</v>
      </c>
      <c r="H5" s="3">
        <v>333.23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(S5-AB5)/G5*100</f>
      </c>
      <c r="U5" s="3">
        <f>J5-R5</f>
      </c>
      <c r="V5" t="s">
        <v>1</v>
      </c>
      <c r="W5" t="s">
        <v>78</v>
      </c>
      <c r="AC5" s="3">
        <f>S5-AB5</f>
      </c>
      <c r="AD5" t="s">
        <v>67</v>
      </c>
      <c r="AE5" t="s">
        <v>79</v>
      </c>
    </row>
    <row r="6" spans="1:31" x14ac:dyDescent="0.25">
      <c r="A6" s="7">
        <v>46224.5</v>
      </c>
      <c r="B6" t="s">
        <v>80</v>
      </c>
      <c r="C6" t="s">
        <v>81</v>
      </c>
      <c r="D6" s="8" t="s">
        <v>82</v>
      </c>
      <c r="E6" t="s">
        <v>71</v>
      </c>
      <c r="F6">
        <v>1</v>
      </c>
      <c r="G6" s="3">
        <v>469.17</v>
      </c>
      <c r="H6" s="3">
        <v>662.93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6.3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(S6-AB6)/G6*100</f>
      </c>
      <c r="U6" s="3">
        <f>J6-R6</f>
      </c>
      <c r="V6" t="s">
        <v>1</v>
      </c>
      <c r="W6" t="s">
        <v>59</v>
      </c>
      <c r="AC6" s="3">
        <f>S6-AB6</f>
      </c>
      <c r="AD6" t="s">
        <v>73</v>
      </c>
      <c r="AE6" t="s">
        <v>83</v>
      </c>
    </row>
    <row r="7" spans="1:31" x14ac:dyDescent="0.25">
      <c r="A7" s="7">
        <v>46222.5</v>
      </c>
      <c r="B7" t="s">
        <v>84</v>
      </c>
      <c r="C7" t="s">
        <v>85</v>
      </c>
      <c r="D7" s="8" t="s">
        <v>86</v>
      </c>
      <c r="E7" t="s">
        <v>87</v>
      </c>
      <c r="F7">
        <v>1</v>
      </c>
      <c r="G7" s="3">
        <v>335.04</v>
      </c>
      <c r="H7" s="3">
        <v>494.65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6.3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(S7-AB7)/G7*100</f>
      </c>
      <c r="U7" s="3">
        <f>J7-R7</f>
      </c>
      <c r="V7" t="s">
        <v>1</v>
      </c>
      <c r="W7" t="s">
        <v>59</v>
      </c>
      <c r="AC7" s="3">
        <f>S7-AB7</f>
      </c>
      <c r="AD7" t="s">
        <v>67</v>
      </c>
      <c r="AE7" t="s">
        <v>61</v>
      </c>
    </row>
    <row r="8" spans="1:31" x14ac:dyDescent="0.25">
      <c r="A8" s="7">
        <v>46221.5</v>
      </c>
      <c r="B8" t="s">
        <v>88</v>
      </c>
      <c r="C8" t="s">
        <v>85</v>
      </c>
      <c r="D8" s="8" t="s">
        <v>89</v>
      </c>
      <c r="E8" t="s">
        <v>87</v>
      </c>
      <c r="F8">
        <v>1</v>
      </c>
      <c r="G8" s="3">
        <v>222.24</v>
      </c>
      <c r="H8" s="3">
        <v>294.66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6.3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(S8-AB8)/G8*100</f>
      </c>
      <c r="U8" s="3">
        <f>J8-R8</f>
      </c>
      <c r="V8" t="s">
        <v>1</v>
      </c>
      <c r="W8" t="s">
        <v>59</v>
      </c>
      <c r="AC8" s="3">
        <f>S8-AB8</f>
      </c>
      <c r="AD8" t="s">
        <v>67</v>
      </c>
      <c r="AE8" t="s">
        <v>90</v>
      </c>
    </row>
    <row r="9" spans="1:31" x14ac:dyDescent="0.25">
      <c r="A9" s="7">
        <v>46220.5</v>
      </c>
      <c r="B9" t="s">
        <v>91</v>
      </c>
      <c r="C9" t="s">
        <v>56</v>
      </c>
      <c r="D9" s="8" t="s">
        <v>92</v>
      </c>
      <c r="E9" t="s">
        <v>65</v>
      </c>
      <c r="F9">
        <v>1</v>
      </c>
      <c r="G9" s="3">
        <v>192.93</v>
      </c>
      <c r="H9" s="3">
        <v>288.15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(S9-AB9)/G9*100</f>
      </c>
      <c r="U9" s="3">
        <f>J9-R9</f>
      </c>
      <c r="V9" t="s">
        <v>1</v>
      </c>
      <c r="W9" t="s">
        <v>59</v>
      </c>
      <c r="AC9" s="3">
        <f>S9-AB9</f>
      </c>
      <c r="AD9" t="s">
        <v>60</v>
      </c>
      <c r="AE9" t="s">
        <v>90</v>
      </c>
    </row>
    <row r="10" spans="1:31" x14ac:dyDescent="0.25">
      <c r="A10" s="7">
        <v>46219.5</v>
      </c>
      <c r="B10" t="s">
        <v>93</v>
      </c>
      <c r="C10" t="s">
        <v>94</v>
      </c>
      <c r="D10" s="8" t="s">
        <v>95</v>
      </c>
      <c r="E10" t="s">
        <v>87</v>
      </c>
      <c r="F10">
        <v>1</v>
      </c>
      <c r="G10" s="3">
        <v>280.37</v>
      </c>
      <c r="H10" s="3">
        <v>392.6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(S10-AB10)/G10*100</f>
      </c>
      <c r="U10" s="3">
        <f>J10-R10</f>
      </c>
      <c r="V10" t="s">
        <v>1</v>
      </c>
      <c r="W10" t="s">
        <v>96</v>
      </c>
      <c r="AC10" s="3">
        <f>S10-AB10</f>
      </c>
      <c r="AD10" t="s">
        <v>67</v>
      </c>
      <c r="AE10" t="s">
        <v>97</v>
      </c>
    </row>
    <row r="11" spans="1:31" x14ac:dyDescent="0.25">
      <c r="A11" s="7">
        <v>46217.5</v>
      </c>
      <c r="B11" t="s">
        <v>98</v>
      </c>
      <c r="C11" t="s">
        <v>99</v>
      </c>
      <c r="D11" s="8" t="s">
        <v>100</v>
      </c>
      <c r="E11" t="s">
        <v>58</v>
      </c>
      <c r="F11">
        <v>1</v>
      </c>
      <c r="G11" s="3">
        <v>246.21</v>
      </c>
      <c r="H11" s="3">
        <v>319.55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8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(S11-AB11)/G11*100</f>
      </c>
      <c r="U11" s="3">
        <f>J11-R11</f>
      </c>
      <c r="V11" t="s">
        <v>1</v>
      </c>
      <c r="W11" t="s">
        <v>101</v>
      </c>
      <c r="AC11" s="3">
        <f>S11-AB11</f>
      </c>
      <c r="AD11" t="s">
        <v>67</v>
      </c>
      <c r="AE11" t="s">
        <v>74</v>
      </c>
    </row>
    <row r="12" spans="1:31" x14ac:dyDescent="0.25">
      <c r="A12" s="7">
        <v>46216.5</v>
      </c>
      <c r="B12" t="s">
        <v>102</v>
      </c>
      <c r="C12" t="s">
        <v>103</v>
      </c>
      <c r="D12" s="8" t="s">
        <v>104</v>
      </c>
      <c r="E12" t="s">
        <v>65</v>
      </c>
      <c r="F12">
        <v>1</v>
      </c>
      <c r="G12" s="3">
        <v>250.16</v>
      </c>
      <c r="H12" s="3">
        <v>335.89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8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(S12-AB12)/G12*100</f>
      </c>
      <c r="U12" s="3">
        <f>J12-R12</f>
      </c>
      <c r="V12" t="s">
        <v>1</v>
      </c>
      <c r="W12" t="s">
        <v>105</v>
      </c>
      <c r="AC12" s="3">
        <f>S12-AB12</f>
      </c>
      <c r="AD12" t="s">
        <v>67</v>
      </c>
      <c r="AE12" t="s">
        <v>90</v>
      </c>
    </row>
    <row r="13" spans="1:31" x14ac:dyDescent="0.25">
      <c r="A13" s="7">
        <v>46215.5</v>
      </c>
      <c r="B13" t="s">
        <v>106</v>
      </c>
      <c r="C13" t="s">
        <v>81</v>
      </c>
      <c r="D13" s="8" t="s">
        <v>107</v>
      </c>
      <c r="E13" t="s">
        <v>71</v>
      </c>
      <c r="F13">
        <v>1</v>
      </c>
      <c r="G13" s="3">
        <v>495.98</v>
      </c>
      <c r="H13" s="3">
        <v>737.52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6.3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(S13-AB13)/G13*100</f>
      </c>
      <c r="U13" s="3">
        <f>J13-R13</f>
      </c>
      <c r="V13" t="s">
        <v>1</v>
      </c>
      <c r="W13" t="s">
        <v>59</v>
      </c>
      <c r="AC13" s="3">
        <f>S13-AB13</f>
      </c>
      <c r="AD13" t="s">
        <v>73</v>
      </c>
      <c r="AE13" t="s">
        <v>83</v>
      </c>
    </row>
    <row r="14" spans="1:31" x14ac:dyDescent="0.25">
      <c r="A14" s="7">
        <v>46214.5</v>
      </c>
      <c r="B14" t="s">
        <v>108</v>
      </c>
      <c r="C14" t="s">
        <v>85</v>
      </c>
      <c r="D14" s="8" t="s">
        <v>109</v>
      </c>
      <c r="E14" t="s">
        <v>87</v>
      </c>
      <c r="F14">
        <v>1</v>
      </c>
      <c r="G14" s="3">
        <v>311.8</v>
      </c>
      <c r="H14" s="3">
        <v>464.89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8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(S14-AB14)/G14*100</f>
      </c>
      <c r="U14" s="3">
        <f>J14-R14</f>
      </c>
      <c r="V14" t="s">
        <v>1</v>
      </c>
      <c r="W14" t="s">
        <v>59</v>
      </c>
      <c r="AC14" s="3">
        <f>S14-AB14</f>
      </c>
      <c r="AD14" t="s">
        <v>67</v>
      </c>
      <c r="AE14" t="s">
        <v>83</v>
      </c>
    </row>
    <row r="15" spans="1:31" x14ac:dyDescent="0.25">
      <c r="A15" s="7">
        <v>46212.5</v>
      </c>
      <c r="B15" t="s">
        <v>110</v>
      </c>
      <c r="C15" t="s">
        <v>56</v>
      </c>
      <c r="D15" s="8" t="s">
        <v>111</v>
      </c>
      <c r="E15" t="s">
        <v>65</v>
      </c>
      <c r="F15">
        <v>1</v>
      </c>
      <c r="G15" s="3">
        <v>190.34</v>
      </c>
      <c r="H15" s="3">
        <v>275.79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(S15-AB15)/G15*100</f>
      </c>
      <c r="U15" s="3">
        <f>J15-R15</f>
      </c>
      <c r="V15" t="s">
        <v>1</v>
      </c>
      <c r="W15" t="s">
        <v>59</v>
      </c>
      <c r="AC15" s="3">
        <f>S15-AB15</f>
      </c>
      <c r="AD15" t="s">
        <v>60</v>
      </c>
      <c r="AE15" t="s">
        <v>90</v>
      </c>
    </row>
    <row r="16" spans="1:31" x14ac:dyDescent="0.25">
      <c r="A16" s="7">
        <v>46211.5</v>
      </c>
      <c r="B16" t="s">
        <v>112</v>
      </c>
      <c r="C16" t="s">
        <v>113</v>
      </c>
      <c r="D16" s="8" t="s">
        <v>114</v>
      </c>
      <c r="E16" t="s">
        <v>65</v>
      </c>
      <c r="F16">
        <v>1</v>
      </c>
      <c r="G16" s="3">
        <v>267</v>
      </c>
      <c r="H16" s="3">
        <v>377.39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(S16-AB16)/G16*100</f>
      </c>
      <c r="U16" s="3">
        <f>J16-R16</f>
      </c>
      <c r="V16" t="s">
        <v>1</v>
      </c>
      <c r="W16" t="s">
        <v>115</v>
      </c>
      <c r="AC16" s="3">
        <f>S16-AB16</f>
      </c>
      <c r="AD16" t="s">
        <v>67</v>
      </c>
      <c r="AE16" t="s">
        <v>79</v>
      </c>
    </row>
    <row r="17" spans="1:31" x14ac:dyDescent="0.25">
      <c r="A17" s="7">
        <v>46210.5</v>
      </c>
      <c r="B17" t="s">
        <v>116</v>
      </c>
      <c r="C17" t="s">
        <v>69</v>
      </c>
      <c r="D17" s="8" t="s">
        <v>117</v>
      </c>
      <c r="E17" t="s">
        <v>65</v>
      </c>
      <c r="F17">
        <v>1</v>
      </c>
      <c r="G17" s="3">
        <v>418.34</v>
      </c>
      <c r="H17" s="3">
        <v>600.73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(S17-AB17)/G17*100</f>
      </c>
      <c r="U17" s="3">
        <f>J17-R17</f>
      </c>
      <c r="V17" t="s">
        <v>1</v>
      </c>
      <c r="W17" t="s">
        <v>72</v>
      </c>
      <c r="AC17" s="3">
        <f>S17-AB17</f>
      </c>
      <c r="AD17" t="s">
        <v>73</v>
      </c>
      <c r="AE17" t="s">
        <v>74</v>
      </c>
    </row>
    <row r="18" spans="1:31" x14ac:dyDescent="0.25">
      <c r="A18" s="7">
        <v>46209.5</v>
      </c>
      <c r="B18" t="s">
        <v>118</v>
      </c>
      <c r="C18" t="s">
        <v>76</v>
      </c>
      <c r="D18" s="8" t="s">
        <v>119</v>
      </c>
      <c r="E18" t="s">
        <v>58</v>
      </c>
      <c r="F18">
        <v>1</v>
      </c>
      <c r="G18" s="3">
        <v>261.54</v>
      </c>
      <c r="H18" s="3">
        <v>348.93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2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(S18-AB18)/G18*100</f>
      </c>
      <c r="U18" s="3">
        <f>J18-R18</f>
      </c>
      <c r="V18" t="s">
        <v>1</v>
      </c>
      <c r="W18" t="s">
        <v>78</v>
      </c>
      <c r="AC18" s="3">
        <f>S18-AB18</f>
      </c>
      <c r="AD18" t="s">
        <v>67</v>
      </c>
      <c r="AE18" t="s">
        <v>79</v>
      </c>
    </row>
    <row r="19" spans="1:31" x14ac:dyDescent="0.25">
      <c r="A19" s="7">
        <v>46207.5</v>
      </c>
      <c r="B19" t="s">
        <v>120</v>
      </c>
      <c r="C19" t="s">
        <v>81</v>
      </c>
      <c r="D19" s="8" t="s">
        <v>121</v>
      </c>
      <c r="E19" t="s">
        <v>58</v>
      </c>
      <c r="F19">
        <v>1</v>
      </c>
      <c r="G19" s="3">
        <v>501.14</v>
      </c>
      <c r="H19" s="3">
        <v>631.55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6.3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(S19-AB19)/G19*100</f>
      </c>
      <c r="U19" s="3">
        <f>J19-R19</f>
      </c>
      <c r="V19" t="s">
        <v>1</v>
      </c>
      <c r="W19" t="s">
        <v>59</v>
      </c>
      <c r="AC19" s="3">
        <f>S19-AB19</f>
      </c>
      <c r="AD19" t="s">
        <v>73</v>
      </c>
      <c r="AE19" t="s">
        <v>97</v>
      </c>
    </row>
    <row r="20" spans="1:31" x14ac:dyDescent="0.25">
      <c r="A20" s="7">
        <v>46206.5</v>
      </c>
      <c r="B20" t="s">
        <v>122</v>
      </c>
      <c r="C20" t="s">
        <v>85</v>
      </c>
      <c r="D20" s="8" t="s">
        <v>123</v>
      </c>
      <c r="E20" t="s">
        <v>87</v>
      </c>
      <c r="F20">
        <v>1</v>
      </c>
      <c r="G20" s="3">
        <v>316.67</v>
      </c>
      <c r="H20" s="3">
        <v>443.11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2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(S20-AB20)/G20*100</f>
      </c>
      <c r="U20" s="3">
        <f>J20-R20</f>
      </c>
      <c r="V20" t="s">
        <v>1</v>
      </c>
      <c r="W20" t="s">
        <v>59</v>
      </c>
      <c r="AC20" s="3">
        <f>S20-AB20</f>
      </c>
      <c r="AD20" t="s">
        <v>67</v>
      </c>
      <c r="AE20" t="s">
        <v>124</v>
      </c>
    </row>
    <row r="21" spans="1:31" x14ac:dyDescent="0.25">
      <c r="A21" s="7">
        <v>46205.5</v>
      </c>
      <c r="B21" t="s">
        <v>125</v>
      </c>
      <c r="C21" t="s">
        <v>85</v>
      </c>
      <c r="D21" s="8" t="s">
        <v>126</v>
      </c>
      <c r="E21" t="s">
        <v>87</v>
      </c>
      <c r="F21">
        <v>1</v>
      </c>
      <c r="G21" s="3">
        <v>233.36</v>
      </c>
      <c r="H21" s="3">
        <v>318.95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6.3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(S21-AB21)/G21*100</f>
      </c>
      <c r="U21" s="3">
        <f>J21-R21</f>
      </c>
      <c r="V21" t="s">
        <v>1</v>
      </c>
      <c r="W21" t="s">
        <v>59</v>
      </c>
      <c r="AC21" s="3">
        <f>S21-AB21</f>
      </c>
      <c r="AD21" t="s">
        <v>67</v>
      </c>
      <c r="AE21" t="s">
        <v>127</v>
      </c>
    </row>
    <row r="22" spans="1:31" x14ac:dyDescent="0.25">
      <c r="A22" s="7">
        <v>46204.5</v>
      </c>
      <c r="B22" t="s">
        <v>128</v>
      </c>
      <c r="C22" t="s">
        <v>85</v>
      </c>
      <c r="D22" s="8" t="s">
        <v>129</v>
      </c>
      <c r="E22" t="s">
        <v>87</v>
      </c>
      <c r="F22">
        <v>1</v>
      </c>
      <c r="G22" s="3">
        <v>234.13</v>
      </c>
      <c r="H22" s="3">
        <v>319.21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8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(S22-AB22)/G22*100</f>
      </c>
      <c r="U22" s="3">
        <f>J22-R22</f>
      </c>
      <c r="V22" t="s">
        <v>1</v>
      </c>
      <c r="W22" t="s">
        <v>59</v>
      </c>
      <c r="AC22" s="3">
        <f>S22-AB22</f>
      </c>
      <c r="AD22" t="s">
        <v>67</v>
      </c>
      <c r="AE22" t="s">
        <v>74</v>
      </c>
    </row>
    <row r="23" spans="1:31" s="6" customFormat="1" x14ac:dyDescent="0.25">
      <c r="A23" s="2" t="s">
        <v>17</v>
      </c>
      <c r="B23" s="6"/>
      <c r="C23" s="6"/>
      <c r="D23" s="6"/>
      <c r="E23" s="6"/>
      <c r="F23" s="9">
        <f>SUM(F2:F22)</f>
      </c>
      <c r="G23" s="9">
        <f>SUM(G2:G22)</f>
      </c>
      <c r="H23" s="9">
        <f>SUM(H2:H22)</f>
      </c>
      <c r="I23" s="9">
        <f>SUM(I2:I22)</f>
      </c>
      <c r="J23" s="9">
        <f>SUM(J2:J22)</f>
      </c>
      <c r="K23" s="9">
        <f>SUM(K2:K22)</f>
      </c>
      <c r="L23" s="9">
        <f>SUM(L2:L22)</f>
      </c>
      <c r="M23" s="9">
        <f>SUM(M2:M22)</f>
      </c>
      <c r="N23" s="9">
        <f>SUM(N2:N22)</f>
      </c>
      <c r="O23" s="9">
        <f>SUM(O2:O22)</f>
      </c>
      <c r="P23" s="9">
        <f>SUM(P2:P22)</f>
      </c>
      <c r="Q23" s="9">
        <f>SUM(Q2:Q22)</f>
      </c>
      <c r="R23" s="9">
        <f>SUM(R2:R22)</f>
      </c>
      <c r="S23" s="9">
        <f>SUM(S2:S22)</f>
      </c>
      <c r="T23" s="9">
        <f>IFERROR((S23-AB23)/G23*100,0)</f>
      </c>
      <c r="U23" s="9">
        <f>SUM(U2:U22)</f>
      </c>
      <c r="V23" s="6"/>
      <c r="W23" s="6"/>
      <c r="X23" s="6"/>
      <c r="Y23" s="6"/>
      <c r="Z23" s="6"/>
      <c r="AA23" s="6"/>
      <c r="AB23" s="9">
        <f>SUM(AB2:AB22)</f>
      </c>
      <c r="AC23" s="9">
        <f>SUM(AC2:AC22)</f>
      </c>
      <c r="AD23" s="6"/>
      <c r="AE2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2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130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  <row r="2" spans="1:28" x14ac:dyDescent="0.25">
      <c r="A2" s="7">
        <v>46227.5</v>
      </c>
      <c r="B2" t="s">
        <v>131</v>
      </c>
      <c r="C2" t="s">
        <v>63</v>
      </c>
      <c r="D2" s="8" t="s">
        <v>132</v>
      </c>
      <c r="E2" t="s">
        <v>87</v>
      </c>
      <c r="F2">
        <v>1</v>
      </c>
      <c r="G2" s="3">
        <v>264.82</v>
      </c>
      <c r="H2" s="3">
        <v>382.77</v>
      </c>
      <c r="I2" s="3">
        <f>H2-G2</f>
      </c>
      <c r="J2" s="3">
        <f>I2*16.67%</f>
      </c>
      <c r="K2" s="3">
        <f>H2/100*11</f>
      </c>
      <c r="L2" s="3">
        <v>8.99</v>
      </c>
      <c r="M2" s="3">
        <v>6.3</v>
      </c>
      <c r="N2" s="3">
        <f>M2*20%</f>
      </c>
      <c r="O2" s="3">
        <v>1</v>
      </c>
      <c r="P2" s="3">
        <f>I2-J2-K2-L2-M2-N2-O2</f>
      </c>
      <c r="Q2" s="3">
        <f>(P2-Y2)/G2*100</f>
      </c>
      <c r="R2" s="3">
        <f>J2-N2</f>
      </c>
      <c r="S2" t="s">
        <v>1</v>
      </c>
      <c r="T2" t="s">
        <v>66</v>
      </c>
      <c r="Z2" s="3">
        <f>P2-Y2</f>
      </c>
      <c r="AA2" t="s">
        <v>67</v>
      </c>
      <c r="AB2" t="s">
        <v>124</v>
      </c>
    </row>
    <row r="3" spans="1:28" x14ac:dyDescent="0.25">
      <c r="A3" s="7">
        <v>46226.5</v>
      </c>
      <c r="B3" t="s">
        <v>133</v>
      </c>
      <c r="C3" t="s">
        <v>134</v>
      </c>
      <c r="D3" s="8" t="s">
        <v>135</v>
      </c>
      <c r="E3" t="s">
        <v>65</v>
      </c>
      <c r="F3">
        <v>1</v>
      </c>
      <c r="G3" s="3">
        <v>453.75</v>
      </c>
      <c r="H3" s="3">
        <v>609.97</v>
      </c>
      <c r="I3" s="3">
        <f>H3-G3</f>
      </c>
      <c r="J3" s="3">
        <f>I3*16.67%</f>
      </c>
      <c r="K3" s="3">
        <f>H3/100*11</f>
      </c>
      <c r="L3" s="3">
        <v>8.99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(P3-Y3)/G3*100</f>
      </c>
      <c r="R3" s="3">
        <f>J3-N3</f>
      </c>
      <c r="S3" t="s">
        <v>1</v>
      </c>
      <c r="T3" t="s">
        <v>136</v>
      </c>
      <c r="Z3" s="3">
        <f>P3-Y3</f>
      </c>
      <c r="AA3" t="s">
        <v>73</v>
      </c>
      <c r="AB3" t="s">
        <v>137</v>
      </c>
    </row>
    <row r="4" spans="1:28" x14ac:dyDescent="0.25">
      <c r="A4" s="7">
        <v>46225.5</v>
      </c>
      <c r="B4" t="s">
        <v>138</v>
      </c>
      <c r="C4" t="s">
        <v>139</v>
      </c>
      <c r="D4" s="8" t="s">
        <v>140</v>
      </c>
      <c r="E4" t="s">
        <v>58</v>
      </c>
      <c r="F4">
        <v>1</v>
      </c>
      <c r="G4" s="3">
        <v>246.31</v>
      </c>
      <c r="H4" s="3">
        <v>323.35</v>
      </c>
      <c r="I4" s="3">
        <f>H4-G4</f>
      </c>
      <c r="J4" s="3">
        <f>I4*16.67%</f>
      </c>
      <c r="K4" s="3">
        <f>H4/100*11</f>
      </c>
      <c r="L4" s="3">
        <v>8.99</v>
      </c>
      <c r="M4" s="3">
        <v>8</v>
      </c>
      <c r="N4" s="3">
        <f>M4*20%</f>
      </c>
      <c r="O4" s="3">
        <v>1</v>
      </c>
      <c r="P4" s="3">
        <f>I4-J4-K4-L4-M4-N4-O4</f>
      </c>
      <c r="Q4" s="3">
        <f>(P4-Y4)/G4*100</f>
      </c>
      <c r="R4" s="3">
        <f>J4-N4</f>
      </c>
      <c r="S4" t="s">
        <v>1</v>
      </c>
      <c r="T4" t="s">
        <v>141</v>
      </c>
      <c r="Z4" s="3">
        <f>P4-Y4</f>
      </c>
      <c r="AA4" t="s">
        <v>67</v>
      </c>
      <c r="AB4" t="s">
        <v>124</v>
      </c>
    </row>
    <row r="5" spans="1:28" x14ac:dyDescent="0.25">
      <c r="A5" s="7">
        <v>46223.5</v>
      </c>
      <c r="B5" t="s">
        <v>142</v>
      </c>
      <c r="C5" t="s">
        <v>81</v>
      </c>
      <c r="D5" s="8" t="s">
        <v>143</v>
      </c>
      <c r="E5" t="s">
        <v>58</v>
      </c>
      <c r="F5">
        <v>1</v>
      </c>
      <c r="G5" s="3">
        <v>530.25</v>
      </c>
      <c r="H5" s="3">
        <v>746.88</v>
      </c>
      <c r="I5" s="3">
        <f>H5-G5</f>
      </c>
      <c r="J5" s="3">
        <f>I5*16.67%</f>
      </c>
      <c r="K5" s="3">
        <f>H5/100*11</f>
      </c>
      <c r="L5" s="3">
        <v>8.99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(P5-Y5)/G5*100</f>
      </c>
      <c r="R5" s="3">
        <f>J5-N5</f>
      </c>
      <c r="S5" t="s">
        <v>1</v>
      </c>
      <c r="T5" t="s">
        <v>59</v>
      </c>
      <c r="Z5" s="3">
        <f>P5-Y5</f>
      </c>
      <c r="AA5" t="s">
        <v>73</v>
      </c>
      <c r="AB5" t="s">
        <v>61</v>
      </c>
    </row>
    <row r="6" spans="1:28" x14ac:dyDescent="0.25">
      <c r="A6" s="7">
        <v>46222.5</v>
      </c>
      <c r="B6" t="s">
        <v>144</v>
      </c>
      <c r="C6" t="s">
        <v>85</v>
      </c>
      <c r="D6" s="8" t="s">
        <v>145</v>
      </c>
      <c r="E6" t="s">
        <v>71</v>
      </c>
      <c r="F6">
        <v>1</v>
      </c>
      <c r="G6" s="3">
        <v>337.53</v>
      </c>
      <c r="H6" s="3">
        <v>453.07</v>
      </c>
      <c r="I6" s="3">
        <f>H6-G6</f>
      </c>
      <c r="J6" s="3">
        <f>I6*16.67%</f>
      </c>
      <c r="K6" s="3">
        <f>H6/100*11</f>
      </c>
      <c r="L6" s="3">
        <v>8.99</v>
      </c>
      <c r="M6" s="3">
        <v>2</v>
      </c>
      <c r="N6" s="3">
        <f>M6*20%</f>
      </c>
      <c r="O6" s="3">
        <v>1</v>
      </c>
      <c r="P6" s="3">
        <f>I6-J6-K6-L6-M6-N6-O6</f>
      </c>
      <c r="Q6" s="3">
        <f>(P6-Y6)/G6*100</f>
      </c>
      <c r="R6" s="3">
        <f>J6-N6</f>
      </c>
      <c r="S6" t="s">
        <v>1</v>
      </c>
      <c r="T6" t="s">
        <v>59</v>
      </c>
      <c r="Z6" s="3">
        <f>P6-Y6</f>
      </c>
      <c r="AA6" t="s">
        <v>67</v>
      </c>
      <c r="AB6" t="s">
        <v>97</v>
      </c>
    </row>
    <row r="7" spans="1:28" x14ac:dyDescent="0.25">
      <c r="A7" s="7">
        <v>46221.5</v>
      </c>
      <c r="B7" t="s">
        <v>146</v>
      </c>
      <c r="C7" t="s">
        <v>85</v>
      </c>
      <c r="D7" s="8" t="s">
        <v>147</v>
      </c>
      <c r="E7" t="s">
        <v>87</v>
      </c>
      <c r="F7">
        <v>1</v>
      </c>
      <c r="G7" s="3">
        <v>232.24</v>
      </c>
      <c r="H7" s="3">
        <v>310.64</v>
      </c>
      <c r="I7" s="3">
        <f>H7-G7</f>
      </c>
      <c r="J7" s="3">
        <f>I7*16.67%</f>
      </c>
      <c r="K7" s="3">
        <f>H7/100*11</f>
      </c>
      <c r="L7" s="3">
        <v>8.99</v>
      </c>
      <c r="M7" s="3">
        <v>2</v>
      </c>
      <c r="N7" s="3">
        <f>M7*20%</f>
      </c>
      <c r="O7" s="3">
        <v>1</v>
      </c>
      <c r="P7" s="3">
        <f>I7-J7-K7-L7-M7-N7-O7</f>
      </c>
      <c r="Q7" s="3">
        <f>(P7-Y7)/G7*100</f>
      </c>
      <c r="R7" s="3">
        <f>J7-N7</f>
      </c>
      <c r="S7" t="s">
        <v>1</v>
      </c>
      <c r="T7" t="s">
        <v>59</v>
      </c>
      <c r="Z7" s="3">
        <f>P7-Y7</f>
      </c>
      <c r="AA7" t="s">
        <v>67</v>
      </c>
      <c r="AB7" t="s">
        <v>79</v>
      </c>
    </row>
    <row r="8" spans="1:28" x14ac:dyDescent="0.25">
      <c r="A8" s="7">
        <v>46220.5</v>
      </c>
      <c r="B8" t="s">
        <v>148</v>
      </c>
      <c r="C8" t="s">
        <v>56</v>
      </c>
      <c r="D8" s="8" t="s">
        <v>149</v>
      </c>
      <c r="E8" t="s">
        <v>65</v>
      </c>
      <c r="F8">
        <v>1</v>
      </c>
      <c r="G8" s="3">
        <v>212.15</v>
      </c>
      <c r="H8" s="3">
        <v>302.32</v>
      </c>
      <c r="I8" s="3">
        <f>H8-G8</f>
      </c>
      <c r="J8" s="3">
        <f>I8*16.67%</f>
      </c>
      <c r="K8" s="3">
        <f>H8/100*11</f>
      </c>
      <c r="L8" s="3">
        <v>8.99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(P8-Y8)/G8*100</f>
      </c>
      <c r="R8" s="3">
        <f>J8-N8</f>
      </c>
      <c r="S8" t="s">
        <v>1</v>
      </c>
      <c r="T8" t="s">
        <v>59</v>
      </c>
      <c r="Z8" s="3">
        <f>P8-Y8</f>
      </c>
      <c r="AA8" t="s">
        <v>60</v>
      </c>
      <c r="AB8" t="s">
        <v>79</v>
      </c>
    </row>
    <row r="9" spans="1:28" x14ac:dyDescent="0.25">
      <c r="A9" s="7">
        <v>46218.5</v>
      </c>
      <c r="B9" t="s">
        <v>150</v>
      </c>
      <c r="C9" t="s">
        <v>69</v>
      </c>
      <c r="D9" s="8" t="s">
        <v>151</v>
      </c>
      <c r="E9" t="s">
        <v>65</v>
      </c>
      <c r="F9">
        <v>1</v>
      </c>
      <c r="G9" s="3">
        <v>413.46</v>
      </c>
      <c r="H9" s="3">
        <v>533.81</v>
      </c>
      <c r="I9" s="3">
        <f>H9-G9</f>
      </c>
      <c r="J9" s="3">
        <f>I9*16.67%</f>
      </c>
      <c r="K9" s="3">
        <f>H9/100*11</f>
      </c>
      <c r="L9" s="3">
        <v>8.99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(P9-Y9)/G9*100</f>
      </c>
      <c r="R9" s="3">
        <f>J9-N9</f>
      </c>
      <c r="S9" t="s">
        <v>1</v>
      </c>
      <c r="T9" t="s">
        <v>72</v>
      </c>
      <c r="Z9" s="3">
        <f>P9-Y9</f>
      </c>
      <c r="AA9" t="s">
        <v>73</v>
      </c>
      <c r="AB9" t="s">
        <v>74</v>
      </c>
    </row>
    <row r="10" spans="1:28" x14ac:dyDescent="0.25">
      <c r="A10" s="7">
        <v>46217.5</v>
      </c>
      <c r="B10" t="s">
        <v>152</v>
      </c>
      <c r="C10" t="s">
        <v>103</v>
      </c>
      <c r="D10" s="8" t="s">
        <v>104</v>
      </c>
      <c r="E10" t="s">
        <v>65</v>
      </c>
      <c r="F10">
        <v>1</v>
      </c>
      <c r="G10" s="3">
        <v>250.16</v>
      </c>
      <c r="H10" s="3">
        <v>352.23</v>
      </c>
      <c r="I10" s="3">
        <f>H10-G10</f>
      </c>
      <c r="J10" s="3">
        <f>I10*16.67%</f>
      </c>
      <c r="K10" s="3">
        <f>H10/100*11</f>
      </c>
      <c r="L10" s="3">
        <v>8.99</v>
      </c>
      <c r="M10" s="3">
        <v>8</v>
      </c>
      <c r="N10" s="3">
        <f>M10*20%</f>
      </c>
      <c r="O10" s="3">
        <v>1</v>
      </c>
      <c r="P10" s="3">
        <f>I10-J10-K10-L10-M10-N10-O10</f>
      </c>
      <c r="Q10" s="3">
        <f>(P10-Y10)/G10*100</f>
      </c>
      <c r="R10" s="3">
        <f>J10-N10</f>
      </c>
      <c r="S10" t="s">
        <v>1</v>
      </c>
      <c r="T10" t="s">
        <v>105</v>
      </c>
      <c r="Z10" s="3">
        <f>P10-Y10</f>
      </c>
      <c r="AA10" t="s">
        <v>67</v>
      </c>
      <c r="AB10" t="s">
        <v>90</v>
      </c>
    </row>
    <row r="11" spans="1:28" x14ac:dyDescent="0.25">
      <c r="A11" s="7">
        <v>46216.5</v>
      </c>
      <c r="B11" t="s">
        <v>153</v>
      </c>
      <c r="C11" t="s">
        <v>154</v>
      </c>
      <c r="D11" s="8" t="s">
        <v>155</v>
      </c>
      <c r="E11" t="s">
        <v>65</v>
      </c>
      <c r="F11">
        <v>1</v>
      </c>
      <c r="G11" s="3">
        <v>262.94</v>
      </c>
      <c r="H11" s="3">
        <v>388.08</v>
      </c>
      <c r="I11" s="3">
        <f>H11-G11</f>
      </c>
      <c r="J11" s="3">
        <f>I11*16.67%</f>
      </c>
      <c r="K11" s="3">
        <f>H11/100*11</f>
      </c>
      <c r="L11" s="3">
        <v>8.99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(P11-Y11)/G11*100</f>
      </c>
      <c r="R11" s="3">
        <f>J11-N11</f>
      </c>
      <c r="S11" t="s">
        <v>1</v>
      </c>
      <c r="T11" t="s">
        <v>156</v>
      </c>
      <c r="Z11" s="3">
        <f>P11-Y11</f>
      </c>
      <c r="AA11" t="s">
        <v>67</v>
      </c>
      <c r="AB11" t="s">
        <v>83</v>
      </c>
    </row>
    <row r="12" spans="1:28" x14ac:dyDescent="0.25">
      <c r="A12" s="7">
        <v>46215.5</v>
      </c>
      <c r="B12" t="s">
        <v>157</v>
      </c>
      <c r="C12" t="s">
        <v>81</v>
      </c>
      <c r="D12" s="8" t="s">
        <v>158</v>
      </c>
      <c r="E12" t="s">
        <v>65</v>
      </c>
      <c r="F12">
        <v>1</v>
      </c>
      <c r="G12" s="3">
        <v>514.23</v>
      </c>
      <c r="H12" s="3">
        <v>704.32</v>
      </c>
      <c r="I12" s="3">
        <f>H12-G12</f>
      </c>
      <c r="J12" s="3">
        <f>I12*16.67%</f>
      </c>
      <c r="K12" s="3">
        <f>H12/100*11</f>
      </c>
      <c r="L12" s="3">
        <v>8.99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(P12-Y12)/G12*100</f>
      </c>
      <c r="R12" s="3">
        <f>J12-N12</f>
      </c>
      <c r="S12" t="s">
        <v>1</v>
      </c>
      <c r="T12" t="s">
        <v>59</v>
      </c>
      <c r="Z12" s="3">
        <f>P12-Y12</f>
      </c>
      <c r="AA12" t="s">
        <v>73</v>
      </c>
      <c r="AB12" t="s">
        <v>97</v>
      </c>
    </row>
    <row r="13" spans="1:28" x14ac:dyDescent="0.25">
      <c r="A13" s="7">
        <v>46213.5</v>
      </c>
      <c r="B13" t="s">
        <v>159</v>
      </c>
      <c r="C13" t="s">
        <v>85</v>
      </c>
      <c r="D13" s="8" t="s">
        <v>160</v>
      </c>
      <c r="E13" t="s">
        <v>87</v>
      </c>
      <c r="F13">
        <v>1</v>
      </c>
      <c r="G13" s="3">
        <v>231.07</v>
      </c>
      <c r="H13" s="3">
        <v>317.79</v>
      </c>
      <c r="I13" s="3">
        <f>H13-G13</f>
      </c>
      <c r="J13" s="3">
        <f>I13*16.67%</f>
      </c>
      <c r="K13" s="3">
        <f>H13/100*11</f>
      </c>
      <c r="L13" s="3">
        <v>8.99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(P13-Y13)/G13*100</f>
      </c>
      <c r="R13" s="3">
        <f>J13-N13</f>
      </c>
      <c r="S13" t="s">
        <v>1</v>
      </c>
      <c r="T13" t="s">
        <v>59</v>
      </c>
      <c r="Z13" s="3">
        <f>P13-Y13</f>
      </c>
      <c r="AA13" t="s">
        <v>67</v>
      </c>
      <c r="AB13" t="s">
        <v>137</v>
      </c>
    </row>
    <row r="14" spans="1:28" x14ac:dyDescent="0.25">
      <c r="A14" s="7">
        <v>46212.5</v>
      </c>
      <c r="B14" t="s">
        <v>161</v>
      </c>
      <c r="C14" t="s">
        <v>56</v>
      </c>
      <c r="D14" s="8" t="s">
        <v>162</v>
      </c>
      <c r="E14" t="s">
        <v>65</v>
      </c>
      <c r="F14">
        <v>1</v>
      </c>
      <c r="G14" s="3">
        <v>194.75</v>
      </c>
      <c r="H14" s="3">
        <v>250.75</v>
      </c>
      <c r="I14" s="3">
        <f>H14-G14</f>
      </c>
      <c r="J14" s="3">
        <f>I14*16.67%</f>
      </c>
      <c r="K14" s="3">
        <f>H14/100*11</f>
      </c>
      <c r="L14" s="3">
        <v>8.99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(P14-Y14)/G14*100</f>
      </c>
      <c r="R14" s="3">
        <f>J14-N14</f>
      </c>
      <c r="S14" t="s">
        <v>1</v>
      </c>
      <c r="T14" t="s">
        <v>59</v>
      </c>
      <c r="Z14" s="3">
        <f>P14-Y14</f>
      </c>
      <c r="AA14" t="s">
        <v>60</v>
      </c>
      <c r="AB14" t="s">
        <v>79</v>
      </c>
    </row>
    <row r="15" spans="1:28" x14ac:dyDescent="0.25">
      <c r="A15" s="7">
        <v>46211.5</v>
      </c>
      <c r="B15" t="s">
        <v>163</v>
      </c>
      <c r="C15" t="s">
        <v>164</v>
      </c>
      <c r="D15" s="8" t="s">
        <v>165</v>
      </c>
      <c r="E15" t="s">
        <v>65</v>
      </c>
      <c r="F15">
        <v>1</v>
      </c>
      <c r="G15" s="3">
        <v>290.37</v>
      </c>
      <c r="H15" s="3">
        <v>415.64</v>
      </c>
      <c r="I15" s="3">
        <f>H15-G15</f>
      </c>
      <c r="J15" s="3">
        <f>I15*16.67%</f>
      </c>
      <c r="K15" s="3">
        <f>H15/100*11</f>
      </c>
      <c r="L15" s="3">
        <v>8.99</v>
      </c>
      <c r="M15" s="3">
        <v>8</v>
      </c>
      <c r="N15" s="3">
        <f>M15*20%</f>
      </c>
      <c r="O15" s="3">
        <v>1</v>
      </c>
      <c r="P15" s="3">
        <f>I15-J15-K15-L15-M15-N15-O15</f>
      </c>
      <c r="Q15" s="3">
        <f>(P15-Y15)/G15*100</f>
      </c>
      <c r="R15" s="3">
        <f>J15-N15</f>
      </c>
      <c r="S15" t="s">
        <v>1</v>
      </c>
      <c r="T15" t="s">
        <v>166</v>
      </c>
      <c r="Z15" s="3">
        <f>P15-Y15</f>
      </c>
      <c r="AA15" t="s">
        <v>67</v>
      </c>
      <c r="AB15" t="s">
        <v>83</v>
      </c>
    </row>
    <row r="16" spans="1:28" x14ac:dyDescent="0.25">
      <c r="A16" s="7">
        <v>46210.5</v>
      </c>
      <c r="B16" t="s">
        <v>167</v>
      </c>
      <c r="C16" t="s">
        <v>168</v>
      </c>
      <c r="D16" s="8" t="s">
        <v>169</v>
      </c>
      <c r="E16" t="s">
        <v>87</v>
      </c>
      <c r="F16">
        <v>1</v>
      </c>
      <c r="G16" s="3">
        <v>446.53</v>
      </c>
      <c r="H16" s="3">
        <v>643.55</v>
      </c>
      <c r="I16" s="3">
        <f>H16-G16</f>
      </c>
      <c r="J16" s="3">
        <f>I16*16.67%</f>
      </c>
      <c r="K16" s="3">
        <f>H16/100*11</f>
      </c>
      <c r="L16" s="3">
        <v>8.99</v>
      </c>
      <c r="M16" s="3">
        <v>6.3</v>
      </c>
      <c r="N16" s="3">
        <f>M16*20%</f>
      </c>
      <c r="O16" s="3">
        <v>1</v>
      </c>
      <c r="P16" s="3">
        <f>I16-J16-K16-L16-M16-N16-O16</f>
      </c>
      <c r="Q16" s="3">
        <f>(P16-Y16)/G16*100</f>
      </c>
      <c r="R16" s="3">
        <f>J16-N16</f>
      </c>
      <c r="S16" t="s">
        <v>1</v>
      </c>
      <c r="T16" t="s">
        <v>170</v>
      </c>
      <c r="Z16" s="3">
        <f>P16-Y16</f>
      </c>
      <c r="AA16" t="s">
        <v>73</v>
      </c>
      <c r="AB16" t="s">
        <v>90</v>
      </c>
    </row>
    <row r="17" spans="1:28" x14ac:dyDescent="0.25">
      <c r="A17" s="7">
        <v>46208.5</v>
      </c>
      <c r="B17" t="s">
        <v>171</v>
      </c>
      <c r="C17" t="s">
        <v>81</v>
      </c>
      <c r="D17" s="8" t="s">
        <v>172</v>
      </c>
      <c r="E17" t="s">
        <v>65</v>
      </c>
      <c r="F17">
        <v>1</v>
      </c>
      <c r="G17" s="3">
        <v>476.5</v>
      </c>
      <c r="H17" s="3">
        <v>605.3</v>
      </c>
      <c r="I17" s="3">
        <f>H17-G17</f>
      </c>
      <c r="J17" s="3">
        <f>I17*16.67%</f>
      </c>
      <c r="K17" s="3">
        <f>H17/100*11</f>
      </c>
      <c r="L17" s="3">
        <v>8.99</v>
      </c>
      <c r="M17" s="3">
        <v>8</v>
      </c>
      <c r="N17" s="3">
        <f>M17*20%</f>
      </c>
      <c r="O17" s="3">
        <v>1</v>
      </c>
      <c r="P17" s="3">
        <f>I17-J17-K17-L17-M17-N17-O17</f>
      </c>
      <c r="Q17" s="3">
        <f>(P17-Y17)/G17*100</f>
      </c>
      <c r="R17" s="3">
        <f>J17-N17</f>
      </c>
      <c r="S17" t="s">
        <v>1</v>
      </c>
      <c r="T17" t="s">
        <v>59</v>
      </c>
      <c r="Z17" s="3">
        <f>P17-Y17</f>
      </c>
      <c r="AA17" t="s">
        <v>73</v>
      </c>
      <c r="AB17" t="s">
        <v>127</v>
      </c>
    </row>
    <row r="18" spans="1:28" x14ac:dyDescent="0.25">
      <c r="A18" s="7">
        <v>46207.5</v>
      </c>
      <c r="B18" t="s">
        <v>173</v>
      </c>
      <c r="C18" t="s">
        <v>81</v>
      </c>
      <c r="D18" s="8" t="s">
        <v>174</v>
      </c>
      <c r="E18" t="s">
        <v>87</v>
      </c>
      <c r="F18">
        <v>1</v>
      </c>
      <c r="G18" s="3">
        <v>533.2</v>
      </c>
      <c r="H18" s="3">
        <v>791.22</v>
      </c>
      <c r="I18" s="3">
        <f>H18-G18</f>
      </c>
      <c r="J18" s="3">
        <f>I18*16.67%</f>
      </c>
      <c r="K18" s="3">
        <f>H18/100*11</f>
      </c>
      <c r="L18" s="3">
        <v>8.99</v>
      </c>
      <c r="M18" s="3">
        <v>8</v>
      </c>
      <c r="N18" s="3">
        <f>M18*20%</f>
      </c>
      <c r="O18" s="3">
        <v>1</v>
      </c>
      <c r="P18" s="3">
        <f>I18-J18-K18-L18-M18-N18-O18</f>
      </c>
      <c r="Q18" s="3">
        <f>(P18-Y18)/G18*100</f>
      </c>
      <c r="R18" s="3">
        <f>J18-N18</f>
      </c>
      <c r="S18" t="s">
        <v>1</v>
      </c>
      <c r="T18" t="s">
        <v>59</v>
      </c>
      <c r="Z18" s="3">
        <f>P18-Y18</f>
      </c>
      <c r="AA18" t="s">
        <v>73</v>
      </c>
      <c r="AB18" t="s">
        <v>83</v>
      </c>
    </row>
    <row r="19" spans="1:28" x14ac:dyDescent="0.25">
      <c r="A19" s="7">
        <v>46206.5</v>
      </c>
      <c r="B19" t="s">
        <v>175</v>
      </c>
      <c r="C19" t="s">
        <v>85</v>
      </c>
      <c r="D19" s="8" t="s">
        <v>176</v>
      </c>
      <c r="E19" t="s">
        <v>87</v>
      </c>
      <c r="F19">
        <v>1</v>
      </c>
      <c r="G19" s="3">
        <v>325.88</v>
      </c>
      <c r="H19" s="3">
        <v>448.08</v>
      </c>
      <c r="I19" s="3">
        <f>H19-G19</f>
      </c>
      <c r="J19" s="3">
        <f>I19*16.67%</f>
      </c>
      <c r="K19" s="3">
        <f>H19/100*11</f>
      </c>
      <c r="L19" s="3">
        <v>8.99</v>
      </c>
      <c r="M19" s="3">
        <v>6.3</v>
      </c>
      <c r="N19" s="3">
        <f>M19*20%</f>
      </c>
      <c r="O19" s="3">
        <v>1</v>
      </c>
      <c r="P19" s="3">
        <f>I19-J19-K19-L19-M19-N19-O19</f>
      </c>
      <c r="Q19" s="3">
        <f>(P19-Y19)/G19*100</f>
      </c>
      <c r="R19" s="3">
        <f>J19-N19</f>
      </c>
      <c r="S19" t="s">
        <v>1</v>
      </c>
      <c r="T19" t="s">
        <v>59</v>
      </c>
      <c r="Z19" s="3">
        <f>P19-Y19</f>
      </c>
      <c r="AA19" t="s">
        <v>67</v>
      </c>
      <c r="AB19" t="s">
        <v>137</v>
      </c>
    </row>
    <row r="20" spans="1:28" x14ac:dyDescent="0.25">
      <c r="A20" s="7">
        <v>46205.5</v>
      </c>
      <c r="B20" t="s">
        <v>177</v>
      </c>
      <c r="C20" t="s">
        <v>85</v>
      </c>
      <c r="D20" s="8" t="s">
        <v>129</v>
      </c>
      <c r="E20" t="s">
        <v>87</v>
      </c>
      <c r="F20">
        <v>1</v>
      </c>
      <c r="G20" s="3">
        <v>234.13</v>
      </c>
      <c r="H20" s="3">
        <v>346.91</v>
      </c>
      <c r="I20" s="3">
        <f>H20-G20</f>
      </c>
      <c r="J20" s="3">
        <f>I20*16.67%</f>
      </c>
      <c r="K20" s="3">
        <f>H20/100*11</f>
      </c>
      <c r="L20" s="3">
        <v>8.99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(P20-Y20)/G20*100</f>
      </c>
      <c r="R20" s="3">
        <f>J20-N20</f>
      </c>
      <c r="S20" t="s">
        <v>1</v>
      </c>
      <c r="T20" t="s">
        <v>59</v>
      </c>
      <c r="Z20" s="3">
        <f>P20-Y20</f>
      </c>
      <c r="AA20" t="s">
        <v>67</v>
      </c>
      <c r="AB20" t="s">
        <v>74</v>
      </c>
    </row>
    <row r="21" spans="1:28" x14ac:dyDescent="0.25">
      <c r="A21" s="7">
        <v>46204.5</v>
      </c>
      <c r="B21" t="s">
        <v>178</v>
      </c>
      <c r="C21" t="s">
        <v>85</v>
      </c>
      <c r="D21" s="8" t="s">
        <v>179</v>
      </c>
      <c r="E21" t="s">
        <v>87</v>
      </c>
      <c r="F21">
        <v>1</v>
      </c>
      <c r="G21" s="3">
        <v>223.04</v>
      </c>
      <c r="H21" s="3">
        <v>298.35</v>
      </c>
      <c r="I21" s="3">
        <f>H21-G21</f>
      </c>
      <c r="J21" s="3">
        <f>I21*16.67%</f>
      </c>
      <c r="K21" s="3">
        <f>H21/100*11</f>
      </c>
      <c r="L21" s="3">
        <v>8.99</v>
      </c>
      <c r="M21" s="3">
        <v>6.3</v>
      </c>
      <c r="N21" s="3">
        <f>M21*20%</f>
      </c>
      <c r="O21" s="3">
        <v>1</v>
      </c>
      <c r="P21" s="3">
        <f>I21-J21-K21-L21-M21-N21-O21</f>
      </c>
      <c r="Q21" s="3">
        <f>(P21-Y21)/G21*100</f>
      </c>
      <c r="R21" s="3">
        <f>J21-N21</f>
      </c>
      <c r="S21" t="s">
        <v>1</v>
      </c>
      <c r="T21" t="s">
        <v>59</v>
      </c>
      <c r="Z21" s="3">
        <f>P21-Y21</f>
      </c>
      <c r="AA21" t="s">
        <v>67</v>
      </c>
      <c r="AB21" t="s">
        <v>61</v>
      </c>
    </row>
    <row r="22" spans="1:28" s="6" customFormat="1" x14ac:dyDescent="0.25">
      <c r="A22" s="2" t="s">
        <v>17</v>
      </c>
      <c r="B22" s="6"/>
      <c r="C22" s="6"/>
      <c r="D22" s="6"/>
      <c r="E22" s="6"/>
      <c r="F22" s="9">
        <f>SUM(F2:F21)</f>
      </c>
      <c r="G22" s="9">
        <f>SUM(G2:G21)</f>
      </c>
      <c r="H22" s="9">
        <f>SUM(H2:H21)</f>
      </c>
      <c r="I22" s="9">
        <f>SUM(I2:I21)</f>
      </c>
      <c r="J22" s="9">
        <f>SUM(J2:J21)</f>
      </c>
      <c r="K22" s="9">
        <f>SUM(K2:K21)</f>
      </c>
      <c r="L22" s="9">
        <f>SUM(L2:L21)</f>
      </c>
      <c r="M22" s="9">
        <f>SUM(M2:M21)</f>
      </c>
      <c r="N22" s="9">
        <f>SUM(N2:N21)</f>
      </c>
      <c r="O22" s="9">
        <f>SUM(O2:O21)</f>
      </c>
      <c r="P22" s="9">
        <f>SUM(P2:P21)</f>
      </c>
      <c r="Q22" s="9">
        <f>IFERROR((P22-Y22)/G22*100,0)</f>
      </c>
      <c r="R22" s="9">
        <f>SUM(R2:R21)</f>
      </c>
      <c r="S22" s="6"/>
      <c r="T22" s="6"/>
      <c r="U22" s="6"/>
      <c r="V22" s="6"/>
      <c r="W22" s="6"/>
      <c r="X22" s="6"/>
      <c r="Y22" s="9">
        <f>SUM(Y2:Y21)</f>
      </c>
      <c r="Z22" s="9">
        <f>SUM(Z2:Z21)</f>
      </c>
      <c r="AA22" s="6"/>
      <c r="AB22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2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180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181</v>
      </c>
      <c r="M1" t="s">
        <v>182</v>
      </c>
      <c r="N1" t="s">
        <v>183</v>
      </c>
      <c r="O1" t="s">
        <v>184</v>
      </c>
      <c r="P1" t="s">
        <v>39</v>
      </c>
      <c r="Q1" t="s">
        <v>40</v>
      </c>
      <c r="R1" t="s">
        <v>185</v>
      </c>
      <c r="S1" t="s">
        <v>186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  <row r="2" spans="1:34" x14ac:dyDescent="0.25">
      <c r="A2" s="7">
        <v>46227.5</v>
      </c>
      <c r="B2" t="s">
        <v>187</v>
      </c>
      <c r="C2" t="s">
        <v>188</v>
      </c>
      <c r="D2" s="8" t="s">
        <v>189</v>
      </c>
      <c r="E2" t="s">
        <v>71</v>
      </c>
      <c r="F2">
        <v>1</v>
      </c>
      <c r="G2" s="3">
        <v>256.93</v>
      </c>
      <c r="H2" s="3">
        <v>344.13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8</v>
      </c>
      <c r="Q2" s="3">
        <v>0</v>
      </c>
      <c r="R2" s="3">
        <v>0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(V2-AE2)/H2*100</f>
      </c>
      <c r="X2" s="3">
        <f>J2-U2</f>
      </c>
      <c r="Y2" t="s">
        <v>1</v>
      </c>
      <c r="Z2" t="s">
        <v>190</v>
      </c>
      <c r="AF2" s="3">
        <f>V2-AE2</f>
      </c>
      <c r="AG2" t="s">
        <v>67</v>
      </c>
      <c r="AH2" t="s">
        <v>74</v>
      </c>
    </row>
    <row r="3" spans="1:34" x14ac:dyDescent="0.25">
      <c r="A3" s="7">
        <v>46226.5</v>
      </c>
      <c r="B3" t="s">
        <v>191</v>
      </c>
      <c r="C3" t="s">
        <v>192</v>
      </c>
      <c r="D3" s="8" t="s">
        <v>193</v>
      </c>
      <c r="E3" t="s">
        <v>71</v>
      </c>
      <c r="F3">
        <v>1</v>
      </c>
      <c r="G3" s="3">
        <v>449.53</v>
      </c>
      <c r="H3" s="3">
        <v>632.67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8</v>
      </c>
      <c r="Q3" s="3">
        <v>0</v>
      </c>
      <c r="R3" s="3">
        <v>0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(V3-AE3)/H3*100</f>
      </c>
      <c r="X3" s="3">
        <f>J3-U3</f>
      </c>
      <c r="Y3" t="s">
        <v>1</v>
      </c>
      <c r="Z3" t="s">
        <v>194</v>
      </c>
      <c r="AF3" s="3">
        <f>V3-AE3</f>
      </c>
      <c r="AG3" t="s">
        <v>73</v>
      </c>
      <c r="AH3" t="s">
        <v>79</v>
      </c>
    </row>
    <row r="4" spans="1:34" x14ac:dyDescent="0.25">
      <c r="A4" s="7">
        <v>46224.5</v>
      </c>
      <c r="B4" t="s">
        <v>195</v>
      </c>
      <c r="C4" t="s">
        <v>81</v>
      </c>
      <c r="D4" s="8" t="s">
        <v>196</v>
      </c>
      <c r="E4" t="s">
        <v>87</v>
      </c>
      <c r="F4">
        <v>1</v>
      </c>
      <c r="G4" s="3">
        <v>462.92</v>
      </c>
      <c r="H4" s="3">
        <v>686.89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v>0</v>
      </c>
      <c r="R4" s="3">
        <v>0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(V4-AE4)/H4*100</f>
      </c>
      <c r="X4" s="3">
        <f>J4-U4</f>
      </c>
      <c r="Y4" t="s">
        <v>1</v>
      </c>
      <c r="Z4" t="s">
        <v>59</v>
      </c>
      <c r="AF4" s="3">
        <f>V4-AE4</f>
      </c>
      <c r="AG4" t="s">
        <v>73</v>
      </c>
      <c r="AH4" t="s">
        <v>61</v>
      </c>
    </row>
    <row r="5" spans="1:34" x14ac:dyDescent="0.25">
      <c r="A5" s="7">
        <v>46223.5</v>
      </c>
      <c r="B5" t="s">
        <v>197</v>
      </c>
      <c r="C5" t="s">
        <v>81</v>
      </c>
      <c r="D5" s="8" t="s">
        <v>198</v>
      </c>
      <c r="E5" t="s">
        <v>71</v>
      </c>
      <c r="F5">
        <v>1</v>
      </c>
      <c r="G5" s="3">
        <v>500.16</v>
      </c>
      <c r="H5" s="3">
        <v>745.1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v>0</v>
      </c>
      <c r="R5" s="3">
        <v>0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(V5-AE5)/H5*100</f>
      </c>
      <c r="X5" s="3">
        <f>J5-U5</f>
      </c>
      <c r="Y5" t="s">
        <v>1</v>
      </c>
      <c r="Z5" t="s">
        <v>59</v>
      </c>
      <c r="AF5" s="3">
        <f>V5-AE5</f>
      </c>
      <c r="AG5" t="s">
        <v>73</v>
      </c>
      <c r="AH5" t="s">
        <v>74</v>
      </c>
    </row>
    <row r="6" spans="1:34" x14ac:dyDescent="0.25">
      <c r="A6" s="7">
        <v>46222.5</v>
      </c>
      <c r="B6" t="s">
        <v>199</v>
      </c>
      <c r="C6" t="s">
        <v>85</v>
      </c>
      <c r="D6" s="8" t="s">
        <v>200</v>
      </c>
      <c r="E6" t="s">
        <v>58</v>
      </c>
      <c r="F6">
        <v>1</v>
      </c>
      <c r="G6" s="3">
        <v>334.64</v>
      </c>
      <c r="H6" s="3">
        <v>432.05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2</v>
      </c>
      <c r="Q6" s="3">
        <v>0</v>
      </c>
      <c r="R6" s="3">
        <v>0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(V6-AE6)/H6*100</f>
      </c>
      <c r="X6" s="3">
        <f>J6-U6</f>
      </c>
      <c r="Y6" t="s">
        <v>1</v>
      </c>
      <c r="Z6" t="s">
        <v>59</v>
      </c>
      <c r="AF6" s="3">
        <f>V6-AE6</f>
      </c>
      <c r="AG6" t="s">
        <v>67</v>
      </c>
      <c r="AH6" t="s">
        <v>90</v>
      </c>
    </row>
    <row r="7" spans="1:34" x14ac:dyDescent="0.25">
      <c r="A7" s="7">
        <v>46221.5</v>
      </c>
      <c r="B7" t="s">
        <v>201</v>
      </c>
      <c r="C7" t="s">
        <v>85</v>
      </c>
      <c r="D7" s="8" t="s">
        <v>202</v>
      </c>
      <c r="E7" t="s">
        <v>71</v>
      </c>
      <c r="F7">
        <v>1</v>
      </c>
      <c r="G7" s="3">
        <v>219.35</v>
      </c>
      <c r="H7" s="3">
        <v>322.18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v>0</v>
      </c>
      <c r="R7" s="3">
        <v>0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(V7-AE7)/H7*100</f>
      </c>
      <c r="X7" s="3">
        <f>J7-U7</f>
      </c>
      <c r="Y7" t="s">
        <v>1</v>
      </c>
      <c r="Z7" t="s">
        <v>59</v>
      </c>
      <c r="AF7" s="3">
        <f>V7-AE7</f>
      </c>
      <c r="AG7" t="s">
        <v>67</v>
      </c>
      <c r="AH7" t="s">
        <v>74</v>
      </c>
    </row>
    <row r="8" spans="1:34" x14ac:dyDescent="0.25">
      <c r="A8" s="7">
        <v>46219.5</v>
      </c>
      <c r="B8" t="s">
        <v>203</v>
      </c>
      <c r="C8" t="s">
        <v>204</v>
      </c>
      <c r="D8" s="8" t="s">
        <v>205</v>
      </c>
      <c r="E8" t="s">
        <v>87</v>
      </c>
      <c r="F8">
        <v>1</v>
      </c>
      <c r="G8" s="3">
        <v>275.49</v>
      </c>
      <c r="H8" s="3">
        <v>405.63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8</v>
      </c>
      <c r="Q8" s="3">
        <v>0</v>
      </c>
      <c r="R8" s="3">
        <v>0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(V8-AE8)/H8*100</f>
      </c>
      <c r="X8" s="3">
        <f>J8-U8</f>
      </c>
      <c r="Y8" t="s">
        <v>1</v>
      </c>
      <c r="Z8" t="s">
        <v>206</v>
      </c>
      <c r="AF8" s="3">
        <f>V8-AE8</f>
      </c>
      <c r="AG8" t="s">
        <v>67</v>
      </c>
      <c r="AH8" t="s">
        <v>127</v>
      </c>
    </row>
    <row r="9" spans="1:34" x14ac:dyDescent="0.25">
      <c r="A9" s="7">
        <v>46218.5</v>
      </c>
      <c r="B9" t="s">
        <v>207</v>
      </c>
      <c r="C9" t="s">
        <v>208</v>
      </c>
      <c r="D9" s="8" t="s">
        <v>209</v>
      </c>
      <c r="E9" t="s">
        <v>71</v>
      </c>
      <c r="F9">
        <v>1</v>
      </c>
      <c r="G9" s="3">
        <v>431.55</v>
      </c>
      <c r="H9" s="3">
        <v>555.17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v>0</v>
      </c>
      <c r="R9" s="3">
        <v>0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(V9-AE9)/H9*100</f>
      </c>
      <c r="X9" s="3">
        <f>J9-U9</f>
      </c>
      <c r="Y9" t="s">
        <v>1</v>
      </c>
      <c r="Z9" t="s">
        <v>210</v>
      </c>
      <c r="AF9" s="3">
        <f>V9-AE9</f>
      </c>
      <c r="AG9" t="s">
        <v>73</v>
      </c>
      <c r="AH9" t="s">
        <v>124</v>
      </c>
    </row>
    <row r="10" spans="1:34" x14ac:dyDescent="0.25">
      <c r="A10" s="7">
        <v>46217.5</v>
      </c>
      <c r="B10" t="s">
        <v>211</v>
      </c>
      <c r="C10" t="s">
        <v>154</v>
      </c>
      <c r="D10" s="8" t="s">
        <v>155</v>
      </c>
      <c r="E10" t="s">
        <v>65</v>
      </c>
      <c r="F10">
        <v>1</v>
      </c>
      <c r="G10" s="3">
        <v>262.94</v>
      </c>
      <c r="H10" s="3">
        <v>393.16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2</v>
      </c>
      <c r="Q10" s="3">
        <v>0</v>
      </c>
      <c r="R10" s="3">
        <v>0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(V10-AE10)/H10*100</f>
      </c>
      <c r="X10" s="3">
        <f>J10-U10</f>
      </c>
      <c r="Y10" t="s">
        <v>1</v>
      </c>
      <c r="Z10" t="s">
        <v>156</v>
      </c>
      <c r="AF10" s="3">
        <f>V10-AE10</f>
      </c>
      <c r="AG10" t="s">
        <v>67</v>
      </c>
      <c r="AH10" t="s">
        <v>83</v>
      </c>
    </row>
    <row r="11" spans="1:34" x14ac:dyDescent="0.25">
      <c r="A11" s="7">
        <v>46216.5</v>
      </c>
      <c r="B11" t="s">
        <v>212</v>
      </c>
      <c r="C11" t="s">
        <v>139</v>
      </c>
      <c r="D11" s="8" t="s">
        <v>213</v>
      </c>
      <c r="E11" t="s">
        <v>65</v>
      </c>
      <c r="F11">
        <v>1</v>
      </c>
      <c r="G11" s="3">
        <v>230.57</v>
      </c>
      <c r="H11" s="3">
        <v>319.34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v>0</v>
      </c>
      <c r="R11" s="3">
        <v>0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(V11-AE11)/H11*100</f>
      </c>
      <c r="X11" s="3">
        <f>J11-U11</f>
      </c>
      <c r="Y11" t="s">
        <v>1</v>
      </c>
      <c r="Z11" t="s">
        <v>141</v>
      </c>
      <c r="AF11" s="3">
        <f>V11-AE11</f>
      </c>
      <c r="AG11" t="s">
        <v>67</v>
      </c>
      <c r="AH11" t="s">
        <v>124</v>
      </c>
    </row>
    <row r="12" spans="1:34" x14ac:dyDescent="0.25">
      <c r="A12" s="7">
        <v>46214.5</v>
      </c>
      <c r="B12" t="s">
        <v>214</v>
      </c>
      <c r="C12" t="s">
        <v>85</v>
      </c>
      <c r="D12" s="8" t="s">
        <v>215</v>
      </c>
      <c r="E12" t="s">
        <v>87</v>
      </c>
      <c r="F12">
        <v>1</v>
      </c>
      <c r="G12" s="3">
        <v>315.22</v>
      </c>
      <c r="H12" s="3">
        <v>397.26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v>0</v>
      </c>
      <c r="R12" s="3">
        <v>0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(V12-AE12)/H12*100</f>
      </c>
      <c r="X12" s="3">
        <f>J12-U12</f>
      </c>
      <c r="Y12" t="s">
        <v>1</v>
      </c>
      <c r="Z12" t="s">
        <v>59</v>
      </c>
      <c r="AF12" s="3">
        <f>V12-AE12</f>
      </c>
      <c r="AG12" t="s">
        <v>67</v>
      </c>
      <c r="AH12" t="s">
        <v>79</v>
      </c>
    </row>
    <row r="13" spans="1:34" x14ac:dyDescent="0.25">
      <c r="A13" s="7">
        <v>46213.5</v>
      </c>
      <c r="B13" t="s">
        <v>216</v>
      </c>
      <c r="C13" t="s">
        <v>85</v>
      </c>
      <c r="D13" s="8" t="s">
        <v>217</v>
      </c>
      <c r="E13" t="s">
        <v>87</v>
      </c>
      <c r="F13">
        <v>1</v>
      </c>
      <c r="G13" s="3">
        <v>218.51</v>
      </c>
      <c r="H13" s="3">
        <v>303.91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v>0</v>
      </c>
      <c r="R13" s="3">
        <v>0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(V13-AE13)/H13*100</f>
      </c>
      <c r="X13" s="3">
        <f>J13-U13</f>
      </c>
      <c r="Y13" t="s">
        <v>1</v>
      </c>
      <c r="Z13" t="s">
        <v>59</v>
      </c>
      <c r="AF13" s="3">
        <f>V13-AE13</f>
      </c>
      <c r="AG13" t="s">
        <v>67</v>
      </c>
      <c r="AH13" t="s">
        <v>97</v>
      </c>
    </row>
    <row r="14" spans="1:34" x14ac:dyDescent="0.25">
      <c r="A14" s="7">
        <v>46212.5</v>
      </c>
      <c r="B14" t="s">
        <v>218</v>
      </c>
      <c r="C14" t="s">
        <v>56</v>
      </c>
      <c r="D14" s="8" t="s">
        <v>219</v>
      </c>
      <c r="E14" t="s">
        <v>87</v>
      </c>
      <c r="F14">
        <v>1</v>
      </c>
      <c r="G14" s="3">
        <v>196.32</v>
      </c>
      <c r="H14" s="3">
        <v>281.67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v>0</v>
      </c>
      <c r="R14" s="3">
        <v>0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(V14-AE14)/H14*100</f>
      </c>
      <c r="X14" s="3">
        <f>J14-U14</f>
      </c>
      <c r="Y14" t="s">
        <v>1</v>
      </c>
      <c r="Z14" t="s">
        <v>59</v>
      </c>
      <c r="AF14" s="3">
        <f>V14-AE14</f>
      </c>
      <c r="AG14" t="s">
        <v>60</v>
      </c>
      <c r="AH14" t="s">
        <v>83</v>
      </c>
    </row>
    <row r="15" spans="1:34" x14ac:dyDescent="0.25">
      <c r="A15" s="7">
        <v>46211.5</v>
      </c>
      <c r="B15" t="s">
        <v>220</v>
      </c>
      <c r="C15" t="s">
        <v>221</v>
      </c>
      <c r="D15" s="8" t="s">
        <v>222</v>
      </c>
      <c r="E15" t="s">
        <v>71</v>
      </c>
      <c r="F15">
        <v>1</v>
      </c>
      <c r="G15" s="3">
        <v>260.29</v>
      </c>
      <c r="H15" s="3">
        <v>371.44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v>0</v>
      </c>
      <c r="R15" s="3">
        <v>0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(V15-AE15)/H15*100</f>
      </c>
      <c r="X15" s="3">
        <f>J15-U15</f>
      </c>
      <c r="Y15" t="s">
        <v>1</v>
      </c>
      <c r="Z15" t="s">
        <v>223</v>
      </c>
      <c r="AF15" s="3">
        <f>V15-AE15</f>
      </c>
      <c r="AG15" t="s">
        <v>67</v>
      </c>
      <c r="AH15" t="s">
        <v>90</v>
      </c>
    </row>
    <row r="16" spans="1:34" x14ac:dyDescent="0.25">
      <c r="A16" s="7">
        <v>46209.5</v>
      </c>
      <c r="B16" t="s">
        <v>224</v>
      </c>
      <c r="C16" t="s">
        <v>103</v>
      </c>
      <c r="D16" s="8" t="s">
        <v>225</v>
      </c>
      <c r="E16" t="s">
        <v>87</v>
      </c>
      <c r="F16">
        <v>1</v>
      </c>
      <c r="G16" s="3">
        <v>257.31</v>
      </c>
      <c r="H16" s="3">
        <v>378.96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v>0</v>
      </c>
      <c r="R16" s="3">
        <v>0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(V16-AE16)/H16*100</f>
      </c>
      <c r="X16" s="3">
        <f>J16-U16</f>
      </c>
      <c r="Y16" t="s">
        <v>1</v>
      </c>
      <c r="Z16" t="s">
        <v>105</v>
      </c>
      <c r="AF16" s="3">
        <f>V16-AE16</f>
      </c>
      <c r="AG16" t="s">
        <v>67</v>
      </c>
      <c r="AH16" t="s">
        <v>90</v>
      </c>
    </row>
    <row r="17" spans="1:34" x14ac:dyDescent="0.25">
      <c r="A17" s="7">
        <v>46208.5</v>
      </c>
      <c r="B17" t="s">
        <v>226</v>
      </c>
      <c r="C17" t="s">
        <v>81</v>
      </c>
      <c r="D17" s="8" t="s">
        <v>227</v>
      </c>
      <c r="E17" t="s">
        <v>65</v>
      </c>
      <c r="F17">
        <v>1</v>
      </c>
      <c r="G17" s="3">
        <v>497.17</v>
      </c>
      <c r="H17" s="3">
        <v>654.36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8</v>
      </c>
      <c r="Q17" s="3">
        <v>0</v>
      </c>
      <c r="R17" s="3">
        <v>0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(V17-AE17)/H17*100</f>
      </c>
      <c r="X17" s="3">
        <f>J17-U17</f>
      </c>
      <c r="Y17" t="s">
        <v>1</v>
      </c>
      <c r="Z17" t="s">
        <v>59</v>
      </c>
      <c r="AF17" s="3">
        <f>V17-AE17</f>
      </c>
      <c r="AG17" t="s">
        <v>73</v>
      </c>
      <c r="AH17" t="s">
        <v>137</v>
      </c>
    </row>
    <row r="18" spans="1:34" x14ac:dyDescent="0.25">
      <c r="A18" s="7">
        <v>46207.5</v>
      </c>
      <c r="B18" t="s">
        <v>228</v>
      </c>
      <c r="C18" t="s">
        <v>81</v>
      </c>
      <c r="D18" s="8" t="s">
        <v>229</v>
      </c>
      <c r="E18" t="s">
        <v>87</v>
      </c>
      <c r="F18">
        <v>1</v>
      </c>
      <c r="G18" s="3">
        <v>499.91</v>
      </c>
      <c r="H18" s="3">
        <v>726.64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v>0</v>
      </c>
      <c r="R18" s="3">
        <v>0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(V18-AE18)/H18*100</f>
      </c>
      <c r="X18" s="3">
        <f>J18-U18</f>
      </c>
      <c r="Y18" t="s">
        <v>1</v>
      </c>
      <c r="Z18" t="s">
        <v>59</v>
      </c>
      <c r="AF18" s="3">
        <f>V18-AE18</f>
      </c>
      <c r="AG18" t="s">
        <v>73</v>
      </c>
      <c r="AH18" t="s">
        <v>79</v>
      </c>
    </row>
    <row r="19" spans="1:34" x14ac:dyDescent="0.25">
      <c r="A19" s="7">
        <v>46206.5</v>
      </c>
      <c r="B19" t="s">
        <v>230</v>
      </c>
      <c r="C19" t="s">
        <v>85</v>
      </c>
      <c r="D19" s="8" t="s">
        <v>231</v>
      </c>
      <c r="E19" t="s">
        <v>65</v>
      </c>
      <c r="F19">
        <v>1</v>
      </c>
      <c r="G19" s="3">
        <v>322.25</v>
      </c>
      <c r="H19" s="3">
        <v>446.88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v>0</v>
      </c>
      <c r="R19" s="3">
        <v>0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(V19-AE19)/H19*100</f>
      </c>
      <c r="X19" s="3">
        <f>J19-U19</f>
      </c>
      <c r="Y19" t="s">
        <v>1</v>
      </c>
      <c r="Z19" t="s">
        <v>59</v>
      </c>
      <c r="AF19" s="3">
        <f>V19-AE19</f>
      </c>
      <c r="AG19" t="s">
        <v>67</v>
      </c>
      <c r="AH19" t="s">
        <v>127</v>
      </c>
    </row>
    <row r="20" spans="1:34" x14ac:dyDescent="0.25">
      <c r="A20" s="7">
        <v>46205.5</v>
      </c>
      <c r="B20" t="s">
        <v>232</v>
      </c>
      <c r="C20" t="s">
        <v>85</v>
      </c>
      <c r="D20" s="8" t="s">
        <v>233</v>
      </c>
      <c r="E20" t="s">
        <v>87</v>
      </c>
      <c r="F20">
        <v>1</v>
      </c>
      <c r="G20" s="3">
        <v>223.04</v>
      </c>
      <c r="H20" s="3">
        <v>305.42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v>0</v>
      </c>
      <c r="R20" s="3">
        <v>0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(V20-AE20)/H20*100</f>
      </c>
      <c r="X20" s="3">
        <f>J20-U20</f>
      </c>
      <c r="Y20" t="s">
        <v>1</v>
      </c>
      <c r="Z20" t="s">
        <v>59</v>
      </c>
      <c r="AF20" s="3">
        <f>V20-AE20</f>
      </c>
      <c r="AG20" t="s">
        <v>67</v>
      </c>
      <c r="AH20" t="s">
        <v>61</v>
      </c>
    </row>
    <row r="21" spans="1:34" x14ac:dyDescent="0.25">
      <c r="A21" s="7">
        <v>46204.5</v>
      </c>
      <c r="B21" t="s">
        <v>234</v>
      </c>
      <c r="C21" t="s">
        <v>85</v>
      </c>
      <c r="D21" s="8" t="s">
        <v>235</v>
      </c>
      <c r="E21" t="s">
        <v>58</v>
      </c>
      <c r="F21">
        <v>1</v>
      </c>
      <c r="G21" s="3">
        <v>222.91</v>
      </c>
      <c r="H21" s="3">
        <v>314.64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v>0</v>
      </c>
      <c r="R21" s="3">
        <v>0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(V21-AE21)/H21*100</f>
      </c>
      <c r="X21" s="3">
        <f>J21-U21</f>
      </c>
      <c r="Y21" t="s">
        <v>1</v>
      </c>
      <c r="Z21" t="s">
        <v>59</v>
      </c>
      <c r="AF21" s="3">
        <f>V21-AE21</f>
      </c>
      <c r="AG21" t="s">
        <v>67</v>
      </c>
      <c r="AH21" t="s">
        <v>79</v>
      </c>
    </row>
    <row r="22" spans="1:34" s="6" customFormat="1" x14ac:dyDescent="0.25">
      <c r="A22" s="2" t="s">
        <v>17</v>
      </c>
      <c r="B22" s="6"/>
      <c r="C22" s="6"/>
      <c r="D22" s="6"/>
      <c r="E22" s="6"/>
      <c r="F22" s="9">
        <f>SUM(F2:F21)</f>
      </c>
      <c r="G22" s="9">
        <f>SUM(G2:G21)</f>
      </c>
      <c r="H22" s="9">
        <f>SUM(H2:H21)</f>
      </c>
      <c r="I22" s="9">
        <f>SUM(I2:I21)</f>
      </c>
      <c r="J22" s="9">
        <f>SUM(J2:J21)</f>
      </c>
      <c r="K22" s="9">
        <f>SUM(K2:K21)</f>
      </c>
      <c r="L22" s="9">
        <f>SUM(L2:L21)</f>
      </c>
      <c r="M22" s="9">
        <f>SUM(M2:M21)</f>
      </c>
      <c r="N22" s="9">
        <f>SUM(N2:N21)</f>
      </c>
      <c r="O22" s="9">
        <f>SUM(O2:O21)</f>
      </c>
      <c r="P22" s="9">
        <f>SUM(P2:P21)</f>
      </c>
      <c r="Q22" s="9">
        <f>SUM(Q2:Q21)</f>
      </c>
      <c r="R22" s="9">
        <f>SUM(R2:R21)</f>
      </c>
      <c r="S22" s="9">
        <f>SUM(S2:S21)</f>
      </c>
      <c r="T22" s="9">
        <f>SUM(T2:T21)</f>
      </c>
      <c r="U22" s="9">
        <f>SUM(U2:U21)</f>
      </c>
      <c r="V22" s="9">
        <f>SUM(V2:V21)</f>
      </c>
      <c r="W22" s="9">
        <f>IFERROR((V22-AE22)/H22*100,0)</f>
      </c>
      <c r="X22" s="9">
        <f>SUM(X2:X21)</f>
      </c>
      <c r="Y22" s="6"/>
      <c r="Z22" s="6"/>
      <c r="AA22" s="6"/>
      <c r="AB22" s="6"/>
      <c r="AC22" s="6"/>
      <c r="AD22" s="6"/>
      <c r="AE22" s="9">
        <f>SUM(AE2:AE21)</f>
      </c>
      <c r="AF22" s="9">
        <f>SUM(AF2:AF21)</f>
      </c>
      <c r="AG22" s="6"/>
      <c r="AH22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2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236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  <row r="2" spans="1:28" x14ac:dyDescent="0.25">
      <c r="A2" s="7">
        <v>46227.5</v>
      </c>
      <c r="B2" t="s">
        <v>237</v>
      </c>
      <c r="C2" t="s">
        <v>94</v>
      </c>
      <c r="D2" s="8" t="s">
        <v>238</v>
      </c>
      <c r="E2" t="s">
        <v>71</v>
      </c>
      <c r="F2" s="3">
        <v>276.86</v>
      </c>
      <c r="G2" s="3">
        <v>347.16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(P2-Y2)/F2*100</f>
      </c>
      <c r="R2" s="3">
        <f>I2-O2</f>
      </c>
      <c r="S2" t="s">
        <v>1</v>
      </c>
      <c r="T2" t="s">
        <v>96</v>
      </c>
      <c r="Z2" s="3">
        <f>P2-Y2</f>
      </c>
      <c r="AA2" t="s">
        <v>67</v>
      </c>
      <c r="AB2" t="s">
        <v>97</v>
      </c>
    </row>
    <row r="3" spans="1:28" x14ac:dyDescent="0.25">
      <c r="A3" s="7">
        <v>46225.5</v>
      </c>
      <c r="B3" t="s">
        <v>239</v>
      </c>
      <c r="C3" t="s">
        <v>76</v>
      </c>
      <c r="D3" s="8" t="s">
        <v>240</v>
      </c>
      <c r="E3" t="s">
        <v>58</v>
      </c>
      <c r="F3" s="3">
        <v>242</v>
      </c>
      <c r="G3" s="3">
        <v>353.11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(P3-Y3)/F3*100</f>
      </c>
      <c r="R3" s="3">
        <f>I3-O3</f>
      </c>
      <c r="S3" t="s">
        <v>1</v>
      </c>
      <c r="T3" t="s">
        <v>78</v>
      </c>
      <c r="Z3" s="3">
        <f>P3-Y3</f>
      </c>
      <c r="AA3" t="s">
        <v>67</v>
      </c>
      <c r="AB3" t="s">
        <v>61</v>
      </c>
    </row>
    <row r="4" spans="1:28" x14ac:dyDescent="0.25">
      <c r="A4" s="7">
        <v>46224.5</v>
      </c>
      <c r="B4" t="s">
        <v>241</v>
      </c>
      <c r="C4" t="s">
        <v>81</v>
      </c>
      <c r="D4" s="8" t="s">
        <v>242</v>
      </c>
      <c r="E4" t="s">
        <v>65</v>
      </c>
      <c r="F4" s="3">
        <v>482.51</v>
      </c>
      <c r="G4" s="3">
        <v>628.06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(P4-Y4)/F4*100</f>
      </c>
      <c r="R4" s="3">
        <f>I4-O4</f>
      </c>
      <c r="S4" t="s">
        <v>1</v>
      </c>
      <c r="T4" t="s">
        <v>59</v>
      </c>
      <c r="Z4" s="3">
        <f>P4-Y4</f>
      </c>
      <c r="AA4" t="s">
        <v>73</v>
      </c>
      <c r="AB4" t="s">
        <v>79</v>
      </c>
    </row>
    <row r="5" spans="1:28" x14ac:dyDescent="0.25">
      <c r="A5" s="7">
        <v>46223.5</v>
      </c>
      <c r="B5" t="s">
        <v>243</v>
      </c>
      <c r="C5" t="s">
        <v>81</v>
      </c>
      <c r="D5" s="8" t="s">
        <v>244</v>
      </c>
      <c r="E5" t="s">
        <v>58</v>
      </c>
      <c r="F5" s="3">
        <v>500.85</v>
      </c>
      <c r="G5" s="3">
        <v>631.84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(P5-Y5)/F5*100</f>
      </c>
      <c r="R5" s="3">
        <f>I5-O5</f>
      </c>
      <c r="S5" t="s">
        <v>1</v>
      </c>
      <c r="T5" t="s">
        <v>59</v>
      </c>
      <c r="Z5" s="3">
        <f>P5-Y5</f>
      </c>
      <c r="AA5" t="s">
        <v>73</v>
      </c>
      <c r="AB5" t="s">
        <v>127</v>
      </c>
    </row>
    <row r="6" spans="1:28" x14ac:dyDescent="0.25">
      <c r="A6" s="7">
        <v>46222.5</v>
      </c>
      <c r="B6" t="s">
        <v>245</v>
      </c>
      <c r="C6" t="s">
        <v>85</v>
      </c>
      <c r="D6" s="8" t="s">
        <v>246</v>
      </c>
      <c r="E6" t="s">
        <v>71</v>
      </c>
      <c r="F6" s="3">
        <v>316.37</v>
      </c>
      <c r="G6" s="3">
        <v>409.99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(P6-Y6)/F6*100</f>
      </c>
      <c r="R6" s="3">
        <f>I6-O6</f>
      </c>
      <c r="S6" t="s">
        <v>1</v>
      </c>
      <c r="T6" t="s">
        <v>59</v>
      </c>
      <c r="Z6" s="3">
        <f>P6-Y6</f>
      </c>
      <c r="AA6" t="s">
        <v>67</v>
      </c>
      <c r="AB6" t="s">
        <v>124</v>
      </c>
    </row>
    <row r="7" spans="1:28" x14ac:dyDescent="0.25">
      <c r="A7" s="7">
        <v>46220.5</v>
      </c>
      <c r="B7" t="s">
        <v>247</v>
      </c>
      <c r="C7" t="s">
        <v>56</v>
      </c>
      <c r="D7" s="8" t="s">
        <v>248</v>
      </c>
      <c r="E7" t="s">
        <v>58</v>
      </c>
      <c r="F7" s="3">
        <v>186.57</v>
      </c>
      <c r="G7" s="3">
        <v>264.87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(P7-Y7)/F7*100</f>
      </c>
      <c r="R7" s="3">
        <f>I7-O7</f>
      </c>
      <c r="S7" t="s">
        <v>1</v>
      </c>
      <c r="T7" t="s">
        <v>59</v>
      </c>
      <c r="Z7" s="3">
        <f>P7-Y7</f>
      </c>
      <c r="AA7" t="s">
        <v>60</v>
      </c>
      <c r="AB7" t="s">
        <v>127</v>
      </c>
    </row>
    <row r="8" spans="1:28" x14ac:dyDescent="0.25">
      <c r="A8" s="7">
        <v>46219.5</v>
      </c>
      <c r="B8" t="s">
        <v>249</v>
      </c>
      <c r="C8" t="s">
        <v>63</v>
      </c>
      <c r="D8" s="8" t="s">
        <v>250</v>
      </c>
      <c r="E8" t="s">
        <v>71</v>
      </c>
      <c r="F8" s="3">
        <v>287.02</v>
      </c>
      <c r="G8" s="3">
        <v>379.48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(P8-Y8)/F8*100</f>
      </c>
      <c r="R8" s="3">
        <f>I8-O8</f>
      </c>
      <c r="S8" t="s">
        <v>1</v>
      </c>
      <c r="T8" t="s">
        <v>66</v>
      </c>
      <c r="Z8" s="3">
        <f>P8-Y8</f>
      </c>
      <c r="AA8" t="s">
        <v>67</v>
      </c>
      <c r="AB8" t="s">
        <v>124</v>
      </c>
    </row>
    <row r="9" spans="1:28" x14ac:dyDescent="0.25">
      <c r="A9" s="7">
        <v>46218.5</v>
      </c>
      <c r="B9" t="s">
        <v>251</v>
      </c>
      <c r="C9" t="s">
        <v>192</v>
      </c>
      <c r="D9" s="8" t="s">
        <v>252</v>
      </c>
      <c r="E9" t="s">
        <v>58</v>
      </c>
      <c r="F9" s="3">
        <v>422.16</v>
      </c>
      <c r="G9" s="3">
        <v>534.52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(P9-Y9)/F9*100</f>
      </c>
      <c r="R9" s="3">
        <f>I9-O9</f>
      </c>
      <c r="S9" t="s">
        <v>1</v>
      </c>
      <c r="T9" t="s">
        <v>194</v>
      </c>
      <c r="Z9" s="3">
        <f>P9-Y9</f>
      </c>
      <c r="AA9" t="s">
        <v>73</v>
      </c>
      <c r="AB9" t="s">
        <v>79</v>
      </c>
    </row>
    <row r="10" spans="1:28" x14ac:dyDescent="0.25">
      <c r="A10" s="7">
        <v>46217.5</v>
      </c>
      <c r="B10" t="s">
        <v>253</v>
      </c>
      <c r="C10" t="s">
        <v>139</v>
      </c>
      <c r="D10" s="8" t="s">
        <v>213</v>
      </c>
      <c r="E10" t="s">
        <v>65</v>
      </c>
      <c r="F10" s="3">
        <v>230.57</v>
      </c>
      <c r="G10" s="3">
        <v>310.06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(P10-Y10)/F10*100</f>
      </c>
      <c r="R10" s="3">
        <f>I10-O10</f>
      </c>
      <c r="S10" t="s">
        <v>1</v>
      </c>
      <c r="T10" t="s">
        <v>141</v>
      </c>
      <c r="Z10" s="3">
        <f>P10-Y10</f>
      </c>
      <c r="AA10" t="s">
        <v>67</v>
      </c>
      <c r="AB10" t="s">
        <v>124</v>
      </c>
    </row>
    <row r="11" spans="1:28" x14ac:dyDescent="0.25">
      <c r="A11" s="7">
        <v>46215.5</v>
      </c>
      <c r="B11" t="s">
        <v>254</v>
      </c>
      <c r="C11" t="s">
        <v>81</v>
      </c>
      <c r="D11" s="8" t="s">
        <v>255</v>
      </c>
      <c r="E11" t="s">
        <v>65</v>
      </c>
      <c r="F11" s="3">
        <v>511.35</v>
      </c>
      <c r="G11" s="3">
        <v>700.16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(P11-Y11)/F11*100</f>
      </c>
      <c r="R11" s="3">
        <f>I11-O11</f>
      </c>
      <c r="S11" t="s">
        <v>1</v>
      </c>
      <c r="T11" t="s">
        <v>59</v>
      </c>
      <c r="Z11" s="3">
        <f>P11-Y11</f>
      </c>
      <c r="AA11" t="s">
        <v>73</v>
      </c>
      <c r="AB11" t="s">
        <v>137</v>
      </c>
    </row>
    <row r="12" spans="1:28" x14ac:dyDescent="0.25">
      <c r="A12" s="7">
        <v>46214.5</v>
      </c>
      <c r="B12" t="s">
        <v>256</v>
      </c>
      <c r="C12" t="s">
        <v>85</v>
      </c>
      <c r="D12" s="8" t="s">
        <v>257</v>
      </c>
      <c r="E12" t="s">
        <v>87</v>
      </c>
      <c r="F12" s="3">
        <v>336.42</v>
      </c>
      <c r="G12" s="3">
        <v>468.11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(P12-Y12)/F12*100</f>
      </c>
      <c r="R12" s="3">
        <f>I12-O12</f>
      </c>
      <c r="S12" t="s">
        <v>1</v>
      </c>
      <c r="T12" t="s">
        <v>59</v>
      </c>
      <c r="Z12" s="3">
        <f>P12-Y12</f>
      </c>
      <c r="AA12" t="s">
        <v>67</v>
      </c>
      <c r="AB12" t="s">
        <v>90</v>
      </c>
    </row>
    <row r="13" spans="1:28" x14ac:dyDescent="0.25">
      <c r="A13" s="7">
        <v>46213.5</v>
      </c>
      <c r="B13" t="s">
        <v>258</v>
      </c>
      <c r="C13" t="s">
        <v>85</v>
      </c>
      <c r="D13" s="8" t="s">
        <v>259</v>
      </c>
      <c r="E13" t="s">
        <v>71</v>
      </c>
      <c r="F13" s="3">
        <v>209.59</v>
      </c>
      <c r="G13" s="3">
        <v>298.71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(P13-Y13)/F13*100</f>
      </c>
      <c r="R13" s="3">
        <f>I13-O13</f>
      </c>
      <c r="S13" t="s">
        <v>1</v>
      </c>
      <c r="T13" t="s">
        <v>59</v>
      </c>
      <c r="Z13" s="3">
        <f>P13-Y13</f>
      </c>
      <c r="AA13" t="s">
        <v>67</v>
      </c>
      <c r="AB13" t="s">
        <v>83</v>
      </c>
    </row>
    <row r="14" spans="1:28" x14ac:dyDescent="0.25">
      <c r="A14" s="7">
        <v>46212.5</v>
      </c>
      <c r="B14" t="s">
        <v>260</v>
      </c>
      <c r="C14" t="s">
        <v>56</v>
      </c>
      <c r="D14" s="8" t="s">
        <v>261</v>
      </c>
      <c r="E14" t="s">
        <v>87</v>
      </c>
      <c r="F14" s="3">
        <v>196.74</v>
      </c>
      <c r="G14" s="3">
        <v>251.83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(P14-Y14)/F14*100</f>
      </c>
      <c r="R14" s="3">
        <f>I14-O14</f>
      </c>
      <c r="S14" t="s">
        <v>1</v>
      </c>
      <c r="T14" t="s">
        <v>59</v>
      </c>
      <c r="Z14" s="3">
        <f>P14-Y14</f>
      </c>
      <c r="AA14" t="s">
        <v>60</v>
      </c>
      <c r="AB14" t="s">
        <v>137</v>
      </c>
    </row>
    <row r="15" spans="1:28" x14ac:dyDescent="0.25">
      <c r="A15" s="7">
        <v>46210.5</v>
      </c>
      <c r="B15" t="s">
        <v>262</v>
      </c>
      <c r="C15" t="s">
        <v>263</v>
      </c>
      <c r="D15" s="8" t="s">
        <v>264</v>
      </c>
      <c r="E15" t="s">
        <v>87</v>
      </c>
      <c r="F15" s="3">
        <v>422.7</v>
      </c>
      <c r="G15" s="3">
        <v>601.22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(P15-Y15)/F15*100</f>
      </c>
      <c r="R15" s="3">
        <f>I15-O15</f>
      </c>
      <c r="S15" t="s">
        <v>1</v>
      </c>
      <c r="T15" t="s">
        <v>265</v>
      </c>
      <c r="Z15" s="3">
        <f>P15-Y15</f>
      </c>
      <c r="AA15" t="s">
        <v>73</v>
      </c>
      <c r="AB15" t="s">
        <v>83</v>
      </c>
    </row>
    <row r="16" spans="1:28" x14ac:dyDescent="0.25">
      <c r="A16" s="7">
        <v>46209.5</v>
      </c>
      <c r="B16" t="s">
        <v>266</v>
      </c>
      <c r="C16" t="s">
        <v>267</v>
      </c>
      <c r="D16" s="8" t="s">
        <v>268</v>
      </c>
      <c r="E16" t="s">
        <v>65</v>
      </c>
      <c r="F16" s="3">
        <v>243.53</v>
      </c>
      <c r="G16" s="3">
        <v>336.62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(P16-Y16)/F16*100</f>
      </c>
      <c r="R16" s="3">
        <f>I16-O16</f>
      </c>
      <c r="S16" t="s">
        <v>1</v>
      </c>
      <c r="T16" t="s">
        <v>269</v>
      </c>
      <c r="Z16" s="3">
        <f>P16-Y16</f>
      </c>
      <c r="AA16" t="s">
        <v>67</v>
      </c>
      <c r="AB16" t="s">
        <v>127</v>
      </c>
    </row>
    <row r="17" spans="1:28" x14ac:dyDescent="0.25">
      <c r="A17" s="7">
        <v>46208.5</v>
      </c>
      <c r="B17" t="s">
        <v>270</v>
      </c>
      <c r="C17" t="s">
        <v>81</v>
      </c>
      <c r="D17" s="8" t="s">
        <v>271</v>
      </c>
      <c r="E17" t="s">
        <v>87</v>
      </c>
      <c r="F17" s="3">
        <v>499.6</v>
      </c>
      <c r="G17" s="3">
        <v>644.6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(P17-Y17)/F17*100</f>
      </c>
      <c r="R17" s="3">
        <f>I17-O17</f>
      </c>
      <c r="S17" t="s">
        <v>1</v>
      </c>
      <c r="T17" t="s">
        <v>59</v>
      </c>
      <c r="Z17" s="3">
        <f>P17-Y17</f>
      </c>
      <c r="AA17" t="s">
        <v>73</v>
      </c>
      <c r="AB17" t="s">
        <v>74</v>
      </c>
    </row>
    <row r="18" spans="1:28" x14ac:dyDescent="0.25">
      <c r="A18" s="7">
        <v>46207.5</v>
      </c>
      <c r="B18" t="s">
        <v>272</v>
      </c>
      <c r="C18" t="s">
        <v>81</v>
      </c>
      <c r="D18" s="8" t="s">
        <v>273</v>
      </c>
      <c r="E18" t="s">
        <v>87</v>
      </c>
      <c r="F18" s="3">
        <v>535.83</v>
      </c>
      <c r="G18" s="3">
        <v>723.07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(P18-Y18)/F18*100</f>
      </c>
      <c r="R18" s="3">
        <f>I18-O18</f>
      </c>
      <c r="S18" t="s">
        <v>1</v>
      </c>
      <c r="T18" t="s">
        <v>59</v>
      </c>
      <c r="Z18" s="3">
        <f>P18-Y18</f>
      </c>
      <c r="AA18" t="s">
        <v>73</v>
      </c>
      <c r="AB18" t="s">
        <v>124</v>
      </c>
    </row>
    <row r="19" spans="1:28" x14ac:dyDescent="0.25">
      <c r="A19" s="7">
        <v>46206.5</v>
      </c>
      <c r="B19" t="s">
        <v>274</v>
      </c>
      <c r="C19" t="s">
        <v>85</v>
      </c>
      <c r="D19" s="8" t="s">
        <v>275</v>
      </c>
      <c r="E19" t="s">
        <v>71</v>
      </c>
      <c r="F19" s="3">
        <v>327.58</v>
      </c>
      <c r="G19" s="3">
        <v>485.49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(P19-Y19)/F19*100</f>
      </c>
      <c r="R19" s="3">
        <f>I19-O19</f>
      </c>
      <c r="S19" t="s">
        <v>1</v>
      </c>
      <c r="T19" t="s">
        <v>59</v>
      </c>
      <c r="Z19" s="3">
        <f>P19-Y19</f>
      </c>
      <c r="AA19" t="s">
        <v>67</v>
      </c>
      <c r="AB19" t="s">
        <v>61</v>
      </c>
    </row>
    <row r="20" spans="1:28" x14ac:dyDescent="0.25">
      <c r="A20" s="7">
        <v>46205.5</v>
      </c>
      <c r="B20" t="s">
        <v>276</v>
      </c>
      <c r="C20" t="s">
        <v>85</v>
      </c>
      <c r="D20" s="8" t="s">
        <v>235</v>
      </c>
      <c r="E20" t="s">
        <v>58</v>
      </c>
      <c r="F20" s="3">
        <v>222.91</v>
      </c>
      <c r="G20" s="3">
        <v>305.01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(P20-Y20)/F20*100</f>
      </c>
      <c r="R20" s="3">
        <f>I20-O20</f>
      </c>
      <c r="S20" t="s">
        <v>1</v>
      </c>
      <c r="T20" t="s">
        <v>59</v>
      </c>
      <c r="Z20" s="3">
        <f>P20-Y20</f>
      </c>
      <c r="AA20" t="s">
        <v>67</v>
      </c>
      <c r="AB20" t="s">
        <v>79</v>
      </c>
    </row>
    <row r="21" spans="1:28" x14ac:dyDescent="0.25">
      <c r="A21" s="7">
        <v>46204.5</v>
      </c>
      <c r="B21" t="s">
        <v>277</v>
      </c>
      <c r="C21" t="s">
        <v>85</v>
      </c>
      <c r="D21" s="8" t="s">
        <v>278</v>
      </c>
      <c r="E21" t="s">
        <v>58</v>
      </c>
      <c r="F21" s="3">
        <v>232.81</v>
      </c>
      <c r="G21" s="3">
        <v>298.59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(P21-Y21)/F21*100</f>
      </c>
      <c r="R21" s="3">
        <f>I21-O21</f>
      </c>
      <c r="S21" t="s">
        <v>1</v>
      </c>
      <c r="T21" t="s">
        <v>59</v>
      </c>
      <c r="Z21" s="3">
        <f>P21-Y21</f>
      </c>
      <c r="AA21" t="s">
        <v>67</v>
      </c>
      <c r="AB21" t="s">
        <v>97</v>
      </c>
    </row>
    <row r="22" spans="1:28" s="6" customFormat="1" x14ac:dyDescent="0.25">
      <c r="A22" s="2" t="s">
        <v>17</v>
      </c>
      <c r="B22" s="6"/>
      <c r="C22" s="6"/>
      <c r="D22" s="6"/>
      <c r="E22" s="6"/>
      <c r="F22" s="9">
        <f>SUM(F2:F21)</f>
      </c>
      <c r="G22" s="9">
        <f>SUM(G2:G21)</f>
      </c>
      <c r="H22" s="9">
        <f>SUM(H2:H21)</f>
      </c>
      <c r="I22" s="9">
        <f>SUM(I2:I21)</f>
      </c>
      <c r="J22" s="9">
        <f>SUM(J2:J21)</f>
      </c>
      <c r="K22" s="9">
        <f>SUM(K2:K21)</f>
      </c>
      <c r="L22" s="9">
        <f>SUM(L2:L21)</f>
      </c>
      <c r="M22" s="9">
        <f>SUM(M2:M21)</f>
      </c>
      <c r="N22" s="9">
        <f>SUM(N2:N21)</f>
      </c>
      <c r="O22" s="9">
        <f>SUM(O2:O21)</f>
      </c>
      <c r="P22" s="9">
        <f>SUM(P2:P21)</f>
      </c>
      <c r="Q22" s="9">
        <f>IFERROR((P22-Y22)/F22*100,0)</f>
      </c>
      <c r="R22" s="9">
        <f>SUM(R2:R21)</f>
      </c>
      <c r="S22" s="6"/>
      <c r="T22" s="6"/>
      <c r="U22" s="6"/>
      <c r="V22" s="6"/>
      <c r="W22" s="6"/>
      <c r="X22" s="6"/>
      <c r="Y22" s="9">
        <f>SUM(Y2:Y21)</f>
      </c>
      <c r="Z22" s="9">
        <f>SUM(Z2:Z21)</f>
      </c>
      <c r="AA22" s="6"/>
      <c r="AB22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2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279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  <row r="2" spans="1:29" x14ac:dyDescent="0.25">
      <c r="A2" s="7">
        <v>46226.5</v>
      </c>
      <c r="B2" t="s">
        <v>280</v>
      </c>
      <c r="C2" t="s">
        <v>134</v>
      </c>
      <c r="D2" s="8" t="s">
        <v>281</v>
      </c>
      <c r="E2" t="s">
        <v>65</v>
      </c>
      <c r="F2">
        <v>1</v>
      </c>
      <c r="G2" s="3">
        <v>417.16</v>
      </c>
      <c r="H2" s="3">
        <v>566.56</v>
      </c>
      <c r="I2" s="3">
        <f>H2-G2</f>
      </c>
      <c r="J2" s="3">
        <f>I2*16.67%</f>
      </c>
      <c r="K2" s="3">
        <v>39.66</v>
      </c>
      <c r="L2" s="3">
        <f>K2*20%</f>
      </c>
      <c r="M2" s="3">
        <v>6.3</v>
      </c>
      <c r="N2" s="3">
        <f>M2*20%</f>
      </c>
      <c r="O2" s="3">
        <v>1</v>
      </c>
      <c r="P2" s="3">
        <f>N2</f>
      </c>
      <c r="Q2" s="3">
        <f>I2-J2-K2-M2-N2-O2</f>
      </c>
      <c r="R2" s="3">
        <f>(Q2-Z2)/G2*100</f>
      </c>
      <c r="S2" s="3">
        <f>J2-P2</f>
      </c>
      <c r="T2" t="s">
        <v>1</v>
      </c>
      <c r="U2" t="s">
        <v>136</v>
      </c>
      <c r="AA2" s="3">
        <f>Q2-Z2</f>
      </c>
      <c r="AB2" t="s">
        <v>73</v>
      </c>
      <c r="AC2" t="s">
        <v>61</v>
      </c>
    </row>
    <row r="3" spans="1:29" x14ac:dyDescent="0.25">
      <c r="A3" s="7">
        <v>46225.5</v>
      </c>
      <c r="B3" t="s">
        <v>282</v>
      </c>
      <c r="C3" t="s">
        <v>139</v>
      </c>
      <c r="D3" s="8" t="s">
        <v>283</v>
      </c>
      <c r="E3" t="s">
        <v>65</v>
      </c>
      <c r="F3">
        <v>1</v>
      </c>
      <c r="G3" s="3">
        <v>263.11</v>
      </c>
      <c r="H3" s="3">
        <v>334.65</v>
      </c>
      <c r="I3" s="3">
        <f>H3-G3</f>
      </c>
      <c r="J3" s="3">
        <f>I3*16.67%</f>
      </c>
      <c r="K3" s="3">
        <v>18.41</v>
      </c>
      <c r="L3" s="3">
        <f>K3*20%</f>
      </c>
      <c r="M3" s="3">
        <v>2</v>
      </c>
      <c r="N3" s="3">
        <f>M3*20%</f>
      </c>
      <c r="O3" s="3">
        <v>1</v>
      </c>
      <c r="P3" s="3">
        <f>N3</f>
      </c>
      <c r="Q3" s="3">
        <f>I3-J3-K3-M3-N3-O3</f>
      </c>
      <c r="R3" s="3">
        <f>(Q3-Z3)/G3*100</f>
      </c>
      <c r="S3" s="3">
        <f>J3-P3</f>
      </c>
      <c r="T3" t="s">
        <v>1</v>
      </c>
      <c r="U3" t="s">
        <v>141</v>
      </c>
      <c r="AA3" s="3">
        <f>Q3-Z3</f>
      </c>
      <c r="AB3" t="s">
        <v>67</v>
      </c>
      <c r="AC3" t="s">
        <v>124</v>
      </c>
    </row>
    <row r="4" spans="1:29" x14ac:dyDescent="0.25">
      <c r="A4" s="7">
        <v>46224.5</v>
      </c>
      <c r="B4" t="s">
        <v>284</v>
      </c>
      <c r="C4" t="s">
        <v>81</v>
      </c>
      <c r="D4" s="8" t="s">
        <v>285</v>
      </c>
      <c r="E4" t="s">
        <v>65</v>
      </c>
      <c r="F4">
        <v>1</v>
      </c>
      <c r="G4" s="3">
        <v>484.06</v>
      </c>
      <c r="H4" s="3">
        <v>721.16</v>
      </c>
      <c r="I4" s="3">
        <f>H4-G4</f>
      </c>
      <c r="J4" s="3">
        <f>I4*16.67%</f>
      </c>
      <c r="K4" s="3">
        <v>59.14</v>
      </c>
      <c r="L4" s="3">
        <f>K4*20%</f>
      </c>
      <c r="M4" s="3">
        <v>2</v>
      </c>
      <c r="N4" s="3">
        <f>M4*20%</f>
      </c>
      <c r="O4" s="3">
        <v>1</v>
      </c>
      <c r="P4" s="3">
        <f>N4</f>
      </c>
      <c r="Q4" s="3">
        <f>I4-J4-K4-M4-N4-O4</f>
      </c>
      <c r="R4" s="3">
        <f>(Q4-Z4)/G4*100</f>
      </c>
      <c r="S4" s="3">
        <f>J4-P4</f>
      </c>
      <c r="T4" t="s">
        <v>1</v>
      </c>
      <c r="U4" t="s">
        <v>59</v>
      </c>
      <c r="AA4" s="3">
        <f>Q4-Z4</f>
      </c>
      <c r="AB4" t="s">
        <v>73</v>
      </c>
      <c r="AC4" t="s">
        <v>79</v>
      </c>
    </row>
    <row r="5" spans="1:29" x14ac:dyDescent="0.25">
      <c r="A5" s="7">
        <v>46223.5</v>
      </c>
      <c r="B5" t="s">
        <v>286</v>
      </c>
      <c r="C5" t="s">
        <v>81</v>
      </c>
      <c r="D5" s="8" t="s">
        <v>287</v>
      </c>
      <c r="E5" t="s">
        <v>71</v>
      </c>
      <c r="F5">
        <v>1</v>
      </c>
      <c r="G5" s="3">
        <v>529.23</v>
      </c>
      <c r="H5" s="3">
        <v>740.45</v>
      </c>
      <c r="I5" s="3">
        <f>H5-G5</f>
      </c>
      <c r="J5" s="3">
        <f>I5*16.67%</f>
      </c>
      <c r="K5" s="3">
        <v>34.06</v>
      </c>
      <c r="L5" s="3">
        <f>K5*20%</f>
      </c>
      <c r="M5" s="3">
        <v>8</v>
      </c>
      <c r="N5" s="3">
        <f>M5*20%</f>
      </c>
      <c r="O5" s="3">
        <v>1</v>
      </c>
      <c r="P5" s="3">
        <f>N5</f>
      </c>
      <c r="Q5" s="3">
        <f>I5-J5-K5-M5-N5-O5</f>
      </c>
      <c r="R5" s="3">
        <f>(Q5-Z5)/G5*100</f>
      </c>
      <c r="S5" s="3">
        <f>J5-P5</f>
      </c>
      <c r="T5" t="s">
        <v>1</v>
      </c>
      <c r="U5" t="s">
        <v>59</v>
      </c>
      <c r="AA5" s="3">
        <f>Q5-Z5</f>
      </c>
      <c r="AB5" t="s">
        <v>73</v>
      </c>
      <c r="AC5" t="s">
        <v>74</v>
      </c>
    </row>
    <row r="6" spans="1:29" x14ac:dyDescent="0.25">
      <c r="A6" s="7">
        <v>46221.5</v>
      </c>
      <c r="B6" t="s">
        <v>288</v>
      </c>
      <c r="C6" t="s">
        <v>85</v>
      </c>
      <c r="D6" s="8" t="s">
        <v>289</v>
      </c>
      <c r="E6" t="s">
        <v>65</v>
      </c>
      <c r="F6">
        <v>1</v>
      </c>
      <c r="G6" s="3">
        <v>227.85</v>
      </c>
      <c r="H6" s="3">
        <v>304.26</v>
      </c>
      <c r="I6" s="3">
        <f>H6-G6</f>
      </c>
      <c r="J6" s="3">
        <f>I6*16.67%</f>
      </c>
      <c r="K6" s="3">
        <v>16.73</v>
      </c>
      <c r="L6" s="3">
        <f>K6*20%</f>
      </c>
      <c r="M6" s="3">
        <v>8</v>
      </c>
      <c r="N6" s="3">
        <f>M6*20%</f>
      </c>
      <c r="O6" s="3">
        <v>1</v>
      </c>
      <c r="P6" s="3">
        <f>N6</f>
      </c>
      <c r="Q6" s="3">
        <f>I6-J6-K6-M6-N6-O6</f>
      </c>
      <c r="R6" s="3">
        <f>(Q6-Z6)/G6*100</f>
      </c>
      <c r="S6" s="3">
        <f>J6-P6</f>
      </c>
      <c r="T6" t="s">
        <v>1</v>
      </c>
      <c r="U6" t="s">
        <v>59</v>
      </c>
      <c r="AA6" s="3">
        <f>Q6-Z6</f>
      </c>
      <c r="AB6" t="s">
        <v>67</v>
      </c>
      <c r="AC6" t="s">
        <v>79</v>
      </c>
    </row>
    <row r="7" spans="1:29" x14ac:dyDescent="0.25">
      <c r="A7" s="7">
        <v>46220.5</v>
      </c>
      <c r="B7" t="s">
        <v>290</v>
      </c>
      <c r="C7" t="s">
        <v>56</v>
      </c>
      <c r="D7" s="8" t="s">
        <v>291</v>
      </c>
      <c r="E7" t="s">
        <v>65</v>
      </c>
      <c r="F7">
        <v>1</v>
      </c>
      <c r="G7" s="3">
        <v>197.28</v>
      </c>
      <c r="H7" s="3">
        <v>253.57</v>
      </c>
      <c r="I7" s="3">
        <f>H7-G7</f>
      </c>
      <c r="J7" s="3">
        <f>I7*16.67%</f>
      </c>
      <c r="K7" s="3">
        <v>17.75</v>
      </c>
      <c r="L7" s="3">
        <f>K7*20%</f>
      </c>
      <c r="M7" s="3">
        <v>8</v>
      </c>
      <c r="N7" s="3">
        <f>M7*20%</f>
      </c>
      <c r="O7" s="3">
        <v>1</v>
      </c>
      <c r="P7" s="3">
        <f>N7</f>
      </c>
      <c r="Q7" s="3">
        <f>I7-J7-K7-M7-N7-O7</f>
      </c>
      <c r="R7" s="3">
        <f>(Q7-Z7)/G7*100</f>
      </c>
      <c r="S7" s="3">
        <f>J7-P7</f>
      </c>
      <c r="T7" t="s">
        <v>1</v>
      </c>
      <c r="U7" t="s">
        <v>59</v>
      </c>
      <c r="AA7" s="3">
        <f>Q7-Z7</f>
      </c>
      <c r="AB7" t="s">
        <v>60</v>
      </c>
      <c r="AC7" t="s">
        <v>83</v>
      </c>
    </row>
    <row r="8" spans="1:29" x14ac:dyDescent="0.25">
      <c r="A8" s="7">
        <v>46219.5</v>
      </c>
      <c r="B8" t="s">
        <v>292</v>
      </c>
      <c r="C8" t="s">
        <v>188</v>
      </c>
      <c r="D8" s="8" t="s">
        <v>293</v>
      </c>
      <c r="E8" t="s">
        <v>65</v>
      </c>
      <c r="F8">
        <v>1</v>
      </c>
      <c r="G8" s="3">
        <v>268.59</v>
      </c>
      <c r="H8" s="3">
        <v>354.91</v>
      </c>
      <c r="I8" s="3">
        <f>H8-G8</f>
      </c>
      <c r="J8" s="3">
        <f>I8*16.67%</f>
      </c>
      <c r="K8" s="3">
        <v>16.33</v>
      </c>
      <c r="L8" s="3">
        <f>K8*20%</f>
      </c>
      <c r="M8" s="3">
        <v>8</v>
      </c>
      <c r="N8" s="3">
        <f>M8*20%</f>
      </c>
      <c r="O8" s="3">
        <v>1</v>
      </c>
      <c r="P8" s="3">
        <f>N8</f>
      </c>
      <c r="Q8" s="3">
        <f>I8-J8-K8-M8-N8-O8</f>
      </c>
      <c r="R8" s="3">
        <f>(Q8-Z8)/G8*100</f>
      </c>
      <c r="S8" s="3">
        <f>J8-P8</f>
      </c>
      <c r="T8" t="s">
        <v>1</v>
      </c>
      <c r="U8" t="s">
        <v>190</v>
      </c>
      <c r="AA8" s="3">
        <f>Q8-Z8</f>
      </c>
      <c r="AB8" t="s">
        <v>67</v>
      </c>
      <c r="AC8" t="s">
        <v>74</v>
      </c>
    </row>
    <row r="9" spans="1:29" x14ac:dyDescent="0.25">
      <c r="A9" s="7">
        <v>46218.5</v>
      </c>
      <c r="B9" t="s">
        <v>294</v>
      </c>
      <c r="C9" t="s">
        <v>168</v>
      </c>
      <c r="D9" s="8" t="s">
        <v>295</v>
      </c>
      <c r="E9" t="s">
        <v>87</v>
      </c>
      <c r="F9">
        <v>1</v>
      </c>
      <c r="G9" s="3">
        <v>450.57</v>
      </c>
      <c r="H9" s="3">
        <v>603.85</v>
      </c>
      <c r="I9" s="3">
        <f>H9-G9</f>
      </c>
      <c r="J9" s="3">
        <f>I9*16.67%</f>
      </c>
      <c r="K9" s="3">
        <v>27.78</v>
      </c>
      <c r="L9" s="3">
        <f>K9*20%</f>
      </c>
      <c r="M9" s="3">
        <v>2</v>
      </c>
      <c r="N9" s="3">
        <f>M9*20%</f>
      </c>
      <c r="O9" s="3">
        <v>1</v>
      </c>
      <c r="P9" s="3">
        <f>N9</f>
      </c>
      <c r="Q9" s="3">
        <f>I9-J9-K9-M9-N9-O9</f>
      </c>
      <c r="R9" s="3">
        <f>(Q9-Z9)/G9*100</f>
      </c>
      <c r="S9" s="3">
        <f>J9-P9</f>
      </c>
      <c r="T9" t="s">
        <v>1</v>
      </c>
      <c r="U9" t="s">
        <v>170</v>
      </c>
      <c r="AA9" s="3">
        <f>Q9-Z9</f>
      </c>
      <c r="AB9" t="s">
        <v>73</v>
      </c>
      <c r="AC9" t="s">
        <v>90</v>
      </c>
    </row>
    <row r="10" spans="1:29" x14ac:dyDescent="0.25">
      <c r="A10" s="7">
        <v>46216.5</v>
      </c>
      <c r="B10" t="s">
        <v>296</v>
      </c>
      <c r="C10" t="s">
        <v>99</v>
      </c>
      <c r="D10" s="8" t="s">
        <v>100</v>
      </c>
      <c r="E10" t="s">
        <v>58</v>
      </c>
      <c r="F10">
        <v>1</v>
      </c>
      <c r="G10" s="3">
        <v>246.21</v>
      </c>
      <c r="H10" s="3">
        <v>344.78</v>
      </c>
      <c r="I10" s="3">
        <f>H10-G10</f>
      </c>
      <c r="J10" s="3">
        <f>I10*16.67%</f>
      </c>
      <c r="K10" s="3">
        <v>28.27</v>
      </c>
      <c r="L10" s="3">
        <f>K10*20%</f>
      </c>
      <c r="M10" s="3">
        <v>6.3</v>
      </c>
      <c r="N10" s="3">
        <f>M10*20%</f>
      </c>
      <c r="O10" s="3">
        <v>1</v>
      </c>
      <c r="P10" s="3">
        <f>N10</f>
      </c>
      <c r="Q10" s="3">
        <f>I10-J10-K10-M10-N10-O10</f>
      </c>
      <c r="R10" s="3">
        <f>(Q10-Z10)/G10*100</f>
      </c>
      <c r="S10" s="3">
        <f>J10-P10</f>
      </c>
      <c r="T10" t="s">
        <v>1</v>
      </c>
      <c r="U10" t="s">
        <v>101</v>
      </c>
      <c r="AA10" s="3">
        <f>Q10-Z10</f>
      </c>
      <c r="AB10" t="s">
        <v>67</v>
      </c>
      <c r="AC10" t="s">
        <v>74</v>
      </c>
    </row>
    <row r="11" spans="1:29" x14ac:dyDescent="0.25">
      <c r="A11" s="7">
        <v>46215.5</v>
      </c>
      <c r="B11" t="s">
        <v>297</v>
      </c>
      <c r="C11" t="s">
        <v>81</v>
      </c>
      <c r="D11" s="8" t="s">
        <v>298</v>
      </c>
      <c r="E11" t="s">
        <v>87</v>
      </c>
      <c r="F11">
        <v>1</v>
      </c>
      <c r="G11" s="3">
        <v>507.95</v>
      </c>
      <c r="H11" s="3">
        <v>670.51</v>
      </c>
      <c r="I11" s="3">
        <f>H11-G11</f>
      </c>
      <c r="J11" s="3">
        <f>I11*16.67%</f>
      </c>
      <c r="K11" s="3">
        <v>36.88</v>
      </c>
      <c r="L11" s="3">
        <f>K11*20%</f>
      </c>
      <c r="M11" s="3">
        <v>8</v>
      </c>
      <c r="N11" s="3">
        <f>M11*20%</f>
      </c>
      <c r="O11" s="3">
        <v>1</v>
      </c>
      <c r="P11" s="3">
        <f>N11</f>
      </c>
      <c r="Q11" s="3">
        <f>I11-J11-K11-M11-N11-O11</f>
      </c>
      <c r="R11" s="3">
        <f>(Q11-Z11)/G11*100</f>
      </c>
      <c r="S11" s="3">
        <f>J11-P11</f>
      </c>
      <c r="T11" t="s">
        <v>1</v>
      </c>
      <c r="U11" t="s">
        <v>59</v>
      </c>
      <c r="AA11" s="3">
        <f>Q11-Z11</f>
      </c>
      <c r="AB11" t="s">
        <v>73</v>
      </c>
      <c r="AC11" t="s">
        <v>97</v>
      </c>
    </row>
    <row r="12" spans="1:29" x14ac:dyDescent="0.25">
      <c r="A12" s="7">
        <v>46214.5</v>
      </c>
      <c r="B12" t="s">
        <v>299</v>
      </c>
      <c r="C12" t="s">
        <v>85</v>
      </c>
      <c r="D12" s="8" t="s">
        <v>300</v>
      </c>
      <c r="E12" t="s">
        <v>71</v>
      </c>
      <c r="F12">
        <v>1</v>
      </c>
      <c r="G12" s="3">
        <v>305.4</v>
      </c>
      <c r="H12" s="3">
        <v>390.8</v>
      </c>
      <c r="I12" s="3">
        <f>H12-G12</f>
      </c>
      <c r="J12" s="3">
        <f>I12*16.67%</f>
      </c>
      <c r="K12" s="3">
        <v>21.49</v>
      </c>
      <c r="L12" s="3">
        <f>K12*20%</f>
      </c>
      <c r="M12" s="3">
        <v>8</v>
      </c>
      <c r="N12" s="3">
        <f>M12*20%</f>
      </c>
      <c r="O12" s="3">
        <v>1</v>
      </c>
      <c r="P12" s="3">
        <f>N12</f>
      </c>
      <c r="Q12" s="3">
        <f>I12-J12-K12-M12-N12-O12</f>
      </c>
      <c r="R12" s="3">
        <f>(Q12-Z12)/G12*100</f>
      </c>
      <c r="S12" s="3">
        <f>J12-P12</f>
      </c>
      <c r="T12" t="s">
        <v>1</v>
      </c>
      <c r="U12" t="s">
        <v>59</v>
      </c>
      <c r="AA12" s="3">
        <f>Q12-Z12</f>
      </c>
      <c r="AB12" t="s">
        <v>67</v>
      </c>
      <c r="AC12" t="s">
        <v>83</v>
      </c>
    </row>
    <row r="13" spans="1:29" x14ac:dyDescent="0.25">
      <c r="A13" s="7">
        <v>46213.5</v>
      </c>
      <c r="B13" t="s">
        <v>301</v>
      </c>
      <c r="C13" t="s">
        <v>85</v>
      </c>
      <c r="D13" s="8" t="s">
        <v>302</v>
      </c>
      <c r="E13" t="s">
        <v>71</v>
      </c>
      <c r="F13">
        <v>1</v>
      </c>
      <c r="G13" s="3">
        <v>229.85</v>
      </c>
      <c r="H13" s="3">
        <v>322.37</v>
      </c>
      <c r="I13" s="3">
        <f>H13-G13</f>
      </c>
      <c r="J13" s="3">
        <f>I13*16.67%</f>
      </c>
      <c r="K13" s="3">
        <v>26.43</v>
      </c>
      <c r="L13" s="3">
        <f>K13*20%</f>
      </c>
      <c r="M13" s="3">
        <v>8</v>
      </c>
      <c r="N13" s="3">
        <f>M13*20%</f>
      </c>
      <c r="O13" s="3">
        <v>1</v>
      </c>
      <c r="P13" s="3">
        <f>N13</f>
      </c>
      <c r="Q13" s="3">
        <f>I13-J13-K13-M13-N13-O13</f>
      </c>
      <c r="R13" s="3">
        <f>(Q13-Z13)/G13*100</f>
      </c>
      <c r="S13" s="3">
        <f>J13-P13</f>
      </c>
      <c r="T13" t="s">
        <v>1</v>
      </c>
      <c r="U13" t="s">
        <v>59</v>
      </c>
      <c r="AA13" s="3">
        <f>Q13-Z13</f>
      </c>
      <c r="AB13" t="s">
        <v>67</v>
      </c>
      <c r="AC13" t="s">
        <v>90</v>
      </c>
    </row>
    <row r="14" spans="1:29" x14ac:dyDescent="0.25">
      <c r="A14" s="7">
        <v>46211.5</v>
      </c>
      <c r="B14" t="s">
        <v>303</v>
      </c>
      <c r="C14" t="s">
        <v>221</v>
      </c>
      <c r="D14" s="8" t="s">
        <v>304</v>
      </c>
      <c r="E14" t="s">
        <v>65</v>
      </c>
      <c r="F14">
        <v>1</v>
      </c>
      <c r="G14" s="3">
        <v>262.14</v>
      </c>
      <c r="H14" s="3">
        <v>338.57</v>
      </c>
      <c r="I14" s="3">
        <f>H14-G14</f>
      </c>
      <c r="J14" s="3">
        <f>I14*16.67%</f>
      </c>
      <c r="K14" s="3">
        <v>23.7</v>
      </c>
      <c r="L14" s="3">
        <f>K14*20%</f>
      </c>
      <c r="M14" s="3">
        <v>6.3</v>
      </c>
      <c r="N14" s="3">
        <f>M14*20%</f>
      </c>
      <c r="O14" s="3">
        <v>1</v>
      </c>
      <c r="P14" s="3">
        <f>N14</f>
      </c>
      <c r="Q14" s="3">
        <f>I14-J14-K14-M14-N14-O14</f>
      </c>
      <c r="R14" s="3">
        <f>(Q14-Z14)/G14*100</f>
      </c>
      <c r="S14" s="3">
        <f>J14-P14</f>
      </c>
      <c r="T14" t="s">
        <v>1</v>
      </c>
      <c r="U14" t="s">
        <v>223</v>
      </c>
      <c r="AA14" s="3">
        <f>Q14-Z14</f>
      </c>
      <c r="AB14" t="s">
        <v>67</v>
      </c>
      <c r="AC14" t="s">
        <v>90</v>
      </c>
    </row>
    <row r="15" spans="1:29" x14ac:dyDescent="0.25">
      <c r="A15" s="7">
        <v>46210.5</v>
      </c>
      <c r="B15" t="s">
        <v>305</v>
      </c>
      <c r="C15" t="s">
        <v>69</v>
      </c>
      <c r="D15" s="8" t="s">
        <v>306</v>
      </c>
      <c r="E15" t="s">
        <v>58</v>
      </c>
      <c r="F15">
        <v>1</v>
      </c>
      <c r="G15" s="3">
        <v>405.86</v>
      </c>
      <c r="H15" s="3">
        <v>574.95</v>
      </c>
      <c r="I15" s="3">
        <f>H15-G15</f>
      </c>
      <c r="J15" s="3">
        <f>I15*16.67%</f>
      </c>
      <c r="K15" s="3">
        <v>31.62</v>
      </c>
      <c r="L15" s="3">
        <f>K15*20%</f>
      </c>
      <c r="M15" s="3">
        <v>8</v>
      </c>
      <c r="N15" s="3">
        <f>M15*20%</f>
      </c>
      <c r="O15" s="3">
        <v>1</v>
      </c>
      <c r="P15" s="3">
        <f>N15</f>
      </c>
      <c r="Q15" s="3">
        <f>I15-J15-K15-M15-N15-O15</f>
      </c>
      <c r="R15" s="3">
        <f>(Q15-Z15)/G15*100</f>
      </c>
      <c r="S15" s="3">
        <f>J15-P15</f>
      </c>
      <c r="T15" t="s">
        <v>1</v>
      </c>
      <c r="U15" t="s">
        <v>72</v>
      </c>
      <c r="AA15" s="3">
        <f>Q15-Z15</f>
      </c>
      <c r="AB15" t="s">
        <v>73</v>
      </c>
      <c r="AC15" t="s">
        <v>74</v>
      </c>
    </row>
    <row r="16" spans="1:29" x14ac:dyDescent="0.25">
      <c r="A16" s="7">
        <v>46209.5</v>
      </c>
      <c r="B16" t="s">
        <v>307</v>
      </c>
      <c r="C16" t="s">
        <v>103</v>
      </c>
      <c r="D16" s="8" t="s">
        <v>308</v>
      </c>
      <c r="E16" t="s">
        <v>58</v>
      </c>
      <c r="F16">
        <v>1</v>
      </c>
      <c r="G16" s="3">
        <v>253.86</v>
      </c>
      <c r="H16" s="3">
        <v>371.8</v>
      </c>
      <c r="I16" s="3">
        <f>H16-G16</f>
      </c>
      <c r="J16" s="3">
        <f>I16*16.67%</f>
      </c>
      <c r="K16" s="3">
        <v>17.1</v>
      </c>
      <c r="L16" s="3">
        <f>K16*20%</f>
      </c>
      <c r="M16" s="3">
        <v>8</v>
      </c>
      <c r="N16" s="3">
        <f>M16*20%</f>
      </c>
      <c r="O16" s="3">
        <v>1</v>
      </c>
      <c r="P16" s="3">
        <f>N16</f>
      </c>
      <c r="Q16" s="3">
        <f>I16-J16-K16-M16-N16-O16</f>
      </c>
      <c r="R16" s="3">
        <f>(Q16-Z16)/G16*100</f>
      </c>
      <c r="S16" s="3">
        <f>J16-P16</f>
      </c>
      <c r="T16" t="s">
        <v>1</v>
      </c>
      <c r="U16" t="s">
        <v>105</v>
      </c>
      <c r="AA16" s="3">
        <f>Q16-Z16</f>
      </c>
      <c r="AB16" t="s">
        <v>67</v>
      </c>
      <c r="AC16" t="s">
        <v>90</v>
      </c>
    </row>
    <row r="17" spans="1:29" x14ac:dyDescent="0.25">
      <c r="A17" s="7">
        <v>46208.5</v>
      </c>
      <c r="B17" t="s">
        <v>309</v>
      </c>
      <c r="C17" t="s">
        <v>81</v>
      </c>
      <c r="D17" s="8" t="s">
        <v>310</v>
      </c>
      <c r="E17" t="s">
        <v>58</v>
      </c>
      <c r="F17">
        <v>1</v>
      </c>
      <c r="G17" s="3">
        <v>459.49</v>
      </c>
      <c r="H17" s="3">
        <v>653.1</v>
      </c>
      <c r="I17" s="3">
        <f>H17-G17</f>
      </c>
      <c r="J17" s="3">
        <f>I17*16.67%</f>
      </c>
      <c r="K17" s="3">
        <v>53.55</v>
      </c>
      <c r="L17" s="3">
        <f>K17*20%</f>
      </c>
      <c r="M17" s="3">
        <v>2</v>
      </c>
      <c r="N17" s="3">
        <f>M17*20%</f>
      </c>
      <c r="O17" s="3">
        <v>1</v>
      </c>
      <c r="P17" s="3">
        <f>N17</f>
      </c>
      <c r="Q17" s="3">
        <f>I17-J17-K17-M17-N17-O17</f>
      </c>
      <c r="R17" s="3">
        <f>(Q17-Z17)/G17*100</f>
      </c>
      <c r="S17" s="3">
        <f>J17-P17</f>
      </c>
      <c r="T17" t="s">
        <v>1</v>
      </c>
      <c r="U17" t="s">
        <v>59</v>
      </c>
      <c r="AA17" s="3">
        <f>Q17-Z17</f>
      </c>
      <c r="AB17" t="s">
        <v>73</v>
      </c>
      <c r="AC17" t="s">
        <v>137</v>
      </c>
    </row>
    <row r="18" spans="1:29" x14ac:dyDescent="0.25">
      <c r="A18" s="7">
        <v>46207.5</v>
      </c>
      <c r="B18" t="s">
        <v>311</v>
      </c>
      <c r="C18" t="s">
        <v>81</v>
      </c>
      <c r="D18" s="8" t="s">
        <v>312</v>
      </c>
      <c r="E18" t="s">
        <v>87</v>
      </c>
      <c r="F18">
        <v>1</v>
      </c>
      <c r="G18" s="3">
        <v>517.1</v>
      </c>
      <c r="H18" s="3">
        <v>708.95</v>
      </c>
      <c r="I18" s="3">
        <f>H18-G18</f>
      </c>
      <c r="J18" s="3">
        <f>I18*16.67%</f>
      </c>
      <c r="K18" s="3">
        <v>38.99</v>
      </c>
      <c r="L18" s="3">
        <f>K18*20%</f>
      </c>
      <c r="M18" s="3">
        <v>2</v>
      </c>
      <c r="N18" s="3">
        <f>M18*20%</f>
      </c>
      <c r="O18" s="3">
        <v>1</v>
      </c>
      <c r="P18" s="3">
        <f>N18</f>
      </c>
      <c r="Q18" s="3">
        <f>I18-J18-K18-M18-N18-O18</f>
      </c>
      <c r="R18" s="3">
        <f>(Q18-Z18)/G18*100</f>
      </c>
      <c r="S18" s="3">
        <f>J18-P18</f>
      </c>
      <c r="T18" t="s">
        <v>1</v>
      </c>
      <c r="U18" t="s">
        <v>59</v>
      </c>
      <c r="AA18" s="3">
        <f>Q18-Z18</f>
      </c>
      <c r="AB18" t="s">
        <v>73</v>
      </c>
      <c r="AC18" t="s">
        <v>61</v>
      </c>
    </row>
    <row r="19" spans="1:29" x14ac:dyDescent="0.25">
      <c r="A19" s="7">
        <v>46206.5</v>
      </c>
      <c r="B19" t="s">
        <v>313</v>
      </c>
      <c r="C19" t="s">
        <v>85</v>
      </c>
      <c r="D19" s="8" t="s">
        <v>314</v>
      </c>
      <c r="E19" t="s">
        <v>58</v>
      </c>
      <c r="F19">
        <v>1</v>
      </c>
      <c r="G19" s="3">
        <v>334.66</v>
      </c>
      <c r="H19" s="3">
        <v>466.67</v>
      </c>
      <c r="I19" s="3">
        <f>H19-G19</f>
      </c>
      <c r="J19" s="3">
        <f>I19*16.67%</f>
      </c>
      <c r="K19" s="3">
        <v>38.27</v>
      </c>
      <c r="L19" s="3">
        <f>K19*20%</f>
      </c>
      <c r="M19" s="3">
        <v>8</v>
      </c>
      <c r="N19" s="3">
        <f>M19*20%</f>
      </c>
      <c r="O19" s="3">
        <v>1</v>
      </c>
      <c r="P19" s="3">
        <f>N19</f>
      </c>
      <c r="Q19" s="3">
        <f>I19-J19-K19-M19-N19-O19</f>
      </c>
      <c r="R19" s="3">
        <f>(Q19-Z19)/G19*100</f>
      </c>
      <c r="S19" s="3">
        <f>J19-P19</f>
      </c>
      <c r="T19" t="s">
        <v>1</v>
      </c>
      <c r="U19" t="s">
        <v>59</v>
      </c>
      <c r="AA19" s="3">
        <f>Q19-Z19</f>
      </c>
      <c r="AB19" t="s">
        <v>67</v>
      </c>
      <c r="AC19" t="s">
        <v>137</v>
      </c>
    </row>
    <row r="20" spans="1:29" x14ac:dyDescent="0.25">
      <c r="A20" s="7">
        <v>46205.5</v>
      </c>
      <c r="B20" t="s">
        <v>315</v>
      </c>
      <c r="C20" t="s">
        <v>85</v>
      </c>
      <c r="D20" s="8" t="s">
        <v>278</v>
      </c>
      <c r="E20" t="s">
        <v>58</v>
      </c>
      <c r="F20">
        <v>1</v>
      </c>
      <c r="G20" s="3">
        <v>232.81</v>
      </c>
      <c r="H20" s="3">
        <v>319.12</v>
      </c>
      <c r="I20" s="3">
        <f>H20-G20</f>
      </c>
      <c r="J20" s="3">
        <f>I20*16.67%</f>
      </c>
      <c r="K20" s="3">
        <v>26.17</v>
      </c>
      <c r="L20" s="3">
        <f>K20*20%</f>
      </c>
      <c r="M20" s="3">
        <v>8</v>
      </c>
      <c r="N20" s="3">
        <f>M20*20%</f>
      </c>
      <c r="O20" s="3">
        <v>1</v>
      </c>
      <c r="P20" s="3">
        <f>N20</f>
      </c>
      <c r="Q20" s="3">
        <f>I20-J20-K20-M20-N20-O20</f>
      </c>
      <c r="R20" s="3">
        <f>(Q20-Z20)/G20*100</f>
      </c>
      <c r="S20" s="3">
        <f>J20-P20</f>
      </c>
      <c r="T20" t="s">
        <v>1</v>
      </c>
      <c r="U20" t="s">
        <v>59</v>
      </c>
      <c r="AA20" s="3">
        <f>Q20-Z20</f>
      </c>
      <c r="AB20" t="s">
        <v>67</v>
      </c>
      <c r="AC20" t="s">
        <v>97</v>
      </c>
    </row>
    <row r="21" spans="1:29" x14ac:dyDescent="0.25">
      <c r="A21" s="7">
        <v>46204.5</v>
      </c>
      <c r="B21" t="s">
        <v>316</v>
      </c>
      <c r="C21" t="s">
        <v>85</v>
      </c>
      <c r="D21" s="8" t="s">
        <v>126</v>
      </c>
      <c r="E21" t="s">
        <v>87</v>
      </c>
      <c r="F21">
        <v>1</v>
      </c>
      <c r="G21" s="3">
        <v>233.36</v>
      </c>
      <c r="H21" s="3">
        <v>306.12</v>
      </c>
      <c r="I21" s="3">
        <f>H21-G21</f>
      </c>
      <c r="J21" s="3">
        <f>I21*16.67%</f>
      </c>
      <c r="K21" s="3">
        <v>21.43</v>
      </c>
      <c r="L21" s="3">
        <f>K21*20%</f>
      </c>
      <c r="M21" s="3">
        <v>8</v>
      </c>
      <c r="N21" s="3">
        <f>M21*20%</f>
      </c>
      <c r="O21" s="3">
        <v>1</v>
      </c>
      <c r="P21" s="3">
        <f>N21</f>
      </c>
      <c r="Q21" s="3">
        <f>I21-J21-K21-M21-N21-O21</f>
      </c>
      <c r="R21" s="3">
        <f>(Q21-Z21)/G21*100</f>
      </c>
      <c r="S21" s="3">
        <f>J21-P21</f>
      </c>
      <c r="T21" t="s">
        <v>1</v>
      </c>
      <c r="U21" t="s">
        <v>59</v>
      </c>
      <c r="AA21" s="3">
        <f>Q21-Z21</f>
      </c>
      <c r="AB21" t="s">
        <v>67</v>
      </c>
      <c r="AC21" t="s">
        <v>127</v>
      </c>
    </row>
    <row r="22" spans="1:29" s="6" customFormat="1" x14ac:dyDescent="0.25">
      <c r="A22" s="2" t="s">
        <v>17</v>
      </c>
      <c r="B22" s="6"/>
      <c r="C22" s="6"/>
      <c r="D22" s="6"/>
      <c r="E22" s="6"/>
      <c r="F22" s="9">
        <f>SUM(F2:F21)</f>
      </c>
      <c r="G22" s="9">
        <f>SUM(G2:G21)</f>
      </c>
      <c r="H22" s="9">
        <f>SUM(H2:H21)</f>
      </c>
      <c r="I22" s="9">
        <f>SUM(I2:I21)</f>
      </c>
      <c r="J22" s="9">
        <f>SUM(J2:J21)</f>
      </c>
      <c r="K22" s="9">
        <f>SUM(K2:K21)</f>
      </c>
      <c r="L22" s="9">
        <f>SUM(L2:L21)</f>
      </c>
      <c r="M22" s="9">
        <f>SUM(M2:M21)</f>
      </c>
      <c r="N22" s="9">
        <f>SUM(N2:N21)</f>
      </c>
      <c r="O22" s="9">
        <f>SUM(O2:O21)</f>
      </c>
      <c r="P22" s="9">
        <f>SUM(P2:P21)</f>
      </c>
      <c r="Q22" s="9">
        <f>SUM(Q2:Q21)</f>
      </c>
      <c r="R22" s="9">
        <f>IFERROR((Q22-Z22)/G22*100,0)</f>
      </c>
      <c r="S22" s="9">
        <f>SUM(S2:S21)</f>
      </c>
      <c r="T22" s="6"/>
      <c r="U22" s="6"/>
      <c r="V22" s="6"/>
      <c r="W22" s="6"/>
      <c r="X22" s="6"/>
      <c r="Y22" s="6"/>
      <c r="Z22" s="9">
        <f>SUM(Z2:Z21)</f>
      </c>
      <c r="AA22" s="9">
        <f>SUM(AA2:AA21)</f>
      </c>
      <c r="AB22" s="6"/>
      <c r="AC22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317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318</v>
      </c>
      <c r="B1" t="s">
        <v>319</v>
      </c>
    </row>
    <row r="2" spans="1:2" x14ac:dyDescent="0.25">
      <c r="A2" s="6" t="s">
        <v>320</v>
      </c>
      <c r="B2">
        <v>0</v>
      </c>
    </row>
    <row r="3" spans="1:2" x14ac:dyDescent="0.25">
      <c r="A3" s="6" t="s">
        <v>5</v>
      </c>
      <c r="B3">
        <v>0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321</v>
      </c>
      <c r="B6" s="3">
        <v>0</v>
      </c>
    </row>
    <row r="7" spans="1:2" x14ac:dyDescent="0.25">
      <c r="A7" s="6" t="s">
        <v>322</v>
      </c>
      <c r="B7" s="3">
        <v>0</v>
      </c>
    </row>
    <row r="9" spans="1:2" x14ac:dyDescent="0.25">
      <c r="A9" s="6" t="s">
        <v>323</v>
      </c>
      <c r="B9" t="s">
        <v>1</v>
      </c>
    </row>
    <row r="10" spans="1:2" x14ac:dyDescent="0.25">
      <c r="A10" t="s">
        <v>324</v>
      </c>
      <c r="B10" t="s">
        <v>325</v>
      </c>
    </row>
    <row r="11" spans="1:2" x14ac:dyDescent="0.25">
      <c r="A11" t="s">
        <v>326</v>
      </c>
      <c r="B11" t="s">
        <v>327</v>
      </c>
    </row>
    <row r="12" spans="1:2" x14ac:dyDescent="0.25">
      <c r="A12" t="s">
        <v>328</v>
      </c>
      <c r="B12" t="s">
        <v>329</v>
      </c>
    </row>
    <row r="14" spans="1:2" x14ac:dyDescent="0.25">
      <c r="A14" s="6" t="s">
        <v>330</v>
      </c>
      <c r="B14" t="s">
        <v>1</v>
      </c>
    </row>
    <row r="15" spans="1:2" x14ac:dyDescent="0.25">
      <c r="A15" t="s">
        <v>331</v>
      </c>
      <c r="B15" t="s">
        <v>332</v>
      </c>
    </row>
    <row r="16" spans="1:2" x14ac:dyDescent="0.25">
      <c r="A16" t="s">
        <v>333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334</v>
      </c>
      <c r="C1" t="s">
        <v>47</v>
      </c>
      <c r="D1" t="s">
        <v>53</v>
      </c>
      <c r="E1" t="s">
        <v>54</v>
      </c>
      <c r="F1" t="s">
        <v>29</v>
      </c>
      <c r="G1" t="s">
        <v>335</v>
      </c>
      <c r="H1" t="s">
        <v>336</v>
      </c>
      <c r="I1" t="s">
        <v>3</v>
      </c>
      <c r="J1" t="s">
        <v>337</v>
      </c>
      <c r="K1" t="s">
        <v>49</v>
      </c>
      <c r="L1" t="s">
        <v>338</v>
      </c>
      <c r="M1" t="s">
        <v>46</v>
      </c>
      <c r="N1" t="s">
        <v>339</v>
      </c>
      <c r="O1" t="s">
        <v>51</v>
      </c>
      <c r="P1" t="s">
        <v>9</v>
      </c>
    </row>
    <row r="2" spans="1:1" x14ac:dyDescent="0.25">
      <c r="A2" s="10" t="s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334</v>
      </c>
      <c r="B1" t="s">
        <v>47</v>
      </c>
      <c r="C1" t="s">
        <v>341</v>
      </c>
      <c r="D1" t="s">
        <v>342</v>
      </c>
      <c r="E1" t="s">
        <v>343</v>
      </c>
      <c r="F1" t="s">
        <v>344</v>
      </c>
      <c r="G1" t="s">
        <v>46</v>
      </c>
    </row>
    <row r="2" spans="1:1" x14ac:dyDescent="0.25">
      <c r="A2" s="10" t="s">
        <v>345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2026-08-02T18:00:11Z</dcterms:created>
  <dcterms:modified xsi:type="dcterms:W3CDTF">2026-08-02T18:00:11Z</dcterms:modified>
</cp:coreProperties>
</file>