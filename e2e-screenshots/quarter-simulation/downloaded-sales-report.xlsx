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Accessories" state="visible" r:id="rId10"/>
    <sheet sheetId="8" name="Returns Summary" state="visible" r:id="rId11"/>
    <sheet sheetId="9" name="Returns Detail" state="visible" r:id="rId12"/>
    <sheet sheetId="10" name="Unit Histories" state="visible" r:id="rId13"/>
  </sheets>
  <calcPr calcId="171027"/>
</workbook>
</file>

<file path=xl/sharedStrings.xml><?xml version="1.0" encoding="utf-8"?>
<sst xmlns="http://schemas.openxmlformats.org/spreadsheetml/2006/main" count="21187" uniqueCount="3870">
  <si>
    <t>Sales Report — Audit Summary</t>
  </si>
  <si>
    <t/>
  </si>
  <si>
    <t>Period: All Time</t>
  </si>
  <si>
    <t>Marketplace</t>
  </si>
  <si>
    <t>Sales</t>
  </si>
  <si>
    <t>Refunds</t>
  </si>
  <si>
    <t>Replacements</t>
  </si>
  <si>
    <t>Repairs</t>
  </si>
  <si>
    <t>Gross GP £</t>
  </si>
  <si>
    <t>Postage Loss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</si>
  <si>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</si>
  <si>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</si>
  <si>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</si>
  <si>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</si>
  <si>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</si>
  <si>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</si>
  <si>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</si>
  <si>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</si>
  <si>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</si>
  <si>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</si>
  <si>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</si>
  <si>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</t>
  </si>
  <si>
    <t>• Net GP = Gross GP − Postage Loss.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</si>
  <si>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</si>
  <si>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</si>
  <si>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</si>
  <si>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</si>
  <si>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</si>
  <si>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</si>
  <si>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</si>
  <si>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</si>
  <si>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</si>
  <si>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</si>
  <si>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</si>
  <si>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</si>
  <si>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</si>
  <si>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</si>
  <si>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</si>
  <si>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</si>
  <si>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</si>
  <si>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</si>
  <si>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Accessories</t>
  </si>
  <si>
    <t>Total VAT</t>
  </si>
  <si>
    <t>GP</t>
  </si>
  <si>
    <t>GP %</t>
  </si>
  <si>
    <t>Total VAT NTP</t>
  </si>
  <si>
    <t>Comments</t>
  </si>
  <si>
    <t>Model</t>
  </si>
  <si>
    <t>Return Date</t>
  </si>
  <si>
    <t>Outcome</t>
  </si>
  <si>
    <t>Return Reason</t>
  </si>
  <si>
    <t>Shipping Legs</t>
  </si>
  <si>
    <t>Postage Loss</t>
  </si>
  <si>
    <t>Storage</t>
  </si>
  <si>
    <t>Colour</t>
  </si>
  <si>
    <t>SIM-MANUAL-UNIT-1</t>
  </si>
  <si>
    <t>350000000000016</t>
  </si>
  <si>
    <t>MHL</t>
  </si>
  <si>
    <t>Z Flip5</t>
  </si>
  <si>
    <t>256GB</t>
  </si>
  <si>
    <t>Graphite</t>
  </si>
  <si>
    <t>SIM-AMAZON-001215</t>
  </si>
  <si>
    <t>350000000000751</t>
  </si>
  <si>
    <t>IMAX</t>
  </si>
  <si>
    <t>X Cover 6 Pro</t>
  </si>
  <si>
    <t>128GB</t>
  </si>
  <si>
    <t>SIM-AMAZON-001230</t>
  </si>
  <si>
    <t>350000000000761</t>
  </si>
  <si>
    <t>S23 Ultra</t>
  </si>
  <si>
    <t>Black</t>
  </si>
  <si>
    <t>SIM-AMAZON-001247</t>
  </si>
  <si>
    <t>350000000000773</t>
  </si>
  <si>
    <t>GLOBALTECH</t>
  </si>
  <si>
    <t>Note 20 Ultra</t>
  </si>
  <si>
    <t>Midnight</t>
  </si>
  <si>
    <t>SIM-AMAZON-001263</t>
  </si>
  <si>
    <t>350000000000783</t>
  </si>
  <si>
    <t>NIHAL</t>
  </si>
  <si>
    <t>SIM-AMAZON-001281</t>
  </si>
  <si>
    <t>SN0000FV579</t>
  </si>
  <si>
    <t>iPhone 14 Pro</t>
  </si>
  <si>
    <t>SIM-AMAZON-001285</t>
  </si>
  <si>
    <t>SN0000G0AAA</t>
  </si>
  <si>
    <t>MacBook Air M2</t>
  </si>
  <si>
    <t>Green</t>
  </si>
  <si>
    <t>SIM-AMAZON-001298</t>
  </si>
  <si>
    <t>350000000000803</t>
  </si>
  <si>
    <t>White</t>
  </si>
  <si>
    <t>SIM-AMAZON-001313</t>
  </si>
  <si>
    <t>SN0000GFRKD</t>
  </si>
  <si>
    <t>Galaxy Tab A9</t>
  </si>
  <si>
    <t>SIM-AMAZON-001315</t>
  </si>
  <si>
    <t>350000000000811</t>
  </si>
  <si>
    <t>AcmeMobile ZX200</t>
  </si>
  <si>
    <t>64GB</t>
  </si>
  <si>
    <t>SIM-AMAZON-001331</t>
  </si>
  <si>
    <t>SN0000GR579</t>
  </si>
  <si>
    <t>iPhone 13</t>
  </si>
  <si>
    <t>Blue</t>
  </si>
  <si>
    <t>SIM-AMAZON-001337</t>
  </si>
  <si>
    <t>350000000000826</t>
  </si>
  <si>
    <t>PRIME MOBILE</t>
  </si>
  <si>
    <t>SIM-AMAZON-001353</t>
  </si>
  <si>
    <t>SN0000GYCQ4</t>
  </si>
  <si>
    <t>Silver</t>
  </si>
  <si>
    <t>SIM-AMAZON-001357</t>
  </si>
  <si>
    <t>SN0000H1FDB</t>
  </si>
  <si>
    <t>SIM-AMAZON-001365</t>
  </si>
  <si>
    <t>SN0000H6LGC</t>
  </si>
  <si>
    <t>SIM-AMAZON-001366</t>
  </si>
  <si>
    <t>SN0000H7MPR</t>
  </si>
  <si>
    <t>SIM-AMAZON-001382</t>
  </si>
  <si>
    <t>SN0000HEU8L</t>
  </si>
  <si>
    <t>iPad 9th Gen</t>
  </si>
  <si>
    <t>SIM-AMAZON-001385</t>
  </si>
  <si>
    <t>350000000000854</t>
  </si>
  <si>
    <t>SIM-AMAZON-001392</t>
  </si>
  <si>
    <t>350000000000858</t>
  </si>
  <si>
    <t>SIM-AMAZON-001397</t>
  </si>
  <si>
    <t>SN0000HJZBM</t>
  </si>
  <si>
    <t>SIM-AMAZON-001399</t>
  </si>
  <si>
    <t>SN0000HK2J2</t>
  </si>
  <si>
    <t>SIM-AMAZON-001410</t>
  </si>
  <si>
    <t>SN0000HQ8UG</t>
  </si>
  <si>
    <t>Watch Series 9 45mm GPS</t>
  </si>
  <si>
    <t>Not Applicable</t>
  </si>
  <si>
    <t>SIM-AMAZON-001411</t>
  </si>
  <si>
    <t>350000000000868</t>
  </si>
  <si>
    <t>SIM-AMAZON-001421</t>
  </si>
  <si>
    <t>350000000000874</t>
  </si>
  <si>
    <t>Galaxy S22</t>
  </si>
  <si>
    <t>SIM-AMAZON-001426</t>
  </si>
  <si>
    <t>350000000000878</t>
  </si>
  <si>
    <t>A14 5G</t>
  </si>
  <si>
    <t>SIM-AMAZON-001441</t>
  </si>
  <si>
    <t>350000000000888</t>
  </si>
  <si>
    <t>SIM-AMAZON-001449</t>
  </si>
  <si>
    <t>350000000000894</t>
  </si>
  <si>
    <t>Pixel 8</t>
  </si>
  <si>
    <t>SIM-AMAZON-001452</t>
  </si>
  <si>
    <t>SN0000I8SSS</t>
  </si>
  <si>
    <t>SIM-AMAZON-001454</t>
  </si>
  <si>
    <t>SN0000IAU8L</t>
  </si>
  <si>
    <t>SIM-AMAZON-001458</t>
  </si>
  <si>
    <t>350000000000898</t>
  </si>
  <si>
    <t>SIM-AMAZON-001461</t>
  </si>
  <si>
    <t>350000000000900</t>
  </si>
  <si>
    <t>SIM-AMAZON-001464</t>
  </si>
  <si>
    <t>350000000000903</t>
  </si>
  <si>
    <t>SIM-AMAZON-001470</t>
  </si>
  <si>
    <t>SN0000IEY48</t>
  </si>
  <si>
    <t>SIM-AMAZON-001474</t>
  </si>
  <si>
    <t>350000000000911</t>
  </si>
  <si>
    <t>SIM-AMAZON-001479</t>
  </si>
  <si>
    <t>350000000000916</t>
  </si>
  <si>
    <t>SIM-AMAZON-001483</t>
  </si>
  <si>
    <t>350000000000919</t>
  </si>
  <si>
    <t>SIM-AMAZON-001484</t>
  </si>
  <si>
    <t>SN0000IH3RF</t>
  </si>
  <si>
    <t>SIM-AMAZON-001495</t>
  </si>
  <si>
    <t>SN0000IN93V</t>
  </si>
  <si>
    <t>SIM-AMAZON-001505</t>
  </si>
  <si>
    <t>350000000000933</t>
  </si>
  <si>
    <t>SIM-AMAZON-001508</t>
  </si>
  <si>
    <t>350000000000936</t>
  </si>
  <si>
    <t>SIM-AMAZON-001509</t>
  </si>
  <si>
    <t>350000000000937</t>
  </si>
  <si>
    <t>SIM-AMAZON-001518</t>
  </si>
  <si>
    <t>350000000000944</t>
  </si>
  <si>
    <t>SIM-AMAZON-001521</t>
  </si>
  <si>
    <t>350000000000946</t>
  </si>
  <si>
    <t>Galaxy A54</t>
  </si>
  <si>
    <t>SIM-AMAZON-002121</t>
  </si>
  <si>
    <t>USB-C-25W</t>
  </si>
  <si>
    <t>SIM-AMAZON-002122</t>
  </si>
  <si>
    <t>SIM-AMAZON-002136</t>
  </si>
  <si>
    <t>SIM-PIN-01</t>
  </si>
  <si>
    <t>SIM-AMAZON-002138</t>
  </si>
  <si>
    <t>SIM-AMAZON-002139</t>
  </si>
  <si>
    <t>SIM-AMAZON-002141</t>
  </si>
  <si>
    <t>SIM-AMAZON-002154</t>
  </si>
  <si>
    <t>CBL-USBC-1M</t>
  </si>
  <si>
    <t>SIM-AMAZON-002162</t>
  </si>
  <si>
    <t>SIM-AMAZON-002167</t>
  </si>
  <si>
    <t>CASE-CLR-UNI</t>
  </si>
  <si>
    <t>SIM-AMAZON-001630</t>
  </si>
  <si>
    <t>SIM-AMAZON-001636</t>
  </si>
  <si>
    <t>SIM-AMAZON-002110</t>
  </si>
  <si>
    <t>USB-C-20W</t>
  </si>
  <si>
    <t>SIM-AMAZON-001127</t>
  </si>
  <si>
    <t>SN0000DSSSS</t>
  </si>
  <si>
    <t>SIM-AMAZON-001186</t>
  </si>
  <si>
    <t>350000000000735</t>
  </si>
  <si>
    <t>SIM-AMAZON-001220</t>
  </si>
  <si>
    <t>SN0000F5BHP</t>
  </si>
  <si>
    <t>SIM-AMAZON-001371</t>
  </si>
  <si>
    <t>350000000000847</t>
  </si>
  <si>
    <t>SIM-AMAZON-001422</t>
  </si>
  <si>
    <t>350000000000875</t>
  </si>
  <si>
    <t>SIM-AMAZON-002128</t>
  </si>
  <si>
    <t>SIM-AMAZON-001120</t>
  </si>
  <si>
    <t>SN0000DNMPR</t>
  </si>
  <si>
    <t>SIM-AMAZON-001193</t>
  </si>
  <si>
    <t>350000000000737</t>
  </si>
  <si>
    <t>SIM-AMAZON-001204</t>
  </si>
  <si>
    <t>350000000000745</t>
  </si>
  <si>
    <t>SIM-AMAZON-001229</t>
  </si>
  <si>
    <t>SN0000F8E6W</t>
  </si>
  <si>
    <t>SIM-AMAZON-001349</t>
  </si>
  <si>
    <t>350000000000835</t>
  </si>
  <si>
    <t>SIM-AMAZON-001606</t>
  </si>
  <si>
    <t>SIM-AMAZON-001181</t>
  </si>
  <si>
    <t>350000000000731</t>
  </si>
  <si>
    <t>SIM-AMAZON-001203</t>
  </si>
  <si>
    <t>SN0000EUY48</t>
  </si>
  <si>
    <t>SIM-AMAZON-001274</t>
  </si>
  <si>
    <t>350000000000791</t>
  </si>
  <si>
    <t>SIM-AMAZON-001398</t>
  </si>
  <si>
    <t>350000000000862</t>
  </si>
  <si>
    <t>SIM-AMAZON-002175</t>
  </si>
  <si>
    <t>SIM-AMAZON-001224</t>
  </si>
  <si>
    <t>350000000000756</t>
  </si>
  <si>
    <t>SIM-AMAZON-001302</t>
  </si>
  <si>
    <t>350000000000805</t>
  </si>
  <si>
    <t>SIM-AMAZON-001304</t>
  </si>
  <si>
    <t>350000000000806</t>
  </si>
  <si>
    <t>SIM-AMAZON-002091</t>
  </si>
  <si>
    <t>SIM-AMAZON-001629</t>
  </si>
  <si>
    <t>SIM-AMAZON-001242</t>
  </si>
  <si>
    <t>350000000000770</t>
  </si>
  <si>
    <t>SIM-AMAZON-001623</t>
  </si>
  <si>
    <t>SIM-AMAZON-001102</t>
  </si>
  <si>
    <t>350000000000689</t>
  </si>
  <si>
    <t>M53</t>
  </si>
  <si>
    <t>SIM-AMAZON-001139</t>
  </si>
  <si>
    <t>350000000000711</t>
  </si>
  <si>
    <t>SIM-AMAZON-001161</t>
  </si>
  <si>
    <t>SN0000EACQ4</t>
  </si>
  <si>
    <t>SIM-AMAZON-001310</t>
  </si>
  <si>
    <t>350000000000808</t>
  </si>
  <si>
    <t>SIM-AMAZON-001312</t>
  </si>
  <si>
    <t>350000000000810</t>
  </si>
  <si>
    <t>SIM-AMAZON-001619</t>
  </si>
  <si>
    <t>SIM-AMAZON-001040</t>
  </si>
  <si>
    <t>350000000000640</t>
  </si>
  <si>
    <t>SIM-AMAZON-002084</t>
  </si>
  <si>
    <t>SIM-AMAZON-001592</t>
  </si>
  <si>
    <t>SIM-AMAZON-001115</t>
  </si>
  <si>
    <t>SN0000DLK9X</t>
  </si>
  <si>
    <t>SIM-AMAZON-001189</t>
  </si>
  <si>
    <t>SN0000EPTZ7</t>
  </si>
  <si>
    <t>SIM-AMAZON-002028</t>
  </si>
  <si>
    <t>SIM-AMAZON-002076</t>
  </si>
  <si>
    <t>SCR-PROT-UNI</t>
  </si>
  <si>
    <t>SIM-AMAZON-001065</t>
  </si>
  <si>
    <t>350000000000665</t>
  </si>
  <si>
    <t>SIM-AMAZON-001082</t>
  </si>
  <si>
    <t>350000000000675</t>
  </si>
  <si>
    <t>SIM-AMAZON-001168</t>
  </si>
  <si>
    <t>SN0000EFHT5</t>
  </si>
  <si>
    <t>SIM-AMAZON-002078</t>
  </si>
  <si>
    <t>SIM-AMAZON-002082</t>
  </si>
  <si>
    <t>SIM-AMAZON-001058</t>
  </si>
  <si>
    <t>350000000000660</t>
  </si>
  <si>
    <t>SIM-AMAZON-001163</t>
  </si>
  <si>
    <t>SN0000EBDXH</t>
  </si>
  <si>
    <t>SIM-AMAZON-001290</t>
  </si>
  <si>
    <t>350000000000800</t>
  </si>
  <si>
    <t>SIM-AMAZON-001138</t>
  </si>
  <si>
    <t>350000000000710</t>
  </si>
  <si>
    <t>SIM-AMAZON-001196</t>
  </si>
  <si>
    <t>350000000000740</t>
  </si>
  <si>
    <t>SIM-AMAZON-000988</t>
  </si>
  <si>
    <t>350000000000609</t>
  </si>
  <si>
    <t>SIM-AMAZON-002062</t>
  </si>
  <si>
    <t>SIM-AMAZON-002063</t>
  </si>
  <si>
    <t>SIM-AMAZON-001067</t>
  </si>
  <si>
    <t>350000000000667</t>
  </si>
  <si>
    <t>SIM-AMAZON-002061</t>
  </si>
  <si>
    <t>SIM-AMAZON-000935</t>
  </si>
  <si>
    <t>350000000000583</t>
  </si>
  <si>
    <t>SIM-AMAZON-002027</t>
  </si>
  <si>
    <t>SIM-AMAZON-002033</t>
  </si>
  <si>
    <t>SIM-AMAZON-001091</t>
  </si>
  <si>
    <t>350000000000681</t>
  </si>
  <si>
    <t>SIM-AMAZON-001185</t>
  </si>
  <si>
    <t>350000000000734</t>
  </si>
  <si>
    <t>SIM-AMAZON-001206</t>
  </si>
  <si>
    <t>SN0000EW2J2</t>
  </si>
  <si>
    <t>SIM-AMAZON-001246</t>
  </si>
  <si>
    <t>SN0000FFMPR</t>
  </si>
  <si>
    <t>Watch SE 40mm GPS</t>
  </si>
  <si>
    <t>SIM-AMAZON-001150</t>
  </si>
  <si>
    <t>350000000000716</t>
  </si>
  <si>
    <t>SIM-AMAZON-002077</t>
  </si>
  <si>
    <t>SIM-AMAZON-000877</t>
  </si>
  <si>
    <t>350000000000545</t>
  </si>
  <si>
    <t>SIM-AMAZON-002039</t>
  </si>
  <si>
    <t>SIM-AMAZON-002042</t>
  </si>
  <si>
    <t>SIM-AMAZON-001195</t>
  </si>
  <si>
    <t>350000000000739</t>
  </si>
  <si>
    <t>SIM-AMAZON-001044</t>
  </si>
  <si>
    <t>350000000000646</t>
  </si>
  <si>
    <t>SIM-AMAZON-000858</t>
  </si>
  <si>
    <t>350000000000533</t>
  </si>
  <si>
    <t>SIM-AMAZON-001074</t>
  </si>
  <si>
    <t>350000000000671</t>
  </si>
  <si>
    <t>SIM-AMAZON-000847</t>
  </si>
  <si>
    <t>350000000000526</t>
  </si>
  <si>
    <t>SIM-AMAZON-000986</t>
  </si>
  <si>
    <t>350000000000608</t>
  </si>
  <si>
    <t>SIM-AMAZON-001002</t>
  </si>
  <si>
    <t>350000000000621</t>
  </si>
  <si>
    <t>SIM-AMAZON-002016</t>
  </si>
  <si>
    <t>SIM-AMAZON-002019</t>
  </si>
  <si>
    <t>SIM-AMAZON-001037</t>
  </si>
  <si>
    <t>350000000000638</t>
  </si>
  <si>
    <t>SIM-AMAZON-001076</t>
  </si>
  <si>
    <t>SN0000D3ZBM</t>
  </si>
  <si>
    <t>SIM-AMAZON-000905</t>
  </si>
  <si>
    <t>350000000000563</t>
  </si>
  <si>
    <t>SIM-AMAZON-000869</t>
  </si>
  <si>
    <t>350000000000539</t>
  </si>
  <si>
    <t>SIM-AMAZON-000908</t>
  </si>
  <si>
    <t>SN0000B2QCY</t>
  </si>
  <si>
    <t>SIM-AMAZON-001004</t>
  </si>
  <si>
    <t>350000000000623</t>
  </si>
  <si>
    <t>SIM-AMAZON-001966</t>
  </si>
  <si>
    <t>SIM-AMAZON-001049</t>
  </si>
  <si>
    <t>350000000000651</t>
  </si>
  <si>
    <t>SIM-AMAZON-001053</t>
  </si>
  <si>
    <t>SN0000CVRKD</t>
  </si>
  <si>
    <t>SIM-AMAZON-000833</t>
  </si>
  <si>
    <t>SN0000A5P5K</t>
  </si>
  <si>
    <t>SIM-AMAZON-000921</t>
  </si>
  <si>
    <t>350000000000575</t>
  </si>
  <si>
    <t>SIM-AMAZON-001596</t>
  </si>
  <si>
    <t>SIM-AMAZON-001055</t>
  </si>
  <si>
    <t>350000000000656</t>
  </si>
  <si>
    <t>SIM-AMAZON-001034</t>
  </si>
  <si>
    <t>SN0000CSNW6</t>
  </si>
  <si>
    <t>SIM-AMAZON-001996</t>
  </si>
  <si>
    <t>SIM-AMAZON-000791</t>
  </si>
  <si>
    <t>350000000000490</t>
  </si>
  <si>
    <t>SIM-AMAZON-000836</t>
  </si>
  <si>
    <t>350000000000518</t>
  </si>
  <si>
    <t>SIM-AMAZON-000872</t>
  </si>
  <si>
    <t>350000000000541</t>
  </si>
  <si>
    <t>SIM-AMAZON-001012</t>
  </si>
  <si>
    <t>SN0000CF93V</t>
  </si>
  <si>
    <t>SIM-AMAZON-000710</t>
  </si>
  <si>
    <t>SN00008GSSS</t>
  </si>
  <si>
    <t>SIM-AMAZON-000819</t>
  </si>
  <si>
    <t>350000000000507</t>
  </si>
  <si>
    <t>SIM-AMAZON-001014</t>
  </si>
  <si>
    <t>SN0000CICQ4</t>
  </si>
  <si>
    <t>SIM-AMAZON-001986</t>
  </si>
  <si>
    <t>SIM-AMAZON-002014</t>
  </si>
  <si>
    <t>SIM-AMAZON-001974</t>
  </si>
  <si>
    <t>SIM-AMAZON-000739</t>
  </si>
  <si>
    <t>350000000000464</t>
  </si>
  <si>
    <t>SIM-AMAZON-001972</t>
  </si>
  <si>
    <t>SIM-AMAZON-000940</t>
  </si>
  <si>
    <t>350000000000584</t>
  </si>
  <si>
    <t>SIM-AMAZON-000964</t>
  </si>
  <si>
    <t>SN0000BULGC</t>
  </si>
  <si>
    <t>SIM-AMAZON-001995</t>
  </si>
  <si>
    <t>SIM-AMAZON-002022</t>
  </si>
  <si>
    <t>SIM-AMAZON-000708</t>
  </si>
  <si>
    <t>SN00008FRKD</t>
  </si>
  <si>
    <t>SIM-AMAZON-000804</t>
  </si>
  <si>
    <t>350000000000495</t>
  </si>
  <si>
    <t>SIM-AMAZON-000849</t>
  </si>
  <si>
    <t>SN0000ABVFZ</t>
  </si>
  <si>
    <t>SIM-AMAZON-000927</t>
  </si>
  <si>
    <t>350000000000578</t>
  </si>
  <si>
    <t>SIM-AMAZON-000951</t>
  </si>
  <si>
    <t>SN0000BOE6W</t>
  </si>
  <si>
    <t>SIM-AMAZON-000684</t>
  </si>
  <si>
    <t>350000000000428</t>
  </si>
  <si>
    <t>SIM-AMAZON-000853</t>
  </si>
  <si>
    <t>350000000000528</t>
  </si>
  <si>
    <t>SIM-AMAZON-000874</t>
  </si>
  <si>
    <t>SN0000AN93V</t>
  </si>
  <si>
    <t>SIM-AMAZON-000922</t>
  </si>
  <si>
    <t>350000000000576</t>
  </si>
  <si>
    <t>SIM-AMAZON-000932</t>
  </si>
  <si>
    <t>SN0000BBZBM</t>
  </si>
  <si>
    <t>SIM-AMAZON-001993</t>
  </si>
  <si>
    <t>SIM-AMAZON-001962</t>
  </si>
  <si>
    <t>SIM-AMAZON-000813</t>
  </si>
  <si>
    <t>350000000000501</t>
  </si>
  <si>
    <t>SIM-AMAZON-000895</t>
  </si>
  <si>
    <t>SN0000AYLGC</t>
  </si>
  <si>
    <t>SIM-AMAZON-000963</t>
  </si>
  <si>
    <t>SN0000BTK9X</t>
  </si>
  <si>
    <t>SIM-AMAZON-001581</t>
  </si>
  <si>
    <t>SIM-AMAZON-000654</t>
  </si>
  <si>
    <t>SN00007T3RF</t>
  </si>
  <si>
    <t>SIM-AMAZON-000765</t>
  </si>
  <si>
    <t>350000000000478</t>
  </si>
  <si>
    <t>SIM-AMAZON-000947</t>
  </si>
  <si>
    <t>SN0000BMCQ4</t>
  </si>
  <si>
    <t>SIM-AMAZON-001939</t>
  </si>
  <si>
    <t>SIM-AMAZON-001948</t>
  </si>
  <si>
    <t>SIM-AMAZON-000727</t>
  </si>
  <si>
    <t>350000000000456</t>
  </si>
  <si>
    <t>SIM-AMAZON-000792</t>
  </si>
  <si>
    <t>SN00009JZBM</t>
  </si>
  <si>
    <t>SIM-AMAZON-000893</t>
  </si>
  <si>
    <t>SN0000AWJ2J</t>
  </si>
  <si>
    <t>SIM-AMAZON-001909</t>
  </si>
  <si>
    <t>SIM-AMAZON-000717</t>
  </si>
  <si>
    <t>350000000000449</t>
  </si>
  <si>
    <t>SIM-AMAZON-000892</t>
  </si>
  <si>
    <t>350000000000554</t>
  </si>
  <si>
    <t>SIM-AMAZON-001885</t>
  </si>
  <si>
    <t>SIM-AMAZON-001575</t>
  </si>
  <si>
    <t>SIM-AMAZON-000713</t>
  </si>
  <si>
    <t>350000000000447</t>
  </si>
  <si>
    <t>SIM-AMAZON-000745</t>
  </si>
  <si>
    <t>350000000000467</t>
  </si>
  <si>
    <t>SIM-AMAZON-000891</t>
  </si>
  <si>
    <t>350000000000553</t>
  </si>
  <si>
    <t>SIM-AMAZON-001918</t>
  </si>
  <si>
    <t>SIM-AMAZON-000570</t>
  </si>
  <si>
    <t>SN00006OSSS</t>
  </si>
  <si>
    <t>SIM-AMAZON-000571</t>
  </si>
  <si>
    <t>350000000000357</t>
  </si>
  <si>
    <t>SIM-AMAZON-000608</t>
  </si>
  <si>
    <t>SN00007BHT5</t>
  </si>
  <si>
    <t>SIM-AMAZON-000632</t>
  </si>
  <si>
    <t>350000000000392</t>
  </si>
  <si>
    <t>SIM-AMAZON-001946</t>
  </si>
  <si>
    <t>SIM-AMAZON-001949</t>
  </si>
  <si>
    <t>SIM-AMAZON-000555</t>
  </si>
  <si>
    <t>SN00006GJ2J</t>
  </si>
  <si>
    <t>SIM-AMAZON-000662</t>
  </si>
  <si>
    <t>350000000000412</t>
  </si>
  <si>
    <t>SIM-AMAZON-000749</t>
  </si>
  <si>
    <t>350000000000471</t>
  </si>
  <si>
    <t>SIM-AMAZON-000755</t>
  </si>
  <si>
    <t>350000000000473</t>
  </si>
  <si>
    <t>SIM-AMAZON-000865</t>
  </si>
  <si>
    <t>350000000000538</t>
  </si>
  <si>
    <t>SIM-AMAZON-000548</t>
  </si>
  <si>
    <t>SN00006ACQ4</t>
  </si>
  <si>
    <t>SIM-AMAZON-000594</t>
  </si>
  <si>
    <t>SN00007393V</t>
  </si>
  <si>
    <t>SIM-AMAZON-000645</t>
  </si>
  <si>
    <t>SN00007NVFZ</t>
  </si>
  <si>
    <t>SIM-AMAZON-000800</t>
  </si>
  <si>
    <t>SN00009O6EN</t>
  </si>
  <si>
    <t>SIM-AMAZON-000499</t>
  </si>
  <si>
    <t>350000000000312</t>
  </si>
  <si>
    <t>SIM-AMAZON-001927</t>
  </si>
  <si>
    <t>SIM-AMAZON-001930</t>
  </si>
  <si>
    <t>SIM-AMAZON-001935</t>
  </si>
  <si>
    <t>SIM-AMAZON-000530</t>
  </si>
  <si>
    <t>SN000063579</t>
  </si>
  <si>
    <t>SIM-AMAZON-000697</t>
  </si>
  <si>
    <t>SN00008ALGC</t>
  </si>
  <si>
    <t>SIM-AMAZON-000829</t>
  </si>
  <si>
    <t>350000000000514</t>
  </si>
  <si>
    <t>SIM-AMAZON-000757</t>
  </si>
  <si>
    <t>350000000000474</t>
  </si>
  <si>
    <t>SIM-AMAZON-000790</t>
  </si>
  <si>
    <t>SN00009IY48</t>
  </si>
  <si>
    <t>SIM-AMAZON-000805</t>
  </si>
  <si>
    <t>SN00009R93V</t>
  </si>
  <si>
    <t>SIM-AMAZON-001555</t>
  </si>
  <si>
    <t>SIM-AMAZON-000628</t>
  </si>
  <si>
    <t>350000000000389</t>
  </si>
  <si>
    <t>SIM-AMAZON-000704</t>
  </si>
  <si>
    <t>SN00008CNW6</t>
  </si>
  <si>
    <t>SIM-AMAZON-000529</t>
  </si>
  <si>
    <t>350000000000334</t>
  </si>
  <si>
    <t>SIM-AMAZON-000551</t>
  </si>
  <si>
    <t>SN00006DFDB</t>
  </si>
  <si>
    <t>SIM-AMAZON-000617</t>
  </si>
  <si>
    <t>SN00007FMPR</t>
  </si>
  <si>
    <t>SIM-AMAZON-000741</t>
  </si>
  <si>
    <t>SN00008R579</t>
  </si>
  <si>
    <t>SIM-AMAZON-000656</t>
  </si>
  <si>
    <t>SN00007U4YU</t>
  </si>
  <si>
    <t>SIM-AMAZON-000675</t>
  </si>
  <si>
    <t>SN000082CQ4</t>
  </si>
  <si>
    <t>SIM-AMAZON-000477</t>
  </si>
  <si>
    <t>SN00005FDXH</t>
  </si>
  <si>
    <t>SIM-AMAZON-000681</t>
  </si>
  <si>
    <t>350000000000425</t>
  </si>
  <si>
    <t>SIM-AMAZON-000702</t>
  </si>
  <si>
    <t>350000000000439</t>
  </si>
  <si>
    <t>SIM-AMAZON-001932</t>
  </si>
  <si>
    <t>SIM-AMAZON-000566</t>
  </si>
  <si>
    <t>350000000000355</t>
  </si>
  <si>
    <t>SIM-AMAZON-000696</t>
  </si>
  <si>
    <t>350000000000435</t>
  </si>
  <si>
    <t>SIM-AMAZON-000494</t>
  </si>
  <si>
    <t>350000000000310</t>
  </si>
  <si>
    <t>SIM-AMAZON-000376</t>
  </si>
  <si>
    <t>SN0000493RF</t>
  </si>
  <si>
    <t>SIM-AMAZON-000429</t>
  </si>
  <si>
    <t>350000000000269</t>
  </si>
  <si>
    <t>SIM-AMAZON-001908</t>
  </si>
  <si>
    <t>SIM-AMAZON-001936</t>
  </si>
  <si>
    <t>SIM-AMAZON-000606</t>
  </si>
  <si>
    <t>SN000079FDB</t>
  </si>
  <si>
    <t>SIM-AMAZON-000639</t>
  </si>
  <si>
    <t>350000000000396</t>
  </si>
  <si>
    <t>SIM-AMAZON-000425</t>
  </si>
  <si>
    <t>350000000000265</t>
  </si>
  <si>
    <t>SIM-AMAZON-000451</t>
  </si>
  <si>
    <t>350000000000283</t>
  </si>
  <si>
    <t>SIM-AMAZON-001810</t>
  </si>
  <si>
    <t>SIM-AMAZON-000528</t>
  </si>
  <si>
    <t>SN0000624YU</t>
  </si>
  <si>
    <t>SIM-AMAZON-000562</t>
  </si>
  <si>
    <t>350000000000351</t>
  </si>
  <si>
    <t>SIM-AMAZON-000395</t>
  </si>
  <si>
    <t>SN00004LFDB</t>
  </si>
  <si>
    <t>SIM-AMAZON-001805</t>
  </si>
  <si>
    <t>SIM-AMAZON-001807</t>
  </si>
  <si>
    <t>SIM-AMAZON-000615</t>
  </si>
  <si>
    <t>350000000000379</t>
  </si>
  <si>
    <t>SIM-AMAZON-000392</t>
  </si>
  <si>
    <t>SN00004KE6W</t>
  </si>
  <si>
    <t>SIM-AMAZON-000434</t>
  </si>
  <si>
    <t>350000000000274</t>
  </si>
  <si>
    <t>SIM-AMAZON-000479</t>
  </si>
  <si>
    <t>350000000000302</t>
  </si>
  <si>
    <t>SIM-AMAZON-001826</t>
  </si>
  <si>
    <t>SIM-AMAZON-001830</t>
  </si>
  <si>
    <t>SIM-AMAZON-001823</t>
  </si>
  <si>
    <t>SIM-AMAZON-001835</t>
  </si>
  <si>
    <t>SIM-AMAZON-000569</t>
  </si>
  <si>
    <t>350000000000356</t>
  </si>
  <si>
    <t>SIM-AMAZON-000641</t>
  </si>
  <si>
    <t>350000000000398</t>
  </si>
  <si>
    <t>SIM-AMAZON-000519</t>
  </si>
  <si>
    <t>350000000000327</t>
  </si>
  <si>
    <t>SIM-AMAZON-000348</t>
  </si>
  <si>
    <t>350000000000223</t>
  </si>
  <si>
    <t>SIM-AMAZON-000387</t>
  </si>
  <si>
    <t>350000000000239</t>
  </si>
  <si>
    <t>SIM-AMAZON-001833</t>
  </si>
  <si>
    <t>SIM-AMAZON-000602</t>
  </si>
  <si>
    <t>SN000077DXH</t>
  </si>
  <si>
    <t>SIM-AMAZON-000619</t>
  </si>
  <si>
    <t>350000000000381</t>
  </si>
  <si>
    <t>SIM-AMAZON-000498</t>
  </si>
  <si>
    <t>SN00005RRKD</t>
  </si>
  <si>
    <t>SIM-AMAZON-000402</t>
  </si>
  <si>
    <t>SN00004OJ2J</t>
  </si>
  <si>
    <t>SIM-AMAZON-000404</t>
  </si>
  <si>
    <t>350000000000252</t>
  </si>
  <si>
    <t>SIM-AMAZON-001851</t>
  </si>
  <si>
    <t>SIM-AMAZON-000610</t>
  </si>
  <si>
    <t>350000000000375</t>
  </si>
  <si>
    <t>SIM-AMAZON-000286</t>
  </si>
  <si>
    <t>350000000000190</t>
  </si>
  <si>
    <t>SIM-AMAZON-000513</t>
  </si>
  <si>
    <t>350000000000324</t>
  </si>
  <si>
    <t>SIM-AMAZON-000272</t>
  </si>
  <si>
    <t>350000000000180</t>
  </si>
  <si>
    <t>SIM-AMAZON-000290</t>
  </si>
  <si>
    <t>SN000030NW6</t>
  </si>
  <si>
    <t>SIM-AMAZON-000424</t>
  </si>
  <si>
    <t>350000000000264</t>
  </si>
  <si>
    <t>SIM-AMAZON-000444</t>
  </si>
  <si>
    <t>SN000051XVT</t>
  </si>
  <si>
    <t>SIM-AMAZON-001860</t>
  </si>
  <si>
    <t>SIM-AMAZON-000541</t>
  </si>
  <si>
    <t>SN0000668UG</t>
  </si>
  <si>
    <t>SIM-AMAZON-000545</t>
  </si>
  <si>
    <t>SN000069BHP</t>
  </si>
  <si>
    <t>SIM-AMAZON-000576</t>
  </si>
  <si>
    <t>350000000000359</t>
  </si>
  <si>
    <t>SIM-AMAZON-000492</t>
  </si>
  <si>
    <t>350000000000309</t>
  </si>
  <si>
    <t>SIM-AMAZON-001870</t>
  </si>
  <si>
    <t>SIM-AMAZON-000407</t>
  </si>
  <si>
    <t>SN00004QLGC</t>
  </si>
  <si>
    <t>SIM-AMAZON-000393</t>
  </si>
  <si>
    <t>350000000000244</t>
  </si>
  <si>
    <t>SIM-AMAZON-000438</t>
  </si>
  <si>
    <t>350000000000277</t>
  </si>
  <si>
    <t>SIM-AMAZON-000473</t>
  </si>
  <si>
    <t>SN00005CAAA</t>
  </si>
  <si>
    <t>SIM-AMAZON-000525</t>
  </si>
  <si>
    <t>SN0000602J2</t>
  </si>
  <si>
    <t>SIM-AMAZON-000333</t>
  </si>
  <si>
    <t>350000000000216</t>
  </si>
  <si>
    <t>SIM-AMAZON-001804</t>
  </si>
  <si>
    <t>SIM-AMAZON-001843</t>
  </si>
  <si>
    <t>SIM-AMAZON-000227</t>
  </si>
  <si>
    <t>SN000028SSS</t>
  </si>
  <si>
    <t>SIM-AMAZON-000161</t>
  </si>
  <si>
    <t>350000000000114</t>
  </si>
  <si>
    <t>SIM-AMAZON-000381</t>
  </si>
  <si>
    <t>SN00004C6EN</t>
  </si>
  <si>
    <t>SIM-AMAZON-000463</t>
  </si>
  <si>
    <t>SN0000586EN</t>
  </si>
  <si>
    <t>SIM-AMAZON-001853</t>
  </si>
  <si>
    <t>SIM-AMAZON-001540</t>
  </si>
  <si>
    <t>SIM-AMAZON-000259</t>
  </si>
  <si>
    <t>SN00002L7M3</t>
  </si>
  <si>
    <t>SIM-AMAZON-000302</t>
  </si>
  <si>
    <t>350000000000199</t>
  </si>
  <si>
    <t>SIM-AMAZON-000310</t>
  </si>
  <si>
    <t>SN00003AY48</t>
  </si>
  <si>
    <t>SIM-AMAZON-000357</t>
  </si>
  <si>
    <t>350000000000226</t>
  </si>
  <si>
    <t>SIM-AMAZON-000423</t>
  </si>
  <si>
    <t>SN00004WSSS</t>
  </si>
  <si>
    <t>SIM-AMAZON-000441</t>
  </si>
  <si>
    <t>350000000000279</t>
  </si>
  <si>
    <t>SIM-AMAZON-001784</t>
  </si>
  <si>
    <t>SIM-AMAZON-001531</t>
  </si>
  <si>
    <t>SIM-AMAZON-000243</t>
  </si>
  <si>
    <t>350000000000166</t>
  </si>
  <si>
    <t>SIM-AMAZON-000359</t>
  </si>
  <si>
    <t>SN00003ZRKD</t>
  </si>
  <si>
    <t>SIM-AMAZON-001749</t>
  </si>
  <si>
    <t>SIM-AMAZON-001797</t>
  </si>
  <si>
    <t>SIM-AMAZON-001743</t>
  </si>
  <si>
    <t>SIM-AMAZON-000191</t>
  </si>
  <si>
    <t>SN00001UCQ4</t>
  </si>
  <si>
    <t>SIM-AMAZON-000089</t>
  </si>
  <si>
    <t>350000000000059</t>
  </si>
  <si>
    <t>SIM-AMAZON-000225</t>
  </si>
  <si>
    <t>SN000027RKD</t>
  </si>
  <si>
    <t>SIM-AMAZON-001793</t>
  </si>
  <si>
    <t>SIM-AMAZON-001536</t>
  </si>
  <si>
    <t>SIM-AMAZON-001730</t>
  </si>
  <si>
    <t>SIM-AMAZON-000197</t>
  </si>
  <si>
    <t>350000000000136</t>
  </si>
  <si>
    <t>SIM-AMAZON-000349</t>
  </si>
  <si>
    <t>350000000000224</t>
  </si>
  <si>
    <t>SIM-AMAZON-001524</t>
  </si>
  <si>
    <t>SIM-AMAZON-001551</t>
  </si>
  <si>
    <t>SIM-AMAZON-000019</t>
  </si>
  <si>
    <t>350000000000012</t>
  </si>
  <si>
    <t>SIM-AMAZON-000314</t>
  </si>
  <si>
    <t>SN00003C2J2</t>
  </si>
  <si>
    <t>SIM-AMAZON-001763</t>
  </si>
  <si>
    <t>SIM-AMAZON-000250</t>
  </si>
  <si>
    <t>SN00002G2J2</t>
  </si>
  <si>
    <t>SIM-AMAZON-000256</t>
  </si>
  <si>
    <t>SN00002K6EN</t>
  </si>
  <si>
    <t>SIM-AMAZON-000263</t>
  </si>
  <si>
    <t>SN00002N93V</t>
  </si>
  <si>
    <t>SIM-AMAZON-000291</t>
  </si>
  <si>
    <t>SN000031P5K</t>
  </si>
  <si>
    <t>SIM-AMAZON-001765</t>
  </si>
  <si>
    <t>SIM-AMAZON-001727</t>
  </si>
  <si>
    <t>SIM-AMAZON-000094</t>
  </si>
  <si>
    <t>350000000000063</t>
  </si>
  <si>
    <t>SIM-AMAZON-001744</t>
  </si>
  <si>
    <t>SIM-AMAZON-000039</t>
  </si>
  <si>
    <t>350000000000024</t>
  </si>
  <si>
    <t>SIM-AMAZON-000085</t>
  </si>
  <si>
    <t>350000000000055</t>
  </si>
  <si>
    <t>SIM-AMAZON-000101</t>
  </si>
  <si>
    <t>350000000000067</t>
  </si>
  <si>
    <t>SIM-AMAZON-000207</t>
  </si>
  <si>
    <t>SN000020J2J</t>
  </si>
  <si>
    <t>SIM-AMAZON-000008</t>
  </si>
  <si>
    <t>350000000000006</t>
  </si>
  <si>
    <t>Refund</t>
  </si>
  <si>
    <t>Refund — Customer changed their mind</t>
  </si>
  <si>
    <t>SIM-AMAZON-000078</t>
  </si>
  <si>
    <t>350000000000049</t>
  </si>
  <si>
    <t>SIM-AMAZON-000143</t>
  </si>
  <si>
    <t>SN00001BRKD</t>
  </si>
  <si>
    <t>SIM-AMAZON-000152</t>
  </si>
  <si>
    <t>350000000000108</t>
  </si>
  <si>
    <t>SIM-AMAZON-000154</t>
  </si>
  <si>
    <t>350000000000110</t>
  </si>
  <si>
    <t>SIM-AMAZON-000012</t>
  </si>
  <si>
    <t>350000000000008</t>
  </si>
  <si>
    <t>SIM-AMAZON-000245</t>
  </si>
  <si>
    <t>350000000000168</t>
  </si>
  <si>
    <t>SIM-AMAZON-001764</t>
  </si>
  <si>
    <t>SIM-AMAZON-001775</t>
  </si>
  <si>
    <t>SIM-AMAZON-001724</t>
  </si>
  <si>
    <t>SIM-AMAZON-000002</t>
  </si>
  <si>
    <t>350000000000001</t>
  </si>
  <si>
    <t>SIM-AMAZON-000021</t>
  </si>
  <si>
    <t>SN000007HT5</t>
  </si>
  <si>
    <t>SIM-AMAZON-000184</t>
  </si>
  <si>
    <t>350000000000128</t>
  </si>
  <si>
    <t>SIM-AMAZON-001754</t>
  </si>
  <si>
    <t>SIM-AMAZON-000011</t>
  </si>
  <si>
    <t>350000000000007</t>
  </si>
  <si>
    <t>SIM-AMAZON-000035</t>
  </si>
  <si>
    <t>SN00000EQCY</t>
  </si>
  <si>
    <t>SIM-AMAZON-000141</t>
  </si>
  <si>
    <t>SN00001AQCY</t>
  </si>
  <si>
    <t>SIM-AMAZON-000054</t>
  </si>
  <si>
    <t>350000000000032</t>
  </si>
  <si>
    <t>SIM-AMAZON-000124</t>
  </si>
  <si>
    <t>350000000000087</t>
  </si>
  <si>
    <t>SIM-AMAZON-001538</t>
  </si>
  <si>
    <t>SIM-AMAZON-001660</t>
  </si>
  <si>
    <t>SIM-AMAZON-001700</t>
  </si>
  <si>
    <t>SIM-AMAZON-000041</t>
  </si>
  <si>
    <t>SN00000HTZ7</t>
  </si>
  <si>
    <t>SIM-AMAZON-000060</t>
  </si>
  <si>
    <t>350000000000037</t>
  </si>
  <si>
    <t>SIM-AMAZON-000088</t>
  </si>
  <si>
    <t>350000000000058</t>
  </si>
  <si>
    <t>SIM-AMAZON-000114</t>
  </si>
  <si>
    <t>350000000000077</t>
  </si>
  <si>
    <t>SIM-AMAZON-001684</t>
  </si>
  <si>
    <t>SIM-AMAZON-000048</t>
  </si>
  <si>
    <t>SN00000MY48</t>
  </si>
  <si>
    <t>SIM-AMAZON-000074</t>
  </si>
  <si>
    <t>350000000000046</t>
  </si>
  <si>
    <t>SIM-AMAZON-001664</t>
  </si>
  <si>
    <t>SIM-AMAZON-001709</t>
  </si>
  <si>
    <t>SIM-AMAZON-001645</t>
  </si>
  <si>
    <t>SIM-AMAZON-000111</t>
  </si>
  <si>
    <t>350000000000074</t>
  </si>
  <si>
    <t>SIM-AMAZON-000025</t>
  </si>
  <si>
    <t>SN000009K9X</t>
  </si>
  <si>
    <t>SIM-AMAZON-001652</t>
  </si>
  <si>
    <t>SIM-AMAZON-000052</t>
  </si>
  <si>
    <t>350000000000030</t>
  </si>
  <si>
    <t>SIM-AMAZON-000007</t>
  </si>
  <si>
    <t>350000000000005</t>
  </si>
  <si>
    <t>SIM-AMAZON-000049</t>
  </si>
  <si>
    <t>350000000000028</t>
  </si>
  <si>
    <t>SIM-AMAZON-001697</t>
  </si>
  <si>
    <t>SIM-AMAZON-001647</t>
  </si>
  <si>
    <t>SIM-AMAZON-001699</t>
  </si>
  <si>
    <t>SIM-AMAZON-000017</t>
  </si>
  <si>
    <t>350000000000010</t>
  </si>
  <si>
    <t>SIM-AMAZON-001661</t>
  </si>
  <si>
    <t>SIM-AMAZON-001701</t>
  </si>
  <si>
    <t>Customer Care Fees</t>
  </si>
  <si>
    <t>SIM-BM-001219</t>
  </si>
  <si>
    <t>SN0000F4AAA</t>
  </si>
  <si>
    <t>SIM-BM-001295</t>
  </si>
  <si>
    <t>SN0000G6GLQ</t>
  </si>
  <si>
    <t>SIM-BM-001301</t>
  </si>
  <si>
    <t>SN0000G9K9X</t>
  </si>
  <si>
    <t>SIM-BM-001307</t>
  </si>
  <si>
    <t>SN0000GDP5K</t>
  </si>
  <si>
    <t>SIM-BM-001309</t>
  </si>
  <si>
    <t>350000000000807</t>
  </si>
  <si>
    <t>SIM-BM-001317</t>
  </si>
  <si>
    <t>SN0000GIU8L</t>
  </si>
  <si>
    <t>SIM-BM-001338</t>
  </si>
  <si>
    <t>350000000000827</t>
  </si>
  <si>
    <t>SIM-BM-001340</t>
  </si>
  <si>
    <t>SN0000GU8UG</t>
  </si>
  <si>
    <t>SIM-BM-001378</t>
  </si>
  <si>
    <t>350000000000850</t>
  </si>
  <si>
    <t>SIM-BM-001383</t>
  </si>
  <si>
    <t>350000000000852</t>
  </si>
  <si>
    <t>SIM-BM-001384</t>
  </si>
  <si>
    <t>350000000000853</t>
  </si>
  <si>
    <t>SIM-BM-001386</t>
  </si>
  <si>
    <t>350000000000855</t>
  </si>
  <si>
    <t>SIM-BM-001387</t>
  </si>
  <si>
    <t>SN0000HFVFZ</t>
  </si>
  <si>
    <t>SIM-BM-001396</t>
  </si>
  <si>
    <t>350000000000861</t>
  </si>
  <si>
    <t>SIM-BM-001401</t>
  </si>
  <si>
    <t>350000000000864</t>
  </si>
  <si>
    <t>SIM-BM-001405</t>
  </si>
  <si>
    <t>SN0000HL3RF</t>
  </si>
  <si>
    <t>SIM-BM-001409</t>
  </si>
  <si>
    <t>SN0000HP7M3</t>
  </si>
  <si>
    <t>SIM-BM-001418</t>
  </si>
  <si>
    <t>350000000000872</t>
  </si>
  <si>
    <t>SIM-BM-001420</t>
  </si>
  <si>
    <t>350000000000873</t>
  </si>
  <si>
    <t>SIM-BM-001424</t>
  </si>
  <si>
    <t>350000000000876</t>
  </si>
  <si>
    <t>SIM-BM-001425</t>
  </si>
  <si>
    <t>350000000000877</t>
  </si>
  <si>
    <t>SIM-BM-001435</t>
  </si>
  <si>
    <t>350000000000884</t>
  </si>
  <si>
    <t>SIM-BM-001439</t>
  </si>
  <si>
    <t>SN0000I2LGC</t>
  </si>
  <si>
    <t>SIM-BM-001440</t>
  </si>
  <si>
    <t>350000000000887</t>
  </si>
  <si>
    <t>SIM-BM-001443</t>
  </si>
  <si>
    <t>350000000000890</t>
  </si>
  <si>
    <t>SIM-BM-001451</t>
  </si>
  <si>
    <t>350000000000895</t>
  </si>
  <si>
    <t>SIM-BM-001472</t>
  </si>
  <si>
    <t>SN0000IFZBM</t>
  </si>
  <si>
    <t>SIM-BM-001475</t>
  </si>
  <si>
    <t>350000000000912</t>
  </si>
  <si>
    <t>SIM-BM-001477</t>
  </si>
  <si>
    <t>350000000000914</t>
  </si>
  <si>
    <t>SIM-BM-001478</t>
  </si>
  <si>
    <t>350000000000915</t>
  </si>
  <si>
    <t>SIM-BM-001481</t>
  </si>
  <si>
    <t>SN0000IG2J2</t>
  </si>
  <si>
    <t>SIM-BM-001490</t>
  </si>
  <si>
    <t>350000000000923</t>
  </si>
  <si>
    <t>SIM-BM-001496</t>
  </si>
  <si>
    <t>350000000000927</t>
  </si>
  <si>
    <t>SIM-BM-001507</t>
  </si>
  <si>
    <t>350000000000935</t>
  </si>
  <si>
    <t>SIM-BM-001510</t>
  </si>
  <si>
    <t>350000000000938</t>
  </si>
  <si>
    <t>SIM-BM-001514</t>
  </si>
  <si>
    <t>SN0000ISE6W</t>
  </si>
  <si>
    <t>SIM-BM-001520</t>
  </si>
  <si>
    <t>350000000000945</t>
  </si>
  <si>
    <t>SIM-BM-002171</t>
  </si>
  <si>
    <t>SIM-BM-002177</t>
  </si>
  <si>
    <t>SIM-BM-002105</t>
  </si>
  <si>
    <t>SIM-BM-002107</t>
  </si>
  <si>
    <t>SIM-BM-002126</t>
  </si>
  <si>
    <t>SIM-BM-002143</t>
  </si>
  <si>
    <t>SIM-BM-002146</t>
  </si>
  <si>
    <t>SIM-BM-002149</t>
  </si>
  <si>
    <t>SIM-BM-002151</t>
  </si>
  <si>
    <t>SIM-BM-002155</t>
  </si>
  <si>
    <t>SIM-BM-002159</t>
  </si>
  <si>
    <t>SIM-BM-001628</t>
  </si>
  <si>
    <t>SIM-BM-001633</t>
  </si>
  <si>
    <t>SIM-BM-001638</t>
  </si>
  <si>
    <t>SIM-BM-001639</t>
  </si>
  <si>
    <t>SIM-BM-001644</t>
  </si>
  <si>
    <t>SIM-BM-001621</t>
  </si>
  <si>
    <t>SIM-BM-001624</t>
  </si>
  <si>
    <t>SIM-BM-001627</t>
  </si>
  <si>
    <t>SIM-BM-001489</t>
  </si>
  <si>
    <t>350000000000922</t>
  </si>
  <si>
    <t>SIM-BM-001625</t>
  </si>
  <si>
    <t>SIM-BM-001423</t>
  </si>
  <si>
    <t>SN0000HWE6W</t>
  </si>
  <si>
    <t>SIM-BM-001444</t>
  </si>
  <si>
    <t>350000000000891</t>
  </si>
  <si>
    <t>SIM-BM-002112</t>
  </si>
  <si>
    <t>SIM-BM-001190</t>
  </si>
  <si>
    <t>SN0000EQU8L</t>
  </si>
  <si>
    <t>SIM-BM-001268</t>
  </si>
  <si>
    <t>SN0000FNVFZ</t>
  </si>
  <si>
    <t>SIM-BM-001347</t>
  </si>
  <si>
    <t>SN0000GWAAA</t>
  </si>
  <si>
    <t>SIM-BM-001394</t>
  </si>
  <si>
    <t>350000000000860</t>
  </si>
  <si>
    <t>SIM-BM-001431</t>
  </si>
  <si>
    <t>SN0000HZHT5</t>
  </si>
  <si>
    <t>SIM-BM-002161</t>
  </si>
  <si>
    <t>SIM-BM-002117</t>
  </si>
  <si>
    <t>SIM-BM-002119</t>
  </si>
  <si>
    <t>SIM-BM-001622</t>
  </si>
  <si>
    <t>SIM-BM-001135</t>
  </si>
  <si>
    <t>350000000000707</t>
  </si>
  <si>
    <t>SIM-BM-001194</t>
  </si>
  <si>
    <t>350000000000738</t>
  </si>
  <si>
    <t>SIM-BM-001212</t>
  </si>
  <si>
    <t>SN0000F06EN</t>
  </si>
  <si>
    <t>SIM-BM-001214</t>
  </si>
  <si>
    <t>SN0000F17M3</t>
  </si>
  <si>
    <t>SIM-BM-001235</t>
  </si>
  <si>
    <t>350000000000764</t>
  </si>
  <si>
    <t>SIM-BM-001300</t>
  </si>
  <si>
    <t>SN0000G8J2J</t>
  </si>
  <si>
    <t>SIM-BM-002172</t>
  </si>
  <si>
    <t>SIM-BM-001631</t>
  </si>
  <si>
    <t>SIM-BM-001604</t>
  </si>
  <si>
    <t>SIM-BM-001322</t>
  </si>
  <si>
    <t>SN0000GLXVT</t>
  </si>
  <si>
    <t>SIM-BM-001412</t>
  </si>
  <si>
    <t>350000000000869</t>
  </si>
  <si>
    <t>SIM-BM-002133</t>
  </si>
  <si>
    <t>SIM-BM-001118</t>
  </si>
  <si>
    <t>350000000000699</t>
  </si>
  <si>
    <t>SIM-BM-001141</t>
  </si>
  <si>
    <t>350000000000713</t>
  </si>
  <si>
    <t>SIM-BM-001267</t>
  </si>
  <si>
    <t>350000000000786</t>
  </si>
  <si>
    <t>SIM-BM-001395</t>
  </si>
  <si>
    <t>SN0000HIY48</t>
  </si>
  <si>
    <t>SIM-BM-001406</t>
  </si>
  <si>
    <t>SN0000HM4YU</t>
  </si>
  <si>
    <t>SIM-BM-002041</t>
  </si>
  <si>
    <t>SIM-BM-002049</t>
  </si>
  <si>
    <t>SIM-BM-001626</t>
  </si>
  <si>
    <t>SIM-BM-001114</t>
  </si>
  <si>
    <t>350000000000696</t>
  </si>
  <si>
    <t>SIM-BM-001287</t>
  </si>
  <si>
    <t>350000000000798</t>
  </si>
  <si>
    <t>SIM-BM-002034</t>
  </si>
  <si>
    <t>SIM-BM-002069</t>
  </si>
  <si>
    <t>SIM-BM-001045</t>
  </si>
  <si>
    <t>350000000000647</t>
  </si>
  <si>
    <t>SIM-BM-001046</t>
  </si>
  <si>
    <t>350000000000648</t>
  </si>
  <si>
    <t>SIM-BM-002029</t>
  </si>
  <si>
    <t>SIM-BM-001100</t>
  </si>
  <si>
    <t>SN0000DFDXH</t>
  </si>
  <si>
    <t>SIM-BM-001129</t>
  </si>
  <si>
    <t>SN0000DUU8L</t>
  </si>
  <si>
    <t>SIM-BM-001136</t>
  </si>
  <si>
    <t>350000000000708</t>
  </si>
  <si>
    <t>SIM-BM-001264</t>
  </si>
  <si>
    <t>350000000000784</t>
  </si>
  <si>
    <t>SIM-BM-001273</t>
  </si>
  <si>
    <t>350000000000790</t>
  </si>
  <si>
    <t>SIM-BM-002056</t>
  </si>
  <si>
    <t>SIM-BM-001087</t>
  </si>
  <si>
    <t>SN0000D86EN</t>
  </si>
  <si>
    <t>SIM-BM-001103</t>
  </si>
  <si>
    <t>SN0000DGE6W</t>
  </si>
  <si>
    <t>SIM-BM-001107</t>
  </si>
  <si>
    <t>350000000000690</t>
  </si>
  <si>
    <t>SIM-BM-001111</t>
  </si>
  <si>
    <t>350000000000693</t>
  </si>
  <si>
    <t>SIM-BM-001236</t>
  </si>
  <si>
    <t>350000000000765</t>
  </si>
  <si>
    <t>SIM-BM-001611</t>
  </si>
  <si>
    <t>SIM-BM-001059</t>
  </si>
  <si>
    <t>SN0000CWSSS</t>
  </si>
  <si>
    <t>SIM-BM-001097</t>
  </si>
  <si>
    <t>350000000000686</t>
  </si>
  <si>
    <t>SIM-BM-001202</t>
  </si>
  <si>
    <t>350000000000744</t>
  </si>
  <si>
    <t>SIM-BM-001284</t>
  </si>
  <si>
    <t>SN0000FZ93V</t>
  </si>
  <si>
    <t>SIM-BM-001013</t>
  </si>
  <si>
    <t>SN0000CHBHP</t>
  </si>
  <si>
    <t>SIM-BM-002057</t>
  </si>
  <si>
    <t>SIM-BM-002086</t>
  </si>
  <si>
    <t>SIM-BM-001090</t>
  </si>
  <si>
    <t>350000000000680</t>
  </si>
  <si>
    <t>SIM-BM-001165</t>
  </si>
  <si>
    <t>SN0000EDFDB</t>
  </si>
  <si>
    <t>SIM-BM-001172</t>
  </si>
  <si>
    <t>350000000000727</t>
  </si>
  <si>
    <t>SIM-BM-001258</t>
  </si>
  <si>
    <t>350000000000780</t>
  </si>
  <si>
    <t>SIM-BM-000955</t>
  </si>
  <si>
    <t>350000000000591</t>
  </si>
  <si>
    <t>SIM-BM-001616</t>
  </si>
  <si>
    <t>SIM-BM-001152</t>
  </si>
  <si>
    <t>SN0000E46EN</t>
  </si>
  <si>
    <t>SIM-BM-001207</t>
  </si>
  <si>
    <t>350000000000747</t>
  </si>
  <si>
    <t>SIM-BM-001249</t>
  </si>
  <si>
    <t>SN0000FGNW6</t>
  </si>
  <si>
    <t>SIM-BM-001030</t>
  </si>
  <si>
    <t>350000000000633</t>
  </si>
  <si>
    <t>SIM-BM-000984</t>
  </si>
  <si>
    <t>350000000000607</t>
  </si>
  <si>
    <t>SIM-BM-002098</t>
  </si>
  <si>
    <t>SIM-BM-001601</t>
  </si>
  <si>
    <t>SIM-BM-001061</t>
  </si>
  <si>
    <t>SN0000CXTZ7</t>
  </si>
  <si>
    <t>SIM-BM-001106</t>
  </si>
  <si>
    <t>SN0000DJHT5</t>
  </si>
  <si>
    <t>SIM-BM-002045</t>
  </si>
  <si>
    <t>SIM-BM-002092</t>
  </si>
  <si>
    <t>SIM-BM-001043</t>
  </si>
  <si>
    <t>350000000000645</t>
  </si>
  <si>
    <t>SIM-BM-000907</t>
  </si>
  <si>
    <t>SN0000B1P5K</t>
  </si>
  <si>
    <t>SIM-BM-000959</t>
  </si>
  <si>
    <t>SN0000BSJ2J</t>
  </si>
  <si>
    <t>SIM-BM-000968</t>
  </si>
  <si>
    <t>SN0000BWNW6</t>
  </si>
  <si>
    <t>SIM-BM-000998</t>
  </si>
  <si>
    <t>350000000000617</t>
  </si>
  <si>
    <t>SIM-BM-002099</t>
  </si>
  <si>
    <t>SIM-BM-001210</t>
  </si>
  <si>
    <t>SN0000EZ579</t>
  </si>
  <si>
    <t>SIM-BM-000915</t>
  </si>
  <si>
    <t>SN0000B5TZ7</t>
  </si>
  <si>
    <t>SIM-BM-001021</t>
  </si>
  <si>
    <t>SN0000CMGLQ</t>
  </si>
  <si>
    <t>SIM-BM-002053</t>
  </si>
  <si>
    <t>SIM-BM-002065</t>
  </si>
  <si>
    <t>SIM-BM-002080</t>
  </si>
  <si>
    <t>SIM-BM-001583</t>
  </si>
  <si>
    <t>SIM-BM-001176</t>
  </si>
  <si>
    <t>SN0000EJMPR</t>
  </si>
  <si>
    <t>SIM-BM-001126</t>
  </si>
  <si>
    <t>SN0000DQQCY</t>
  </si>
  <si>
    <t>SIM-BM-001162</t>
  </si>
  <si>
    <t>350000000000722</t>
  </si>
  <si>
    <t>SIM-BM-000852</t>
  </si>
  <si>
    <t>350000000000527</t>
  </si>
  <si>
    <t>SIM-BM-000945</t>
  </si>
  <si>
    <t>SN0000BKAAA</t>
  </si>
  <si>
    <t>SIM-BM-001019</t>
  </si>
  <si>
    <t>SN0000CKE6W</t>
  </si>
  <si>
    <t>SIM-BM-000820</t>
  </si>
  <si>
    <t>350000000000508</t>
  </si>
  <si>
    <t>SIM-BM-000856</t>
  </si>
  <si>
    <t>350000000000530</t>
  </si>
  <si>
    <t>SIM-BM-000946</t>
  </si>
  <si>
    <t>SN0000BLBHP</t>
  </si>
  <si>
    <t>SIM-BM-000953</t>
  </si>
  <si>
    <t>350000000000590</t>
  </si>
  <si>
    <t>SIM-BM-001022</t>
  </si>
  <si>
    <t>SN0000CNHT5</t>
  </si>
  <si>
    <t>SIM-BM-002013</t>
  </si>
  <si>
    <t>SIM-BM-002018</t>
  </si>
  <si>
    <t>SIM-BM-000884</t>
  </si>
  <si>
    <t>350000000000549</t>
  </si>
  <si>
    <t>SIM-BM-000958</t>
  </si>
  <si>
    <t>350000000000593</t>
  </si>
  <si>
    <t>SIM-BM-001003</t>
  </si>
  <si>
    <t>350000000000622</t>
  </si>
  <si>
    <t>SIM-BM-001026</t>
  </si>
  <si>
    <t>SN0000CQLGC</t>
  </si>
  <si>
    <t>SIM-BM-001952</t>
  </si>
  <si>
    <t>SIM-BM-001109</t>
  </si>
  <si>
    <t>350000000000692</t>
  </si>
  <si>
    <t>SIM-BM-000871</t>
  </si>
  <si>
    <t>SN0000AM8UG</t>
  </si>
  <si>
    <t>SIM-BM-000985</t>
  </si>
  <si>
    <t>SN0000C4WNE</t>
  </si>
  <si>
    <t>SIM-BM-000809</t>
  </si>
  <si>
    <t>350000000000498</t>
  </si>
  <si>
    <t>SIM-BM-000831</t>
  </si>
  <si>
    <t>SN0000A1K9X</t>
  </si>
  <si>
    <t>SIM-BM-000881</t>
  </si>
  <si>
    <t>SN0000ARDXH</t>
  </si>
  <si>
    <t>SIM-BM-000883</t>
  </si>
  <si>
    <t>SN0000ASE6W</t>
  </si>
  <si>
    <t>SIM-BM-000887</t>
  </si>
  <si>
    <t>SN0000ATFDB</t>
  </si>
  <si>
    <t>SIM-BM-001023</t>
  </si>
  <si>
    <t>350000000000629</t>
  </si>
  <si>
    <t>SIM-BM-000854</t>
  </si>
  <si>
    <t>SN0000AEY48</t>
  </si>
  <si>
    <t>SIM-BM-000933</t>
  </si>
  <si>
    <t>SN0000BC2J2</t>
  </si>
  <si>
    <t>SIM-BM-001963</t>
  </si>
  <si>
    <t>SIM-BM-001594</t>
  </si>
  <si>
    <t>SIM-BM-000882</t>
  </si>
  <si>
    <t>350000000000548</t>
  </si>
  <si>
    <t>SIM-BM-001009</t>
  </si>
  <si>
    <t>SN0000CC6EN</t>
  </si>
  <si>
    <t>SIM-BM-000844</t>
  </si>
  <si>
    <t>350000000000524</t>
  </si>
  <si>
    <t>SIM-BM-000885</t>
  </si>
  <si>
    <t>350000000000550</t>
  </si>
  <si>
    <t>SIM-BM-000886</t>
  </si>
  <si>
    <t>350000000000551</t>
  </si>
  <si>
    <t>SIM-BM-001028</t>
  </si>
  <si>
    <t>350000000000631</t>
  </si>
  <si>
    <t>SIM-BM-001977</t>
  </si>
  <si>
    <t>SIM-BM-002002</t>
  </si>
  <si>
    <t>SIM-BM-000979</t>
  </si>
  <si>
    <t>350000000000603</t>
  </si>
  <si>
    <t>SIM-BM-001016</t>
  </si>
  <si>
    <t>350000000000627</t>
  </si>
  <si>
    <t>SIM-BM-002024</t>
  </si>
  <si>
    <t>SIM-BM-000711</t>
  </si>
  <si>
    <t>350000000000444</t>
  </si>
  <si>
    <t>SIM-BM-000725</t>
  </si>
  <si>
    <t>SN00008LXVT</t>
  </si>
  <si>
    <t>SIM-BM-000814</t>
  </si>
  <si>
    <t>SN00009VDXH</t>
  </si>
  <si>
    <t>SIM-BM-001998</t>
  </si>
  <si>
    <t>SIM-BM-001599</t>
  </si>
  <si>
    <t>SIM-BM-000709</t>
  </si>
  <si>
    <t>350000000000443</t>
  </si>
  <si>
    <t>SIM-BM-000769</t>
  </si>
  <si>
    <t>SN000095K9X</t>
  </si>
  <si>
    <t>SIM-BM-000796</t>
  </si>
  <si>
    <t>350000000000493</t>
  </si>
  <si>
    <t>SIM-BM-000941</t>
  </si>
  <si>
    <t>350000000000585</t>
  </si>
  <si>
    <t>SIM-BM-000734</t>
  </si>
  <si>
    <t>350000000000461</t>
  </si>
  <si>
    <t>SIM-BM-000901</t>
  </si>
  <si>
    <t>350000000000560</t>
  </si>
  <si>
    <t>SIM-BM-000934</t>
  </si>
  <si>
    <t>350000000000582</t>
  </si>
  <si>
    <t>SIM-BM-000943</t>
  </si>
  <si>
    <t>SN0000BI8UG</t>
  </si>
  <si>
    <t>SIM-BM-000978</t>
  </si>
  <si>
    <t>SN0000C2U8L</t>
  </si>
  <si>
    <t>SIM-BM-000754</t>
  </si>
  <si>
    <t>SN00008XBHP</t>
  </si>
  <si>
    <t>SIM-BM-001976</t>
  </si>
  <si>
    <t>SIM-BM-002026</t>
  </si>
  <si>
    <t>SIM-BM-000642</t>
  </si>
  <si>
    <t>350000000000399</t>
  </si>
  <si>
    <t>SIM-BM-000802</t>
  </si>
  <si>
    <t>SN00009Q8UG</t>
  </si>
  <si>
    <t>SIM-BM-001945</t>
  </si>
  <si>
    <t>SIM-BM-000834</t>
  </si>
  <si>
    <t>350000000000516</t>
  </si>
  <si>
    <t>SIM-BM-001878</t>
  </si>
  <si>
    <t>SIM-BM-001889</t>
  </si>
  <si>
    <t>SIM-BM-001589</t>
  </si>
  <si>
    <t>SIM-BM-000595</t>
  </si>
  <si>
    <t>350000000000369</t>
  </si>
  <si>
    <t>SIM-BM-000830</t>
  </si>
  <si>
    <t>350000000000515</t>
  </si>
  <si>
    <t>SIM-BM-000870</t>
  </si>
  <si>
    <t>SN0000AL7M3</t>
  </si>
  <si>
    <t>SIM-BM-000554</t>
  </si>
  <si>
    <t>SN00006FHT5</t>
  </si>
  <si>
    <t>SIM-BM-000651</t>
  </si>
  <si>
    <t>350000000000404</t>
  </si>
  <si>
    <t>SIM-BM-000735</t>
  </si>
  <si>
    <t>350000000000462</t>
  </si>
  <si>
    <t>SIM-BM-000835</t>
  </si>
  <si>
    <t>350000000000517</t>
  </si>
  <si>
    <t>SIM-BM-000841</t>
  </si>
  <si>
    <t>SN0000A6QCY</t>
  </si>
  <si>
    <t>SIM-BM-000752</t>
  </si>
  <si>
    <t>350000000000472</t>
  </si>
  <si>
    <t>SIM-BM-001933</t>
  </si>
  <si>
    <t>SIM-BM-001916</t>
  </si>
  <si>
    <t>SIM-BM-001573</t>
  </si>
  <si>
    <t>SIM-BM-000544</t>
  </si>
  <si>
    <t>350000000000344</t>
  </si>
  <si>
    <t>SIM-BM-000560</t>
  </si>
  <si>
    <t>SN00006JMPR</t>
  </si>
  <si>
    <t>SIM-BM-000584</t>
  </si>
  <si>
    <t>350000000000362</t>
  </si>
  <si>
    <t>SIM-BM-000637</t>
  </si>
  <si>
    <t>SN00007LTZ7</t>
  </si>
  <si>
    <t>SIM-BM-000665</t>
  </si>
  <si>
    <t>350000000000413</t>
  </si>
  <si>
    <t>SIM-BM-000775</t>
  </si>
  <si>
    <t>SN00009AQCY</t>
  </si>
  <si>
    <t>SIM-BM-000821</t>
  </si>
  <si>
    <t>SN00009YGLQ</t>
  </si>
  <si>
    <t>SIM-BM-000860</t>
  </si>
  <si>
    <t>SN0000AG2J2</t>
  </si>
  <si>
    <t>SIM-BM-000511</t>
  </si>
  <si>
    <t>350000000000322</t>
  </si>
  <si>
    <t>SIM-BM-000567</t>
  </si>
  <si>
    <t>SN00006MQCY</t>
  </si>
  <si>
    <t>SIM-BM-000827</t>
  </si>
  <si>
    <t>SN0000A0J2J</t>
  </si>
  <si>
    <t>SIM-BM-001922</t>
  </si>
  <si>
    <t>SIM-BM-000691</t>
  </si>
  <si>
    <t>SN000086GLQ</t>
  </si>
  <si>
    <t>SIM-BM-000728</t>
  </si>
  <si>
    <t>350000000000457</t>
  </si>
  <si>
    <t>SIM-BM-000786</t>
  </si>
  <si>
    <t>350000000000487</t>
  </si>
  <si>
    <t>SIM-BM-000521</t>
  </si>
  <si>
    <t>350000000000330</t>
  </si>
  <si>
    <t>SIM-BM-000546</t>
  </si>
  <si>
    <t>350000000000345</t>
  </si>
  <si>
    <t>SIM-BM-000643</t>
  </si>
  <si>
    <t>350000000000400</t>
  </si>
  <si>
    <t>SIM-BM-000676</t>
  </si>
  <si>
    <t>350000000000420</t>
  </si>
  <si>
    <t>SIM-BM-000503</t>
  </si>
  <si>
    <t>350000000000316</t>
  </si>
  <si>
    <t>SIM-BM-000506</t>
  </si>
  <si>
    <t>350000000000319</t>
  </si>
  <si>
    <t>SIM-BM-001925</t>
  </si>
  <si>
    <t>SIM-BM-001929</t>
  </si>
  <si>
    <t>SIM-BM-001940</t>
  </si>
  <si>
    <t>SIM-BM-001880</t>
  </si>
  <si>
    <t>SIM-BM-001893</t>
  </si>
  <si>
    <t>SIM-BM-000540</t>
  </si>
  <si>
    <t>SN0000657M3</t>
  </si>
  <si>
    <t>SIM-BM-000603</t>
  </si>
  <si>
    <t>350000000000373</t>
  </si>
  <si>
    <t>SIM-BM-000694</t>
  </si>
  <si>
    <t>SN000088J2J</t>
  </si>
  <si>
    <t>SIM-BM-000493</t>
  </si>
  <si>
    <t>SN00005NMPR</t>
  </si>
  <si>
    <t>SIM-BM-001884</t>
  </si>
  <si>
    <t>SIM-BM-001897</t>
  </si>
  <si>
    <t>SIM-BM-001552</t>
  </si>
  <si>
    <t>SIM-BM-000539</t>
  </si>
  <si>
    <t>350000000000342</t>
  </si>
  <si>
    <t>SIM-BM-000588</t>
  </si>
  <si>
    <t>SN0000706EN</t>
  </si>
  <si>
    <t>SIM-BM-001903</t>
  </si>
  <si>
    <t>SIM-BM-000706</t>
  </si>
  <si>
    <t>SN00008EQCY</t>
  </si>
  <si>
    <t>SIM-BM-000721</t>
  </si>
  <si>
    <t>350000000000452</t>
  </si>
  <si>
    <t>SIM-BM-000406</t>
  </si>
  <si>
    <t>350000000000253</t>
  </si>
  <si>
    <t>SIM-BM-000431</t>
  </si>
  <si>
    <t>350000000000271</t>
  </si>
  <si>
    <t>SIM-BM-001881</t>
  </si>
  <si>
    <t>SIM-BM-000668</t>
  </si>
  <si>
    <t>350000000000415</t>
  </si>
  <si>
    <t>SIM-BM-000669</t>
  </si>
  <si>
    <t>SN000080AAA</t>
  </si>
  <si>
    <t>SIM-BM-000695</t>
  </si>
  <si>
    <t>SN000089K9X</t>
  </si>
  <si>
    <t>SIM-BM-000472</t>
  </si>
  <si>
    <t>350000000000300</t>
  </si>
  <si>
    <t>SIM-BM-001891</t>
  </si>
  <si>
    <t>SIM-BM-001892</t>
  </si>
  <si>
    <t>SIM-BM-000600</t>
  </si>
  <si>
    <t>350000000000372</t>
  </si>
  <si>
    <t>SIM-BM-000466</t>
  </si>
  <si>
    <t>350000000000296</t>
  </si>
  <si>
    <t>SIM-BM-001934</t>
  </si>
  <si>
    <t>SIM-BM-001553</t>
  </si>
  <si>
    <t>SIM-BM-000627</t>
  </si>
  <si>
    <t>350000000000387</t>
  </si>
  <si>
    <t>SIM-BM-000688</t>
  </si>
  <si>
    <t>350000000000431</t>
  </si>
  <si>
    <t>SIM-BM-000714</t>
  </si>
  <si>
    <t>SN00008HTZ7</t>
  </si>
  <si>
    <t>SIM-BM-000389</t>
  </si>
  <si>
    <t>350000000000240</t>
  </si>
  <si>
    <t>SIM-BM-000433</t>
  </si>
  <si>
    <t>350000000000273</t>
  </si>
  <si>
    <t>SIM-BM-000450</t>
  </si>
  <si>
    <t>SN0000542J2</t>
  </si>
  <si>
    <t>SIM-BM-000515</t>
  </si>
  <si>
    <t>SN00005XXVT</t>
  </si>
  <si>
    <t>SIM-BM-001802</t>
  </si>
  <si>
    <t>SIM-BM-001869</t>
  </si>
  <si>
    <t>SIM-BM-000549</t>
  </si>
  <si>
    <t>350000000000347</t>
  </si>
  <si>
    <t>SIM-BM-000363</t>
  </si>
  <si>
    <t>SN000042U8L</t>
  </si>
  <si>
    <t>SIM-BM-000391</t>
  </si>
  <si>
    <t>350000000000243</t>
  </si>
  <si>
    <t>SIM-BM-000453</t>
  </si>
  <si>
    <t>SN0000553RF</t>
  </si>
  <si>
    <t>SIM-BM-000520</t>
  </si>
  <si>
    <t>350000000000329</t>
  </si>
  <si>
    <t>SIM-BM-001828</t>
  </si>
  <si>
    <t>SIM-BM-001831</t>
  </si>
  <si>
    <t>SIM-BM-000573</t>
  </si>
  <si>
    <t>SN00006QU8L</t>
  </si>
  <si>
    <t>SIM-BM-000574</t>
  </si>
  <si>
    <t>SN00006RVFZ</t>
  </si>
  <si>
    <t>SIM-BM-000335</t>
  </si>
  <si>
    <t>SN00003KAAA</t>
  </si>
  <si>
    <t>SIM-BM-000459</t>
  </si>
  <si>
    <t>350000000000290</t>
  </si>
  <si>
    <t>SIM-BM-000465</t>
  </si>
  <si>
    <t>350000000000295</t>
  </si>
  <si>
    <t>SIM-BM-000470</t>
  </si>
  <si>
    <t>350000000000298</t>
  </si>
  <si>
    <t>SIM-BM-001839</t>
  </si>
  <si>
    <t>SIM-BM-001549</t>
  </si>
  <si>
    <t>SIM-BM-000589</t>
  </si>
  <si>
    <t>350000000000365</t>
  </si>
  <si>
    <t>SIM-BM-000596</t>
  </si>
  <si>
    <t>350000000000370</t>
  </si>
  <si>
    <t>SIM-BM-000319</t>
  </si>
  <si>
    <t>SN00003D3RF</t>
  </si>
  <si>
    <t>SIM-BM-000373</t>
  </si>
  <si>
    <t>350000000000233</t>
  </si>
  <si>
    <t>SIM-BM-001841</t>
  </si>
  <si>
    <t>SIM-BM-001855</t>
  </si>
  <si>
    <t>SIM-BM-001866</t>
  </si>
  <si>
    <t>SIM-BM-000352</t>
  </si>
  <si>
    <t>SN00003ULGC</t>
  </si>
  <si>
    <t>SIM-BM-000439</t>
  </si>
  <si>
    <t>350000000000278</t>
  </si>
  <si>
    <t>SIM-BM-000474</t>
  </si>
  <si>
    <t>SN00005DBHP</t>
  </si>
  <si>
    <t>SIM-BM-001817</t>
  </si>
  <si>
    <t>SIM-BM-001806</t>
  </si>
  <si>
    <t>SIM-BM-000543</t>
  </si>
  <si>
    <t>SN000068AAA</t>
  </si>
  <si>
    <t>SIM-BM-000369</t>
  </si>
  <si>
    <t>350000000000230</t>
  </si>
  <si>
    <t>SIM-BM-000396</t>
  </si>
  <si>
    <t>350000000000247</t>
  </si>
  <si>
    <t>SIM-BM-001825</t>
  </si>
  <si>
    <t>SIM-BM-001852</t>
  </si>
  <si>
    <t>SIM-BM-000401</t>
  </si>
  <si>
    <t>350000000000250</t>
  </si>
  <si>
    <t>SIM-BM-000422</t>
  </si>
  <si>
    <t>350000000000263</t>
  </si>
  <si>
    <t>SIM-BM-000509</t>
  </si>
  <si>
    <t>SN00005UU8L</t>
  </si>
  <si>
    <t>SIM-BM-000512</t>
  </si>
  <si>
    <t>350000000000323</t>
  </si>
  <si>
    <t>SIM-BM-000305</t>
  </si>
  <si>
    <t>350000000000202</t>
  </si>
  <si>
    <t>SIM-BM-000306</t>
  </si>
  <si>
    <t>SN000036U8L</t>
  </si>
  <si>
    <t>SIM-BM-000336</t>
  </si>
  <si>
    <t>SN00003LBHP</t>
  </si>
  <si>
    <t>SIM-BM-000411</t>
  </si>
  <si>
    <t>SN00004TP5K</t>
  </si>
  <si>
    <t>SIM-BM-000538</t>
  </si>
  <si>
    <t>350000000000341</t>
  </si>
  <si>
    <t>SIM-BM-000228</t>
  </si>
  <si>
    <t>350000000000157</t>
  </si>
  <si>
    <t>SIM-BM-000322</t>
  </si>
  <si>
    <t>350000000000209</t>
  </si>
  <si>
    <t>SIM-BM-000345</t>
  </si>
  <si>
    <t>350000000000222</t>
  </si>
  <si>
    <t>SIM-BM-000447</t>
  </si>
  <si>
    <t>SN000052Y48</t>
  </si>
  <si>
    <t>SIM-BM-001859</t>
  </si>
  <si>
    <t>SIM-BM-000455</t>
  </si>
  <si>
    <t>350000000000286</t>
  </si>
  <si>
    <t>SIM-BM-000505</t>
  </si>
  <si>
    <t>350000000000318</t>
  </si>
  <si>
    <t>SIM-BM-001867</t>
  </si>
  <si>
    <t>SIM-BM-000182</t>
  </si>
  <si>
    <t>350000000000126</t>
  </si>
  <si>
    <t>SIM-BM-000413</t>
  </si>
  <si>
    <t>350000000000256</t>
  </si>
  <si>
    <t>SIM-BM-000523</t>
  </si>
  <si>
    <t>350000000000332</t>
  </si>
  <si>
    <t>SIM-BM-000149</t>
  </si>
  <si>
    <t>350000000000105</t>
  </si>
  <si>
    <t>SIM-BM-000181</t>
  </si>
  <si>
    <t>SN00001SAAA</t>
  </si>
  <si>
    <t>SIM-BM-000255</t>
  </si>
  <si>
    <t>SN00002J579</t>
  </si>
  <si>
    <t>SIM-BM-000292</t>
  </si>
  <si>
    <t>350000000000193</t>
  </si>
  <si>
    <t>SIM-BM-000296</t>
  </si>
  <si>
    <t>SN000033RKD</t>
  </si>
  <si>
    <t>SIM-BM-000320</t>
  </si>
  <si>
    <t>SN00003E4YU</t>
  </si>
  <si>
    <t>SIM-BM-000351</t>
  </si>
  <si>
    <t>SN00003TK9X</t>
  </si>
  <si>
    <t>SIM-BM-000385</t>
  </si>
  <si>
    <t>SN00004GAAA</t>
  </si>
  <si>
    <t>SIM-BM-001840</t>
  </si>
  <si>
    <t>SIM-BM-001525</t>
  </si>
  <si>
    <t>SIM-BM-001537</t>
  </si>
  <si>
    <t>SIM-BM-000195</t>
  </si>
  <si>
    <t>350000000000135</t>
  </si>
  <si>
    <t>SIM-BM-000338</t>
  </si>
  <si>
    <t>SN00003NDXH</t>
  </si>
  <si>
    <t>SIM-BM-000400</t>
  </si>
  <si>
    <t>SN00004NHT5</t>
  </si>
  <si>
    <t>SIM-BM-000403</t>
  </si>
  <si>
    <t>350000000000251</t>
  </si>
  <si>
    <t>SIM-BM-000458</t>
  </si>
  <si>
    <t>350000000000289</t>
  </si>
  <si>
    <t>SIM-BM-001809</t>
  </si>
  <si>
    <t>SIM-BM-001818</t>
  </si>
  <si>
    <t>SIM-BM-000140</t>
  </si>
  <si>
    <t>350000000000099</t>
  </si>
  <si>
    <t>SIM-BM-000409</t>
  </si>
  <si>
    <t>SN00004RMPR</t>
  </si>
  <si>
    <t>SIM-BM-001729</t>
  </si>
  <si>
    <t>SIM-BM-001554</t>
  </si>
  <si>
    <t>SIM-BM-001529</t>
  </si>
  <si>
    <t>SIM-BM-000137</t>
  </si>
  <si>
    <t>350000000000096</t>
  </si>
  <si>
    <t>SIM-BM-000218</t>
  </si>
  <si>
    <t>350000000000152</t>
  </si>
  <si>
    <t>SIM-BM-000408</t>
  </si>
  <si>
    <t>350000000000254</t>
  </si>
  <si>
    <t>SIM-BM-001738</t>
  </si>
  <si>
    <t>SIM-BM-001770</t>
  </si>
  <si>
    <t>SIM-BM-000327</t>
  </si>
  <si>
    <t>350000000000212</t>
  </si>
  <si>
    <t>SIM-BM-000183</t>
  </si>
  <si>
    <t>350000000000127</t>
  </si>
  <si>
    <t>SIM-BM-000281</t>
  </si>
  <si>
    <t>SN00002XK9X</t>
  </si>
  <si>
    <t>SIM-BM-000036</t>
  </si>
  <si>
    <t>SN00000FRKD</t>
  </si>
  <si>
    <t>SIM-BM-001757</t>
  </si>
  <si>
    <t>SIM-BM-001761</t>
  </si>
  <si>
    <t>SIM-BM-001795</t>
  </si>
  <si>
    <t>SIM-BM-000208</t>
  </si>
  <si>
    <t>SN000021K9X</t>
  </si>
  <si>
    <t>SIM-BM-000222</t>
  </si>
  <si>
    <t>350000000000153</t>
  </si>
  <si>
    <t>SIM-BM-000260</t>
  </si>
  <si>
    <t>SN00002M8UG</t>
  </si>
  <si>
    <t>SIM-BM-000308</t>
  </si>
  <si>
    <t>SN000038WNE</t>
  </si>
  <si>
    <t>SIM-BM-000339</t>
  </si>
  <si>
    <t>350000000000218</t>
  </si>
  <si>
    <t>SIM-BM-000086</t>
  </si>
  <si>
    <t>350000000000056</t>
  </si>
  <si>
    <t>SIM-BM-000241</t>
  </si>
  <si>
    <t>SN00002EY48</t>
  </si>
  <si>
    <t>SIM-BM-000342</t>
  </si>
  <si>
    <t>350000000000221</t>
  </si>
  <si>
    <t>SIM-BM-000343</t>
  </si>
  <si>
    <t>SN00003OE6W</t>
  </si>
  <si>
    <t>SIM-BM-000064</t>
  </si>
  <si>
    <t>SN00000Q4YU</t>
  </si>
  <si>
    <t>SIM-BM-000072</t>
  </si>
  <si>
    <t>350000000000044</t>
  </si>
  <si>
    <t>SIM-BM-001766</t>
  </si>
  <si>
    <t>SIM-BM-001772</t>
  </si>
  <si>
    <t>SIM-BM-001774</t>
  </si>
  <si>
    <t>SIM-BM-001794</t>
  </si>
  <si>
    <t>SIM-BM-000131</t>
  </si>
  <si>
    <t>SN000018NW6</t>
  </si>
  <si>
    <t>SIM-BM-000328</t>
  </si>
  <si>
    <t>SN00003I8UG</t>
  </si>
  <si>
    <t>SIM-BM-000186</t>
  </si>
  <si>
    <t>SN00001TBHP</t>
  </si>
  <si>
    <t>SIM-BM-000309</t>
  </si>
  <si>
    <t>SN000039XVT</t>
  </si>
  <si>
    <t>SIM-BM-001791</t>
  </si>
  <si>
    <t>SIM-BM-000118</t>
  </si>
  <si>
    <t>350000000000081</t>
  </si>
  <si>
    <t>SIM-BM-000144</t>
  </si>
  <si>
    <t>SN00001CSSS</t>
  </si>
  <si>
    <t>SIM-BM-000209</t>
  </si>
  <si>
    <t>350000000000144</t>
  </si>
  <si>
    <t>SIM-BM-000299</t>
  </si>
  <si>
    <t>SN000035TZ7</t>
  </si>
  <si>
    <t>SIM-BM-000038</t>
  </si>
  <si>
    <t>350000000000023</t>
  </si>
  <si>
    <t>SIM-BM-000079</t>
  </si>
  <si>
    <t>350000000000050</t>
  </si>
  <si>
    <t>SIM-BM-001734</t>
  </si>
  <si>
    <t>SIM-BM-000121</t>
  </si>
  <si>
    <t>350000000000084</t>
  </si>
  <si>
    <t>SIM-BM-000159</t>
  </si>
  <si>
    <t>350000000000113</t>
  </si>
  <si>
    <t>SIM-BM-000249</t>
  </si>
  <si>
    <t>SN00002FZBM</t>
  </si>
  <si>
    <t>SIM-BM-001787</t>
  </si>
  <si>
    <t>SIM-BM-000148</t>
  </si>
  <si>
    <t>350000000000104</t>
  </si>
  <si>
    <t>SIM-BM-000199</t>
  </si>
  <si>
    <t>350000000000138</t>
  </si>
  <si>
    <t>SIM-BM-000219</t>
  </si>
  <si>
    <t>SN000023MPR</t>
  </si>
  <si>
    <t>SIM-BM-000223</t>
  </si>
  <si>
    <t>350000000000154</t>
  </si>
  <si>
    <t>SIM-BM-000076</t>
  </si>
  <si>
    <t>350000000000048</t>
  </si>
  <si>
    <t>SIM-BM-001796</t>
  </si>
  <si>
    <t>SIM-BM-000205</t>
  </si>
  <si>
    <t>SN00001ZHT5</t>
  </si>
  <si>
    <t>SIM-BM-000236</t>
  </si>
  <si>
    <t>SN00002BVFZ</t>
  </si>
  <si>
    <t>SIM-BM-001731</t>
  </si>
  <si>
    <t>SIM-BM-001767</t>
  </si>
  <si>
    <t>SIM-BM-001773</t>
  </si>
  <si>
    <t>SIM-BM-000213</t>
  </si>
  <si>
    <t>350000000000147</t>
  </si>
  <si>
    <t>SIM-BM-001686</t>
  </si>
  <si>
    <t>SIM-BM-000100</t>
  </si>
  <si>
    <t>350000000000066</t>
  </si>
  <si>
    <t>SIM-BM-000177</t>
  </si>
  <si>
    <t>SN00001P7M3</t>
  </si>
  <si>
    <t>SIM-BM-000081</t>
  </si>
  <si>
    <t>350000000000051</t>
  </si>
  <si>
    <t>SIM-BM-000099</t>
  </si>
  <si>
    <t>350000000000065</t>
  </si>
  <si>
    <t>SIM-BM-001668</t>
  </si>
  <si>
    <t>SIM-BM-000106</t>
  </si>
  <si>
    <t>SN000013HT5</t>
  </si>
  <si>
    <t>SIM-BM-001689</t>
  </si>
  <si>
    <t>SIM-BM-000006</t>
  </si>
  <si>
    <t>SN000001BHP</t>
  </si>
  <si>
    <t>SIM-BM-001653</t>
  </si>
  <si>
    <t>SIM-BM-001655</t>
  </si>
  <si>
    <t>SIM-BM-001707</t>
  </si>
  <si>
    <t>SIM-BM-001717</t>
  </si>
  <si>
    <t>SIM-BM-000108</t>
  </si>
  <si>
    <t>SN000014J2J</t>
  </si>
  <si>
    <t>SIM-BM-001715</t>
  </si>
  <si>
    <t>SIM-BM-001710</t>
  </si>
  <si>
    <t>SIM-BM-001711</t>
  </si>
  <si>
    <t>SIM-BM-001716</t>
  </si>
  <si>
    <t>SIM-BM-001648</t>
  </si>
  <si>
    <t>SIM-BM-000047</t>
  </si>
  <si>
    <t>SN00000LXVT</t>
  </si>
  <si>
    <t>SIM-BM-000069</t>
  </si>
  <si>
    <t>350000000000042</t>
  </si>
  <si>
    <t>SIM-BM-001675</t>
  </si>
  <si>
    <t>SIM-BM-001677</t>
  </si>
  <si>
    <t>SIM-BM-000031</t>
  </si>
  <si>
    <t>350000000000020</t>
  </si>
  <si>
    <t>SIM-BM-001667</t>
  </si>
  <si>
    <t>SIM-BM-001702</t>
  </si>
  <si>
    <t>SIM-BM-000010</t>
  </si>
  <si>
    <t>SN000003DXH</t>
  </si>
  <si>
    <t>SIM-BM-001687</t>
  </si>
  <si>
    <t>SIM-BM-001691</t>
  </si>
  <si>
    <t>Units</t>
  </si>
  <si>
    <t>ROF</t>
  </si>
  <si>
    <t>FVF</t>
  </si>
  <si>
    <t>VAT</t>
  </si>
  <si>
    <t>T.COM</t>
  </si>
  <si>
    <t>Marketing</t>
  </si>
  <si>
    <t>M. VAT</t>
  </si>
  <si>
    <t>SIM-MANUAL-ACC-1</t>
  </si>
  <si>
    <t>SIM-EBAY-001346</t>
  </si>
  <si>
    <t>350000000000833</t>
  </si>
  <si>
    <t>SIM-EBAY-001350</t>
  </si>
  <si>
    <t>350000000000836</t>
  </si>
  <si>
    <t>SIM-EBAY-001362</t>
  </si>
  <si>
    <t>SN0000H4J2J</t>
  </si>
  <si>
    <t>SIM-EBAY-001367</t>
  </si>
  <si>
    <t>350000000000843</t>
  </si>
  <si>
    <t>SIM-EBAY-001373</t>
  </si>
  <si>
    <t>SN0000H8NW6</t>
  </si>
  <si>
    <t>SIM-EBAY-001374</t>
  </si>
  <si>
    <t>SN0000H9P5K</t>
  </si>
  <si>
    <t>SIM-EBAY-001376</t>
  </si>
  <si>
    <t>SN0000HBRKD</t>
  </si>
  <si>
    <t>SIM-EBAY-001393</t>
  </si>
  <si>
    <t>350000000000859</t>
  </si>
  <si>
    <t>SIM-EBAY-001400</t>
  </si>
  <si>
    <t>350000000000863</t>
  </si>
  <si>
    <t>SIM-EBAY-001414</t>
  </si>
  <si>
    <t>SN0000HSAAA</t>
  </si>
  <si>
    <t>SIM-EBAY-001434</t>
  </si>
  <si>
    <t>SN0000I0J2J</t>
  </si>
  <si>
    <t>SIM-EBAY-001437</t>
  </si>
  <si>
    <t>SN0000I1K9X</t>
  </si>
  <si>
    <t>SIM-EBAY-001450</t>
  </si>
  <si>
    <t>SN0000I7RKD</t>
  </si>
  <si>
    <t>SIM-EBAY-001453</t>
  </si>
  <si>
    <t>SN0000I9TZ7</t>
  </si>
  <si>
    <t>SIM-EBAY-001460</t>
  </si>
  <si>
    <t>350000000000899</t>
  </si>
  <si>
    <t>SIM-EBAY-001462</t>
  </si>
  <si>
    <t>350000000000901</t>
  </si>
  <si>
    <t>SIM-EBAY-001463</t>
  </si>
  <si>
    <t>350000000000902</t>
  </si>
  <si>
    <t>SIM-EBAY-001465</t>
  </si>
  <si>
    <t>350000000000904</t>
  </si>
  <si>
    <t>SIM-EBAY-001466</t>
  </si>
  <si>
    <t>350000000000905</t>
  </si>
  <si>
    <t>SIM-EBAY-001467</t>
  </si>
  <si>
    <t>350000000000906</t>
  </si>
  <si>
    <t>SIM-EBAY-001471</t>
  </si>
  <si>
    <t>350000000000909</t>
  </si>
  <si>
    <t>SIM-EBAY-001485</t>
  </si>
  <si>
    <t>350000000000920</t>
  </si>
  <si>
    <t>SIM-EBAY-001487</t>
  </si>
  <si>
    <t>350000000000921</t>
  </si>
  <si>
    <t>SIM-EBAY-001492</t>
  </si>
  <si>
    <t>350000000000925</t>
  </si>
  <si>
    <t>SIM-EBAY-001493</t>
  </si>
  <si>
    <t>350000000000926</t>
  </si>
  <si>
    <t>SIM-EBAY-001497</t>
  </si>
  <si>
    <t>350000000000928</t>
  </si>
  <si>
    <t>SIM-EBAY-001512</t>
  </si>
  <si>
    <t>350000000000940</t>
  </si>
  <si>
    <t>SIM-EBAY-001513</t>
  </si>
  <si>
    <t>350000000000941</t>
  </si>
  <si>
    <t>SIM-EBAY-001515</t>
  </si>
  <si>
    <t>350000000000942</t>
  </si>
  <si>
    <t>SIM-EBAY-001519</t>
  </si>
  <si>
    <t>SN0000IUGLQ</t>
  </si>
  <si>
    <t>SIM-EBAY-001522</t>
  </si>
  <si>
    <t>SN0000IVHT5</t>
  </si>
  <si>
    <t>SIM-EBAY-001523</t>
  </si>
  <si>
    <t>350000000000947</t>
  </si>
  <si>
    <t>SIM-EBAY-001201</t>
  </si>
  <si>
    <t>350000000000743</t>
  </si>
  <si>
    <t>SIM-EBAY-001250</t>
  </si>
  <si>
    <t>350000000000775</t>
  </si>
  <si>
    <t>SIM-EBAY-001254</t>
  </si>
  <si>
    <t>SN0000FIQCY</t>
  </si>
  <si>
    <t>SIM-EBAY-001259</t>
  </si>
  <si>
    <t>SN0000FKSSS</t>
  </si>
  <si>
    <t>SIM-EBAY-001266</t>
  </si>
  <si>
    <t>SN0000FMU8L</t>
  </si>
  <si>
    <t>SIM-EBAY-001270</t>
  </si>
  <si>
    <t>SN0000FOWNE</t>
  </si>
  <si>
    <t>SIM-EBAY-001276</t>
  </si>
  <si>
    <t>SN0000FRZBM</t>
  </si>
  <si>
    <t>SIM-EBAY-001277</t>
  </si>
  <si>
    <t>350000000000793</t>
  </si>
  <si>
    <t>SIM-EBAY-001293</t>
  </si>
  <si>
    <t>350000000000801</t>
  </si>
  <si>
    <t>SIM-EBAY-001297</t>
  </si>
  <si>
    <t>350000000000802</t>
  </si>
  <si>
    <t>SIM-EBAY-001299</t>
  </si>
  <si>
    <t>350000000000804</t>
  </si>
  <si>
    <t>SIM-EBAY-001320</t>
  </si>
  <si>
    <t>SN0000GKWNE</t>
  </si>
  <si>
    <t>SIM-EBAY-001333</t>
  </si>
  <si>
    <t>SN0000GS6EN</t>
  </si>
  <si>
    <t>SIM-EBAY-001334</t>
  </si>
  <si>
    <t>350000000000823</t>
  </si>
  <si>
    <t>SIM-EBAY-002169</t>
  </si>
  <si>
    <t>SIM-EBAY-002173</t>
  </si>
  <si>
    <t>SIM-EBAY-002113</t>
  </si>
  <si>
    <t>SIM-EBAY-002115</t>
  </si>
  <si>
    <t>SIM-EBAY-002130</t>
  </si>
  <si>
    <t>SIM-EBAY-002142</t>
  </si>
  <si>
    <t>SIM-EBAY-002145</t>
  </si>
  <si>
    <t>SIM-EBAY-002157</t>
  </si>
  <si>
    <t>SIM-EBAY-002158</t>
  </si>
  <si>
    <t>SIM-EBAY-002160</t>
  </si>
  <si>
    <t>SIM-EBAY-002164</t>
  </si>
  <si>
    <t>SIM-EBAY-002165</t>
  </si>
  <si>
    <t>SIM-EBAY-002166</t>
  </si>
  <si>
    <t>SIM-EBAY-001614</t>
  </si>
  <si>
    <t>SIM-EBAY-001632</t>
  </si>
  <si>
    <t>SIM-EBAY-001634</t>
  </si>
  <si>
    <t>SIM-EBAY-001635</t>
  </si>
  <si>
    <t>SIM-EBAY-001643</t>
  </si>
  <si>
    <t>SIM-EBAY-001352</t>
  </si>
  <si>
    <t>SN0000GXBHP</t>
  </si>
  <si>
    <t>SIM-EBAY-001379</t>
  </si>
  <si>
    <t>SN0000HCSSS</t>
  </si>
  <si>
    <t>SIM-EBAY-001429</t>
  </si>
  <si>
    <t>350000000000880</t>
  </si>
  <si>
    <t>SIM-EBAY-002116</t>
  </si>
  <si>
    <t>SIM-EBAY-002153</t>
  </si>
  <si>
    <t>SIM-EBAY-001359</t>
  </si>
  <si>
    <t>SN0000H3HT5</t>
  </si>
  <si>
    <t>SIM-EBAY-001369</t>
  </si>
  <si>
    <t>350000000000845</t>
  </si>
  <si>
    <t>SIM-EBAY-001457</t>
  </si>
  <si>
    <t>350000000000897</t>
  </si>
  <si>
    <t>SIM-EBAY-001283</t>
  </si>
  <si>
    <t>350000000000796</t>
  </si>
  <si>
    <t>SIM-EBAY-002174</t>
  </si>
  <si>
    <t>SIM-EBAY-001620</t>
  </si>
  <si>
    <t>SIM-EBAY-001128</t>
  </si>
  <si>
    <t>SN0000DTTZ7</t>
  </si>
  <si>
    <t>SIM-EBAY-001303</t>
  </si>
  <si>
    <t>SN0000GALGC</t>
  </si>
  <si>
    <t>SIM-EBAY-001329</t>
  </si>
  <si>
    <t>350000000000819</t>
  </si>
  <si>
    <t>SIM-EBAY-001157</t>
  </si>
  <si>
    <t>350000000000721</t>
  </si>
  <si>
    <t>SIM-EBAY-001225</t>
  </si>
  <si>
    <t>SN0000F7DXH</t>
  </si>
  <si>
    <t>SIM-EBAY-001279</t>
  </si>
  <si>
    <t>350000000000795</t>
  </si>
  <si>
    <t>SIM-EBAY-002176</t>
  </si>
  <si>
    <t>SIM-EBAY-001607</t>
  </si>
  <si>
    <t>SIM-EBAY-001112</t>
  </si>
  <si>
    <t>350000000000694</t>
  </si>
  <si>
    <t>SIM-EBAY-001123</t>
  </si>
  <si>
    <t>350000000000701</t>
  </si>
  <si>
    <t>SIM-EBAY-001140</t>
  </si>
  <si>
    <t>350000000000712</t>
  </si>
  <si>
    <t>SIM-EBAY-001167</t>
  </si>
  <si>
    <t>350000000000724</t>
  </si>
  <si>
    <t>SIM-EBAY-001228</t>
  </si>
  <si>
    <t>350000000000759</t>
  </si>
  <si>
    <t>SIM-EBAY-001306</t>
  </si>
  <si>
    <t>SN0000GCNW6</t>
  </si>
  <si>
    <t>SIM-EBAY-001324</t>
  </si>
  <si>
    <t>SN0000GMY48</t>
  </si>
  <si>
    <t>SIM-EBAY-002048</t>
  </si>
  <si>
    <t>SIM-EBAY-001286</t>
  </si>
  <si>
    <t>SN0000G1BHP</t>
  </si>
  <si>
    <t>SIM-EBAY-001292</t>
  </si>
  <si>
    <t>SN0000G4E6W</t>
  </si>
  <si>
    <t>SIM-EBAY-001336</t>
  </si>
  <si>
    <t>SN0000GT7M3</t>
  </si>
  <si>
    <t>SIM-EBAY-001291</t>
  </si>
  <si>
    <t>SN0000G3DXH</t>
  </si>
  <si>
    <t>SIM-EBAY-002100</t>
  </si>
  <si>
    <t>SIM-EBAY-001197</t>
  </si>
  <si>
    <t>SN0000ESWNE</t>
  </si>
  <si>
    <t>SIM-EBAY-001209</t>
  </si>
  <si>
    <t>350000000000748</t>
  </si>
  <si>
    <t>SIM-EBAY-001251</t>
  </si>
  <si>
    <t>SN0000FHP5K</t>
  </si>
  <si>
    <t>SIM-EBAY-002094</t>
  </si>
  <si>
    <t>SIM-EBAY-001071</t>
  </si>
  <si>
    <t>SN0000D1XVT</t>
  </si>
  <si>
    <t>SIM-EBAY-001085</t>
  </si>
  <si>
    <t>350000000000677</t>
  </si>
  <si>
    <t>SIM-EBAY-001170</t>
  </si>
  <si>
    <t>SN0000EGJ2J</t>
  </si>
  <si>
    <t>SIM-EBAY-001187</t>
  </si>
  <si>
    <t>SN0000ENRKD</t>
  </si>
  <si>
    <t>SIM-EBAY-001253</t>
  </si>
  <si>
    <t>350000000000777</t>
  </si>
  <si>
    <t>SIM-EBAY-001256</t>
  </si>
  <si>
    <t>SN0000FJRKD</t>
  </si>
  <si>
    <t>SIM-EBAY-001280</t>
  </si>
  <si>
    <t>SN0000FU4YU</t>
  </si>
  <si>
    <t>SIM-EBAY-001289</t>
  </si>
  <si>
    <t>350000000000799</t>
  </si>
  <si>
    <t>SIM-EBAY-002070</t>
  </si>
  <si>
    <t>SIM-EBAY-001078</t>
  </si>
  <si>
    <t>SN0000D53RF</t>
  </si>
  <si>
    <t>SIM-EBAY-001105</t>
  </si>
  <si>
    <t>SN0000DIGLQ</t>
  </si>
  <si>
    <t>SIM-EBAY-001154</t>
  </si>
  <si>
    <t>350000000000717</t>
  </si>
  <si>
    <t>SIM-EBAY-001248</t>
  </si>
  <si>
    <t>350000000000774</t>
  </si>
  <si>
    <t>SIM-EBAY-001255</t>
  </si>
  <si>
    <t>350000000000778</t>
  </si>
  <si>
    <t>SIM-EBAY-001075</t>
  </si>
  <si>
    <t>350000000000672</t>
  </si>
  <si>
    <t>SIM-EBAY-001080</t>
  </si>
  <si>
    <t>350000000000673</t>
  </si>
  <si>
    <t>SIM-EBAY-001171</t>
  </si>
  <si>
    <t>350000000000726</t>
  </si>
  <si>
    <t>SIM-EBAY-001265</t>
  </si>
  <si>
    <t>350000000000785</t>
  </si>
  <si>
    <t>SIM-EBAY-002036</t>
  </si>
  <si>
    <t>SIM-EBAY-002072</t>
  </si>
  <si>
    <t>SIM-EBAY-002081</t>
  </si>
  <si>
    <t>SIM-EBAY-000992</t>
  </si>
  <si>
    <t>350000000000613</t>
  </si>
  <si>
    <t>SIM-EBAY-001007</t>
  </si>
  <si>
    <t>SN0000CB579</t>
  </si>
  <si>
    <t>SIM-EBAY-001057</t>
  </si>
  <si>
    <t>350000000000658</t>
  </si>
  <si>
    <t>SIM-EBAY-001070</t>
  </si>
  <si>
    <t>SN0000D0WNE</t>
  </si>
  <si>
    <t>SIM-EBAY-001184</t>
  </si>
  <si>
    <t>350000000000733</t>
  </si>
  <si>
    <t>SIM-EBAY-002030</t>
  </si>
  <si>
    <t>SIM-EBAY-002073</t>
  </si>
  <si>
    <t>SIM-EBAY-001205</t>
  </si>
  <si>
    <t>350000000000746</t>
  </si>
  <si>
    <t>SIM-EBAY-001240</t>
  </si>
  <si>
    <t>350000000000768</t>
  </si>
  <si>
    <t>SIM-EBAY-002064</t>
  </si>
  <si>
    <t>SIM-EBAY-000928</t>
  </si>
  <si>
    <t>350000000000579</t>
  </si>
  <si>
    <t>SIM-EBAY-000944</t>
  </si>
  <si>
    <t>SN0000BJ93V</t>
  </si>
  <si>
    <t>SIM-EBAY-000962</t>
  </si>
  <si>
    <t>350000000000596</t>
  </si>
  <si>
    <t>SIM-EBAY-000974</t>
  </si>
  <si>
    <t>350000000000601</t>
  </si>
  <si>
    <t>SIM-EBAY-000989</t>
  </si>
  <si>
    <t>350000000000610</t>
  </si>
  <si>
    <t>SIM-EBAY-001145</t>
  </si>
  <si>
    <t>350000000000715</t>
  </si>
  <si>
    <t>SIM-EBAY-001178</t>
  </si>
  <si>
    <t>350000000000729</t>
  </si>
  <si>
    <t>SIM-EBAY-001226</t>
  </si>
  <si>
    <t>350000000000757</t>
  </si>
  <si>
    <t>SIM-EBAY-001252</t>
  </si>
  <si>
    <t>350000000000776</t>
  </si>
  <si>
    <t>SIM-EBAY-002032</t>
  </si>
  <si>
    <t>SIM-EBAY-002055</t>
  </si>
  <si>
    <t>SIM-EBAY-002059</t>
  </si>
  <si>
    <t>SIM-EBAY-000952</t>
  </si>
  <si>
    <t>350000000000589</t>
  </si>
  <si>
    <t>SIM-EBAY-001072</t>
  </si>
  <si>
    <t>350000000000669</t>
  </si>
  <si>
    <t>SIM-EBAY-001222</t>
  </si>
  <si>
    <t>SN0000F6CQ4</t>
  </si>
  <si>
    <t>SIM-EBAY-001588</t>
  </si>
  <si>
    <t>SIM-EBAY-001005</t>
  </si>
  <si>
    <t>350000000000624</t>
  </si>
  <si>
    <t>SIM-EBAY-001093</t>
  </si>
  <si>
    <t>350000000000683</t>
  </si>
  <si>
    <t>SIM-EBAY-001200</t>
  </si>
  <si>
    <t>350000000000742</t>
  </si>
  <si>
    <t>SIM-EBAY-000898</t>
  </si>
  <si>
    <t>350000000000557</t>
  </si>
  <si>
    <t>SIM-EBAY-002038</t>
  </si>
  <si>
    <t>SIM-EBAY-002052</t>
  </si>
  <si>
    <t>SIM-EBAY-002083</t>
  </si>
  <si>
    <t>SIM-EBAY-000942</t>
  </si>
  <si>
    <t>SN0000BH7M3</t>
  </si>
  <si>
    <t>SIM-EBAY-001147</t>
  </si>
  <si>
    <t>SN0000E02J2</t>
  </si>
  <si>
    <t>SIM-EBAY-001031</t>
  </si>
  <si>
    <t>SN0000CRMPR</t>
  </si>
  <si>
    <t>SIM-EBAY-001050</t>
  </si>
  <si>
    <t>350000000000652</t>
  </si>
  <si>
    <t>SIM-EBAY-001169</t>
  </si>
  <si>
    <t>350000000000725</t>
  </si>
  <si>
    <t>SIM-EBAY-001098</t>
  </si>
  <si>
    <t>350000000000687</t>
  </si>
  <si>
    <t>SIM-EBAY-000868</t>
  </si>
  <si>
    <t>SN0000AK6EN</t>
  </si>
  <si>
    <t>SIM-EBAY-001992</t>
  </si>
  <si>
    <t>SIM-EBAY-002008</t>
  </si>
  <si>
    <t>SIM-EBAY-000929</t>
  </si>
  <si>
    <t>SN0000BAY48</t>
  </si>
  <si>
    <t>SIM-EBAY-001010</t>
  </si>
  <si>
    <t>SN0000CD7M3</t>
  </si>
  <si>
    <t>SIM-EBAY-001094</t>
  </si>
  <si>
    <t>SN0000DB93V</t>
  </si>
  <si>
    <t>SIM-EBAY-000838</t>
  </si>
  <si>
    <t>350000000000520</t>
  </si>
  <si>
    <t>SIM-EBAY-001958</t>
  </si>
  <si>
    <t>SIM-EBAY-000863</t>
  </si>
  <si>
    <t>350000000000537</t>
  </si>
  <si>
    <t>SIM-EBAY-001580</t>
  </si>
  <si>
    <t>SIM-EBAY-001008</t>
  </si>
  <si>
    <t>350000000000625</t>
  </si>
  <si>
    <t>SIM-EBAY-001095</t>
  </si>
  <si>
    <t>350000000000684</t>
  </si>
  <si>
    <t>SIM-EBAY-001959</t>
  </si>
  <si>
    <t>SIM-EBAY-001960</t>
  </si>
  <si>
    <t>SIM-EBAY-001970</t>
  </si>
  <si>
    <t>SIM-EBAY-001980</t>
  </si>
  <si>
    <t>SIM-EBAY-001081</t>
  </si>
  <si>
    <t>350000000000674</t>
  </si>
  <si>
    <t>SIM-EBAY-001096</t>
  </si>
  <si>
    <t>350000000000685</t>
  </si>
  <si>
    <t>SIM-EBAY-000822</t>
  </si>
  <si>
    <t>SN00009ZHT5</t>
  </si>
  <si>
    <t>SIM-EBAY-000910</t>
  </si>
  <si>
    <t>350000000000566</t>
  </si>
  <si>
    <t>SIM-EBAY-001006</t>
  </si>
  <si>
    <t>SN0000CA4YU</t>
  </si>
  <si>
    <t>SIM-EBAY-001035</t>
  </si>
  <si>
    <t>350000000000636</t>
  </si>
  <si>
    <t>SIM-EBAY-001990</t>
  </si>
  <si>
    <t>SIM-EBAY-001997</t>
  </si>
  <si>
    <t>SIM-EBAY-002003</t>
  </si>
  <si>
    <t>SIM-EBAY-002005</t>
  </si>
  <si>
    <t>SIM-EBAY-002007</t>
  </si>
  <si>
    <t>SIM-EBAY-000903</t>
  </si>
  <si>
    <t>350000000000561</t>
  </si>
  <si>
    <t>SIM-EBAY-000904</t>
  </si>
  <si>
    <t>350000000000562</t>
  </si>
  <si>
    <t>SIM-EBAY-000957</t>
  </si>
  <si>
    <t>SN0000BRHT5</t>
  </si>
  <si>
    <t>SIM-EBAY-000759</t>
  </si>
  <si>
    <t>SN00008ZDXH</t>
  </si>
  <si>
    <t>SIM-EBAY-000826</t>
  </si>
  <si>
    <t>350000000000512</t>
  </si>
  <si>
    <t>SIM-EBAY-001985</t>
  </si>
  <si>
    <t>SIM-EBAY-001042</t>
  </si>
  <si>
    <t>350000000000642</t>
  </si>
  <si>
    <t>SIM-EBAY-001060</t>
  </si>
  <si>
    <t>350000000000661</t>
  </si>
  <si>
    <t>SIM-EBAY-000899</t>
  </si>
  <si>
    <t>350000000000558</t>
  </si>
  <si>
    <t>SIM-EBAY-001982</t>
  </si>
  <si>
    <t>SIM-EBAY-000705</t>
  </si>
  <si>
    <t>SN00008DP5K</t>
  </si>
  <si>
    <t>SIM-EBAY-000751</t>
  </si>
  <si>
    <t>SN00008V93V</t>
  </si>
  <si>
    <t>SIM-EBAY-000753</t>
  </si>
  <si>
    <t>SN00008WAAA</t>
  </si>
  <si>
    <t>SIM-EBAY-000810</t>
  </si>
  <si>
    <t>SN00009UCQ4</t>
  </si>
  <si>
    <t>SIM-EBAY-000842</t>
  </si>
  <si>
    <t>SN0000A7RKD</t>
  </si>
  <si>
    <t>SIM-EBAY-000971</t>
  </si>
  <si>
    <t>SN0000BYQCY</t>
  </si>
  <si>
    <t>SIM-EBAY-000799</t>
  </si>
  <si>
    <t>SN00009N579</t>
  </si>
  <si>
    <t>SIM-EBAY-000806</t>
  </si>
  <si>
    <t>350000000000496</t>
  </si>
  <si>
    <t>SIM-EBAY-001994</t>
  </si>
  <si>
    <t>SIM-EBAY-000923</t>
  </si>
  <si>
    <t>SN0000B7VFZ</t>
  </si>
  <si>
    <t>SIM-EBAY-000897</t>
  </si>
  <si>
    <t>SN0000AZMPR</t>
  </si>
  <si>
    <t>SIM-EBAY-000712</t>
  </si>
  <si>
    <t>350000000000445</t>
  </si>
  <si>
    <t>SIM-EBAY-000767</t>
  </si>
  <si>
    <t>SN000093HT5</t>
  </si>
  <si>
    <t>SIM-EBAY-001965</t>
  </si>
  <si>
    <t>SIM-EBAY-001590</t>
  </si>
  <si>
    <t>SIM-EBAY-001562</t>
  </si>
  <si>
    <t>SIM-EBAY-000900</t>
  </si>
  <si>
    <t>350000000000559</t>
  </si>
  <si>
    <t>SIM-EBAY-000930</t>
  </si>
  <si>
    <t>350000000000580</t>
  </si>
  <si>
    <t>SIM-EBAY-000674</t>
  </si>
  <si>
    <t>350000000000419</t>
  </si>
  <si>
    <t>SIM-EBAY-000756</t>
  </si>
  <si>
    <t>SN00008YCQ4</t>
  </si>
  <si>
    <t>SIM-EBAY-000876</t>
  </si>
  <si>
    <t>350000000000544</t>
  </si>
  <si>
    <t>SIM-EBAY-001967</t>
  </si>
  <si>
    <t>SIM-EBAY-001968</t>
  </si>
  <si>
    <t>SIM-EBAY-000956</t>
  </si>
  <si>
    <t>SN0000BQGLQ</t>
  </si>
  <si>
    <t>SIM-EBAY-000701</t>
  </si>
  <si>
    <t>350000000000438</t>
  </si>
  <si>
    <t>SIM-EBAY-000747</t>
  </si>
  <si>
    <t>350000000000469</t>
  </si>
  <si>
    <t>SIM-EBAY-000850</t>
  </si>
  <si>
    <t>SN0000ACWNE</t>
  </si>
  <si>
    <t>SIM-EBAY-000862</t>
  </si>
  <si>
    <t>350000000000536</t>
  </si>
  <si>
    <t>SIM-EBAY-001983</t>
  </si>
  <si>
    <t>SIM-EBAY-000612</t>
  </si>
  <si>
    <t>350000000000377</t>
  </si>
  <si>
    <t>SIM-EBAY-000624</t>
  </si>
  <si>
    <t>350000000000386</t>
  </si>
  <si>
    <t>SIM-EBAY-000626</t>
  </si>
  <si>
    <t>SN00007HP5K</t>
  </si>
  <si>
    <t>SIM-EBAY-000680</t>
  </si>
  <si>
    <t>350000000000424</t>
  </si>
  <si>
    <t>SIM-EBAY-000731</t>
  </si>
  <si>
    <t>350000000000459</t>
  </si>
  <si>
    <t>SIM-EBAY-000738</t>
  </si>
  <si>
    <t>350000000000463</t>
  </si>
  <si>
    <t>SIM-EBAY-000825</t>
  </si>
  <si>
    <t>350000000000511</t>
  </si>
  <si>
    <t>SIM-EBAY-001883</t>
  </si>
  <si>
    <t>SIM-EBAY-001900</t>
  </si>
  <si>
    <t>SIM-EBAY-001593</t>
  </si>
  <si>
    <t>SIM-EBAY-001565</t>
  </si>
  <si>
    <t>SIM-EBAY-000609</t>
  </si>
  <si>
    <t>SN00007CJ2J</t>
  </si>
  <si>
    <t>SIM-EBAY-000634</t>
  </si>
  <si>
    <t>SN00007JRKD</t>
  </si>
  <si>
    <t>SIM-EBAY-000818</t>
  </si>
  <si>
    <t>350000000000506</t>
  </si>
  <si>
    <t>SIM-EBAY-001874</t>
  </si>
  <si>
    <t>SIM-EBAY-001917</t>
  </si>
  <si>
    <t>SIM-EBAY-000732</t>
  </si>
  <si>
    <t>350000000000460</t>
  </si>
  <si>
    <t>SIM-EBAY-000875</t>
  </si>
  <si>
    <t>SN0000APBHP</t>
  </si>
  <si>
    <t>SIM-EBAY-001586</t>
  </si>
  <si>
    <t>SIM-EBAY-000679</t>
  </si>
  <si>
    <t>350000000000423</t>
  </si>
  <si>
    <t>SIM-EBAY-000719</t>
  </si>
  <si>
    <t>350000000000450</t>
  </si>
  <si>
    <t>SIM-EBAY-000839</t>
  </si>
  <si>
    <t>350000000000521</t>
  </si>
  <si>
    <t>SIM-EBAY-000766</t>
  </si>
  <si>
    <t>350000000000479</t>
  </si>
  <si>
    <t>SIM-EBAY-000770</t>
  </si>
  <si>
    <t>SN000096LGC</t>
  </si>
  <si>
    <t>SIM-EBAY-001910</t>
  </si>
  <si>
    <t>SIM-EBAY-001941</t>
  </si>
  <si>
    <t>SIM-EBAY-000682</t>
  </si>
  <si>
    <t>350000000000426</t>
  </si>
  <si>
    <t>SIM-EBAY-000808</t>
  </si>
  <si>
    <t>SN00009TBHP</t>
  </si>
  <si>
    <t>SIM-EBAY-000843</t>
  </si>
  <si>
    <t>350000000000523</t>
  </si>
  <si>
    <t>SIM-EBAY-001924</t>
  </si>
  <si>
    <t>SIM-EBAY-000672</t>
  </si>
  <si>
    <t>350000000000417</t>
  </si>
  <si>
    <t>SIM-EBAY-000707</t>
  </si>
  <si>
    <t>350000000000442</t>
  </si>
  <si>
    <t>SIM-EBAY-000758</t>
  </si>
  <si>
    <t>350000000000475</t>
  </si>
  <si>
    <t>SIM-EBAY-000824</t>
  </si>
  <si>
    <t>350000000000510</t>
  </si>
  <si>
    <t>SIM-EBAY-000832</t>
  </si>
  <si>
    <t>SN0000A3MPR</t>
  </si>
  <si>
    <t>SIM-EBAY-001584</t>
  </si>
  <si>
    <t>SIM-EBAY-000478</t>
  </si>
  <si>
    <t>SN00005GE6W</t>
  </si>
  <si>
    <t>SIM-EBAY-000620</t>
  </si>
  <si>
    <t>350000000000382</t>
  </si>
  <si>
    <t>SIM-EBAY-000785</t>
  </si>
  <si>
    <t>SN00009GWNE</t>
  </si>
  <si>
    <t>SIM-EBAY-000471</t>
  </si>
  <si>
    <t>350000000000299</t>
  </si>
  <si>
    <t>SIM-EBAY-000778</t>
  </si>
  <si>
    <t>SN00009BRKD</t>
  </si>
  <si>
    <t>SIM-EBAY-000816</t>
  </si>
  <si>
    <t>350000000000504</t>
  </si>
  <si>
    <t>SIM-EBAY-001905</t>
  </si>
  <si>
    <t>SIM-EBAY-001911</t>
  </si>
  <si>
    <t>SIM-EBAY-001938</t>
  </si>
  <si>
    <t>SIM-EBAY-001547</t>
  </si>
  <si>
    <t>SIM-EBAY-000591</t>
  </si>
  <si>
    <t>SN0000717M3</t>
  </si>
  <si>
    <t>SIM-EBAY-000646</t>
  </si>
  <si>
    <t>SN00007OWNE</t>
  </si>
  <si>
    <t>SIM-EBAY-000652</t>
  </si>
  <si>
    <t>SN00007S2J2</t>
  </si>
  <si>
    <t>SIM-EBAY-001920</t>
  </si>
  <si>
    <t>SIM-EBAY-001571</t>
  </si>
  <si>
    <t>SIM-EBAY-000657</t>
  </si>
  <si>
    <t>350000000000407</t>
  </si>
  <si>
    <t>SIM-EBAY-001915</t>
  </si>
  <si>
    <t>SIM-EBAY-001921</t>
  </si>
  <si>
    <t>SIM-EBAY-001931</t>
  </si>
  <si>
    <t>SIM-EBAY-001578</t>
  </si>
  <si>
    <t>SIM-EBAY-000516</t>
  </si>
  <si>
    <t>350000000000325</t>
  </si>
  <si>
    <t>SIM-EBAY-000547</t>
  </si>
  <si>
    <t>350000000000346</t>
  </si>
  <si>
    <t>SIM-EBAY-000647</t>
  </si>
  <si>
    <t>SN00007PXVT</t>
  </si>
  <si>
    <t>SIM-EBAY-000660</t>
  </si>
  <si>
    <t>350000000000409</t>
  </si>
  <si>
    <t>SIM-EBAY-000666</t>
  </si>
  <si>
    <t>350000000000414</t>
  </si>
  <si>
    <t>SIM-EBAY-001904</t>
  </si>
  <si>
    <t>SIM-EBAY-000490</t>
  </si>
  <si>
    <t>350000000000307</t>
  </si>
  <si>
    <t>SIM-EBAY-000586</t>
  </si>
  <si>
    <t>SN00006Z579</t>
  </si>
  <si>
    <t>SIM-EBAY-000593</t>
  </si>
  <si>
    <t>350000000000368</t>
  </si>
  <si>
    <t>SIM-EBAY-000650</t>
  </si>
  <si>
    <t>SN00007RZBM</t>
  </si>
  <si>
    <t>SIM-EBAY-000716</t>
  </si>
  <si>
    <t>350000000000448</t>
  </si>
  <si>
    <t>SIM-EBAY-000724</t>
  </si>
  <si>
    <t>SN00008KWNE</t>
  </si>
  <si>
    <t>SIM-EBAY-001912</t>
  </si>
  <si>
    <t>SIM-EBAY-001947</t>
  </si>
  <si>
    <t>SIM-EBAY-000445</t>
  </si>
  <si>
    <t>350000000000280</t>
  </si>
  <si>
    <t>SIM-EBAY-000484</t>
  </si>
  <si>
    <t>350000000000304</t>
  </si>
  <si>
    <t>SIM-EBAY-000488</t>
  </si>
  <si>
    <t>350000000000305</t>
  </si>
  <si>
    <t>SIM-EBAY-000687</t>
  </si>
  <si>
    <t>350000000000430</t>
  </si>
  <si>
    <t>SIM-EBAY-000698</t>
  </si>
  <si>
    <t>350000000000436</t>
  </si>
  <si>
    <t>SIM-EBAY-001888</t>
  </si>
  <si>
    <t>SIM-EBAY-000670</t>
  </si>
  <si>
    <t>350000000000416</t>
  </si>
  <si>
    <t>SIM-EBAY-000382</t>
  </si>
  <si>
    <t>350000000000237</t>
  </si>
  <si>
    <t>SIM-EBAY-000377</t>
  </si>
  <si>
    <t>350000000000235</t>
  </si>
  <si>
    <t>SIM-EBAY-000587</t>
  </si>
  <si>
    <t>350000000000364</t>
  </si>
  <si>
    <t>SIM-EBAY-000334</t>
  </si>
  <si>
    <t>350000000000217</t>
  </si>
  <si>
    <t>SIM-EBAY-001834</t>
  </si>
  <si>
    <t>SIM-EBAY-000500</t>
  </si>
  <si>
    <t>350000000000313</t>
  </si>
  <si>
    <t>SIM-EBAY-000599</t>
  </si>
  <si>
    <t>SN000075BHP</t>
  </si>
  <si>
    <t>SIM-EBAY-000667</t>
  </si>
  <si>
    <t>SN00007Z93V</t>
  </si>
  <si>
    <t>SIM-EBAY-000321</t>
  </si>
  <si>
    <t>SN00003F579</t>
  </si>
  <si>
    <t>SIM-EBAY-000410</t>
  </si>
  <si>
    <t>SN00004SNW6</t>
  </si>
  <si>
    <t>SIM-EBAY-001821</t>
  </si>
  <si>
    <t>SIM-EBAY-001861</t>
  </si>
  <si>
    <t>SIM-EBAY-000504</t>
  </si>
  <si>
    <t>350000000000317</t>
  </si>
  <si>
    <t>SIM-EBAY-000330</t>
  </si>
  <si>
    <t>SN00003J93V</t>
  </si>
  <si>
    <t>SIM-EBAY-000378</t>
  </si>
  <si>
    <t>SN00004A4YU</t>
  </si>
  <si>
    <t>SIM-EBAY-001544</t>
  </si>
  <si>
    <t>SIM-EBAY-000426</t>
  </si>
  <si>
    <t>350000000000266</t>
  </si>
  <si>
    <t>SIM-EBAY-000558</t>
  </si>
  <si>
    <t>SN00006ILGC</t>
  </si>
  <si>
    <t>SIM-EBAY-001822</t>
  </si>
  <si>
    <t>SIM-EBAY-001803</t>
  </si>
  <si>
    <t>SIM-EBAY-000416</t>
  </si>
  <si>
    <t>350000000000259</t>
  </si>
  <si>
    <t>SIM-EBAY-000572</t>
  </si>
  <si>
    <t>SN00006PTZ7</t>
  </si>
  <si>
    <t>SIM-EBAY-000251</t>
  </si>
  <si>
    <t>SN00002H3RF</t>
  </si>
  <si>
    <t>SIM-EBAY-000350</t>
  </si>
  <si>
    <t>SN00003SJ2J</t>
  </si>
  <si>
    <t>SIM-EBAY-000405</t>
  </si>
  <si>
    <t>SN00004PK9X</t>
  </si>
  <si>
    <t>SIM-EBAY-001837</t>
  </si>
  <si>
    <t>SIM-EBAY-000419</t>
  </si>
  <si>
    <t>350000000000261</t>
  </si>
  <si>
    <t>SIM-EBAY-000233</t>
  </si>
  <si>
    <t>350000000000161</t>
  </si>
  <si>
    <t>SIM-EBAY-000266</t>
  </si>
  <si>
    <t>350000000000178</t>
  </si>
  <si>
    <t>SIM-EBAY-000346</t>
  </si>
  <si>
    <t>SN00003QGLQ</t>
  </si>
  <si>
    <t>SIM-EBAY-000374</t>
  </si>
  <si>
    <t>350000000000234</t>
  </si>
  <si>
    <t>SIM-EBAY-001865</t>
  </si>
  <si>
    <t>SIM-EBAY-001816</t>
  </si>
  <si>
    <t>SIM-EBAY-000508</t>
  </si>
  <si>
    <t>350000000000321</t>
  </si>
  <si>
    <t>SIM-EBAY-000437</t>
  </si>
  <si>
    <t>350000000000276</t>
  </si>
  <si>
    <t>SIM-EBAY-000440</t>
  </si>
  <si>
    <t>SN00004YU8L</t>
  </si>
  <si>
    <t>SIM-EBAY-000448</t>
  </si>
  <si>
    <t>SN000053ZBM</t>
  </si>
  <si>
    <t>SIM-EBAY-000507</t>
  </si>
  <si>
    <t>350000000000320</t>
  </si>
  <si>
    <t>SIM-EBAY-000527</t>
  </si>
  <si>
    <t>350000000000333</t>
  </si>
  <si>
    <t>SIM-EBAY-000564</t>
  </si>
  <si>
    <t>SN00006LP5K</t>
  </si>
  <si>
    <t>SIM-EBAY-000533</t>
  </si>
  <si>
    <t>SN0000646EN</t>
  </si>
  <si>
    <t>SIM-EBAY-000230</t>
  </si>
  <si>
    <t>SN000029TZ7</t>
  </si>
  <si>
    <t>SIM-EBAY-000331</t>
  </si>
  <si>
    <t>350000000000214</t>
  </si>
  <si>
    <t>SIM-EBAY-001844</t>
  </si>
  <si>
    <t>SIM-EBAY-000192</t>
  </si>
  <si>
    <t>SN00001VDXH</t>
  </si>
  <si>
    <t>SIM-EBAY-000254</t>
  </si>
  <si>
    <t>SN00002I4YU</t>
  </si>
  <si>
    <t>SIM-EBAY-000268</t>
  </si>
  <si>
    <t>SN00002RDXH</t>
  </si>
  <si>
    <t>SIM-EBAY-000273</t>
  </si>
  <si>
    <t>SN00002VHT5</t>
  </si>
  <si>
    <t>SIM-EBAY-000295</t>
  </si>
  <si>
    <t>SN000032QCY</t>
  </si>
  <si>
    <t>SIM-EBAY-000297</t>
  </si>
  <si>
    <t>SN000034SSS</t>
  </si>
  <si>
    <t>SIM-EBAY-000315</t>
  </si>
  <si>
    <t>350000000000205</t>
  </si>
  <si>
    <t>SIM-EBAY-000360</t>
  </si>
  <si>
    <t>SN000040SSS</t>
  </si>
  <si>
    <t>SIM-EBAY-000375</t>
  </si>
  <si>
    <t>SN0000482J2</t>
  </si>
  <si>
    <t>SIM-EBAY-001539</t>
  </si>
  <si>
    <t>SIM-EBAY-000420</t>
  </si>
  <si>
    <t>350000000000262</t>
  </si>
  <si>
    <t>SIM-EBAY-000485</t>
  </si>
  <si>
    <t>SN00005KJ2J</t>
  </si>
  <si>
    <t>SIM-EBAY-000340</t>
  </si>
  <si>
    <t>350000000000219</t>
  </si>
  <si>
    <t>SIM-EBAY-001827</t>
  </si>
  <si>
    <t>SIM-EBAY-001838</t>
  </si>
  <si>
    <t>SIM-EBAY-001545</t>
  </si>
  <si>
    <t>SIM-EBAY-000132</t>
  </si>
  <si>
    <t>350000000000092</t>
  </si>
  <si>
    <t>SIM-EBAY-000146</t>
  </si>
  <si>
    <t>SN00001EU8L</t>
  </si>
  <si>
    <t>SIM-EBAY-000189</t>
  </si>
  <si>
    <t>350000000000132</t>
  </si>
  <si>
    <t>SIM-EBAY-000316</t>
  </si>
  <si>
    <t>350000000000206</t>
  </si>
  <si>
    <t>SIM-EBAY-000353</t>
  </si>
  <si>
    <t>SN00003VMPR</t>
  </si>
  <si>
    <t>SIM-EBAY-000367</t>
  </si>
  <si>
    <t>350000000000229</t>
  </si>
  <si>
    <t>SIM-EBAY-001849</t>
  </si>
  <si>
    <t>SIM-EBAY-001814</t>
  </si>
  <si>
    <t>SIM-EBAY-001548</t>
  </si>
  <si>
    <t>SIM-EBAY-000430</t>
  </si>
  <si>
    <t>350000000000270</t>
  </si>
  <si>
    <t>SIM-EBAY-000454</t>
  </si>
  <si>
    <t>350000000000285</t>
  </si>
  <si>
    <t>SIM-EBAY-000172</t>
  </si>
  <si>
    <t>SN00001N579</t>
  </si>
  <si>
    <t>SIM-EBAY-000275</t>
  </si>
  <si>
    <t>350000000000182</t>
  </si>
  <si>
    <t>SIM-EBAY-000312</t>
  </si>
  <si>
    <t>350000000000203</t>
  </si>
  <si>
    <t>SIM-EBAY-001789</t>
  </si>
  <si>
    <t>SIM-EBAY-000456</t>
  </si>
  <si>
    <t>SN0000564YU</t>
  </si>
  <si>
    <t>SIM-EBAY-000104</t>
  </si>
  <si>
    <t>350000000000070</t>
  </si>
  <si>
    <t>SIM-EBAY-000175</t>
  </si>
  <si>
    <t>350000000000123</t>
  </si>
  <si>
    <t>SIM-EBAY-000261</t>
  </si>
  <si>
    <t>350000000000176</t>
  </si>
  <si>
    <t>SIM-EBAY-000293</t>
  </si>
  <si>
    <t>350000000000194</t>
  </si>
  <si>
    <t>SIM-EBAY-000231</t>
  </si>
  <si>
    <t>350000000000159</t>
  </si>
  <si>
    <t>SIM-EBAY-001755</t>
  </si>
  <si>
    <t>SIM-EBAY-001781</t>
  </si>
  <si>
    <t>SIM-EBAY-000087</t>
  </si>
  <si>
    <t>350000000000057</t>
  </si>
  <si>
    <t>SIM-EBAY-000112</t>
  </si>
  <si>
    <t>350000000000075</t>
  </si>
  <si>
    <t>SIM-EBAY-000122</t>
  </si>
  <si>
    <t>350000000000085</t>
  </si>
  <si>
    <t>SIM-EBAY-000156</t>
  </si>
  <si>
    <t>350000000000111</t>
  </si>
  <si>
    <t>SIM-EBAY-000206</t>
  </si>
  <si>
    <t>350000000000143</t>
  </si>
  <si>
    <t>SIM-EBAY-000356</t>
  </si>
  <si>
    <t>350000000000225</t>
  </si>
  <si>
    <t>SIM-EBAY-000371</t>
  </si>
  <si>
    <t>350000000000231</t>
  </si>
  <si>
    <t>SIM-EBAY-000384</t>
  </si>
  <si>
    <t>SN00004F93V</t>
  </si>
  <si>
    <t>SIM-EBAY-000057</t>
  </si>
  <si>
    <t>350000000000035</t>
  </si>
  <si>
    <t>SIM-EBAY-000217</t>
  </si>
  <si>
    <t>350000000000151</t>
  </si>
  <si>
    <t>SIM-EBAY-001792</t>
  </si>
  <si>
    <t>SIM-EBAY-000109</t>
  </si>
  <si>
    <t>350000000000072</t>
  </si>
  <si>
    <t>SIM-EBAY-000110</t>
  </si>
  <si>
    <t>350000000000073</t>
  </si>
  <si>
    <t>SIM-EBAY-000248</t>
  </si>
  <si>
    <t>350000000000171</t>
  </si>
  <si>
    <t>SIM-EBAY-001736</t>
  </si>
  <si>
    <t>SIM-EBAY-000028</t>
  </si>
  <si>
    <t>350000000000018</t>
  </si>
  <si>
    <t>SIM-EBAY-001747</t>
  </si>
  <si>
    <t>SIM-EBAY-000034</t>
  </si>
  <si>
    <t>350000000000022</t>
  </si>
  <si>
    <t>SIM-EBAY-000155</t>
  </si>
  <si>
    <t>SN00001FVFZ</t>
  </si>
  <si>
    <t>SIM-EBAY-000264</t>
  </si>
  <si>
    <t>SN00002PBHP</t>
  </si>
  <si>
    <t>SIM-EBAY-000355</t>
  </si>
  <si>
    <t>SN00003XP5K</t>
  </si>
  <si>
    <t>SIM-EBAY-000090</t>
  </si>
  <si>
    <t>SN00000XBHP</t>
  </si>
  <si>
    <t>SIM-EBAY-000091</t>
  </si>
  <si>
    <t>350000000000060</t>
  </si>
  <si>
    <t>SIM-EBAY-000022</t>
  </si>
  <si>
    <t>350000000000014</t>
  </si>
  <si>
    <t>SIM-EBAY-001741</t>
  </si>
  <si>
    <t>SIM-EBAY-001786</t>
  </si>
  <si>
    <t>SIM-EBAY-001532</t>
  </si>
  <si>
    <t>SIM-EBAY-000040</t>
  </si>
  <si>
    <t>350000000000025</t>
  </si>
  <si>
    <t>SIM-EBAY-000120</t>
  </si>
  <si>
    <t>SN000015K9X</t>
  </si>
  <si>
    <t>SIM-EBAY-000145</t>
  </si>
  <si>
    <t>SN00001DTZ7</t>
  </si>
  <si>
    <t>SIM-EBAY-000153</t>
  </si>
  <si>
    <t>350000000000109</t>
  </si>
  <si>
    <t>SIM-EBAY-000160</t>
  </si>
  <si>
    <t>SN00001HXVT</t>
  </si>
  <si>
    <t>SIM-EBAY-000180</t>
  </si>
  <si>
    <t>350000000000125</t>
  </si>
  <si>
    <t>SIM-EBAY-000190</t>
  </si>
  <si>
    <t>350000000000133</t>
  </si>
  <si>
    <t>SIM-EBAY-001739</t>
  </si>
  <si>
    <t>SIM-EBAY-001748</t>
  </si>
  <si>
    <t>SIM-EBAY-000130</t>
  </si>
  <si>
    <t>SN000017MPR</t>
  </si>
  <si>
    <t>SIM-EBAY-000179</t>
  </si>
  <si>
    <t>SN00001R93V</t>
  </si>
  <si>
    <t>SIM-EBAY-000214</t>
  </si>
  <si>
    <t>350000000000148</t>
  </si>
  <si>
    <t>SIM-EBAY-000246</t>
  </si>
  <si>
    <t>350000000000169</t>
  </si>
  <si>
    <t>SIM-EBAY-001758</t>
  </si>
  <si>
    <t>SIM-EBAY-001782</t>
  </si>
  <si>
    <t>SIM-EBAY-001790</t>
  </si>
  <si>
    <t>SIM-EBAY-000138</t>
  </si>
  <si>
    <t>350000000000097</t>
  </si>
  <si>
    <t>SIM-EBAY-000147</t>
  </si>
  <si>
    <t>350000000000103</t>
  </si>
  <si>
    <t>SIM-EBAY-000193</t>
  </si>
  <si>
    <t>SN00001WE6W</t>
  </si>
  <si>
    <t>SIM-EBAY-001751</t>
  </si>
  <si>
    <t>SIM-EBAY-001777</t>
  </si>
  <si>
    <t>SIM-EBAY-000043</t>
  </si>
  <si>
    <t>350000000000026</t>
  </si>
  <si>
    <t>SIM-EBAY-000093</t>
  </si>
  <si>
    <t>SN00000YCQ4</t>
  </si>
  <si>
    <t>SIM-EBAY-000098</t>
  </si>
  <si>
    <t>SN000011FDB</t>
  </si>
  <si>
    <t>SIM-EBAY-000018</t>
  </si>
  <si>
    <t>350000000000011</t>
  </si>
  <si>
    <t>SIM-EBAY-001721</t>
  </si>
  <si>
    <t>SIM-EBAY-001778</t>
  </si>
  <si>
    <t>SIM-EBAY-000045</t>
  </si>
  <si>
    <t>SN00000KWNE</t>
  </si>
  <si>
    <t>SIM-EBAY-000115</t>
  </si>
  <si>
    <t>350000000000078</t>
  </si>
  <si>
    <t>SIM-EBAY-000196</t>
  </si>
  <si>
    <t>SN00001XFDB</t>
  </si>
  <si>
    <t>SIM-EBAY-000198</t>
  </si>
  <si>
    <t>350000000000137</t>
  </si>
  <si>
    <t>SIM-EBAY-000239</t>
  </si>
  <si>
    <t>SN00002CWNE</t>
  </si>
  <si>
    <t>SIM-EBAY-001760</t>
  </si>
  <si>
    <t>SIM-EBAY-000162</t>
  </si>
  <si>
    <t>SN00001IY48</t>
  </si>
  <si>
    <t>SIM-EBAY-000164</t>
  </si>
  <si>
    <t>350000000000115</t>
  </si>
  <si>
    <t>SIM-EBAY-000176</t>
  </si>
  <si>
    <t>350000000000124</t>
  </si>
  <si>
    <t>SIM-EBAY-001533</t>
  </si>
  <si>
    <t>SIM-EBAY-000044</t>
  </si>
  <si>
    <t>SN00000JVFZ</t>
  </si>
  <si>
    <t>SIM-EBAY-000051</t>
  </si>
  <si>
    <t>SN00000NZBM</t>
  </si>
  <si>
    <t>SIM-EBAY-000134</t>
  </si>
  <si>
    <t>350000000000093</t>
  </si>
  <si>
    <t>SIM-EBAY-000170</t>
  </si>
  <si>
    <t>SN00001M4YU</t>
  </si>
  <si>
    <t>SIM-EBAY-000029</t>
  </si>
  <si>
    <t>SN00000BMPR</t>
  </si>
  <si>
    <t>SIM-EBAY-000062</t>
  </si>
  <si>
    <t>350000000000039</t>
  </si>
  <si>
    <t>SIM-EBAY-000063</t>
  </si>
  <si>
    <t>SN00000P3RF</t>
  </si>
  <si>
    <t>SIM-EBAY-001720</t>
  </si>
  <si>
    <t>SIM-EBAY-001659</t>
  </si>
  <si>
    <t>SIM-EBAY-001680</t>
  </si>
  <si>
    <t>SIM-EBAY-000030</t>
  </si>
  <si>
    <t>350000000000019</t>
  </si>
  <si>
    <t>SIM-EBAY-000157</t>
  </si>
  <si>
    <t>350000000000112</t>
  </si>
  <si>
    <t>SIM-EBAY-000046</t>
  </si>
  <si>
    <t>350000000000027</t>
  </si>
  <si>
    <t>SIM-EBAY-000059</t>
  </si>
  <si>
    <t>350000000000036</t>
  </si>
  <si>
    <t>SIM-EBAY-000127</t>
  </si>
  <si>
    <t>350000000000089</t>
  </si>
  <si>
    <t>SIM-EBAY-000014</t>
  </si>
  <si>
    <t>350000000000009</t>
  </si>
  <si>
    <t>SIM-EBAY-000020</t>
  </si>
  <si>
    <t>350000000000013</t>
  </si>
  <si>
    <t>SIM-EBAY-001714</t>
  </si>
  <si>
    <t>SIM-EBAY-000032</t>
  </si>
  <si>
    <t>350000000000021</t>
  </si>
  <si>
    <t>SIM-EBAY-000027</t>
  </si>
  <si>
    <t>350000000000017</t>
  </si>
  <si>
    <t>SIM-EBAY-000055</t>
  </si>
  <si>
    <t>350000000000033</t>
  </si>
  <si>
    <t>SIM-EBAY-000077</t>
  </si>
  <si>
    <t>SN00000V93V</t>
  </si>
  <si>
    <t>SIM-EBAY-000009</t>
  </si>
  <si>
    <t>SN000002CQ4</t>
  </si>
  <si>
    <t>SIM-EBAY-000026</t>
  </si>
  <si>
    <t>SN00000ALGC</t>
  </si>
  <si>
    <t>SIM-EBAY-001673</t>
  </si>
  <si>
    <t>SIM-EBAY-001708</t>
  </si>
  <si>
    <t>SIM-EBAY-001528</t>
  </si>
  <si>
    <t>SIM-EBAY-001670</t>
  </si>
  <si>
    <t>SIM-EBAY-000024</t>
  </si>
  <si>
    <t>SN000008J2J</t>
  </si>
  <si>
    <t>SIM-EBAY-001704</t>
  </si>
  <si>
    <t>SIM-EBAY-001663</t>
  </si>
  <si>
    <t>SIM-EBAY-001669</t>
  </si>
  <si>
    <t>SIM-EBAY-001713</t>
  </si>
  <si>
    <t>SIM-EBAY-001678</t>
  </si>
  <si>
    <t>SIM-EBAY-001694</t>
  </si>
  <si>
    <t>SIM-EBAY-001696</t>
  </si>
  <si>
    <t>VAT 20%</t>
  </si>
  <si>
    <t>SIM-ONBUY-001500</t>
  </si>
  <si>
    <t>SN0000IQCQ4</t>
  </si>
  <si>
    <t>SIM-ONBUY-001501</t>
  </si>
  <si>
    <t>350000000000930</t>
  </si>
  <si>
    <t>SIM-ONBUY-001502</t>
  </si>
  <si>
    <t>350000000000931</t>
  </si>
  <si>
    <t>SIM-ONBUY-001506</t>
  </si>
  <si>
    <t>350000000000934</t>
  </si>
  <si>
    <t>SIM-ONBUY-001316</t>
  </si>
  <si>
    <t>SN0000GHTZ7</t>
  </si>
  <si>
    <t>SIM-ONBUY-001319</t>
  </si>
  <si>
    <t>350000000000812</t>
  </si>
  <si>
    <t>SIM-ONBUY-001335</t>
  </si>
  <si>
    <t>350000000000825</t>
  </si>
  <si>
    <t>SIM-ONBUY-001341</t>
  </si>
  <si>
    <t>350000000000829</t>
  </si>
  <si>
    <t>SIM-ONBUY-001345</t>
  </si>
  <si>
    <t>350000000000832</t>
  </si>
  <si>
    <t>SIM-ONBUY-001360</t>
  </si>
  <si>
    <t>350000000000839</t>
  </si>
  <si>
    <t>SIM-ONBUY-001363</t>
  </si>
  <si>
    <t>350000000000841</t>
  </si>
  <si>
    <t>SIM-ONBUY-001372</t>
  </si>
  <si>
    <t>350000000000848</t>
  </si>
  <si>
    <t>SIM-ONBUY-001375</t>
  </si>
  <si>
    <t>SN0000HAQCY</t>
  </si>
  <si>
    <t>SIM-ONBUY-001389</t>
  </si>
  <si>
    <t>350000000000856</t>
  </si>
  <si>
    <t>SIM-ONBUY-001403</t>
  </si>
  <si>
    <t>350000000000866</t>
  </si>
  <si>
    <t>SIM-ONBUY-001419</t>
  </si>
  <si>
    <t>SN0000HVDXH</t>
  </si>
  <si>
    <t>SIM-ONBUY-001428</t>
  </si>
  <si>
    <t>350000000000879</t>
  </si>
  <si>
    <t>SIM-ONBUY-001445</t>
  </si>
  <si>
    <t>SN0000I3MPR</t>
  </si>
  <si>
    <t>SIM-ONBUY-001446</t>
  </si>
  <si>
    <t>350000000000892</t>
  </si>
  <si>
    <t>SIM-ONBUY-001447</t>
  </si>
  <si>
    <t>SN0000I4NW6</t>
  </si>
  <si>
    <t>SIM-ONBUY-001448</t>
  </si>
  <si>
    <t>SN0000I5P5K</t>
  </si>
  <si>
    <t>SIM-ONBUY-001456</t>
  </si>
  <si>
    <t>350000000000896</t>
  </si>
  <si>
    <t>SIM-ONBUY-001468</t>
  </si>
  <si>
    <t>350000000000907</t>
  </si>
  <si>
    <t>SIM-ONBUY-001476</t>
  </si>
  <si>
    <t>350000000000913</t>
  </si>
  <si>
    <t>SIM-ONBUY-001480</t>
  </si>
  <si>
    <t>350000000000917</t>
  </si>
  <si>
    <t>SIM-ONBUY-001486</t>
  </si>
  <si>
    <t>SN0000II4YU</t>
  </si>
  <si>
    <t>SIM-ONBUY-001494</t>
  </si>
  <si>
    <t>SN0000IL7M3</t>
  </si>
  <si>
    <t>SIM-ONBUY-001180</t>
  </si>
  <si>
    <t>350000000000730</t>
  </si>
  <si>
    <t>SIM-ONBUY-001232</t>
  </si>
  <si>
    <t>SN0000FAGLQ</t>
  </si>
  <si>
    <t>SIM-ONBUY-001272</t>
  </si>
  <si>
    <t>350000000000789</t>
  </si>
  <si>
    <t>SIM-ONBUY-001282</t>
  </si>
  <si>
    <t>SN0000FW6EN</t>
  </si>
  <si>
    <t>SIM-ONBUY-001308</t>
  </si>
  <si>
    <t>SN0000GEQCY</t>
  </si>
  <si>
    <t>SIM-ONBUY-002123</t>
  </si>
  <si>
    <t>SIM-ONBUY-002144</t>
  </si>
  <si>
    <t>SIM-ONBUY-002152</t>
  </si>
  <si>
    <t>SIM-ONBUY-002156</t>
  </si>
  <si>
    <t>SIM-ONBUY-002170</t>
  </si>
  <si>
    <t>SIM-ONBUY-002104</t>
  </si>
  <si>
    <t>SIM-ONBUY-002111</t>
  </si>
  <si>
    <t>SIM-ONBUY-002114</t>
  </si>
  <si>
    <t>SIM-ONBUY-001637</t>
  </si>
  <si>
    <t>SIM-ONBUY-001641</t>
  </si>
  <si>
    <t>SIM-ONBUY-001182</t>
  </si>
  <si>
    <t>SN0000EMQCY</t>
  </si>
  <si>
    <t>SIM-ONBUY-001238</t>
  </si>
  <si>
    <t>350000000000767</t>
  </si>
  <si>
    <t>SIM-ONBUY-002125</t>
  </si>
  <si>
    <t>SIM-ONBUY-001613</t>
  </si>
  <si>
    <t>SIM-ONBUY-001311</t>
  </si>
  <si>
    <t>350000000000809</t>
  </si>
  <si>
    <t>SIM-ONBUY-001328</t>
  </si>
  <si>
    <t>350000000000817</t>
  </si>
  <si>
    <t>SIM-ONBUY-001404</t>
  </si>
  <si>
    <t>350000000000867</t>
  </si>
  <si>
    <t>SIM-ONBUY-001174</t>
  </si>
  <si>
    <t>SN0000EILGC</t>
  </si>
  <si>
    <t>SIM-ONBUY-001271</t>
  </si>
  <si>
    <t>SN0000FPXVT</t>
  </si>
  <si>
    <t>SIM-ONBUY-002109</t>
  </si>
  <si>
    <t>SIM-ONBUY-001339</t>
  </si>
  <si>
    <t>350000000000828</t>
  </si>
  <si>
    <t>SIM-ONBUY-001343</t>
  </si>
  <si>
    <t>SN0000GV93V</t>
  </si>
  <si>
    <t>SIM-ONBUY-001355</t>
  </si>
  <si>
    <t>350000000000838</t>
  </si>
  <si>
    <t>SIM-ONBUY-001402</t>
  </si>
  <si>
    <t>350000000000865</t>
  </si>
  <si>
    <t>SIM-ONBUY-001121</t>
  </si>
  <si>
    <t>SN0000DONW6</t>
  </si>
  <si>
    <t>SIM-ONBUY-001131</t>
  </si>
  <si>
    <t>SN0000DWWNE</t>
  </si>
  <si>
    <t>SIM-ONBUY-002132</t>
  </si>
  <si>
    <t>SIM-ONBUY-001415</t>
  </si>
  <si>
    <t>SN0000HTBHP</t>
  </si>
  <si>
    <t>SIM-ONBUY-001155</t>
  </si>
  <si>
    <t>SN0000E68UG</t>
  </si>
  <si>
    <t>SIM-ONBUY-001173</t>
  </si>
  <si>
    <t>SN0000EHK9X</t>
  </si>
  <si>
    <t>SIM-ONBUY-001275</t>
  </si>
  <si>
    <t>350000000000792</t>
  </si>
  <si>
    <t>SIM-ONBUY-001370</t>
  </si>
  <si>
    <t>350000000000846</t>
  </si>
  <si>
    <t>SIM-ONBUY-001380</t>
  </si>
  <si>
    <t>350000000000851</t>
  </si>
  <si>
    <t>SIM-ONBUY-001119</t>
  </si>
  <si>
    <t>SN0000DMLGC</t>
  </si>
  <si>
    <t>SIM-ONBUY-001269</t>
  </si>
  <si>
    <t>350000000000788</t>
  </si>
  <si>
    <t>SIM-ONBUY-002058</t>
  </si>
  <si>
    <t>SIM-ONBUY-002060</t>
  </si>
  <si>
    <t>SIM-ONBUY-001381</t>
  </si>
  <si>
    <t>SN0000HDTZ7</t>
  </si>
  <si>
    <t>SIM-ONBUY-001054</t>
  </si>
  <si>
    <t>350000000000655</t>
  </si>
  <si>
    <t>SIM-ONBUY-001086</t>
  </si>
  <si>
    <t>350000000000678</t>
  </si>
  <si>
    <t>SIM-ONBUY-001132</t>
  </si>
  <si>
    <t>350000000000704</t>
  </si>
  <si>
    <t>SIM-ONBUY-001192</t>
  </si>
  <si>
    <t>350000000000736</t>
  </si>
  <si>
    <t>SIM-ONBUY-001217</t>
  </si>
  <si>
    <t>SN0000F28UG</t>
  </si>
  <si>
    <t>SIM-ONBUY-001262</t>
  </si>
  <si>
    <t>350000000000782</t>
  </si>
  <si>
    <t>SIM-ONBUY-001314</t>
  </si>
  <si>
    <t>SN0000GGSSS</t>
  </si>
  <si>
    <t>SIM-ONBUY-001321</t>
  </si>
  <si>
    <t>350000000000814</t>
  </si>
  <si>
    <t>SIM-ONBUY-001156</t>
  </si>
  <si>
    <t>350000000000719</t>
  </si>
  <si>
    <t>SIM-ONBUY-001130</t>
  </si>
  <si>
    <t>SN0000DVVFZ</t>
  </si>
  <si>
    <t>SIM-ONBUY-001159</t>
  </si>
  <si>
    <t>SN0000E8AAA</t>
  </si>
  <si>
    <t>SIM-ONBUY-001288</t>
  </si>
  <si>
    <t>SN0000G2CQ4</t>
  </si>
  <si>
    <t>SIM-ONBUY-001603</t>
  </si>
  <si>
    <t>SIM-ONBUY-001318</t>
  </si>
  <si>
    <t>SN0000GJVFZ</t>
  </si>
  <si>
    <t>SIM-ONBUY-001326</t>
  </si>
  <si>
    <t>SN0000GO2J2</t>
  </si>
  <si>
    <t>SIM-ONBUY-002085</t>
  </si>
  <si>
    <t>SIM-ONBUY-001124</t>
  </si>
  <si>
    <t>SN0000DPP5K</t>
  </si>
  <si>
    <t>SIM-ONBUY-001216</t>
  </si>
  <si>
    <t>350000000000752</t>
  </si>
  <si>
    <t>SIM-ONBUY-001218</t>
  </si>
  <si>
    <t>SN0000F393V</t>
  </si>
  <si>
    <t>SIM-ONBUY-001610</t>
  </si>
  <si>
    <t>SIM-ONBUY-001153</t>
  </si>
  <si>
    <t>SN0000E57M3</t>
  </si>
  <si>
    <t>SIM-ONBUY-001017</t>
  </si>
  <si>
    <t>350000000000628</t>
  </si>
  <si>
    <t>SIM-ONBUY-001227</t>
  </si>
  <si>
    <t>350000000000758</t>
  </si>
  <si>
    <t>SIM-ONBUY-001000</t>
  </si>
  <si>
    <t>350000000000620</t>
  </si>
  <si>
    <t>SIM-ONBUY-002066</t>
  </si>
  <si>
    <t>SIM-ONBUY-002068</t>
  </si>
  <si>
    <t>SIM-ONBUY-002101</t>
  </si>
  <si>
    <t>SIM-ONBUY-001029</t>
  </si>
  <si>
    <t>350000000000632</t>
  </si>
  <si>
    <t>SIM-ONBUY-001064</t>
  </si>
  <si>
    <t>350000000000664</t>
  </si>
  <si>
    <t>SIM-ONBUY-001116</t>
  </si>
  <si>
    <t>350000000000697</t>
  </si>
  <si>
    <t>SIM-ONBUY-001257</t>
  </si>
  <si>
    <t>350000000000779</t>
  </si>
  <si>
    <t>SIM-ONBUY-002046</t>
  </si>
  <si>
    <t>SIM-ONBUY-002067</t>
  </si>
  <si>
    <t>SIM-ONBUY-002096</t>
  </si>
  <si>
    <t>SIM-ONBUY-001032</t>
  </si>
  <si>
    <t>350000000000634</t>
  </si>
  <si>
    <t>SIM-ONBUY-001183</t>
  </si>
  <si>
    <t>350000000000732</t>
  </si>
  <si>
    <t>SIM-ONBUY-001245</t>
  </si>
  <si>
    <t>SN0000FELGC</t>
  </si>
  <si>
    <t>SIM-ONBUY-001261</t>
  </si>
  <si>
    <t>SN0000FLTZ7</t>
  </si>
  <si>
    <t>SIM-ONBUY-000937</t>
  </si>
  <si>
    <t>SN0000BE4YU</t>
  </si>
  <si>
    <t>SIM-ONBUY-000996</t>
  </si>
  <si>
    <t>350000000000616</t>
  </si>
  <si>
    <t>SIM-ONBUY-002031</t>
  </si>
  <si>
    <t>SIM-ONBUY-002040</t>
  </si>
  <si>
    <t>SIM-ONBUY-002090</t>
  </si>
  <si>
    <t>SIM-ONBUY-002095</t>
  </si>
  <si>
    <t>SIM-ONBUY-001039</t>
  </si>
  <si>
    <t>SN0000CUQCY</t>
  </si>
  <si>
    <t>SIM-ONBUY-001084</t>
  </si>
  <si>
    <t>SN0000D7579</t>
  </si>
  <si>
    <t>SIM-ONBUY-001015</t>
  </si>
  <si>
    <t>350000000000626</t>
  </si>
  <si>
    <t>SIM-ONBUY-001020</t>
  </si>
  <si>
    <t>SN0000CLFDB</t>
  </si>
  <si>
    <t>SIM-ONBUY-001110</t>
  </si>
  <si>
    <t>SN0000DKJ2J</t>
  </si>
  <si>
    <t>SIM-ONBUY-000894</t>
  </si>
  <si>
    <t>SN0000AXK9X</t>
  </si>
  <si>
    <t>SIM-ONBUY-000966</t>
  </si>
  <si>
    <t>350000000000598</t>
  </si>
  <si>
    <t>SIM-ONBUY-000970</t>
  </si>
  <si>
    <t>SN0000BXP5K</t>
  </si>
  <si>
    <t>SIM-ONBUY-000987</t>
  </si>
  <si>
    <t>SN0000C5XVT</t>
  </si>
  <si>
    <t>SIM-ONBUY-001144</t>
  </si>
  <si>
    <t>SN0000DYY48</t>
  </si>
  <si>
    <t>SIM-ONBUY-001148</t>
  </si>
  <si>
    <t>SN0000E13RF</t>
  </si>
  <si>
    <t>SIM-ONBUY-002043</t>
  </si>
  <si>
    <t>SIM-ONBUY-001582</t>
  </si>
  <si>
    <t>SIM-ONBUY-001164</t>
  </si>
  <si>
    <t>350000000000723</t>
  </si>
  <si>
    <t>SIM-ONBUY-000919</t>
  </si>
  <si>
    <t>SN0000B6U8L</t>
  </si>
  <si>
    <t>SIM-ONBUY-000936</t>
  </si>
  <si>
    <t>SN0000BD3RF</t>
  </si>
  <si>
    <t>SIM-ONBUY-000938</t>
  </si>
  <si>
    <t>SN0000BF579</t>
  </si>
  <si>
    <t>SIM-ONBUY-000954</t>
  </si>
  <si>
    <t>SN0000BPFDB</t>
  </si>
  <si>
    <t>SIM-ONBUY-002035</t>
  </si>
  <si>
    <t>SIM-ONBUY-001024</t>
  </si>
  <si>
    <t>SN0000COJ2J</t>
  </si>
  <si>
    <t>SIM-ONBUY-001047</t>
  </si>
  <si>
    <t>350000000000649</t>
  </si>
  <si>
    <t>SIM-ONBUY-001092</t>
  </si>
  <si>
    <t>350000000000682</t>
  </si>
  <si>
    <t>SIM-ONBUY-001609</t>
  </si>
  <si>
    <t>SIM-ONBUY-001051</t>
  </si>
  <si>
    <t>350000000000653</t>
  </si>
  <si>
    <t>SIM-ONBUY-000926</t>
  </si>
  <si>
    <t>SN0000B9XVT</t>
  </si>
  <si>
    <t>SIM-ONBUY-001984</t>
  </si>
  <si>
    <t>SIM-ONBUY-001041</t>
  </si>
  <si>
    <t>350000000000641</t>
  </si>
  <si>
    <t>SIM-ONBUY-001089</t>
  </si>
  <si>
    <t>SN0000DA8UG</t>
  </si>
  <si>
    <t>SIM-ONBUY-001137</t>
  </si>
  <si>
    <t>350000000000709</t>
  </si>
  <si>
    <t>SIM-ONBUY-000855</t>
  </si>
  <si>
    <t>350000000000529</t>
  </si>
  <si>
    <t>SIM-ONBUY-000866</t>
  </si>
  <si>
    <t>SN0000AI4YU</t>
  </si>
  <si>
    <t>SIM-ONBUY-000972</t>
  </si>
  <si>
    <t>350000000000600</t>
  </si>
  <si>
    <t>SIM-ONBUY-000848</t>
  </si>
  <si>
    <t>SN0000AAU8L</t>
  </si>
  <si>
    <t>SIM-ONBUY-000914</t>
  </si>
  <si>
    <t>SN0000B4SSS</t>
  </si>
  <si>
    <t>SIM-ONBUY-000948</t>
  </si>
  <si>
    <t>SN0000BNDXH</t>
  </si>
  <si>
    <t>SIM-ONBUY-001969</t>
  </si>
  <si>
    <t>SIM-ONBUY-001979</t>
  </si>
  <si>
    <t>SIM-ONBUY-001981</t>
  </si>
  <si>
    <t>SIM-ONBUY-001999</t>
  </si>
  <si>
    <t>SIM-ONBUY-001056</t>
  </si>
  <si>
    <t>350000000000657</t>
  </si>
  <si>
    <t>SIM-ONBUY-000911</t>
  </si>
  <si>
    <t>350000000000567</t>
  </si>
  <si>
    <t>SIM-ONBUY-000931</t>
  </si>
  <si>
    <t>350000000000581</t>
  </si>
  <si>
    <t>SIM-ONBUY-000950</t>
  </si>
  <si>
    <t>350000000000588</t>
  </si>
  <si>
    <t>SIM-ONBUY-000965</t>
  </si>
  <si>
    <t>350000000000597</t>
  </si>
  <si>
    <t>SIM-ONBUY-000975</t>
  </si>
  <si>
    <t>SN0000C0SSS</t>
  </si>
  <si>
    <t>SIM-ONBUY-002004</t>
  </si>
  <si>
    <t>SIM-ONBUY-001038</t>
  </si>
  <si>
    <t>350000000000639</t>
  </si>
  <si>
    <t>SIM-ONBUY-001954</t>
  </si>
  <si>
    <t>SIM-ONBUY-001048</t>
  </si>
  <si>
    <t>350000000000650</t>
  </si>
  <si>
    <t>SIM-ONBUY-002011</t>
  </si>
  <si>
    <t>SIM-ONBUY-000723</t>
  </si>
  <si>
    <t>350000000000454</t>
  </si>
  <si>
    <t>SIM-ONBUY-000729</t>
  </si>
  <si>
    <t>SN00008MY48</t>
  </si>
  <si>
    <t>SIM-ONBUY-000750</t>
  </si>
  <si>
    <t>SN00008U8UG</t>
  </si>
  <si>
    <t>SIM-ONBUY-000773</t>
  </si>
  <si>
    <t>SN000098NW6</t>
  </si>
  <si>
    <t>SIM-ONBUY-002017</t>
  </si>
  <si>
    <t>SIM-ONBUY-001951</t>
  </si>
  <si>
    <t>SIM-ONBUY-000859</t>
  </si>
  <si>
    <t>350000000000534</t>
  </si>
  <si>
    <t>SIM-ONBUY-000715</t>
  </si>
  <si>
    <t>SN00008IU8L</t>
  </si>
  <si>
    <t>SIM-ONBUY-002021</t>
  </si>
  <si>
    <t>SIM-ONBUY-001572</t>
  </si>
  <si>
    <t>SIM-ONBUY-001579</t>
  </si>
  <si>
    <t>SIM-ONBUY-001027</t>
  </si>
  <si>
    <t>350000000000630</t>
  </si>
  <si>
    <t>SIM-ONBUY-000840</t>
  </si>
  <si>
    <t>350000000000522</t>
  </si>
  <si>
    <t>SIM-ONBUY-000913</t>
  </si>
  <si>
    <t>350000000000569</t>
  </si>
  <si>
    <t>SIM-ONBUY-000983</t>
  </si>
  <si>
    <t>350000000000606</t>
  </si>
  <si>
    <t>SIM-ONBUY-001001</t>
  </si>
  <si>
    <t>SN0000C93RF</t>
  </si>
  <si>
    <t>SIM-ONBUY-001018</t>
  </si>
  <si>
    <t>SN0000CJDXH</t>
  </si>
  <si>
    <t>SIM-ONBUY-001955</t>
  </si>
  <si>
    <t>SIM-ONBUY-001975</t>
  </si>
  <si>
    <t>SIM-ONBUY-001602</t>
  </si>
  <si>
    <t>SIM-ONBUY-000764</t>
  </si>
  <si>
    <t>350000000000477</t>
  </si>
  <si>
    <t>SIM-ONBUY-001956</t>
  </si>
  <si>
    <t>SIM-ONBUY-000867</t>
  </si>
  <si>
    <t>SN0000AJ579</t>
  </si>
  <si>
    <t>SIM-ONBUY-000981</t>
  </si>
  <si>
    <t>SN0000C3VFZ</t>
  </si>
  <si>
    <t>SIM-ONBUY-000995</t>
  </si>
  <si>
    <t>350000000000615</t>
  </si>
  <si>
    <t>SIM-ONBUY-000699</t>
  </si>
  <si>
    <t>SN00008BMPR</t>
  </si>
  <si>
    <t>SIM-ONBUY-000880</t>
  </si>
  <si>
    <t>350000000000547</t>
  </si>
  <si>
    <t>SIM-ONBUY-000939</t>
  </si>
  <si>
    <t>SN0000BG6EN</t>
  </si>
  <si>
    <t>SIM-ONBUY-000690</t>
  </si>
  <si>
    <t>350000000000432</t>
  </si>
  <si>
    <t>SIM-ONBUY-001953</t>
  </si>
  <si>
    <t>SIM-ONBUY-001961</t>
  </si>
  <si>
    <t>SIM-ONBUY-001971</t>
  </si>
  <si>
    <t>SIM-ONBUY-001978</t>
  </si>
  <si>
    <t>SIM-ONBUY-000788</t>
  </si>
  <si>
    <t>SN00009HXVT</t>
  </si>
  <si>
    <t>SIM-ONBUY-000803</t>
  </si>
  <si>
    <t>350000000000494</t>
  </si>
  <si>
    <t>SIM-ONBUY-000961</t>
  </si>
  <si>
    <t>350000000000595</t>
  </si>
  <si>
    <t>SIM-ONBUY-002006</t>
  </si>
  <si>
    <t>SIM-ONBUY-000797</t>
  </si>
  <si>
    <t>SN00009L3RF</t>
  </si>
  <si>
    <t>SIM-ONBUY-000611</t>
  </si>
  <si>
    <t>350000000000376</t>
  </si>
  <si>
    <t>SIM-ONBUY-000655</t>
  </si>
  <si>
    <t>350000000000406</t>
  </si>
  <si>
    <t>SIM-ONBUY-000689</t>
  </si>
  <si>
    <t>SN000085FDB</t>
  </si>
  <si>
    <t>SIM-ONBUY-000720</t>
  </si>
  <si>
    <t>350000000000451</t>
  </si>
  <si>
    <t>SIM-ONBUY-000644</t>
  </si>
  <si>
    <t>350000000000401</t>
  </si>
  <si>
    <t>SIM-ONBUY-001564</t>
  </si>
  <si>
    <t>SIM-ONBUY-001577</t>
  </si>
  <si>
    <t>SIM-ONBUY-001898</t>
  </si>
  <si>
    <t>SIM-ONBUY-000794</t>
  </si>
  <si>
    <t>350000000000491</t>
  </si>
  <si>
    <t>SIM-ONBUY-000812</t>
  </si>
  <si>
    <t>350000000000500</t>
  </si>
  <si>
    <t>SIM-ONBUY-000577</t>
  </si>
  <si>
    <t>SN00006TXVT</t>
  </si>
  <si>
    <t>SIM-ONBUY-000762</t>
  </si>
  <si>
    <t>SN000092GLQ</t>
  </si>
  <si>
    <t>SIM-ONBUY-000783</t>
  </si>
  <si>
    <t>SN00009EU8L</t>
  </si>
  <si>
    <t>SIM-ONBUY-000517</t>
  </si>
  <si>
    <t>SN00005YY48</t>
  </si>
  <si>
    <t>SIM-ONBUY-000631</t>
  </si>
  <si>
    <t>350000000000391</t>
  </si>
  <si>
    <t>SIM-ONBUY-000718</t>
  </si>
  <si>
    <t>SN00008JVFZ</t>
  </si>
  <si>
    <t>SIM-ONBUY-001876</t>
  </si>
  <si>
    <t>SIM-ONBUY-001895</t>
  </si>
  <si>
    <t>SIM-ONBUY-001899</t>
  </si>
  <si>
    <t>SIM-ONBUY-000581</t>
  </si>
  <si>
    <t>SN00006X3RF</t>
  </si>
  <si>
    <t>SIM-ONBUY-000776</t>
  </si>
  <si>
    <t>350000000000482</t>
  </si>
  <si>
    <t>SIM-ONBUY-001890</t>
  </si>
  <si>
    <t>SIM-ONBUY-000789</t>
  </si>
  <si>
    <t>350000000000489</t>
  </si>
  <si>
    <t>SIM-ONBUY-000496</t>
  </si>
  <si>
    <t>350000000000311</t>
  </si>
  <si>
    <t>SIM-ONBUY-000514</t>
  </si>
  <si>
    <t>SN00005WWNE</t>
  </si>
  <si>
    <t>SIM-ONBUY-000563</t>
  </si>
  <si>
    <t>350000000000352</t>
  </si>
  <si>
    <t>SIM-ONBUY-000578</t>
  </si>
  <si>
    <t>SN00006UY48</t>
  </si>
  <si>
    <t>SIM-ONBUY-000780</t>
  </si>
  <si>
    <t>SN00009DTZ7</t>
  </si>
  <si>
    <t>SIM-ONBUY-001907</t>
  </si>
  <si>
    <t>SIM-ONBUY-001550</t>
  </si>
  <si>
    <t>SIM-ONBUY-001563</t>
  </si>
  <si>
    <t>SIM-ONBUY-000559</t>
  </si>
  <si>
    <t>350000000000350</t>
  </si>
  <si>
    <t>SIM-ONBUY-000598</t>
  </si>
  <si>
    <t>350000000000371</t>
  </si>
  <si>
    <t>SIM-ONBUY-001875</t>
  </si>
  <si>
    <t>SIM-ONBUY-000537</t>
  </si>
  <si>
    <t>350000000000340</t>
  </si>
  <si>
    <t>SIM-ONBUY-000561</t>
  </si>
  <si>
    <t>SN00006KNW6</t>
  </si>
  <si>
    <t>SIM-ONBUY-000636</t>
  </si>
  <si>
    <t>350000000000395</t>
  </si>
  <si>
    <t>SIM-ONBUY-000648</t>
  </si>
  <si>
    <t>SN00007QY48</t>
  </si>
  <si>
    <t>SIM-ONBUY-000746</t>
  </si>
  <si>
    <t>350000000000468</t>
  </si>
  <si>
    <t>SIM-ONBUY-000777</t>
  </si>
  <si>
    <t>350000000000483</t>
  </si>
  <si>
    <t>SIM-ONBUY-001919</t>
  </si>
  <si>
    <t>SIM-ONBUY-001558</t>
  </si>
  <si>
    <t>SIM-ONBUY-000518</t>
  </si>
  <si>
    <t>350000000000326</t>
  </si>
  <si>
    <t>SIM-ONBUY-000601</t>
  </si>
  <si>
    <t>SN000076CQ4</t>
  </si>
  <si>
    <t>SIM-ONBUY-000630</t>
  </si>
  <si>
    <t>350000000000390</t>
  </si>
  <si>
    <t>SIM-ONBUY-000635</t>
  </si>
  <si>
    <t>SN00007KSSS</t>
  </si>
  <si>
    <t>SIM-ONBUY-001882</t>
  </si>
  <si>
    <t>SIM-ONBUY-001926</t>
  </si>
  <si>
    <t>SIM-ONBUY-000556</t>
  </si>
  <si>
    <t>SN00006HK9X</t>
  </si>
  <si>
    <t>SIM-ONBUY-000638</t>
  </si>
  <si>
    <t>SN00007MU8L</t>
  </si>
  <si>
    <t>SIM-ONBUY-000737</t>
  </si>
  <si>
    <t>SN00008Q4YU</t>
  </si>
  <si>
    <t>SIM-ONBUY-000476</t>
  </si>
  <si>
    <t>SN00005ECQ4</t>
  </si>
  <si>
    <t>SIM-ONBUY-000568</t>
  </si>
  <si>
    <t>SN00006NRKD</t>
  </si>
  <si>
    <t>SIM-ONBUY-001902</t>
  </si>
  <si>
    <t>SIM-ONBUY-001943</t>
  </si>
  <si>
    <t>SIM-ONBUY-000553</t>
  </si>
  <si>
    <t>SN00006EGLQ</t>
  </si>
  <si>
    <t>SIM-ONBUY-000692</t>
  </si>
  <si>
    <t>350000000000433</t>
  </si>
  <si>
    <t>SIM-ONBUY-001937</t>
  </si>
  <si>
    <t>SIM-ONBUY-000486</t>
  </si>
  <si>
    <t>SN00005LK9X</t>
  </si>
  <si>
    <t>SIM-ONBUY-000510</t>
  </si>
  <si>
    <t>SN00005VVFZ</t>
  </si>
  <si>
    <t>SIM-ONBUY-001864</t>
  </si>
  <si>
    <t>SIM-ONBUY-000481</t>
  </si>
  <si>
    <t>SN00005IGLQ</t>
  </si>
  <si>
    <t>SIM-ONBUY-000597</t>
  </si>
  <si>
    <t>SN000074AAA</t>
  </si>
  <si>
    <t>SIM-ONBUY-000661</t>
  </si>
  <si>
    <t>350000000000411</t>
  </si>
  <si>
    <t>SIM-ONBUY-000686</t>
  </si>
  <si>
    <t>SN000084E6W</t>
  </si>
  <si>
    <t>SIM-ONBUY-001820</t>
  </si>
  <si>
    <t>SIM-ONBUY-001836</t>
  </si>
  <si>
    <t>SIM-ONBUY-001574</t>
  </si>
  <si>
    <t>SIM-ONBUY-000323</t>
  </si>
  <si>
    <t>350000000000210</t>
  </si>
  <si>
    <t>SIM-ONBUY-000557</t>
  </si>
  <si>
    <t>350000000000349</t>
  </si>
  <si>
    <t>SIM-ONBUY-000664</t>
  </si>
  <si>
    <t>SN00007X7M3</t>
  </si>
  <si>
    <t>SIM-ONBUY-001850</t>
  </si>
  <si>
    <t>SIM-ONBUY-001557</t>
  </si>
  <si>
    <t>SIM-ONBUY-000365</t>
  </si>
  <si>
    <t>SN000044WNE</t>
  </si>
  <si>
    <t>SIM-ONBUY-000370</t>
  </si>
  <si>
    <t>SN000046Y48</t>
  </si>
  <si>
    <t>SIM-ONBUY-000452</t>
  </si>
  <si>
    <t>350000000000284</t>
  </si>
  <si>
    <t>SIM-ONBUY-000522</t>
  </si>
  <si>
    <t>350000000000331</t>
  </si>
  <si>
    <t>SIM-ONBUY-000534</t>
  </si>
  <si>
    <t>350000000000337</t>
  </si>
  <si>
    <t>SIM-ONBUY-000565</t>
  </si>
  <si>
    <t>350000000000354</t>
  </si>
  <si>
    <t>SIM-ONBUY-000461</t>
  </si>
  <si>
    <t>350000000000292</t>
  </si>
  <si>
    <t>SIM-ONBUY-000532</t>
  </si>
  <si>
    <t>350000000000336</t>
  </si>
  <si>
    <t>SIM-ONBUY-000604</t>
  </si>
  <si>
    <t>350000000000374</t>
  </si>
  <si>
    <t>SIM-ONBUY-001824</t>
  </si>
  <si>
    <t>SIM-ONBUY-001842</t>
  </si>
  <si>
    <t>SIM-ONBUY-000324</t>
  </si>
  <si>
    <t>SN00003G6EN</t>
  </si>
  <si>
    <t>SIM-ONBUY-000325</t>
  </si>
  <si>
    <t>350000000000211</t>
  </si>
  <si>
    <t>SIM-ONBUY-000460</t>
  </si>
  <si>
    <t>350000000000291</t>
  </si>
  <si>
    <t>SIM-ONBUY-000580</t>
  </si>
  <si>
    <t>SN00006W2J2</t>
  </si>
  <si>
    <t>SIM-ONBUY-000582</t>
  </si>
  <si>
    <t>SN00006Y4YU</t>
  </si>
  <si>
    <t>SIM-ONBUY-001556</t>
  </si>
  <si>
    <t>SIM-ONBUY-000341</t>
  </si>
  <si>
    <t>350000000000220</t>
  </si>
  <si>
    <t>SIM-ONBUY-000358</t>
  </si>
  <si>
    <t>SN00003YQCY</t>
  </si>
  <si>
    <t>SIM-ONBUY-000443</t>
  </si>
  <si>
    <t>SN000050WNE</t>
  </si>
  <si>
    <t>SIM-ONBUY-000583</t>
  </si>
  <si>
    <t>350000000000361</t>
  </si>
  <si>
    <t>SIM-ONBUY-000280</t>
  </si>
  <si>
    <t>350000000000186</t>
  </si>
  <si>
    <t>SIM-ONBUY-000282</t>
  </si>
  <si>
    <t>350000000000187</t>
  </si>
  <si>
    <t>SIM-ONBUY-001560</t>
  </si>
  <si>
    <t>SIM-ONBUY-000415</t>
  </si>
  <si>
    <t>350000000000258</t>
  </si>
  <si>
    <t>SIM-ONBUY-000449</t>
  </si>
  <si>
    <t>350000000000282</t>
  </si>
  <si>
    <t>SIM-ONBUY-001812</t>
  </si>
  <si>
    <t>SIM-ONBUY-001543</t>
  </si>
  <si>
    <t>SIM-ONBUY-000390</t>
  </si>
  <si>
    <t>350000000000241</t>
  </si>
  <si>
    <t>SIM-ONBUY-000497</t>
  </si>
  <si>
    <t>SN00005QQCY</t>
  </si>
  <si>
    <t>SIM-ONBUY-001847</t>
  </si>
  <si>
    <t>SIM-ONBUY-001535</t>
  </si>
  <si>
    <t>SIM-ONBUY-001546</t>
  </si>
  <si>
    <t>SIM-ONBUY-000428</t>
  </si>
  <si>
    <t>350000000000268</t>
  </si>
  <si>
    <t>SIM-ONBUY-000432</t>
  </si>
  <si>
    <t>350000000000272</t>
  </si>
  <si>
    <t>SIM-ONBUY-000483</t>
  </si>
  <si>
    <t>350000000000303</t>
  </si>
  <si>
    <t>SIM-ONBUY-000489</t>
  </si>
  <si>
    <t>350000000000306</t>
  </si>
  <si>
    <t>SIM-ONBUY-000501</t>
  </si>
  <si>
    <t>350000000000314</t>
  </si>
  <si>
    <t>SIM-ONBUY-000202</t>
  </si>
  <si>
    <t>350000000000140</t>
  </si>
  <si>
    <t>SIM-ONBUY-000204</t>
  </si>
  <si>
    <t>350000000000142</t>
  </si>
  <si>
    <t>SIM-ONBUY-001858</t>
  </si>
  <si>
    <t>SIM-ONBUY-001530</t>
  </si>
  <si>
    <t>SIM-ONBUY-000379</t>
  </si>
  <si>
    <t>350000000000236</t>
  </si>
  <si>
    <t>SIM-ONBUY-000399</t>
  </si>
  <si>
    <t>350000000000249</t>
  </si>
  <si>
    <t>SIM-ONBUY-000467</t>
  </si>
  <si>
    <t>SN0000597M3</t>
  </si>
  <si>
    <t>SIM-ONBUY-000526</t>
  </si>
  <si>
    <t>SN0000613RF</t>
  </si>
  <si>
    <t>SIM-ONBUY-000283</t>
  </si>
  <si>
    <t>350000000000188</t>
  </si>
  <si>
    <t>SIM-ONBUY-000188</t>
  </si>
  <si>
    <t>350000000000131</t>
  </si>
  <si>
    <t>SIM-ONBUY-000271</t>
  </si>
  <si>
    <t>SN00002UGLQ</t>
  </si>
  <si>
    <t>SIM-ONBUY-000274</t>
  </si>
  <si>
    <t>350000000000181</t>
  </si>
  <si>
    <t>SIM-ONBUY-000326</t>
  </si>
  <si>
    <t>SN00003H7M3</t>
  </si>
  <si>
    <t>SIM-ONBUY-000435</t>
  </si>
  <si>
    <t>SN00004XTZ7</t>
  </si>
  <si>
    <t>SIM-ONBUY-000442</t>
  </si>
  <si>
    <t>SN00004ZVFZ</t>
  </si>
  <si>
    <t>SIM-ONBUY-000502</t>
  </si>
  <si>
    <t>350000000000315</t>
  </si>
  <si>
    <t>SIM-ONBUY-000194</t>
  </si>
  <si>
    <t>350000000000134</t>
  </si>
  <si>
    <t>SIM-ONBUY-001800</t>
  </si>
  <si>
    <t>SIM-ONBUY-001811</t>
  </si>
  <si>
    <t>SIM-ONBUY-000289</t>
  </si>
  <si>
    <t>SN00002ZMPR</t>
  </si>
  <si>
    <t>SIM-ONBUY-000212</t>
  </si>
  <si>
    <t>350000000000146</t>
  </si>
  <si>
    <t>SIM-ONBUY-000224</t>
  </si>
  <si>
    <t>SN000026QCY</t>
  </si>
  <si>
    <t>SIM-ONBUY-001813</t>
  </si>
  <si>
    <t>SIM-ONBUY-001819</t>
  </si>
  <si>
    <t>SIM-ONBUY-001863</t>
  </si>
  <si>
    <t>SIM-ONBUY-000298</t>
  </si>
  <si>
    <t>350000000000196</t>
  </si>
  <si>
    <t>SIM-ONBUY-000210</t>
  </si>
  <si>
    <t>SN000022LGC</t>
  </si>
  <si>
    <t>SIM-ONBUY-000216</t>
  </si>
  <si>
    <t>350000000000150</t>
  </si>
  <si>
    <t>SIM-ONBUY-000318</t>
  </si>
  <si>
    <t>350000000000208</t>
  </si>
  <si>
    <t>SIM-ONBUY-000468</t>
  </si>
  <si>
    <t>SN00005A8UG</t>
  </si>
  <si>
    <t>SIM-ONBUY-000178</t>
  </si>
  <si>
    <t>SN00001Q8UG</t>
  </si>
  <si>
    <t>SIM-ONBUY-000238</t>
  </si>
  <si>
    <t>350000000000164</t>
  </si>
  <si>
    <t>SIM-ONBUY-000388</t>
  </si>
  <si>
    <t>SN00004HBHP</t>
  </si>
  <si>
    <t>SIM-ONBUY-000235</t>
  </si>
  <si>
    <t>SN00002AU8L</t>
  </si>
  <si>
    <t>SIM-ONBUY-001726</t>
  </si>
  <si>
    <t>SIM-ONBUY-000332</t>
  </si>
  <si>
    <t>350000000000215</t>
  </si>
  <si>
    <t>SIM-ONBUY-000364</t>
  </si>
  <si>
    <t>SN000043VFZ</t>
  </si>
  <si>
    <t>SIM-ONBUY-000421</t>
  </si>
  <si>
    <t>SN00004VRKD</t>
  </si>
  <si>
    <t>SIM-ONBUY-000102</t>
  </si>
  <si>
    <t>350000000000068</t>
  </si>
  <si>
    <t>SIM-ONBUY-000126</t>
  </si>
  <si>
    <t>SN000016LGC</t>
  </si>
  <si>
    <t>SIM-ONBUY-000232</t>
  </si>
  <si>
    <t>350000000000160</t>
  </si>
  <si>
    <t>SIM-ONBUY-001534</t>
  </si>
  <si>
    <t>SIM-ONBUY-000125</t>
  </si>
  <si>
    <t>350000000000088</t>
  </si>
  <si>
    <t>SIM-ONBUY-000185</t>
  </si>
  <si>
    <t>350000000000129</t>
  </si>
  <si>
    <t>SIM-ONBUY-001750</t>
  </si>
  <si>
    <t>SIM-ONBUY-001783</t>
  </si>
  <si>
    <t>SIM-ONBUY-000061</t>
  </si>
  <si>
    <t>350000000000038</t>
  </si>
  <si>
    <t>SIM-ONBUY-000071</t>
  </si>
  <si>
    <t>SN00000T7M3</t>
  </si>
  <si>
    <t>SIM-ONBUY-000113</t>
  </si>
  <si>
    <t>350000000000076</t>
  </si>
  <si>
    <t>SIM-ONBUY-001759</t>
  </si>
  <si>
    <t>SIM-ONBUY-000362</t>
  </si>
  <si>
    <t>SN000041TZ7</t>
  </si>
  <si>
    <t>SIM-ONBUY-000097</t>
  </si>
  <si>
    <t>350000000000064</t>
  </si>
  <si>
    <t>SIM-ONBUY-000151</t>
  </si>
  <si>
    <t>350000000000107</t>
  </si>
  <si>
    <t>SIM-ONBUY-001798</t>
  </si>
  <si>
    <t>SIM-ONBUY-000372</t>
  </si>
  <si>
    <t>350000000000232</t>
  </si>
  <si>
    <t>SIM-ONBUY-000013</t>
  </si>
  <si>
    <t>SN000004E6W</t>
  </si>
  <si>
    <t>SIM-ONBUY-000037</t>
  </si>
  <si>
    <t>SN00000GSSS</t>
  </si>
  <si>
    <t>SIM-ONBUY-000136</t>
  </si>
  <si>
    <t>350000000000095</t>
  </si>
  <si>
    <t>SIM-ONBUY-000311</t>
  </si>
  <si>
    <t>SN00003BZBM</t>
  </si>
  <si>
    <t>SIM-ONBUY-000220</t>
  </si>
  <si>
    <t>SN000024NW6</t>
  </si>
  <si>
    <t>SIM-ONBUY-001779</t>
  </si>
  <si>
    <t>SIM-ONBUY-000279</t>
  </si>
  <si>
    <t>SN00002WJ2J</t>
  </si>
  <si>
    <t>SIM-ONBUY-000067</t>
  </si>
  <si>
    <t>SN00000R579</t>
  </si>
  <si>
    <t>SIM-ONBUY-000133</t>
  </si>
  <si>
    <t>SN000019P5K</t>
  </si>
  <si>
    <t>SIM-ONBUY-000142</t>
  </si>
  <si>
    <t>350000000000101</t>
  </si>
  <si>
    <t>SIM-ONBUY-000234</t>
  </si>
  <si>
    <t>350000000000162</t>
  </si>
  <si>
    <t>SIM-ONBUY-000252</t>
  </si>
  <si>
    <t>350000000000172</t>
  </si>
  <si>
    <t>SIM-ONBUY-000265</t>
  </si>
  <si>
    <t>SN00002QCQ4</t>
  </si>
  <si>
    <t>SIM-ONBUY-001735</t>
  </si>
  <si>
    <t>SIM-ONBUY-000313</t>
  </si>
  <si>
    <t>350000000000204</t>
  </si>
  <si>
    <t>SIM-ONBUY-000123</t>
  </si>
  <si>
    <t>350000000000086</t>
  </si>
  <si>
    <t>SIM-ONBUY-000257</t>
  </si>
  <si>
    <t>350000000000174</t>
  </si>
  <si>
    <t>SIM-ONBUY-000277</t>
  </si>
  <si>
    <t>350000000000184</t>
  </si>
  <si>
    <t>SIM-ONBUY-000135</t>
  </si>
  <si>
    <t>350000000000094</t>
  </si>
  <si>
    <t>SIM-ONBUY-000168</t>
  </si>
  <si>
    <t>350000000000118</t>
  </si>
  <si>
    <t>SIM-ONBUY-000201</t>
  </si>
  <si>
    <t>350000000000139</t>
  </si>
  <si>
    <t>SIM-ONBUY-000270</t>
  </si>
  <si>
    <t>SN00002TFDB</t>
  </si>
  <si>
    <t>SIM-ONBUY-001780</t>
  </si>
  <si>
    <t>SIM-ONBUY-000129</t>
  </si>
  <si>
    <t>350000000000091</t>
  </si>
  <si>
    <t>SIM-ONBUY-000269</t>
  </si>
  <si>
    <t>SN00002SE6W</t>
  </si>
  <si>
    <t>SIM-ONBUY-001753</t>
  </si>
  <si>
    <t>SIM-ONBUY-001769</t>
  </si>
  <si>
    <t>SIM-ONBUY-000058</t>
  </si>
  <si>
    <t>SN00000O2J2</t>
  </si>
  <si>
    <t>SIM-ONBUY-000073</t>
  </si>
  <si>
    <t>350000000000045</t>
  </si>
  <si>
    <t>SIM-ONBUY-001756</t>
  </si>
  <si>
    <t>SIM-ONBUY-001776</t>
  </si>
  <si>
    <t>SIM-ONBUY-000016</t>
  </si>
  <si>
    <t>SN000006GLQ</t>
  </si>
  <si>
    <t>SIM-ONBUY-001706</t>
  </si>
  <si>
    <t>SIM-ONBUY-000095</t>
  </si>
  <si>
    <t>SN00000ZDXH</t>
  </si>
  <si>
    <t>SIM-ONBUY-000200</t>
  </si>
  <si>
    <t>SN00001YGLQ</t>
  </si>
  <si>
    <t>SIM-ONBUY-000084</t>
  </si>
  <si>
    <t>350000000000054</t>
  </si>
  <si>
    <t>SIM-ONBUY-000004</t>
  </si>
  <si>
    <t>350000000000003</t>
  </si>
  <si>
    <t>SIM-ONBUY-000103</t>
  </si>
  <si>
    <t>350000000000069</t>
  </si>
  <si>
    <t>SIM-ONBUY-001692</t>
  </si>
  <si>
    <t>SIM-ONBUY-000050</t>
  </si>
  <si>
    <t>350000000000029</t>
  </si>
  <si>
    <t>SIM-ONBUY-000107</t>
  </si>
  <si>
    <t>350000000000071</t>
  </si>
  <si>
    <t>SIM-ONBUY-001656</t>
  </si>
  <si>
    <t>SIM-ONBUY-001671</t>
  </si>
  <si>
    <t>SIM-ONBUY-000015</t>
  </si>
  <si>
    <t>SN000005FDB</t>
  </si>
  <si>
    <t>SIM-ONBUY-000023</t>
  </si>
  <si>
    <t>350000000000015</t>
  </si>
  <si>
    <t>SIM-ONBUY-001690</t>
  </si>
  <si>
    <t>SIM-ONBUY-000082</t>
  </si>
  <si>
    <t>350000000000052</t>
  </si>
  <si>
    <t>SIM-ONBUY-000083</t>
  </si>
  <si>
    <t>350000000000053</t>
  </si>
  <si>
    <t>SIM-ONBUY-001698</t>
  </si>
  <si>
    <t>SIM-ONBUY-001672</t>
  </si>
  <si>
    <t>SIM-ONBUY-000065</t>
  </si>
  <si>
    <t>350000000000040</t>
  </si>
  <si>
    <t>SIM-ONBUY-001657</t>
  </si>
  <si>
    <t>SIM-ONBUY-001526</t>
  </si>
  <si>
    <t>SIM-ONBUY-001695</t>
  </si>
  <si>
    <t>SIM-ONBUY-001676</t>
  </si>
  <si>
    <t>SIM-ONBUY-001650</t>
  </si>
  <si>
    <t>SIM-ONBUY-001646</t>
  </si>
  <si>
    <t>SIM-ONBUY-001649</t>
  </si>
  <si>
    <t>SIM-ONBUY-001658</t>
  </si>
  <si>
    <t>Commission VAT</t>
  </si>
  <si>
    <t>SIM-TEMU-001325</t>
  </si>
  <si>
    <t>SN0000GNZBM</t>
  </si>
  <si>
    <t>SIM-TEMU-001330</t>
  </si>
  <si>
    <t>350000000000820</t>
  </si>
  <si>
    <t>SIM-TEMU-001342</t>
  </si>
  <si>
    <t>350000000000830</t>
  </si>
  <si>
    <t>SIM-TEMU-001344</t>
  </si>
  <si>
    <t>350000000000831</t>
  </si>
  <si>
    <t>SIM-TEMU-001351</t>
  </si>
  <si>
    <t>350000000000837</t>
  </si>
  <si>
    <t>SIM-TEMU-001354</t>
  </si>
  <si>
    <t>SN0000GZDXH</t>
  </si>
  <si>
    <t>SIM-TEMU-001356</t>
  </si>
  <si>
    <t>SN0000H0E6W</t>
  </si>
  <si>
    <t>SIM-TEMU-001361</t>
  </si>
  <si>
    <t>350000000000840</t>
  </si>
  <si>
    <t>SIM-TEMU-001364</t>
  </si>
  <si>
    <t>350000000000842</t>
  </si>
  <si>
    <t>SIM-TEMU-001368</t>
  </si>
  <si>
    <t>350000000000844</t>
  </si>
  <si>
    <t>SIM-TEMU-001377</t>
  </si>
  <si>
    <t>350000000000849</t>
  </si>
  <si>
    <t>SIM-TEMU-001390</t>
  </si>
  <si>
    <t>350000000000857</t>
  </si>
  <si>
    <t>SIM-TEMU-001391</t>
  </si>
  <si>
    <t>SN0000HHXVT</t>
  </si>
  <si>
    <t>SIM-TEMU-001407</t>
  </si>
  <si>
    <t>SN0000HN579</t>
  </si>
  <si>
    <t>SIM-TEMU-001408</t>
  </si>
  <si>
    <t>SN0000HO6EN</t>
  </si>
  <si>
    <t>SIM-TEMU-001413</t>
  </si>
  <si>
    <t>SN0000HR93V</t>
  </si>
  <si>
    <t>SIM-TEMU-001416</t>
  </si>
  <si>
    <t>350000000000870</t>
  </si>
  <si>
    <t>SIM-TEMU-001417</t>
  </si>
  <si>
    <t>350000000000871</t>
  </si>
  <si>
    <t>SIM-TEMU-001427</t>
  </si>
  <si>
    <t>SN0000HYGLQ</t>
  </si>
  <si>
    <t>SIM-TEMU-001430</t>
  </si>
  <si>
    <t>350000000000881</t>
  </si>
  <si>
    <t>SIM-TEMU-001432</t>
  </si>
  <si>
    <t>350000000000882</t>
  </si>
  <si>
    <t>SIM-TEMU-001433</t>
  </si>
  <si>
    <t>350000000000883</t>
  </si>
  <si>
    <t>SIM-TEMU-001436</t>
  </si>
  <si>
    <t>350000000000885</t>
  </si>
  <si>
    <t>SIM-TEMU-001438</t>
  </si>
  <si>
    <t>350000000000886</t>
  </si>
  <si>
    <t>SIM-TEMU-001459</t>
  </si>
  <si>
    <t>SN0000ICWNE</t>
  </si>
  <si>
    <t>SIM-TEMU-001469</t>
  </si>
  <si>
    <t>350000000000908</t>
  </si>
  <si>
    <t>SIM-TEMU-001473</t>
  </si>
  <si>
    <t>350000000000910</t>
  </si>
  <si>
    <t>SIM-TEMU-001482</t>
  </si>
  <si>
    <t>350000000000918</t>
  </si>
  <si>
    <t>SIM-TEMU-001488</t>
  </si>
  <si>
    <t>SN0000IJ579</t>
  </si>
  <si>
    <t>SIM-TEMU-001491</t>
  </si>
  <si>
    <t>350000000000924</t>
  </si>
  <si>
    <t>SIM-TEMU-001498</t>
  </si>
  <si>
    <t>SN0000IOAAA</t>
  </si>
  <si>
    <t>SIM-TEMU-001499</t>
  </si>
  <si>
    <t>SN0000IPBHP</t>
  </si>
  <si>
    <t>SIM-TEMU-001503</t>
  </si>
  <si>
    <t>SN0000IRDXH</t>
  </si>
  <si>
    <t>SIM-TEMU-001504</t>
  </si>
  <si>
    <t>350000000000932</t>
  </si>
  <si>
    <t>SIM-TEMU-001511</t>
  </si>
  <si>
    <t>350000000000939</t>
  </si>
  <si>
    <t>SIM-TEMU-001516</t>
  </si>
  <si>
    <t>SN0000ITFDB</t>
  </si>
  <si>
    <t>SIM-TEMU-001517</t>
  </si>
  <si>
    <t>350000000000943</t>
  </si>
  <si>
    <t>SIM-TEMU-001231</t>
  </si>
  <si>
    <t>350000000000762</t>
  </si>
  <si>
    <t>SIM-TEMU-001233</t>
  </si>
  <si>
    <t>SN0000FBHT5</t>
  </si>
  <si>
    <t>SIM-TEMU-001241</t>
  </si>
  <si>
    <t>350000000000769</t>
  </si>
  <si>
    <t>SIM-TEMU-001243</t>
  </si>
  <si>
    <t>350000000000771</t>
  </si>
  <si>
    <t>SIM-TEMU-001260</t>
  </si>
  <si>
    <t>350000000000781</t>
  </si>
  <si>
    <t>SIM-TEMU-001296</t>
  </si>
  <si>
    <t>SN0000G7HT5</t>
  </si>
  <si>
    <t>SIM-TEMU-001177</t>
  </si>
  <si>
    <t>SN0000EKNW6</t>
  </si>
  <si>
    <t>SIM-TEMU-002108</t>
  </si>
  <si>
    <t>SIM-TEMU-002118</t>
  </si>
  <si>
    <t>SIM-TEMU-002124</t>
  </si>
  <si>
    <t>SIM-TEMU-002131</t>
  </si>
  <si>
    <t>SIM-TEMU-002134</t>
  </si>
  <si>
    <t>SIM-TEMU-002135</t>
  </si>
  <si>
    <t>SIM-TEMU-002137</t>
  </si>
  <si>
    <t>SIM-TEMU-002140</t>
  </si>
  <si>
    <t>SIM-TEMU-002150</t>
  </si>
  <si>
    <t>SIM-TEMU-002163</t>
  </si>
  <si>
    <t>SIM-TEMU-001640</t>
  </si>
  <si>
    <t>SIM-TEMU-001642</t>
  </si>
  <si>
    <t>SIM-TEMU-002103</t>
  </si>
  <si>
    <t>SIM-TEMU-002147</t>
  </si>
  <si>
    <t>SIM-TEMU-002168</t>
  </si>
  <si>
    <t>SIM-TEMU-001455</t>
  </si>
  <si>
    <t>SN0000IBVFZ</t>
  </si>
  <si>
    <t>SIM-TEMU-001199</t>
  </si>
  <si>
    <t>SN0000ETXVT</t>
  </si>
  <si>
    <t>SIM-TEMU-001223</t>
  </si>
  <si>
    <t>350000000000755</t>
  </si>
  <si>
    <t>SIM-TEMU-001146</t>
  </si>
  <si>
    <t>SN0000DZZBM</t>
  </si>
  <si>
    <t>SIM-TEMU-002127</t>
  </si>
  <si>
    <t>SIM-TEMU-002129</t>
  </si>
  <si>
    <t>SIM-TEMU-002148</t>
  </si>
  <si>
    <t>SIM-TEMU-001388</t>
  </si>
  <si>
    <t>SN0000HGWNE</t>
  </si>
  <si>
    <t>SIM-TEMU-001442</t>
  </si>
  <si>
    <t>350000000000889</t>
  </si>
  <si>
    <t>SIM-TEMU-001244</t>
  </si>
  <si>
    <t>350000000000772</t>
  </si>
  <si>
    <t>SIM-TEMU-001305</t>
  </si>
  <si>
    <t>SN0000GBMPR</t>
  </si>
  <si>
    <t>SIM-TEMU-001142</t>
  </si>
  <si>
    <t>SN0000DXXVT</t>
  </si>
  <si>
    <t>SIM-TEMU-001160</t>
  </si>
  <si>
    <t>SN0000E9BHP</t>
  </si>
  <si>
    <t>SIM-TEMU-002106</t>
  </si>
  <si>
    <t>SIM-TEMU-001149</t>
  </si>
  <si>
    <t>SN0000E24YU</t>
  </si>
  <si>
    <t>SIM-TEMU-001179</t>
  </si>
  <si>
    <t>SN0000ELP5K</t>
  </si>
  <si>
    <t>SIM-TEMU-002120</t>
  </si>
  <si>
    <t>SIM-TEMU-001617</t>
  </si>
  <si>
    <t>SIM-TEMU-001348</t>
  </si>
  <si>
    <t>350000000000834</t>
  </si>
  <si>
    <t>SIM-TEMU-001104</t>
  </si>
  <si>
    <t>SN0000DHFDB</t>
  </si>
  <si>
    <t>SIM-TEMU-001358</t>
  </si>
  <si>
    <t>SN0000H2GLQ</t>
  </si>
  <si>
    <t>SIM-TEMU-001083</t>
  </si>
  <si>
    <t>350000000000676</t>
  </si>
  <si>
    <t>SIM-TEMU-001191</t>
  </si>
  <si>
    <t>SN0000ERVFZ</t>
  </si>
  <si>
    <t>SIM-TEMU-001237</t>
  </si>
  <si>
    <t>SN0000FCJ2J</t>
  </si>
  <si>
    <t>SIM-TEMU-001323</t>
  </si>
  <si>
    <t>350000000000815</t>
  </si>
  <si>
    <t>SIM-TEMU-001332</t>
  </si>
  <si>
    <t>350000000000821</t>
  </si>
  <si>
    <t>SIM-TEMU-001208</t>
  </si>
  <si>
    <t>SN0000EX3RF</t>
  </si>
  <si>
    <t>SIM-TEMU-001278</t>
  </si>
  <si>
    <t>SN0000FT3RF</t>
  </si>
  <si>
    <t>SIM-TEMU-001294</t>
  </si>
  <si>
    <t>SN0000G5FDB</t>
  </si>
  <si>
    <t>SIM-TEMU-001052</t>
  </si>
  <si>
    <t>350000000000654</t>
  </si>
  <si>
    <t>SIM-TEMU-001117</t>
  </si>
  <si>
    <t>350000000000698</t>
  </si>
  <si>
    <t>SIM-TEMU-002089</t>
  </si>
  <si>
    <t>SIM-TEMU-001327</t>
  </si>
  <si>
    <t>SN0000GP3RF</t>
  </si>
  <si>
    <t>SIM-TEMU-001221</t>
  </si>
  <si>
    <t>350000000000753</t>
  </si>
  <si>
    <t>SIM-TEMU-001073</t>
  </si>
  <si>
    <t>350000000000670</t>
  </si>
  <si>
    <t>SIM-TEMU-001166</t>
  </si>
  <si>
    <t>SN0000EEGLQ</t>
  </si>
  <si>
    <t>SIM-TEMU-002044</t>
  </si>
  <si>
    <t>SIM-TEMU-001143</t>
  </si>
  <si>
    <t>350000000000714</t>
  </si>
  <si>
    <t>SIM-TEMU-002047</t>
  </si>
  <si>
    <t>SIM-TEMU-000969</t>
  </si>
  <si>
    <t>350000000000599</t>
  </si>
  <si>
    <t>SIM-TEMU-001033</t>
  </si>
  <si>
    <t>350000000000635</t>
  </si>
  <si>
    <t>SIM-TEMU-002051</t>
  </si>
  <si>
    <t>SIM-TEMU-001618</t>
  </si>
  <si>
    <t>SIM-TEMU-001213</t>
  </si>
  <si>
    <t>350000000000750</t>
  </si>
  <si>
    <t>SIM-TEMU-001234</t>
  </si>
  <si>
    <t>350000000000763</t>
  </si>
  <si>
    <t>SIM-TEMU-000982</t>
  </si>
  <si>
    <t>350000000000605</t>
  </si>
  <si>
    <t>SIM-TEMU-001079</t>
  </si>
  <si>
    <t>SN0000D64YU</t>
  </si>
  <si>
    <t>SIM-TEMU-001158</t>
  </si>
  <si>
    <t>SN0000E793V</t>
  </si>
  <si>
    <t>SIM-TEMU-002088</t>
  </si>
  <si>
    <t>SIM-TEMU-001605</t>
  </si>
  <si>
    <t>SIM-TEMU-001198</t>
  </si>
  <si>
    <t>350000000000741</t>
  </si>
  <si>
    <t>SIM-TEMU-001211</t>
  </si>
  <si>
    <t>350000000000749</t>
  </si>
  <si>
    <t>SIM-TEMU-001239</t>
  </si>
  <si>
    <t>SN0000FDK9X</t>
  </si>
  <si>
    <t>SIM-TEMU-001036</t>
  </si>
  <si>
    <t>SN0000CTP5K</t>
  </si>
  <si>
    <t>SIM-TEMU-001101</t>
  </si>
  <si>
    <t>350000000000688</t>
  </si>
  <si>
    <t>SIM-TEMU-001133</t>
  </si>
  <si>
    <t>350000000000705</t>
  </si>
  <si>
    <t>SIM-TEMU-002050</t>
  </si>
  <si>
    <t>SIM-TEMU-002075</t>
  </si>
  <si>
    <t>SIM-TEMU-002087</t>
  </si>
  <si>
    <t>SIM-TEMU-001615</t>
  </si>
  <si>
    <t>SIM-TEMU-000976</t>
  </si>
  <si>
    <t>SN0000C1TZ7</t>
  </si>
  <si>
    <t>SIM-TEMU-001134</t>
  </si>
  <si>
    <t>350000000000706</t>
  </si>
  <si>
    <t>SIM-TEMU-002037</t>
  </si>
  <si>
    <t>SIM-TEMU-002097</t>
  </si>
  <si>
    <t>SIM-TEMU-001600</t>
  </si>
  <si>
    <t>SIM-TEMU-000949</t>
  </si>
  <si>
    <t>350000000000587</t>
  </si>
  <si>
    <t>SIM-TEMU-001062</t>
  </si>
  <si>
    <t>350000000000662</t>
  </si>
  <si>
    <t>SIM-TEMU-001151</t>
  </si>
  <si>
    <t>SN0000E3579</t>
  </si>
  <si>
    <t>SIM-TEMU-001188</t>
  </si>
  <si>
    <t>SN0000EOSSS</t>
  </si>
  <si>
    <t>SIM-TEMU-002074</t>
  </si>
  <si>
    <t>SIM-TEMU-001585</t>
  </si>
  <si>
    <t>SIM-TEMU-001108</t>
  </si>
  <si>
    <t>350000000000691</t>
  </si>
  <si>
    <t>SIM-TEMU-001113</t>
  </si>
  <si>
    <t>350000000000695</t>
  </si>
  <si>
    <t>SIM-TEMU-001122</t>
  </si>
  <si>
    <t>350000000000700</t>
  </si>
  <si>
    <t>SIM-TEMU-002102</t>
  </si>
  <si>
    <t>SIM-TEMU-002071</t>
  </si>
  <si>
    <t>SIM-TEMU-002079</t>
  </si>
  <si>
    <t>SIM-TEMU-002093</t>
  </si>
  <si>
    <t>SIM-TEMU-001598</t>
  </si>
  <si>
    <t>SIM-TEMU-000917</t>
  </si>
  <si>
    <t>350000000000572</t>
  </si>
  <si>
    <t>SIM-TEMU-000997</t>
  </si>
  <si>
    <t>SN0000C82J2</t>
  </si>
  <si>
    <t>SIM-TEMU-001069</t>
  </si>
  <si>
    <t>SN0000CZVFZ</t>
  </si>
  <si>
    <t>SIM-TEMU-002054</t>
  </si>
  <si>
    <t>SIM-TEMU-000980</t>
  </si>
  <si>
    <t>350000000000604</t>
  </si>
  <si>
    <t>SIM-TEMU-001025</t>
  </si>
  <si>
    <t>SN0000CPK9X</t>
  </si>
  <si>
    <t>SIM-TEMU-001063</t>
  </si>
  <si>
    <t>SN0000CYU8L</t>
  </si>
  <si>
    <t>SIM-TEMU-001077</t>
  </si>
  <si>
    <t>SN0000D42J2</t>
  </si>
  <si>
    <t>SIM-TEMU-001125</t>
  </si>
  <si>
    <t>350000000000702</t>
  </si>
  <si>
    <t>SIM-TEMU-001175</t>
  </si>
  <si>
    <t>350000000000728</t>
  </si>
  <si>
    <t>SIM-TEMU-001991</t>
  </si>
  <si>
    <t>SIM-TEMU-002012</t>
  </si>
  <si>
    <t>SIM-TEMU-001597</t>
  </si>
  <si>
    <t>SIM-TEMU-000857</t>
  </si>
  <si>
    <t>SN0000AFZBM</t>
  </si>
  <si>
    <t>SIM-TEMU-000924</t>
  </si>
  <si>
    <t>350000000000577</t>
  </si>
  <si>
    <t>SIM-TEMU-000873</t>
  </si>
  <si>
    <t>350000000000543</t>
  </si>
  <si>
    <t>SIM-TEMU-000920</t>
  </si>
  <si>
    <t>350000000000574</t>
  </si>
  <si>
    <t>SIM-TEMU-001608</t>
  </si>
  <si>
    <t>SIM-TEMU-000861</t>
  </si>
  <si>
    <t>350000000000535</t>
  </si>
  <si>
    <t>SIM-TEMU-000967</t>
  </si>
  <si>
    <t>SN0000BVMPR</t>
  </si>
  <si>
    <t>SIM-TEMU-001099</t>
  </si>
  <si>
    <t>SN0000DECQ4</t>
  </si>
  <si>
    <t>SIM-TEMU-000807</t>
  </si>
  <si>
    <t>350000000000497</t>
  </si>
  <si>
    <t>SIM-TEMU-001957</t>
  </si>
  <si>
    <t>SIM-TEMU-002001</t>
  </si>
  <si>
    <t>SIM-TEMU-000878</t>
  </si>
  <si>
    <t>350000000000546</t>
  </si>
  <si>
    <t>SIM-TEMU-000912</t>
  </si>
  <si>
    <t>350000000000568</t>
  </si>
  <si>
    <t>SIM-TEMU-000994</t>
  </si>
  <si>
    <t>SN0000C7ZBM</t>
  </si>
  <si>
    <t>SIM-TEMU-001066</t>
  </si>
  <si>
    <t>350000000000666</t>
  </si>
  <si>
    <t>SIM-TEMU-001088</t>
  </si>
  <si>
    <t>SN0000D97M3</t>
  </si>
  <si>
    <t>SIM-TEMU-001612</t>
  </si>
  <si>
    <t>SIM-TEMU-000864</t>
  </si>
  <si>
    <t>SN0000AH3RF</t>
  </si>
  <si>
    <t>SIM-TEMU-000888</t>
  </si>
  <si>
    <t>SN0000AUGLQ</t>
  </si>
  <si>
    <t>SIM-TEMU-000918</t>
  </si>
  <si>
    <t>350000000000573</t>
  </si>
  <si>
    <t>SIM-TEMU-000990</t>
  </si>
  <si>
    <t>SN0000C6Y48</t>
  </si>
  <si>
    <t>SIM-TEMU-000993</t>
  </si>
  <si>
    <t>350000000000614</t>
  </si>
  <si>
    <t>SIM-TEMU-000999</t>
  </si>
  <si>
    <t>350000000000619</t>
  </si>
  <si>
    <t>SIM-TEMU-001068</t>
  </si>
  <si>
    <t>350000000000668</t>
  </si>
  <si>
    <t>SIM-TEMU-000772</t>
  </si>
  <si>
    <t>350000000000481</t>
  </si>
  <si>
    <t>SIM-TEMU-000771</t>
  </si>
  <si>
    <t>350000000000480</t>
  </si>
  <si>
    <t>SIM-TEMU-000811</t>
  </si>
  <si>
    <t>350000000000499</t>
  </si>
  <si>
    <t>SIM-TEMU-001950</t>
  </si>
  <si>
    <t>SIM-TEMU-001973</t>
  </si>
  <si>
    <t>SIM-TEMU-002015</t>
  </si>
  <si>
    <t>SIM-TEMU-000991</t>
  </si>
  <si>
    <t>350000000000612</t>
  </si>
  <si>
    <t>SIM-TEMU-000744</t>
  </si>
  <si>
    <t>SN00008T7M3</t>
  </si>
  <si>
    <t>SIM-TEMU-000760</t>
  </si>
  <si>
    <t>SN000090E6W</t>
  </si>
  <si>
    <t>SIM-TEMU-000782</t>
  </si>
  <si>
    <t>350000000000486</t>
  </si>
  <si>
    <t>SIM-TEMU-000795</t>
  </si>
  <si>
    <t>350000000000492</t>
  </si>
  <si>
    <t>SIM-TEMU-000817</t>
  </si>
  <si>
    <t>350000000000505</t>
  </si>
  <si>
    <t>SIM-TEMU-001964</t>
  </si>
  <si>
    <t>SIM-TEMU-001989</t>
  </si>
  <si>
    <t>SIM-TEMU-000890</t>
  </si>
  <si>
    <t>SN0000AVHT5</t>
  </si>
  <si>
    <t>SIM-TEMU-000916</t>
  </si>
  <si>
    <t>350000000000571</t>
  </si>
  <si>
    <t>SIM-TEMU-000973</t>
  </si>
  <si>
    <t>SN0000BZRKD</t>
  </si>
  <si>
    <t>SIM-TEMU-002000</t>
  </si>
  <si>
    <t>SIM-TEMU-001576</t>
  </si>
  <si>
    <t>SIM-TEMU-001587</t>
  </si>
  <si>
    <t>SIM-TEMU-000837</t>
  </si>
  <si>
    <t>350000000000519</t>
  </si>
  <si>
    <t>SIM-TEMU-000700</t>
  </si>
  <si>
    <t>350000000000437</t>
  </si>
  <si>
    <t>SIM-TEMU-001987</t>
  </si>
  <si>
    <t>SIM-TEMU-001591</t>
  </si>
  <si>
    <t>SIM-TEMU-000823</t>
  </si>
  <si>
    <t>350000000000509</t>
  </si>
  <si>
    <t>SIM-TEMU-000977</t>
  </si>
  <si>
    <t>350000000000602</t>
  </si>
  <si>
    <t>SIM-TEMU-001011</t>
  </si>
  <si>
    <t>SN0000CE8UG</t>
  </si>
  <si>
    <t>SIM-TEMU-000722</t>
  </si>
  <si>
    <t>350000000000453</t>
  </si>
  <si>
    <t>SIM-TEMU-000779</t>
  </si>
  <si>
    <t>350000000000484</t>
  </si>
  <si>
    <t>SIM-TEMU-002023</t>
  </si>
  <si>
    <t>SIM-TEMU-000909</t>
  </si>
  <si>
    <t>350000000000565</t>
  </si>
  <si>
    <t>SIM-TEMU-000781</t>
  </si>
  <si>
    <t>350000000000485</t>
  </si>
  <si>
    <t>SIM-TEMU-002009</t>
  </si>
  <si>
    <t>SIM-TEMU-002010</t>
  </si>
  <si>
    <t>SIM-TEMU-002025</t>
  </si>
  <si>
    <t>SIM-TEMU-001595</t>
  </si>
  <si>
    <t>SIM-TEMU-000896</t>
  </si>
  <si>
    <t>350000000000556</t>
  </si>
  <si>
    <t>SIM-TEMU-000733</t>
  </si>
  <si>
    <t>SN00008NZBM</t>
  </si>
  <si>
    <t>SIM-TEMU-000740</t>
  </si>
  <si>
    <t>350000000000465</t>
  </si>
  <si>
    <t>SIM-TEMU-000763</t>
  </si>
  <si>
    <t>350000000000476</t>
  </si>
  <si>
    <t>SIM-TEMU-001988</t>
  </si>
  <si>
    <t>SIM-TEMU-002020</t>
  </si>
  <si>
    <t>SIM-TEMU-000906</t>
  </si>
  <si>
    <t>350000000000564</t>
  </si>
  <si>
    <t>SIM-TEMU-000925</t>
  </si>
  <si>
    <t>SN0000B8WNE</t>
  </si>
  <si>
    <t>SIM-TEMU-000960</t>
  </si>
  <si>
    <t>350000000000594</t>
  </si>
  <si>
    <t>SIM-TEMU-000768</t>
  </si>
  <si>
    <t>SN000094J2J</t>
  </si>
  <si>
    <t>SIM-TEMU-000625</t>
  </si>
  <si>
    <t>SN00007GNW6</t>
  </si>
  <si>
    <t>SIM-TEMU-000845</t>
  </si>
  <si>
    <t>SN0000A8SSS</t>
  </si>
  <si>
    <t>SIM-TEMU-000640</t>
  </si>
  <si>
    <t>350000000000397</t>
  </si>
  <si>
    <t>SIM-TEMU-000683</t>
  </si>
  <si>
    <t>350000000000427</t>
  </si>
  <si>
    <t>SIM-TEMU-000726</t>
  </si>
  <si>
    <t>350000000000455</t>
  </si>
  <si>
    <t>SIM-TEMU-000851</t>
  </si>
  <si>
    <t>SN0000ADXVT</t>
  </si>
  <si>
    <t>SIM-TEMU-000902</t>
  </si>
  <si>
    <t>SN0000B0NW6</t>
  </si>
  <si>
    <t>SIM-TEMU-000663</t>
  </si>
  <si>
    <t>SN00007W6EN</t>
  </si>
  <si>
    <t>SIM-TEMU-000703</t>
  </si>
  <si>
    <t>350000000000440</t>
  </si>
  <si>
    <t>SIM-TEMU-000774</t>
  </si>
  <si>
    <t>SN000099P5K</t>
  </si>
  <si>
    <t>SIM-TEMU-000793</t>
  </si>
  <si>
    <t>SN00009K2J2</t>
  </si>
  <si>
    <t>SIM-TEMU-000605</t>
  </si>
  <si>
    <t>SN000078E6W</t>
  </si>
  <si>
    <t>SIM-TEMU-000621</t>
  </si>
  <si>
    <t>350000000000383</t>
  </si>
  <si>
    <t>SIM-TEMU-000828</t>
  </si>
  <si>
    <t>350000000000513</t>
  </si>
  <si>
    <t>SIM-TEMU-000889</t>
  </si>
  <si>
    <t>350000000000552</t>
  </si>
  <si>
    <t>SIM-TEMU-000677</t>
  </si>
  <si>
    <t>350000000000421</t>
  </si>
  <si>
    <t>SIM-TEMU-001567</t>
  </si>
  <si>
    <t>SIM-TEMU-000879</t>
  </si>
  <si>
    <t>SN0000AQCQ4</t>
  </si>
  <si>
    <t>SIM-TEMU-000659</t>
  </si>
  <si>
    <t>SN00007V579</t>
  </si>
  <si>
    <t>SIM-TEMU-000736</t>
  </si>
  <si>
    <t>SN00008P3RF</t>
  </si>
  <si>
    <t>SIM-TEMU-000784</t>
  </si>
  <si>
    <t>SN00009FVFZ</t>
  </si>
  <si>
    <t>SIM-TEMU-000579</t>
  </si>
  <si>
    <t>350000000000360</t>
  </si>
  <si>
    <t>SIM-TEMU-001568</t>
  </si>
  <si>
    <t>SIM-TEMU-000846</t>
  </si>
  <si>
    <t>350000000000525</t>
  </si>
  <si>
    <t>SIM-TEMU-000671</t>
  </si>
  <si>
    <t>SN000081BHP</t>
  </si>
  <si>
    <t>SIM-TEMU-000742</t>
  </si>
  <si>
    <t>350000000000466</t>
  </si>
  <si>
    <t>SIM-TEMU-000787</t>
  </si>
  <si>
    <t>350000000000488</t>
  </si>
  <si>
    <t>SIM-TEMU-000607</t>
  </si>
  <si>
    <t>SN00007AGLQ</t>
  </si>
  <si>
    <t>SIM-TEMU-001886</t>
  </si>
  <si>
    <t>SIM-TEMU-001896</t>
  </si>
  <si>
    <t>SIM-TEMU-001906</t>
  </si>
  <si>
    <t>SIM-TEMU-001923</t>
  </si>
  <si>
    <t>SIM-TEMU-001942</t>
  </si>
  <si>
    <t>SIM-TEMU-000815</t>
  </si>
  <si>
    <t>350000000000503</t>
  </si>
  <si>
    <t>SIM-TEMU-001901</t>
  </si>
  <si>
    <t>SIM-TEMU-001928</t>
  </si>
  <si>
    <t>SIM-TEMU-001944</t>
  </si>
  <si>
    <t>SIM-TEMU-000761</t>
  </si>
  <si>
    <t>SN000091FDB</t>
  </si>
  <si>
    <t>SIM-TEMU-000801</t>
  </si>
  <si>
    <t>SN00009P7M3</t>
  </si>
  <si>
    <t>SIM-TEMU-000535</t>
  </si>
  <si>
    <t>350000000000338</t>
  </si>
  <si>
    <t>SIM-TEMU-000542</t>
  </si>
  <si>
    <t>SN00006793V</t>
  </si>
  <si>
    <t>SIM-TEMU-000623</t>
  </si>
  <si>
    <t>350000000000385</t>
  </si>
  <si>
    <t>SIM-TEMU-000469</t>
  </si>
  <si>
    <t>SN00005B93V</t>
  </si>
  <si>
    <t>SIM-TEMU-000524</t>
  </si>
  <si>
    <t>SN00005ZZBM</t>
  </si>
  <si>
    <t>SIM-TEMU-000613</t>
  </si>
  <si>
    <t>350000000000378</t>
  </si>
  <si>
    <t>SIM-TEMU-000730</t>
  </si>
  <si>
    <t>350000000000458</t>
  </si>
  <si>
    <t>SIM-TEMU-000743</t>
  </si>
  <si>
    <t>SN00008S6EN</t>
  </si>
  <si>
    <t>SIM-TEMU-000798</t>
  </si>
  <si>
    <t>SN00009M4YU</t>
  </si>
  <si>
    <t>SIM-TEMU-000487</t>
  </si>
  <si>
    <t>SN00005MLGC</t>
  </si>
  <si>
    <t>SIM-TEMU-001914</t>
  </si>
  <si>
    <t>SIM-TEMU-000673</t>
  </si>
  <si>
    <t>350000000000418</t>
  </si>
  <si>
    <t>SIM-TEMU-000550</t>
  </si>
  <si>
    <t>SN00006CE6W</t>
  </si>
  <si>
    <t>SIM-TEMU-001879</t>
  </si>
  <si>
    <t>SIM-TEMU-000685</t>
  </si>
  <si>
    <t>350000000000429</t>
  </si>
  <si>
    <t>SIM-TEMU-000748</t>
  </si>
  <si>
    <t>350000000000470</t>
  </si>
  <si>
    <t>SIM-TEMU-000575</t>
  </si>
  <si>
    <t>350000000000358</t>
  </si>
  <si>
    <t>SIM-TEMU-001569</t>
  </si>
  <si>
    <t>SIM-TEMU-000457</t>
  </si>
  <si>
    <t>350000000000287</t>
  </si>
  <si>
    <t>SIM-TEMU-000629</t>
  </si>
  <si>
    <t>SN00007IQCY</t>
  </si>
  <si>
    <t>SIM-TEMU-001887</t>
  </si>
  <si>
    <t>SIM-TEMU-001894</t>
  </si>
  <si>
    <t>SIM-TEMU-001913</t>
  </si>
  <si>
    <t>SIM-TEMU-000693</t>
  </si>
  <si>
    <t>SN000087HT5</t>
  </si>
  <si>
    <t>SIM-TEMU-000383</t>
  </si>
  <si>
    <t>SN00004D7M3</t>
  </si>
  <si>
    <t>SIM-TEMU-000531</t>
  </si>
  <si>
    <t>350000000000335</t>
  </si>
  <si>
    <t>SIM-TEMU-000633</t>
  </si>
  <si>
    <t>350000000000393</t>
  </si>
  <si>
    <t>SIM-TEMU-001877</t>
  </si>
  <si>
    <t>SIM-TEMU-000678</t>
  </si>
  <si>
    <t>350000000000422</t>
  </si>
  <si>
    <t>SIM-TEMU-001846</t>
  </si>
  <si>
    <t>SIM-TEMU-001808</t>
  </si>
  <si>
    <t>SIM-TEMU-000653</t>
  </si>
  <si>
    <t>350000000000405</t>
  </si>
  <si>
    <t>SIM-TEMU-000658</t>
  </si>
  <si>
    <t>350000000000408</t>
  </si>
  <si>
    <t>SIM-TEMU-000412</t>
  </si>
  <si>
    <t>350000000000255</t>
  </si>
  <si>
    <t>SIM-TEMU-000464</t>
  </si>
  <si>
    <t>350000000000294</t>
  </si>
  <si>
    <t>SIM-TEMU-000614</t>
  </si>
  <si>
    <t>SN00007DK9X</t>
  </si>
  <si>
    <t>SIM-TEMU-001561</t>
  </si>
  <si>
    <t>SIM-TEMU-000590</t>
  </si>
  <si>
    <t>350000000000366</t>
  </si>
  <si>
    <t>SIM-TEMU-000622</t>
  </si>
  <si>
    <t>350000000000384</t>
  </si>
  <si>
    <t>SIM-TEMU-001570</t>
  </si>
  <si>
    <t>SIM-TEMU-000649</t>
  </si>
  <si>
    <t>350000000000402</t>
  </si>
  <si>
    <t>SIM-TEMU-000344</t>
  </si>
  <si>
    <t>SN00003PFDB</t>
  </si>
  <si>
    <t>SIM-TEMU-000380</t>
  </si>
  <si>
    <t>SN00004B579</t>
  </si>
  <si>
    <t>SIM-TEMU-000462</t>
  </si>
  <si>
    <t>350000000000293</t>
  </si>
  <si>
    <t>SIM-TEMU-000347</t>
  </si>
  <si>
    <t>SN00003RHT5</t>
  </si>
  <si>
    <t>SIM-TEMU-000368</t>
  </si>
  <si>
    <t>SN000045XVT</t>
  </si>
  <si>
    <t>SIM-TEMU-000475</t>
  </si>
  <si>
    <t>350000000000301</t>
  </si>
  <si>
    <t>SIM-TEMU-000491</t>
  </si>
  <si>
    <t>350000000000308</t>
  </si>
  <si>
    <t>SIM-TEMU-000301</t>
  </si>
  <si>
    <t>350000000000198</t>
  </si>
  <si>
    <t>SIM-TEMU-000304</t>
  </si>
  <si>
    <t>350000000000201</t>
  </si>
  <si>
    <t>SIM-TEMU-001848</t>
  </si>
  <si>
    <t>SIM-TEMU-001868</t>
  </si>
  <si>
    <t>SIM-TEMU-001799</t>
  </si>
  <si>
    <t>SIM-TEMU-001541</t>
  </si>
  <si>
    <t>SIM-TEMU-001566</t>
  </si>
  <si>
    <t>SIM-TEMU-000427</t>
  </si>
  <si>
    <t>350000000000267</t>
  </si>
  <si>
    <t>SIM-TEMU-000552</t>
  </si>
  <si>
    <t>350000000000348</t>
  </si>
  <si>
    <t>SIM-TEMU-000585</t>
  </si>
  <si>
    <t>350000000000363</t>
  </si>
  <si>
    <t>SIM-TEMU-000592</t>
  </si>
  <si>
    <t>SN0000728UG</t>
  </si>
  <si>
    <t>SIM-TEMU-000618</t>
  </si>
  <si>
    <t>350000000000380</t>
  </si>
  <si>
    <t>SIM-TEMU-001873</t>
  </si>
  <si>
    <t>SIM-TEMU-001845</t>
  </si>
  <si>
    <t>SIM-TEMU-001862</t>
  </si>
  <si>
    <t>SIM-TEMU-000616</t>
  </si>
  <si>
    <t>SN00007ELGC</t>
  </si>
  <si>
    <t>SIM-TEMU-000285</t>
  </si>
  <si>
    <t>SN00002YLGC</t>
  </si>
  <si>
    <t>SIM-TEMU-000294</t>
  </si>
  <si>
    <t>350000000000195</t>
  </si>
  <si>
    <t>SIM-TEMU-000307</t>
  </si>
  <si>
    <t>SN000037VFZ</t>
  </si>
  <si>
    <t>SIM-TEMU-001872</t>
  </si>
  <si>
    <t>SIM-TEMU-000436</t>
  </si>
  <si>
    <t>350000000000275</t>
  </si>
  <si>
    <t>SIM-TEMU-000276</t>
  </si>
  <si>
    <t>350000000000183</t>
  </si>
  <si>
    <t>SIM-TEMU-000386</t>
  </si>
  <si>
    <t>350000000000238</t>
  </si>
  <si>
    <t>SIM-TEMU-000398</t>
  </si>
  <si>
    <t>350000000000248</t>
  </si>
  <si>
    <t>SIM-TEMU-000446</t>
  </si>
  <si>
    <t>350000000000281</t>
  </si>
  <si>
    <t>SIM-TEMU-000536</t>
  </si>
  <si>
    <t>350000000000339</t>
  </si>
  <si>
    <t>SIM-TEMU-000258</t>
  </si>
  <si>
    <t>350000000000175</t>
  </si>
  <si>
    <t>SIM-TEMU-001856</t>
  </si>
  <si>
    <t>SIM-TEMU-001832</t>
  </si>
  <si>
    <t>SIM-TEMU-000361</t>
  </si>
  <si>
    <t>350000000000227</t>
  </si>
  <si>
    <t>SIM-TEMU-000366</t>
  </si>
  <si>
    <t>350000000000228</t>
  </si>
  <si>
    <t>SIM-TEMU-000240</t>
  </si>
  <si>
    <t>SN00002DXVT</t>
  </si>
  <si>
    <t>SIM-TEMU-000253</t>
  </si>
  <si>
    <t>350000000000173</t>
  </si>
  <si>
    <t>SIM-TEMU-001854</t>
  </si>
  <si>
    <t>SIM-TEMU-001829</t>
  </si>
  <si>
    <t>SIM-TEMU-001559</t>
  </si>
  <si>
    <t>SIM-TEMU-000354</t>
  </si>
  <si>
    <t>SN00003WNW6</t>
  </si>
  <si>
    <t>SIM-TEMU-000397</t>
  </si>
  <si>
    <t>SN00004MGLQ</t>
  </si>
  <si>
    <t>SIM-TEMU-000414</t>
  </si>
  <si>
    <t>350000000000257</t>
  </si>
  <si>
    <t>SIM-TEMU-000495</t>
  </si>
  <si>
    <t>SN00005PP5K</t>
  </si>
  <si>
    <t>SIM-TEMU-000174</t>
  </si>
  <si>
    <t>SN00001O6EN</t>
  </si>
  <si>
    <t>SIM-TEMU-000278</t>
  </si>
  <si>
    <t>350000000000185</t>
  </si>
  <si>
    <t>SIM-TEMU-001801</t>
  </si>
  <si>
    <t>SIM-TEMU-000480</t>
  </si>
  <si>
    <t>SN00005HFDB</t>
  </si>
  <si>
    <t>SIM-TEMU-000482</t>
  </si>
  <si>
    <t>SN00005JHT5</t>
  </si>
  <si>
    <t>SIM-TEMU-000284</t>
  </si>
  <si>
    <t>350000000000189</t>
  </si>
  <si>
    <t>SIM-TEMU-001857</t>
  </si>
  <si>
    <t>SIM-TEMU-001871</t>
  </si>
  <si>
    <t>SIM-TEMU-001815</t>
  </si>
  <si>
    <t>SIM-TEMU-000139</t>
  </si>
  <si>
    <t>350000000000098</t>
  </si>
  <si>
    <t>SIM-TEMU-000229</t>
  </si>
  <si>
    <t>350000000000158</t>
  </si>
  <si>
    <t>SIM-TEMU-000394</t>
  </si>
  <si>
    <t>350000000000246</t>
  </si>
  <si>
    <t>SIM-TEMU-000417</t>
  </si>
  <si>
    <t>SN00004UQCY</t>
  </si>
  <si>
    <t>SIM-TEMU-001722</t>
  </si>
  <si>
    <t>SIM-TEMU-001771</t>
  </si>
  <si>
    <t>SIM-TEMU-001788</t>
  </si>
  <si>
    <t>SIM-TEMU-000418</t>
  </si>
  <si>
    <t>350000000000260</t>
  </si>
  <si>
    <t>SIM-TEMU-000128</t>
  </si>
  <si>
    <t>350000000000090</t>
  </si>
  <si>
    <t>SIM-TEMU-000226</t>
  </si>
  <si>
    <t>350000000000155</t>
  </si>
  <si>
    <t>SIM-TEMU-000337</t>
  </si>
  <si>
    <t>SN00003MCQ4</t>
  </si>
  <si>
    <t>SIM-TEMU-000187</t>
  </si>
  <si>
    <t>350000000000130</t>
  </si>
  <si>
    <t>SIM-TEMU-000317</t>
  </si>
  <si>
    <t>350000000000207</t>
  </si>
  <si>
    <t>SIM-TEMU-001732</t>
  </si>
  <si>
    <t>SIM-TEMU-001733</t>
  </si>
  <si>
    <t>SIM-TEMU-001752</t>
  </si>
  <si>
    <t>SIM-TEMU-000329</t>
  </si>
  <si>
    <t>350000000000213</t>
  </si>
  <si>
    <t>SIM-TEMU-000066</t>
  </si>
  <si>
    <t>350000000000041</t>
  </si>
  <si>
    <t>SIM-TEMU-000150</t>
  </si>
  <si>
    <t>350000000000106</t>
  </si>
  <si>
    <t>SIM-TEMU-000221</t>
  </si>
  <si>
    <t>SN000025P5K</t>
  </si>
  <si>
    <t>SIM-TEMU-000080</t>
  </si>
  <si>
    <t>SN00000WAAA</t>
  </si>
  <si>
    <t>SIM-TEMU-000163</t>
  </si>
  <si>
    <t>SN00001JZBM</t>
  </si>
  <si>
    <t>SIM-TEMU-000242</t>
  </si>
  <si>
    <t>350000000000165</t>
  </si>
  <si>
    <t>SIM-TEMU-000288</t>
  </si>
  <si>
    <t>350000000000192</t>
  </si>
  <si>
    <t>SIM-TEMU-001728</t>
  </si>
  <si>
    <t>SIM-TEMU-001746</t>
  </si>
  <si>
    <t>SIM-TEMU-000171</t>
  </si>
  <si>
    <t>350000000000121</t>
  </si>
  <si>
    <t>SIM-TEMU-001723</t>
  </si>
  <si>
    <t>SIM-TEMU-000116</t>
  </si>
  <si>
    <t>350000000000079</t>
  </si>
  <si>
    <t>SIM-TEMU-000165</t>
  </si>
  <si>
    <t>350000000000116</t>
  </si>
  <si>
    <t>SIM-TEMU-000300</t>
  </si>
  <si>
    <t>350000000000197</t>
  </si>
  <si>
    <t>SIM-TEMU-001742</t>
  </si>
  <si>
    <t>SIM-TEMU-000247</t>
  </si>
  <si>
    <t>350000000000170</t>
  </si>
  <si>
    <t>SIM-TEMU-000267</t>
  </si>
  <si>
    <t>350000000000179</t>
  </si>
  <si>
    <t>SIM-TEMU-000287</t>
  </si>
  <si>
    <t>350000000000191</t>
  </si>
  <si>
    <t>SIM-TEMU-001768</t>
  </si>
  <si>
    <t>SIM-TEMU-001785</t>
  </si>
  <si>
    <t>SIM-TEMU-000158</t>
  </si>
  <si>
    <t>SN00001GWNE</t>
  </si>
  <si>
    <t>SIM-TEMU-000203</t>
  </si>
  <si>
    <t>350000000000141</t>
  </si>
  <si>
    <t>SIM-TEMU-000244</t>
  </si>
  <si>
    <t>350000000000167</t>
  </si>
  <si>
    <t>SIM-TEMU-000303</t>
  </si>
  <si>
    <t>350000000000200</t>
  </si>
  <si>
    <t>SIM-TEMU-001740</t>
  </si>
  <si>
    <t>SIM-TEMU-001762</t>
  </si>
  <si>
    <t>SIM-TEMU-000211</t>
  </si>
  <si>
    <t>350000000000145</t>
  </si>
  <si>
    <t>SIM-TEMU-000262</t>
  </si>
  <si>
    <t>350000000000177</t>
  </si>
  <si>
    <t>SIM-TEMU-001737</t>
  </si>
  <si>
    <t>SIM-TEMU-000003</t>
  </si>
  <si>
    <t>350000000000002</t>
  </si>
  <si>
    <t>SIM-TEMU-000167</t>
  </si>
  <si>
    <t>SN00001L3RF</t>
  </si>
  <si>
    <t>SIM-TEMU-000042</t>
  </si>
  <si>
    <t>SN00000IU8L</t>
  </si>
  <si>
    <t>SIM-TEMU-000237</t>
  </si>
  <si>
    <t>350000000000163</t>
  </si>
  <si>
    <t>SIM-TEMU-001745</t>
  </si>
  <si>
    <t>SIM-TEMU-001542</t>
  </si>
  <si>
    <t>SIM-TEMU-000105</t>
  </si>
  <si>
    <t>SN000012GLQ</t>
  </si>
  <si>
    <t>SIM-TEMU-001725</t>
  </si>
  <si>
    <t>SIM-TEMU-000033</t>
  </si>
  <si>
    <t>SN00000DP5K</t>
  </si>
  <si>
    <t>SIM-TEMU-000056</t>
  </si>
  <si>
    <t>350000000000034</t>
  </si>
  <si>
    <t>SIM-TEMU-000070</t>
  </si>
  <si>
    <t>350000000000043</t>
  </si>
  <si>
    <t>SIM-TEMU-000166</t>
  </si>
  <si>
    <t>SN00001K2J2</t>
  </si>
  <si>
    <t>SIM-TEMU-000173</t>
  </si>
  <si>
    <t>350000000000122</t>
  </si>
  <si>
    <t>SIM-TEMU-000215</t>
  </si>
  <si>
    <t>350000000000149</t>
  </si>
  <si>
    <t>SIM-TEMU-001654</t>
  </si>
  <si>
    <t>SIM-TEMU-001679</t>
  </si>
  <si>
    <t>SIM-TEMU-001685</t>
  </si>
  <si>
    <t>SIM-TEMU-001719</t>
  </si>
  <si>
    <t>SIM-TEMU-001527</t>
  </si>
  <si>
    <t>SIM-TEMU-000169</t>
  </si>
  <si>
    <t>350000000000119</t>
  </si>
  <si>
    <t>SIM-TEMU-001674</t>
  </si>
  <si>
    <t>SIM-TEMU-000117</t>
  </si>
  <si>
    <t>350000000000080</t>
  </si>
  <si>
    <t>SIM-TEMU-000119</t>
  </si>
  <si>
    <t>350000000000082</t>
  </si>
  <si>
    <t>SIM-TEMU-001681</t>
  </si>
  <si>
    <t>SIM-TEMU-000053</t>
  </si>
  <si>
    <t>350000000000031</t>
  </si>
  <si>
    <t>SIM-TEMU-000068</t>
  </si>
  <si>
    <t>SN00000S6EN</t>
  </si>
  <si>
    <t>SIM-TEMU-001651</t>
  </si>
  <si>
    <t>SIM-TEMU-000096</t>
  </si>
  <si>
    <t>SN000010E6W</t>
  </si>
  <si>
    <t>SIM-TEMU-000075</t>
  </si>
  <si>
    <t>350000000000047</t>
  </si>
  <si>
    <t>SIM-TEMU-001666</t>
  </si>
  <si>
    <t>SIM-TEMU-001703</t>
  </si>
  <si>
    <t>SIM-TEMU-001712</t>
  </si>
  <si>
    <t>SIM-TEMU-000092</t>
  </si>
  <si>
    <t>350000000000062</t>
  </si>
  <si>
    <t>SIM-TEMU-001705</t>
  </si>
  <si>
    <t>SIM-TEMU-001693</t>
  </si>
  <si>
    <t>SIM-TEMU-001718</t>
  </si>
  <si>
    <t>SIM-TEMU-000005</t>
  </si>
  <si>
    <t>350000000000004</t>
  </si>
  <si>
    <t>In Repair</t>
  </si>
  <si>
    <t>In Repair — Faulty charging port — sent for bench repair</t>
  </si>
  <si>
    <t>SIM-TEMU-001665</t>
  </si>
  <si>
    <t>SIM-TEMU-001682</t>
  </si>
  <si>
    <t>SIM-TEMU-001683</t>
  </si>
  <si>
    <t>SIM-TEMU-001662</t>
  </si>
  <si>
    <t>SIM-TEMU-001688</t>
  </si>
  <si>
    <t>Name</t>
  </si>
  <si>
    <t>USB-C 20W Charger</t>
  </si>
  <si>
    <t>USB-C 25W Charger</t>
  </si>
  <si>
    <t>SIM Eject Pin</t>
  </si>
  <si>
    <t>USB-C to USB-C Cable 1m</t>
  </si>
  <si>
    <t>Clear Silicone Case</t>
  </si>
  <si>
    <t>Universal Screen Protector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</si>
  <si>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</si>
  <si>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</si>
  <si>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</si>
  <si>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</si>
  <si>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</si>
  <si>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</si>
  <si>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</si>
  <si>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5 · £0.00</t>
  </si>
  <si>
    <t>1 · £0.00</t>
  </si>
  <si>
    <t>4 · £0.00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</si>
  <si>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</si>
  <si>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</si>
  <si>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</si>
  <si>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</si>
  <si>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</si>
  <si>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</si>
  <si>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</si>
  <si>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</si>
  <si>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</si>
  <si>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no costed returns in this period</t>
  </si>
  <si>
    <t>Uncosted (pre-tracking) returns</t>
  </si>
  <si>
    <t>Note</t>
  </si>
  <si>
    <t>11 returns predate carriage tracking and contribute £0 — lifetime loss understates these.</t>
  </si>
  <si>
    <t>Unit IMEI</t>
  </si>
  <si>
    <t>Original Sale Date</t>
  </si>
  <si>
    <t>Original Sale Price</t>
  </si>
  <si>
    <t>Return Type</t>
  </si>
  <si>
    <t>Reason</t>
  </si>
  <si>
    <t>Leg Cost £</t>
  </si>
  <si>
    <t>Back to Inventory</t>
  </si>
  <si>
    <t>Faulty charging port — sent for bench repair</t>
  </si>
  <si>
    <t>Customer: Customer reports the device stopped charging reliably. · Tech QC: Bench inspection: charging port fault confirmed. IMEI matches. Sending for repair.</t>
  </si>
  <si>
    <t>Customer changed their mind</t>
  </si>
  <si>
    <t>Customer: Customer reports the device stopped charging reliably. · Tech QC: Bench inspection: fault confirmed, IMEI matches, no repair viable — processing refund.</t>
  </si>
  <si>
    <t>Event Date</t>
  </si>
  <si>
    <t>Event</t>
  </si>
  <si>
    <t>Detail</t>
  </si>
  <si>
    <t>Amount £</t>
  </si>
  <si>
    <t>STOCK IN</t>
  </si>
  <si>
    <t>SOLD</t>
  </si>
  <si>
    <t>TEMU · SIM-TEMU-000005</t>
  </si>
  <si>
    <t>RETURNED</t>
  </si>
  <si>
    <t>In Repair · In Repair — Faulty charging port — sent for bench repair</t>
  </si>
  <si>
    <t>AMAZON · SIM-AMAZON-000008</t>
  </si>
  <si>
    <t>Refund · Refund — Customer changed their mind</t>
  </si>
  <si>
    <t>AMAZON · SIM-AMAZON-000012</t>
  </si>
  <si>
    <t>EBAY · SIM-EBAY-000018</t>
  </si>
  <si>
    <t>EBAY · SIM-EBAY-000034</t>
  </si>
  <si>
    <t>EBAY · SIM-EBAY-000043</t>
  </si>
  <si>
    <t>EBAY · SIM-EBAY-000046</t>
  </si>
  <si>
    <t>AMAZON · SIM-AMAZON-000052</t>
  </si>
  <si>
    <t>BM · SIM-BM-000072</t>
  </si>
  <si>
    <t>AMAZON · SIM-AMAZON-000025</t>
  </si>
  <si>
    <t>AMAZON · SIM-AMAZON-000041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</si>
</sst>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"/>
    <numFmt numFmtId="165" formatCode="0.0&quot;%&quot;"/>
  </numFmts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2" fillId="3" borderId="0" xfId="0" applyFont="1" applyFill="1"/>
    <xf numFmtId="2" fontId="2" fillId="3" borderId="0" xfId="0" applyNumberFormat="1" applyFont="1" applyFill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2" fontId="2" fillId="0" borderId="0" xfId="0" applyNumberFormat="1" applyFon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4" spans="1:9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x14ac:dyDescent="0.25">
      <c r="A5" t="s">
        <v>12</v>
      </c>
      <c r="B5">
        <v>371</v>
      </c>
      <c r="C5">
        <v>5</v>
      </c>
      <c r="D5">
        <v>0</v>
      </c>
      <c r="E5">
        <v>0</v>
      </c>
      <c r="F5" s="3">
        <v>11406.02</v>
      </c>
      <c r="G5" s="3">
        <v>0</v>
      </c>
      <c r="H5" s="3">
        <v>11406.02</v>
      </c>
      <c r="I5" s="3">
        <v>13.37</v>
      </c>
    </row>
    <row r="6" spans="1:9" x14ac:dyDescent="0.25">
      <c r="A6" t="s">
        <v>13</v>
      </c>
      <c r="B6">
        <v>442</v>
      </c>
      <c r="C6">
        <v>1</v>
      </c>
      <c r="D6">
        <v>0</v>
      </c>
      <c r="E6">
        <v>0</v>
      </c>
      <c r="F6" s="3">
        <v>6438.77</v>
      </c>
      <c r="G6" s="3">
        <v>0</v>
      </c>
      <c r="H6" s="3">
        <v>6438.77</v>
      </c>
      <c r="I6" s="3">
        <v>6.37</v>
      </c>
    </row>
    <row r="7" spans="1:9" x14ac:dyDescent="0.25">
      <c r="A7" t="s">
        <v>14</v>
      </c>
      <c r="B7">
        <v>483</v>
      </c>
      <c r="C7">
        <v>4</v>
      </c>
      <c r="D7">
        <v>0</v>
      </c>
      <c r="E7">
        <v>0</v>
      </c>
      <c r="F7" s="3">
        <v>14804.46</v>
      </c>
      <c r="G7" s="3">
        <v>0</v>
      </c>
      <c r="H7" s="3">
        <v>14804.46</v>
      </c>
      <c r="I7" s="3">
        <v>13.41</v>
      </c>
    </row>
    <row r="8" spans="1:9" x14ac:dyDescent="0.25">
      <c r="A8" t="s">
        <v>15</v>
      </c>
      <c r="B8">
        <v>427</v>
      </c>
      <c r="C8">
        <v>0</v>
      </c>
      <c r="D8">
        <v>0</v>
      </c>
      <c r="E8">
        <v>0</v>
      </c>
      <c r="F8" s="3">
        <v>13975.3</v>
      </c>
      <c r="G8" s="3">
        <v>0</v>
      </c>
      <c r="H8" s="3">
        <v>13975.3</v>
      </c>
      <c r="I8" s="3">
        <v>13.56</v>
      </c>
    </row>
    <row r="9" spans="1:9" x14ac:dyDescent="0.25">
      <c r="A9" t="s">
        <v>16</v>
      </c>
      <c r="B9">
        <v>444</v>
      </c>
      <c r="C9">
        <v>0</v>
      </c>
      <c r="D9">
        <v>0</v>
      </c>
      <c r="E9">
        <v>1</v>
      </c>
      <c r="F9" s="3">
        <v>18734.07</v>
      </c>
      <c r="G9" s="3">
        <v>0</v>
      </c>
      <c r="H9" s="3">
        <v>18734.07</v>
      </c>
      <c r="I9" s="3">
        <v>19.1</v>
      </c>
    </row>
    <row r="10" spans="1:9" s="4" customFormat="1" x14ac:dyDescent="0.25">
      <c r="A10" s="4" t="s">
        <v>17</v>
      </c>
      <c r="B10" s="4">
        <v>2167</v>
      </c>
      <c r="C10" s="4">
        <v>10</v>
      </c>
      <c r="D10" s="4">
        <v>0</v>
      </c>
      <c r="E10" s="4">
        <v>1</v>
      </c>
      <c r="F10" s="5">
        <v>65358.62</v>
      </c>
      <c r="G10" s="5">
        <v>0</v>
      </c>
      <c r="H10" s="5">
        <v>65358.62</v>
      </c>
      <c r="I10" s="5">
        <v>13.12</v>
      </c>
    </row>
    <row r="12" spans="1:1" s="6" customFormat="1" x14ac:dyDescent="0.25">
      <c r="A12" s="6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8"/>
  <sheetFormatPr defaultRowHeight="15" outlineLevelRow="0" outlineLevelCol="0" x14ac:dyDescent="55"/>
  <sheetData>
    <row r="1" spans="1:3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10</v>
      </c>
      <c r="AD1" t="s">
        <v>53</v>
      </c>
      <c r="AE1" t="s">
        <v>54</v>
      </c>
    </row>
    <row r="2" spans="1:31" x14ac:dyDescent="0.25">
      <c r="A2" s="7">
        <v>46237.5</v>
      </c>
      <c r="B2" t="s">
        <v>55</v>
      </c>
      <c r="C2" t="s">
        <v>1</v>
      </c>
      <c r="D2" s="8" t="s">
        <v>56</v>
      </c>
      <c r="E2" t="s">
        <v>57</v>
      </c>
      <c r="F2">
        <v>1</v>
      </c>
      <c r="G2" s="3">
        <v>467</v>
      </c>
      <c r="H2" s="3">
        <v>450</v>
      </c>
      <c r="I2" s="3">
        <f>H2-G2</f>
      </c>
      <c r="J2" s="3">
        <f>I2*16.67%</f>
      </c>
      <c r="K2" s="3">
        <f>H2/100*7</f>
      </c>
      <c r="L2" s="3">
        <f>K2*20%</f>
      </c>
      <c r="M2" s="3">
        <f>K2*2%</f>
      </c>
      <c r="N2" s="3">
        <f>M2*20%</f>
      </c>
      <c r="O2" s="3">
        <v>6.3</v>
      </c>
      <c r="P2" s="3">
        <f>O2*20%</f>
      </c>
      <c r="Q2" s="3">
        <v>1</v>
      </c>
      <c r="R2" s="3">
        <f>L2+N2+P2</f>
      </c>
      <c r="S2" s="3">
        <f>I2-J2-K2-L2-M2-N2-O2-P2-Q2</f>
      </c>
      <c r="T2" s="3">
        <f>(S2-AB2)/G2*100</f>
      </c>
      <c r="U2" s="3">
        <f>J2-R2</f>
      </c>
      <c r="V2" t="s">
        <v>1</v>
      </c>
      <c r="W2" t="s">
        <v>58</v>
      </c>
      <c r="AC2" s="3">
        <f>S2-AB2</f>
      </c>
      <c r="AD2" t="s">
        <v>59</v>
      </c>
      <c r="AE2" t="s">
        <v>60</v>
      </c>
    </row>
    <row r="3" spans="1:31" x14ac:dyDescent="0.25">
      <c r="A3" s="7">
        <v>46231.5</v>
      </c>
      <c r="B3" t="s">
        <v>61</v>
      </c>
      <c r="C3" t="s">
        <v>1</v>
      </c>
      <c r="D3" s="8" t="s">
        <v>62</v>
      </c>
      <c r="E3" t="s">
        <v>63</v>
      </c>
      <c r="F3">
        <v>1</v>
      </c>
      <c r="G3" s="3">
        <v>245</v>
      </c>
      <c r="H3" s="3">
        <v>350.35</v>
      </c>
      <c r="I3" s="3">
        <f>H3-G3</f>
      </c>
      <c r="J3" s="3">
        <f>I3*16.67%</f>
      </c>
      <c r="K3" s="3">
        <f>H3/100*7</f>
      </c>
      <c r="L3" s="3">
        <f>K3*20%</f>
      </c>
      <c r="M3" s="3">
        <f>K3*2%</f>
      </c>
      <c r="N3" s="3">
        <f>M3*20%</f>
      </c>
      <c r="O3" s="3">
        <v>0</v>
      </c>
      <c r="P3" s="3">
        <f>O3*20%</f>
      </c>
      <c r="Q3" s="3">
        <v>1</v>
      </c>
      <c r="R3" s="3">
        <f>L3+N3+P3</f>
      </c>
      <c r="S3" s="3">
        <f>I3-J3-K3-L3-M3-N3-O3-P3-Q3</f>
      </c>
      <c r="T3" s="3">
        <f>(S3-AB3)/G3*100</f>
      </c>
      <c r="U3" s="3">
        <f>J3-R3</f>
      </c>
      <c r="V3" t="s">
        <v>1</v>
      </c>
      <c r="W3" t="s">
        <v>64</v>
      </c>
      <c r="AC3" s="3">
        <f>S3-AB3</f>
      </c>
      <c r="AD3" t="s">
        <v>65</v>
      </c>
      <c r="AE3" t="s">
        <v>60</v>
      </c>
    </row>
    <row r="4" spans="1:31" x14ac:dyDescent="0.25">
      <c r="A4" s="7">
        <v>46231.5</v>
      </c>
      <c r="B4" t="s">
        <v>66</v>
      </c>
      <c r="C4" t="s">
        <v>1</v>
      </c>
      <c r="D4" s="8" t="s">
        <v>67</v>
      </c>
      <c r="E4" t="s">
        <v>63</v>
      </c>
      <c r="F4">
        <v>1</v>
      </c>
      <c r="G4" s="3">
        <v>533</v>
      </c>
      <c r="H4" s="3">
        <v>746.2</v>
      </c>
      <c r="I4" s="3">
        <f>H4-G4</f>
      </c>
      <c r="J4" s="3">
        <f>I4*16.67%</f>
      </c>
      <c r="K4" s="3">
        <f>H4/100*7</f>
      </c>
      <c r="L4" s="3">
        <f>K4*20%</f>
      </c>
      <c r="M4" s="3">
        <f>K4*2%</f>
      </c>
      <c r="N4" s="3">
        <f>M4*20%</f>
      </c>
      <c r="O4" s="3">
        <v>0</v>
      </c>
      <c r="P4" s="3">
        <f>O4*20%</f>
      </c>
      <c r="Q4" s="3">
        <v>1</v>
      </c>
      <c r="R4" s="3">
        <f>L4+N4+P4</f>
      </c>
      <c r="S4" s="3">
        <f>I4-J4-K4-L4-M4-N4-O4-P4-Q4</f>
      </c>
      <c r="T4" s="3">
        <f>(S4-AB4)/G4*100</f>
      </c>
      <c r="U4" s="3">
        <f>J4-R4</f>
      </c>
      <c r="V4" t="s">
        <v>1</v>
      </c>
      <c r="W4" t="s">
        <v>68</v>
      </c>
      <c r="AC4" s="3">
        <f>S4-AB4</f>
      </c>
      <c r="AD4" t="s">
        <v>59</v>
      </c>
      <c r="AE4" t="s">
        <v>69</v>
      </c>
    </row>
    <row r="5" spans="1:31" x14ac:dyDescent="0.25">
      <c r="A5" s="7">
        <v>46231.5</v>
      </c>
      <c r="B5" t="s">
        <v>70</v>
      </c>
      <c r="C5" t="s">
        <v>1</v>
      </c>
      <c r="D5" s="8" t="s">
        <v>71</v>
      </c>
      <c r="E5" t="s">
        <v>72</v>
      </c>
      <c r="F5">
        <v>1</v>
      </c>
      <c r="G5" s="3">
        <v>349</v>
      </c>
      <c r="H5" s="3">
        <v>429.27</v>
      </c>
      <c r="I5" s="3">
        <f>H5-G5</f>
      </c>
      <c r="J5" s="3">
        <f>I5*16.67%</f>
      </c>
      <c r="K5" s="3">
        <f>H5/100*7</f>
      </c>
      <c r="L5" s="3">
        <f>K5*20%</f>
      </c>
      <c r="M5" s="3">
        <f>K5*2%</f>
      </c>
      <c r="N5" s="3">
        <f>M5*20%</f>
      </c>
      <c r="O5" s="3">
        <v>0</v>
      </c>
      <c r="P5" s="3">
        <f>O5*20%</f>
      </c>
      <c r="Q5" s="3">
        <v>1</v>
      </c>
      <c r="R5" s="3">
        <f>L5+N5+P5</f>
      </c>
      <c r="S5" s="3">
        <f>I5-J5-K5-L5-M5-N5-O5-P5-Q5</f>
      </c>
      <c r="T5" s="3">
        <f>(S5-AB5)/G5*100</f>
      </c>
      <c r="U5" s="3">
        <f>J5-R5</f>
      </c>
      <c r="V5" t="s">
        <v>1</v>
      </c>
      <c r="W5" t="s">
        <v>73</v>
      </c>
      <c r="AC5" s="3">
        <f>S5-AB5</f>
      </c>
      <c r="AD5" t="s">
        <v>59</v>
      </c>
      <c r="AE5" t="s">
        <v>74</v>
      </c>
    </row>
    <row r="6" spans="1:31" x14ac:dyDescent="0.25">
      <c r="A6" s="7">
        <v>46231.5</v>
      </c>
      <c r="B6" t="s">
        <v>75</v>
      </c>
      <c r="C6" t="s">
        <v>1</v>
      </c>
      <c r="D6" s="8" t="s">
        <v>76</v>
      </c>
      <c r="E6" t="s">
        <v>77</v>
      </c>
      <c r="F6">
        <v>1</v>
      </c>
      <c r="G6" s="3">
        <v>537</v>
      </c>
      <c r="H6" s="3">
        <v>746.43</v>
      </c>
      <c r="I6" s="3">
        <f>H6-G6</f>
      </c>
      <c r="J6" s="3">
        <f>I6*16.67%</f>
      </c>
      <c r="K6" s="3">
        <f>H6/100*7</f>
      </c>
      <c r="L6" s="3">
        <f>K6*20%</f>
      </c>
      <c r="M6" s="3">
        <f>K6*2%</f>
      </c>
      <c r="N6" s="3">
        <f>M6*20%</f>
      </c>
      <c r="O6" s="3">
        <v>0</v>
      </c>
      <c r="P6" s="3">
        <f>O6*20%</f>
      </c>
      <c r="Q6" s="3">
        <v>1</v>
      </c>
      <c r="R6" s="3">
        <f>L6+N6+P6</f>
      </c>
      <c r="S6" s="3">
        <f>I6-J6-K6-L6-M6-N6-O6-P6-Q6</f>
      </c>
      <c r="T6" s="3">
        <f>(S6-AB6)/G6*100</f>
      </c>
      <c r="U6" s="3">
        <f>J6-R6</f>
      </c>
      <c r="V6" t="s">
        <v>1</v>
      </c>
      <c r="W6" t="s">
        <v>68</v>
      </c>
      <c r="AC6" s="3">
        <f>S6-AB6</f>
      </c>
      <c r="AD6" t="s">
        <v>59</v>
      </c>
      <c r="AE6" t="s">
        <v>69</v>
      </c>
    </row>
    <row r="7" spans="1:31" x14ac:dyDescent="0.25">
      <c r="A7" s="7">
        <v>46231.5</v>
      </c>
      <c r="B7" t="s">
        <v>78</v>
      </c>
      <c r="C7" t="s">
        <v>1</v>
      </c>
      <c r="D7" s="8" t="s">
        <v>79</v>
      </c>
      <c r="E7" t="s">
        <v>72</v>
      </c>
      <c r="F7">
        <v>1</v>
      </c>
      <c r="G7" s="3">
        <v>619</v>
      </c>
      <c r="H7" s="3">
        <v>866.6</v>
      </c>
      <c r="I7" s="3">
        <f>H7-G7</f>
      </c>
      <c r="J7" s="3">
        <f>I7*16.67%</f>
      </c>
      <c r="K7" s="3">
        <f>H7/100*7</f>
      </c>
      <c r="L7" s="3">
        <f>K7*20%</f>
      </c>
      <c r="M7" s="3">
        <f>K7*2%</f>
      </c>
      <c r="N7" s="3">
        <f>M7*20%</f>
      </c>
      <c r="O7" s="3">
        <v>0</v>
      </c>
      <c r="P7" s="3">
        <f>O7*20%</f>
      </c>
      <c r="Q7" s="3">
        <v>1</v>
      </c>
      <c r="R7" s="3">
        <f>L7+N7+P7</f>
      </c>
      <c r="S7" s="3">
        <f>I7-J7-K7-L7-M7-N7-O7-P7-Q7</f>
      </c>
      <c r="T7" s="3">
        <f>(S7-AB7)/G7*100</f>
      </c>
      <c r="U7" s="3">
        <f>J7-R7</f>
      </c>
      <c r="V7" t="s">
        <v>1</v>
      </c>
      <c r="W7" t="s">
        <v>80</v>
      </c>
      <c r="AC7" s="3">
        <f>S7-AB7</f>
      </c>
      <c r="AD7" t="s">
        <v>65</v>
      </c>
      <c r="AE7" t="s">
        <v>60</v>
      </c>
    </row>
    <row r="8" spans="1:31" x14ac:dyDescent="0.25">
      <c r="A8" s="7">
        <v>46231.5</v>
      </c>
      <c r="B8" t="s">
        <v>81</v>
      </c>
      <c r="C8" t="s">
        <v>1</v>
      </c>
      <c r="D8" s="8" t="s">
        <v>82</v>
      </c>
      <c r="E8" t="s">
        <v>63</v>
      </c>
      <c r="F8">
        <v>1</v>
      </c>
      <c r="G8" s="3">
        <v>768</v>
      </c>
      <c r="H8" s="3">
        <v>1082.88</v>
      </c>
      <c r="I8" s="3">
        <f>H8-G8</f>
      </c>
      <c r="J8" s="3">
        <f>I8*16.67%</f>
      </c>
      <c r="K8" s="3">
        <f>H8/100*7</f>
      </c>
      <c r="L8" s="3">
        <f>K8*20%</f>
      </c>
      <c r="M8" s="3">
        <f>K8*2%</f>
      </c>
      <c r="N8" s="3">
        <f>M8*20%</f>
      </c>
      <c r="O8" s="3">
        <v>0</v>
      </c>
      <c r="P8" s="3">
        <f>O8*20%</f>
      </c>
      <c r="Q8" s="3">
        <v>1</v>
      </c>
      <c r="R8" s="3">
        <f>L8+N8+P8</f>
      </c>
      <c r="S8" s="3">
        <f>I8-J8-K8-L8-M8-N8-O8-P8-Q8</f>
      </c>
      <c r="T8" s="3">
        <f>(S8-AB8)/G8*100</f>
      </c>
      <c r="U8" s="3">
        <f>J8-R8</f>
      </c>
      <c r="V8" t="s">
        <v>1</v>
      </c>
      <c r="W8" t="s">
        <v>83</v>
      </c>
      <c r="AC8" s="3">
        <f>S8-AB8</f>
      </c>
      <c r="AD8" t="s">
        <v>59</v>
      </c>
      <c r="AE8" t="s">
        <v>84</v>
      </c>
    </row>
    <row r="9" spans="1:31" x14ac:dyDescent="0.25">
      <c r="A9" s="7">
        <v>46231.5</v>
      </c>
      <c r="B9" t="s">
        <v>85</v>
      </c>
      <c r="C9" t="s">
        <v>1</v>
      </c>
      <c r="D9" s="8" t="s">
        <v>86</v>
      </c>
      <c r="E9" t="s">
        <v>77</v>
      </c>
      <c r="F9">
        <v>1</v>
      </c>
      <c r="G9" s="3">
        <v>247</v>
      </c>
      <c r="H9" s="3">
        <v>345.8</v>
      </c>
      <c r="I9" s="3">
        <f>H9-G9</f>
      </c>
      <c r="J9" s="3">
        <f>I9*16.67%</f>
      </c>
      <c r="K9" s="3">
        <f>H9/100*7</f>
      </c>
      <c r="L9" s="3">
        <f>K9*20%</f>
      </c>
      <c r="M9" s="3">
        <f>K9*2%</f>
      </c>
      <c r="N9" s="3">
        <f>M9*20%</f>
      </c>
      <c r="O9" s="3">
        <v>0</v>
      </c>
      <c r="P9" s="3">
        <f>O9*20%</f>
      </c>
      <c r="Q9" s="3">
        <v>1</v>
      </c>
      <c r="R9" s="3">
        <f>L9+N9+P9</f>
      </c>
      <c r="S9" s="3">
        <f>I9-J9-K9-L9-M9-N9-O9-P9-Q9</f>
      </c>
      <c r="T9" s="3">
        <f>(S9-AB9)/G9*100</f>
      </c>
      <c r="U9" s="3">
        <f>J9-R9</f>
      </c>
      <c r="V9" t="s">
        <v>1</v>
      </c>
      <c r="W9" t="s">
        <v>64</v>
      </c>
      <c r="AC9" s="3">
        <f>S9-AB9</f>
      </c>
      <c r="AD9" t="s">
        <v>65</v>
      </c>
      <c r="AE9" t="s">
        <v>87</v>
      </c>
    </row>
    <row r="10" spans="1:31" x14ac:dyDescent="0.25">
      <c r="A10" s="7">
        <v>46231.5</v>
      </c>
      <c r="B10" t="s">
        <v>88</v>
      </c>
      <c r="C10" t="s">
        <v>1</v>
      </c>
      <c r="D10" s="8" t="s">
        <v>89</v>
      </c>
      <c r="E10" t="s">
        <v>57</v>
      </c>
      <c r="F10">
        <v>1</v>
      </c>
      <c r="G10" s="3">
        <v>134</v>
      </c>
      <c r="H10" s="3">
        <v>171.52</v>
      </c>
      <c r="I10" s="3">
        <f>H10-G10</f>
      </c>
      <c r="J10" s="3">
        <f>I10*16.67%</f>
      </c>
      <c r="K10" s="3">
        <f>H10/100*7</f>
      </c>
      <c r="L10" s="3">
        <f>K10*20%</f>
      </c>
      <c r="M10" s="3">
        <f>K10*2%</f>
      </c>
      <c r="N10" s="3">
        <f>M10*20%</f>
      </c>
      <c r="O10" s="3">
        <v>0</v>
      </c>
      <c r="P10" s="3">
        <f>O10*20%</f>
      </c>
      <c r="Q10" s="3">
        <v>1</v>
      </c>
      <c r="R10" s="3">
        <f>L10+N10+P10</f>
      </c>
      <c r="S10" s="3">
        <f>I10-J10-K10-L10-M10-N10-O10-P10-Q10</f>
      </c>
      <c r="T10" s="3">
        <f>(S10-AB10)/G10*100</f>
      </c>
      <c r="U10" s="3">
        <f>J10-R10</f>
      </c>
      <c r="V10" t="s">
        <v>1</v>
      </c>
      <c r="W10" t="s">
        <v>90</v>
      </c>
      <c r="AC10" s="3">
        <f>S10-AB10</f>
      </c>
      <c r="AD10" t="s">
        <v>65</v>
      </c>
      <c r="AE10" t="s">
        <v>60</v>
      </c>
    </row>
    <row r="11" spans="1:31" x14ac:dyDescent="0.25">
      <c r="A11" s="7">
        <v>46231.5</v>
      </c>
      <c r="B11" t="s">
        <v>91</v>
      </c>
      <c r="C11" t="s">
        <v>1</v>
      </c>
      <c r="D11" s="8" t="s">
        <v>92</v>
      </c>
      <c r="E11" t="s">
        <v>72</v>
      </c>
      <c r="F11">
        <v>1</v>
      </c>
      <c r="G11" s="3">
        <v>78</v>
      </c>
      <c r="H11" s="3">
        <v>94.38</v>
      </c>
      <c r="I11" s="3">
        <f>H11-G11</f>
      </c>
      <c r="J11" s="3">
        <f>I11*16.67%</f>
      </c>
      <c r="K11" s="3">
        <f>H11/100*7</f>
      </c>
      <c r="L11" s="3">
        <f>K11*20%</f>
      </c>
      <c r="M11" s="3">
        <f>K11*2%</f>
      </c>
      <c r="N11" s="3">
        <f>M11*20%</f>
      </c>
      <c r="O11" s="3">
        <v>0</v>
      </c>
      <c r="P11" s="3">
        <f>O11*20%</f>
      </c>
      <c r="Q11" s="3">
        <v>1</v>
      </c>
      <c r="R11" s="3">
        <f>L11+N11+P11</f>
      </c>
      <c r="S11" s="3">
        <f>I11-J11-K11-L11-M11-N11-O11-P11-Q11</f>
      </c>
      <c r="T11" s="3">
        <f>(S11-AB11)/G11*100</f>
      </c>
      <c r="U11" s="3">
        <f>J11-R11</f>
      </c>
      <c r="V11" t="s">
        <v>1</v>
      </c>
      <c r="W11" t="s">
        <v>93</v>
      </c>
      <c r="AC11" s="3">
        <f>S11-AB11</f>
      </c>
      <c r="AD11" t="s">
        <v>94</v>
      </c>
      <c r="AE11" t="s">
        <v>87</v>
      </c>
    </row>
    <row r="12" spans="1:31" x14ac:dyDescent="0.25">
      <c r="A12" s="7">
        <v>46231.5</v>
      </c>
      <c r="B12" t="s">
        <v>95</v>
      </c>
      <c r="C12" t="s">
        <v>1</v>
      </c>
      <c r="D12" s="8" t="s">
        <v>96</v>
      </c>
      <c r="E12" t="s">
        <v>72</v>
      </c>
      <c r="F12">
        <v>1</v>
      </c>
      <c r="G12" s="3">
        <v>298</v>
      </c>
      <c r="H12" s="3">
        <v>411.24</v>
      </c>
      <c r="I12" s="3">
        <f>H12-G12</f>
      </c>
      <c r="J12" s="3">
        <f>I12*16.67%</f>
      </c>
      <c r="K12" s="3">
        <f>H12/100*7</f>
      </c>
      <c r="L12" s="3">
        <f>K12*20%</f>
      </c>
      <c r="M12" s="3">
        <f>K12*2%</f>
      </c>
      <c r="N12" s="3">
        <f>M12*20%</f>
      </c>
      <c r="O12" s="3">
        <v>0</v>
      </c>
      <c r="P12" s="3">
        <f>O12*20%</f>
      </c>
      <c r="Q12" s="3">
        <v>1</v>
      </c>
      <c r="R12" s="3">
        <f>L12+N12+P12</f>
      </c>
      <c r="S12" s="3">
        <f>I12-J12-K12-L12-M12-N12-O12-P12-Q12</f>
      </c>
      <c r="T12" s="3">
        <f>(S12-AB12)/G12*100</f>
      </c>
      <c r="U12" s="3">
        <f>J12-R12</f>
      </c>
      <c r="V12" t="s">
        <v>1</v>
      </c>
      <c r="W12" t="s">
        <v>97</v>
      </c>
      <c r="AC12" s="3">
        <f>S12-AB12</f>
      </c>
      <c r="AD12" t="s">
        <v>65</v>
      </c>
      <c r="AE12" t="s">
        <v>98</v>
      </c>
    </row>
    <row r="13" spans="1:31" x14ac:dyDescent="0.25">
      <c r="A13" s="7">
        <v>46231.5</v>
      </c>
      <c r="B13" t="s">
        <v>99</v>
      </c>
      <c r="C13" t="s">
        <v>1</v>
      </c>
      <c r="D13" s="8" t="s">
        <v>100</v>
      </c>
      <c r="E13" t="s">
        <v>101</v>
      </c>
      <c r="F13">
        <v>1</v>
      </c>
      <c r="G13" s="3">
        <v>250</v>
      </c>
      <c r="H13" s="3">
        <v>320</v>
      </c>
      <c r="I13" s="3">
        <f>H13-G13</f>
      </c>
      <c r="J13" s="3">
        <f>I13*16.67%</f>
      </c>
      <c r="K13" s="3">
        <f>H13/100*7</f>
      </c>
      <c r="L13" s="3">
        <f>K13*20%</f>
      </c>
      <c r="M13" s="3">
        <f>K13*2%</f>
      </c>
      <c r="N13" s="3">
        <f>M13*20%</f>
      </c>
      <c r="O13" s="3">
        <v>0</v>
      </c>
      <c r="P13" s="3">
        <f>O13*20%</f>
      </c>
      <c r="Q13" s="3">
        <v>1</v>
      </c>
      <c r="R13" s="3">
        <f>L13+N13+P13</f>
      </c>
      <c r="S13" s="3">
        <f>I13-J13-K13-L13-M13-N13-O13-P13-Q13</f>
      </c>
      <c r="T13" s="3">
        <f>(S13-AB13)/G13*100</f>
      </c>
      <c r="U13" s="3">
        <f>J13-R13</f>
      </c>
      <c r="V13" t="s">
        <v>1</v>
      </c>
      <c r="W13" t="s">
        <v>64</v>
      </c>
      <c r="AC13" s="3">
        <f>S13-AB13</f>
      </c>
      <c r="AD13" t="s">
        <v>65</v>
      </c>
      <c r="AE13" t="s">
        <v>60</v>
      </c>
    </row>
    <row r="14" spans="1:31" x14ac:dyDescent="0.25">
      <c r="A14" s="7">
        <v>46231.5</v>
      </c>
      <c r="B14" t="s">
        <v>102</v>
      </c>
      <c r="C14" t="s">
        <v>1</v>
      </c>
      <c r="D14" s="8" t="s">
        <v>103</v>
      </c>
      <c r="E14" t="s">
        <v>77</v>
      </c>
      <c r="F14">
        <v>1</v>
      </c>
      <c r="G14" s="3">
        <v>618</v>
      </c>
      <c r="H14" s="3">
        <v>852.84</v>
      </c>
      <c r="I14" s="3">
        <f>H14-G14</f>
      </c>
      <c r="J14" s="3">
        <f>I14*16.67%</f>
      </c>
      <c r="K14" s="3">
        <f>H14/100*7</f>
      </c>
      <c r="L14" s="3">
        <f>K14*20%</f>
      </c>
      <c r="M14" s="3">
        <f>K14*2%</f>
      </c>
      <c r="N14" s="3">
        <f>M14*20%</f>
      </c>
      <c r="O14" s="3">
        <v>0</v>
      </c>
      <c r="P14" s="3">
        <f>O14*20%</f>
      </c>
      <c r="Q14" s="3">
        <v>1</v>
      </c>
      <c r="R14" s="3">
        <f>L14+N14+P14</f>
      </c>
      <c r="S14" s="3">
        <f>I14-J14-K14-L14-M14-N14-O14-P14-Q14</f>
      </c>
      <c r="T14" s="3">
        <f>(S14-AB14)/G14*100</f>
      </c>
      <c r="U14" s="3">
        <f>J14-R14</f>
      </c>
      <c r="V14" t="s">
        <v>1</v>
      </c>
      <c r="W14" t="s">
        <v>80</v>
      </c>
      <c r="AC14" s="3">
        <f>S14-AB14</f>
      </c>
      <c r="AD14" t="s">
        <v>65</v>
      </c>
      <c r="AE14" t="s">
        <v>104</v>
      </c>
    </row>
    <row r="15" spans="1:31" x14ac:dyDescent="0.25">
      <c r="A15" s="7">
        <v>46231.5</v>
      </c>
      <c r="B15" t="s">
        <v>105</v>
      </c>
      <c r="C15" t="s">
        <v>1</v>
      </c>
      <c r="D15" s="8" t="s">
        <v>106</v>
      </c>
      <c r="E15" t="s">
        <v>72</v>
      </c>
      <c r="F15">
        <v>1</v>
      </c>
      <c r="G15" s="3">
        <v>592</v>
      </c>
      <c r="H15" s="3">
        <v>828.8</v>
      </c>
      <c r="I15" s="3">
        <f>H15-G15</f>
      </c>
      <c r="J15" s="3">
        <f>I15*16.67%</f>
      </c>
      <c r="K15" s="3">
        <f>H15/100*7</f>
      </c>
      <c r="L15" s="3">
        <f>K15*20%</f>
      </c>
      <c r="M15" s="3">
        <f>K15*2%</f>
      </c>
      <c r="N15" s="3">
        <f>M15*20%</f>
      </c>
      <c r="O15" s="3">
        <v>0</v>
      </c>
      <c r="P15" s="3">
        <f>O15*20%</f>
      </c>
      <c r="Q15" s="3">
        <v>1</v>
      </c>
      <c r="R15" s="3">
        <f>L15+N15+P15</f>
      </c>
      <c r="S15" s="3">
        <f>I15-J15-K15-L15-M15-N15-O15-P15-Q15</f>
      </c>
      <c r="T15" s="3">
        <f>(S15-AB15)/G15*100</f>
      </c>
      <c r="U15" s="3">
        <f>J15-R15</f>
      </c>
      <c r="V15" t="s">
        <v>1</v>
      </c>
      <c r="W15" t="s">
        <v>80</v>
      </c>
      <c r="AC15" s="3">
        <f>S15-AB15</f>
      </c>
      <c r="AD15" t="s">
        <v>59</v>
      </c>
      <c r="AE15" t="s">
        <v>98</v>
      </c>
    </row>
    <row r="16" spans="1:31" x14ac:dyDescent="0.25">
      <c r="A16" s="7">
        <v>46231.5</v>
      </c>
      <c r="B16" t="s">
        <v>107</v>
      </c>
      <c r="C16" t="s">
        <v>1</v>
      </c>
      <c r="D16" s="8" t="s">
        <v>108</v>
      </c>
      <c r="E16" t="s">
        <v>57</v>
      </c>
      <c r="F16">
        <v>1</v>
      </c>
      <c r="G16" s="3">
        <v>714</v>
      </c>
      <c r="H16" s="3">
        <v>849.66</v>
      </c>
      <c r="I16" s="3">
        <f>H16-G16</f>
      </c>
      <c r="J16" s="3">
        <f>I16*16.67%</f>
      </c>
      <c r="K16" s="3">
        <f>H16/100*7</f>
      </c>
      <c r="L16" s="3">
        <f>K16*20%</f>
      </c>
      <c r="M16" s="3">
        <f>K16*2%</f>
      </c>
      <c r="N16" s="3">
        <f>M16*20%</f>
      </c>
      <c r="O16" s="3">
        <v>0</v>
      </c>
      <c r="P16" s="3">
        <f>O16*20%</f>
      </c>
      <c r="Q16" s="3">
        <v>1</v>
      </c>
      <c r="R16" s="3">
        <f>L16+N16+P16</f>
      </c>
      <c r="S16" s="3">
        <f>I16-J16-K16-L16-M16-N16-O16-P16-Q16</f>
      </c>
      <c r="T16" s="3">
        <f>(S16-AB16)/G16*100</f>
      </c>
      <c r="U16" s="3">
        <f>J16-R16</f>
      </c>
      <c r="V16" t="s">
        <v>1</v>
      </c>
      <c r="W16" t="s">
        <v>83</v>
      </c>
      <c r="AC16" s="3">
        <f>S16-AB16</f>
      </c>
      <c r="AD16" t="s">
        <v>59</v>
      </c>
      <c r="AE16" t="s">
        <v>74</v>
      </c>
    </row>
    <row r="17" spans="1:31" x14ac:dyDescent="0.25">
      <c r="A17" s="7">
        <v>46231.5</v>
      </c>
      <c r="B17" t="s">
        <v>109</v>
      </c>
      <c r="C17" t="s">
        <v>1</v>
      </c>
      <c r="D17" s="8" t="s">
        <v>110</v>
      </c>
      <c r="E17" t="s">
        <v>101</v>
      </c>
      <c r="F17">
        <v>1</v>
      </c>
      <c r="G17" s="3">
        <v>332</v>
      </c>
      <c r="H17" s="3">
        <v>431.6</v>
      </c>
      <c r="I17" s="3">
        <f>H17-G17</f>
      </c>
      <c r="J17" s="3">
        <f>I17*16.67%</f>
      </c>
      <c r="K17" s="3">
        <f>H17/100*7</f>
      </c>
      <c r="L17" s="3">
        <f>K17*20%</f>
      </c>
      <c r="M17" s="3">
        <f>K17*2%</f>
      </c>
      <c r="N17" s="3">
        <f>M17*20%</f>
      </c>
      <c r="O17" s="3">
        <v>0</v>
      </c>
      <c r="P17" s="3">
        <f>O17*20%</f>
      </c>
      <c r="Q17" s="3">
        <v>1</v>
      </c>
      <c r="R17" s="3">
        <f>L17+N17+P17</f>
      </c>
      <c r="S17" s="3">
        <f>I17-J17-K17-L17-M17-N17-O17-P17-Q17</f>
      </c>
      <c r="T17" s="3">
        <f>(S17-AB17)/G17*100</f>
      </c>
      <c r="U17" s="3">
        <f>J17-R17</f>
      </c>
      <c r="V17" t="s">
        <v>1</v>
      </c>
      <c r="W17" t="s">
        <v>97</v>
      </c>
      <c r="AC17" s="3">
        <f>S17-AB17</f>
      </c>
      <c r="AD17" t="s">
        <v>65</v>
      </c>
      <c r="AE17" t="s">
        <v>98</v>
      </c>
    </row>
    <row r="18" spans="1:31" x14ac:dyDescent="0.25">
      <c r="A18" s="7">
        <v>46231.5</v>
      </c>
      <c r="B18" t="s">
        <v>111</v>
      </c>
      <c r="C18" t="s">
        <v>1</v>
      </c>
      <c r="D18" s="8" t="s">
        <v>112</v>
      </c>
      <c r="E18" t="s">
        <v>63</v>
      </c>
      <c r="F18">
        <v>1</v>
      </c>
      <c r="G18" s="3">
        <v>187</v>
      </c>
      <c r="H18" s="3">
        <v>224.4</v>
      </c>
      <c r="I18" s="3">
        <f>H18-G18</f>
      </c>
      <c r="J18" s="3">
        <f>I18*16.67%</f>
      </c>
      <c r="K18" s="3">
        <f>H18/100*7</f>
      </c>
      <c r="L18" s="3">
        <f>K18*20%</f>
      </c>
      <c r="M18" s="3">
        <f>K18*2%</f>
      </c>
      <c r="N18" s="3">
        <f>M18*20%</f>
      </c>
      <c r="O18" s="3">
        <v>0</v>
      </c>
      <c r="P18" s="3">
        <f>O18*20%</f>
      </c>
      <c r="Q18" s="3">
        <v>1</v>
      </c>
      <c r="R18" s="3">
        <f>L18+N18+P18</f>
      </c>
      <c r="S18" s="3">
        <f>I18-J18-K18-L18-M18-N18-O18-P18-Q18</f>
      </c>
      <c r="T18" s="3">
        <f>(S18-AB18)/G18*100</f>
      </c>
      <c r="U18" s="3">
        <f>J18-R18</f>
      </c>
      <c r="V18" t="s">
        <v>1</v>
      </c>
      <c r="W18" t="s">
        <v>113</v>
      </c>
      <c r="AC18" s="3">
        <f>S18-AB18</f>
      </c>
      <c r="AD18" t="s">
        <v>59</v>
      </c>
      <c r="AE18" t="s">
        <v>84</v>
      </c>
    </row>
    <row r="19" spans="1:31" x14ac:dyDescent="0.25">
      <c r="A19" s="7">
        <v>46231.5</v>
      </c>
      <c r="B19" t="s">
        <v>114</v>
      </c>
      <c r="C19" t="s">
        <v>1</v>
      </c>
      <c r="D19" s="8" t="s">
        <v>115</v>
      </c>
      <c r="E19" t="s">
        <v>57</v>
      </c>
      <c r="F19">
        <v>1</v>
      </c>
      <c r="G19" s="3">
        <v>72</v>
      </c>
      <c r="H19" s="3">
        <v>97.2</v>
      </c>
      <c r="I19" s="3">
        <f>H19-G19</f>
      </c>
      <c r="J19" s="3">
        <f>I19*16.67%</f>
      </c>
      <c r="K19" s="3">
        <f>H19/100*7</f>
      </c>
      <c r="L19" s="3">
        <f>K19*20%</f>
      </c>
      <c r="M19" s="3">
        <f>K19*2%</f>
      </c>
      <c r="N19" s="3">
        <f>M19*20%</f>
      </c>
      <c r="O19" s="3">
        <v>0</v>
      </c>
      <c r="P19" s="3">
        <f>O19*20%</f>
      </c>
      <c r="Q19" s="3">
        <v>1</v>
      </c>
      <c r="R19" s="3">
        <f>L19+N19+P19</f>
      </c>
      <c r="S19" s="3">
        <f>I19-J19-K19-L19-M19-N19-O19-P19-Q19</f>
      </c>
      <c r="T19" s="3">
        <f>(S19-AB19)/G19*100</f>
      </c>
      <c r="U19" s="3">
        <f>J19-R19</f>
      </c>
      <c r="V19" t="s">
        <v>1</v>
      </c>
      <c r="W19" t="s">
        <v>93</v>
      </c>
      <c r="AC19" s="3">
        <f>S19-AB19</f>
      </c>
      <c r="AD19" t="s">
        <v>94</v>
      </c>
      <c r="AE19" t="s">
        <v>69</v>
      </c>
    </row>
    <row r="20" spans="1:31" x14ac:dyDescent="0.25">
      <c r="A20" s="7">
        <v>46231.5</v>
      </c>
      <c r="B20" t="s">
        <v>116</v>
      </c>
      <c r="C20" t="s">
        <v>1</v>
      </c>
      <c r="D20" s="8" t="s">
        <v>117</v>
      </c>
      <c r="E20" t="s">
        <v>101</v>
      </c>
      <c r="F20">
        <v>1</v>
      </c>
      <c r="G20" s="3">
        <v>72</v>
      </c>
      <c r="H20" s="3">
        <v>102.24</v>
      </c>
      <c r="I20" s="3">
        <f>H20-G20</f>
      </c>
      <c r="J20" s="3">
        <f>I20*16.67%</f>
      </c>
      <c r="K20" s="3">
        <f>H20/100*7</f>
      </c>
      <c r="L20" s="3">
        <f>K20*20%</f>
      </c>
      <c r="M20" s="3">
        <f>K20*2%</f>
      </c>
      <c r="N20" s="3">
        <f>M20*20%</f>
      </c>
      <c r="O20" s="3">
        <v>0</v>
      </c>
      <c r="P20" s="3">
        <f>O20*20%</f>
      </c>
      <c r="Q20" s="3">
        <v>1</v>
      </c>
      <c r="R20" s="3">
        <f>L20+N20+P20</f>
      </c>
      <c r="S20" s="3">
        <f>I20-J20-K20-L20-M20-N20-O20-P20-Q20</f>
      </c>
      <c r="T20" s="3">
        <f>(S20-AB20)/G20*100</f>
      </c>
      <c r="U20" s="3">
        <f>J20-R20</f>
      </c>
      <c r="V20" t="s">
        <v>1</v>
      </c>
      <c r="W20" t="s">
        <v>93</v>
      </c>
      <c r="AC20" s="3">
        <f>S20-AB20</f>
      </c>
      <c r="AD20" t="s">
        <v>94</v>
      </c>
      <c r="AE20" t="s">
        <v>87</v>
      </c>
    </row>
    <row r="21" spans="1:31" x14ac:dyDescent="0.25">
      <c r="A21" s="7">
        <v>46231.5</v>
      </c>
      <c r="B21" t="s">
        <v>118</v>
      </c>
      <c r="C21" t="s">
        <v>1</v>
      </c>
      <c r="D21" s="8" t="s">
        <v>119</v>
      </c>
      <c r="E21" t="s">
        <v>101</v>
      </c>
      <c r="F21">
        <v>1</v>
      </c>
      <c r="G21" s="3">
        <v>121</v>
      </c>
      <c r="H21" s="3">
        <v>171.82</v>
      </c>
      <c r="I21" s="3">
        <f>H21-G21</f>
      </c>
      <c r="J21" s="3">
        <f>I21*16.67%</f>
      </c>
      <c r="K21" s="3">
        <f>H21/100*7</f>
      </c>
      <c r="L21" s="3">
        <f>K21*20%</f>
      </c>
      <c r="M21" s="3">
        <f>K21*2%</f>
      </c>
      <c r="N21" s="3">
        <f>M21*20%</f>
      </c>
      <c r="O21" s="3">
        <v>0</v>
      </c>
      <c r="P21" s="3">
        <f>O21*20%</f>
      </c>
      <c r="Q21" s="3">
        <v>1</v>
      </c>
      <c r="R21" s="3">
        <f>L21+N21+P21</f>
      </c>
      <c r="S21" s="3">
        <f>I21-J21-K21-L21-M21-N21-O21-P21-Q21</f>
      </c>
      <c r="T21" s="3">
        <f>(S21-AB21)/G21*100</f>
      </c>
      <c r="U21" s="3">
        <f>J21-R21</f>
      </c>
      <c r="V21" t="s">
        <v>1</v>
      </c>
      <c r="W21" t="s">
        <v>90</v>
      </c>
      <c r="AC21" s="3">
        <f>S21-AB21</f>
      </c>
      <c r="AD21" t="s">
        <v>94</v>
      </c>
      <c r="AE21" t="s">
        <v>98</v>
      </c>
    </row>
    <row r="22" spans="1:31" x14ac:dyDescent="0.25">
      <c r="A22" s="7">
        <v>46231.5</v>
      </c>
      <c r="B22" t="s">
        <v>120</v>
      </c>
      <c r="C22" t="s">
        <v>1</v>
      </c>
      <c r="D22" s="8" t="s">
        <v>121</v>
      </c>
      <c r="E22" t="s">
        <v>63</v>
      </c>
      <c r="F22">
        <v>1</v>
      </c>
      <c r="G22" s="3">
        <v>100</v>
      </c>
      <c r="H22" s="3">
        <v>118</v>
      </c>
      <c r="I22" s="3">
        <f>H22-G22</f>
      </c>
      <c r="J22" s="3">
        <f>I22*16.67%</f>
      </c>
      <c r="K22" s="3">
        <f>H22/100*7</f>
      </c>
      <c r="L22" s="3">
        <f>K22*20%</f>
      </c>
      <c r="M22" s="3">
        <f>K22*2%</f>
      </c>
      <c r="N22" s="3">
        <f>M22*20%</f>
      </c>
      <c r="O22" s="3">
        <v>0</v>
      </c>
      <c r="P22" s="3">
        <f>O22*20%</f>
      </c>
      <c r="Q22" s="3">
        <v>1</v>
      </c>
      <c r="R22" s="3">
        <f>L22+N22+P22</f>
      </c>
      <c r="S22" s="3">
        <f>I22-J22-K22-L22-M22-N22-O22-P22-Q22</f>
      </c>
      <c r="T22" s="3">
        <f>(S22-AB22)/G22*100</f>
      </c>
      <c r="U22" s="3">
        <f>J22-R22</f>
      </c>
      <c r="V22" t="s">
        <v>1</v>
      </c>
      <c r="W22" t="s">
        <v>90</v>
      </c>
      <c r="AC22" s="3">
        <f>S22-AB22</f>
      </c>
      <c r="AD22" t="s">
        <v>94</v>
      </c>
      <c r="AE22" t="s">
        <v>104</v>
      </c>
    </row>
    <row r="23" spans="1:31" x14ac:dyDescent="0.25">
      <c r="A23" s="7">
        <v>46231.5</v>
      </c>
      <c r="B23" t="s">
        <v>122</v>
      </c>
      <c r="C23" t="s">
        <v>1</v>
      </c>
      <c r="D23" s="8" t="s">
        <v>123</v>
      </c>
      <c r="E23" t="s">
        <v>101</v>
      </c>
      <c r="F23">
        <v>1</v>
      </c>
      <c r="G23" s="3">
        <v>256</v>
      </c>
      <c r="H23" s="3">
        <v>366.08</v>
      </c>
      <c r="I23" s="3">
        <f>H23-G23</f>
      </c>
      <c r="J23" s="3">
        <f>I23*16.67%</f>
      </c>
      <c r="K23" s="3">
        <f>H23/100*7</f>
      </c>
      <c r="L23" s="3">
        <f>K23*20%</f>
      </c>
      <c r="M23" s="3">
        <f>K23*2%</f>
      </c>
      <c r="N23" s="3">
        <f>M23*20%</f>
      </c>
      <c r="O23" s="3">
        <v>0</v>
      </c>
      <c r="P23" s="3">
        <f>O23*20%</f>
      </c>
      <c r="Q23" s="3">
        <v>1</v>
      </c>
      <c r="R23" s="3">
        <f>L23+N23+P23</f>
      </c>
      <c r="S23" s="3">
        <f>I23-J23-K23-L23-M23-N23-O23-P23-Q23</f>
      </c>
      <c r="T23" s="3">
        <f>(S23-AB23)/G23*100</f>
      </c>
      <c r="U23" s="3">
        <f>J23-R23</f>
      </c>
      <c r="V23" t="s">
        <v>1</v>
      </c>
      <c r="W23" t="s">
        <v>124</v>
      </c>
      <c r="AC23" s="3">
        <f>S23-AB23</f>
      </c>
      <c r="AD23" t="s">
        <v>125</v>
      </c>
      <c r="AE23" t="s">
        <v>98</v>
      </c>
    </row>
    <row r="24" spans="1:31" x14ac:dyDescent="0.25">
      <c r="A24" s="7">
        <v>46231.5</v>
      </c>
      <c r="B24" t="s">
        <v>126</v>
      </c>
      <c r="C24" t="s">
        <v>1</v>
      </c>
      <c r="D24" s="8" t="s">
        <v>127</v>
      </c>
      <c r="E24" t="s">
        <v>57</v>
      </c>
      <c r="F24">
        <v>1</v>
      </c>
      <c r="G24" s="3">
        <v>538</v>
      </c>
      <c r="H24" s="3">
        <v>645.6</v>
      </c>
      <c r="I24" s="3">
        <f>H24-G24</f>
      </c>
      <c r="J24" s="3">
        <f>I24*16.67%</f>
      </c>
      <c r="K24" s="3">
        <f>H24/100*7</f>
      </c>
      <c r="L24" s="3">
        <f>K24*20%</f>
      </c>
      <c r="M24" s="3">
        <f>K24*2%</f>
      </c>
      <c r="N24" s="3">
        <f>M24*20%</f>
      </c>
      <c r="O24" s="3">
        <v>0</v>
      </c>
      <c r="P24" s="3">
        <f>O24*20%</f>
      </c>
      <c r="Q24" s="3">
        <v>1</v>
      </c>
      <c r="R24" s="3">
        <f>L24+N24+P24</f>
      </c>
      <c r="S24" s="3">
        <f>I24-J24-K24-L24-M24-N24-O24-P24-Q24</f>
      </c>
      <c r="T24" s="3">
        <f>(S24-AB24)/G24*100</f>
      </c>
      <c r="U24" s="3">
        <f>J24-R24</f>
      </c>
      <c r="V24" t="s">
        <v>1</v>
      </c>
      <c r="W24" t="s">
        <v>68</v>
      </c>
      <c r="AC24" s="3">
        <f>S24-AB24</f>
      </c>
      <c r="AD24" t="s">
        <v>59</v>
      </c>
      <c r="AE24" t="s">
        <v>74</v>
      </c>
    </row>
    <row r="25" spans="1:31" x14ac:dyDescent="0.25">
      <c r="A25" s="7">
        <v>46231.5</v>
      </c>
      <c r="B25" t="s">
        <v>128</v>
      </c>
      <c r="C25" t="s">
        <v>1</v>
      </c>
      <c r="D25" s="8" t="s">
        <v>129</v>
      </c>
      <c r="E25" t="s">
        <v>72</v>
      </c>
      <c r="F25">
        <v>1</v>
      </c>
      <c r="G25" s="3">
        <v>263</v>
      </c>
      <c r="H25" s="3">
        <v>310.34</v>
      </c>
      <c r="I25" s="3">
        <f>H25-G25</f>
      </c>
      <c r="J25" s="3">
        <f>I25*16.67%</f>
      </c>
      <c r="K25" s="3">
        <f>H25/100*7</f>
      </c>
      <c r="L25" s="3">
        <f>K25*20%</f>
      </c>
      <c r="M25" s="3">
        <f>K25*2%</f>
      </c>
      <c r="N25" s="3">
        <f>M25*20%</f>
      </c>
      <c r="O25" s="3">
        <v>0</v>
      </c>
      <c r="P25" s="3">
        <f>O25*20%</f>
      </c>
      <c r="Q25" s="3">
        <v>1</v>
      </c>
      <c r="R25" s="3">
        <f>L25+N25+P25</f>
      </c>
      <c r="S25" s="3">
        <f>I25-J25-K25-L25-M25-N25-O25-P25-Q25</f>
      </c>
      <c r="T25" s="3">
        <f>(S25-AB25)/G25*100</f>
      </c>
      <c r="U25" s="3">
        <f>J25-R25</f>
      </c>
      <c r="V25" t="s">
        <v>1</v>
      </c>
      <c r="W25" t="s">
        <v>130</v>
      </c>
      <c r="AC25" s="3">
        <f>S25-AB25</f>
      </c>
      <c r="AD25" t="s">
        <v>65</v>
      </c>
      <c r="AE25" t="s">
        <v>60</v>
      </c>
    </row>
    <row r="26" spans="1:31" x14ac:dyDescent="0.25">
      <c r="A26" s="7">
        <v>46231.5</v>
      </c>
      <c r="B26" t="s">
        <v>131</v>
      </c>
      <c r="C26" t="s">
        <v>1</v>
      </c>
      <c r="D26" s="8" t="s">
        <v>132</v>
      </c>
      <c r="E26" t="s">
        <v>77</v>
      </c>
      <c r="F26">
        <v>1</v>
      </c>
      <c r="G26" s="3">
        <v>102</v>
      </c>
      <c r="H26" s="3">
        <v>147.9</v>
      </c>
      <c r="I26" s="3">
        <f>H26-G26</f>
      </c>
      <c r="J26" s="3">
        <f>I26*16.67%</f>
      </c>
      <c r="K26" s="3">
        <f>H26/100*7</f>
      </c>
      <c r="L26" s="3">
        <f>K26*20%</f>
      </c>
      <c r="M26" s="3">
        <f>K26*2%</f>
      </c>
      <c r="N26" s="3">
        <f>M26*20%</f>
      </c>
      <c r="O26" s="3">
        <v>0</v>
      </c>
      <c r="P26" s="3">
        <f>O26*20%</f>
      </c>
      <c r="Q26" s="3">
        <v>1</v>
      </c>
      <c r="R26" s="3">
        <f>L26+N26+P26</f>
      </c>
      <c r="S26" s="3">
        <f>I26-J26-K26-L26-M26-N26-O26-P26-Q26</f>
      </c>
      <c r="T26" s="3">
        <f>(S26-AB26)/G26*100</f>
      </c>
      <c r="U26" s="3">
        <f>J26-R26</f>
      </c>
      <c r="V26" t="s">
        <v>1</v>
      </c>
      <c r="W26" t="s">
        <v>133</v>
      </c>
      <c r="AC26" s="3">
        <f>S26-AB26</f>
      </c>
      <c r="AD26" t="s">
        <v>65</v>
      </c>
      <c r="AE26" t="s">
        <v>104</v>
      </c>
    </row>
    <row r="27" spans="1:31" x14ac:dyDescent="0.25">
      <c r="A27" s="7">
        <v>46231.5</v>
      </c>
      <c r="B27" t="s">
        <v>134</v>
      </c>
      <c r="C27" t="s">
        <v>1</v>
      </c>
      <c r="D27" s="8" t="s">
        <v>135</v>
      </c>
      <c r="E27" t="s">
        <v>77</v>
      </c>
      <c r="F27">
        <v>1</v>
      </c>
      <c r="G27" s="3">
        <v>429</v>
      </c>
      <c r="H27" s="3">
        <v>596.31</v>
      </c>
      <c r="I27" s="3">
        <f>H27-G27</f>
      </c>
      <c r="J27" s="3">
        <f>I27*16.67%</f>
      </c>
      <c r="K27" s="3">
        <f>H27/100*7</f>
      </c>
      <c r="L27" s="3">
        <f>K27*20%</f>
      </c>
      <c r="M27" s="3">
        <f>K27*2%</f>
      </c>
      <c r="N27" s="3">
        <f>M27*20%</f>
      </c>
      <c r="O27" s="3">
        <v>0</v>
      </c>
      <c r="P27" s="3">
        <f>O27*20%</f>
      </c>
      <c r="Q27" s="3">
        <v>1</v>
      </c>
      <c r="R27" s="3">
        <f>L27+N27+P27</f>
      </c>
      <c r="S27" s="3">
        <f>I27-J27-K27-L27-M27-N27-O27-P27-Q27</f>
      </c>
      <c r="T27" s="3">
        <f>(S27-AB27)/G27*100</f>
      </c>
      <c r="U27" s="3">
        <f>J27-R27</f>
      </c>
      <c r="V27" t="s">
        <v>1</v>
      </c>
      <c r="W27" t="s">
        <v>58</v>
      </c>
      <c r="AC27" s="3">
        <f>S27-AB27</f>
      </c>
      <c r="AD27" t="s">
        <v>59</v>
      </c>
      <c r="AE27" t="s">
        <v>74</v>
      </c>
    </row>
    <row r="28" spans="1:31" x14ac:dyDescent="0.25">
      <c r="A28" s="7">
        <v>46231.5</v>
      </c>
      <c r="B28" t="s">
        <v>136</v>
      </c>
      <c r="C28" t="s">
        <v>1</v>
      </c>
      <c r="D28" s="8" t="s">
        <v>137</v>
      </c>
      <c r="E28" t="s">
        <v>101</v>
      </c>
      <c r="F28">
        <v>1</v>
      </c>
      <c r="G28" s="3">
        <v>318</v>
      </c>
      <c r="H28" s="3">
        <v>422.94</v>
      </c>
      <c r="I28" s="3">
        <f>H28-G28</f>
      </c>
      <c r="J28" s="3">
        <f>I28*16.67%</f>
      </c>
      <c r="K28" s="3">
        <f>H28/100*7</f>
      </c>
      <c r="L28" s="3">
        <f>K28*20%</f>
      </c>
      <c r="M28" s="3">
        <f>K28*2%</f>
      </c>
      <c r="N28" s="3">
        <f>M28*20%</f>
      </c>
      <c r="O28" s="3">
        <v>0</v>
      </c>
      <c r="P28" s="3">
        <f>O28*20%</f>
      </c>
      <c r="Q28" s="3">
        <v>1</v>
      </c>
      <c r="R28" s="3">
        <f>L28+N28+P28</f>
      </c>
      <c r="S28" s="3">
        <f>I28-J28-K28-L28-M28-N28-O28-P28-Q28</f>
      </c>
      <c r="T28" s="3">
        <f>(S28-AB28)/G28*100</f>
      </c>
      <c r="U28" s="3">
        <f>J28-R28</f>
      </c>
      <c r="V28" t="s">
        <v>1</v>
      </c>
      <c r="W28" t="s">
        <v>138</v>
      </c>
      <c r="AC28" s="3">
        <f>S28-AB28</f>
      </c>
      <c r="AD28" t="s">
        <v>59</v>
      </c>
      <c r="AE28" t="s">
        <v>74</v>
      </c>
    </row>
    <row r="29" spans="1:31" x14ac:dyDescent="0.25">
      <c r="A29" s="7">
        <v>46231.5</v>
      </c>
      <c r="B29" t="s">
        <v>139</v>
      </c>
      <c r="C29" t="s">
        <v>1</v>
      </c>
      <c r="D29" s="8" t="s">
        <v>140</v>
      </c>
      <c r="E29" t="s">
        <v>101</v>
      </c>
      <c r="F29">
        <v>1</v>
      </c>
      <c r="G29" s="3">
        <v>702</v>
      </c>
      <c r="H29" s="3">
        <v>940.68</v>
      </c>
      <c r="I29" s="3">
        <f>H29-G29</f>
      </c>
      <c r="J29" s="3">
        <f>I29*16.67%</f>
      </c>
      <c r="K29" s="3">
        <f>H29/100*7</f>
      </c>
      <c r="L29" s="3">
        <f>K29*20%</f>
      </c>
      <c r="M29" s="3">
        <f>K29*2%</f>
      </c>
      <c r="N29" s="3">
        <f>M29*20%</f>
      </c>
      <c r="O29" s="3">
        <v>0</v>
      </c>
      <c r="P29" s="3">
        <f>O29*20%</f>
      </c>
      <c r="Q29" s="3">
        <v>1</v>
      </c>
      <c r="R29" s="3">
        <f>L29+N29+P29</f>
      </c>
      <c r="S29" s="3">
        <f>I29-J29-K29-L29-M29-N29-O29-P29-Q29</f>
      </c>
      <c r="T29" s="3">
        <f>(S29-AB29)/G29*100</f>
      </c>
      <c r="U29" s="3">
        <f>J29-R29</f>
      </c>
      <c r="V29" t="s">
        <v>1</v>
      </c>
      <c r="W29" t="s">
        <v>83</v>
      </c>
      <c r="AC29" s="3">
        <f>S29-AB29</f>
      </c>
      <c r="AD29" t="s">
        <v>59</v>
      </c>
      <c r="AE29" t="s">
        <v>104</v>
      </c>
    </row>
    <row r="30" spans="1:31" x14ac:dyDescent="0.25">
      <c r="A30" s="7">
        <v>46231.5</v>
      </c>
      <c r="B30" t="s">
        <v>141</v>
      </c>
      <c r="C30" t="s">
        <v>1</v>
      </c>
      <c r="D30" s="8" t="s">
        <v>142</v>
      </c>
      <c r="E30" t="s">
        <v>57</v>
      </c>
      <c r="F30">
        <v>1</v>
      </c>
      <c r="G30" s="3">
        <v>291</v>
      </c>
      <c r="H30" s="3">
        <v>340.47</v>
      </c>
      <c r="I30" s="3">
        <f>H30-G30</f>
      </c>
      <c r="J30" s="3">
        <f>I30*16.67%</f>
      </c>
      <c r="K30" s="3">
        <f>H30/100*7</f>
      </c>
      <c r="L30" s="3">
        <f>K30*20%</f>
      </c>
      <c r="M30" s="3">
        <f>K30*2%</f>
      </c>
      <c r="N30" s="3">
        <f>M30*20%</f>
      </c>
      <c r="O30" s="3">
        <v>0</v>
      </c>
      <c r="P30" s="3">
        <f>O30*20%</f>
      </c>
      <c r="Q30" s="3">
        <v>1</v>
      </c>
      <c r="R30" s="3">
        <f>L30+N30+P30</f>
      </c>
      <c r="S30" s="3">
        <f>I30-J30-K30-L30-M30-N30-O30-P30-Q30</f>
      </c>
      <c r="T30" s="3">
        <f>(S30-AB30)/G30*100</f>
      </c>
      <c r="U30" s="3">
        <f>J30-R30</f>
      </c>
      <c r="V30" t="s">
        <v>1</v>
      </c>
      <c r="W30" t="s">
        <v>124</v>
      </c>
      <c r="AC30" s="3">
        <f>S30-AB30</f>
      </c>
      <c r="AD30" t="s">
        <v>125</v>
      </c>
      <c r="AE30" t="s">
        <v>60</v>
      </c>
    </row>
    <row r="31" spans="1:31" x14ac:dyDescent="0.25">
      <c r="A31" s="7">
        <v>46231.5</v>
      </c>
      <c r="B31" t="s">
        <v>143</v>
      </c>
      <c r="C31" t="s">
        <v>1</v>
      </c>
      <c r="D31" s="8" t="s">
        <v>144</v>
      </c>
      <c r="E31" t="s">
        <v>77</v>
      </c>
      <c r="F31">
        <v>1</v>
      </c>
      <c r="G31" s="3">
        <v>362</v>
      </c>
      <c r="H31" s="3">
        <v>517.66</v>
      </c>
      <c r="I31" s="3">
        <f>H31-G31</f>
      </c>
      <c r="J31" s="3">
        <f>I31*16.67%</f>
      </c>
      <c r="K31" s="3">
        <f>H31/100*7</f>
      </c>
      <c r="L31" s="3">
        <f>K31*20%</f>
      </c>
      <c r="M31" s="3">
        <f>K31*2%</f>
      </c>
      <c r="N31" s="3">
        <f>M31*20%</f>
      </c>
      <c r="O31" s="3">
        <v>0</v>
      </c>
      <c r="P31" s="3">
        <f>O31*20%</f>
      </c>
      <c r="Q31" s="3">
        <v>1</v>
      </c>
      <c r="R31" s="3">
        <f>L31+N31+P31</f>
      </c>
      <c r="S31" s="3">
        <f>I31-J31-K31-L31-M31-N31-O31-P31-Q31</f>
      </c>
      <c r="T31" s="3">
        <f>(S31-AB31)/G31*100</f>
      </c>
      <c r="U31" s="3">
        <f>J31-R31</f>
      </c>
      <c r="V31" t="s">
        <v>1</v>
      </c>
      <c r="W31" t="s">
        <v>138</v>
      </c>
      <c r="AC31" s="3">
        <f>S31-AB31</f>
      </c>
      <c r="AD31" t="s">
        <v>59</v>
      </c>
      <c r="AE31" t="s">
        <v>87</v>
      </c>
    </row>
    <row r="32" spans="1:31" x14ac:dyDescent="0.25">
      <c r="A32" s="7">
        <v>46231.5</v>
      </c>
      <c r="B32" t="s">
        <v>145</v>
      </c>
      <c r="C32" t="s">
        <v>1</v>
      </c>
      <c r="D32" s="8" t="s">
        <v>146</v>
      </c>
      <c r="E32" t="s">
        <v>57</v>
      </c>
      <c r="F32">
        <v>1</v>
      </c>
      <c r="G32" s="3">
        <v>276</v>
      </c>
      <c r="H32" s="3">
        <v>364.32</v>
      </c>
      <c r="I32" s="3">
        <f>H32-G32</f>
      </c>
      <c r="J32" s="3">
        <f>I32*16.67%</f>
      </c>
      <c r="K32" s="3">
        <f>H32/100*7</f>
      </c>
      <c r="L32" s="3">
        <f>K32*20%</f>
      </c>
      <c r="M32" s="3">
        <f>K32*2%</f>
      </c>
      <c r="N32" s="3">
        <f>M32*20%</f>
      </c>
      <c r="O32" s="3">
        <v>0</v>
      </c>
      <c r="P32" s="3">
        <f>O32*20%</f>
      </c>
      <c r="Q32" s="3">
        <v>1</v>
      </c>
      <c r="R32" s="3">
        <f>L32+N32+P32</f>
      </c>
      <c r="S32" s="3">
        <f>I32-J32-K32-L32-M32-N32-O32-P32-Q32</f>
      </c>
      <c r="T32" s="3">
        <f>(S32-AB32)/G32*100</f>
      </c>
      <c r="U32" s="3">
        <f>J32-R32</f>
      </c>
      <c r="V32" t="s">
        <v>1</v>
      </c>
      <c r="W32" t="s">
        <v>130</v>
      </c>
      <c r="AC32" s="3">
        <f>S32-AB32</f>
      </c>
      <c r="AD32" t="s">
        <v>59</v>
      </c>
      <c r="AE32" t="s">
        <v>104</v>
      </c>
    </row>
    <row r="33" spans="1:31" x14ac:dyDescent="0.25">
      <c r="A33" s="7">
        <v>46231.5</v>
      </c>
      <c r="B33" t="s">
        <v>147</v>
      </c>
      <c r="C33" t="s">
        <v>1</v>
      </c>
      <c r="D33" s="8" t="s">
        <v>148</v>
      </c>
      <c r="E33" t="s">
        <v>77</v>
      </c>
      <c r="F33">
        <v>1</v>
      </c>
      <c r="G33" s="3">
        <v>338</v>
      </c>
      <c r="H33" s="3">
        <v>388.7</v>
      </c>
      <c r="I33" s="3">
        <f>H33-G33</f>
      </c>
      <c r="J33" s="3">
        <f>I33*16.67%</f>
      </c>
      <c r="K33" s="3">
        <f>H33/100*7</f>
      </c>
      <c r="L33" s="3">
        <f>K33*20%</f>
      </c>
      <c r="M33" s="3">
        <f>K33*2%</f>
      </c>
      <c r="N33" s="3">
        <f>M33*20%</f>
      </c>
      <c r="O33" s="3">
        <v>0</v>
      </c>
      <c r="P33" s="3">
        <f>O33*20%</f>
      </c>
      <c r="Q33" s="3">
        <v>1</v>
      </c>
      <c r="R33" s="3">
        <f>L33+N33+P33</f>
      </c>
      <c r="S33" s="3">
        <f>I33-J33-K33-L33-M33-N33-O33-P33-Q33</f>
      </c>
      <c r="T33" s="3">
        <f>(S33-AB33)/G33*100</f>
      </c>
      <c r="U33" s="3">
        <f>J33-R33</f>
      </c>
      <c r="V33" t="s">
        <v>1</v>
      </c>
      <c r="W33" t="s">
        <v>130</v>
      </c>
      <c r="AC33" s="3">
        <f>S33-AB33</f>
      </c>
      <c r="AD33" t="s">
        <v>65</v>
      </c>
      <c r="AE33" t="s">
        <v>104</v>
      </c>
    </row>
    <row r="34" spans="1:31" x14ac:dyDescent="0.25">
      <c r="A34" s="7">
        <v>46231.5</v>
      </c>
      <c r="B34" t="s">
        <v>149</v>
      </c>
      <c r="C34" t="s">
        <v>1</v>
      </c>
      <c r="D34" s="8" t="s">
        <v>150</v>
      </c>
      <c r="E34" t="s">
        <v>57</v>
      </c>
      <c r="F34">
        <v>1</v>
      </c>
      <c r="G34" s="3">
        <v>722</v>
      </c>
      <c r="H34" s="3">
        <v>953.04</v>
      </c>
      <c r="I34" s="3">
        <f>H34-G34</f>
      </c>
      <c r="J34" s="3">
        <f>I34*16.67%</f>
      </c>
      <c r="K34" s="3">
        <f>H34/100*7</f>
      </c>
      <c r="L34" s="3">
        <f>K34*20%</f>
      </c>
      <c r="M34" s="3">
        <f>K34*2%</f>
      </c>
      <c r="N34" s="3">
        <f>M34*20%</f>
      </c>
      <c r="O34" s="3">
        <v>0</v>
      </c>
      <c r="P34" s="3">
        <f>O34*20%</f>
      </c>
      <c r="Q34" s="3">
        <v>1</v>
      </c>
      <c r="R34" s="3">
        <f>L34+N34+P34</f>
      </c>
      <c r="S34" s="3">
        <f>I34-J34-K34-L34-M34-N34-O34-P34-Q34</f>
      </c>
      <c r="T34" s="3">
        <f>(S34-AB34)/G34*100</f>
      </c>
      <c r="U34" s="3">
        <f>J34-R34</f>
      </c>
      <c r="V34" t="s">
        <v>1</v>
      </c>
      <c r="W34" t="s">
        <v>83</v>
      </c>
      <c r="AC34" s="3">
        <f>S34-AB34</f>
      </c>
      <c r="AD34" t="s">
        <v>59</v>
      </c>
      <c r="AE34" t="s">
        <v>74</v>
      </c>
    </row>
    <row r="35" spans="1:31" x14ac:dyDescent="0.25">
      <c r="A35" s="7">
        <v>46231.5</v>
      </c>
      <c r="B35" t="s">
        <v>151</v>
      </c>
      <c r="C35" t="s">
        <v>1</v>
      </c>
      <c r="D35" s="8" t="s">
        <v>152</v>
      </c>
      <c r="E35" t="s">
        <v>72</v>
      </c>
      <c r="F35">
        <v>1</v>
      </c>
      <c r="G35" s="3">
        <v>271</v>
      </c>
      <c r="H35" s="3">
        <v>371.27</v>
      </c>
      <c r="I35" s="3">
        <f>H35-G35</f>
      </c>
      <c r="J35" s="3">
        <f>I35*16.67%</f>
      </c>
      <c r="K35" s="3">
        <f>H35/100*7</f>
      </c>
      <c r="L35" s="3">
        <f>K35*20%</f>
      </c>
      <c r="M35" s="3">
        <f>K35*2%</f>
      </c>
      <c r="N35" s="3">
        <f>M35*20%</f>
      </c>
      <c r="O35" s="3">
        <v>0</v>
      </c>
      <c r="P35" s="3">
        <f>O35*20%</f>
      </c>
      <c r="Q35" s="3">
        <v>1</v>
      </c>
      <c r="R35" s="3">
        <f>L35+N35+P35</f>
      </c>
      <c r="S35" s="3">
        <f>I35-J35-K35-L35-M35-N35-O35-P35-Q35</f>
      </c>
      <c r="T35" s="3">
        <f>(S35-AB35)/G35*100</f>
      </c>
      <c r="U35" s="3">
        <f>J35-R35</f>
      </c>
      <c r="V35" t="s">
        <v>1</v>
      </c>
      <c r="W35" t="s">
        <v>130</v>
      </c>
      <c r="AC35" s="3">
        <f>S35-AB35</f>
      </c>
      <c r="AD35" t="s">
        <v>59</v>
      </c>
      <c r="AE35" t="s">
        <v>98</v>
      </c>
    </row>
    <row r="36" spans="1:31" x14ac:dyDescent="0.25">
      <c r="A36" s="7">
        <v>46231.5</v>
      </c>
      <c r="B36" t="s">
        <v>153</v>
      </c>
      <c r="C36" t="s">
        <v>1</v>
      </c>
      <c r="D36" s="8" t="s">
        <v>154</v>
      </c>
      <c r="E36" t="s">
        <v>72</v>
      </c>
      <c r="F36">
        <v>1</v>
      </c>
      <c r="G36" s="3">
        <v>139</v>
      </c>
      <c r="H36" s="3">
        <v>191.82</v>
      </c>
      <c r="I36" s="3">
        <f>H36-G36</f>
      </c>
      <c r="J36" s="3">
        <f>I36*16.67%</f>
      </c>
      <c r="K36" s="3">
        <f>H36/100*7</f>
      </c>
      <c r="L36" s="3">
        <f>K36*20%</f>
      </c>
      <c r="M36" s="3">
        <f>K36*2%</f>
      </c>
      <c r="N36" s="3">
        <f>M36*20%</f>
      </c>
      <c r="O36" s="3">
        <v>0</v>
      </c>
      <c r="P36" s="3">
        <f>O36*20%</f>
      </c>
      <c r="Q36" s="3">
        <v>1</v>
      </c>
      <c r="R36" s="3">
        <f>L36+N36+P36</f>
      </c>
      <c r="S36" s="3">
        <f>I36-J36-K36-L36-M36-N36-O36-P36-Q36</f>
      </c>
      <c r="T36" s="3">
        <f>(S36-AB36)/G36*100</f>
      </c>
      <c r="U36" s="3">
        <f>J36-R36</f>
      </c>
      <c r="V36" t="s">
        <v>1</v>
      </c>
      <c r="W36" t="s">
        <v>133</v>
      </c>
      <c r="AC36" s="3">
        <f>S36-AB36</f>
      </c>
      <c r="AD36" t="s">
        <v>65</v>
      </c>
      <c r="AE36" t="s">
        <v>60</v>
      </c>
    </row>
    <row r="37" spans="1:31" x14ac:dyDescent="0.25">
      <c r="A37" s="7">
        <v>46231.5</v>
      </c>
      <c r="B37" t="s">
        <v>155</v>
      </c>
      <c r="C37" t="s">
        <v>1</v>
      </c>
      <c r="D37" s="8" t="s">
        <v>156</v>
      </c>
      <c r="E37" t="s">
        <v>63</v>
      </c>
      <c r="F37">
        <v>1</v>
      </c>
      <c r="G37" s="3">
        <v>486</v>
      </c>
      <c r="H37" s="3">
        <v>690.12</v>
      </c>
      <c r="I37" s="3">
        <f>H37-G37</f>
      </c>
      <c r="J37" s="3">
        <f>I37*16.67%</f>
      </c>
      <c r="K37" s="3">
        <f>H37/100*7</f>
      </c>
      <c r="L37" s="3">
        <f>K37*20%</f>
      </c>
      <c r="M37" s="3">
        <f>K37*2%</f>
      </c>
      <c r="N37" s="3">
        <f>M37*20%</f>
      </c>
      <c r="O37" s="3">
        <v>0</v>
      </c>
      <c r="P37" s="3">
        <f>O37*20%</f>
      </c>
      <c r="Q37" s="3">
        <v>1</v>
      </c>
      <c r="R37" s="3">
        <f>L37+N37+P37</f>
      </c>
      <c r="S37" s="3">
        <f>I37-J37-K37-L37-M37-N37-O37-P37-Q37</f>
      </c>
      <c r="T37" s="3">
        <f>(S37-AB37)/G37*100</f>
      </c>
      <c r="U37" s="3">
        <f>J37-R37</f>
      </c>
      <c r="V37" t="s">
        <v>1</v>
      </c>
      <c r="W37" t="s">
        <v>68</v>
      </c>
      <c r="AC37" s="3">
        <f>S37-AB37</f>
      </c>
      <c r="AD37" t="s">
        <v>59</v>
      </c>
      <c r="AE37" t="s">
        <v>69</v>
      </c>
    </row>
    <row r="38" spans="1:31" x14ac:dyDescent="0.25">
      <c r="A38" s="7">
        <v>46231.5</v>
      </c>
      <c r="B38" t="s">
        <v>157</v>
      </c>
      <c r="C38" t="s">
        <v>1</v>
      </c>
      <c r="D38" s="8" t="s">
        <v>158</v>
      </c>
      <c r="E38" t="s">
        <v>57</v>
      </c>
      <c r="F38">
        <v>1</v>
      </c>
      <c r="G38" s="3">
        <v>732</v>
      </c>
      <c r="H38" s="3">
        <v>1032.12</v>
      </c>
      <c r="I38" s="3">
        <f>H38-G38</f>
      </c>
      <c r="J38" s="3">
        <f>I38*16.67%</f>
      </c>
      <c r="K38" s="3">
        <f>H38/100*7</f>
      </c>
      <c r="L38" s="3">
        <f>K38*20%</f>
      </c>
      <c r="M38" s="3">
        <f>K38*2%</f>
      </c>
      <c r="N38" s="3">
        <f>M38*20%</f>
      </c>
      <c r="O38" s="3">
        <v>0</v>
      </c>
      <c r="P38" s="3">
        <f>O38*20%</f>
      </c>
      <c r="Q38" s="3">
        <v>1</v>
      </c>
      <c r="R38" s="3">
        <f>L38+N38+P38</f>
      </c>
      <c r="S38" s="3">
        <f>I38-J38-K38-L38-M38-N38-O38-P38-Q38</f>
      </c>
      <c r="T38" s="3">
        <f>(S38-AB38)/G38*100</f>
      </c>
      <c r="U38" s="3">
        <f>J38-R38</f>
      </c>
      <c r="V38" t="s">
        <v>1</v>
      </c>
      <c r="W38" t="s">
        <v>83</v>
      </c>
      <c r="AC38" s="3">
        <f>S38-AB38</f>
      </c>
      <c r="AD38" t="s">
        <v>59</v>
      </c>
      <c r="AE38" t="s">
        <v>98</v>
      </c>
    </row>
    <row r="39" spans="1:31" x14ac:dyDescent="0.25">
      <c r="A39" s="7">
        <v>46231.5</v>
      </c>
      <c r="B39" t="s">
        <v>159</v>
      </c>
      <c r="C39" t="s">
        <v>1</v>
      </c>
      <c r="D39" s="8" t="s">
        <v>160</v>
      </c>
      <c r="E39" t="s">
        <v>63</v>
      </c>
      <c r="F39">
        <v>1</v>
      </c>
      <c r="G39" s="3">
        <v>241</v>
      </c>
      <c r="H39" s="3">
        <v>344.63</v>
      </c>
      <c r="I39" s="3">
        <f>H39-G39</f>
      </c>
      <c r="J39" s="3">
        <f>I39*16.67%</f>
      </c>
      <c r="K39" s="3">
        <f>H39/100*7</f>
      </c>
      <c r="L39" s="3">
        <f>K39*20%</f>
      </c>
      <c r="M39" s="3">
        <f>K39*2%</f>
      </c>
      <c r="N39" s="3">
        <f>M39*20%</f>
      </c>
      <c r="O39" s="3">
        <v>0</v>
      </c>
      <c r="P39" s="3">
        <f>O39*20%</f>
      </c>
      <c r="Q39" s="3">
        <v>1</v>
      </c>
      <c r="R39" s="3">
        <f>L39+N39+P39</f>
      </c>
      <c r="S39" s="3">
        <f>I39-J39-K39-L39-M39-N39-O39-P39-Q39</f>
      </c>
      <c r="T39" s="3">
        <f>(S39-AB39)/G39*100</f>
      </c>
      <c r="U39" s="3">
        <f>J39-R39</f>
      </c>
      <c r="V39" t="s">
        <v>1</v>
      </c>
      <c r="W39" t="s">
        <v>113</v>
      </c>
      <c r="AC39" s="3">
        <f>S39-AB39</f>
      </c>
      <c r="AD39" t="s">
        <v>59</v>
      </c>
      <c r="AE39" t="s">
        <v>69</v>
      </c>
    </row>
    <row r="40" spans="1:31" x14ac:dyDescent="0.25">
      <c r="A40" s="7">
        <v>46231.5</v>
      </c>
      <c r="B40" t="s">
        <v>161</v>
      </c>
      <c r="C40" t="s">
        <v>1</v>
      </c>
      <c r="D40" s="8" t="s">
        <v>162</v>
      </c>
      <c r="E40" t="s">
        <v>77</v>
      </c>
      <c r="F40">
        <v>1</v>
      </c>
      <c r="G40" s="3">
        <v>259</v>
      </c>
      <c r="H40" s="3">
        <v>336.7</v>
      </c>
      <c r="I40" s="3">
        <f>H40-G40</f>
      </c>
      <c r="J40" s="3">
        <f>I40*16.67%</f>
      </c>
      <c r="K40" s="3">
        <f>H40/100*7</f>
      </c>
      <c r="L40" s="3">
        <f>K40*20%</f>
      </c>
      <c r="M40" s="3">
        <f>K40*2%</f>
      </c>
      <c r="N40" s="3">
        <f>M40*20%</f>
      </c>
      <c r="O40" s="3">
        <v>0</v>
      </c>
      <c r="P40" s="3">
        <f>O40*20%</f>
      </c>
      <c r="Q40" s="3">
        <v>1</v>
      </c>
      <c r="R40" s="3">
        <f>L40+N40+P40</f>
      </c>
      <c r="S40" s="3">
        <f>I40-J40-K40-L40-M40-N40-O40-P40-Q40</f>
      </c>
      <c r="T40" s="3">
        <f>(S40-AB40)/G40*100</f>
      </c>
      <c r="U40" s="3">
        <f>J40-R40</f>
      </c>
      <c r="V40" t="s">
        <v>1</v>
      </c>
      <c r="W40" t="s">
        <v>64</v>
      </c>
      <c r="AC40" s="3">
        <f>S40-AB40</f>
      </c>
      <c r="AD40" t="s">
        <v>65</v>
      </c>
      <c r="AE40" t="s">
        <v>69</v>
      </c>
    </row>
    <row r="41" spans="1:31" x14ac:dyDescent="0.25">
      <c r="A41" s="7">
        <v>46231.5</v>
      </c>
      <c r="B41" t="s">
        <v>163</v>
      </c>
      <c r="C41" t="s">
        <v>1</v>
      </c>
      <c r="D41" s="8" t="s">
        <v>164</v>
      </c>
      <c r="E41" t="s">
        <v>72</v>
      </c>
      <c r="F41">
        <v>1</v>
      </c>
      <c r="G41" s="3">
        <v>488</v>
      </c>
      <c r="H41" s="3">
        <v>634.4</v>
      </c>
      <c r="I41" s="3">
        <f>H41-G41</f>
      </c>
      <c r="J41" s="3">
        <f>I41*16.67%</f>
      </c>
      <c r="K41" s="3">
        <f>H41/100*7</f>
      </c>
      <c r="L41" s="3">
        <f>K41*20%</f>
      </c>
      <c r="M41" s="3">
        <f>K41*2%</f>
      </c>
      <c r="N41" s="3">
        <f>M41*20%</f>
      </c>
      <c r="O41" s="3">
        <v>0</v>
      </c>
      <c r="P41" s="3">
        <f>O41*20%</f>
      </c>
      <c r="Q41" s="3">
        <v>1</v>
      </c>
      <c r="R41" s="3">
        <f>L41+N41+P41</f>
      </c>
      <c r="S41" s="3">
        <f>I41-J41-K41-L41-M41-N41-O41-P41-Q41</f>
      </c>
      <c r="T41" s="3">
        <f>(S41-AB41)/G41*100</f>
      </c>
      <c r="U41" s="3">
        <f>J41-R41</f>
      </c>
      <c r="V41" t="s">
        <v>1</v>
      </c>
      <c r="W41" t="s">
        <v>68</v>
      </c>
      <c r="AC41" s="3">
        <f>S41-AB41</f>
      </c>
      <c r="AD41" t="s">
        <v>59</v>
      </c>
      <c r="AE41" t="s">
        <v>104</v>
      </c>
    </row>
    <row r="42" spans="1:31" x14ac:dyDescent="0.25">
      <c r="A42" s="7">
        <v>46231.5</v>
      </c>
      <c r="B42" t="s">
        <v>165</v>
      </c>
      <c r="C42" t="s">
        <v>1</v>
      </c>
      <c r="D42" s="8" t="s">
        <v>166</v>
      </c>
      <c r="E42" t="s">
        <v>72</v>
      </c>
      <c r="F42">
        <v>1</v>
      </c>
      <c r="G42" s="3">
        <v>376</v>
      </c>
      <c r="H42" s="3">
        <v>537.68</v>
      </c>
      <c r="I42" s="3">
        <f>H42-G42</f>
      </c>
      <c r="J42" s="3">
        <f>I42*16.67%</f>
      </c>
      <c r="K42" s="3">
        <f>H42/100*7</f>
      </c>
      <c r="L42" s="3">
        <f>K42*20%</f>
      </c>
      <c r="M42" s="3">
        <f>K42*2%</f>
      </c>
      <c r="N42" s="3">
        <f>M42*20%</f>
      </c>
      <c r="O42" s="3">
        <v>0</v>
      </c>
      <c r="P42" s="3">
        <f>O42*20%</f>
      </c>
      <c r="Q42" s="3">
        <v>1</v>
      </c>
      <c r="R42" s="3">
        <f>L42+N42+P42</f>
      </c>
      <c r="S42" s="3">
        <f>I42-J42-K42-L42-M42-N42-O42-P42-Q42</f>
      </c>
      <c r="T42" s="3">
        <f>(S42-AB42)/G42*100</f>
      </c>
      <c r="U42" s="3">
        <f>J42-R42</f>
      </c>
      <c r="V42" t="s">
        <v>1</v>
      </c>
      <c r="W42" t="s">
        <v>138</v>
      </c>
      <c r="AC42" s="3">
        <f>S42-AB42</f>
      </c>
      <c r="AD42" t="s">
        <v>59</v>
      </c>
      <c r="AE42" t="s">
        <v>69</v>
      </c>
    </row>
    <row r="43" spans="1:31" x14ac:dyDescent="0.25">
      <c r="A43" s="7">
        <v>46231.5</v>
      </c>
      <c r="B43" t="s">
        <v>167</v>
      </c>
      <c r="C43" t="s">
        <v>1</v>
      </c>
      <c r="D43" s="8" t="s">
        <v>168</v>
      </c>
      <c r="E43" t="s">
        <v>101</v>
      </c>
      <c r="F43">
        <v>1</v>
      </c>
      <c r="G43" s="3">
        <v>258</v>
      </c>
      <c r="H43" s="3">
        <v>358.62</v>
      </c>
      <c r="I43" s="3">
        <f>H43-G43</f>
      </c>
      <c r="J43" s="3">
        <f>I43*16.67%</f>
      </c>
      <c r="K43" s="3">
        <f>H43/100*7</f>
      </c>
      <c r="L43" s="3">
        <f>K43*20%</f>
      </c>
      <c r="M43" s="3">
        <f>K43*2%</f>
      </c>
      <c r="N43" s="3">
        <f>M43*20%</f>
      </c>
      <c r="O43" s="3">
        <v>0</v>
      </c>
      <c r="P43" s="3">
        <f>O43*20%</f>
      </c>
      <c r="Q43" s="3">
        <v>1</v>
      </c>
      <c r="R43" s="3">
        <f>L43+N43+P43</f>
      </c>
      <c r="S43" s="3">
        <f>I43-J43-K43-L43-M43-N43-O43-P43-Q43</f>
      </c>
      <c r="T43" s="3">
        <f>(S43-AB43)/G43*100</f>
      </c>
      <c r="U43" s="3">
        <f>J43-R43</f>
      </c>
      <c r="V43" t="s">
        <v>1</v>
      </c>
      <c r="W43" t="s">
        <v>64</v>
      </c>
      <c r="AC43" s="3">
        <f>S43-AB43</f>
      </c>
      <c r="AD43" t="s">
        <v>65</v>
      </c>
      <c r="AE43" t="s">
        <v>104</v>
      </c>
    </row>
    <row r="44" spans="1:31" x14ac:dyDescent="0.25">
      <c r="A44" s="7">
        <v>46231.5</v>
      </c>
      <c r="B44" t="s">
        <v>169</v>
      </c>
      <c r="C44" t="s">
        <v>1</v>
      </c>
      <c r="D44" s="8" t="s">
        <v>170</v>
      </c>
      <c r="E44" t="s">
        <v>101</v>
      </c>
      <c r="F44">
        <v>1</v>
      </c>
      <c r="G44" s="3">
        <v>175</v>
      </c>
      <c r="H44" s="3">
        <v>225.75</v>
      </c>
      <c r="I44" s="3">
        <f>H44-G44</f>
      </c>
      <c r="J44" s="3">
        <f>I44*16.67%</f>
      </c>
      <c r="K44" s="3">
        <f>H44/100*7</f>
      </c>
      <c r="L44" s="3">
        <f>K44*20%</f>
      </c>
      <c r="M44" s="3">
        <f>K44*2%</f>
      </c>
      <c r="N44" s="3">
        <f>M44*20%</f>
      </c>
      <c r="O44" s="3">
        <v>0</v>
      </c>
      <c r="P44" s="3">
        <f>O44*20%</f>
      </c>
      <c r="Q44" s="3">
        <v>1</v>
      </c>
      <c r="R44" s="3">
        <f>L44+N44+P44</f>
      </c>
      <c r="S44" s="3">
        <f>I44-J44-K44-L44-M44-N44-O44-P44-Q44</f>
      </c>
      <c r="T44" s="3">
        <f>(S44-AB44)/G44*100</f>
      </c>
      <c r="U44" s="3">
        <f>J44-R44</f>
      </c>
      <c r="V44" t="s">
        <v>1</v>
      </c>
      <c r="W44" t="s">
        <v>171</v>
      </c>
      <c r="AC44" s="3">
        <f>S44-AB44</f>
      </c>
      <c r="AD44" t="s">
        <v>65</v>
      </c>
      <c r="AE44" t="s">
        <v>98</v>
      </c>
    </row>
    <row r="45" spans="1:31" x14ac:dyDescent="0.25">
      <c r="A45" s="7">
        <v>46231.5</v>
      </c>
      <c r="B45" t="s">
        <v>172</v>
      </c>
      <c r="C45" t="s">
        <v>173</v>
      </c>
      <c r="D45" s="8" t="s">
        <v>1</v>
      </c>
      <c r="E45" t="s">
        <v>63</v>
      </c>
      <c r="F45">
        <v>3</v>
      </c>
      <c r="G45" s="3">
        <v>12.75</v>
      </c>
      <c r="H45" s="3">
        <v>15.04</v>
      </c>
      <c r="I45" s="3">
        <f>H45-G45</f>
      </c>
      <c r="J45" s="3">
        <f>I45*16.67%</f>
      </c>
      <c r="K45" s="3">
        <f>H45/100*7</f>
      </c>
      <c r="L45" s="3">
        <f>K45*20%</f>
      </c>
      <c r="M45" s="3">
        <f>K45*2%</f>
      </c>
      <c r="N45" s="3">
        <f>M45*20%</f>
      </c>
      <c r="O45" s="3">
        <v>0</v>
      </c>
      <c r="P45" s="3">
        <f>O45*20%</f>
      </c>
      <c r="Q45" s="3">
        <v>1</v>
      </c>
      <c r="R45" s="3">
        <f>L45+N45+P45</f>
      </c>
      <c r="S45" s="3">
        <f>I45-J45-K45-L45-M45-N45-O45-P45-Q45</f>
      </c>
      <c r="T45" s="3">
        <f>(S45-AB45)/G45*100</f>
      </c>
      <c r="U45" s="3">
        <f>J45-R45</f>
      </c>
      <c r="V45" t="s">
        <v>1</v>
      </c>
      <c r="W45" t="s">
        <v>173</v>
      </c>
      <c r="AC45" s="3">
        <f>S45-AB45</f>
      </c>
      <c r="AD45" t="s">
        <v>1</v>
      </c>
      <c r="AE45" t="s">
        <v>1</v>
      </c>
    </row>
    <row r="46" spans="1:31" x14ac:dyDescent="0.25">
      <c r="A46" s="7">
        <v>46231.5</v>
      </c>
      <c r="B46" t="s">
        <v>174</v>
      </c>
      <c r="C46" t="s">
        <v>173</v>
      </c>
      <c r="D46" s="8" t="s">
        <v>1</v>
      </c>
      <c r="E46" t="s">
        <v>63</v>
      </c>
      <c r="F46">
        <v>1</v>
      </c>
      <c r="G46" s="3">
        <v>4.25</v>
      </c>
      <c r="H46" s="3">
        <v>5.4</v>
      </c>
      <c r="I46" s="3">
        <f>H46-G46</f>
      </c>
      <c r="J46" s="3">
        <f>I46*16.67%</f>
      </c>
      <c r="K46" s="3">
        <f>H46/100*7</f>
      </c>
      <c r="L46" s="3">
        <f>K46*20%</f>
      </c>
      <c r="M46" s="3">
        <f>K46*2%</f>
      </c>
      <c r="N46" s="3">
        <f>M46*20%</f>
      </c>
      <c r="O46" s="3">
        <v>0</v>
      </c>
      <c r="P46" s="3">
        <f>O46*20%</f>
      </c>
      <c r="Q46" s="3">
        <v>1</v>
      </c>
      <c r="R46" s="3">
        <f>L46+N46+P46</f>
      </c>
      <c r="S46" s="3">
        <f>I46-J46-K46-L46-M46-N46-O46-P46-Q46</f>
      </c>
      <c r="T46" s="3">
        <f>(S46-AB46)/G46*100</f>
      </c>
      <c r="U46" s="3">
        <f>J46-R46</f>
      </c>
      <c r="V46" t="s">
        <v>1</v>
      </c>
      <c r="W46" t="s">
        <v>173</v>
      </c>
      <c r="AC46" s="3">
        <f>S46-AB46</f>
      </c>
      <c r="AD46" t="s">
        <v>1</v>
      </c>
      <c r="AE46" t="s">
        <v>1</v>
      </c>
    </row>
    <row r="47" spans="1:31" x14ac:dyDescent="0.25">
      <c r="A47" s="7">
        <v>46231.5</v>
      </c>
      <c r="B47" t="s">
        <v>175</v>
      </c>
      <c r="C47" t="s">
        <v>176</v>
      </c>
      <c r="D47" s="8" t="s">
        <v>1</v>
      </c>
      <c r="E47" t="s">
        <v>77</v>
      </c>
      <c r="F47">
        <v>2</v>
      </c>
      <c r="G47" s="3">
        <v>0.3</v>
      </c>
      <c r="H47" s="3">
        <v>0.4</v>
      </c>
      <c r="I47" s="3">
        <f>H47-G47</f>
      </c>
      <c r="J47" s="3">
        <f>I47*16.67%</f>
      </c>
      <c r="K47" s="3">
        <f>H47/100*7</f>
      </c>
      <c r="L47" s="3">
        <f>K47*20%</f>
      </c>
      <c r="M47" s="3">
        <f>K47*2%</f>
      </c>
      <c r="N47" s="3">
        <f>M47*20%</f>
      </c>
      <c r="O47" s="3">
        <v>0</v>
      </c>
      <c r="P47" s="3">
        <f>O47*20%</f>
      </c>
      <c r="Q47" s="3">
        <v>1</v>
      </c>
      <c r="R47" s="3">
        <f>L47+N47+P47</f>
      </c>
      <c r="S47" s="3">
        <f>I47-J47-K47-L47-M47-N47-O47-P47-Q47</f>
      </c>
      <c r="T47" s="3">
        <f>(S47-AB47)/G47*100</f>
      </c>
      <c r="U47" s="3">
        <f>J47-R47</f>
      </c>
      <c r="V47" t="s">
        <v>1</v>
      </c>
      <c r="W47" t="s">
        <v>176</v>
      </c>
      <c r="AC47" s="3">
        <f>S47-AB47</f>
      </c>
      <c r="AD47" t="s">
        <v>1</v>
      </c>
      <c r="AE47" t="s">
        <v>1</v>
      </c>
    </row>
    <row r="48" spans="1:31" x14ac:dyDescent="0.25">
      <c r="A48" s="7">
        <v>46231.5</v>
      </c>
      <c r="B48" t="s">
        <v>177</v>
      </c>
      <c r="C48" t="s">
        <v>176</v>
      </c>
      <c r="D48" s="8" t="s">
        <v>1</v>
      </c>
      <c r="E48" t="s">
        <v>77</v>
      </c>
      <c r="F48">
        <v>2</v>
      </c>
      <c r="G48" s="3">
        <v>0.3</v>
      </c>
      <c r="H48" s="3">
        <v>0.41</v>
      </c>
      <c r="I48" s="3">
        <f>H48-G48</f>
      </c>
      <c r="J48" s="3">
        <f>I48*16.67%</f>
      </c>
      <c r="K48" s="3">
        <f>H48/100*7</f>
      </c>
      <c r="L48" s="3">
        <f>K48*20%</f>
      </c>
      <c r="M48" s="3">
        <f>K48*2%</f>
      </c>
      <c r="N48" s="3">
        <f>M48*20%</f>
      </c>
      <c r="O48" s="3">
        <v>0</v>
      </c>
      <c r="P48" s="3">
        <f>O48*20%</f>
      </c>
      <c r="Q48" s="3">
        <v>1</v>
      </c>
      <c r="R48" s="3">
        <f>L48+N48+P48</f>
      </c>
      <c r="S48" s="3">
        <f>I48-J48-K48-L48-M48-N48-O48-P48-Q48</f>
      </c>
      <c r="T48" s="3">
        <f>(S48-AB48)/G48*100</f>
      </c>
      <c r="U48" s="3">
        <f>J48-R48</f>
      </c>
      <c r="V48" t="s">
        <v>1</v>
      </c>
      <c r="W48" t="s">
        <v>176</v>
      </c>
      <c r="AC48" s="3">
        <f>S48-AB48</f>
      </c>
      <c r="AD48" t="s">
        <v>1</v>
      </c>
      <c r="AE48" t="s">
        <v>1</v>
      </c>
    </row>
    <row r="49" spans="1:31" x14ac:dyDescent="0.25">
      <c r="A49" s="7">
        <v>46231.5</v>
      </c>
      <c r="B49" t="s">
        <v>178</v>
      </c>
      <c r="C49" t="s">
        <v>176</v>
      </c>
      <c r="D49" s="8" t="s">
        <v>1</v>
      </c>
      <c r="E49" t="s">
        <v>77</v>
      </c>
      <c r="F49">
        <v>1</v>
      </c>
      <c r="G49" s="3">
        <v>0.15</v>
      </c>
      <c r="H49" s="3">
        <v>0.19</v>
      </c>
      <c r="I49" s="3">
        <f>H49-G49</f>
      </c>
      <c r="J49" s="3">
        <f>I49*16.67%</f>
      </c>
      <c r="K49" s="3">
        <f>H49/100*7</f>
      </c>
      <c r="L49" s="3">
        <f>K49*20%</f>
      </c>
      <c r="M49" s="3">
        <f>K49*2%</f>
      </c>
      <c r="N49" s="3">
        <f>M49*20%</f>
      </c>
      <c r="O49" s="3">
        <v>0</v>
      </c>
      <c r="P49" s="3">
        <f>O49*20%</f>
      </c>
      <c r="Q49" s="3">
        <v>1</v>
      </c>
      <c r="R49" s="3">
        <f>L49+N49+P49</f>
      </c>
      <c r="S49" s="3">
        <f>I49-J49-K49-L49-M49-N49-O49-P49-Q49</f>
      </c>
      <c r="T49" s="3">
        <f>(S49-AB49)/G49*100</f>
      </c>
      <c r="U49" s="3">
        <f>J49-R49</f>
      </c>
      <c r="V49" t="s">
        <v>1</v>
      </c>
      <c r="W49" t="s">
        <v>176</v>
      </c>
      <c r="AC49" s="3">
        <f>S49-AB49</f>
      </c>
      <c r="AD49" t="s">
        <v>1</v>
      </c>
      <c r="AE49" t="s">
        <v>1</v>
      </c>
    </row>
    <row r="50" spans="1:31" x14ac:dyDescent="0.25">
      <c r="A50" s="7">
        <v>46231.5</v>
      </c>
      <c r="B50" t="s">
        <v>179</v>
      </c>
      <c r="C50" t="s">
        <v>176</v>
      </c>
      <c r="D50" s="8" t="s">
        <v>1</v>
      </c>
      <c r="E50" t="s">
        <v>77</v>
      </c>
      <c r="F50">
        <v>2</v>
      </c>
      <c r="G50" s="3">
        <v>0.3</v>
      </c>
      <c r="H50" s="3">
        <v>0.4</v>
      </c>
      <c r="I50" s="3">
        <f>H50-G50</f>
      </c>
      <c r="J50" s="3">
        <f>I50*16.67%</f>
      </c>
      <c r="K50" s="3">
        <f>H50/100*7</f>
      </c>
      <c r="L50" s="3">
        <f>K50*20%</f>
      </c>
      <c r="M50" s="3">
        <f>K50*2%</f>
      </c>
      <c r="N50" s="3">
        <f>M50*20%</f>
      </c>
      <c r="O50" s="3">
        <v>0</v>
      </c>
      <c r="P50" s="3">
        <f>O50*20%</f>
      </c>
      <c r="Q50" s="3">
        <v>1</v>
      </c>
      <c r="R50" s="3">
        <f>L50+N50+P50</f>
      </c>
      <c r="S50" s="3">
        <f>I50-J50-K50-L50-M50-N50-O50-P50-Q50</f>
      </c>
      <c r="T50" s="3">
        <f>(S50-AB50)/G50*100</f>
      </c>
      <c r="U50" s="3">
        <f>J50-R50</f>
      </c>
      <c r="V50" t="s">
        <v>1</v>
      </c>
      <c r="W50" t="s">
        <v>176</v>
      </c>
      <c r="AC50" s="3">
        <f>S50-AB50</f>
      </c>
      <c r="AD50" t="s">
        <v>1</v>
      </c>
      <c r="AE50" t="s">
        <v>1</v>
      </c>
    </row>
    <row r="51" spans="1:31" x14ac:dyDescent="0.25">
      <c r="A51" s="7">
        <v>46231.5</v>
      </c>
      <c r="B51" t="s">
        <v>180</v>
      </c>
      <c r="C51" t="s">
        <v>181</v>
      </c>
      <c r="D51" s="8" t="s">
        <v>1</v>
      </c>
      <c r="E51" t="s">
        <v>72</v>
      </c>
      <c r="F51">
        <v>1</v>
      </c>
      <c r="G51" s="3">
        <v>1.9</v>
      </c>
      <c r="H51" s="3">
        <v>2.74</v>
      </c>
      <c r="I51" s="3">
        <f>H51-G51</f>
      </c>
      <c r="J51" s="3">
        <f>I51*16.67%</f>
      </c>
      <c r="K51" s="3">
        <f>H51/100*7</f>
      </c>
      <c r="L51" s="3">
        <f>K51*20%</f>
      </c>
      <c r="M51" s="3">
        <f>K51*2%</f>
      </c>
      <c r="N51" s="3">
        <f>M51*20%</f>
      </c>
      <c r="O51" s="3">
        <v>0</v>
      </c>
      <c r="P51" s="3">
        <f>O51*20%</f>
      </c>
      <c r="Q51" s="3">
        <v>1</v>
      </c>
      <c r="R51" s="3">
        <f>L51+N51+P51</f>
      </c>
      <c r="S51" s="3">
        <f>I51-J51-K51-L51-M51-N51-O51-P51-Q51</f>
      </c>
      <c r="T51" s="3">
        <f>(S51-AB51)/G51*100</f>
      </c>
      <c r="U51" s="3">
        <f>J51-R51</f>
      </c>
      <c r="V51" t="s">
        <v>1</v>
      </c>
      <c r="W51" t="s">
        <v>181</v>
      </c>
      <c r="AC51" s="3">
        <f>S51-AB51</f>
      </c>
      <c r="AD51" t="s">
        <v>1</v>
      </c>
      <c r="AE51" t="s">
        <v>1</v>
      </c>
    </row>
    <row r="52" spans="1:31" x14ac:dyDescent="0.25">
      <c r="A52" s="7">
        <v>46231.5</v>
      </c>
      <c r="B52" t="s">
        <v>182</v>
      </c>
      <c r="C52" t="s">
        <v>181</v>
      </c>
      <c r="D52" s="8" t="s">
        <v>1</v>
      </c>
      <c r="E52" t="s">
        <v>72</v>
      </c>
      <c r="F52">
        <v>4</v>
      </c>
      <c r="G52" s="3">
        <v>7.6</v>
      </c>
      <c r="H52" s="3">
        <v>10.72</v>
      </c>
      <c r="I52" s="3">
        <f>H52-G52</f>
      </c>
      <c r="J52" s="3">
        <f>I52*16.67%</f>
      </c>
      <c r="K52" s="3">
        <f>H52/100*7</f>
      </c>
      <c r="L52" s="3">
        <f>K52*20%</f>
      </c>
      <c r="M52" s="3">
        <f>K52*2%</f>
      </c>
      <c r="N52" s="3">
        <f>M52*20%</f>
      </c>
      <c r="O52" s="3">
        <v>0</v>
      </c>
      <c r="P52" s="3">
        <f>O52*20%</f>
      </c>
      <c r="Q52" s="3">
        <v>1</v>
      </c>
      <c r="R52" s="3">
        <f>L52+N52+P52</f>
      </c>
      <c r="S52" s="3">
        <f>I52-J52-K52-L52-M52-N52-O52-P52-Q52</f>
      </c>
      <c r="T52" s="3">
        <f>(S52-AB52)/G52*100</f>
      </c>
      <c r="U52" s="3">
        <f>J52-R52</f>
      </c>
      <c r="V52" t="s">
        <v>1</v>
      </c>
      <c r="W52" t="s">
        <v>181</v>
      </c>
      <c r="AC52" s="3">
        <f>S52-AB52</f>
      </c>
      <c r="AD52" t="s">
        <v>1</v>
      </c>
      <c r="AE52" t="s">
        <v>1</v>
      </c>
    </row>
    <row r="53" spans="1:31" x14ac:dyDescent="0.25">
      <c r="A53" s="7">
        <v>46231.5</v>
      </c>
      <c r="B53" t="s">
        <v>183</v>
      </c>
      <c r="C53" t="s">
        <v>184</v>
      </c>
      <c r="D53" s="8" t="s">
        <v>1</v>
      </c>
      <c r="E53" t="s">
        <v>101</v>
      </c>
      <c r="F53">
        <v>3</v>
      </c>
      <c r="G53" s="3">
        <v>3.6</v>
      </c>
      <c r="H53" s="3">
        <v>4.18</v>
      </c>
      <c r="I53" s="3">
        <f>H53-G53</f>
      </c>
      <c r="J53" s="3">
        <f>I53*16.67%</f>
      </c>
      <c r="K53" s="3">
        <f>H53/100*7</f>
      </c>
      <c r="L53" s="3">
        <f>K53*20%</f>
      </c>
      <c r="M53" s="3">
        <f>K53*2%</f>
      </c>
      <c r="N53" s="3">
        <f>M53*20%</f>
      </c>
      <c r="O53" s="3">
        <v>0</v>
      </c>
      <c r="P53" s="3">
        <f>O53*20%</f>
      </c>
      <c r="Q53" s="3">
        <v>1</v>
      </c>
      <c r="R53" s="3">
        <f>L53+N53+P53</f>
      </c>
      <c r="S53" s="3">
        <f>I53-J53-K53-L53-M53-N53-O53-P53-Q53</f>
      </c>
      <c r="T53" s="3">
        <f>(S53-AB53)/G53*100</f>
      </c>
      <c r="U53" s="3">
        <f>J53-R53</f>
      </c>
      <c r="V53" t="s">
        <v>1</v>
      </c>
      <c r="W53" t="s">
        <v>184</v>
      </c>
      <c r="AC53" s="3">
        <f>S53-AB53</f>
      </c>
      <c r="AD53" t="s">
        <v>1</v>
      </c>
      <c r="AE53" t="s">
        <v>1</v>
      </c>
    </row>
    <row r="54" spans="1:31" x14ac:dyDescent="0.25">
      <c r="A54" s="7">
        <v>46231.5</v>
      </c>
      <c r="B54" t="s">
        <v>185</v>
      </c>
      <c r="C54" t="s">
        <v>1</v>
      </c>
      <c r="D54" s="8" t="s">
        <v>1</v>
      </c>
      <c r="E54" t="s">
        <v>72</v>
      </c>
      <c r="F54">
        <v>1</v>
      </c>
      <c r="G54" s="3">
        <v>553</v>
      </c>
      <c r="H54" s="3">
        <v>707.84</v>
      </c>
      <c r="I54" s="3">
        <f>H54-G54</f>
      </c>
      <c r="J54" s="3">
        <f>I54*16.67%</f>
      </c>
      <c r="K54" s="3">
        <f>H54/100*7</f>
      </c>
      <c r="L54" s="3">
        <f>K54*20%</f>
      </c>
      <c r="M54" s="3">
        <f>K54*2%</f>
      </c>
      <c r="N54" s="3">
        <f>M54*20%</f>
      </c>
      <c r="O54" s="3">
        <v>0</v>
      </c>
      <c r="P54" s="3">
        <f>O54*20%</f>
      </c>
      <c r="Q54" s="3">
        <v>1</v>
      </c>
      <c r="R54" s="3">
        <f>L54+N54+P54</f>
      </c>
      <c r="S54" s="3">
        <f>I54-J54-K54-L54-M54-N54-O54-P54-Q54</f>
      </c>
      <c r="T54" s="3">
        <f>(S54-AB54)/G54*100</f>
      </c>
      <c r="U54" s="3">
        <f>J54-R54</f>
      </c>
      <c r="V54" t="s">
        <v>1</v>
      </c>
      <c r="W54" t="s">
        <v>1</v>
      </c>
      <c r="AC54" s="3">
        <f>S54-AB54</f>
      </c>
      <c r="AD54" t="s">
        <v>1</v>
      </c>
      <c r="AE54" t="s">
        <v>1</v>
      </c>
    </row>
    <row r="55" spans="1:31" x14ac:dyDescent="0.25">
      <c r="A55" s="7">
        <v>46231.5</v>
      </c>
      <c r="B55" t="s">
        <v>186</v>
      </c>
      <c r="C55" t="s">
        <v>1</v>
      </c>
      <c r="D55" s="8" t="s">
        <v>1</v>
      </c>
      <c r="E55" t="s">
        <v>57</v>
      </c>
      <c r="F55">
        <v>1</v>
      </c>
      <c r="G55" s="3">
        <v>142</v>
      </c>
      <c r="H55" s="3">
        <v>181.76</v>
      </c>
      <c r="I55" s="3">
        <f>H55-G55</f>
      </c>
      <c r="J55" s="3">
        <f>I55*16.67%</f>
      </c>
      <c r="K55" s="3">
        <f>H55/100*7</f>
      </c>
      <c r="L55" s="3">
        <f>K55*20%</f>
      </c>
      <c r="M55" s="3">
        <f>K55*2%</f>
      </c>
      <c r="N55" s="3">
        <f>M55*20%</f>
      </c>
      <c r="O55" s="3">
        <v>0</v>
      </c>
      <c r="P55" s="3">
        <f>O55*20%</f>
      </c>
      <c r="Q55" s="3">
        <v>1</v>
      </c>
      <c r="R55" s="3">
        <f>L55+N55+P55</f>
      </c>
      <c r="S55" s="3">
        <f>I55-J55-K55-L55-M55-N55-O55-P55-Q55</f>
      </c>
      <c r="T55" s="3">
        <f>(S55-AB55)/G55*100</f>
      </c>
      <c r="U55" s="3">
        <f>J55-R55</f>
      </c>
      <c r="V55" t="s">
        <v>1</v>
      </c>
      <c r="W55" t="s">
        <v>1</v>
      </c>
      <c r="AC55" s="3">
        <f>S55-AB55</f>
      </c>
      <c r="AD55" t="s">
        <v>1</v>
      </c>
      <c r="AE55" t="s">
        <v>1</v>
      </c>
    </row>
    <row r="56" spans="1:31" x14ac:dyDescent="0.25">
      <c r="A56" s="7">
        <v>46229.5</v>
      </c>
      <c r="B56" t="s">
        <v>187</v>
      </c>
      <c r="C56" t="s">
        <v>188</v>
      </c>
      <c r="D56" s="8" t="s">
        <v>1</v>
      </c>
      <c r="E56" t="s">
        <v>63</v>
      </c>
      <c r="F56">
        <v>1</v>
      </c>
      <c r="G56" s="3">
        <v>3.5</v>
      </c>
      <c r="H56" s="3">
        <v>4.66</v>
      </c>
      <c r="I56" s="3">
        <f>H56-G56</f>
      </c>
      <c r="J56" s="3">
        <f>I56*16.67%</f>
      </c>
      <c r="K56" s="3">
        <f>H56/100*7</f>
      </c>
      <c r="L56" s="3">
        <f>K56*20%</f>
      </c>
      <c r="M56" s="3">
        <f>K56*2%</f>
      </c>
      <c r="N56" s="3">
        <f>M56*20%</f>
      </c>
      <c r="O56" s="3">
        <v>0</v>
      </c>
      <c r="P56" s="3">
        <f>O56*20%</f>
      </c>
      <c r="Q56" s="3">
        <v>1</v>
      </c>
      <c r="R56" s="3">
        <f>L56+N56+P56</f>
      </c>
      <c r="S56" s="3">
        <f>I56-J56-K56-L56-M56-N56-O56-P56-Q56</f>
      </c>
      <c r="T56" s="3">
        <f>(S56-AB56)/G56*100</f>
      </c>
      <c r="U56" s="3">
        <f>J56-R56</f>
      </c>
      <c r="V56" t="s">
        <v>1</v>
      </c>
      <c r="W56" t="s">
        <v>188</v>
      </c>
      <c r="AC56" s="3">
        <f>S56-AB56</f>
      </c>
      <c r="AD56" t="s">
        <v>1</v>
      </c>
      <c r="AE56" t="s">
        <v>1</v>
      </c>
    </row>
    <row r="57" spans="1:31" x14ac:dyDescent="0.25">
      <c r="A57" s="7">
        <v>46228.5</v>
      </c>
      <c r="B57" t="s">
        <v>189</v>
      </c>
      <c r="C57" t="s">
        <v>1</v>
      </c>
      <c r="D57" s="8" t="s">
        <v>190</v>
      </c>
      <c r="E57" t="s">
        <v>77</v>
      </c>
      <c r="F57">
        <v>1</v>
      </c>
      <c r="G57" s="3">
        <v>575</v>
      </c>
      <c r="H57" s="3">
        <v>782</v>
      </c>
      <c r="I57" s="3">
        <f>H57-G57</f>
      </c>
      <c r="J57" s="3">
        <f>I57*16.67%</f>
      </c>
      <c r="K57" s="3">
        <f>H57/100*7</f>
      </c>
      <c r="L57" s="3">
        <f>K57*20%</f>
      </c>
      <c r="M57" s="3">
        <f>K57*2%</f>
      </c>
      <c r="N57" s="3">
        <f>M57*20%</f>
      </c>
      <c r="O57" s="3">
        <v>0</v>
      </c>
      <c r="P57" s="3">
        <f>O57*20%</f>
      </c>
      <c r="Q57" s="3">
        <v>1</v>
      </c>
      <c r="R57" s="3">
        <f>L57+N57+P57</f>
      </c>
      <c r="S57" s="3">
        <f>I57-J57-K57-L57-M57-N57-O57-P57-Q57</f>
      </c>
      <c r="T57" s="3">
        <f>(S57-AB57)/G57*100</f>
      </c>
      <c r="U57" s="3">
        <f>J57-R57</f>
      </c>
      <c r="V57" t="s">
        <v>1</v>
      </c>
      <c r="W57" t="s">
        <v>80</v>
      </c>
      <c r="AC57" s="3">
        <f>S57-AB57</f>
      </c>
      <c r="AD57" t="s">
        <v>65</v>
      </c>
      <c r="AE57" t="s">
        <v>87</v>
      </c>
    </row>
    <row r="58" spans="1:31" x14ac:dyDescent="0.25">
      <c r="A58" s="7">
        <v>46228.5</v>
      </c>
      <c r="B58" t="s">
        <v>191</v>
      </c>
      <c r="C58" t="s">
        <v>1</v>
      </c>
      <c r="D58" s="8" t="s">
        <v>192</v>
      </c>
      <c r="E58" t="s">
        <v>77</v>
      </c>
      <c r="F58">
        <v>1</v>
      </c>
      <c r="G58" s="3">
        <v>61</v>
      </c>
      <c r="H58" s="3">
        <v>73.81</v>
      </c>
      <c r="I58" s="3">
        <f>H58-G58</f>
      </c>
      <c r="J58" s="3">
        <f>I58*16.67%</f>
      </c>
      <c r="K58" s="3">
        <f>H58/100*7</f>
      </c>
      <c r="L58" s="3">
        <f>K58*20%</f>
      </c>
      <c r="M58" s="3">
        <f>K58*2%</f>
      </c>
      <c r="N58" s="3">
        <f>M58*20%</f>
      </c>
      <c r="O58" s="3">
        <v>0</v>
      </c>
      <c r="P58" s="3">
        <f>O58*20%</f>
      </c>
      <c r="Q58" s="3">
        <v>1</v>
      </c>
      <c r="R58" s="3">
        <f>L58+N58+P58</f>
      </c>
      <c r="S58" s="3">
        <f>I58-J58-K58-L58-M58-N58-O58-P58-Q58</f>
      </c>
      <c r="T58" s="3">
        <f>(S58-AB58)/G58*100</f>
      </c>
      <c r="U58" s="3">
        <f>J58-R58</f>
      </c>
      <c r="V58" t="s">
        <v>1</v>
      </c>
      <c r="W58" t="s">
        <v>93</v>
      </c>
      <c r="AC58" s="3">
        <f>S58-AB58</f>
      </c>
      <c r="AD58" t="s">
        <v>94</v>
      </c>
      <c r="AE58" t="s">
        <v>60</v>
      </c>
    </row>
    <row r="59" spans="1:31" x14ac:dyDescent="0.25">
      <c r="A59" s="7">
        <v>46228.5</v>
      </c>
      <c r="B59" t="s">
        <v>193</v>
      </c>
      <c r="C59" t="s">
        <v>1</v>
      </c>
      <c r="D59" s="8" t="s">
        <v>194</v>
      </c>
      <c r="E59" t="s">
        <v>72</v>
      </c>
      <c r="F59">
        <v>1</v>
      </c>
      <c r="G59" s="3">
        <v>282</v>
      </c>
      <c r="H59" s="3">
        <v>383.52</v>
      </c>
      <c r="I59" s="3">
        <f>H59-G59</f>
      </c>
      <c r="J59" s="3">
        <f>I59*16.67%</f>
      </c>
      <c r="K59" s="3">
        <f>H59/100*7</f>
      </c>
      <c r="L59" s="3">
        <f>K59*20%</f>
      </c>
      <c r="M59" s="3">
        <f>K59*2%</f>
      </c>
      <c r="N59" s="3">
        <f>M59*20%</f>
      </c>
      <c r="O59" s="3">
        <v>0</v>
      </c>
      <c r="P59" s="3">
        <f>O59*20%</f>
      </c>
      <c r="Q59" s="3">
        <v>1</v>
      </c>
      <c r="R59" s="3">
        <f>L59+N59+P59</f>
      </c>
      <c r="S59" s="3">
        <f>I59-J59-K59-L59-M59-N59-O59-P59-Q59</f>
      </c>
      <c r="T59" s="3">
        <f>(S59-AB59)/G59*100</f>
      </c>
      <c r="U59" s="3">
        <f>J59-R59</f>
      </c>
      <c r="V59" t="s">
        <v>1</v>
      </c>
      <c r="W59" t="s">
        <v>124</v>
      </c>
      <c r="AC59" s="3">
        <f>S59-AB59</f>
      </c>
      <c r="AD59" t="s">
        <v>125</v>
      </c>
      <c r="AE59" t="s">
        <v>87</v>
      </c>
    </row>
    <row r="60" spans="1:31" x14ac:dyDescent="0.25">
      <c r="A60" s="7">
        <v>46228.5</v>
      </c>
      <c r="B60" t="s">
        <v>195</v>
      </c>
      <c r="C60" t="s">
        <v>1</v>
      </c>
      <c r="D60" s="8" t="s">
        <v>196</v>
      </c>
      <c r="E60" t="s">
        <v>57</v>
      </c>
      <c r="F60">
        <v>1</v>
      </c>
      <c r="G60" s="3">
        <v>347</v>
      </c>
      <c r="H60" s="3">
        <v>451.1</v>
      </c>
      <c r="I60" s="3">
        <f>H60-G60</f>
      </c>
      <c r="J60" s="3">
        <f>I60*16.67%</f>
      </c>
      <c r="K60" s="3">
        <f>H60/100*7</f>
      </c>
      <c r="L60" s="3">
        <f>K60*20%</f>
      </c>
      <c r="M60" s="3">
        <f>K60*2%</f>
      </c>
      <c r="N60" s="3">
        <f>M60*20%</f>
      </c>
      <c r="O60" s="3">
        <v>0</v>
      </c>
      <c r="P60" s="3">
        <f>O60*20%</f>
      </c>
      <c r="Q60" s="3">
        <v>1</v>
      </c>
      <c r="R60" s="3">
        <f>L60+N60+P60</f>
      </c>
      <c r="S60" s="3">
        <f>I60-J60-K60-L60-M60-N60-O60-P60-Q60</f>
      </c>
      <c r="T60" s="3">
        <f>(S60-AB60)/G60*100</f>
      </c>
      <c r="U60" s="3">
        <f>J60-R60</f>
      </c>
      <c r="V60" t="s">
        <v>1</v>
      </c>
      <c r="W60" t="s">
        <v>73</v>
      </c>
      <c r="AC60" s="3">
        <f>S60-AB60</f>
      </c>
      <c r="AD60" t="s">
        <v>59</v>
      </c>
      <c r="AE60" t="s">
        <v>104</v>
      </c>
    </row>
    <row r="61" spans="1:31" x14ac:dyDescent="0.25">
      <c r="A61" s="7">
        <v>46228.5</v>
      </c>
      <c r="B61" t="s">
        <v>197</v>
      </c>
      <c r="C61" t="s">
        <v>1</v>
      </c>
      <c r="D61" s="8" t="s">
        <v>198</v>
      </c>
      <c r="E61" t="s">
        <v>72</v>
      </c>
      <c r="F61">
        <v>1</v>
      </c>
      <c r="G61" s="3">
        <v>109</v>
      </c>
      <c r="H61" s="3">
        <v>149.33</v>
      </c>
      <c r="I61" s="3">
        <f>H61-G61</f>
      </c>
      <c r="J61" s="3">
        <f>I61*16.67%</f>
      </c>
      <c r="K61" s="3">
        <f>H61/100*7</f>
      </c>
      <c r="L61" s="3">
        <f>K61*20%</f>
      </c>
      <c r="M61" s="3">
        <f>K61*2%</f>
      </c>
      <c r="N61" s="3">
        <f>M61*20%</f>
      </c>
      <c r="O61" s="3">
        <v>0</v>
      </c>
      <c r="P61" s="3">
        <f>O61*20%</f>
      </c>
      <c r="Q61" s="3">
        <v>1</v>
      </c>
      <c r="R61" s="3">
        <f>L61+N61+P61</f>
      </c>
      <c r="S61" s="3">
        <f>I61-J61-K61-L61-M61-N61-O61-P61-Q61</f>
      </c>
      <c r="T61" s="3">
        <f>(S61-AB61)/G61*100</f>
      </c>
      <c r="U61" s="3">
        <f>J61-R61</f>
      </c>
      <c r="V61" t="s">
        <v>1</v>
      </c>
      <c r="W61" t="s">
        <v>133</v>
      </c>
      <c r="AC61" s="3">
        <f>S61-AB61</f>
      </c>
      <c r="AD61" t="s">
        <v>94</v>
      </c>
      <c r="AE61" t="s">
        <v>98</v>
      </c>
    </row>
    <row r="62" spans="1:31" x14ac:dyDescent="0.25">
      <c r="A62" s="7">
        <v>46228.5</v>
      </c>
      <c r="B62" t="s">
        <v>199</v>
      </c>
      <c r="C62" t="s">
        <v>173</v>
      </c>
      <c r="D62" s="8" t="s">
        <v>1</v>
      </c>
      <c r="E62" t="s">
        <v>63</v>
      </c>
      <c r="F62">
        <v>2</v>
      </c>
      <c r="G62" s="3">
        <v>8.5</v>
      </c>
      <c r="H62" s="3">
        <v>11.56</v>
      </c>
      <c r="I62" s="3">
        <f>H62-G62</f>
      </c>
      <c r="J62" s="3">
        <f>I62*16.67%</f>
      </c>
      <c r="K62" s="3">
        <f>H62/100*7</f>
      </c>
      <c r="L62" s="3">
        <f>K62*20%</f>
      </c>
      <c r="M62" s="3">
        <f>K62*2%</f>
      </c>
      <c r="N62" s="3">
        <f>M62*20%</f>
      </c>
      <c r="O62" s="3">
        <v>0</v>
      </c>
      <c r="P62" s="3">
        <f>O62*20%</f>
      </c>
      <c r="Q62" s="3">
        <v>1</v>
      </c>
      <c r="R62" s="3">
        <f>L62+N62+P62</f>
      </c>
      <c r="S62" s="3">
        <f>I62-J62-K62-L62-M62-N62-O62-P62-Q62</f>
      </c>
      <c r="T62" s="3">
        <f>(S62-AB62)/G62*100</f>
      </c>
      <c r="U62" s="3">
        <f>J62-R62</f>
      </c>
      <c r="V62" t="s">
        <v>1</v>
      </c>
      <c r="W62" t="s">
        <v>173</v>
      </c>
      <c r="AC62" s="3">
        <f>S62-AB62</f>
      </c>
      <c r="AD62" t="s">
        <v>1</v>
      </c>
      <c r="AE62" t="s">
        <v>1</v>
      </c>
    </row>
    <row r="63" spans="1:31" x14ac:dyDescent="0.25">
      <c r="A63" s="7">
        <v>46227.5</v>
      </c>
      <c r="B63" t="s">
        <v>200</v>
      </c>
      <c r="C63" t="s">
        <v>1</v>
      </c>
      <c r="D63" s="8" t="s">
        <v>201</v>
      </c>
      <c r="E63" t="s">
        <v>63</v>
      </c>
      <c r="F63">
        <v>1</v>
      </c>
      <c r="G63" s="3">
        <v>280</v>
      </c>
      <c r="H63" s="3">
        <v>338.8</v>
      </c>
      <c r="I63" s="3">
        <f>H63-G63</f>
      </c>
      <c r="J63" s="3">
        <f>I63*16.67%</f>
      </c>
      <c r="K63" s="3">
        <f>H63/100*7</f>
      </c>
      <c r="L63" s="3">
        <f>K63*20%</f>
      </c>
      <c r="M63" s="3">
        <f>K63*2%</f>
      </c>
      <c r="N63" s="3">
        <f>M63*20%</f>
      </c>
      <c r="O63" s="3">
        <v>0</v>
      </c>
      <c r="P63" s="3">
        <f>O63*20%</f>
      </c>
      <c r="Q63" s="3">
        <v>1</v>
      </c>
      <c r="R63" s="3">
        <f>L63+N63+P63</f>
      </c>
      <c r="S63" s="3">
        <f>I63-J63-K63-L63-M63-N63-O63-P63-Q63</f>
      </c>
      <c r="T63" s="3">
        <f>(S63-AB63)/G63*100</f>
      </c>
      <c r="U63" s="3">
        <f>J63-R63</f>
      </c>
      <c r="V63" t="s">
        <v>1</v>
      </c>
      <c r="W63" t="s">
        <v>97</v>
      </c>
      <c r="AC63" s="3">
        <f>S63-AB63</f>
      </c>
      <c r="AD63" t="s">
        <v>65</v>
      </c>
      <c r="AE63" t="s">
        <v>104</v>
      </c>
    </row>
    <row r="64" spans="1:31" x14ac:dyDescent="0.25">
      <c r="A64" s="7">
        <v>46227.5</v>
      </c>
      <c r="B64" t="s">
        <v>202</v>
      </c>
      <c r="C64" t="s">
        <v>1</v>
      </c>
      <c r="D64" s="8" t="s">
        <v>203</v>
      </c>
      <c r="E64" t="s">
        <v>101</v>
      </c>
      <c r="F64">
        <v>1</v>
      </c>
      <c r="G64" s="3">
        <v>463</v>
      </c>
      <c r="H64" s="3">
        <v>560.23</v>
      </c>
      <c r="I64" s="3">
        <f>H64-G64</f>
      </c>
      <c r="J64" s="3">
        <f>I64*16.67%</f>
      </c>
      <c r="K64" s="3">
        <f>H64/100*7</f>
      </c>
      <c r="L64" s="3">
        <f>K64*20%</f>
      </c>
      <c r="M64" s="3">
        <f>K64*2%</f>
      </c>
      <c r="N64" s="3">
        <f>M64*20%</f>
      </c>
      <c r="O64" s="3">
        <v>0</v>
      </c>
      <c r="P64" s="3">
        <f>O64*20%</f>
      </c>
      <c r="Q64" s="3">
        <v>1</v>
      </c>
      <c r="R64" s="3">
        <f>L64+N64+P64</f>
      </c>
      <c r="S64" s="3">
        <f>I64-J64-K64-L64-M64-N64-O64-P64-Q64</f>
      </c>
      <c r="T64" s="3">
        <f>(S64-AB64)/G64*100</f>
      </c>
      <c r="U64" s="3">
        <f>J64-R64</f>
      </c>
      <c r="V64" t="s">
        <v>1</v>
      </c>
      <c r="W64" t="s">
        <v>58</v>
      </c>
      <c r="AC64" s="3">
        <f>S64-AB64</f>
      </c>
      <c r="AD64" t="s">
        <v>59</v>
      </c>
      <c r="AE64" t="s">
        <v>98</v>
      </c>
    </row>
    <row r="65" spans="1:31" x14ac:dyDescent="0.25">
      <c r="A65" s="7">
        <v>46227.5</v>
      </c>
      <c r="B65" t="s">
        <v>204</v>
      </c>
      <c r="C65" t="s">
        <v>1</v>
      </c>
      <c r="D65" s="8" t="s">
        <v>205</v>
      </c>
      <c r="E65" t="s">
        <v>63</v>
      </c>
      <c r="F65">
        <v>1</v>
      </c>
      <c r="G65" s="3">
        <v>139</v>
      </c>
      <c r="H65" s="3">
        <v>187.65</v>
      </c>
      <c r="I65" s="3">
        <f>H65-G65</f>
      </c>
      <c r="J65" s="3">
        <f>I65*16.67%</f>
      </c>
      <c r="K65" s="3">
        <f>H65/100*7</f>
      </c>
      <c r="L65" s="3">
        <f>K65*20%</f>
      </c>
      <c r="M65" s="3">
        <f>K65*2%</f>
      </c>
      <c r="N65" s="3">
        <f>M65*20%</f>
      </c>
      <c r="O65" s="3">
        <v>0</v>
      </c>
      <c r="P65" s="3">
        <f>O65*20%</f>
      </c>
      <c r="Q65" s="3">
        <v>1</v>
      </c>
      <c r="R65" s="3">
        <f>L65+N65+P65</f>
      </c>
      <c r="S65" s="3">
        <f>I65-J65-K65-L65-M65-N65-O65-P65-Q65</f>
      </c>
      <c r="T65" s="3">
        <f>(S65-AB65)/G65*100</f>
      </c>
      <c r="U65" s="3">
        <f>J65-R65</f>
      </c>
      <c r="V65" t="s">
        <v>1</v>
      </c>
      <c r="W65" t="s">
        <v>133</v>
      </c>
      <c r="AC65" s="3">
        <f>S65-AB65</f>
      </c>
      <c r="AD65" t="s">
        <v>94</v>
      </c>
      <c r="AE65" t="s">
        <v>84</v>
      </c>
    </row>
    <row r="66" spans="1:31" x14ac:dyDescent="0.25">
      <c r="A66" s="7">
        <v>46227.5</v>
      </c>
      <c r="B66" t="s">
        <v>206</v>
      </c>
      <c r="C66" t="s">
        <v>1</v>
      </c>
      <c r="D66" s="8" t="s">
        <v>207</v>
      </c>
      <c r="E66" t="s">
        <v>77</v>
      </c>
      <c r="F66">
        <v>1</v>
      </c>
      <c r="G66" s="3">
        <v>722</v>
      </c>
      <c r="H66" s="3">
        <v>1018.02</v>
      </c>
      <c r="I66" s="3">
        <f>H66-G66</f>
      </c>
      <c r="J66" s="3">
        <f>I66*16.67%</f>
      </c>
      <c r="K66" s="3">
        <f>H66/100*7</f>
      </c>
      <c r="L66" s="3">
        <f>K66*20%</f>
      </c>
      <c r="M66" s="3">
        <f>K66*2%</f>
      </c>
      <c r="N66" s="3">
        <f>M66*20%</f>
      </c>
      <c r="O66" s="3">
        <v>0</v>
      </c>
      <c r="P66" s="3">
        <f>O66*20%</f>
      </c>
      <c r="Q66" s="3">
        <v>1</v>
      </c>
      <c r="R66" s="3">
        <f>L66+N66+P66</f>
      </c>
      <c r="S66" s="3">
        <f>I66-J66-K66-L66-M66-N66-O66-P66-Q66</f>
      </c>
      <c r="T66" s="3">
        <f>(S66-AB66)/G66*100</f>
      </c>
      <c r="U66" s="3">
        <f>J66-R66</f>
      </c>
      <c r="V66" t="s">
        <v>1</v>
      </c>
      <c r="W66" t="s">
        <v>83</v>
      </c>
      <c r="AC66" s="3">
        <f>S66-AB66</f>
      </c>
      <c r="AD66" t="s">
        <v>59</v>
      </c>
      <c r="AE66" t="s">
        <v>84</v>
      </c>
    </row>
    <row r="67" spans="1:31" x14ac:dyDescent="0.25">
      <c r="A67" s="7">
        <v>46227.5</v>
      </c>
      <c r="B67" t="s">
        <v>208</v>
      </c>
      <c r="C67" t="s">
        <v>1</v>
      </c>
      <c r="D67" s="8" t="s">
        <v>209</v>
      </c>
      <c r="E67" t="s">
        <v>72</v>
      </c>
      <c r="F67">
        <v>1</v>
      </c>
      <c r="G67" s="3">
        <v>60</v>
      </c>
      <c r="H67" s="3">
        <v>72</v>
      </c>
      <c r="I67" s="3">
        <f>H67-G67</f>
      </c>
      <c r="J67" s="3">
        <f>I67*16.67%</f>
      </c>
      <c r="K67" s="3">
        <f>H67/100*7</f>
      </c>
      <c r="L67" s="3">
        <f>K67*20%</f>
      </c>
      <c r="M67" s="3">
        <f>K67*2%</f>
      </c>
      <c r="N67" s="3">
        <f>M67*20%</f>
      </c>
      <c r="O67" s="3">
        <v>0</v>
      </c>
      <c r="P67" s="3">
        <f>O67*20%</f>
      </c>
      <c r="Q67" s="3">
        <v>1</v>
      </c>
      <c r="R67" s="3">
        <f>L67+N67+P67</f>
      </c>
      <c r="S67" s="3">
        <f>I67-J67-K67-L67-M67-N67-O67-P67-Q67</f>
      </c>
      <c r="T67" s="3">
        <f>(S67-AB67)/G67*100</f>
      </c>
      <c r="U67" s="3">
        <f>J67-R67</f>
      </c>
      <c r="V67" t="s">
        <v>1</v>
      </c>
      <c r="W67" t="s">
        <v>93</v>
      </c>
      <c r="AC67" s="3">
        <f>S67-AB67</f>
      </c>
      <c r="AD67" t="s">
        <v>94</v>
      </c>
      <c r="AE67" t="s">
        <v>60</v>
      </c>
    </row>
    <row r="68" spans="1:31" x14ac:dyDescent="0.25">
      <c r="A68" s="7">
        <v>46227.5</v>
      </c>
      <c r="B68" t="s">
        <v>210</v>
      </c>
      <c r="C68" t="s">
        <v>1</v>
      </c>
      <c r="D68" s="8" t="s">
        <v>1</v>
      </c>
      <c r="E68" t="s">
        <v>57</v>
      </c>
      <c r="F68">
        <v>1</v>
      </c>
      <c r="G68" s="3">
        <v>533</v>
      </c>
      <c r="H68" s="3">
        <v>644.93</v>
      </c>
      <c r="I68" s="3">
        <f>H68-G68</f>
      </c>
      <c r="J68" s="3">
        <f>I68*16.67%</f>
      </c>
      <c r="K68" s="3">
        <f>H68/100*7</f>
      </c>
      <c r="L68" s="3">
        <f>K68*20%</f>
      </c>
      <c r="M68" s="3">
        <f>K68*2%</f>
      </c>
      <c r="N68" s="3">
        <f>M68*20%</f>
      </c>
      <c r="O68" s="3">
        <v>0</v>
      </c>
      <c r="P68" s="3">
        <f>O68*20%</f>
      </c>
      <c r="Q68" s="3">
        <v>1</v>
      </c>
      <c r="R68" s="3">
        <f>L68+N68+P68</f>
      </c>
      <c r="S68" s="3">
        <f>I68-J68-K68-L68-M68-N68-O68-P68-Q68</f>
      </c>
      <c r="T68" s="3">
        <f>(S68-AB68)/G68*100</f>
      </c>
      <c r="U68" s="3">
        <f>J68-R68</f>
      </c>
      <c r="V68" t="s">
        <v>1</v>
      </c>
      <c r="W68" t="s">
        <v>1</v>
      </c>
      <c r="AC68" s="3">
        <f>S68-AB68</f>
      </c>
      <c r="AD68" t="s">
        <v>1</v>
      </c>
      <c r="AE68" t="s">
        <v>1</v>
      </c>
    </row>
    <row r="69" spans="1:31" x14ac:dyDescent="0.25">
      <c r="A69" s="7">
        <v>46226.5</v>
      </c>
      <c r="B69" t="s">
        <v>211</v>
      </c>
      <c r="C69" t="s">
        <v>1</v>
      </c>
      <c r="D69" s="8" t="s">
        <v>212</v>
      </c>
      <c r="E69" t="s">
        <v>101</v>
      </c>
      <c r="F69">
        <v>1</v>
      </c>
      <c r="G69" s="3">
        <v>465</v>
      </c>
      <c r="H69" s="3">
        <v>539.4</v>
      </c>
      <c r="I69" s="3">
        <f>H69-G69</f>
      </c>
      <c r="J69" s="3">
        <f>I69*16.67%</f>
      </c>
      <c r="K69" s="3">
        <f>H69/100*7</f>
      </c>
      <c r="L69" s="3">
        <f>K69*20%</f>
      </c>
      <c r="M69" s="3">
        <f>K69*2%</f>
      </c>
      <c r="N69" s="3">
        <f>M69*20%</f>
      </c>
      <c r="O69" s="3">
        <v>0</v>
      </c>
      <c r="P69" s="3">
        <f>O69*20%</f>
      </c>
      <c r="Q69" s="3">
        <v>1</v>
      </c>
      <c r="R69" s="3">
        <f>L69+N69+P69</f>
      </c>
      <c r="S69" s="3">
        <f>I69-J69-K69-L69-M69-N69-O69-P69-Q69</f>
      </c>
      <c r="T69" s="3">
        <f>(S69-AB69)/G69*100</f>
      </c>
      <c r="U69" s="3">
        <f>J69-R69</f>
      </c>
      <c r="V69" t="s">
        <v>1</v>
      </c>
      <c r="W69" t="s">
        <v>58</v>
      </c>
      <c r="AC69" s="3">
        <f>S69-AB69</f>
      </c>
      <c r="AD69" t="s">
        <v>59</v>
      </c>
      <c r="AE69" t="s">
        <v>69</v>
      </c>
    </row>
    <row r="70" spans="1:31" x14ac:dyDescent="0.25">
      <c r="A70" s="7">
        <v>46226.5</v>
      </c>
      <c r="B70" t="s">
        <v>213</v>
      </c>
      <c r="C70" t="s">
        <v>1</v>
      </c>
      <c r="D70" s="8" t="s">
        <v>214</v>
      </c>
      <c r="E70" t="s">
        <v>101</v>
      </c>
      <c r="F70">
        <v>1</v>
      </c>
      <c r="G70" s="3">
        <v>573</v>
      </c>
      <c r="H70" s="3">
        <v>750.63</v>
      </c>
      <c r="I70" s="3">
        <f>H70-G70</f>
      </c>
      <c r="J70" s="3">
        <f>I70*16.67%</f>
      </c>
      <c r="K70" s="3">
        <f>H70/100*7</f>
      </c>
      <c r="L70" s="3">
        <f>K70*20%</f>
      </c>
      <c r="M70" s="3">
        <f>K70*2%</f>
      </c>
      <c r="N70" s="3">
        <f>M70*20%</f>
      </c>
      <c r="O70" s="3">
        <v>0</v>
      </c>
      <c r="P70" s="3">
        <f>O70*20%</f>
      </c>
      <c r="Q70" s="3">
        <v>1</v>
      </c>
      <c r="R70" s="3">
        <f>L70+N70+P70</f>
      </c>
      <c r="S70" s="3">
        <f>I70-J70-K70-L70-M70-N70-O70-P70-Q70</f>
      </c>
      <c r="T70" s="3">
        <f>(S70-AB70)/G70*100</f>
      </c>
      <c r="U70" s="3">
        <f>J70-R70</f>
      </c>
      <c r="V70" t="s">
        <v>1</v>
      </c>
      <c r="W70" t="s">
        <v>80</v>
      </c>
      <c r="AC70" s="3">
        <f>S70-AB70</f>
      </c>
      <c r="AD70" t="s">
        <v>65</v>
      </c>
      <c r="AE70" t="s">
        <v>104</v>
      </c>
    </row>
    <row r="71" spans="1:31" x14ac:dyDescent="0.25">
      <c r="A71" s="7">
        <v>46226.5</v>
      </c>
      <c r="B71" t="s">
        <v>215</v>
      </c>
      <c r="C71" t="s">
        <v>1</v>
      </c>
      <c r="D71" s="8" t="s">
        <v>216</v>
      </c>
      <c r="E71" t="s">
        <v>72</v>
      </c>
      <c r="F71">
        <v>1</v>
      </c>
      <c r="G71" s="3">
        <v>224</v>
      </c>
      <c r="H71" s="3">
        <v>280</v>
      </c>
      <c r="I71" s="3">
        <f>H71-G71</f>
      </c>
      <c r="J71" s="3">
        <f>I71*16.67%</f>
      </c>
      <c r="K71" s="3">
        <f>H71/100*7</f>
      </c>
      <c r="L71" s="3">
        <f>K71*20%</f>
      </c>
      <c r="M71" s="3">
        <f>K71*2%</f>
      </c>
      <c r="N71" s="3">
        <f>M71*20%</f>
      </c>
      <c r="O71" s="3">
        <v>0</v>
      </c>
      <c r="P71" s="3">
        <f>O71*20%</f>
      </c>
      <c r="Q71" s="3">
        <v>1</v>
      </c>
      <c r="R71" s="3">
        <f>L71+N71+P71</f>
      </c>
      <c r="S71" s="3">
        <f>I71-J71-K71-L71-M71-N71-O71-P71-Q71</f>
      </c>
      <c r="T71" s="3">
        <f>(S71-AB71)/G71*100</f>
      </c>
      <c r="U71" s="3">
        <f>J71-R71</f>
      </c>
      <c r="V71" t="s">
        <v>1</v>
      </c>
      <c r="W71" t="s">
        <v>64</v>
      </c>
      <c r="AC71" s="3">
        <f>S71-AB71</f>
      </c>
      <c r="AD71" t="s">
        <v>65</v>
      </c>
      <c r="AE71" t="s">
        <v>84</v>
      </c>
    </row>
    <row r="72" spans="1:31" x14ac:dyDescent="0.25">
      <c r="A72" s="7">
        <v>46226.5</v>
      </c>
      <c r="B72" t="s">
        <v>217</v>
      </c>
      <c r="C72" t="s">
        <v>1</v>
      </c>
      <c r="D72" s="8" t="s">
        <v>218</v>
      </c>
      <c r="E72" t="s">
        <v>57</v>
      </c>
      <c r="F72">
        <v>1</v>
      </c>
      <c r="G72" s="3">
        <v>62</v>
      </c>
      <c r="H72" s="3">
        <v>79.98</v>
      </c>
      <c r="I72" s="3">
        <f>H72-G72</f>
      </c>
      <c r="J72" s="3">
        <f>I72*16.67%</f>
      </c>
      <c r="K72" s="3">
        <f>H72/100*7</f>
      </c>
      <c r="L72" s="3">
        <f>K72*20%</f>
      </c>
      <c r="M72" s="3">
        <f>K72*2%</f>
      </c>
      <c r="N72" s="3">
        <f>M72*20%</f>
      </c>
      <c r="O72" s="3">
        <v>0</v>
      </c>
      <c r="P72" s="3">
        <f>O72*20%</f>
      </c>
      <c r="Q72" s="3">
        <v>1</v>
      </c>
      <c r="R72" s="3">
        <f>L72+N72+P72</f>
      </c>
      <c r="S72" s="3">
        <f>I72-J72-K72-L72-M72-N72-O72-P72-Q72</f>
      </c>
      <c r="T72" s="3">
        <f>(S72-AB72)/G72*100</f>
      </c>
      <c r="U72" s="3">
        <f>J72-R72</f>
      </c>
      <c r="V72" t="s">
        <v>1</v>
      </c>
      <c r="W72" t="s">
        <v>93</v>
      </c>
      <c r="AC72" s="3">
        <f>S72-AB72</f>
      </c>
      <c r="AD72" t="s">
        <v>94</v>
      </c>
      <c r="AE72" t="s">
        <v>98</v>
      </c>
    </row>
    <row r="73" spans="1:31" x14ac:dyDescent="0.25">
      <c r="A73" s="7">
        <v>46226.5</v>
      </c>
      <c r="B73" t="s">
        <v>219</v>
      </c>
      <c r="C73" t="s">
        <v>184</v>
      </c>
      <c r="D73" s="8" t="s">
        <v>1</v>
      </c>
      <c r="E73" t="s">
        <v>101</v>
      </c>
      <c r="F73">
        <v>1</v>
      </c>
      <c r="G73" s="3">
        <v>1.2</v>
      </c>
      <c r="H73" s="3">
        <v>1.39</v>
      </c>
      <c r="I73" s="3">
        <f>H73-G73</f>
      </c>
      <c r="J73" s="3">
        <f>I73*16.67%</f>
      </c>
      <c r="K73" s="3">
        <f>H73/100*7</f>
      </c>
      <c r="L73" s="3">
        <f>K73*20%</f>
      </c>
      <c r="M73" s="3">
        <f>K73*2%</f>
      </c>
      <c r="N73" s="3">
        <f>M73*20%</f>
      </c>
      <c r="O73" s="3">
        <v>0</v>
      </c>
      <c r="P73" s="3">
        <f>O73*20%</f>
      </c>
      <c r="Q73" s="3">
        <v>1</v>
      </c>
      <c r="R73" s="3">
        <f>L73+N73+P73</f>
      </c>
      <c r="S73" s="3">
        <f>I73-J73-K73-L73-M73-N73-O73-P73-Q73</f>
      </c>
      <c r="T73" s="3">
        <f>(S73-AB73)/G73*100</f>
      </c>
      <c r="U73" s="3">
        <f>J73-R73</f>
      </c>
      <c r="V73" t="s">
        <v>1</v>
      </c>
      <c r="W73" t="s">
        <v>184</v>
      </c>
      <c r="AC73" s="3">
        <f>S73-AB73</f>
      </c>
      <c r="AD73" t="s">
        <v>1</v>
      </c>
      <c r="AE73" t="s">
        <v>1</v>
      </c>
    </row>
    <row r="74" spans="1:31" x14ac:dyDescent="0.25">
      <c r="A74" s="7">
        <v>46225.5</v>
      </c>
      <c r="B74" t="s">
        <v>220</v>
      </c>
      <c r="C74" t="s">
        <v>1</v>
      </c>
      <c r="D74" s="8" t="s">
        <v>221</v>
      </c>
      <c r="E74" t="s">
        <v>101</v>
      </c>
      <c r="F74">
        <v>1</v>
      </c>
      <c r="G74" s="3">
        <v>335</v>
      </c>
      <c r="H74" s="3">
        <v>469</v>
      </c>
      <c r="I74" s="3">
        <f>H74-G74</f>
      </c>
      <c r="J74" s="3">
        <f>I74*16.67%</f>
      </c>
      <c r="K74" s="3">
        <f>H74/100*7</f>
      </c>
      <c r="L74" s="3">
        <f>K74*20%</f>
      </c>
      <c r="M74" s="3">
        <f>K74*2%</f>
      </c>
      <c r="N74" s="3">
        <f>M74*20%</f>
      </c>
      <c r="O74" s="3">
        <v>0</v>
      </c>
      <c r="P74" s="3">
        <f>O74*20%</f>
      </c>
      <c r="Q74" s="3">
        <v>1</v>
      </c>
      <c r="R74" s="3">
        <f>L74+N74+P74</f>
      </c>
      <c r="S74" s="3">
        <f>I74-J74-K74-L74-M74-N74-O74-P74-Q74</f>
      </c>
      <c r="T74" s="3">
        <f>(S74-AB74)/G74*100</f>
      </c>
      <c r="U74" s="3">
        <f>J74-R74</f>
      </c>
      <c r="V74" t="s">
        <v>1</v>
      </c>
      <c r="W74" t="s">
        <v>138</v>
      </c>
      <c r="AC74" s="3">
        <f>S74-AB74</f>
      </c>
      <c r="AD74" t="s">
        <v>65</v>
      </c>
      <c r="AE74" t="s">
        <v>69</v>
      </c>
    </row>
    <row r="75" spans="1:31" x14ac:dyDescent="0.25">
      <c r="A75" s="7">
        <v>46225.5</v>
      </c>
      <c r="B75" t="s">
        <v>222</v>
      </c>
      <c r="C75" t="s">
        <v>1</v>
      </c>
      <c r="D75" s="8" t="s">
        <v>223</v>
      </c>
      <c r="E75" t="s">
        <v>63</v>
      </c>
      <c r="F75">
        <v>1</v>
      </c>
      <c r="G75" s="3">
        <v>125</v>
      </c>
      <c r="H75" s="3">
        <v>180</v>
      </c>
      <c r="I75" s="3">
        <f>H75-G75</f>
      </c>
      <c r="J75" s="3">
        <f>I75*16.67%</f>
      </c>
      <c r="K75" s="3">
        <f>H75/100*7</f>
      </c>
      <c r="L75" s="3">
        <f>K75*20%</f>
      </c>
      <c r="M75" s="3">
        <f>K75*2%</f>
      </c>
      <c r="N75" s="3">
        <f>M75*20%</f>
      </c>
      <c r="O75" s="3">
        <v>0</v>
      </c>
      <c r="P75" s="3">
        <f>O75*20%</f>
      </c>
      <c r="Q75" s="3">
        <v>1</v>
      </c>
      <c r="R75" s="3">
        <f>L75+N75+P75</f>
      </c>
      <c r="S75" s="3">
        <f>I75-J75-K75-L75-M75-N75-O75-P75-Q75</f>
      </c>
      <c r="T75" s="3">
        <f>(S75-AB75)/G75*100</f>
      </c>
      <c r="U75" s="3">
        <f>J75-R75</f>
      </c>
      <c r="V75" t="s">
        <v>1</v>
      </c>
      <c r="W75" t="s">
        <v>133</v>
      </c>
      <c r="AC75" s="3">
        <f>S75-AB75</f>
      </c>
      <c r="AD75" t="s">
        <v>65</v>
      </c>
      <c r="AE75" t="s">
        <v>104</v>
      </c>
    </row>
    <row r="76" spans="1:31" x14ac:dyDescent="0.25">
      <c r="A76" s="7">
        <v>46225.5</v>
      </c>
      <c r="B76" t="s">
        <v>224</v>
      </c>
      <c r="C76" t="s">
        <v>1</v>
      </c>
      <c r="D76" s="8" t="s">
        <v>225</v>
      </c>
      <c r="E76" t="s">
        <v>101</v>
      </c>
      <c r="F76">
        <v>1</v>
      </c>
      <c r="G76" s="3">
        <v>72</v>
      </c>
      <c r="H76" s="3">
        <v>103.68</v>
      </c>
      <c r="I76" s="3">
        <f>H76-G76</f>
      </c>
      <c r="J76" s="3">
        <f>I76*16.67%</f>
      </c>
      <c r="K76" s="3">
        <f>H76/100*7</f>
      </c>
      <c r="L76" s="3">
        <f>K76*20%</f>
      </c>
      <c r="M76" s="3">
        <f>K76*2%</f>
      </c>
      <c r="N76" s="3">
        <f>M76*20%</f>
      </c>
      <c r="O76" s="3">
        <v>0</v>
      </c>
      <c r="P76" s="3">
        <f>O76*20%</f>
      </c>
      <c r="Q76" s="3">
        <v>1</v>
      </c>
      <c r="R76" s="3">
        <f>L76+N76+P76</f>
      </c>
      <c r="S76" s="3">
        <f>I76-J76-K76-L76-M76-N76-O76-P76-Q76</f>
      </c>
      <c r="T76" s="3">
        <f>(S76-AB76)/G76*100</f>
      </c>
      <c r="U76" s="3">
        <f>J76-R76</f>
      </c>
      <c r="V76" t="s">
        <v>1</v>
      </c>
      <c r="W76" t="s">
        <v>93</v>
      </c>
      <c r="AC76" s="3">
        <f>S76-AB76</f>
      </c>
      <c r="AD76" t="s">
        <v>94</v>
      </c>
      <c r="AE76" t="s">
        <v>104</v>
      </c>
    </row>
    <row r="77" spans="1:31" x14ac:dyDescent="0.25">
      <c r="A77" s="7">
        <v>46225.5</v>
      </c>
      <c r="B77" t="s">
        <v>226</v>
      </c>
      <c r="C77" t="s">
        <v>184</v>
      </c>
      <c r="D77" s="8" t="s">
        <v>1</v>
      </c>
      <c r="E77" t="s">
        <v>101</v>
      </c>
      <c r="F77">
        <v>3</v>
      </c>
      <c r="G77" s="3">
        <v>3.6</v>
      </c>
      <c r="H77" s="3">
        <v>4.32</v>
      </c>
      <c r="I77" s="3">
        <f>H77-G77</f>
      </c>
      <c r="J77" s="3">
        <f>I77*16.67%</f>
      </c>
      <c r="K77" s="3">
        <f>H77/100*7</f>
      </c>
      <c r="L77" s="3">
        <f>K77*20%</f>
      </c>
      <c r="M77" s="3">
        <f>K77*2%</f>
      </c>
      <c r="N77" s="3">
        <f>M77*20%</f>
      </c>
      <c r="O77" s="3">
        <v>0</v>
      </c>
      <c r="P77" s="3">
        <f>O77*20%</f>
      </c>
      <c r="Q77" s="3">
        <v>1</v>
      </c>
      <c r="R77" s="3">
        <f>L77+N77+P77</f>
      </c>
      <c r="S77" s="3">
        <f>I77-J77-K77-L77-M77-N77-O77-P77-Q77</f>
      </c>
      <c r="T77" s="3">
        <f>(S77-AB77)/G77*100</f>
      </c>
      <c r="U77" s="3">
        <f>J77-R77</f>
      </c>
      <c r="V77" t="s">
        <v>1</v>
      </c>
      <c r="W77" t="s">
        <v>184</v>
      </c>
      <c r="AC77" s="3">
        <f>S77-AB77</f>
      </c>
      <c r="AD77" t="s">
        <v>1</v>
      </c>
      <c r="AE77" t="s">
        <v>1</v>
      </c>
    </row>
    <row r="78" spans="1:31" x14ac:dyDescent="0.25">
      <c r="A78" s="7">
        <v>46225.5</v>
      </c>
      <c r="B78" t="s">
        <v>227</v>
      </c>
      <c r="C78" t="s">
        <v>1</v>
      </c>
      <c r="D78" s="8" t="s">
        <v>1</v>
      </c>
      <c r="E78" t="s">
        <v>63</v>
      </c>
      <c r="F78">
        <v>1</v>
      </c>
      <c r="G78" s="3">
        <v>281</v>
      </c>
      <c r="H78" s="3">
        <v>387.78</v>
      </c>
      <c r="I78" s="3">
        <f>H78-G78</f>
      </c>
      <c r="J78" s="3">
        <f>I78*16.67%</f>
      </c>
      <c r="K78" s="3">
        <f>H78/100*7</f>
      </c>
      <c r="L78" s="3">
        <f>K78*20%</f>
      </c>
      <c r="M78" s="3">
        <f>K78*2%</f>
      </c>
      <c r="N78" s="3">
        <f>M78*20%</f>
      </c>
      <c r="O78" s="3">
        <v>0</v>
      </c>
      <c r="P78" s="3">
        <f>O78*20%</f>
      </c>
      <c r="Q78" s="3">
        <v>1</v>
      </c>
      <c r="R78" s="3">
        <f>L78+N78+P78</f>
      </c>
      <c r="S78" s="3">
        <f>I78-J78-K78-L78-M78-N78-O78-P78-Q78</f>
      </c>
      <c r="T78" s="3">
        <f>(S78-AB78)/G78*100</f>
      </c>
      <c r="U78" s="3">
        <f>J78-R78</f>
      </c>
      <c r="V78" t="s">
        <v>1</v>
      </c>
      <c r="W78" t="s">
        <v>1</v>
      </c>
      <c r="AC78" s="3">
        <f>S78-AB78</f>
      </c>
      <c r="AD78" t="s">
        <v>1</v>
      </c>
      <c r="AE78" t="s">
        <v>1</v>
      </c>
    </row>
    <row r="79" spans="1:31" x14ac:dyDescent="0.25">
      <c r="A79" s="7">
        <v>46224.5</v>
      </c>
      <c r="B79" t="s">
        <v>228</v>
      </c>
      <c r="C79" t="s">
        <v>1</v>
      </c>
      <c r="D79" s="8" t="s">
        <v>229</v>
      </c>
      <c r="E79" t="s">
        <v>57</v>
      </c>
      <c r="F79">
        <v>1</v>
      </c>
      <c r="G79" s="3">
        <v>301</v>
      </c>
      <c r="H79" s="3">
        <v>421.4</v>
      </c>
      <c r="I79" s="3">
        <f>H79-G79</f>
      </c>
      <c r="J79" s="3">
        <f>I79*16.67%</f>
      </c>
      <c r="K79" s="3">
        <f>H79/100*7</f>
      </c>
      <c r="L79" s="3">
        <f>K79*20%</f>
      </c>
      <c r="M79" s="3">
        <f>K79*2%</f>
      </c>
      <c r="N79" s="3">
        <f>M79*20%</f>
      </c>
      <c r="O79" s="3">
        <v>0</v>
      </c>
      <c r="P79" s="3">
        <f>O79*20%</f>
      </c>
      <c r="Q79" s="3">
        <v>1</v>
      </c>
      <c r="R79" s="3">
        <f>L79+N79+P79</f>
      </c>
      <c r="S79" s="3">
        <f>I79-J79-K79-L79-M79-N79-O79-P79-Q79</f>
      </c>
      <c r="T79" s="3">
        <f>(S79-AB79)/G79*100</f>
      </c>
      <c r="U79" s="3">
        <f>J79-R79</f>
      </c>
      <c r="V79" t="s">
        <v>1</v>
      </c>
      <c r="W79" t="s">
        <v>138</v>
      </c>
      <c r="AC79" s="3">
        <f>S79-AB79</f>
      </c>
      <c r="AD79" t="s">
        <v>59</v>
      </c>
      <c r="AE79" t="s">
        <v>74</v>
      </c>
    </row>
    <row r="80" spans="1:31" x14ac:dyDescent="0.25">
      <c r="A80" s="7">
        <v>46224.5</v>
      </c>
      <c r="B80" t="s">
        <v>230</v>
      </c>
      <c r="C80" t="s">
        <v>1</v>
      </c>
      <c r="D80" s="8" t="s">
        <v>1</v>
      </c>
      <c r="E80" t="s">
        <v>72</v>
      </c>
      <c r="F80">
        <v>1</v>
      </c>
      <c r="G80" s="3">
        <v>149</v>
      </c>
      <c r="H80" s="3">
        <v>186.25</v>
      </c>
      <c r="I80" s="3">
        <f>H80-G80</f>
      </c>
      <c r="J80" s="3">
        <f>I80*16.67%</f>
      </c>
      <c r="K80" s="3">
        <f>H80/100*7</f>
      </c>
      <c r="L80" s="3">
        <f>K80*20%</f>
      </c>
      <c r="M80" s="3">
        <f>K80*2%</f>
      </c>
      <c r="N80" s="3">
        <f>M80*20%</f>
      </c>
      <c r="O80" s="3">
        <v>0</v>
      </c>
      <c r="P80" s="3">
        <f>O80*20%</f>
      </c>
      <c r="Q80" s="3">
        <v>1</v>
      </c>
      <c r="R80" s="3">
        <f>L80+N80+P80</f>
      </c>
      <c r="S80" s="3">
        <f>I80-J80-K80-L80-M80-N80-O80-P80-Q80</f>
      </c>
      <c r="T80" s="3">
        <f>(S80-AB80)/G80*100</f>
      </c>
      <c r="U80" s="3">
        <f>J80-R80</f>
      </c>
      <c r="V80" t="s">
        <v>1</v>
      </c>
      <c r="W80" t="s">
        <v>1</v>
      </c>
      <c r="AC80" s="3">
        <f>S80-AB80</f>
      </c>
      <c r="AD80" t="s">
        <v>1</v>
      </c>
      <c r="AE80" t="s">
        <v>1</v>
      </c>
    </row>
    <row r="81" spans="1:31" x14ac:dyDescent="0.25">
      <c r="A81" s="7">
        <v>46223.5</v>
      </c>
      <c r="B81" t="s">
        <v>231</v>
      </c>
      <c r="C81" t="s">
        <v>1</v>
      </c>
      <c r="D81" s="8" t="s">
        <v>232</v>
      </c>
      <c r="E81" t="s">
        <v>63</v>
      </c>
      <c r="F81">
        <v>1</v>
      </c>
      <c r="G81" s="3">
        <v>159</v>
      </c>
      <c r="H81" s="3">
        <v>192.39</v>
      </c>
      <c r="I81" s="3">
        <f>H81-G81</f>
      </c>
      <c r="J81" s="3">
        <f>I81*16.67%</f>
      </c>
      <c r="K81" s="3">
        <f>H81/100*7</f>
      </c>
      <c r="L81" s="3">
        <f>K81*20%</f>
      </c>
      <c r="M81" s="3">
        <f>K81*2%</f>
      </c>
      <c r="N81" s="3">
        <f>M81*20%</f>
      </c>
      <c r="O81" s="3">
        <v>0</v>
      </c>
      <c r="P81" s="3">
        <f>O81*20%</f>
      </c>
      <c r="Q81" s="3">
        <v>1</v>
      </c>
      <c r="R81" s="3">
        <f>L81+N81+P81</f>
      </c>
      <c r="S81" s="3">
        <f>I81-J81-K81-L81-M81-N81-O81-P81-Q81</f>
      </c>
      <c r="T81" s="3">
        <f>(S81-AB81)/G81*100</f>
      </c>
      <c r="U81" s="3">
        <f>J81-R81</f>
      </c>
      <c r="V81" t="s">
        <v>1</v>
      </c>
      <c r="W81" t="s">
        <v>233</v>
      </c>
      <c r="AC81" s="3">
        <f>S81-AB81</f>
      </c>
      <c r="AD81" t="s">
        <v>65</v>
      </c>
      <c r="AE81" t="s">
        <v>104</v>
      </c>
    </row>
    <row r="82" spans="1:31" x14ac:dyDescent="0.25">
      <c r="A82" s="7">
        <v>46223.5</v>
      </c>
      <c r="B82" t="s">
        <v>234</v>
      </c>
      <c r="C82" t="s">
        <v>1</v>
      </c>
      <c r="D82" s="8" t="s">
        <v>235</v>
      </c>
      <c r="E82" t="s">
        <v>57</v>
      </c>
      <c r="F82">
        <v>1</v>
      </c>
      <c r="G82" s="3">
        <v>238</v>
      </c>
      <c r="H82" s="3">
        <v>337.96</v>
      </c>
      <c r="I82" s="3">
        <f>H82-G82</f>
      </c>
      <c r="J82" s="3">
        <f>I82*16.67%</f>
      </c>
      <c r="K82" s="3">
        <f>H82/100*7</f>
      </c>
      <c r="L82" s="3">
        <f>K82*20%</f>
      </c>
      <c r="M82" s="3">
        <f>K82*2%</f>
      </c>
      <c r="N82" s="3">
        <f>M82*20%</f>
      </c>
      <c r="O82" s="3">
        <v>0</v>
      </c>
      <c r="P82" s="3">
        <f>O82*20%</f>
      </c>
      <c r="Q82" s="3">
        <v>1</v>
      </c>
      <c r="R82" s="3">
        <f>L82+N82+P82</f>
      </c>
      <c r="S82" s="3">
        <f>I82-J82-K82-L82-M82-N82-O82-P82-Q82</f>
      </c>
      <c r="T82" s="3">
        <f>(S82-AB82)/G82*100</f>
      </c>
      <c r="U82" s="3">
        <f>J82-R82</f>
      </c>
      <c r="V82" t="s">
        <v>1</v>
      </c>
      <c r="W82" t="s">
        <v>64</v>
      </c>
      <c r="AC82" s="3">
        <f>S82-AB82</f>
      </c>
      <c r="AD82" t="s">
        <v>65</v>
      </c>
      <c r="AE82" t="s">
        <v>60</v>
      </c>
    </row>
    <row r="83" spans="1:31" x14ac:dyDescent="0.25">
      <c r="A83" s="7">
        <v>46223.5</v>
      </c>
      <c r="B83" t="s">
        <v>236</v>
      </c>
      <c r="C83" t="s">
        <v>1</v>
      </c>
      <c r="D83" s="8" t="s">
        <v>237</v>
      </c>
      <c r="E83" t="s">
        <v>72</v>
      </c>
      <c r="F83">
        <v>1</v>
      </c>
      <c r="G83" s="3">
        <v>296</v>
      </c>
      <c r="H83" s="3">
        <v>352.24</v>
      </c>
      <c r="I83" s="3">
        <f>H83-G83</f>
      </c>
      <c r="J83" s="3">
        <f>I83*16.67%</f>
      </c>
      <c r="K83" s="3">
        <f>H83/100*7</f>
      </c>
      <c r="L83" s="3">
        <f>K83*20%</f>
      </c>
      <c r="M83" s="3">
        <f>K83*2%</f>
      </c>
      <c r="N83" s="3">
        <f>M83*20%</f>
      </c>
      <c r="O83" s="3">
        <v>0</v>
      </c>
      <c r="P83" s="3">
        <f>O83*20%</f>
      </c>
      <c r="Q83" s="3">
        <v>1</v>
      </c>
      <c r="R83" s="3">
        <f>L83+N83+P83</f>
      </c>
      <c r="S83" s="3">
        <f>I83-J83-K83-L83-M83-N83-O83-P83-Q83</f>
      </c>
      <c r="T83" s="3">
        <f>(S83-AB83)/G83*100</f>
      </c>
      <c r="U83" s="3">
        <f>J83-R83</f>
      </c>
      <c r="V83" t="s">
        <v>1</v>
      </c>
      <c r="W83" t="s">
        <v>97</v>
      </c>
      <c r="AC83" s="3">
        <f>S83-AB83</f>
      </c>
      <c r="AD83" t="s">
        <v>59</v>
      </c>
      <c r="AE83" t="s">
        <v>74</v>
      </c>
    </row>
    <row r="84" spans="1:31" x14ac:dyDescent="0.25">
      <c r="A84" s="7">
        <v>46223.5</v>
      </c>
      <c r="B84" t="s">
        <v>238</v>
      </c>
      <c r="C84" t="s">
        <v>1</v>
      </c>
      <c r="D84" s="8" t="s">
        <v>239</v>
      </c>
      <c r="E84" t="s">
        <v>101</v>
      </c>
      <c r="F84">
        <v>1</v>
      </c>
      <c r="G84" s="3">
        <v>467</v>
      </c>
      <c r="H84" s="3">
        <v>546.39</v>
      </c>
      <c r="I84" s="3">
        <f>H84-G84</f>
      </c>
      <c r="J84" s="3">
        <f>I84*16.67%</f>
      </c>
      <c r="K84" s="3">
        <f>H84/100*7</f>
      </c>
      <c r="L84" s="3">
        <f>K84*20%</f>
      </c>
      <c r="M84" s="3">
        <f>K84*2%</f>
      </c>
      <c r="N84" s="3">
        <f>M84*20%</f>
      </c>
      <c r="O84" s="3">
        <v>0</v>
      </c>
      <c r="P84" s="3">
        <f>O84*20%</f>
      </c>
      <c r="Q84" s="3">
        <v>1</v>
      </c>
      <c r="R84" s="3">
        <f>L84+N84+P84</f>
      </c>
      <c r="S84" s="3">
        <f>I84-J84-K84-L84-M84-N84-O84-P84-Q84</f>
      </c>
      <c r="T84" s="3">
        <f>(S84-AB84)/G84*100</f>
      </c>
      <c r="U84" s="3">
        <f>J84-R84</f>
      </c>
      <c r="V84" t="s">
        <v>1</v>
      </c>
      <c r="W84" t="s">
        <v>58</v>
      </c>
      <c r="AC84" s="3">
        <f>S84-AB84</f>
      </c>
      <c r="AD84" t="s">
        <v>59</v>
      </c>
      <c r="AE84" t="s">
        <v>104</v>
      </c>
    </row>
    <row r="85" spans="1:31" x14ac:dyDescent="0.25">
      <c r="A85" s="7">
        <v>46223.5</v>
      </c>
      <c r="B85" t="s">
        <v>240</v>
      </c>
      <c r="C85" t="s">
        <v>1</v>
      </c>
      <c r="D85" s="8" t="s">
        <v>241</v>
      </c>
      <c r="E85" t="s">
        <v>57</v>
      </c>
      <c r="F85">
        <v>1</v>
      </c>
      <c r="G85" s="3">
        <v>514</v>
      </c>
      <c r="H85" s="3">
        <v>632.22</v>
      </c>
      <c r="I85" s="3">
        <f>H85-G85</f>
      </c>
      <c r="J85" s="3">
        <f>I85*16.67%</f>
      </c>
      <c r="K85" s="3">
        <f>H85/100*7</f>
      </c>
      <c r="L85" s="3">
        <f>K85*20%</f>
      </c>
      <c r="M85" s="3">
        <f>K85*2%</f>
      </c>
      <c r="N85" s="3">
        <f>M85*20%</f>
      </c>
      <c r="O85" s="3">
        <v>0</v>
      </c>
      <c r="P85" s="3">
        <f>O85*20%</f>
      </c>
      <c r="Q85" s="3">
        <v>1</v>
      </c>
      <c r="R85" s="3">
        <f>L85+N85+P85</f>
      </c>
      <c r="S85" s="3">
        <f>I85-J85-K85-L85-M85-N85-O85-P85-Q85</f>
      </c>
      <c r="T85" s="3">
        <f>(S85-AB85)/G85*100</f>
      </c>
      <c r="U85" s="3">
        <f>J85-R85</f>
      </c>
      <c r="V85" t="s">
        <v>1</v>
      </c>
      <c r="W85" t="s">
        <v>68</v>
      </c>
      <c r="AC85" s="3">
        <f>S85-AB85</f>
      </c>
      <c r="AD85" t="s">
        <v>59</v>
      </c>
      <c r="AE85" t="s">
        <v>84</v>
      </c>
    </row>
    <row r="86" spans="1:31" x14ac:dyDescent="0.25">
      <c r="A86" s="7">
        <v>46223.5</v>
      </c>
      <c r="B86" t="s">
        <v>242</v>
      </c>
      <c r="C86" t="s">
        <v>1</v>
      </c>
      <c r="D86" s="8" t="s">
        <v>1</v>
      </c>
      <c r="E86" t="s">
        <v>72</v>
      </c>
      <c r="F86">
        <v>1</v>
      </c>
      <c r="G86" s="3">
        <v>279</v>
      </c>
      <c r="H86" s="3">
        <v>387.81</v>
      </c>
      <c r="I86" s="3">
        <f>H86-G86</f>
      </c>
      <c r="J86" s="3">
        <f>I86*16.67%</f>
      </c>
      <c r="K86" s="3">
        <f>H86/100*7</f>
      </c>
      <c r="L86" s="3">
        <f>K86*20%</f>
      </c>
      <c r="M86" s="3">
        <f>K86*2%</f>
      </c>
      <c r="N86" s="3">
        <f>M86*20%</f>
      </c>
      <c r="O86" s="3">
        <v>0</v>
      </c>
      <c r="P86" s="3">
        <f>O86*20%</f>
      </c>
      <c r="Q86" s="3">
        <v>1</v>
      </c>
      <c r="R86" s="3">
        <f>L86+N86+P86</f>
      </c>
      <c r="S86" s="3">
        <f>I86-J86-K86-L86-M86-N86-O86-P86-Q86</f>
      </c>
      <c r="T86" s="3">
        <f>(S86-AB86)/G86*100</f>
      </c>
      <c r="U86" s="3">
        <f>J86-R86</f>
      </c>
      <c r="V86" t="s">
        <v>1</v>
      </c>
      <c r="W86" t="s">
        <v>1</v>
      </c>
      <c r="AC86" s="3">
        <f>S86-AB86</f>
      </c>
      <c r="AD86" t="s">
        <v>1</v>
      </c>
      <c r="AE86" t="s">
        <v>1</v>
      </c>
    </row>
    <row r="87" spans="1:31" x14ac:dyDescent="0.25">
      <c r="A87" s="7">
        <v>46222.5</v>
      </c>
      <c r="B87" t="s">
        <v>243</v>
      </c>
      <c r="C87" t="s">
        <v>1</v>
      </c>
      <c r="D87" s="8" t="s">
        <v>244</v>
      </c>
      <c r="E87" t="s">
        <v>63</v>
      </c>
      <c r="F87">
        <v>1</v>
      </c>
      <c r="G87" s="3">
        <v>304</v>
      </c>
      <c r="H87" s="3">
        <v>364.8</v>
      </c>
      <c r="I87" s="3">
        <f>H87-G87</f>
      </c>
      <c r="J87" s="3">
        <f>I87*16.67%</f>
      </c>
      <c r="K87" s="3">
        <f>H87/100*7</f>
      </c>
      <c r="L87" s="3">
        <f>K87*20%</f>
      </c>
      <c r="M87" s="3">
        <f>K87*2%</f>
      </c>
      <c r="N87" s="3">
        <f>M87*20%</f>
      </c>
      <c r="O87" s="3">
        <v>0</v>
      </c>
      <c r="P87" s="3">
        <f>O87*20%</f>
      </c>
      <c r="Q87" s="3">
        <v>1</v>
      </c>
      <c r="R87" s="3">
        <f>L87+N87+P87</f>
      </c>
      <c r="S87" s="3">
        <f>I87-J87-K87-L87-M87-N87-O87-P87-Q87</f>
      </c>
      <c r="T87" s="3">
        <f>(S87-AB87)/G87*100</f>
      </c>
      <c r="U87" s="3">
        <f>J87-R87</f>
      </c>
      <c r="V87" t="s">
        <v>1</v>
      </c>
      <c r="W87" t="s">
        <v>138</v>
      </c>
      <c r="AC87" s="3">
        <f>S87-AB87</f>
      </c>
      <c r="AD87" t="s">
        <v>65</v>
      </c>
      <c r="AE87" t="s">
        <v>104</v>
      </c>
    </row>
    <row r="88" spans="1:31" x14ac:dyDescent="0.25">
      <c r="A88" s="7">
        <v>46222.5</v>
      </c>
      <c r="B88" t="s">
        <v>245</v>
      </c>
      <c r="C88" t="s">
        <v>181</v>
      </c>
      <c r="D88" s="8" t="s">
        <v>1</v>
      </c>
      <c r="E88" t="s">
        <v>72</v>
      </c>
      <c r="F88">
        <v>2</v>
      </c>
      <c r="G88" s="3">
        <v>3.8</v>
      </c>
      <c r="H88" s="3">
        <v>4.56</v>
      </c>
      <c r="I88" s="3">
        <f>H88-G88</f>
      </c>
      <c r="J88" s="3">
        <f>I88*16.67%</f>
      </c>
      <c r="K88" s="3">
        <f>H88/100*7</f>
      </c>
      <c r="L88" s="3">
        <f>K88*20%</f>
      </c>
      <c r="M88" s="3">
        <f>K88*2%</f>
      </c>
      <c r="N88" s="3">
        <f>M88*20%</f>
      </c>
      <c r="O88" s="3">
        <v>0</v>
      </c>
      <c r="P88" s="3">
        <f>O88*20%</f>
      </c>
      <c r="Q88" s="3">
        <v>1</v>
      </c>
      <c r="R88" s="3">
        <f>L88+N88+P88</f>
      </c>
      <c r="S88" s="3">
        <f>I88-J88-K88-L88-M88-N88-O88-P88-Q88</f>
      </c>
      <c r="T88" s="3">
        <f>(S88-AB88)/G88*100</f>
      </c>
      <c r="U88" s="3">
        <f>J88-R88</f>
      </c>
      <c r="V88" t="s">
        <v>1</v>
      </c>
      <c r="W88" t="s">
        <v>181</v>
      </c>
      <c r="AC88" s="3">
        <f>S88-AB88</f>
      </c>
      <c r="AD88" t="s">
        <v>1</v>
      </c>
      <c r="AE88" t="s">
        <v>1</v>
      </c>
    </row>
    <row r="89" spans="1:31" x14ac:dyDescent="0.25">
      <c r="A89" s="7">
        <v>46222.5</v>
      </c>
      <c r="B89" t="s">
        <v>246</v>
      </c>
      <c r="C89" t="s">
        <v>1</v>
      </c>
      <c r="D89" s="8" t="s">
        <v>1</v>
      </c>
      <c r="E89" t="s">
        <v>63</v>
      </c>
      <c r="F89">
        <v>1</v>
      </c>
      <c r="G89" s="3">
        <v>182</v>
      </c>
      <c r="H89" s="3">
        <v>245.7</v>
      </c>
      <c r="I89" s="3">
        <f>H89-G89</f>
      </c>
      <c r="J89" s="3">
        <f>I89*16.67%</f>
      </c>
      <c r="K89" s="3">
        <f>H89/100*7</f>
      </c>
      <c r="L89" s="3">
        <f>K89*20%</f>
      </c>
      <c r="M89" s="3">
        <f>K89*2%</f>
      </c>
      <c r="N89" s="3">
        <f>M89*20%</f>
      </c>
      <c r="O89" s="3">
        <v>0</v>
      </c>
      <c r="P89" s="3">
        <f>O89*20%</f>
      </c>
      <c r="Q89" s="3">
        <v>1</v>
      </c>
      <c r="R89" s="3">
        <f>L89+N89+P89</f>
      </c>
      <c r="S89" s="3">
        <f>I89-J89-K89-L89-M89-N89-O89-P89-Q89</f>
      </c>
      <c r="T89" s="3">
        <f>(S89-AB89)/G89*100</f>
      </c>
      <c r="U89" s="3">
        <f>J89-R89</f>
      </c>
      <c r="V89" t="s">
        <v>1</v>
      </c>
      <c r="W89" t="s">
        <v>1</v>
      </c>
      <c r="AC89" s="3">
        <f>S89-AB89</f>
      </c>
      <c r="AD89" t="s">
        <v>1</v>
      </c>
      <c r="AE89" t="s">
        <v>1</v>
      </c>
    </row>
    <row r="90" spans="1:31" x14ac:dyDescent="0.25">
      <c r="A90" s="7">
        <v>46221.5</v>
      </c>
      <c r="B90" t="s">
        <v>247</v>
      </c>
      <c r="C90" t="s">
        <v>1</v>
      </c>
      <c r="D90" s="8" t="s">
        <v>248</v>
      </c>
      <c r="E90" t="s">
        <v>63</v>
      </c>
      <c r="F90">
        <v>1</v>
      </c>
      <c r="G90" s="3">
        <v>129</v>
      </c>
      <c r="H90" s="3">
        <v>176.73</v>
      </c>
      <c r="I90" s="3">
        <f>H90-G90</f>
      </c>
      <c r="J90" s="3">
        <f>I90*16.67%</f>
      </c>
      <c r="K90" s="3">
        <f>H90/100*7</f>
      </c>
      <c r="L90" s="3">
        <f>K90*20%</f>
      </c>
      <c r="M90" s="3">
        <f>K90*2%</f>
      </c>
      <c r="N90" s="3">
        <f>M90*20%</f>
      </c>
      <c r="O90" s="3">
        <v>0</v>
      </c>
      <c r="P90" s="3">
        <f>O90*20%</f>
      </c>
      <c r="Q90" s="3">
        <v>1</v>
      </c>
      <c r="R90" s="3">
        <f>L90+N90+P90</f>
      </c>
      <c r="S90" s="3">
        <f>I90-J90-K90-L90-M90-N90-O90-P90-Q90</f>
      </c>
      <c r="T90" s="3">
        <f>(S90-AB90)/G90*100</f>
      </c>
      <c r="U90" s="3">
        <f>J90-R90</f>
      </c>
      <c r="V90" t="s">
        <v>1</v>
      </c>
      <c r="W90" t="s">
        <v>90</v>
      </c>
      <c r="AC90" s="3">
        <f>S90-AB90</f>
      </c>
      <c r="AD90" t="s">
        <v>65</v>
      </c>
      <c r="AE90" t="s">
        <v>104</v>
      </c>
    </row>
    <row r="91" spans="1:31" x14ac:dyDescent="0.25">
      <c r="A91" s="7">
        <v>46221.5</v>
      </c>
      <c r="B91" t="s">
        <v>249</v>
      </c>
      <c r="C91" t="s">
        <v>1</v>
      </c>
      <c r="D91" s="8" t="s">
        <v>250</v>
      </c>
      <c r="E91" t="s">
        <v>72</v>
      </c>
      <c r="F91">
        <v>1</v>
      </c>
      <c r="G91" s="3">
        <v>300</v>
      </c>
      <c r="H91" s="3">
        <v>357</v>
      </c>
      <c r="I91" s="3">
        <f>H91-G91</f>
      </c>
      <c r="J91" s="3">
        <f>I91*16.67%</f>
      </c>
      <c r="K91" s="3">
        <f>H91/100*7</f>
      </c>
      <c r="L91" s="3">
        <f>K91*20%</f>
      </c>
      <c r="M91" s="3">
        <f>K91*2%</f>
      </c>
      <c r="N91" s="3">
        <f>M91*20%</f>
      </c>
      <c r="O91" s="3">
        <v>0</v>
      </c>
      <c r="P91" s="3">
        <f>O91*20%</f>
      </c>
      <c r="Q91" s="3">
        <v>1</v>
      </c>
      <c r="R91" s="3">
        <f>L91+N91+P91</f>
      </c>
      <c r="S91" s="3">
        <f>I91-J91-K91-L91-M91-N91-O91-P91-Q91</f>
      </c>
      <c r="T91" s="3">
        <f>(S91-AB91)/G91*100</f>
      </c>
      <c r="U91" s="3">
        <f>J91-R91</f>
      </c>
      <c r="V91" t="s">
        <v>1</v>
      </c>
      <c r="W91" t="s">
        <v>124</v>
      </c>
      <c r="AC91" s="3">
        <f>S91-AB91</f>
      </c>
      <c r="AD91" t="s">
        <v>125</v>
      </c>
      <c r="AE91" t="s">
        <v>104</v>
      </c>
    </row>
    <row r="92" spans="1:31" x14ac:dyDescent="0.25">
      <c r="A92" s="7">
        <v>46221.5</v>
      </c>
      <c r="B92" t="s">
        <v>251</v>
      </c>
      <c r="C92" t="s">
        <v>188</v>
      </c>
      <c r="D92" s="8" t="s">
        <v>1</v>
      </c>
      <c r="E92" t="s">
        <v>63</v>
      </c>
      <c r="F92">
        <v>1</v>
      </c>
      <c r="G92" s="3">
        <v>3.5</v>
      </c>
      <c r="H92" s="3">
        <v>4.55</v>
      </c>
      <c r="I92" s="3">
        <f>H92-G92</f>
      </c>
      <c r="J92" s="3">
        <f>I92*16.67%</f>
      </c>
      <c r="K92" s="3">
        <f>H92/100*7</f>
      </c>
      <c r="L92" s="3">
        <f>K92*20%</f>
      </c>
      <c r="M92" s="3">
        <f>K92*2%</f>
      </c>
      <c r="N92" s="3">
        <f>M92*20%</f>
      </c>
      <c r="O92" s="3">
        <v>0</v>
      </c>
      <c r="P92" s="3">
        <f>O92*20%</f>
      </c>
      <c r="Q92" s="3">
        <v>1</v>
      </c>
      <c r="R92" s="3">
        <f>L92+N92+P92</f>
      </c>
      <c r="S92" s="3">
        <f>I92-J92-K92-L92-M92-N92-O92-P92-Q92</f>
      </c>
      <c r="T92" s="3">
        <f>(S92-AB92)/G92*100</f>
      </c>
      <c r="U92" s="3">
        <f>J92-R92</f>
      </c>
      <c r="V92" t="s">
        <v>1</v>
      </c>
      <c r="W92" t="s">
        <v>188</v>
      </c>
      <c r="AC92" s="3">
        <f>S92-AB92</f>
      </c>
      <c r="AD92" t="s">
        <v>1</v>
      </c>
      <c r="AE92" t="s">
        <v>1</v>
      </c>
    </row>
    <row r="93" spans="1:31" x14ac:dyDescent="0.25">
      <c r="A93" s="7">
        <v>46221.5</v>
      </c>
      <c r="B93" t="s">
        <v>252</v>
      </c>
      <c r="C93" t="s">
        <v>253</v>
      </c>
      <c r="D93" s="8" t="s">
        <v>1</v>
      </c>
      <c r="E93" t="s">
        <v>57</v>
      </c>
      <c r="F93">
        <v>3</v>
      </c>
      <c r="G93" s="3">
        <v>2.4</v>
      </c>
      <c r="H93" s="3">
        <v>2.95</v>
      </c>
      <c r="I93" s="3">
        <f>H93-G93</f>
      </c>
      <c r="J93" s="3">
        <f>I93*16.67%</f>
      </c>
      <c r="K93" s="3">
        <f>H93/100*7</f>
      </c>
      <c r="L93" s="3">
        <f>K93*20%</f>
      </c>
      <c r="M93" s="3">
        <f>K93*2%</f>
      </c>
      <c r="N93" s="3">
        <f>M93*20%</f>
      </c>
      <c r="O93" s="3">
        <v>0</v>
      </c>
      <c r="P93" s="3">
        <f>O93*20%</f>
      </c>
      <c r="Q93" s="3">
        <v>1</v>
      </c>
      <c r="R93" s="3">
        <f>L93+N93+P93</f>
      </c>
      <c r="S93" s="3">
        <f>I93-J93-K93-L93-M93-N93-O93-P93-Q93</f>
      </c>
      <c r="T93" s="3">
        <f>(S93-AB93)/G93*100</f>
      </c>
      <c r="U93" s="3">
        <f>J93-R93</f>
      </c>
      <c r="V93" t="s">
        <v>1</v>
      </c>
      <c r="W93" t="s">
        <v>253</v>
      </c>
      <c r="AC93" s="3">
        <f>S93-AB93</f>
      </c>
      <c r="AD93" t="s">
        <v>1</v>
      </c>
      <c r="AE93" t="s">
        <v>1</v>
      </c>
    </row>
    <row r="94" spans="1:31" x14ac:dyDescent="0.25">
      <c r="A94" s="7">
        <v>46220.5</v>
      </c>
      <c r="B94" t="s">
        <v>254</v>
      </c>
      <c r="C94" t="s">
        <v>1</v>
      </c>
      <c r="D94" s="8" t="s">
        <v>255</v>
      </c>
      <c r="E94" t="s">
        <v>72</v>
      </c>
      <c r="F94">
        <v>1</v>
      </c>
      <c r="G94" s="3">
        <v>225</v>
      </c>
      <c r="H94" s="3">
        <v>261</v>
      </c>
      <c r="I94" s="3">
        <f>H94-G94</f>
      </c>
      <c r="J94" s="3">
        <f>I94*16.67%</f>
      </c>
      <c r="K94" s="3">
        <f>H94/100*7</f>
      </c>
      <c r="L94" s="3">
        <f>K94*20%</f>
      </c>
      <c r="M94" s="3">
        <f>K94*2%</f>
      </c>
      <c r="N94" s="3">
        <f>M94*20%</f>
      </c>
      <c r="O94" s="3">
        <v>0</v>
      </c>
      <c r="P94" s="3">
        <f>O94*20%</f>
      </c>
      <c r="Q94" s="3">
        <v>1</v>
      </c>
      <c r="R94" s="3">
        <f>L94+N94+P94</f>
      </c>
      <c r="S94" s="3">
        <f>I94-J94-K94-L94-M94-N94-O94-P94-Q94</f>
      </c>
      <c r="T94" s="3">
        <f>(S94-AB94)/G94*100</f>
      </c>
      <c r="U94" s="3">
        <f>J94-R94</f>
      </c>
      <c r="V94" t="s">
        <v>1</v>
      </c>
      <c r="W94" t="s">
        <v>64</v>
      </c>
      <c r="AC94" s="3">
        <f>S94-AB94</f>
      </c>
      <c r="AD94" t="s">
        <v>65</v>
      </c>
      <c r="AE94" t="s">
        <v>69</v>
      </c>
    </row>
    <row r="95" spans="1:31" x14ac:dyDescent="0.25">
      <c r="A95" s="7">
        <v>46220.5</v>
      </c>
      <c r="B95" t="s">
        <v>256</v>
      </c>
      <c r="C95" t="s">
        <v>1</v>
      </c>
      <c r="D95" s="8" t="s">
        <v>257</v>
      </c>
      <c r="E95" t="s">
        <v>101</v>
      </c>
      <c r="F95">
        <v>1</v>
      </c>
      <c r="G95" s="3">
        <v>509</v>
      </c>
      <c r="H95" s="3">
        <v>697.33</v>
      </c>
      <c r="I95" s="3">
        <f>H95-G95</f>
      </c>
      <c r="J95" s="3">
        <f>I95*16.67%</f>
      </c>
      <c r="K95" s="3">
        <f>H95/100*7</f>
      </c>
      <c r="L95" s="3">
        <f>K95*20%</f>
      </c>
      <c r="M95" s="3">
        <f>K95*2%</f>
      </c>
      <c r="N95" s="3">
        <f>M95*20%</f>
      </c>
      <c r="O95" s="3">
        <v>0</v>
      </c>
      <c r="P95" s="3">
        <f>O95*20%</f>
      </c>
      <c r="Q95" s="3">
        <v>1</v>
      </c>
      <c r="R95" s="3">
        <f>L95+N95+P95</f>
      </c>
      <c r="S95" s="3">
        <f>I95-J95-K95-L95-M95-N95-O95-P95-Q95</f>
      </c>
      <c r="T95" s="3">
        <f>(S95-AB95)/G95*100</f>
      </c>
      <c r="U95" s="3">
        <f>J95-R95</f>
      </c>
      <c r="V95" t="s">
        <v>1</v>
      </c>
      <c r="W95" t="s">
        <v>68</v>
      </c>
      <c r="AC95" s="3">
        <f>S95-AB95</f>
      </c>
      <c r="AD95" t="s">
        <v>59</v>
      </c>
      <c r="AE95" t="s">
        <v>98</v>
      </c>
    </row>
    <row r="96" spans="1:31" x14ac:dyDescent="0.25">
      <c r="A96" s="7">
        <v>46220.5</v>
      </c>
      <c r="B96" t="s">
        <v>258</v>
      </c>
      <c r="C96" t="s">
        <v>1</v>
      </c>
      <c r="D96" s="8" t="s">
        <v>259</v>
      </c>
      <c r="E96" t="s">
        <v>101</v>
      </c>
      <c r="F96">
        <v>1</v>
      </c>
      <c r="G96" s="3">
        <v>245</v>
      </c>
      <c r="H96" s="3">
        <v>325.85</v>
      </c>
      <c r="I96" s="3">
        <f>H96-G96</f>
      </c>
      <c r="J96" s="3">
        <f>I96*16.67%</f>
      </c>
      <c r="K96" s="3">
        <f>H96/100*7</f>
      </c>
      <c r="L96" s="3">
        <f>K96*20%</f>
      </c>
      <c r="M96" s="3">
        <f>K96*2%</f>
      </c>
      <c r="N96" s="3">
        <f>M96*20%</f>
      </c>
      <c r="O96" s="3">
        <v>0</v>
      </c>
      <c r="P96" s="3">
        <f>O96*20%</f>
      </c>
      <c r="Q96" s="3">
        <v>1</v>
      </c>
      <c r="R96" s="3">
        <f>L96+N96+P96</f>
      </c>
      <c r="S96" s="3">
        <f>I96-J96-K96-L96-M96-N96-O96-P96-Q96</f>
      </c>
      <c r="T96" s="3">
        <f>(S96-AB96)/G96*100</f>
      </c>
      <c r="U96" s="3">
        <f>J96-R96</f>
      </c>
      <c r="V96" t="s">
        <v>1</v>
      </c>
      <c r="W96" t="s">
        <v>124</v>
      </c>
      <c r="AC96" s="3">
        <f>S96-AB96</f>
      </c>
      <c r="AD96" t="s">
        <v>125</v>
      </c>
      <c r="AE96" t="s">
        <v>60</v>
      </c>
    </row>
    <row r="97" spans="1:31" x14ac:dyDescent="0.25">
      <c r="A97" s="7">
        <v>46220.5</v>
      </c>
      <c r="B97" t="s">
        <v>260</v>
      </c>
      <c r="C97" t="s">
        <v>181</v>
      </c>
      <c r="D97" s="8" t="s">
        <v>1</v>
      </c>
      <c r="E97" t="s">
        <v>72</v>
      </c>
      <c r="F97">
        <v>4</v>
      </c>
      <c r="G97" s="3">
        <v>7.6</v>
      </c>
      <c r="H97" s="3">
        <v>8.89</v>
      </c>
      <c r="I97" s="3">
        <f>H97-G97</f>
      </c>
      <c r="J97" s="3">
        <f>I97*16.67%</f>
      </c>
      <c r="K97" s="3">
        <f>H97/100*7</f>
      </c>
      <c r="L97" s="3">
        <f>K97*20%</f>
      </c>
      <c r="M97" s="3">
        <f>K97*2%</f>
      </c>
      <c r="N97" s="3">
        <f>M97*20%</f>
      </c>
      <c r="O97" s="3">
        <v>0</v>
      </c>
      <c r="P97" s="3">
        <f>O97*20%</f>
      </c>
      <c r="Q97" s="3">
        <v>1</v>
      </c>
      <c r="R97" s="3">
        <f>L97+N97+P97</f>
      </c>
      <c r="S97" s="3">
        <f>I97-J97-K97-L97-M97-N97-O97-P97-Q97</f>
      </c>
      <c r="T97" s="3">
        <f>(S97-AB97)/G97*100</f>
      </c>
      <c r="U97" s="3">
        <f>J97-R97</f>
      </c>
      <c r="V97" t="s">
        <v>1</v>
      </c>
      <c r="W97" t="s">
        <v>181</v>
      </c>
      <c r="AC97" s="3">
        <f>S97-AB97</f>
      </c>
      <c r="AD97" t="s">
        <v>1</v>
      </c>
      <c r="AE97" t="s">
        <v>1</v>
      </c>
    </row>
    <row r="98" spans="1:31" x14ac:dyDescent="0.25">
      <c r="A98" s="7">
        <v>46220.5</v>
      </c>
      <c r="B98" t="s">
        <v>261</v>
      </c>
      <c r="C98" t="s">
        <v>181</v>
      </c>
      <c r="D98" s="8" t="s">
        <v>1</v>
      </c>
      <c r="E98" t="s">
        <v>72</v>
      </c>
      <c r="F98">
        <v>3</v>
      </c>
      <c r="G98" s="3">
        <v>5.7</v>
      </c>
      <c r="H98" s="3">
        <v>7.52</v>
      </c>
      <c r="I98" s="3">
        <f>H98-G98</f>
      </c>
      <c r="J98" s="3">
        <f>I98*16.67%</f>
      </c>
      <c r="K98" s="3">
        <f>H98/100*7</f>
      </c>
      <c r="L98" s="3">
        <f>K98*20%</f>
      </c>
      <c r="M98" s="3">
        <f>K98*2%</f>
      </c>
      <c r="N98" s="3">
        <f>M98*20%</f>
      </c>
      <c r="O98" s="3">
        <v>0</v>
      </c>
      <c r="P98" s="3">
        <f>O98*20%</f>
      </c>
      <c r="Q98" s="3">
        <v>1</v>
      </c>
      <c r="R98" s="3">
        <f>L98+N98+P98</f>
      </c>
      <c r="S98" s="3">
        <f>I98-J98-K98-L98-M98-N98-O98-P98-Q98</f>
      </c>
      <c r="T98" s="3">
        <f>(S98-AB98)/G98*100</f>
      </c>
      <c r="U98" s="3">
        <f>J98-R98</f>
      </c>
      <c r="V98" t="s">
        <v>1</v>
      </c>
      <c r="W98" t="s">
        <v>181</v>
      </c>
      <c r="AC98" s="3">
        <f>S98-AB98</f>
      </c>
      <c r="AD98" t="s">
        <v>1</v>
      </c>
      <c r="AE98" t="s">
        <v>1</v>
      </c>
    </row>
    <row r="99" spans="1:31" x14ac:dyDescent="0.25">
      <c r="A99" s="7">
        <v>46219.5</v>
      </c>
      <c r="B99" t="s">
        <v>262</v>
      </c>
      <c r="C99" t="s">
        <v>1</v>
      </c>
      <c r="D99" s="8" t="s">
        <v>263</v>
      </c>
      <c r="E99" t="s">
        <v>77</v>
      </c>
      <c r="F99">
        <v>1</v>
      </c>
      <c r="G99" s="3">
        <v>108</v>
      </c>
      <c r="H99" s="3">
        <v>142.56</v>
      </c>
      <c r="I99" s="3">
        <f>H99-G99</f>
      </c>
      <c r="J99" s="3">
        <f>I99*16.67%</f>
      </c>
      <c r="K99" s="3">
        <f>H99/100*7</f>
      </c>
      <c r="L99" s="3">
        <f>K99*20%</f>
      </c>
      <c r="M99" s="3">
        <f>K99*2%</f>
      </c>
      <c r="N99" s="3">
        <f>M99*20%</f>
      </c>
      <c r="O99" s="3">
        <v>0</v>
      </c>
      <c r="P99" s="3">
        <f>O99*20%</f>
      </c>
      <c r="Q99" s="3">
        <v>1</v>
      </c>
      <c r="R99" s="3">
        <f>L99+N99+P99</f>
      </c>
      <c r="S99" s="3">
        <f>I99-J99-K99-L99-M99-N99-O99-P99-Q99</f>
      </c>
      <c r="T99" s="3">
        <f>(S99-AB99)/G99*100</f>
      </c>
      <c r="U99" s="3">
        <f>J99-R99</f>
      </c>
      <c r="V99" t="s">
        <v>1</v>
      </c>
      <c r="W99" t="s">
        <v>133</v>
      </c>
      <c r="AC99" s="3">
        <f>S99-AB99</f>
      </c>
      <c r="AD99" t="s">
        <v>65</v>
      </c>
      <c r="AE99" t="s">
        <v>74</v>
      </c>
    </row>
    <row r="100" spans="1:31" x14ac:dyDescent="0.25">
      <c r="A100" s="7">
        <v>46219.5</v>
      </c>
      <c r="B100" t="s">
        <v>264</v>
      </c>
      <c r="C100" t="s">
        <v>1</v>
      </c>
      <c r="D100" s="8" t="s">
        <v>265</v>
      </c>
      <c r="E100" t="s">
        <v>63</v>
      </c>
      <c r="F100">
        <v>1</v>
      </c>
      <c r="G100" s="3">
        <v>704</v>
      </c>
      <c r="H100" s="3">
        <v>999.68</v>
      </c>
      <c r="I100" s="3">
        <f>H100-G100</f>
      </c>
      <c r="J100" s="3">
        <f>I100*16.67%</f>
      </c>
      <c r="K100" s="3">
        <f>H100/100*7</f>
      </c>
      <c r="L100" s="3">
        <f>K100*20%</f>
      </c>
      <c r="M100" s="3">
        <f>K100*2%</f>
      </c>
      <c r="N100" s="3">
        <f>M100*20%</f>
      </c>
      <c r="O100" s="3">
        <v>0</v>
      </c>
      <c r="P100" s="3">
        <f>O100*20%</f>
      </c>
      <c r="Q100" s="3">
        <v>1</v>
      </c>
      <c r="R100" s="3">
        <f>L100+N100+P100</f>
      </c>
      <c r="S100" s="3">
        <f>I100-J100-K100-L100-M100-N100-O100-P100-Q100</f>
      </c>
      <c r="T100" s="3">
        <f>(S100-AB100)/G100*100</f>
      </c>
      <c r="U100" s="3">
        <f>J100-R100</f>
      </c>
      <c r="V100" t="s">
        <v>1</v>
      </c>
      <c r="W100" t="s">
        <v>83</v>
      </c>
      <c r="AC100" s="3">
        <f>S100-AB100</f>
      </c>
      <c r="AD100" t="s">
        <v>59</v>
      </c>
      <c r="AE100" t="s">
        <v>87</v>
      </c>
    </row>
    <row r="101" spans="1:31" x14ac:dyDescent="0.25">
      <c r="A101" s="7">
        <v>46219.5</v>
      </c>
      <c r="B101" t="s">
        <v>266</v>
      </c>
      <c r="C101" t="s">
        <v>1</v>
      </c>
      <c r="D101" s="8" t="s">
        <v>267</v>
      </c>
      <c r="E101" t="s">
        <v>57</v>
      </c>
      <c r="F101">
        <v>1</v>
      </c>
      <c r="G101" s="3">
        <v>302</v>
      </c>
      <c r="H101" s="3">
        <v>431.86</v>
      </c>
      <c r="I101" s="3">
        <f>H101-G101</f>
      </c>
      <c r="J101" s="3">
        <f>I101*16.67%</f>
      </c>
      <c r="K101" s="3">
        <f>H101/100*7</f>
      </c>
      <c r="L101" s="3">
        <f>K101*20%</f>
      </c>
      <c r="M101" s="3">
        <f>K101*2%</f>
      </c>
      <c r="N101" s="3">
        <f>M101*20%</f>
      </c>
      <c r="O101" s="3">
        <v>0</v>
      </c>
      <c r="P101" s="3">
        <f>O101*20%</f>
      </c>
      <c r="Q101" s="3">
        <v>1</v>
      </c>
      <c r="R101" s="3">
        <f>L101+N101+P101</f>
      </c>
      <c r="S101" s="3">
        <f>I101-J101-K101-L101-M101-N101-O101-P101-Q101</f>
      </c>
      <c r="T101" s="3">
        <f>(S101-AB101)/G101*100</f>
      </c>
      <c r="U101" s="3">
        <f>J101-R101</f>
      </c>
      <c r="V101" t="s">
        <v>1</v>
      </c>
      <c r="W101" t="s">
        <v>130</v>
      </c>
      <c r="AC101" s="3">
        <f>S101-AB101</f>
      </c>
      <c r="AD101" t="s">
        <v>59</v>
      </c>
      <c r="AE101" t="s">
        <v>60</v>
      </c>
    </row>
    <row r="102" spans="1:31" x14ac:dyDescent="0.25">
      <c r="A102" s="7">
        <v>46218.5</v>
      </c>
      <c r="B102" t="s">
        <v>268</v>
      </c>
      <c r="C102" t="s">
        <v>1</v>
      </c>
      <c r="D102" s="8" t="s">
        <v>269</v>
      </c>
      <c r="E102" t="s">
        <v>77</v>
      </c>
      <c r="F102">
        <v>1</v>
      </c>
      <c r="G102" s="3">
        <v>179</v>
      </c>
      <c r="H102" s="3">
        <v>247.02</v>
      </c>
      <c r="I102" s="3">
        <f>H102-G102</f>
      </c>
      <c r="J102" s="3">
        <f>I102*16.67%</f>
      </c>
      <c r="K102" s="3">
        <f>H102/100*7</f>
      </c>
      <c r="L102" s="3">
        <f>K102*20%</f>
      </c>
      <c r="M102" s="3">
        <f>K102*2%</f>
      </c>
      <c r="N102" s="3">
        <f>M102*20%</f>
      </c>
      <c r="O102" s="3">
        <v>0</v>
      </c>
      <c r="P102" s="3">
        <f>O102*20%</f>
      </c>
      <c r="Q102" s="3">
        <v>1</v>
      </c>
      <c r="R102" s="3">
        <f>L102+N102+P102</f>
      </c>
      <c r="S102" s="3">
        <f>I102-J102-K102-L102-M102-N102-O102-P102-Q102</f>
      </c>
      <c r="T102" s="3">
        <f>(S102-AB102)/G102*100</f>
      </c>
      <c r="U102" s="3">
        <f>J102-R102</f>
      </c>
      <c r="V102" t="s">
        <v>1</v>
      </c>
      <c r="W102" t="s">
        <v>233</v>
      </c>
      <c r="AC102" s="3">
        <f>S102-AB102</f>
      </c>
      <c r="AD102" t="s">
        <v>65</v>
      </c>
      <c r="AE102" t="s">
        <v>74</v>
      </c>
    </row>
    <row r="103" spans="1:31" x14ac:dyDescent="0.25">
      <c r="A103" s="7">
        <v>46218.5</v>
      </c>
      <c r="B103" t="s">
        <v>270</v>
      </c>
      <c r="C103" t="s">
        <v>1</v>
      </c>
      <c r="D103" s="8" t="s">
        <v>271</v>
      </c>
      <c r="E103" t="s">
        <v>77</v>
      </c>
      <c r="F103">
        <v>1</v>
      </c>
      <c r="G103" s="3">
        <v>473</v>
      </c>
      <c r="H103" s="3">
        <v>666.93</v>
      </c>
      <c r="I103" s="3">
        <f>H103-G103</f>
      </c>
      <c r="J103" s="3">
        <f>I103*16.67%</f>
      </c>
      <c r="K103" s="3">
        <f>H103/100*7</f>
      </c>
      <c r="L103" s="3">
        <f>K103*20%</f>
      </c>
      <c r="M103" s="3">
        <f>K103*2%</f>
      </c>
      <c r="N103" s="3">
        <f>M103*20%</f>
      </c>
      <c r="O103" s="3">
        <v>0</v>
      </c>
      <c r="P103" s="3">
        <f>O103*20%</f>
      </c>
      <c r="Q103" s="3">
        <v>1</v>
      </c>
      <c r="R103" s="3">
        <f>L103+N103+P103</f>
      </c>
      <c r="S103" s="3">
        <f>I103-J103-K103-L103-M103-N103-O103-P103-Q103</f>
      </c>
      <c r="T103" s="3">
        <f>(S103-AB103)/G103*100</f>
      </c>
      <c r="U103" s="3">
        <f>J103-R103</f>
      </c>
      <c r="V103" t="s">
        <v>1</v>
      </c>
      <c r="W103" t="s">
        <v>58</v>
      </c>
      <c r="AC103" s="3">
        <f>S103-AB103</f>
      </c>
      <c r="AD103" t="s">
        <v>59</v>
      </c>
      <c r="AE103" t="s">
        <v>87</v>
      </c>
    </row>
    <row r="104" spans="1:31" x14ac:dyDescent="0.25">
      <c r="A104" s="7">
        <v>46218.5</v>
      </c>
      <c r="B104" t="s">
        <v>272</v>
      </c>
      <c r="C104" t="s">
        <v>1</v>
      </c>
      <c r="D104" s="8" t="s">
        <v>273</v>
      </c>
      <c r="E104" t="s">
        <v>63</v>
      </c>
      <c r="F104">
        <v>1</v>
      </c>
      <c r="G104" s="3">
        <v>315</v>
      </c>
      <c r="H104" s="3">
        <v>403.2</v>
      </c>
      <c r="I104" s="3">
        <f>H104-G104</f>
      </c>
      <c r="J104" s="3">
        <f>I104*16.67%</f>
      </c>
      <c r="K104" s="3">
        <f>H104/100*7</f>
      </c>
      <c r="L104" s="3">
        <f>K104*20%</f>
      </c>
      <c r="M104" s="3">
        <f>K104*2%</f>
      </c>
      <c r="N104" s="3">
        <f>M104*20%</f>
      </c>
      <c r="O104" s="3">
        <v>0</v>
      </c>
      <c r="P104" s="3">
        <f>O104*20%</f>
      </c>
      <c r="Q104" s="3">
        <v>1</v>
      </c>
      <c r="R104" s="3">
        <f>L104+N104+P104</f>
      </c>
      <c r="S104" s="3">
        <f>I104-J104-K104-L104-M104-N104-O104-P104-Q104</f>
      </c>
      <c r="T104" s="3">
        <f>(S104-AB104)/G104*100</f>
      </c>
      <c r="U104" s="3">
        <f>J104-R104</f>
      </c>
      <c r="V104" t="s">
        <v>1</v>
      </c>
      <c r="W104" t="s">
        <v>138</v>
      </c>
      <c r="AC104" s="3">
        <f>S104-AB104</f>
      </c>
      <c r="AD104" t="s">
        <v>65</v>
      </c>
      <c r="AE104" t="s">
        <v>98</v>
      </c>
    </row>
    <row r="105" spans="1:31" x14ac:dyDescent="0.25">
      <c r="A105" s="7">
        <v>46218.5</v>
      </c>
      <c r="B105" t="s">
        <v>274</v>
      </c>
      <c r="C105" t="s">
        <v>176</v>
      </c>
      <c r="D105" s="8" t="s">
        <v>1</v>
      </c>
      <c r="E105" t="s">
        <v>77</v>
      </c>
      <c r="F105">
        <v>4</v>
      </c>
      <c r="G105" s="3">
        <v>0.6</v>
      </c>
      <c r="H105" s="3">
        <v>0.8</v>
      </c>
      <c r="I105" s="3">
        <f>H105-G105</f>
      </c>
      <c r="J105" s="3">
        <f>I105*16.67%</f>
      </c>
      <c r="K105" s="3">
        <f>H105/100*7</f>
      </c>
      <c r="L105" s="3">
        <f>K105*20%</f>
      </c>
      <c r="M105" s="3">
        <f>K105*2%</f>
      </c>
      <c r="N105" s="3">
        <f>M105*20%</f>
      </c>
      <c r="O105" s="3">
        <v>0</v>
      </c>
      <c r="P105" s="3">
        <f>O105*20%</f>
      </c>
      <c r="Q105" s="3">
        <v>1</v>
      </c>
      <c r="R105" s="3">
        <f>L105+N105+P105</f>
      </c>
      <c r="S105" s="3">
        <f>I105-J105-K105-L105-M105-N105-O105-P105-Q105</f>
      </c>
      <c r="T105" s="3">
        <f>(S105-AB105)/G105*100</f>
      </c>
      <c r="U105" s="3">
        <f>J105-R105</f>
      </c>
      <c r="V105" t="s">
        <v>1</v>
      </c>
      <c r="W105" t="s">
        <v>176</v>
      </c>
      <c r="AC105" s="3">
        <f>S105-AB105</f>
      </c>
      <c r="AD105" t="s">
        <v>1</v>
      </c>
      <c r="AE105" t="s">
        <v>1</v>
      </c>
    </row>
    <row r="106" spans="1:31" x14ac:dyDescent="0.25">
      <c r="A106" s="7">
        <v>46218.5</v>
      </c>
      <c r="B106" t="s">
        <v>275</v>
      </c>
      <c r="C106" t="s">
        <v>176</v>
      </c>
      <c r="D106" s="8" t="s">
        <v>1</v>
      </c>
      <c r="E106" t="s">
        <v>77</v>
      </c>
      <c r="F106">
        <v>2</v>
      </c>
      <c r="G106" s="3">
        <v>0.3</v>
      </c>
      <c r="H106" s="3">
        <v>0.34</v>
      </c>
      <c r="I106" s="3">
        <f>H106-G106</f>
      </c>
      <c r="J106" s="3">
        <f>I106*16.67%</f>
      </c>
      <c r="K106" s="3">
        <f>H106/100*7</f>
      </c>
      <c r="L106" s="3">
        <f>K106*20%</f>
      </c>
      <c r="M106" s="3">
        <f>K106*2%</f>
      </c>
      <c r="N106" s="3">
        <f>M106*20%</f>
      </c>
      <c r="O106" s="3">
        <v>0</v>
      </c>
      <c r="P106" s="3">
        <f>O106*20%</f>
      </c>
      <c r="Q106" s="3">
        <v>1</v>
      </c>
      <c r="R106" s="3">
        <f>L106+N106+P106</f>
      </c>
      <c r="S106" s="3">
        <f>I106-J106-K106-L106-M106-N106-O106-P106-Q106</f>
      </c>
      <c r="T106" s="3">
        <f>(S106-AB106)/G106*100</f>
      </c>
      <c r="U106" s="3">
        <f>J106-R106</f>
      </c>
      <c r="V106" t="s">
        <v>1</v>
      </c>
      <c r="W106" t="s">
        <v>176</v>
      </c>
      <c r="AC106" s="3">
        <f>S106-AB106</f>
      </c>
      <c r="AD106" t="s">
        <v>1</v>
      </c>
      <c r="AE106" t="s">
        <v>1</v>
      </c>
    </row>
    <row r="107" spans="1:31" x14ac:dyDescent="0.25">
      <c r="A107" s="7">
        <v>46217.5</v>
      </c>
      <c r="B107" t="s">
        <v>276</v>
      </c>
      <c r="C107" t="s">
        <v>1</v>
      </c>
      <c r="D107" s="8" t="s">
        <v>277</v>
      </c>
      <c r="E107" t="s">
        <v>57</v>
      </c>
      <c r="F107">
        <v>1</v>
      </c>
      <c r="G107" s="3">
        <v>65</v>
      </c>
      <c r="H107" s="3">
        <v>86.45</v>
      </c>
      <c r="I107" s="3">
        <f>H107-G107</f>
      </c>
      <c r="J107" s="3">
        <f>I107*16.67%</f>
      </c>
      <c r="K107" s="3">
        <f>H107/100*7</f>
      </c>
      <c r="L107" s="3">
        <f>K107*20%</f>
      </c>
      <c r="M107" s="3">
        <f>K107*2%</f>
      </c>
      <c r="N107" s="3">
        <f>M107*20%</f>
      </c>
      <c r="O107" s="3">
        <v>0</v>
      </c>
      <c r="P107" s="3">
        <f>O107*20%</f>
      </c>
      <c r="Q107" s="3">
        <v>1</v>
      </c>
      <c r="R107" s="3">
        <f>L107+N107+P107</f>
      </c>
      <c r="S107" s="3">
        <f>I107-J107-K107-L107-M107-N107-O107-P107-Q107</f>
      </c>
      <c r="T107" s="3">
        <f>(S107-AB107)/G107*100</f>
      </c>
      <c r="U107" s="3">
        <f>J107-R107</f>
      </c>
      <c r="V107" t="s">
        <v>1</v>
      </c>
      <c r="W107" t="s">
        <v>93</v>
      </c>
      <c r="AC107" s="3">
        <f>S107-AB107</f>
      </c>
      <c r="AD107" t="s">
        <v>94</v>
      </c>
      <c r="AE107" t="s">
        <v>104</v>
      </c>
    </row>
    <row r="108" spans="1:31" x14ac:dyDescent="0.25">
      <c r="A108" s="7">
        <v>46217.5</v>
      </c>
      <c r="B108" t="s">
        <v>278</v>
      </c>
      <c r="C108" t="s">
        <v>176</v>
      </c>
      <c r="D108" s="8" t="s">
        <v>1</v>
      </c>
      <c r="E108" t="s">
        <v>77</v>
      </c>
      <c r="F108">
        <v>4</v>
      </c>
      <c r="G108" s="3">
        <v>0.6</v>
      </c>
      <c r="H108" s="3">
        <v>0.73</v>
      </c>
      <c r="I108" s="3">
        <f>H108-G108</f>
      </c>
      <c r="J108" s="3">
        <f>I108*16.67%</f>
      </c>
      <c r="K108" s="3">
        <f>H108/100*7</f>
      </c>
      <c r="L108" s="3">
        <f>K108*20%</f>
      </c>
      <c r="M108" s="3">
        <f>K108*2%</f>
      </c>
      <c r="N108" s="3">
        <f>M108*20%</f>
      </c>
      <c r="O108" s="3">
        <v>0</v>
      </c>
      <c r="P108" s="3">
        <f>O108*20%</f>
      </c>
      <c r="Q108" s="3">
        <v>1</v>
      </c>
      <c r="R108" s="3">
        <f>L108+N108+P108</f>
      </c>
      <c r="S108" s="3">
        <f>I108-J108-K108-L108-M108-N108-O108-P108-Q108</f>
      </c>
      <c r="T108" s="3">
        <f>(S108-AB108)/G108*100</f>
      </c>
      <c r="U108" s="3">
        <f>J108-R108</f>
      </c>
      <c r="V108" t="s">
        <v>1</v>
      </c>
      <c r="W108" t="s">
        <v>176</v>
      </c>
      <c r="AC108" s="3">
        <f>S108-AB108</f>
      </c>
      <c r="AD108" t="s">
        <v>1</v>
      </c>
      <c r="AE108" t="s">
        <v>1</v>
      </c>
    </row>
    <row r="109" spans="1:31" x14ac:dyDescent="0.25">
      <c r="A109" s="7">
        <v>46216.5</v>
      </c>
      <c r="B109" t="s">
        <v>279</v>
      </c>
      <c r="C109" t="s">
        <v>1</v>
      </c>
      <c r="D109" s="8" t="s">
        <v>280</v>
      </c>
      <c r="E109" t="s">
        <v>101</v>
      </c>
      <c r="F109">
        <v>1</v>
      </c>
      <c r="G109" s="3">
        <v>65</v>
      </c>
      <c r="H109" s="3">
        <v>85.8</v>
      </c>
      <c r="I109" s="3">
        <f>H109-G109</f>
      </c>
      <c r="J109" s="3">
        <f>I109*16.67%</f>
      </c>
      <c r="K109" s="3">
        <f>H109/100*7</f>
      </c>
      <c r="L109" s="3">
        <f>K109*20%</f>
      </c>
      <c r="M109" s="3">
        <f>K109*2%</f>
      </c>
      <c r="N109" s="3">
        <f>M109*20%</f>
      </c>
      <c r="O109" s="3">
        <v>0</v>
      </c>
      <c r="P109" s="3">
        <f>O109*20%</f>
      </c>
      <c r="Q109" s="3">
        <v>1</v>
      </c>
      <c r="R109" s="3">
        <f>L109+N109+P109</f>
      </c>
      <c r="S109" s="3">
        <f>I109-J109-K109-L109-M109-N109-O109-P109-Q109</f>
      </c>
      <c r="T109" s="3">
        <f>(S109-AB109)/G109*100</f>
      </c>
      <c r="U109" s="3">
        <f>J109-R109</f>
      </c>
      <c r="V109" t="s">
        <v>1</v>
      </c>
      <c r="W109" t="s">
        <v>93</v>
      </c>
      <c r="AC109" s="3">
        <f>S109-AB109</f>
      </c>
      <c r="AD109" t="s">
        <v>94</v>
      </c>
      <c r="AE109" t="s">
        <v>98</v>
      </c>
    </row>
    <row r="110" spans="1:31" x14ac:dyDescent="0.25">
      <c r="A110" s="7">
        <v>46216.5</v>
      </c>
      <c r="B110" t="s">
        <v>281</v>
      </c>
      <c r="C110" t="s">
        <v>188</v>
      </c>
      <c r="D110" s="8" t="s">
        <v>1</v>
      </c>
      <c r="E110" t="s">
        <v>63</v>
      </c>
      <c r="F110">
        <v>3</v>
      </c>
      <c r="G110" s="3">
        <v>10.5</v>
      </c>
      <c r="H110" s="3">
        <v>14.91</v>
      </c>
      <c r="I110" s="3">
        <f>H110-G110</f>
      </c>
      <c r="J110" s="3">
        <f>I110*16.67%</f>
      </c>
      <c r="K110" s="3">
        <f>H110/100*7</f>
      </c>
      <c r="L110" s="3">
        <f>K110*20%</f>
      </c>
      <c r="M110" s="3">
        <f>K110*2%</f>
      </c>
      <c r="N110" s="3">
        <f>M110*20%</f>
      </c>
      <c r="O110" s="3">
        <v>0</v>
      </c>
      <c r="P110" s="3">
        <f>O110*20%</f>
      </c>
      <c r="Q110" s="3">
        <v>1</v>
      </c>
      <c r="R110" s="3">
        <f>L110+N110+P110</f>
      </c>
      <c r="S110" s="3">
        <f>I110-J110-K110-L110-M110-N110-O110-P110-Q110</f>
      </c>
      <c r="T110" s="3">
        <f>(S110-AB110)/G110*100</f>
      </c>
      <c r="U110" s="3">
        <f>J110-R110</f>
      </c>
      <c r="V110" t="s">
        <v>1</v>
      </c>
      <c r="W110" t="s">
        <v>188</v>
      </c>
      <c r="AC110" s="3">
        <f>S110-AB110</f>
      </c>
      <c r="AD110" t="s">
        <v>1</v>
      </c>
      <c r="AE110" t="s">
        <v>1</v>
      </c>
    </row>
    <row r="111" spans="1:31" x14ac:dyDescent="0.25">
      <c r="A111" s="7">
        <v>46216.5</v>
      </c>
      <c r="B111" t="s">
        <v>282</v>
      </c>
      <c r="C111" t="s">
        <v>188</v>
      </c>
      <c r="D111" s="8" t="s">
        <v>1</v>
      </c>
      <c r="E111" t="s">
        <v>63</v>
      </c>
      <c r="F111">
        <v>4</v>
      </c>
      <c r="G111" s="3">
        <v>14</v>
      </c>
      <c r="H111" s="3">
        <v>16.38</v>
      </c>
      <c r="I111" s="3">
        <f>H111-G111</f>
      </c>
      <c r="J111" s="3">
        <f>I111*16.67%</f>
      </c>
      <c r="K111" s="3">
        <f>H111/100*7</f>
      </c>
      <c r="L111" s="3">
        <f>K111*20%</f>
      </c>
      <c r="M111" s="3">
        <f>K111*2%</f>
      </c>
      <c r="N111" s="3">
        <f>M111*20%</f>
      </c>
      <c r="O111" s="3">
        <v>0</v>
      </c>
      <c r="P111" s="3">
        <f>O111*20%</f>
      </c>
      <c r="Q111" s="3">
        <v>1</v>
      </c>
      <c r="R111" s="3">
        <f>L111+N111+P111</f>
      </c>
      <c r="S111" s="3">
        <f>I111-J111-K111-L111-M111-N111-O111-P111-Q111</f>
      </c>
      <c r="T111" s="3">
        <f>(S111-AB111)/G111*100</f>
      </c>
      <c r="U111" s="3">
        <f>J111-R111</f>
      </c>
      <c r="V111" t="s">
        <v>1</v>
      </c>
      <c r="W111" t="s">
        <v>188</v>
      </c>
      <c r="AC111" s="3">
        <f>S111-AB111</f>
      </c>
      <c r="AD111" t="s">
        <v>1</v>
      </c>
      <c r="AE111" t="s">
        <v>1</v>
      </c>
    </row>
    <row r="112" spans="1:31" x14ac:dyDescent="0.25">
      <c r="A112" s="7">
        <v>46215.5</v>
      </c>
      <c r="B112" t="s">
        <v>283</v>
      </c>
      <c r="C112" t="s">
        <v>1</v>
      </c>
      <c r="D112" s="8" t="s">
        <v>284</v>
      </c>
      <c r="E112" t="s">
        <v>57</v>
      </c>
      <c r="F112">
        <v>1</v>
      </c>
      <c r="G112" s="3">
        <v>462</v>
      </c>
      <c r="H112" s="3">
        <v>669.9</v>
      </c>
      <c r="I112" s="3">
        <f>H112-G112</f>
      </c>
      <c r="J112" s="3">
        <f>I112*16.67%</f>
      </c>
      <c r="K112" s="3">
        <f>H112/100*7</f>
      </c>
      <c r="L112" s="3">
        <f>K112*20%</f>
      </c>
      <c r="M112" s="3">
        <f>K112*2%</f>
      </c>
      <c r="N112" s="3">
        <f>M112*20%</f>
      </c>
      <c r="O112" s="3">
        <v>0</v>
      </c>
      <c r="P112" s="3">
        <f>O112*20%</f>
      </c>
      <c r="Q112" s="3">
        <v>1</v>
      </c>
      <c r="R112" s="3">
        <f>L112+N112+P112</f>
      </c>
      <c r="S112" s="3">
        <f>I112-J112-K112-L112-M112-N112-O112-P112-Q112</f>
      </c>
      <c r="T112" s="3">
        <f>(S112-AB112)/G112*100</f>
      </c>
      <c r="U112" s="3">
        <f>J112-R112</f>
      </c>
      <c r="V112" t="s">
        <v>1</v>
      </c>
      <c r="W112" t="s">
        <v>58</v>
      </c>
      <c r="AC112" s="3">
        <f>S112-AB112</f>
      </c>
      <c r="AD112" t="s">
        <v>59</v>
      </c>
      <c r="AE112" t="s">
        <v>69</v>
      </c>
    </row>
    <row r="113" spans="1:31" x14ac:dyDescent="0.25">
      <c r="A113" s="7">
        <v>46215.5</v>
      </c>
      <c r="B113" t="s">
        <v>285</v>
      </c>
      <c r="C113" t="s">
        <v>1</v>
      </c>
      <c r="D113" s="8" t="s">
        <v>286</v>
      </c>
      <c r="E113" t="s">
        <v>63</v>
      </c>
      <c r="F113">
        <v>1</v>
      </c>
      <c r="G113" s="3">
        <v>291</v>
      </c>
      <c r="H113" s="3">
        <v>401.58</v>
      </c>
      <c r="I113" s="3">
        <f>H113-G113</f>
      </c>
      <c r="J113" s="3">
        <f>I113*16.67%</f>
      </c>
      <c r="K113" s="3">
        <f>H113/100*7</f>
      </c>
      <c r="L113" s="3">
        <f>K113*20%</f>
      </c>
      <c r="M113" s="3">
        <f>K113*2%</f>
      </c>
      <c r="N113" s="3">
        <f>M113*20%</f>
      </c>
      <c r="O113" s="3">
        <v>0</v>
      </c>
      <c r="P113" s="3">
        <f>O113*20%</f>
      </c>
      <c r="Q113" s="3">
        <v>1</v>
      </c>
      <c r="R113" s="3">
        <f>L113+N113+P113</f>
      </c>
      <c r="S113" s="3">
        <f>I113-J113-K113-L113-M113-N113-O113-P113-Q113</f>
      </c>
      <c r="T113" s="3">
        <f>(S113-AB113)/G113*100</f>
      </c>
      <c r="U113" s="3">
        <f>J113-R113</f>
      </c>
      <c r="V113" t="s">
        <v>1</v>
      </c>
      <c r="W113" t="s">
        <v>130</v>
      </c>
      <c r="AC113" s="3">
        <f>S113-AB113</f>
      </c>
      <c r="AD113" t="s">
        <v>65</v>
      </c>
      <c r="AE113" t="s">
        <v>84</v>
      </c>
    </row>
    <row r="114" spans="1:31" x14ac:dyDescent="0.25">
      <c r="A114" s="7">
        <v>46215.5</v>
      </c>
      <c r="B114" t="s">
        <v>287</v>
      </c>
      <c r="C114" t="s">
        <v>1</v>
      </c>
      <c r="D114" s="8" t="s">
        <v>288</v>
      </c>
      <c r="E114" t="s">
        <v>72</v>
      </c>
      <c r="F114">
        <v>1</v>
      </c>
      <c r="G114" s="3">
        <v>230</v>
      </c>
      <c r="H114" s="3">
        <v>282.9</v>
      </c>
      <c r="I114" s="3">
        <f>H114-G114</f>
      </c>
      <c r="J114" s="3">
        <f>I114*16.67%</f>
      </c>
      <c r="K114" s="3">
        <f>H114/100*7</f>
      </c>
      <c r="L114" s="3">
        <f>K114*20%</f>
      </c>
      <c r="M114" s="3">
        <f>K114*2%</f>
      </c>
      <c r="N114" s="3">
        <f>M114*20%</f>
      </c>
      <c r="O114" s="3">
        <v>0</v>
      </c>
      <c r="P114" s="3">
        <f>O114*20%</f>
      </c>
      <c r="Q114" s="3">
        <v>1</v>
      </c>
      <c r="R114" s="3">
        <f>L114+N114+P114</f>
      </c>
      <c r="S114" s="3">
        <f>I114-J114-K114-L114-M114-N114-O114-P114-Q114</f>
      </c>
      <c r="T114" s="3">
        <f>(S114-AB114)/G114*100</f>
      </c>
      <c r="U114" s="3">
        <f>J114-R114</f>
      </c>
      <c r="V114" t="s">
        <v>1</v>
      </c>
      <c r="W114" t="s">
        <v>113</v>
      </c>
      <c r="AC114" s="3">
        <f>S114-AB114</f>
      </c>
      <c r="AD114" t="s">
        <v>94</v>
      </c>
      <c r="AE114" t="s">
        <v>104</v>
      </c>
    </row>
    <row r="115" spans="1:31" x14ac:dyDescent="0.25">
      <c r="A115" s="7">
        <v>46215.5</v>
      </c>
      <c r="B115" t="s">
        <v>289</v>
      </c>
      <c r="C115" t="s">
        <v>1</v>
      </c>
      <c r="D115" s="8" t="s">
        <v>290</v>
      </c>
      <c r="E115" t="s">
        <v>72</v>
      </c>
      <c r="F115">
        <v>1</v>
      </c>
      <c r="G115" s="3">
        <v>163</v>
      </c>
      <c r="H115" s="3">
        <v>207.01</v>
      </c>
      <c r="I115" s="3">
        <f>H115-G115</f>
      </c>
      <c r="J115" s="3">
        <f>I115*16.67%</f>
      </c>
      <c r="K115" s="3">
        <f>H115/100*7</f>
      </c>
      <c r="L115" s="3">
        <f>K115*20%</f>
      </c>
      <c r="M115" s="3">
        <f>K115*2%</f>
      </c>
      <c r="N115" s="3">
        <f>M115*20%</f>
      </c>
      <c r="O115" s="3">
        <v>0</v>
      </c>
      <c r="P115" s="3">
        <f>O115*20%</f>
      </c>
      <c r="Q115" s="3">
        <v>1</v>
      </c>
      <c r="R115" s="3">
        <f>L115+N115+P115</f>
      </c>
      <c r="S115" s="3">
        <f>I115-J115-K115-L115-M115-N115-O115-P115-Q115</f>
      </c>
      <c r="T115" s="3">
        <f>(S115-AB115)/G115*100</f>
      </c>
      <c r="U115" s="3">
        <f>J115-R115</f>
      </c>
      <c r="V115" t="s">
        <v>1</v>
      </c>
      <c r="W115" t="s">
        <v>291</v>
      </c>
      <c r="AC115" s="3">
        <f>S115-AB115</f>
      </c>
      <c r="AD115" t="s">
        <v>125</v>
      </c>
      <c r="AE115" t="s">
        <v>98</v>
      </c>
    </row>
    <row r="116" spans="1:31" x14ac:dyDescent="0.25">
      <c r="A116" s="7">
        <v>46214.5</v>
      </c>
      <c r="B116" t="s">
        <v>292</v>
      </c>
      <c r="C116" t="s">
        <v>1</v>
      </c>
      <c r="D116" s="8" t="s">
        <v>293</v>
      </c>
      <c r="E116" t="s">
        <v>57</v>
      </c>
      <c r="F116">
        <v>1</v>
      </c>
      <c r="G116" s="3">
        <v>341</v>
      </c>
      <c r="H116" s="3">
        <v>419.43</v>
      </c>
      <c r="I116" s="3">
        <f>H116-G116</f>
      </c>
      <c r="J116" s="3">
        <f>I116*16.67%</f>
      </c>
      <c r="K116" s="3">
        <f>H116/100*7</f>
      </c>
      <c r="L116" s="3">
        <f>K116*20%</f>
      </c>
      <c r="M116" s="3">
        <f>K116*2%</f>
      </c>
      <c r="N116" s="3">
        <f>M116*20%</f>
      </c>
      <c r="O116" s="3">
        <v>0</v>
      </c>
      <c r="P116" s="3">
        <f>O116*20%</f>
      </c>
      <c r="Q116" s="3">
        <v>1</v>
      </c>
      <c r="R116" s="3">
        <f>L116+N116+P116</f>
      </c>
      <c r="S116" s="3">
        <f>I116-J116-K116-L116-M116-N116-O116-P116-Q116</f>
      </c>
      <c r="T116" s="3">
        <f>(S116-AB116)/G116*100</f>
      </c>
      <c r="U116" s="3">
        <f>J116-R116</f>
      </c>
      <c r="V116" t="s">
        <v>1</v>
      </c>
      <c r="W116" t="s">
        <v>138</v>
      </c>
      <c r="AC116" s="3">
        <f>S116-AB116</f>
      </c>
      <c r="AD116" t="s">
        <v>65</v>
      </c>
      <c r="AE116" t="s">
        <v>104</v>
      </c>
    </row>
    <row r="117" spans="1:31" x14ac:dyDescent="0.25">
      <c r="A117" s="7">
        <v>46214.5</v>
      </c>
      <c r="B117" t="s">
        <v>294</v>
      </c>
      <c r="C117" t="s">
        <v>181</v>
      </c>
      <c r="D117" s="8" t="s">
        <v>1</v>
      </c>
      <c r="E117" t="s">
        <v>72</v>
      </c>
      <c r="F117">
        <v>1</v>
      </c>
      <c r="G117" s="3">
        <v>1.9</v>
      </c>
      <c r="H117" s="3">
        <v>2.43</v>
      </c>
      <c r="I117" s="3">
        <f>H117-G117</f>
      </c>
      <c r="J117" s="3">
        <f>I117*16.67%</f>
      </c>
      <c r="K117" s="3">
        <f>H117/100*7</f>
      </c>
      <c r="L117" s="3">
        <f>K117*20%</f>
      </c>
      <c r="M117" s="3">
        <f>K117*2%</f>
      </c>
      <c r="N117" s="3">
        <f>M117*20%</f>
      </c>
      <c r="O117" s="3">
        <v>0</v>
      </c>
      <c r="P117" s="3">
        <f>O117*20%</f>
      </c>
      <c r="Q117" s="3">
        <v>1</v>
      </c>
      <c r="R117" s="3">
        <f>L117+N117+P117</f>
      </c>
      <c r="S117" s="3">
        <f>I117-J117-K117-L117-M117-N117-O117-P117-Q117</f>
      </c>
      <c r="T117" s="3">
        <f>(S117-AB117)/G117*100</f>
      </c>
      <c r="U117" s="3">
        <f>J117-R117</f>
      </c>
      <c r="V117" t="s">
        <v>1</v>
      </c>
      <c r="W117" t="s">
        <v>181</v>
      </c>
      <c r="AC117" s="3">
        <f>S117-AB117</f>
      </c>
      <c r="AD117" t="s">
        <v>1</v>
      </c>
      <c r="AE117" t="s">
        <v>1</v>
      </c>
    </row>
    <row r="118" spans="1:31" x14ac:dyDescent="0.25">
      <c r="A118" s="7">
        <v>46213.5</v>
      </c>
      <c r="B118" t="s">
        <v>295</v>
      </c>
      <c r="C118" t="s">
        <v>1</v>
      </c>
      <c r="D118" s="8" t="s">
        <v>296</v>
      </c>
      <c r="E118" t="s">
        <v>101</v>
      </c>
      <c r="F118">
        <v>1</v>
      </c>
      <c r="G118" s="3">
        <v>222</v>
      </c>
      <c r="H118" s="3">
        <v>315.24</v>
      </c>
      <c r="I118" s="3">
        <f>H118-G118</f>
      </c>
      <c r="J118" s="3">
        <f>I118*16.67%</f>
      </c>
      <c r="K118" s="3">
        <f>H118/100*7</f>
      </c>
      <c r="L118" s="3">
        <f>K118*20%</f>
      </c>
      <c r="M118" s="3">
        <f>K118*2%</f>
      </c>
      <c r="N118" s="3">
        <f>M118*20%</f>
      </c>
      <c r="O118" s="3">
        <v>0</v>
      </c>
      <c r="P118" s="3">
        <f>O118*20%</f>
      </c>
      <c r="Q118" s="3">
        <v>1</v>
      </c>
      <c r="R118" s="3">
        <f>L118+N118+P118</f>
      </c>
      <c r="S118" s="3">
        <f>I118-J118-K118-L118-M118-N118-O118-P118-Q118</f>
      </c>
      <c r="T118" s="3">
        <f>(S118-AB118)/G118*100</f>
      </c>
      <c r="U118" s="3">
        <f>J118-R118</f>
      </c>
      <c r="V118" t="s">
        <v>1</v>
      </c>
      <c r="W118" t="s">
        <v>64</v>
      </c>
      <c r="AC118" s="3">
        <f>S118-AB118</f>
      </c>
      <c r="AD118" t="s">
        <v>65</v>
      </c>
      <c r="AE118" t="s">
        <v>98</v>
      </c>
    </row>
    <row r="119" spans="1:31" x14ac:dyDescent="0.25">
      <c r="A119" s="7">
        <v>46213.5</v>
      </c>
      <c r="B119" t="s">
        <v>297</v>
      </c>
      <c r="C119" t="s">
        <v>188</v>
      </c>
      <c r="D119" s="8" t="s">
        <v>1</v>
      </c>
      <c r="E119" t="s">
        <v>63</v>
      </c>
      <c r="F119">
        <v>1</v>
      </c>
      <c r="G119" s="3">
        <v>3.5</v>
      </c>
      <c r="H119" s="3">
        <v>4.02</v>
      </c>
      <c r="I119" s="3">
        <f>H119-G119</f>
      </c>
      <c r="J119" s="3">
        <f>I119*16.67%</f>
      </c>
      <c r="K119" s="3">
        <f>H119/100*7</f>
      </c>
      <c r="L119" s="3">
        <f>K119*20%</f>
      </c>
      <c r="M119" s="3">
        <f>K119*2%</f>
      </c>
      <c r="N119" s="3">
        <f>M119*20%</f>
      </c>
      <c r="O119" s="3">
        <v>0</v>
      </c>
      <c r="P119" s="3">
        <f>O119*20%</f>
      </c>
      <c r="Q119" s="3">
        <v>1</v>
      </c>
      <c r="R119" s="3">
        <f>L119+N119+P119</f>
      </c>
      <c r="S119" s="3">
        <f>I119-J119-K119-L119-M119-N119-O119-P119-Q119</f>
      </c>
      <c r="T119" s="3">
        <f>(S119-AB119)/G119*100</f>
      </c>
      <c r="U119" s="3">
        <f>J119-R119</f>
      </c>
      <c r="V119" t="s">
        <v>1</v>
      </c>
      <c r="W119" t="s">
        <v>188</v>
      </c>
      <c r="AC119" s="3">
        <f>S119-AB119</f>
      </c>
      <c r="AD119" t="s">
        <v>1</v>
      </c>
      <c r="AE119" t="s">
        <v>1</v>
      </c>
    </row>
    <row r="120" spans="1:31" x14ac:dyDescent="0.25">
      <c r="A120" s="7">
        <v>46213.5</v>
      </c>
      <c r="B120" t="s">
        <v>298</v>
      </c>
      <c r="C120" t="s">
        <v>173</v>
      </c>
      <c r="D120" s="8" t="s">
        <v>1</v>
      </c>
      <c r="E120" t="s">
        <v>63</v>
      </c>
      <c r="F120">
        <v>1</v>
      </c>
      <c r="G120" s="3">
        <v>4.25</v>
      </c>
      <c r="H120" s="3">
        <v>5.82</v>
      </c>
      <c r="I120" s="3">
        <f>H120-G120</f>
      </c>
      <c r="J120" s="3">
        <f>I120*16.67%</f>
      </c>
      <c r="K120" s="3">
        <f>H120/100*7</f>
      </c>
      <c r="L120" s="3">
        <f>K120*20%</f>
      </c>
      <c r="M120" s="3">
        <f>K120*2%</f>
      </c>
      <c r="N120" s="3">
        <f>M120*20%</f>
      </c>
      <c r="O120" s="3">
        <v>0</v>
      </c>
      <c r="P120" s="3">
        <f>O120*20%</f>
      </c>
      <c r="Q120" s="3">
        <v>1</v>
      </c>
      <c r="R120" s="3">
        <f>L120+N120+P120</f>
      </c>
      <c r="S120" s="3">
        <f>I120-J120-K120-L120-M120-N120-O120-P120-Q120</f>
      </c>
      <c r="T120" s="3">
        <f>(S120-AB120)/G120*100</f>
      </c>
      <c r="U120" s="3">
        <f>J120-R120</f>
      </c>
      <c r="V120" t="s">
        <v>1</v>
      </c>
      <c r="W120" t="s">
        <v>173</v>
      </c>
      <c r="AC120" s="3">
        <f>S120-AB120</f>
      </c>
      <c r="AD120" t="s">
        <v>1</v>
      </c>
      <c r="AE120" t="s">
        <v>1</v>
      </c>
    </row>
    <row r="121" spans="1:31" x14ac:dyDescent="0.25">
      <c r="A121" s="7">
        <v>46212.5</v>
      </c>
      <c r="B121" t="s">
        <v>299</v>
      </c>
      <c r="C121" t="s">
        <v>1</v>
      </c>
      <c r="D121" s="8" t="s">
        <v>300</v>
      </c>
      <c r="E121" t="s">
        <v>101</v>
      </c>
      <c r="F121">
        <v>1</v>
      </c>
      <c r="G121" s="3">
        <v>110</v>
      </c>
      <c r="H121" s="3">
        <v>128.7</v>
      </c>
      <c r="I121" s="3">
        <f>H121-G121</f>
      </c>
      <c r="J121" s="3">
        <f>I121*16.67%</f>
      </c>
      <c r="K121" s="3">
        <f>H121/100*7</f>
      </c>
      <c r="L121" s="3">
        <f>K121*20%</f>
      </c>
      <c r="M121" s="3">
        <f>K121*2%</f>
      </c>
      <c r="N121" s="3">
        <f>M121*20%</f>
      </c>
      <c r="O121" s="3">
        <v>0</v>
      </c>
      <c r="P121" s="3">
        <f>O121*20%</f>
      </c>
      <c r="Q121" s="3">
        <v>1</v>
      </c>
      <c r="R121" s="3">
        <f>L121+N121+P121</f>
      </c>
      <c r="S121" s="3">
        <f>I121-J121-K121-L121-M121-N121-O121-P121-Q121</f>
      </c>
      <c r="T121" s="3">
        <f>(S121-AB121)/G121*100</f>
      </c>
      <c r="U121" s="3">
        <f>J121-R121</f>
      </c>
      <c r="V121" t="s">
        <v>1</v>
      </c>
      <c r="W121" t="s">
        <v>133</v>
      </c>
      <c r="AC121" s="3">
        <f>S121-AB121</f>
      </c>
      <c r="AD121" t="s">
        <v>94</v>
      </c>
      <c r="AE121" t="s">
        <v>60</v>
      </c>
    </row>
    <row r="122" spans="1:31" x14ac:dyDescent="0.25">
      <c r="A122" s="7">
        <v>46211.5</v>
      </c>
      <c r="B122" t="s">
        <v>301</v>
      </c>
      <c r="C122" t="s">
        <v>1</v>
      </c>
      <c r="D122" s="8" t="s">
        <v>302</v>
      </c>
      <c r="E122" t="s">
        <v>72</v>
      </c>
      <c r="F122">
        <v>1</v>
      </c>
      <c r="G122" s="3">
        <v>246</v>
      </c>
      <c r="H122" s="3">
        <v>312.42</v>
      </c>
      <c r="I122" s="3">
        <f>H122-G122</f>
      </c>
      <c r="J122" s="3">
        <f>I122*16.67%</f>
      </c>
      <c r="K122" s="3">
        <f>H122/100*7</f>
      </c>
      <c r="L122" s="3">
        <f>K122*20%</f>
      </c>
      <c r="M122" s="3">
        <f>K122*2%</f>
      </c>
      <c r="N122" s="3">
        <f>M122*20%</f>
      </c>
      <c r="O122" s="3">
        <v>0</v>
      </c>
      <c r="P122" s="3">
        <f>O122*20%</f>
      </c>
      <c r="Q122" s="3">
        <v>1</v>
      </c>
      <c r="R122" s="3">
        <f>L122+N122+P122</f>
      </c>
      <c r="S122" s="3">
        <f>I122-J122-K122-L122-M122-N122-O122-P122-Q122</f>
      </c>
      <c r="T122" s="3">
        <f>(S122-AB122)/G122*100</f>
      </c>
      <c r="U122" s="3">
        <f>J122-R122</f>
      </c>
      <c r="V122" t="s">
        <v>1</v>
      </c>
      <c r="W122" t="s">
        <v>64</v>
      </c>
      <c r="AC122" s="3">
        <f>S122-AB122</f>
      </c>
      <c r="AD122" t="s">
        <v>65</v>
      </c>
      <c r="AE122" t="s">
        <v>84</v>
      </c>
    </row>
    <row r="123" spans="1:31" x14ac:dyDescent="0.25">
      <c r="A123" s="7">
        <v>46211.5</v>
      </c>
      <c r="B123" t="s">
        <v>303</v>
      </c>
      <c r="C123" t="s">
        <v>1</v>
      </c>
      <c r="D123" s="8" t="s">
        <v>304</v>
      </c>
      <c r="E123" t="s">
        <v>101</v>
      </c>
      <c r="F123">
        <v>1</v>
      </c>
      <c r="G123" s="3">
        <v>362</v>
      </c>
      <c r="H123" s="3">
        <v>503.18</v>
      </c>
      <c r="I123" s="3">
        <f>H123-G123</f>
      </c>
      <c r="J123" s="3">
        <f>I123*16.67%</f>
      </c>
      <c r="K123" s="3">
        <f>H123/100*7</f>
      </c>
      <c r="L123" s="3">
        <f>K123*20%</f>
      </c>
      <c r="M123" s="3">
        <f>K123*2%</f>
      </c>
      <c r="N123" s="3">
        <f>M123*20%</f>
      </c>
      <c r="O123" s="3">
        <v>0</v>
      </c>
      <c r="P123" s="3">
        <f>O123*20%</f>
      </c>
      <c r="Q123" s="3">
        <v>1</v>
      </c>
      <c r="R123" s="3">
        <f>L123+N123+P123</f>
      </c>
      <c r="S123" s="3">
        <f>I123-J123-K123-L123-M123-N123-O123-P123-Q123</f>
      </c>
      <c r="T123" s="3">
        <f>(S123-AB123)/G123*100</f>
      </c>
      <c r="U123" s="3">
        <f>J123-R123</f>
      </c>
      <c r="V123" t="s">
        <v>1</v>
      </c>
      <c r="W123" t="s">
        <v>73</v>
      </c>
      <c r="AC123" s="3">
        <f>S123-AB123</f>
      </c>
      <c r="AD123" t="s">
        <v>59</v>
      </c>
      <c r="AE123" t="s">
        <v>87</v>
      </c>
    </row>
    <row r="124" spans="1:31" x14ac:dyDescent="0.25">
      <c r="A124" s="7">
        <v>46210.5</v>
      </c>
      <c r="B124" t="s">
        <v>305</v>
      </c>
      <c r="C124" t="s">
        <v>1</v>
      </c>
      <c r="D124" s="8" t="s">
        <v>306</v>
      </c>
      <c r="E124" t="s">
        <v>72</v>
      </c>
      <c r="F124">
        <v>1</v>
      </c>
      <c r="G124" s="3">
        <v>325</v>
      </c>
      <c r="H124" s="3">
        <v>399.75</v>
      </c>
      <c r="I124" s="3">
        <f>H124-G124</f>
      </c>
      <c r="J124" s="3">
        <f>I124*16.67%</f>
      </c>
      <c r="K124" s="3">
        <f>H124/100*7</f>
      </c>
      <c r="L124" s="3">
        <f>K124*20%</f>
      </c>
      <c r="M124" s="3">
        <f>K124*2%</f>
      </c>
      <c r="N124" s="3">
        <f>M124*20%</f>
      </c>
      <c r="O124" s="3">
        <v>0</v>
      </c>
      <c r="P124" s="3">
        <f>O124*20%</f>
      </c>
      <c r="Q124" s="3">
        <v>1</v>
      </c>
      <c r="R124" s="3">
        <f>L124+N124+P124</f>
      </c>
      <c r="S124" s="3">
        <f>I124-J124-K124-L124-M124-N124-O124-P124-Q124</f>
      </c>
      <c r="T124" s="3">
        <f>(S124-AB124)/G124*100</f>
      </c>
      <c r="U124" s="3">
        <f>J124-R124</f>
      </c>
      <c r="V124" t="s">
        <v>1</v>
      </c>
      <c r="W124" t="s">
        <v>73</v>
      </c>
      <c r="AC124" s="3">
        <f>S124-AB124</f>
      </c>
      <c r="AD124" t="s">
        <v>59</v>
      </c>
      <c r="AE124" t="s">
        <v>74</v>
      </c>
    </row>
    <row r="125" spans="1:31" x14ac:dyDescent="0.25">
      <c r="A125" s="7">
        <v>46210.5</v>
      </c>
      <c r="B125" t="s">
        <v>307</v>
      </c>
      <c r="C125" t="s">
        <v>1</v>
      </c>
      <c r="D125" s="8" t="s">
        <v>308</v>
      </c>
      <c r="E125" t="s">
        <v>77</v>
      </c>
      <c r="F125">
        <v>1</v>
      </c>
      <c r="G125" s="3">
        <v>246</v>
      </c>
      <c r="H125" s="3">
        <v>332.1</v>
      </c>
      <c r="I125" s="3">
        <f>H125-G125</f>
      </c>
      <c r="J125" s="3">
        <f>I125*16.67%</f>
      </c>
      <c r="K125" s="3">
        <f>H125/100*7</f>
      </c>
      <c r="L125" s="3">
        <f>K125*20%</f>
      </c>
      <c r="M125" s="3">
        <f>K125*2%</f>
      </c>
      <c r="N125" s="3">
        <f>M125*20%</f>
      </c>
      <c r="O125" s="3">
        <v>0</v>
      </c>
      <c r="P125" s="3">
        <f>O125*20%</f>
      </c>
      <c r="Q125" s="3">
        <v>1</v>
      </c>
      <c r="R125" s="3">
        <f>L125+N125+P125</f>
      </c>
      <c r="S125" s="3">
        <f>I125-J125-K125-L125-M125-N125-O125-P125-Q125</f>
      </c>
      <c r="T125" s="3">
        <f>(S125-AB125)/G125*100</f>
      </c>
      <c r="U125" s="3">
        <f>J125-R125</f>
      </c>
      <c r="V125" t="s">
        <v>1</v>
      </c>
      <c r="W125" t="s">
        <v>64</v>
      </c>
      <c r="AC125" s="3">
        <f>S125-AB125</f>
      </c>
      <c r="AD125" t="s">
        <v>65</v>
      </c>
      <c r="AE125" t="s">
        <v>104</v>
      </c>
    </row>
    <row r="126" spans="1:31" x14ac:dyDescent="0.25">
      <c r="A126" s="7">
        <v>46210.5</v>
      </c>
      <c r="B126" t="s">
        <v>309</v>
      </c>
      <c r="C126" t="s">
        <v>1</v>
      </c>
      <c r="D126" s="8" t="s">
        <v>310</v>
      </c>
      <c r="E126" t="s">
        <v>77</v>
      </c>
      <c r="F126">
        <v>1</v>
      </c>
      <c r="G126" s="3">
        <v>151</v>
      </c>
      <c r="H126" s="3">
        <v>199.32</v>
      </c>
      <c r="I126" s="3">
        <f>H126-G126</f>
      </c>
      <c r="J126" s="3">
        <f>I126*16.67%</f>
      </c>
      <c r="K126" s="3">
        <f>H126/100*7</f>
      </c>
      <c r="L126" s="3">
        <f>K126*20%</f>
      </c>
      <c r="M126" s="3">
        <f>K126*2%</f>
      </c>
      <c r="N126" s="3">
        <f>M126*20%</f>
      </c>
      <c r="O126" s="3">
        <v>0</v>
      </c>
      <c r="P126" s="3">
        <f>O126*20%</f>
      </c>
      <c r="Q126" s="3">
        <v>1</v>
      </c>
      <c r="R126" s="3">
        <f>L126+N126+P126</f>
      </c>
      <c r="S126" s="3">
        <f>I126-J126-K126-L126-M126-N126-O126-P126-Q126</f>
      </c>
      <c r="T126" s="3">
        <f>(S126-AB126)/G126*100</f>
      </c>
      <c r="U126" s="3">
        <f>J126-R126</f>
      </c>
      <c r="V126" t="s">
        <v>1</v>
      </c>
      <c r="W126" t="s">
        <v>233</v>
      </c>
      <c r="AC126" s="3">
        <f>S126-AB126</f>
      </c>
      <c r="AD126" t="s">
        <v>65</v>
      </c>
      <c r="AE126" t="s">
        <v>74</v>
      </c>
    </row>
    <row r="127" spans="1:31" x14ac:dyDescent="0.25">
      <c r="A127" s="7">
        <v>46210.5</v>
      </c>
      <c r="B127" t="s">
        <v>311</v>
      </c>
      <c r="C127" t="s">
        <v>1</v>
      </c>
      <c r="D127" s="8" t="s">
        <v>312</v>
      </c>
      <c r="E127" t="s">
        <v>77</v>
      </c>
      <c r="F127">
        <v>1</v>
      </c>
      <c r="G127" s="3">
        <v>101</v>
      </c>
      <c r="H127" s="3">
        <v>140.39</v>
      </c>
      <c r="I127" s="3">
        <f>H127-G127</f>
      </c>
      <c r="J127" s="3">
        <f>I127*16.67%</f>
      </c>
      <c r="K127" s="3">
        <f>H127/100*7</f>
      </c>
      <c r="L127" s="3">
        <f>K127*20%</f>
      </c>
      <c r="M127" s="3">
        <f>K127*2%</f>
      </c>
      <c r="N127" s="3">
        <f>M127*20%</f>
      </c>
      <c r="O127" s="3">
        <v>0</v>
      </c>
      <c r="P127" s="3">
        <f>O127*20%</f>
      </c>
      <c r="Q127" s="3">
        <v>1</v>
      </c>
      <c r="R127" s="3">
        <f>L127+N127+P127</f>
      </c>
      <c r="S127" s="3">
        <f>I127-J127-K127-L127-M127-N127-O127-P127-Q127</f>
      </c>
      <c r="T127" s="3">
        <f>(S127-AB127)/G127*100</f>
      </c>
      <c r="U127" s="3">
        <f>J127-R127</f>
      </c>
      <c r="V127" t="s">
        <v>1</v>
      </c>
      <c r="W127" t="s">
        <v>133</v>
      </c>
      <c r="AC127" s="3">
        <f>S127-AB127</f>
      </c>
      <c r="AD127" t="s">
        <v>65</v>
      </c>
      <c r="AE127" t="s">
        <v>60</v>
      </c>
    </row>
    <row r="128" spans="1:31" x14ac:dyDescent="0.25">
      <c r="A128" s="7">
        <v>46210.5</v>
      </c>
      <c r="B128" t="s">
        <v>313</v>
      </c>
      <c r="C128" t="s">
        <v>184</v>
      </c>
      <c r="D128" s="8" t="s">
        <v>1</v>
      </c>
      <c r="E128" t="s">
        <v>101</v>
      </c>
      <c r="F128">
        <v>4</v>
      </c>
      <c r="G128" s="3">
        <v>4.8</v>
      </c>
      <c r="H128" s="3">
        <v>6.72</v>
      </c>
      <c r="I128" s="3">
        <f>H128-G128</f>
      </c>
      <c r="J128" s="3">
        <f>I128*16.67%</f>
      </c>
      <c r="K128" s="3">
        <f>H128/100*7</f>
      </c>
      <c r="L128" s="3">
        <f>K128*20%</f>
      </c>
      <c r="M128" s="3">
        <f>K128*2%</f>
      </c>
      <c r="N128" s="3">
        <f>M128*20%</f>
      </c>
      <c r="O128" s="3">
        <v>0</v>
      </c>
      <c r="P128" s="3">
        <f>O128*20%</f>
      </c>
      <c r="Q128" s="3">
        <v>1</v>
      </c>
      <c r="R128" s="3">
        <f>L128+N128+P128</f>
      </c>
      <c r="S128" s="3">
        <f>I128-J128-K128-L128-M128-N128-O128-P128-Q128</f>
      </c>
      <c r="T128" s="3">
        <f>(S128-AB128)/G128*100</f>
      </c>
      <c r="U128" s="3">
        <f>J128-R128</f>
      </c>
      <c r="V128" t="s">
        <v>1</v>
      </c>
      <c r="W128" t="s">
        <v>184</v>
      </c>
      <c r="AC128" s="3">
        <f>S128-AB128</f>
      </c>
      <c r="AD128" t="s">
        <v>1</v>
      </c>
      <c r="AE128" t="s">
        <v>1</v>
      </c>
    </row>
    <row r="129" spans="1:31" x14ac:dyDescent="0.25">
      <c r="A129" s="7">
        <v>46210.5</v>
      </c>
      <c r="B129" t="s">
        <v>314</v>
      </c>
      <c r="C129" t="s">
        <v>184</v>
      </c>
      <c r="D129" s="8" t="s">
        <v>1</v>
      </c>
      <c r="E129" t="s">
        <v>101</v>
      </c>
      <c r="F129">
        <v>2</v>
      </c>
      <c r="G129" s="3">
        <v>2.4</v>
      </c>
      <c r="H129" s="3">
        <v>2.78</v>
      </c>
      <c r="I129" s="3">
        <f>H129-G129</f>
      </c>
      <c r="J129" s="3">
        <f>I129*16.67%</f>
      </c>
      <c r="K129" s="3">
        <f>H129/100*7</f>
      </c>
      <c r="L129" s="3">
        <f>K129*20%</f>
      </c>
      <c r="M129" s="3">
        <f>K129*2%</f>
      </c>
      <c r="N129" s="3">
        <f>M129*20%</f>
      </c>
      <c r="O129" s="3">
        <v>0</v>
      </c>
      <c r="P129" s="3">
        <f>O129*20%</f>
      </c>
      <c r="Q129" s="3">
        <v>1</v>
      </c>
      <c r="R129" s="3">
        <f>L129+N129+P129</f>
      </c>
      <c r="S129" s="3">
        <f>I129-J129-K129-L129-M129-N129-O129-P129-Q129</f>
      </c>
      <c r="T129" s="3">
        <f>(S129-AB129)/G129*100</f>
      </c>
      <c r="U129" s="3">
        <f>J129-R129</f>
      </c>
      <c r="V129" t="s">
        <v>1</v>
      </c>
      <c r="W129" t="s">
        <v>184</v>
      </c>
      <c r="AC129" s="3">
        <f>S129-AB129</f>
      </c>
      <c r="AD129" t="s">
        <v>1</v>
      </c>
      <c r="AE129" t="s">
        <v>1</v>
      </c>
    </row>
    <row r="130" spans="1:31" x14ac:dyDescent="0.25">
      <c r="A130" s="7">
        <v>46209.5</v>
      </c>
      <c r="B130" t="s">
        <v>315</v>
      </c>
      <c r="C130" t="s">
        <v>1</v>
      </c>
      <c r="D130" s="8" t="s">
        <v>316</v>
      </c>
      <c r="E130" t="s">
        <v>63</v>
      </c>
      <c r="F130">
        <v>1</v>
      </c>
      <c r="G130" s="3">
        <v>425</v>
      </c>
      <c r="H130" s="3">
        <v>514.25</v>
      </c>
      <c r="I130" s="3">
        <f>H130-G130</f>
      </c>
      <c r="J130" s="3">
        <f>I130*16.67%</f>
      </c>
      <c r="K130" s="3">
        <f>H130/100*7</f>
      </c>
      <c r="L130" s="3">
        <f>K130*20%</f>
      </c>
      <c r="M130" s="3">
        <f>K130*2%</f>
      </c>
      <c r="N130" s="3">
        <f>M130*20%</f>
      </c>
      <c r="O130" s="3">
        <v>0</v>
      </c>
      <c r="P130" s="3">
        <f>O130*20%</f>
      </c>
      <c r="Q130" s="3">
        <v>1</v>
      </c>
      <c r="R130" s="3">
        <f>L130+N130+P130</f>
      </c>
      <c r="S130" s="3">
        <f>I130-J130-K130-L130-M130-N130-O130-P130-Q130</f>
      </c>
      <c r="T130" s="3">
        <f>(S130-AB130)/G130*100</f>
      </c>
      <c r="U130" s="3">
        <f>J130-R130</f>
      </c>
      <c r="V130" t="s">
        <v>1</v>
      </c>
      <c r="W130" t="s">
        <v>58</v>
      </c>
      <c r="AC130" s="3">
        <f>S130-AB130</f>
      </c>
      <c r="AD130" t="s">
        <v>59</v>
      </c>
      <c r="AE130" t="s">
        <v>74</v>
      </c>
    </row>
    <row r="131" spans="1:31" x14ac:dyDescent="0.25">
      <c r="A131" s="7">
        <v>46208.5</v>
      </c>
      <c r="B131" t="s">
        <v>317</v>
      </c>
      <c r="C131" t="s">
        <v>1</v>
      </c>
      <c r="D131" s="8" t="s">
        <v>318</v>
      </c>
      <c r="E131" t="s">
        <v>63</v>
      </c>
      <c r="F131">
        <v>1</v>
      </c>
      <c r="G131" s="3">
        <v>288</v>
      </c>
      <c r="H131" s="3">
        <v>339.84</v>
      </c>
      <c r="I131" s="3">
        <f>H131-G131</f>
      </c>
      <c r="J131" s="3">
        <f>I131*16.67%</f>
      </c>
      <c r="K131" s="3">
        <f>H131/100*7</f>
      </c>
      <c r="L131" s="3">
        <f>K131*20%</f>
      </c>
      <c r="M131" s="3">
        <f>K131*2%</f>
      </c>
      <c r="N131" s="3">
        <f>M131*20%</f>
      </c>
      <c r="O131" s="3">
        <v>0</v>
      </c>
      <c r="P131" s="3">
        <f>O131*20%</f>
      </c>
      <c r="Q131" s="3">
        <v>1</v>
      </c>
      <c r="R131" s="3">
        <f>L131+N131+P131</f>
      </c>
      <c r="S131" s="3">
        <f>I131-J131-K131-L131-M131-N131-O131-P131-Q131</f>
      </c>
      <c r="T131" s="3">
        <f>(S131-AB131)/G131*100</f>
      </c>
      <c r="U131" s="3">
        <f>J131-R131</f>
      </c>
      <c r="V131" t="s">
        <v>1</v>
      </c>
      <c r="W131" t="s">
        <v>97</v>
      </c>
      <c r="AC131" s="3">
        <f>S131-AB131</f>
      </c>
      <c r="AD131" t="s">
        <v>59</v>
      </c>
      <c r="AE131" t="s">
        <v>69</v>
      </c>
    </row>
    <row r="132" spans="1:31" x14ac:dyDescent="0.25">
      <c r="A132" s="7">
        <v>46208.5</v>
      </c>
      <c r="B132" t="s">
        <v>319</v>
      </c>
      <c r="C132" t="s">
        <v>1</v>
      </c>
      <c r="D132" s="8" t="s">
        <v>320</v>
      </c>
      <c r="E132" t="s">
        <v>101</v>
      </c>
      <c r="F132">
        <v>1</v>
      </c>
      <c r="G132" s="3">
        <v>236</v>
      </c>
      <c r="H132" s="3">
        <v>276.12</v>
      </c>
      <c r="I132" s="3">
        <f>H132-G132</f>
      </c>
      <c r="J132" s="3">
        <f>I132*16.67%</f>
      </c>
      <c r="K132" s="3">
        <f>H132/100*7</f>
      </c>
      <c r="L132" s="3">
        <f>K132*20%</f>
      </c>
      <c r="M132" s="3">
        <f>K132*2%</f>
      </c>
      <c r="N132" s="3">
        <f>M132*20%</f>
      </c>
      <c r="O132" s="3">
        <v>0</v>
      </c>
      <c r="P132" s="3">
        <f>O132*20%</f>
      </c>
      <c r="Q132" s="3">
        <v>1</v>
      </c>
      <c r="R132" s="3">
        <f>L132+N132+P132</f>
      </c>
      <c r="S132" s="3">
        <f>I132-J132-K132-L132-M132-N132-O132-P132-Q132</f>
      </c>
      <c r="T132" s="3">
        <f>(S132-AB132)/G132*100</f>
      </c>
      <c r="U132" s="3">
        <f>J132-R132</f>
      </c>
      <c r="V132" t="s">
        <v>1</v>
      </c>
      <c r="W132" t="s">
        <v>64</v>
      </c>
      <c r="AC132" s="3">
        <f>S132-AB132</f>
      </c>
      <c r="AD132" t="s">
        <v>65</v>
      </c>
      <c r="AE132" t="s">
        <v>87</v>
      </c>
    </row>
    <row r="133" spans="1:31" x14ac:dyDescent="0.25">
      <c r="A133" s="7">
        <v>46207.5</v>
      </c>
      <c r="B133" t="s">
        <v>321</v>
      </c>
      <c r="C133" t="s">
        <v>1</v>
      </c>
      <c r="D133" s="8" t="s">
        <v>322</v>
      </c>
      <c r="E133" t="s">
        <v>63</v>
      </c>
      <c r="F133">
        <v>1</v>
      </c>
      <c r="G133" s="3">
        <v>180</v>
      </c>
      <c r="H133" s="3">
        <v>228.6</v>
      </c>
      <c r="I133" s="3">
        <f>H133-G133</f>
      </c>
      <c r="J133" s="3">
        <f>I133*16.67%</f>
      </c>
      <c r="K133" s="3">
        <f>H133/100*7</f>
      </c>
      <c r="L133" s="3">
        <f>K133*20%</f>
      </c>
      <c r="M133" s="3">
        <f>K133*2%</f>
      </c>
      <c r="N133" s="3">
        <f>M133*20%</f>
      </c>
      <c r="O133" s="3">
        <v>0</v>
      </c>
      <c r="P133" s="3">
        <f>O133*20%</f>
      </c>
      <c r="Q133" s="3">
        <v>1</v>
      </c>
      <c r="R133" s="3">
        <f>L133+N133+P133</f>
      </c>
      <c r="S133" s="3">
        <f>I133-J133-K133-L133-M133-N133-O133-P133-Q133</f>
      </c>
      <c r="T133" s="3">
        <f>(S133-AB133)/G133*100</f>
      </c>
      <c r="U133" s="3">
        <f>J133-R133</f>
      </c>
      <c r="V133" t="s">
        <v>1</v>
      </c>
      <c r="W133" t="s">
        <v>171</v>
      </c>
      <c r="AC133" s="3">
        <f>S133-AB133</f>
      </c>
      <c r="AD133" t="s">
        <v>65</v>
      </c>
      <c r="AE133" t="s">
        <v>74</v>
      </c>
    </row>
    <row r="134" spans="1:31" x14ac:dyDescent="0.25">
      <c r="A134" s="7">
        <v>46207.5</v>
      </c>
      <c r="B134" t="s">
        <v>323</v>
      </c>
      <c r="C134" t="s">
        <v>1</v>
      </c>
      <c r="D134" s="8" t="s">
        <v>324</v>
      </c>
      <c r="E134" t="s">
        <v>101</v>
      </c>
      <c r="F134">
        <v>1</v>
      </c>
      <c r="G134" s="3">
        <v>304</v>
      </c>
      <c r="H134" s="3">
        <v>419.52</v>
      </c>
      <c r="I134" s="3">
        <f>H134-G134</f>
      </c>
      <c r="J134" s="3">
        <f>I134*16.67%</f>
      </c>
      <c r="K134" s="3">
        <f>H134/100*7</f>
      </c>
      <c r="L134" s="3">
        <f>K134*20%</f>
      </c>
      <c r="M134" s="3">
        <f>K134*2%</f>
      </c>
      <c r="N134" s="3">
        <f>M134*20%</f>
      </c>
      <c r="O134" s="3">
        <v>0</v>
      </c>
      <c r="P134" s="3">
        <f>O134*20%</f>
      </c>
      <c r="Q134" s="3">
        <v>1</v>
      </c>
      <c r="R134" s="3">
        <f>L134+N134+P134</f>
      </c>
      <c r="S134" s="3">
        <f>I134-J134-K134-L134-M134-N134-O134-P134-Q134</f>
      </c>
      <c r="T134" s="3">
        <f>(S134-AB134)/G134*100</f>
      </c>
      <c r="U134" s="3">
        <f>J134-R134</f>
      </c>
      <c r="V134" t="s">
        <v>1</v>
      </c>
      <c r="W134" t="s">
        <v>97</v>
      </c>
      <c r="AC134" s="3">
        <f>S134-AB134</f>
      </c>
      <c r="AD134" t="s">
        <v>65</v>
      </c>
      <c r="AE134" t="s">
        <v>69</v>
      </c>
    </row>
    <row r="135" spans="1:31" x14ac:dyDescent="0.25">
      <c r="A135" s="7">
        <v>46207.5</v>
      </c>
      <c r="B135" t="s">
        <v>325</v>
      </c>
      <c r="C135" t="s">
        <v>1</v>
      </c>
      <c r="D135" s="8" t="s">
        <v>326</v>
      </c>
      <c r="E135" t="s">
        <v>101</v>
      </c>
      <c r="F135">
        <v>1</v>
      </c>
      <c r="G135" s="3">
        <v>109</v>
      </c>
      <c r="H135" s="3">
        <v>149.33</v>
      </c>
      <c r="I135" s="3">
        <f>H135-G135</f>
      </c>
      <c r="J135" s="3">
        <f>I135*16.67%</f>
      </c>
      <c r="K135" s="3">
        <f>H135/100*7</f>
      </c>
      <c r="L135" s="3">
        <f>K135*20%</f>
      </c>
      <c r="M135" s="3">
        <f>K135*2%</f>
      </c>
      <c r="N135" s="3">
        <f>M135*20%</f>
      </c>
      <c r="O135" s="3">
        <v>0</v>
      </c>
      <c r="P135" s="3">
        <f>O135*20%</f>
      </c>
      <c r="Q135" s="3">
        <v>1</v>
      </c>
      <c r="R135" s="3">
        <f>L135+N135+P135</f>
      </c>
      <c r="S135" s="3">
        <f>I135-J135-K135-L135-M135-N135-O135-P135-Q135</f>
      </c>
      <c r="T135" s="3">
        <f>(S135-AB135)/G135*100</f>
      </c>
      <c r="U135" s="3">
        <f>J135-R135</f>
      </c>
      <c r="V135" t="s">
        <v>1</v>
      </c>
      <c r="W135" t="s">
        <v>133</v>
      </c>
      <c r="AC135" s="3">
        <f>S135-AB135</f>
      </c>
      <c r="AD135" t="s">
        <v>94</v>
      </c>
      <c r="AE135" t="s">
        <v>87</v>
      </c>
    </row>
    <row r="136" spans="1:31" x14ac:dyDescent="0.25">
      <c r="A136" s="7">
        <v>46207.5</v>
      </c>
      <c r="B136" t="s">
        <v>327</v>
      </c>
      <c r="C136" t="s">
        <v>173</v>
      </c>
      <c r="D136" s="8" t="s">
        <v>1</v>
      </c>
      <c r="E136" t="s">
        <v>63</v>
      </c>
      <c r="F136">
        <v>4</v>
      </c>
      <c r="G136" s="3">
        <v>17</v>
      </c>
      <c r="H136" s="3">
        <v>24.65</v>
      </c>
      <c r="I136" s="3">
        <f>H136-G136</f>
      </c>
      <c r="J136" s="3">
        <f>I136*16.67%</f>
      </c>
      <c r="K136" s="3">
        <f>H136/100*7</f>
      </c>
      <c r="L136" s="3">
        <f>K136*20%</f>
      </c>
      <c r="M136" s="3">
        <f>K136*2%</f>
      </c>
      <c r="N136" s="3">
        <f>M136*20%</f>
      </c>
      <c r="O136" s="3">
        <v>0</v>
      </c>
      <c r="P136" s="3">
        <f>O136*20%</f>
      </c>
      <c r="Q136" s="3">
        <v>1</v>
      </c>
      <c r="R136" s="3">
        <f>L136+N136+P136</f>
      </c>
      <c r="S136" s="3">
        <f>I136-J136-K136-L136-M136-N136-O136-P136-Q136</f>
      </c>
      <c r="T136" s="3">
        <f>(S136-AB136)/G136*100</f>
      </c>
      <c r="U136" s="3">
        <f>J136-R136</f>
      </c>
      <c r="V136" t="s">
        <v>1</v>
      </c>
      <c r="W136" t="s">
        <v>173</v>
      </c>
      <c r="AC136" s="3">
        <f>S136-AB136</f>
      </c>
      <c r="AD136" t="s">
        <v>1</v>
      </c>
      <c r="AE136" t="s">
        <v>1</v>
      </c>
    </row>
    <row r="137" spans="1:31" x14ac:dyDescent="0.25">
      <c r="A137" s="7">
        <v>46206.5</v>
      </c>
      <c r="B137" t="s">
        <v>328</v>
      </c>
      <c r="C137" t="s">
        <v>1</v>
      </c>
      <c r="D137" s="8" t="s">
        <v>329</v>
      </c>
      <c r="E137" t="s">
        <v>57</v>
      </c>
      <c r="F137">
        <v>1</v>
      </c>
      <c r="G137" s="3">
        <v>517</v>
      </c>
      <c r="H137" s="3">
        <v>666.93</v>
      </c>
      <c r="I137" s="3">
        <f>H137-G137</f>
      </c>
      <c r="J137" s="3">
        <f>I137*16.67%</f>
      </c>
      <c r="K137" s="3">
        <f>H137/100*7</f>
      </c>
      <c r="L137" s="3">
        <f>K137*20%</f>
      </c>
      <c r="M137" s="3">
        <f>K137*2%</f>
      </c>
      <c r="N137" s="3">
        <f>M137*20%</f>
      </c>
      <c r="O137" s="3">
        <v>0</v>
      </c>
      <c r="P137" s="3">
        <f>O137*20%</f>
      </c>
      <c r="Q137" s="3">
        <v>1</v>
      </c>
      <c r="R137" s="3">
        <f>L137+N137+P137</f>
      </c>
      <c r="S137" s="3">
        <f>I137-J137-K137-L137-M137-N137-O137-P137-Q137</f>
      </c>
      <c r="T137" s="3">
        <f>(S137-AB137)/G137*100</f>
      </c>
      <c r="U137" s="3">
        <f>J137-R137</f>
      </c>
      <c r="V137" t="s">
        <v>1</v>
      </c>
      <c r="W137" t="s">
        <v>68</v>
      </c>
      <c r="AC137" s="3">
        <f>S137-AB137</f>
      </c>
      <c r="AD137" t="s">
        <v>59</v>
      </c>
      <c r="AE137" t="s">
        <v>98</v>
      </c>
    </row>
    <row r="138" spans="1:31" x14ac:dyDescent="0.25">
      <c r="A138" s="7">
        <v>46206.5</v>
      </c>
      <c r="B138" t="s">
        <v>330</v>
      </c>
      <c r="C138" t="s">
        <v>1</v>
      </c>
      <c r="D138" s="8" t="s">
        <v>331</v>
      </c>
      <c r="E138" t="s">
        <v>77</v>
      </c>
      <c r="F138">
        <v>1</v>
      </c>
      <c r="G138" s="3">
        <v>237</v>
      </c>
      <c r="H138" s="3">
        <v>308.1</v>
      </c>
      <c r="I138" s="3">
        <f>H138-G138</f>
      </c>
      <c r="J138" s="3">
        <f>I138*16.67%</f>
      </c>
      <c r="K138" s="3">
        <f>H138/100*7</f>
      </c>
      <c r="L138" s="3">
        <f>K138*20%</f>
      </c>
      <c r="M138" s="3">
        <f>K138*2%</f>
      </c>
      <c r="N138" s="3">
        <f>M138*20%</f>
      </c>
      <c r="O138" s="3">
        <v>0</v>
      </c>
      <c r="P138" s="3">
        <f>O138*20%</f>
      </c>
      <c r="Q138" s="3">
        <v>1</v>
      </c>
      <c r="R138" s="3">
        <f>L138+N138+P138</f>
      </c>
      <c r="S138" s="3">
        <f>I138-J138-K138-L138-M138-N138-O138-P138-Q138</f>
      </c>
      <c r="T138" s="3">
        <f>(S138-AB138)/G138*100</f>
      </c>
      <c r="U138" s="3">
        <f>J138-R138</f>
      </c>
      <c r="V138" t="s">
        <v>1</v>
      </c>
      <c r="W138" t="s">
        <v>113</v>
      </c>
      <c r="AC138" s="3">
        <f>S138-AB138</f>
      </c>
      <c r="AD138" t="s">
        <v>94</v>
      </c>
      <c r="AE138" t="s">
        <v>69</v>
      </c>
    </row>
    <row r="139" spans="1:31" x14ac:dyDescent="0.25">
      <c r="A139" s="7">
        <v>46206.5</v>
      </c>
      <c r="B139" t="s">
        <v>332</v>
      </c>
      <c r="C139" t="s">
        <v>1</v>
      </c>
      <c r="D139" s="8" t="s">
        <v>333</v>
      </c>
      <c r="E139" t="s">
        <v>77</v>
      </c>
      <c r="F139">
        <v>1</v>
      </c>
      <c r="G139" s="3">
        <v>679</v>
      </c>
      <c r="H139" s="3">
        <v>943.81</v>
      </c>
      <c r="I139" s="3">
        <f>H139-G139</f>
      </c>
      <c r="J139" s="3">
        <f>I139*16.67%</f>
      </c>
      <c r="K139" s="3">
        <f>H139/100*7</f>
      </c>
      <c r="L139" s="3">
        <f>K139*20%</f>
      </c>
      <c r="M139" s="3">
        <f>K139*2%</f>
      </c>
      <c r="N139" s="3">
        <f>M139*20%</f>
      </c>
      <c r="O139" s="3">
        <v>0</v>
      </c>
      <c r="P139" s="3">
        <f>O139*20%</f>
      </c>
      <c r="Q139" s="3">
        <v>1</v>
      </c>
      <c r="R139" s="3">
        <f>L139+N139+P139</f>
      </c>
      <c r="S139" s="3">
        <f>I139-J139-K139-L139-M139-N139-O139-P139-Q139</f>
      </c>
      <c r="T139" s="3">
        <f>(S139-AB139)/G139*100</f>
      </c>
      <c r="U139" s="3">
        <f>J139-R139</f>
      </c>
      <c r="V139" t="s">
        <v>1</v>
      </c>
      <c r="W139" t="s">
        <v>83</v>
      </c>
      <c r="AC139" s="3">
        <f>S139-AB139</f>
      </c>
      <c r="AD139" t="s">
        <v>59</v>
      </c>
      <c r="AE139" t="s">
        <v>60</v>
      </c>
    </row>
    <row r="140" spans="1:31" x14ac:dyDescent="0.25">
      <c r="A140" s="7">
        <v>46206.5</v>
      </c>
      <c r="B140" t="s">
        <v>334</v>
      </c>
      <c r="C140" t="s">
        <v>1</v>
      </c>
      <c r="D140" s="8" t="s">
        <v>335</v>
      </c>
      <c r="E140" t="s">
        <v>72</v>
      </c>
      <c r="F140">
        <v>1</v>
      </c>
      <c r="G140" s="3">
        <v>64</v>
      </c>
      <c r="H140" s="3">
        <v>75.52</v>
      </c>
      <c r="I140" s="3">
        <f>H140-G140</f>
      </c>
      <c r="J140" s="3">
        <f>I140*16.67%</f>
      </c>
      <c r="K140" s="3">
        <f>H140/100*7</f>
      </c>
      <c r="L140" s="3">
        <f>K140*20%</f>
      </c>
      <c r="M140" s="3">
        <f>K140*2%</f>
      </c>
      <c r="N140" s="3">
        <f>M140*20%</f>
      </c>
      <c r="O140" s="3">
        <v>0</v>
      </c>
      <c r="P140" s="3">
        <f>O140*20%</f>
      </c>
      <c r="Q140" s="3">
        <v>1</v>
      </c>
      <c r="R140" s="3">
        <f>L140+N140+P140</f>
      </c>
      <c r="S140" s="3">
        <f>I140-J140-K140-L140-M140-N140-O140-P140-Q140</f>
      </c>
      <c r="T140" s="3">
        <f>(S140-AB140)/G140*100</f>
      </c>
      <c r="U140" s="3">
        <f>J140-R140</f>
      </c>
      <c r="V140" t="s">
        <v>1</v>
      </c>
      <c r="W140" t="s">
        <v>93</v>
      </c>
      <c r="AC140" s="3">
        <f>S140-AB140</f>
      </c>
      <c r="AD140" t="s">
        <v>94</v>
      </c>
      <c r="AE140" t="s">
        <v>74</v>
      </c>
    </row>
    <row r="141" spans="1:31" x14ac:dyDescent="0.25">
      <c r="A141" s="7">
        <v>46206.5</v>
      </c>
      <c r="B141" t="s">
        <v>336</v>
      </c>
      <c r="C141" t="s">
        <v>1</v>
      </c>
      <c r="D141" s="8" t="s">
        <v>1</v>
      </c>
      <c r="E141" t="s">
        <v>77</v>
      </c>
      <c r="F141">
        <v>1</v>
      </c>
      <c r="G141" s="3">
        <v>477</v>
      </c>
      <c r="H141" s="3">
        <v>691.65</v>
      </c>
      <c r="I141" s="3">
        <f>H141-G141</f>
      </c>
      <c r="J141" s="3">
        <f>I141*16.67%</f>
      </c>
      <c r="K141" s="3">
        <f>H141/100*7</f>
      </c>
      <c r="L141" s="3">
        <f>K141*20%</f>
      </c>
      <c r="M141" s="3">
        <f>K141*2%</f>
      </c>
      <c r="N141" s="3">
        <f>M141*20%</f>
      </c>
      <c r="O141" s="3">
        <v>0</v>
      </c>
      <c r="P141" s="3">
        <f>O141*20%</f>
      </c>
      <c r="Q141" s="3">
        <v>1</v>
      </c>
      <c r="R141" s="3">
        <f>L141+N141+P141</f>
      </c>
      <c r="S141" s="3">
        <f>I141-J141-K141-L141-M141-N141-O141-P141-Q141</f>
      </c>
      <c r="T141" s="3">
        <f>(S141-AB141)/G141*100</f>
      </c>
      <c r="U141" s="3">
        <f>J141-R141</f>
      </c>
      <c r="V141" t="s">
        <v>1</v>
      </c>
      <c r="W141" t="s">
        <v>1</v>
      </c>
      <c r="AC141" s="3">
        <f>S141-AB141</f>
      </c>
      <c r="AD141" t="s">
        <v>1</v>
      </c>
      <c r="AE141" t="s">
        <v>1</v>
      </c>
    </row>
    <row r="142" spans="1:31" x14ac:dyDescent="0.25">
      <c r="A142" s="7">
        <v>46205.5</v>
      </c>
      <c r="B142" t="s">
        <v>337</v>
      </c>
      <c r="C142" t="s">
        <v>1</v>
      </c>
      <c r="D142" s="8" t="s">
        <v>338</v>
      </c>
      <c r="E142" t="s">
        <v>63</v>
      </c>
      <c r="F142">
        <v>1</v>
      </c>
      <c r="G142" s="3">
        <v>221</v>
      </c>
      <c r="H142" s="3">
        <v>307.19</v>
      </c>
      <c r="I142" s="3">
        <f>H142-G142</f>
      </c>
      <c r="J142" s="3">
        <f>I142*16.67%</f>
      </c>
      <c r="K142" s="3">
        <f>H142/100*7</f>
      </c>
      <c r="L142" s="3">
        <f>K142*20%</f>
      </c>
      <c r="M142" s="3">
        <f>K142*2%</f>
      </c>
      <c r="N142" s="3">
        <f>M142*20%</f>
      </c>
      <c r="O142" s="3">
        <v>0</v>
      </c>
      <c r="P142" s="3">
        <f>O142*20%</f>
      </c>
      <c r="Q142" s="3">
        <v>1</v>
      </c>
      <c r="R142" s="3">
        <f>L142+N142+P142</f>
      </c>
      <c r="S142" s="3">
        <f>I142-J142-K142-L142-M142-N142-O142-P142-Q142</f>
      </c>
      <c r="T142" s="3">
        <f>(S142-AB142)/G142*100</f>
      </c>
      <c r="U142" s="3">
        <f>J142-R142</f>
      </c>
      <c r="V142" t="s">
        <v>1</v>
      </c>
      <c r="W142" t="s">
        <v>64</v>
      </c>
      <c r="AC142" s="3">
        <f>S142-AB142</f>
      </c>
      <c r="AD142" t="s">
        <v>65</v>
      </c>
      <c r="AE142" t="s">
        <v>60</v>
      </c>
    </row>
    <row r="143" spans="1:31" x14ac:dyDescent="0.25">
      <c r="A143" s="7">
        <v>46205.5</v>
      </c>
      <c r="B143" t="s">
        <v>339</v>
      </c>
      <c r="C143" t="s">
        <v>1</v>
      </c>
      <c r="D143" s="8" t="s">
        <v>340</v>
      </c>
      <c r="E143" t="s">
        <v>57</v>
      </c>
      <c r="F143">
        <v>1</v>
      </c>
      <c r="G143" s="3">
        <v>176</v>
      </c>
      <c r="H143" s="3">
        <v>228.8</v>
      </c>
      <c r="I143" s="3">
        <f>H143-G143</f>
      </c>
      <c r="J143" s="3">
        <f>I143*16.67%</f>
      </c>
      <c r="K143" s="3">
        <f>H143/100*7</f>
      </c>
      <c r="L143" s="3">
        <f>K143*20%</f>
      </c>
      <c r="M143" s="3">
        <f>K143*2%</f>
      </c>
      <c r="N143" s="3">
        <f>M143*20%</f>
      </c>
      <c r="O143" s="3">
        <v>0</v>
      </c>
      <c r="P143" s="3">
        <f>O143*20%</f>
      </c>
      <c r="Q143" s="3">
        <v>1</v>
      </c>
      <c r="R143" s="3">
        <f>L143+N143+P143</f>
      </c>
      <c r="S143" s="3">
        <f>I143-J143-K143-L143-M143-N143-O143-P143-Q143</f>
      </c>
      <c r="T143" s="3">
        <f>(S143-AB143)/G143*100</f>
      </c>
      <c r="U143" s="3">
        <f>J143-R143</f>
      </c>
      <c r="V143" t="s">
        <v>1</v>
      </c>
      <c r="W143" t="s">
        <v>291</v>
      </c>
      <c r="AC143" s="3">
        <f>S143-AB143</f>
      </c>
      <c r="AD143" t="s">
        <v>125</v>
      </c>
      <c r="AE143" t="s">
        <v>60</v>
      </c>
    </row>
    <row r="144" spans="1:31" x14ac:dyDescent="0.25">
      <c r="A144" s="7">
        <v>46205.5</v>
      </c>
      <c r="B144" t="s">
        <v>341</v>
      </c>
      <c r="C144" t="s">
        <v>253</v>
      </c>
      <c r="D144" s="8" t="s">
        <v>1</v>
      </c>
      <c r="E144" t="s">
        <v>57</v>
      </c>
      <c r="F144">
        <v>4</v>
      </c>
      <c r="G144" s="3">
        <v>3.2</v>
      </c>
      <c r="H144" s="3">
        <v>4.61</v>
      </c>
      <c r="I144" s="3">
        <f>H144-G144</f>
      </c>
      <c r="J144" s="3">
        <f>I144*16.67%</f>
      </c>
      <c r="K144" s="3">
        <f>H144/100*7</f>
      </c>
      <c r="L144" s="3">
        <f>K144*20%</f>
      </c>
      <c r="M144" s="3">
        <f>K144*2%</f>
      </c>
      <c r="N144" s="3">
        <f>M144*20%</f>
      </c>
      <c r="O144" s="3">
        <v>0</v>
      </c>
      <c r="P144" s="3">
        <f>O144*20%</f>
      </c>
      <c r="Q144" s="3">
        <v>1</v>
      </c>
      <c r="R144" s="3">
        <f>L144+N144+P144</f>
      </c>
      <c r="S144" s="3">
        <f>I144-J144-K144-L144-M144-N144-O144-P144-Q144</f>
      </c>
      <c r="T144" s="3">
        <f>(S144-AB144)/G144*100</f>
      </c>
      <c r="U144" s="3">
        <f>J144-R144</f>
      </c>
      <c r="V144" t="s">
        <v>1</v>
      </c>
      <c r="W144" t="s">
        <v>253</v>
      </c>
      <c r="AC144" s="3">
        <f>S144-AB144</f>
      </c>
      <c r="AD144" t="s">
        <v>1</v>
      </c>
      <c r="AE144" t="s">
        <v>1</v>
      </c>
    </row>
    <row r="145" spans="1:31" x14ac:dyDescent="0.25">
      <c r="A145" s="7">
        <v>46204.5</v>
      </c>
      <c r="B145" t="s">
        <v>342</v>
      </c>
      <c r="C145" t="s">
        <v>1</v>
      </c>
      <c r="D145" s="8" t="s">
        <v>343</v>
      </c>
      <c r="E145" t="s">
        <v>63</v>
      </c>
      <c r="F145">
        <v>1</v>
      </c>
      <c r="G145" s="3">
        <v>241</v>
      </c>
      <c r="H145" s="3">
        <v>344.63</v>
      </c>
      <c r="I145" s="3">
        <f>H145-G145</f>
      </c>
      <c r="J145" s="3">
        <f>I145*16.67%</f>
      </c>
      <c r="K145" s="3">
        <f>H145/100*7</f>
      </c>
      <c r="L145" s="3">
        <f>K145*20%</f>
      </c>
      <c r="M145" s="3">
        <f>K145*2%</f>
      </c>
      <c r="N145" s="3">
        <f>M145*20%</f>
      </c>
      <c r="O145" s="3">
        <v>0</v>
      </c>
      <c r="P145" s="3">
        <f>O145*20%</f>
      </c>
      <c r="Q145" s="3">
        <v>1</v>
      </c>
      <c r="R145" s="3">
        <f>L145+N145+P145</f>
      </c>
      <c r="S145" s="3">
        <f>I145-J145-K145-L145-M145-N145-O145-P145-Q145</f>
      </c>
      <c r="T145" s="3">
        <f>(S145-AB145)/G145*100</f>
      </c>
      <c r="U145" s="3">
        <f>J145-R145</f>
      </c>
      <c r="V145" t="s">
        <v>1</v>
      </c>
      <c r="W145" t="s">
        <v>64</v>
      </c>
      <c r="AC145" s="3">
        <f>S145-AB145</f>
      </c>
      <c r="AD145" t="s">
        <v>65</v>
      </c>
      <c r="AE145" t="s">
        <v>104</v>
      </c>
    </row>
    <row r="146" spans="1:31" x14ac:dyDescent="0.25">
      <c r="A146" s="7">
        <v>46204.5</v>
      </c>
      <c r="B146" t="s">
        <v>344</v>
      </c>
      <c r="C146" t="s">
        <v>1</v>
      </c>
      <c r="D146" s="8" t="s">
        <v>345</v>
      </c>
      <c r="E146" t="s">
        <v>72</v>
      </c>
      <c r="F146">
        <v>1</v>
      </c>
      <c r="G146" s="3">
        <v>66</v>
      </c>
      <c r="H146" s="3">
        <v>83.82</v>
      </c>
      <c r="I146" s="3">
        <f>H146-G146</f>
      </c>
      <c r="J146" s="3">
        <f>I146*16.67%</f>
      </c>
      <c r="K146" s="3">
        <f>H146/100*7</f>
      </c>
      <c r="L146" s="3">
        <f>K146*20%</f>
      </c>
      <c r="M146" s="3">
        <f>K146*2%</f>
      </c>
      <c r="N146" s="3">
        <f>M146*20%</f>
      </c>
      <c r="O146" s="3">
        <v>0</v>
      </c>
      <c r="P146" s="3">
        <f>O146*20%</f>
      </c>
      <c r="Q146" s="3">
        <v>1</v>
      </c>
      <c r="R146" s="3">
        <f>L146+N146+P146</f>
      </c>
      <c r="S146" s="3">
        <f>I146-J146-K146-L146-M146-N146-O146-P146-Q146</f>
      </c>
      <c r="T146" s="3">
        <f>(S146-AB146)/G146*100</f>
      </c>
      <c r="U146" s="3">
        <f>J146-R146</f>
      </c>
      <c r="V146" t="s">
        <v>1</v>
      </c>
      <c r="W146" t="s">
        <v>93</v>
      </c>
      <c r="AC146" s="3">
        <f>S146-AB146</f>
      </c>
      <c r="AD146" t="s">
        <v>94</v>
      </c>
      <c r="AE146" t="s">
        <v>69</v>
      </c>
    </row>
    <row r="147" spans="1:31" x14ac:dyDescent="0.25">
      <c r="A147" s="7">
        <v>46204.5</v>
      </c>
      <c r="B147" t="s">
        <v>346</v>
      </c>
      <c r="C147" t="s">
        <v>1</v>
      </c>
      <c r="D147" s="8" t="s">
        <v>347</v>
      </c>
      <c r="E147" t="s">
        <v>63</v>
      </c>
      <c r="F147">
        <v>1</v>
      </c>
      <c r="G147" s="3">
        <v>318</v>
      </c>
      <c r="H147" s="3">
        <v>375.24</v>
      </c>
      <c r="I147" s="3">
        <f>H147-G147</f>
      </c>
      <c r="J147" s="3">
        <f>I147*16.67%</f>
      </c>
      <c r="K147" s="3">
        <f>H147/100*7</f>
      </c>
      <c r="L147" s="3">
        <f>K147*20%</f>
      </c>
      <c r="M147" s="3">
        <f>K147*2%</f>
      </c>
      <c r="N147" s="3">
        <f>M147*20%</f>
      </c>
      <c r="O147" s="3">
        <v>0</v>
      </c>
      <c r="P147" s="3">
        <f>O147*20%</f>
      </c>
      <c r="Q147" s="3">
        <v>1</v>
      </c>
      <c r="R147" s="3">
        <f>L147+N147+P147</f>
      </c>
      <c r="S147" s="3">
        <f>I147-J147-K147-L147-M147-N147-O147-P147-Q147</f>
      </c>
      <c r="T147" s="3">
        <f>(S147-AB147)/G147*100</f>
      </c>
      <c r="U147" s="3">
        <f>J147-R147</f>
      </c>
      <c r="V147" t="s">
        <v>1</v>
      </c>
      <c r="W147" t="s">
        <v>138</v>
      </c>
      <c r="AC147" s="3">
        <f>S147-AB147</f>
      </c>
      <c r="AD147" t="s">
        <v>65</v>
      </c>
      <c r="AE147" t="s">
        <v>60</v>
      </c>
    </row>
    <row r="148" spans="1:31" x14ac:dyDescent="0.25">
      <c r="A148" s="7">
        <v>46204.5</v>
      </c>
      <c r="B148" t="s">
        <v>348</v>
      </c>
      <c r="C148" t="s">
        <v>1</v>
      </c>
      <c r="D148" s="8" t="s">
        <v>349</v>
      </c>
      <c r="E148" t="s">
        <v>101</v>
      </c>
      <c r="F148">
        <v>1</v>
      </c>
      <c r="G148" s="3">
        <v>549</v>
      </c>
      <c r="H148" s="3">
        <v>724.68</v>
      </c>
      <c r="I148" s="3">
        <f>H148-G148</f>
      </c>
      <c r="J148" s="3">
        <f>I148*16.67%</f>
      </c>
      <c r="K148" s="3">
        <f>H148/100*7</f>
      </c>
      <c r="L148" s="3">
        <f>K148*20%</f>
      </c>
      <c r="M148" s="3">
        <f>K148*2%</f>
      </c>
      <c r="N148" s="3">
        <f>M148*20%</f>
      </c>
      <c r="O148" s="3">
        <v>0</v>
      </c>
      <c r="P148" s="3">
        <f>O148*20%</f>
      </c>
      <c r="Q148" s="3">
        <v>1</v>
      </c>
      <c r="R148" s="3">
        <f>L148+N148+P148</f>
      </c>
      <c r="S148" s="3">
        <f>I148-J148-K148-L148-M148-N148-O148-P148-Q148</f>
      </c>
      <c r="T148" s="3">
        <f>(S148-AB148)/G148*100</f>
      </c>
      <c r="U148" s="3">
        <f>J148-R148</f>
      </c>
      <c r="V148" t="s">
        <v>1</v>
      </c>
      <c r="W148" t="s">
        <v>80</v>
      </c>
      <c r="AC148" s="3">
        <f>S148-AB148</f>
      </c>
      <c r="AD148" t="s">
        <v>65</v>
      </c>
      <c r="AE148" t="s">
        <v>60</v>
      </c>
    </row>
    <row r="149" spans="1:31" x14ac:dyDescent="0.25">
      <c r="A149" s="7">
        <v>46203.5</v>
      </c>
      <c r="B149" t="s">
        <v>350</v>
      </c>
      <c r="C149" t="s">
        <v>1</v>
      </c>
      <c r="D149" s="8" t="s">
        <v>351</v>
      </c>
      <c r="E149" t="s">
        <v>72</v>
      </c>
      <c r="F149">
        <v>1</v>
      </c>
      <c r="G149" s="3">
        <v>333</v>
      </c>
      <c r="H149" s="3">
        <v>476.19</v>
      </c>
      <c r="I149" s="3">
        <f>H149-G149</f>
      </c>
      <c r="J149" s="3">
        <f>I149*16.67%</f>
      </c>
      <c r="K149" s="3">
        <f>H149/100*7</f>
      </c>
      <c r="L149" s="3">
        <f>K149*20%</f>
      </c>
      <c r="M149" s="3">
        <f>K149*2%</f>
      </c>
      <c r="N149" s="3">
        <f>M149*20%</f>
      </c>
      <c r="O149" s="3">
        <v>0</v>
      </c>
      <c r="P149" s="3">
        <f>O149*20%</f>
      </c>
      <c r="Q149" s="3">
        <v>1</v>
      </c>
      <c r="R149" s="3">
        <f>L149+N149+P149</f>
      </c>
      <c r="S149" s="3">
        <f>I149-J149-K149-L149-M149-N149-O149-P149-Q149</f>
      </c>
      <c r="T149" s="3">
        <f>(S149-AB149)/G149*100</f>
      </c>
      <c r="U149" s="3">
        <f>J149-R149</f>
      </c>
      <c r="V149" t="s">
        <v>1</v>
      </c>
      <c r="W149" t="s">
        <v>97</v>
      </c>
      <c r="AC149" s="3">
        <f>S149-AB149</f>
      </c>
      <c r="AD149" t="s">
        <v>59</v>
      </c>
      <c r="AE149" t="s">
        <v>60</v>
      </c>
    </row>
    <row r="150" spans="1:31" x14ac:dyDescent="0.25">
      <c r="A150" s="7">
        <v>46203.5</v>
      </c>
      <c r="B150" t="s">
        <v>352</v>
      </c>
      <c r="C150" t="s">
        <v>1</v>
      </c>
      <c r="D150" s="8" t="s">
        <v>353</v>
      </c>
      <c r="E150" t="s">
        <v>72</v>
      </c>
      <c r="F150">
        <v>1</v>
      </c>
      <c r="G150" s="3">
        <v>497</v>
      </c>
      <c r="H150" s="3">
        <v>576.52</v>
      </c>
      <c r="I150" s="3">
        <f>H150-G150</f>
      </c>
      <c r="J150" s="3">
        <f>I150*16.67%</f>
      </c>
      <c r="K150" s="3">
        <f>H150/100*7</f>
      </c>
      <c r="L150" s="3">
        <f>K150*20%</f>
      </c>
      <c r="M150" s="3">
        <f>K150*2%</f>
      </c>
      <c r="N150" s="3">
        <f>M150*20%</f>
      </c>
      <c r="O150" s="3">
        <v>0</v>
      </c>
      <c r="P150" s="3">
        <f>O150*20%</f>
      </c>
      <c r="Q150" s="3">
        <v>1</v>
      </c>
      <c r="R150" s="3">
        <f>L150+N150+P150</f>
      </c>
      <c r="S150" s="3">
        <f>I150-J150-K150-L150-M150-N150-O150-P150-Q150</f>
      </c>
      <c r="T150" s="3">
        <f>(S150-AB150)/G150*100</f>
      </c>
      <c r="U150" s="3">
        <f>J150-R150</f>
      </c>
      <c r="V150" t="s">
        <v>1</v>
      </c>
      <c r="W150" t="s">
        <v>68</v>
      </c>
      <c r="AC150" s="3">
        <f>S150-AB150</f>
      </c>
      <c r="AD150" t="s">
        <v>59</v>
      </c>
      <c r="AE150" t="s">
        <v>87</v>
      </c>
    </row>
    <row r="151" spans="1:31" x14ac:dyDescent="0.25">
      <c r="A151" s="7">
        <v>46203.5</v>
      </c>
      <c r="B151" t="s">
        <v>354</v>
      </c>
      <c r="C151" t="s">
        <v>1</v>
      </c>
      <c r="D151" s="8" t="s">
        <v>355</v>
      </c>
      <c r="E151" t="s">
        <v>101</v>
      </c>
      <c r="F151">
        <v>1</v>
      </c>
      <c r="G151" s="3">
        <v>737</v>
      </c>
      <c r="H151" s="3">
        <v>1017.06</v>
      </c>
      <c r="I151" s="3">
        <f>H151-G151</f>
      </c>
      <c r="J151" s="3">
        <f>I151*16.67%</f>
      </c>
      <c r="K151" s="3">
        <f>H151/100*7</f>
      </c>
      <c r="L151" s="3">
        <f>K151*20%</f>
      </c>
      <c r="M151" s="3">
        <f>K151*2%</f>
      </c>
      <c r="N151" s="3">
        <f>M151*20%</f>
      </c>
      <c r="O151" s="3">
        <v>0</v>
      </c>
      <c r="P151" s="3">
        <f>O151*20%</f>
      </c>
      <c r="Q151" s="3">
        <v>1</v>
      </c>
      <c r="R151" s="3">
        <f>L151+N151+P151</f>
      </c>
      <c r="S151" s="3">
        <f>I151-J151-K151-L151-M151-N151-O151-P151-Q151</f>
      </c>
      <c r="T151" s="3">
        <f>(S151-AB151)/G151*100</f>
      </c>
      <c r="U151" s="3">
        <f>J151-R151</f>
      </c>
      <c r="V151" t="s">
        <v>1</v>
      </c>
      <c r="W151" t="s">
        <v>83</v>
      </c>
      <c r="AC151" s="3">
        <f>S151-AB151</f>
      </c>
      <c r="AD151" t="s">
        <v>59</v>
      </c>
      <c r="AE151" t="s">
        <v>60</v>
      </c>
    </row>
    <row r="152" spans="1:31" x14ac:dyDescent="0.25">
      <c r="A152" s="7">
        <v>46203.5</v>
      </c>
      <c r="B152" t="s">
        <v>356</v>
      </c>
      <c r="C152" t="s">
        <v>176</v>
      </c>
      <c r="D152" s="8" t="s">
        <v>1</v>
      </c>
      <c r="E152" t="s">
        <v>77</v>
      </c>
      <c r="F152">
        <v>3</v>
      </c>
      <c r="G152" s="3">
        <v>0.45</v>
      </c>
      <c r="H152" s="3">
        <v>0.65</v>
      </c>
      <c r="I152" s="3">
        <f>H152-G152</f>
      </c>
      <c r="J152" s="3">
        <f>I152*16.67%</f>
      </c>
      <c r="K152" s="3">
        <f>H152/100*7</f>
      </c>
      <c r="L152" s="3">
        <f>K152*20%</f>
      </c>
      <c r="M152" s="3">
        <f>K152*2%</f>
      </c>
      <c r="N152" s="3">
        <f>M152*20%</f>
      </c>
      <c r="O152" s="3">
        <v>0</v>
      </c>
      <c r="P152" s="3">
        <f>O152*20%</f>
      </c>
      <c r="Q152" s="3">
        <v>1</v>
      </c>
      <c r="R152" s="3">
        <f>L152+N152+P152</f>
      </c>
      <c r="S152" s="3">
        <f>I152-J152-K152-L152-M152-N152-O152-P152-Q152</f>
      </c>
      <c r="T152" s="3">
        <f>(S152-AB152)/G152*100</f>
      </c>
      <c r="U152" s="3">
        <f>J152-R152</f>
      </c>
      <c r="V152" t="s">
        <v>1</v>
      </c>
      <c r="W152" t="s">
        <v>176</v>
      </c>
      <c r="AC152" s="3">
        <f>S152-AB152</f>
      </c>
      <c r="AD152" t="s">
        <v>1</v>
      </c>
      <c r="AE152" t="s">
        <v>1</v>
      </c>
    </row>
    <row r="153" spans="1:31" x14ac:dyDescent="0.25">
      <c r="A153" s="7">
        <v>46203.5</v>
      </c>
      <c r="B153" t="s">
        <v>357</v>
      </c>
      <c r="C153" t="s">
        <v>181</v>
      </c>
      <c r="D153" s="8" t="s">
        <v>1</v>
      </c>
      <c r="E153" t="s">
        <v>72</v>
      </c>
      <c r="F153">
        <v>2</v>
      </c>
      <c r="G153" s="3">
        <v>3.8</v>
      </c>
      <c r="H153" s="3">
        <v>4.83</v>
      </c>
      <c r="I153" s="3">
        <f>H153-G153</f>
      </c>
      <c r="J153" s="3">
        <f>I153*16.67%</f>
      </c>
      <c r="K153" s="3">
        <f>H153/100*7</f>
      </c>
      <c r="L153" s="3">
        <f>K153*20%</f>
      </c>
      <c r="M153" s="3">
        <f>K153*2%</f>
      </c>
      <c r="N153" s="3">
        <f>M153*20%</f>
      </c>
      <c r="O153" s="3">
        <v>0</v>
      </c>
      <c r="P153" s="3">
        <f>O153*20%</f>
      </c>
      <c r="Q153" s="3">
        <v>1</v>
      </c>
      <c r="R153" s="3">
        <f>L153+N153+P153</f>
      </c>
      <c r="S153" s="3">
        <f>I153-J153-K153-L153-M153-N153-O153-P153-Q153</f>
      </c>
      <c r="T153" s="3">
        <f>(S153-AB153)/G153*100</f>
      </c>
      <c r="U153" s="3">
        <f>J153-R153</f>
      </c>
      <c r="V153" t="s">
        <v>1</v>
      </c>
      <c r="W153" t="s">
        <v>181</v>
      </c>
      <c r="AC153" s="3">
        <f>S153-AB153</f>
      </c>
      <c r="AD153" t="s">
        <v>1</v>
      </c>
      <c r="AE153" t="s">
        <v>1</v>
      </c>
    </row>
    <row r="154" spans="1:31" x14ac:dyDescent="0.25">
      <c r="A154" s="7">
        <v>46203.5</v>
      </c>
      <c r="B154" t="s">
        <v>358</v>
      </c>
      <c r="C154" t="s">
        <v>173</v>
      </c>
      <c r="D154" s="8" t="s">
        <v>1</v>
      </c>
      <c r="E154" t="s">
        <v>63</v>
      </c>
      <c r="F154">
        <v>1</v>
      </c>
      <c r="G154" s="3">
        <v>4.25</v>
      </c>
      <c r="H154" s="3">
        <v>5.1</v>
      </c>
      <c r="I154" s="3">
        <f>H154-G154</f>
      </c>
      <c r="J154" s="3">
        <f>I154*16.67%</f>
      </c>
      <c r="K154" s="3">
        <f>H154/100*7</f>
      </c>
      <c r="L154" s="3">
        <f>K154*20%</f>
      </c>
      <c r="M154" s="3">
        <f>K154*2%</f>
      </c>
      <c r="N154" s="3">
        <f>M154*20%</f>
      </c>
      <c r="O154" s="3">
        <v>0</v>
      </c>
      <c r="P154" s="3">
        <f>O154*20%</f>
      </c>
      <c r="Q154" s="3">
        <v>1</v>
      </c>
      <c r="R154" s="3">
        <f>L154+N154+P154</f>
      </c>
      <c r="S154" s="3">
        <f>I154-J154-K154-L154-M154-N154-O154-P154-Q154</f>
      </c>
      <c r="T154" s="3">
        <f>(S154-AB154)/G154*100</f>
      </c>
      <c r="U154" s="3">
        <f>J154-R154</f>
      </c>
      <c r="V154" t="s">
        <v>1</v>
      </c>
      <c r="W154" t="s">
        <v>173</v>
      </c>
      <c r="AC154" s="3">
        <f>S154-AB154</f>
      </c>
      <c r="AD154" t="s">
        <v>1</v>
      </c>
      <c r="AE154" t="s">
        <v>1</v>
      </c>
    </row>
    <row r="155" spans="1:31" x14ac:dyDescent="0.25">
      <c r="A155" s="7">
        <v>46202.5</v>
      </c>
      <c r="B155" t="s">
        <v>359</v>
      </c>
      <c r="C155" t="s">
        <v>1</v>
      </c>
      <c r="D155" s="8" t="s">
        <v>360</v>
      </c>
      <c r="E155" t="s">
        <v>72</v>
      </c>
      <c r="F155">
        <v>1</v>
      </c>
      <c r="G155" s="3">
        <v>277</v>
      </c>
      <c r="H155" s="3">
        <v>362.87</v>
      </c>
      <c r="I155" s="3">
        <f>H155-G155</f>
      </c>
      <c r="J155" s="3">
        <f>I155*16.67%</f>
      </c>
      <c r="K155" s="3">
        <f>H155/100*7</f>
      </c>
      <c r="L155" s="3">
        <f>K155*20%</f>
      </c>
      <c r="M155" s="3">
        <f>K155*2%</f>
      </c>
      <c r="N155" s="3">
        <f>M155*20%</f>
      </c>
      <c r="O155" s="3">
        <v>0</v>
      </c>
      <c r="P155" s="3">
        <f>O155*20%</f>
      </c>
      <c r="Q155" s="3">
        <v>1</v>
      </c>
      <c r="R155" s="3">
        <f>L155+N155+P155</f>
      </c>
      <c r="S155" s="3">
        <f>I155-J155-K155-L155-M155-N155-O155-P155-Q155</f>
      </c>
      <c r="T155" s="3">
        <f>(S155-AB155)/G155*100</f>
      </c>
      <c r="U155" s="3">
        <f>J155-R155</f>
      </c>
      <c r="V155" t="s">
        <v>1</v>
      </c>
      <c r="W155" t="s">
        <v>130</v>
      </c>
      <c r="AC155" s="3">
        <f>S155-AB155</f>
      </c>
      <c r="AD155" t="s">
        <v>59</v>
      </c>
      <c r="AE155" t="s">
        <v>87</v>
      </c>
    </row>
    <row r="156" spans="1:31" x14ac:dyDescent="0.25">
      <c r="A156" s="7">
        <v>46202.5</v>
      </c>
      <c r="B156" t="s">
        <v>361</v>
      </c>
      <c r="C156" t="s">
        <v>173</v>
      </c>
      <c r="D156" s="8" t="s">
        <v>1</v>
      </c>
      <c r="E156" t="s">
        <v>63</v>
      </c>
      <c r="F156">
        <v>4</v>
      </c>
      <c r="G156" s="3">
        <v>17</v>
      </c>
      <c r="H156" s="3">
        <v>23.8</v>
      </c>
      <c r="I156" s="3">
        <f>H156-G156</f>
      </c>
      <c r="J156" s="3">
        <f>I156*16.67%</f>
      </c>
      <c r="K156" s="3">
        <f>H156/100*7</f>
      </c>
      <c r="L156" s="3">
        <f>K156*20%</f>
      </c>
      <c r="M156" s="3">
        <f>K156*2%</f>
      </c>
      <c r="N156" s="3">
        <f>M156*20%</f>
      </c>
      <c r="O156" s="3">
        <v>0</v>
      </c>
      <c r="P156" s="3">
        <f>O156*20%</f>
      </c>
      <c r="Q156" s="3">
        <v>1</v>
      </c>
      <c r="R156" s="3">
        <f>L156+N156+P156</f>
      </c>
      <c r="S156" s="3">
        <f>I156-J156-K156-L156-M156-N156-O156-P156-Q156</f>
      </c>
      <c r="T156" s="3">
        <f>(S156-AB156)/G156*100</f>
      </c>
      <c r="U156" s="3">
        <f>J156-R156</f>
      </c>
      <c r="V156" t="s">
        <v>1</v>
      </c>
      <c r="W156" t="s">
        <v>173</v>
      </c>
      <c r="AC156" s="3">
        <f>S156-AB156</f>
      </c>
      <c r="AD156" t="s">
        <v>1</v>
      </c>
      <c r="AE156" t="s">
        <v>1</v>
      </c>
    </row>
    <row r="157" spans="1:31" x14ac:dyDescent="0.25">
      <c r="A157" s="7">
        <v>46201.5</v>
      </c>
      <c r="B157" t="s">
        <v>362</v>
      </c>
      <c r="C157" t="s">
        <v>1</v>
      </c>
      <c r="D157" s="8" t="s">
        <v>363</v>
      </c>
      <c r="E157" t="s">
        <v>63</v>
      </c>
      <c r="F157">
        <v>1</v>
      </c>
      <c r="G157" s="3">
        <v>186</v>
      </c>
      <c r="H157" s="3">
        <v>213.9</v>
      </c>
      <c r="I157" s="3">
        <f>H157-G157</f>
      </c>
      <c r="J157" s="3">
        <f>I157*16.67%</f>
      </c>
      <c r="K157" s="3">
        <f>H157/100*7</f>
      </c>
      <c r="L157" s="3">
        <f>K157*20%</f>
      </c>
      <c r="M157" s="3">
        <f>K157*2%</f>
      </c>
      <c r="N157" s="3">
        <f>M157*20%</f>
      </c>
      <c r="O157" s="3">
        <v>0</v>
      </c>
      <c r="P157" s="3">
        <f>O157*20%</f>
      </c>
      <c r="Q157" s="3">
        <v>1</v>
      </c>
      <c r="R157" s="3">
        <f>L157+N157+P157</f>
      </c>
      <c r="S157" s="3">
        <f>I157-J157-K157-L157-M157-N157-O157-P157-Q157</f>
      </c>
      <c r="T157" s="3">
        <f>(S157-AB157)/G157*100</f>
      </c>
      <c r="U157" s="3">
        <f>J157-R157</f>
      </c>
      <c r="V157" t="s">
        <v>1</v>
      </c>
      <c r="W157" t="s">
        <v>233</v>
      </c>
      <c r="AC157" s="3">
        <f>S157-AB157</f>
      </c>
      <c r="AD157" t="s">
        <v>65</v>
      </c>
      <c r="AE157" t="s">
        <v>98</v>
      </c>
    </row>
    <row r="158" spans="1:31" x14ac:dyDescent="0.25">
      <c r="A158" s="7">
        <v>46201.5</v>
      </c>
      <c r="B158" t="s">
        <v>364</v>
      </c>
      <c r="C158" t="s">
        <v>1</v>
      </c>
      <c r="D158" s="8" t="s">
        <v>365</v>
      </c>
      <c r="E158" t="s">
        <v>77</v>
      </c>
      <c r="F158">
        <v>1</v>
      </c>
      <c r="G158" s="3">
        <v>763</v>
      </c>
      <c r="H158" s="3">
        <v>984.27</v>
      </c>
      <c r="I158" s="3">
        <f>H158-G158</f>
      </c>
      <c r="J158" s="3">
        <f>I158*16.67%</f>
      </c>
      <c r="K158" s="3">
        <f>H158/100*7</f>
      </c>
      <c r="L158" s="3">
        <f>K158*20%</f>
      </c>
      <c r="M158" s="3">
        <f>K158*2%</f>
      </c>
      <c r="N158" s="3">
        <f>M158*20%</f>
      </c>
      <c r="O158" s="3">
        <v>0</v>
      </c>
      <c r="P158" s="3">
        <f>O158*20%</f>
      </c>
      <c r="Q158" s="3">
        <v>1</v>
      </c>
      <c r="R158" s="3">
        <f>L158+N158+P158</f>
      </c>
      <c r="S158" s="3">
        <f>I158-J158-K158-L158-M158-N158-O158-P158-Q158</f>
      </c>
      <c r="T158" s="3">
        <f>(S158-AB158)/G158*100</f>
      </c>
      <c r="U158" s="3">
        <f>J158-R158</f>
      </c>
      <c r="V158" t="s">
        <v>1</v>
      </c>
      <c r="W158" t="s">
        <v>83</v>
      </c>
      <c r="AC158" s="3">
        <f>S158-AB158</f>
      </c>
      <c r="AD158" t="s">
        <v>59</v>
      </c>
      <c r="AE158" t="s">
        <v>104</v>
      </c>
    </row>
    <row r="159" spans="1:31" x14ac:dyDescent="0.25">
      <c r="A159" s="7">
        <v>46201.5</v>
      </c>
      <c r="B159" t="s">
        <v>366</v>
      </c>
      <c r="C159" t="s">
        <v>253</v>
      </c>
      <c r="D159" s="8" t="s">
        <v>1</v>
      </c>
      <c r="E159" t="s">
        <v>57</v>
      </c>
      <c r="F159">
        <v>2</v>
      </c>
      <c r="G159" s="3">
        <v>1.6</v>
      </c>
      <c r="H159" s="3">
        <v>2.21</v>
      </c>
      <c r="I159" s="3">
        <f>H159-G159</f>
      </c>
      <c r="J159" s="3">
        <f>I159*16.67%</f>
      </c>
      <c r="K159" s="3">
        <f>H159/100*7</f>
      </c>
      <c r="L159" s="3">
        <f>K159*20%</f>
      </c>
      <c r="M159" s="3">
        <f>K159*2%</f>
      </c>
      <c r="N159" s="3">
        <f>M159*20%</f>
      </c>
      <c r="O159" s="3">
        <v>0</v>
      </c>
      <c r="P159" s="3">
        <f>O159*20%</f>
      </c>
      <c r="Q159" s="3">
        <v>1</v>
      </c>
      <c r="R159" s="3">
        <f>L159+N159+P159</f>
      </c>
      <c r="S159" s="3">
        <f>I159-J159-K159-L159-M159-N159-O159-P159-Q159</f>
      </c>
      <c r="T159" s="3">
        <f>(S159-AB159)/G159*100</f>
      </c>
      <c r="U159" s="3">
        <f>J159-R159</f>
      </c>
      <c r="V159" t="s">
        <v>1</v>
      </c>
      <c r="W159" t="s">
        <v>253</v>
      </c>
      <c r="AC159" s="3">
        <f>S159-AB159</f>
      </c>
      <c r="AD159" t="s">
        <v>1</v>
      </c>
      <c r="AE159" t="s">
        <v>1</v>
      </c>
    </row>
    <row r="160" spans="1:31" x14ac:dyDescent="0.25">
      <c r="A160" s="7">
        <v>46201.5</v>
      </c>
      <c r="B160" t="s">
        <v>367</v>
      </c>
      <c r="C160" t="s">
        <v>184</v>
      </c>
      <c r="D160" s="8" t="s">
        <v>1</v>
      </c>
      <c r="E160" t="s">
        <v>101</v>
      </c>
      <c r="F160">
        <v>4</v>
      </c>
      <c r="G160" s="3">
        <v>4.8</v>
      </c>
      <c r="H160" s="3">
        <v>5.95</v>
      </c>
      <c r="I160" s="3">
        <f>H160-G160</f>
      </c>
      <c r="J160" s="3">
        <f>I160*16.67%</f>
      </c>
      <c r="K160" s="3">
        <f>H160/100*7</f>
      </c>
      <c r="L160" s="3">
        <f>K160*20%</f>
      </c>
      <c r="M160" s="3">
        <f>K160*2%</f>
      </c>
      <c r="N160" s="3">
        <f>M160*20%</f>
      </c>
      <c r="O160" s="3">
        <v>0</v>
      </c>
      <c r="P160" s="3">
        <f>O160*20%</f>
      </c>
      <c r="Q160" s="3">
        <v>1</v>
      </c>
      <c r="R160" s="3">
        <f>L160+N160+P160</f>
      </c>
      <c r="S160" s="3">
        <f>I160-J160-K160-L160-M160-N160-O160-P160-Q160</f>
      </c>
      <c r="T160" s="3">
        <f>(S160-AB160)/G160*100</f>
      </c>
      <c r="U160" s="3">
        <f>J160-R160</f>
      </c>
      <c r="V160" t="s">
        <v>1</v>
      </c>
      <c r="W160" t="s">
        <v>184</v>
      </c>
      <c r="AC160" s="3">
        <f>S160-AB160</f>
      </c>
      <c r="AD160" t="s">
        <v>1</v>
      </c>
      <c r="AE160" t="s">
        <v>1</v>
      </c>
    </row>
    <row r="161" spans="1:31" x14ac:dyDescent="0.25">
      <c r="A161" s="7">
        <v>46200.5</v>
      </c>
      <c r="B161" t="s">
        <v>368</v>
      </c>
      <c r="C161" t="s">
        <v>1</v>
      </c>
      <c r="D161" s="8" t="s">
        <v>369</v>
      </c>
      <c r="E161" t="s">
        <v>57</v>
      </c>
      <c r="F161">
        <v>1</v>
      </c>
      <c r="G161" s="3">
        <v>157</v>
      </c>
      <c r="H161" s="3">
        <v>185.26</v>
      </c>
      <c r="I161" s="3">
        <f>H161-G161</f>
      </c>
      <c r="J161" s="3">
        <f>I161*16.67%</f>
      </c>
      <c r="K161" s="3">
        <f>H161/100*7</f>
      </c>
      <c r="L161" s="3">
        <f>K161*20%</f>
      </c>
      <c r="M161" s="3">
        <f>K161*2%</f>
      </c>
      <c r="N161" s="3">
        <f>M161*20%</f>
      </c>
      <c r="O161" s="3">
        <v>0</v>
      </c>
      <c r="P161" s="3">
        <f>O161*20%</f>
      </c>
      <c r="Q161" s="3">
        <v>1</v>
      </c>
      <c r="R161" s="3">
        <f>L161+N161+P161</f>
      </c>
      <c r="S161" s="3">
        <f>I161-J161-K161-L161-M161-N161-O161-P161-Q161</f>
      </c>
      <c r="T161" s="3">
        <f>(S161-AB161)/G161*100</f>
      </c>
      <c r="U161" s="3">
        <f>J161-R161</f>
      </c>
      <c r="V161" t="s">
        <v>1</v>
      </c>
      <c r="W161" t="s">
        <v>291</v>
      </c>
      <c r="AC161" s="3">
        <f>S161-AB161</f>
      </c>
      <c r="AD161" t="s">
        <v>125</v>
      </c>
      <c r="AE161" t="s">
        <v>60</v>
      </c>
    </row>
    <row r="162" spans="1:31" x14ac:dyDescent="0.25">
      <c r="A162" s="7">
        <v>46200.5</v>
      </c>
      <c r="B162" t="s">
        <v>370</v>
      </c>
      <c r="C162" t="s">
        <v>1</v>
      </c>
      <c r="D162" s="8" t="s">
        <v>371</v>
      </c>
      <c r="E162" t="s">
        <v>72</v>
      </c>
      <c r="F162">
        <v>1</v>
      </c>
      <c r="G162" s="3">
        <v>82</v>
      </c>
      <c r="H162" s="3">
        <v>97.58</v>
      </c>
      <c r="I162" s="3">
        <f>H162-G162</f>
      </c>
      <c r="J162" s="3">
        <f>I162*16.67%</f>
      </c>
      <c r="K162" s="3">
        <f>H162/100*7</f>
      </c>
      <c r="L162" s="3">
        <f>K162*20%</f>
      </c>
      <c r="M162" s="3">
        <f>K162*2%</f>
      </c>
      <c r="N162" s="3">
        <f>M162*20%</f>
      </c>
      <c r="O162" s="3">
        <v>0</v>
      </c>
      <c r="P162" s="3">
        <f>O162*20%</f>
      </c>
      <c r="Q162" s="3">
        <v>1</v>
      </c>
      <c r="R162" s="3">
        <f>L162+N162+P162</f>
      </c>
      <c r="S162" s="3">
        <f>I162-J162-K162-L162-M162-N162-O162-P162-Q162</f>
      </c>
      <c r="T162" s="3">
        <f>(S162-AB162)/G162*100</f>
      </c>
      <c r="U162" s="3">
        <f>J162-R162</f>
      </c>
      <c r="V162" t="s">
        <v>1</v>
      </c>
      <c r="W162" t="s">
        <v>93</v>
      </c>
      <c r="AC162" s="3">
        <f>S162-AB162</f>
      </c>
      <c r="AD162" t="s">
        <v>94</v>
      </c>
      <c r="AE162" t="s">
        <v>104</v>
      </c>
    </row>
    <row r="163" spans="1:31" x14ac:dyDescent="0.25">
      <c r="A163" s="7">
        <v>46200.5</v>
      </c>
      <c r="B163" t="s">
        <v>372</v>
      </c>
      <c r="C163" t="s">
        <v>1</v>
      </c>
      <c r="D163" s="8" t="s">
        <v>373</v>
      </c>
      <c r="E163" t="s">
        <v>63</v>
      </c>
      <c r="F163">
        <v>1</v>
      </c>
      <c r="G163" s="3">
        <v>95</v>
      </c>
      <c r="H163" s="3">
        <v>134.9</v>
      </c>
      <c r="I163" s="3">
        <f>H163-G163</f>
      </c>
      <c r="J163" s="3">
        <f>I163*16.67%</f>
      </c>
      <c r="K163" s="3">
        <f>H163/100*7</f>
      </c>
      <c r="L163" s="3">
        <f>K163*20%</f>
      </c>
      <c r="M163" s="3">
        <f>K163*2%</f>
      </c>
      <c r="N163" s="3">
        <f>M163*20%</f>
      </c>
      <c r="O163" s="3">
        <v>0</v>
      </c>
      <c r="P163" s="3">
        <f>O163*20%</f>
      </c>
      <c r="Q163" s="3">
        <v>1</v>
      </c>
      <c r="R163" s="3">
        <f>L163+N163+P163</f>
      </c>
      <c r="S163" s="3">
        <f>I163-J163-K163-L163-M163-N163-O163-P163-Q163</f>
      </c>
      <c r="T163" s="3">
        <f>(S163-AB163)/G163*100</f>
      </c>
      <c r="U163" s="3">
        <f>J163-R163</f>
      </c>
      <c r="V163" t="s">
        <v>1</v>
      </c>
      <c r="W163" t="s">
        <v>90</v>
      </c>
      <c r="AC163" s="3">
        <f>S163-AB163</f>
      </c>
      <c r="AD163" t="s">
        <v>94</v>
      </c>
      <c r="AE163" t="s">
        <v>98</v>
      </c>
    </row>
    <row r="164" spans="1:31" x14ac:dyDescent="0.25">
      <c r="A164" s="7">
        <v>46200.5</v>
      </c>
      <c r="B164" t="s">
        <v>374</v>
      </c>
      <c r="C164" t="s">
        <v>1</v>
      </c>
      <c r="D164" s="8" t="s">
        <v>375</v>
      </c>
      <c r="E164" t="s">
        <v>101</v>
      </c>
      <c r="F164">
        <v>1</v>
      </c>
      <c r="G164" s="3">
        <v>521</v>
      </c>
      <c r="H164" s="3">
        <v>703.35</v>
      </c>
      <c r="I164" s="3">
        <f>H164-G164</f>
      </c>
      <c r="J164" s="3">
        <f>I164*16.67%</f>
      </c>
      <c r="K164" s="3">
        <f>H164/100*7</f>
      </c>
      <c r="L164" s="3">
        <f>K164*20%</f>
      </c>
      <c r="M164" s="3">
        <f>K164*2%</f>
      </c>
      <c r="N164" s="3">
        <f>M164*20%</f>
      </c>
      <c r="O164" s="3">
        <v>0</v>
      </c>
      <c r="P164" s="3">
        <f>O164*20%</f>
      </c>
      <c r="Q164" s="3">
        <v>1</v>
      </c>
      <c r="R164" s="3">
        <f>L164+N164+P164</f>
      </c>
      <c r="S164" s="3">
        <f>I164-J164-K164-L164-M164-N164-O164-P164-Q164</f>
      </c>
      <c r="T164" s="3">
        <f>(S164-AB164)/G164*100</f>
      </c>
      <c r="U164" s="3">
        <f>J164-R164</f>
      </c>
      <c r="V164" t="s">
        <v>1</v>
      </c>
      <c r="W164" t="s">
        <v>68</v>
      </c>
      <c r="AC164" s="3">
        <f>S164-AB164</f>
      </c>
      <c r="AD164" t="s">
        <v>59</v>
      </c>
      <c r="AE164" t="s">
        <v>87</v>
      </c>
    </row>
    <row r="165" spans="1:31" x14ac:dyDescent="0.25">
      <c r="A165" s="7">
        <v>46200.5</v>
      </c>
      <c r="B165" t="s">
        <v>376</v>
      </c>
      <c r="C165" t="s">
        <v>1</v>
      </c>
      <c r="D165" s="8" t="s">
        <v>377</v>
      </c>
      <c r="E165" t="s">
        <v>101</v>
      </c>
      <c r="F165">
        <v>1</v>
      </c>
      <c r="G165" s="3">
        <v>173</v>
      </c>
      <c r="H165" s="3">
        <v>243.93</v>
      </c>
      <c r="I165" s="3">
        <f>H165-G165</f>
      </c>
      <c r="J165" s="3">
        <f>I165*16.67%</f>
      </c>
      <c r="K165" s="3">
        <f>H165/100*7</f>
      </c>
      <c r="L165" s="3">
        <f>K165*20%</f>
      </c>
      <c r="M165" s="3">
        <f>K165*2%</f>
      </c>
      <c r="N165" s="3">
        <f>M165*20%</f>
      </c>
      <c r="O165" s="3">
        <v>0</v>
      </c>
      <c r="P165" s="3">
        <f>O165*20%</f>
      </c>
      <c r="Q165" s="3">
        <v>1</v>
      </c>
      <c r="R165" s="3">
        <f>L165+N165+P165</f>
      </c>
      <c r="S165" s="3">
        <f>I165-J165-K165-L165-M165-N165-O165-P165-Q165</f>
      </c>
      <c r="T165" s="3">
        <f>(S165-AB165)/G165*100</f>
      </c>
      <c r="U165" s="3">
        <f>J165-R165</f>
      </c>
      <c r="V165" t="s">
        <v>1</v>
      </c>
      <c r="W165" t="s">
        <v>291</v>
      </c>
      <c r="AC165" s="3">
        <f>S165-AB165</f>
      </c>
      <c r="AD165" t="s">
        <v>125</v>
      </c>
      <c r="AE165" t="s">
        <v>74</v>
      </c>
    </row>
    <row r="166" spans="1:31" x14ac:dyDescent="0.25">
      <c r="A166" s="7">
        <v>46199.5</v>
      </c>
      <c r="B166" t="s">
        <v>378</v>
      </c>
      <c r="C166" t="s">
        <v>1</v>
      </c>
      <c r="D166" s="8" t="s">
        <v>379</v>
      </c>
      <c r="E166" t="s">
        <v>63</v>
      </c>
      <c r="F166">
        <v>1</v>
      </c>
      <c r="G166" s="3">
        <v>312</v>
      </c>
      <c r="H166" s="3">
        <v>439.92</v>
      </c>
      <c r="I166" s="3">
        <f>H166-G166</f>
      </c>
      <c r="J166" s="3">
        <f>I166*16.67%</f>
      </c>
      <c r="K166" s="3">
        <f>H166/100*7</f>
      </c>
      <c r="L166" s="3">
        <f>K166*20%</f>
      </c>
      <c r="M166" s="3">
        <f>K166*2%</f>
      </c>
      <c r="N166" s="3">
        <f>M166*20%</f>
      </c>
      <c r="O166" s="3">
        <v>0</v>
      </c>
      <c r="P166" s="3">
        <f>O166*20%</f>
      </c>
      <c r="Q166" s="3">
        <v>1</v>
      </c>
      <c r="R166" s="3">
        <f>L166+N166+P166</f>
      </c>
      <c r="S166" s="3">
        <f>I166-J166-K166-L166-M166-N166-O166-P166-Q166</f>
      </c>
      <c r="T166" s="3">
        <f>(S166-AB166)/G166*100</f>
      </c>
      <c r="U166" s="3">
        <f>J166-R166</f>
      </c>
      <c r="V166" t="s">
        <v>1</v>
      </c>
      <c r="W166" t="s">
        <v>138</v>
      </c>
      <c r="AC166" s="3">
        <f>S166-AB166</f>
      </c>
      <c r="AD166" t="s">
        <v>59</v>
      </c>
      <c r="AE166" t="s">
        <v>69</v>
      </c>
    </row>
    <row r="167" spans="1:31" x14ac:dyDescent="0.25">
      <c r="A167" s="7">
        <v>46199.5</v>
      </c>
      <c r="B167" t="s">
        <v>380</v>
      </c>
      <c r="C167" t="s">
        <v>1</v>
      </c>
      <c r="D167" s="8" t="s">
        <v>381</v>
      </c>
      <c r="E167" t="s">
        <v>72</v>
      </c>
      <c r="F167">
        <v>1</v>
      </c>
      <c r="G167" s="3">
        <v>128</v>
      </c>
      <c r="H167" s="3">
        <v>171.52</v>
      </c>
      <c r="I167" s="3">
        <f>H167-G167</f>
      </c>
      <c r="J167" s="3">
        <f>I167*16.67%</f>
      </c>
      <c r="K167" s="3">
        <f>H167/100*7</f>
      </c>
      <c r="L167" s="3">
        <f>K167*20%</f>
      </c>
      <c r="M167" s="3">
        <f>K167*2%</f>
      </c>
      <c r="N167" s="3">
        <f>M167*20%</f>
      </c>
      <c r="O167" s="3">
        <v>0</v>
      </c>
      <c r="P167" s="3">
        <f>O167*20%</f>
      </c>
      <c r="Q167" s="3">
        <v>1</v>
      </c>
      <c r="R167" s="3">
        <f>L167+N167+P167</f>
      </c>
      <c r="S167" s="3">
        <f>I167-J167-K167-L167-M167-N167-O167-P167-Q167</f>
      </c>
      <c r="T167" s="3">
        <f>(S167-AB167)/G167*100</f>
      </c>
      <c r="U167" s="3">
        <f>J167-R167</f>
      </c>
      <c r="V167" t="s">
        <v>1</v>
      </c>
      <c r="W167" t="s">
        <v>133</v>
      </c>
      <c r="AC167" s="3">
        <f>S167-AB167</f>
      </c>
      <c r="AD167" t="s">
        <v>65</v>
      </c>
      <c r="AE167" t="s">
        <v>84</v>
      </c>
    </row>
    <row r="168" spans="1:31" x14ac:dyDescent="0.25">
      <c r="A168" s="7">
        <v>46199.5</v>
      </c>
      <c r="B168" t="s">
        <v>382</v>
      </c>
      <c r="C168" t="s">
        <v>1</v>
      </c>
      <c r="D168" s="8" t="s">
        <v>383</v>
      </c>
      <c r="E168" t="s">
        <v>72</v>
      </c>
      <c r="F168">
        <v>1</v>
      </c>
      <c r="G168" s="3">
        <v>719</v>
      </c>
      <c r="H168" s="3">
        <v>826.85</v>
      </c>
      <c r="I168" s="3">
        <f>H168-G168</f>
      </c>
      <c r="J168" s="3">
        <f>I168*16.67%</f>
      </c>
      <c r="K168" s="3">
        <f>H168/100*7</f>
      </c>
      <c r="L168" s="3">
        <f>K168*20%</f>
      </c>
      <c r="M168" s="3">
        <f>K168*2%</f>
      </c>
      <c r="N168" s="3">
        <f>M168*20%</f>
      </c>
      <c r="O168" s="3">
        <v>0</v>
      </c>
      <c r="P168" s="3">
        <f>O168*20%</f>
      </c>
      <c r="Q168" s="3">
        <v>1</v>
      </c>
      <c r="R168" s="3">
        <f>L168+N168+P168</f>
      </c>
      <c r="S168" s="3">
        <f>I168-J168-K168-L168-M168-N168-O168-P168-Q168</f>
      </c>
      <c r="T168" s="3">
        <f>(S168-AB168)/G168*100</f>
      </c>
      <c r="U168" s="3">
        <f>J168-R168</f>
      </c>
      <c r="V168" t="s">
        <v>1</v>
      </c>
      <c r="W168" t="s">
        <v>83</v>
      </c>
      <c r="AC168" s="3">
        <f>S168-AB168</f>
      </c>
      <c r="AD168" t="s">
        <v>59</v>
      </c>
      <c r="AE168" t="s">
        <v>87</v>
      </c>
    </row>
    <row r="169" spans="1:31" x14ac:dyDescent="0.25">
      <c r="A169" s="7">
        <v>46199.5</v>
      </c>
      <c r="B169" t="s">
        <v>384</v>
      </c>
      <c r="C169" t="s">
        <v>1</v>
      </c>
      <c r="D169" s="8" t="s">
        <v>385</v>
      </c>
      <c r="E169" t="s">
        <v>63</v>
      </c>
      <c r="F169">
        <v>1</v>
      </c>
      <c r="G169" s="3">
        <v>525</v>
      </c>
      <c r="H169" s="3">
        <v>645.75</v>
      </c>
      <c r="I169" s="3">
        <f>H169-G169</f>
      </c>
      <c r="J169" s="3">
        <f>I169*16.67%</f>
      </c>
      <c r="K169" s="3">
        <f>H169/100*7</f>
      </c>
      <c r="L169" s="3">
        <f>K169*20%</f>
      </c>
      <c r="M169" s="3">
        <f>K169*2%</f>
      </c>
      <c r="N169" s="3">
        <f>M169*20%</f>
      </c>
      <c r="O169" s="3">
        <v>0</v>
      </c>
      <c r="P169" s="3">
        <f>O169*20%</f>
      </c>
      <c r="Q169" s="3">
        <v>1</v>
      </c>
      <c r="R169" s="3">
        <f>L169+N169+P169</f>
      </c>
      <c r="S169" s="3">
        <f>I169-J169-K169-L169-M169-N169-O169-P169-Q169</f>
      </c>
      <c r="T169" s="3">
        <f>(S169-AB169)/G169*100</f>
      </c>
      <c r="U169" s="3">
        <f>J169-R169</f>
      </c>
      <c r="V169" t="s">
        <v>1</v>
      </c>
      <c r="W169" t="s">
        <v>68</v>
      </c>
      <c r="AC169" s="3">
        <f>S169-AB169</f>
      </c>
      <c r="AD169" t="s">
        <v>59</v>
      </c>
      <c r="AE169" t="s">
        <v>98</v>
      </c>
    </row>
    <row r="170" spans="1:31" x14ac:dyDescent="0.25">
      <c r="A170" s="7">
        <v>46199.5</v>
      </c>
      <c r="B170" t="s">
        <v>386</v>
      </c>
      <c r="C170" t="s">
        <v>1</v>
      </c>
      <c r="D170" s="8" t="s">
        <v>387</v>
      </c>
      <c r="E170" t="s">
        <v>57</v>
      </c>
      <c r="F170">
        <v>1</v>
      </c>
      <c r="G170" s="3">
        <v>266</v>
      </c>
      <c r="H170" s="3">
        <v>380.38</v>
      </c>
      <c r="I170" s="3">
        <f>H170-G170</f>
      </c>
      <c r="J170" s="3">
        <f>I170*16.67%</f>
      </c>
      <c r="K170" s="3">
        <f>H170/100*7</f>
      </c>
      <c r="L170" s="3">
        <f>K170*20%</f>
      </c>
      <c r="M170" s="3">
        <f>K170*2%</f>
      </c>
      <c r="N170" s="3">
        <f>M170*20%</f>
      </c>
      <c r="O170" s="3">
        <v>0</v>
      </c>
      <c r="P170" s="3">
        <f>O170*20%</f>
      </c>
      <c r="Q170" s="3">
        <v>1</v>
      </c>
      <c r="R170" s="3">
        <f>L170+N170+P170</f>
      </c>
      <c r="S170" s="3">
        <f>I170-J170-K170-L170-M170-N170-O170-P170-Q170</f>
      </c>
      <c r="T170" s="3">
        <f>(S170-AB170)/G170*100</f>
      </c>
      <c r="U170" s="3">
        <f>J170-R170</f>
      </c>
      <c r="V170" t="s">
        <v>1</v>
      </c>
      <c r="W170" t="s">
        <v>124</v>
      </c>
      <c r="AC170" s="3">
        <f>S170-AB170</f>
      </c>
      <c r="AD170" t="s">
        <v>125</v>
      </c>
      <c r="AE170" t="s">
        <v>104</v>
      </c>
    </row>
    <row r="171" spans="1:31" x14ac:dyDescent="0.25">
      <c r="A171" s="7">
        <v>46199.5</v>
      </c>
      <c r="B171" t="s">
        <v>388</v>
      </c>
      <c r="C171" t="s">
        <v>253</v>
      </c>
      <c r="D171" s="8" t="s">
        <v>1</v>
      </c>
      <c r="E171" t="s">
        <v>57</v>
      </c>
      <c r="F171">
        <v>3</v>
      </c>
      <c r="G171" s="3">
        <v>2.4</v>
      </c>
      <c r="H171" s="3">
        <v>2.88</v>
      </c>
      <c r="I171" s="3">
        <f>H171-G171</f>
      </c>
      <c r="J171" s="3">
        <f>I171*16.67%</f>
      </c>
      <c r="K171" s="3">
        <f>H171/100*7</f>
      </c>
      <c r="L171" s="3">
        <f>K171*20%</f>
      </c>
      <c r="M171" s="3">
        <f>K171*2%</f>
      </c>
      <c r="N171" s="3">
        <f>M171*20%</f>
      </c>
      <c r="O171" s="3">
        <v>0</v>
      </c>
      <c r="P171" s="3">
        <f>O171*20%</f>
      </c>
      <c r="Q171" s="3">
        <v>1</v>
      </c>
      <c r="R171" s="3">
        <f>L171+N171+P171</f>
      </c>
      <c r="S171" s="3">
        <f>I171-J171-K171-L171-M171-N171-O171-P171-Q171</f>
      </c>
      <c r="T171" s="3">
        <f>(S171-AB171)/G171*100</f>
      </c>
      <c r="U171" s="3">
        <f>J171-R171</f>
      </c>
      <c r="V171" t="s">
        <v>1</v>
      </c>
      <c r="W171" t="s">
        <v>253</v>
      </c>
      <c r="AC171" s="3">
        <f>S171-AB171</f>
      </c>
      <c r="AD171" t="s">
        <v>1</v>
      </c>
      <c r="AE171" t="s">
        <v>1</v>
      </c>
    </row>
    <row r="172" spans="1:31" x14ac:dyDescent="0.25">
      <c r="A172" s="7">
        <v>46199.5</v>
      </c>
      <c r="B172" t="s">
        <v>389</v>
      </c>
      <c r="C172" t="s">
        <v>188</v>
      </c>
      <c r="D172" s="8" t="s">
        <v>1</v>
      </c>
      <c r="E172" t="s">
        <v>63</v>
      </c>
      <c r="F172">
        <v>4</v>
      </c>
      <c r="G172" s="3">
        <v>14</v>
      </c>
      <c r="H172" s="3">
        <v>17.22</v>
      </c>
      <c r="I172" s="3">
        <f>H172-G172</f>
      </c>
      <c r="J172" s="3">
        <f>I172*16.67%</f>
      </c>
      <c r="K172" s="3">
        <f>H172/100*7</f>
      </c>
      <c r="L172" s="3">
        <f>K172*20%</f>
      </c>
      <c r="M172" s="3">
        <f>K172*2%</f>
      </c>
      <c r="N172" s="3">
        <f>M172*20%</f>
      </c>
      <c r="O172" s="3">
        <v>0</v>
      </c>
      <c r="P172" s="3">
        <f>O172*20%</f>
      </c>
      <c r="Q172" s="3">
        <v>1</v>
      </c>
      <c r="R172" s="3">
        <f>L172+N172+P172</f>
      </c>
      <c r="S172" s="3">
        <f>I172-J172-K172-L172-M172-N172-O172-P172-Q172</f>
      </c>
      <c r="T172" s="3">
        <f>(S172-AB172)/G172*100</f>
      </c>
      <c r="U172" s="3">
        <f>J172-R172</f>
      </c>
      <c r="V172" t="s">
        <v>1</v>
      </c>
      <c r="W172" t="s">
        <v>188</v>
      </c>
      <c r="AC172" s="3">
        <f>S172-AB172</f>
      </c>
      <c r="AD172" t="s">
        <v>1</v>
      </c>
      <c r="AE172" t="s">
        <v>1</v>
      </c>
    </row>
    <row r="173" spans="1:31" x14ac:dyDescent="0.25">
      <c r="A173" s="7">
        <v>46198.5</v>
      </c>
      <c r="B173" t="s">
        <v>390</v>
      </c>
      <c r="C173" t="s">
        <v>1</v>
      </c>
      <c r="D173" s="8" t="s">
        <v>391</v>
      </c>
      <c r="E173" t="s">
        <v>101</v>
      </c>
      <c r="F173">
        <v>1</v>
      </c>
      <c r="G173" s="3">
        <v>366</v>
      </c>
      <c r="H173" s="3">
        <v>472.14</v>
      </c>
      <c r="I173" s="3">
        <f>H173-G173</f>
      </c>
      <c r="J173" s="3">
        <f>I173*16.67%</f>
      </c>
      <c r="K173" s="3">
        <f>H173/100*7</f>
      </c>
      <c r="L173" s="3">
        <f>K173*20%</f>
      </c>
      <c r="M173" s="3">
        <f>K173*2%</f>
      </c>
      <c r="N173" s="3">
        <f>M173*20%</f>
      </c>
      <c r="O173" s="3">
        <v>0</v>
      </c>
      <c r="P173" s="3">
        <f>O173*20%</f>
      </c>
      <c r="Q173" s="3">
        <v>1</v>
      </c>
      <c r="R173" s="3">
        <f>L173+N173+P173</f>
      </c>
      <c r="S173" s="3">
        <f>I173-J173-K173-L173-M173-N173-O173-P173-Q173</f>
      </c>
      <c r="T173" s="3">
        <f>(S173-AB173)/G173*100</f>
      </c>
      <c r="U173" s="3">
        <f>J173-R173</f>
      </c>
      <c r="V173" t="s">
        <v>1</v>
      </c>
      <c r="W173" t="s">
        <v>73</v>
      </c>
      <c r="AC173" s="3">
        <f>S173-AB173</f>
      </c>
      <c r="AD173" t="s">
        <v>59</v>
      </c>
      <c r="AE173" t="s">
        <v>74</v>
      </c>
    </row>
    <row r="174" spans="1:31" x14ac:dyDescent="0.25">
      <c r="A174" s="7">
        <v>46198.5</v>
      </c>
      <c r="B174" t="s">
        <v>392</v>
      </c>
      <c r="C174" t="s">
        <v>1</v>
      </c>
      <c r="D174" s="8" t="s">
        <v>393</v>
      </c>
      <c r="E174" t="s">
        <v>57</v>
      </c>
      <c r="F174">
        <v>1</v>
      </c>
      <c r="G174" s="3">
        <v>190</v>
      </c>
      <c r="H174" s="3">
        <v>262.2</v>
      </c>
      <c r="I174" s="3">
        <f>H174-G174</f>
      </c>
      <c r="J174" s="3">
        <f>I174*16.67%</f>
      </c>
      <c r="K174" s="3">
        <f>H174/100*7</f>
      </c>
      <c r="L174" s="3">
        <f>K174*20%</f>
      </c>
      <c r="M174" s="3">
        <f>K174*2%</f>
      </c>
      <c r="N174" s="3">
        <f>M174*20%</f>
      </c>
      <c r="O174" s="3">
        <v>0</v>
      </c>
      <c r="P174" s="3">
        <f>O174*20%</f>
      </c>
      <c r="Q174" s="3">
        <v>1</v>
      </c>
      <c r="R174" s="3">
        <f>L174+N174+P174</f>
      </c>
      <c r="S174" s="3">
        <f>I174-J174-K174-L174-M174-N174-O174-P174-Q174</f>
      </c>
      <c r="T174" s="3">
        <f>(S174-AB174)/G174*100</f>
      </c>
      <c r="U174" s="3">
        <f>J174-R174</f>
      </c>
      <c r="V174" t="s">
        <v>1</v>
      </c>
      <c r="W174" t="s">
        <v>291</v>
      </c>
      <c r="AC174" s="3">
        <f>S174-AB174</f>
      </c>
      <c r="AD174" t="s">
        <v>125</v>
      </c>
      <c r="AE174" t="s">
        <v>104</v>
      </c>
    </row>
    <row r="175" spans="1:31" x14ac:dyDescent="0.25">
      <c r="A175" s="7">
        <v>46198.5</v>
      </c>
      <c r="B175" t="s">
        <v>394</v>
      </c>
      <c r="C175" t="s">
        <v>1</v>
      </c>
      <c r="D175" s="8" t="s">
        <v>395</v>
      </c>
      <c r="E175" t="s">
        <v>63</v>
      </c>
      <c r="F175">
        <v>1</v>
      </c>
      <c r="G175" s="3">
        <v>240</v>
      </c>
      <c r="H175" s="3">
        <v>336</v>
      </c>
      <c r="I175" s="3">
        <f>H175-G175</f>
      </c>
      <c r="J175" s="3">
        <f>I175*16.67%</f>
      </c>
      <c r="K175" s="3">
        <f>H175/100*7</f>
      </c>
      <c r="L175" s="3">
        <f>K175*20%</f>
      </c>
      <c r="M175" s="3">
        <f>K175*2%</f>
      </c>
      <c r="N175" s="3">
        <f>M175*20%</f>
      </c>
      <c r="O175" s="3">
        <v>0</v>
      </c>
      <c r="P175" s="3">
        <f>O175*20%</f>
      </c>
      <c r="Q175" s="3">
        <v>1</v>
      </c>
      <c r="R175" s="3">
        <f>L175+N175+P175</f>
      </c>
      <c r="S175" s="3">
        <f>I175-J175-K175-L175-M175-N175-O175-P175-Q175</f>
      </c>
      <c r="T175" s="3">
        <f>(S175-AB175)/G175*100</f>
      </c>
      <c r="U175" s="3">
        <f>J175-R175</f>
      </c>
      <c r="V175" t="s">
        <v>1</v>
      </c>
      <c r="W175" t="s">
        <v>113</v>
      </c>
      <c r="AC175" s="3">
        <f>S175-AB175</f>
      </c>
      <c r="AD175" t="s">
        <v>94</v>
      </c>
      <c r="AE175" t="s">
        <v>74</v>
      </c>
    </row>
    <row r="176" spans="1:31" x14ac:dyDescent="0.25">
      <c r="A176" s="7">
        <v>46198.5</v>
      </c>
      <c r="B176" t="s">
        <v>396</v>
      </c>
      <c r="C176" t="s">
        <v>1</v>
      </c>
      <c r="D176" s="8" t="s">
        <v>1</v>
      </c>
      <c r="E176" t="s">
        <v>57</v>
      </c>
      <c r="F176">
        <v>1</v>
      </c>
      <c r="G176" s="3">
        <v>531</v>
      </c>
      <c r="H176" s="3">
        <v>716.85</v>
      </c>
      <c r="I176" s="3">
        <f>H176-G176</f>
      </c>
      <c r="J176" s="3">
        <f>I176*16.67%</f>
      </c>
      <c r="K176" s="3">
        <f>H176/100*7</f>
      </c>
      <c r="L176" s="3">
        <f>K176*20%</f>
      </c>
      <c r="M176" s="3">
        <f>K176*2%</f>
      </c>
      <c r="N176" s="3">
        <f>M176*20%</f>
      </c>
      <c r="O176" s="3">
        <v>0</v>
      </c>
      <c r="P176" s="3">
        <f>O176*20%</f>
      </c>
      <c r="Q176" s="3">
        <v>1</v>
      </c>
      <c r="R176" s="3">
        <f>L176+N176+P176</f>
      </c>
      <c r="S176" s="3">
        <f>I176-J176-K176-L176-M176-N176-O176-P176-Q176</f>
      </c>
      <c r="T176" s="3">
        <f>(S176-AB176)/G176*100</f>
      </c>
      <c r="U176" s="3">
        <f>J176-R176</f>
      </c>
      <c r="V176" t="s">
        <v>1</v>
      </c>
      <c r="W176" t="s">
        <v>1</v>
      </c>
      <c r="AC176" s="3">
        <f>S176-AB176</f>
      </c>
      <c r="AD176" t="s">
        <v>1</v>
      </c>
      <c r="AE176" t="s">
        <v>1</v>
      </c>
    </row>
    <row r="177" spans="1:31" x14ac:dyDescent="0.25">
      <c r="A177" s="7">
        <v>46197.5</v>
      </c>
      <c r="B177" t="s">
        <v>397</v>
      </c>
      <c r="C177" t="s">
        <v>1</v>
      </c>
      <c r="D177" s="8" t="s">
        <v>398</v>
      </c>
      <c r="E177" t="s">
        <v>77</v>
      </c>
      <c r="F177">
        <v>1</v>
      </c>
      <c r="G177" s="3">
        <v>230</v>
      </c>
      <c r="H177" s="3">
        <v>322</v>
      </c>
      <c r="I177" s="3">
        <f>H177-G177</f>
      </c>
      <c r="J177" s="3">
        <f>I177*16.67%</f>
      </c>
      <c r="K177" s="3">
        <f>H177/100*7</f>
      </c>
      <c r="L177" s="3">
        <f>K177*20%</f>
      </c>
      <c r="M177" s="3">
        <f>K177*2%</f>
      </c>
      <c r="N177" s="3">
        <f>M177*20%</f>
      </c>
      <c r="O177" s="3">
        <v>0</v>
      </c>
      <c r="P177" s="3">
        <f>O177*20%</f>
      </c>
      <c r="Q177" s="3">
        <v>1</v>
      </c>
      <c r="R177" s="3">
        <f>L177+N177+P177</f>
      </c>
      <c r="S177" s="3">
        <f>I177-J177-K177-L177-M177-N177-O177-P177-Q177</f>
      </c>
      <c r="T177" s="3">
        <f>(S177-AB177)/G177*100</f>
      </c>
      <c r="U177" s="3">
        <f>J177-R177</f>
      </c>
      <c r="V177" t="s">
        <v>1</v>
      </c>
      <c r="W177" t="s">
        <v>124</v>
      </c>
      <c r="AC177" s="3">
        <f>S177-AB177</f>
      </c>
      <c r="AD177" t="s">
        <v>125</v>
      </c>
      <c r="AE177" t="s">
        <v>104</v>
      </c>
    </row>
    <row r="178" spans="1:31" x14ac:dyDescent="0.25">
      <c r="A178" s="7">
        <v>46197.5</v>
      </c>
      <c r="B178" t="s">
        <v>399</v>
      </c>
      <c r="C178" t="s">
        <v>1</v>
      </c>
      <c r="D178" s="8" t="s">
        <v>400</v>
      </c>
      <c r="E178" t="s">
        <v>77</v>
      </c>
      <c r="F178">
        <v>1</v>
      </c>
      <c r="G178" s="3">
        <v>143</v>
      </c>
      <c r="H178" s="3">
        <v>205.92</v>
      </c>
      <c r="I178" s="3">
        <f>H178-G178</f>
      </c>
      <c r="J178" s="3">
        <f>I178*16.67%</f>
      </c>
      <c r="K178" s="3">
        <f>H178/100*7</f>
      </c>
      <c r="L178" s="3">
        <f>K178*20%</f>
      </c>
      <c r="M178" s="3">
        <f>K178*2%</f>
      </c>
      <c r="N178" s="3">
        <f>M178*20%</f>
      </c>
      <c r="O178" s="3">
        <v>0</v>
      </c>
      <c r="P178" s="3">
        <f>O178*20%</f>
      </c>
      <c r="Q178" s="3">
        <v>1</v>
      </c>
      <c r="R178" s="3">
        <f>L178+N178+P178</f>
      </c>
      <c r="S178" s="3">
        <f>I178-J178-K178-L178-M178-N178-O178-P178-Q178</f>
      </c>
      <c r="T178" s="3">
        <f>(S178-AB178)/G178*100</f>
      </c>
      <c r="U178" s="3">
        <f>J178-R178</f>
      </c>
      <c r="V178" t="s">
        <v>1</v>
      </c>
      <c r="W178" t="s">
        <v>171</v>
      </c>
      <c r="AC178" s="3">
        <f>S178-AB178</f>
      </c>
      <c r="AD178" t="s">
        <v>65</v>
      </c>
      <c r="AE178" t="s">
        <v>98</v>
      </c>
    </row>
    <row r="179" spans="1:31" x14ac:dyDescent="0.25">
      <c r="A179" s="7">
        <v>46197.5</v>
      </c>
      <c r="B179" t="s">
        <v>401</v>
      </c>
      <c r="C179" t="s">
        <v>1</v>
      </c>
      <c r="D179" s="8" t="s">
        <v>402</v>
      </c>
      <c r="E179" t="s">
        <v>101</v>
      </c>
      <c r="F179">
        <v>1</v>
      </c>
      <c r="G179" s="3">
        <v>245</v>
      </c>
      <c r="H179" s="3">
        <v>311.15</v>
      </c>
      <c r="I179" s="3">
        <f>H179-G179</f>
      </c>
      <c r="J179" s="3">
        <f>I179*16.67%</f>
      </c>
      <c r="K179" s="3">
        <f>H179/100*7</f>
      </c>
      <c r="L179" s="3">
        <f>K179*20%</f>
      </c>
      <c r="M179" s="3">
        <f>K179*2%</f>
      </c>
      <c r="N179" s="3">
        <f>M179*20%</f>
      </c>
      <c r="O179" s="3">
        <v>0</v>
      </c>
      <c r="P179" s="3">
        <f>O179*20%</f>
      </c>
      <c r="Q179" s="3">
        <v>1</v>
      </c>
      <c r="R179" s="3">
        <f>L179+N179+P179</f>
      </c>
      <c r="S179" s="3">
        <f>I179-J179-K179-L179-M179-N179-O179-P179-Q179</f>
      </c>
      <c r="T179" s="3">
        <f>(S179-AB179)/G179*100</f>
      </c>
      <c r="U179" s="3">
        <f>J179-R179</f>
      </c>
      <c r="V179" t="s">
        <v>1</v>
      </c>
      <c r="W179" t="s">
        <v>113</v>
      </c>
      <c r="AC179" s="3">
        <f>S179-AB179</f>
      </c>
      <c r="AD179" t="s">
        <v>94</v>
      </c>
      <c r="AE179" t="s">
        <v>84</v>
      </c>
    </row>
    <row r="180" spans="1:31" x14ac:dyDescent="0.25">
      <c r="A180" s="7">
        <v>46197.5</v>
      </c>
      <c r="B180" t="s">
        <v>403</v>
      </c>
      <c r="C180" t="s">
        <v>184</v>
      </c>
      <c r="D180" s="8" t="s">
        <v>1</v>
      </c>
      <c r="E180" t="s">
        <v>101</v>
      </c>
      <c r="F180">
        <v>1</v>
      </c>
      <c r="G180" s="3">
        <v>1.2</v>
      </c>
      <c r="H180" s="3">
        <v>1.43</v>
      </c>
      <c r="I180" s="3">
        <f>H180-G180</f>
      </c>
      <c r="J180" s="3">
        <f>I180*16.67%</f>
      </c>
      <c r="K180" s="3">
        <f>H180/100*7</f>
      </c>
      <c r="L180" s="3">
        <f>K180*20%</f>
      </c>
      <c r="M180" s="3">
        <f>K180*2%</f>
      </c>
      <c r="N180" s="3">
        <f>M180*20%</f>
      </c>
      <c r="O180" s="3">
        <v>0</v>
      </c>
      <c r="P180" s="3">
        <f>O180*20%</f>
      </c>
      <c r="Q180" s="3">
        <v>1</v>
      </c>
      <c r="R180" s="3">
        <f>L180+N180+P180</f>
      </c>
      <c r="S180" s="3">
        <f>I180-J180-K180-L180-M180-N180-O180-P180-Q180</f>
      </c>
      <c r="T180" s="3">
        <f>(S180-AB180)/G180*100</f>
      </c>
      <c r="U180" s="3">
        <f>J180-R180</f>
      </c>
      <c r="V180" t="s">
        <v>1</v>
      </c>
      <c r="W180" t="s">
        <v>184</v>
      </c>
      <c r="AC180" s="3">
        <f>S180-AB180</f>
      </c>
      <c r="AD180" t="s">
        <v>1</v>
      </c>
      <c r="AE180" t="s">
        <v>1</v>
      </c>
    </row>
    <row r="181" spans="1:31" x14ac:dyDescent="0.25">
      <c r="A181" s="7">
        <v>46197.5</v>
      </c>
      <c r="B181" t="s">
        <v>404</v>
      </c>
      <c r="C181" t="s">
        <v>184</v>
      </c>
      <c r="D181" s="8" t="s">
        <v>1</v>
      </c>
      <c r="E181" t="s">
        <v>101</v>
      </c>
      <c r="F181">
        <v>2</v>
      </c>
      <c r="G181" s="3">
        <v>2.4</v>
      </c>
      <c r="H181" s="3">
        <v>3.19</v>
      </c>
      <c r="I181" s="3">
        <f>H181-G181</f>
      </c>
      <c r="J181" s="3">
        <f>I181*16.67%</f>
      </c>
      <c r="K181" s="3">
        <f>H181/100*7</f>
      </c>
      <c r="L181" s="3">
        <f>K181*20%</f>
      </c>
      <c r="M181" s="3">
        <f>K181*2%</f>
      </c>
      <c r="N181" s="3">
        <f>M181*20%</f>
      </c>
      <c r="O181" s="3">
        <v>0</v>
      </c>
      <c r="P181" s="3">
        <f>O181*20%</f>
      </c>
      <c r="Q181" s="3">
        <v>1</v>
      </c>
      <c r="R181" s="3">
        <f>L181+N181+P181</f>
      </c>
      <c r="S181" s="3">
        <f>I181-J181-K181-L181-M181-N181-O181-P181-Q181</f>
      </c>
      <c r="T181" s="3">
        <f>(S181-AB181)/G181*100</f>
      </c>
      <c r="U181" s="3">
        <f>J181-R181</f>
      </c>
      <c r="V181" t="s">
        <v>1</v>
      </c>
      <c r="W181" t="s">
        <v>184</v>
      </c>
      <c r="AC181" s="3">
        <f>S181-AB181</f>
      </c>
      <c r="AD181" t="s">
        <v>1</v>
      </c>
      <c r="AE181" t="s">
        <v>1</v>
      </c>
    </row>
    <row r="182" spans="1:31" x14ac:dyDescent="0.25">
      <c r="A182" s="7">
        <v>46196.5</v>
      </c>
      <c r="B182" t="s">
        <v>405</v>
      </c>
      <c r="C182" t="s">
        <v>1</v>
      </c>
      <c r="D182" s="8" t="s">
        <v>406</v>
      </c>
      <c r="E182" t="s">
        <v>101</v>
      </c>
      <c r="F182">
        <v>1</v>
      </c>
      <c r="G182" s="3">
        <v>374</v>
      </c>
      <c r="H182" s="3">
        <v>467.5</v>
      </c>
      <c r="I182" s="3">
        <f>H182-G182</f>
      </c>
      <c r="J182" s="3">
        <f>I182*16.67%</f>
      </c>
      <c r="K182" s="3">
        <f>H182/100*7</f>
      </c>
      <c r="L182" s="3">
        <f>K182*20%</f>
      </c>
      <c r="M182" s="3">
        <f>K182*2%</f>
      </c>
      <c r="N182" s="3">
        <f>M182*20%</f>
      </c>
      <c r="O182" s="3">
        <v>0</v>
      </c>
      <c r="P182" s="3">
        <f>O182*20%</f>
      </c>
      <c r="Q182" s="3">
        <v>1</v>
      </c>
      <c r="R182" s="3">
        <f>L182+N182+P182</f>
      </c>
      <c r="S182" s="3">
        <f>I182-J182-K182-L182-M182-N182-O182-P182-Q182</f>
      </c>
      <c r="T182" s="3">
        <f>(S182-AB182)/G182*100</f>
      </c>
      <c r="U182" s="3">
        <f>J182-R182</f>
      </c>
      <c r="V182" t="s">
        <v>1</v>
      </c>
      <c r="W182" t="s">
        <v>138</v>
      </c>
      <c r="AC182" s="3">
        <f>S182-AB182</f>
      </c>
      <c r="AD182" t="s">
        <v>59</v>
      </c>
      <c r="AE182" t="s">
        <v>74</v>
      </c>
    </row>
    <row r="183" spans="1:31" x14ac:dyDescent="0.25">
      <c r="A183" s="7">
        <v>46196.5</v>
      </c>
      <c r="B183" t="s">
        <v>407</v>
      </c>
      <c r="C183" t="s">
        <v>1</v>
      </c>
      <c r="D183" s="8" t="s">
        <v>408</v>
      </c>
      <c r="E183" t="s">
        <v>77</v>
      </c>
      <c r="F183">
        <v>1</v>
      </c>
      <c r="G183" s="3">
        <v>269</v>
      </c>
      <c r="H183" s="3">
        <v>328.18</v>
      </c>
      <c r="I183" s="3">
        <f>H183-G183</f>
      </c>
      <c r="J183" s="3">
        <f>I183*16.67%</f>
      </c>
      <c r="K183" s="3">
        <f>H183/100*7</f>
      </c>
      <c r="L183" s="3">
        <f>K183*20%</f>
      </c>
      <c r="M183" s="3">
        <f>K183*2%</f>
      </c>
      <c r="N183" s="3">
        <f>M183*20%</f>
      </c>
      <c r="O183" s="3">
        <v>0</v>
      </c>
      <c r="P183" s="3">
        <f>O183*20%</f>
      </c>
      <c r="Q183" s="3">
        <v>1</v>
      </c>
      <c r="R183" s="3">
        <f>L183+N183+P183</f>
      </c>
      <c r="S183" s="3">
        <f>I183-J183-K183-L183-M183-N183-O183-P183-Q183</f>
      </c>
      <c r="T183" s="3">
        <f>(S183-AB183)/G183*100</f>
      </c>
      <c r="U183" s="3">
        <f>J183-R183</f>
      </c>
      <c r="V183" t="s">
        <v>1</v>
      </c>
      <c r="W183" t="s">
        <v>124</v>
      </c>
      <c r="AC183" s="3">
        <f>S183-AB183</f>
      </c>
      <c r="AD183" t="s">
        <v>125</v>
      </c>
      <c r="AE183" t="s">
        <v>98</v>
      </c>
    </row>
    <row r="184" spans="1:31" x14ac:dyDescent="0.25">
      <c r="A184" s="7">
        <v>46196.5</v>
      </c>
      <c r="B184" t="s">
        <v>409</v>
      </c>
      <c r="C184" t="s">
        <v>1</v>
      </c>
      <c r="D184" s="8" t="s">
        <v>410</v>
      </c>
      <c r="E184" t="s">
        <v>101</v>
      </c>
      <c r="F184">
        <v>1</v>
      </c>
      <c r="G184" s="3">
        <v>160</v>
      </c>
      <c r="H184" s="3">
        <v>187.2</v>
      </c>
      <c r="I184" s="3">
        <f>H184-G184</f>
      </c>
      <c r="J184" s="3">
        <f>I184*16.67%</f>
      </c>
      <c r="K184" s="3">
        <f>H184/100*7</f>
      </c>
      <c r="L184" s="3">
        <f>K184*20%</f>
      </c>
      <c r="M184" s="3">
        <f>K184*2%</f>
      </c>
      <c r="N184" s="3">
        <f>M184*20%</f>
      </c>
      <c r="O184" s="3">
        <v>0</v>
      </c>
      <c r="P184" s="3">
        <f>O184*20%</f>
      </c>
      <c r="Q184" s="3">
        <v>1</v>
      </c>
      <c r="R184" s="3">
        <f>L184+N184+P184</f>
      </c>
      <c r="S184" s="3">
        <f>I184-J184-K184-L184-M184-N184-O184-P184-Q184</f>
      </c>
      <c r="T184" s="3">
        <f>(S184-AB184)/G184*100</f>
      </c>
      <c r="U184" s="3">
        <f>J184-R184</f>
      </c>
      <c r="V184" t="s">
        <v>1</v>
      </c>
      <c r="W184" t="s">
        <v>291</v>
      </c>
      <c r="AC184" s="3">
        <f>S184-AB184</f>
      </c>
      <c r="AD184" t="s">
        <v>125</v>
      </c>
      <c r="AE184" t="s">
        <v>69</v>
      </c>
    </row>
    <row r="185" spans="1:31" x14ac:dyDescent="0.25">
      <c r="A185" s="7">
        <v>46196.5</v>
      </c>
      <c r="B185" t="s">
        <v>411</v>
      </c>
      <c r="C185" t="s">
        <v>176</v>
      </c>
      <c r="D185" s="8" t="s">
        <v>1</v>
      </c>
      <c r="E185" t="s">
        <v>77</v>
      </c>
      <c r="F185">
        <v>3</v>
      </c>
      <c r="G185" s="3">
        <v>0.45</v>
      </c>
      <c r="H185" s="3">
        <v>0.64</v>
      </c>
      <c r="I185" s="3">
        <f>H185-G185</f>
      </c>
      <c r="J185" s="3">
        <f>I185*16.67%</f>
      </c>
      <c r="K185" s="3">
        <f>H185/100*7</f>
      </c>
      <c r="L185" s="3">
        <f>K185*20%</f>
      </c>
      <c r="M185" s="3">
        <f>K185*2%</f>
      </c>
      <c r="N185" s="3">
        <f>M185*20%</f>
      </c>
      <c r="O185" s="3">
        <v>0</v>
      </c>
      <c r="P185" s="3">
        <f>O185*20%</f>
      </c>
      <c r="Q185" s="3">
        <v>1</v>
      </c>
      <c r="R185" s="3">
        <f>L185+N185+P185</f>
      </c>
      <c r="S185" s="3">
        <f>I185-J185-K185-L185-M185-N185-O185-P185-Q185</f>
      </c>
      <c r="T185" s="3">
        <f>(S185-AB185)/G185*100</f>
      </c>
      <c r="U185" s="3">
        <f>J185-R185</f>
      </c>
      <c r="V185" t="s">
        <v>1</v>
      </c>
      <c r="W185" t="s">
        <v>176</v>
      </c>
      <c r="AC185" s="3">
        <f>S185-AB185</f>
      </c>
      <c r="AD185" t="s">
        <v>1</v>
      </c>
      <c r="AE185" t="s">
        <v>1</v>
      </c>
    </row>
    <row r="186" spans="1:31" x14ac:dyDescent="0.25">
      <c r="A186" s="7">
        <v>46195.5</v>
      </c>
      <c r="B186" t="s">
        <v>412</v>
      </c>
      <c r="C186" t="s">
        <v>1</v>
      </c>
      <c r="D186" s="8" t="s">
        <v>413</v>
      </c>
      <c r="E186" t="s">
        <v>77</v>
      </c>
      <c r="F186">
        <v>1</v>
      </c>
      <c r="G186" s="3">
        <v>249</v>
      </c>
      <c r="H186" s="3">
        <v>286.35</v>
      </c>
      <c r="I186" s="3">
        <f>H186-G186</f>
      </c>
      <c r="J186" s="3">
        <f>I186*16.67%</f>
      </c>
      <c r="K186" s="3">
        <f>H186/100*7</f>
      </c>
      <c r="L186" s="3">
        <f>K186*20%</f>
      </c>
      <c r="M186" s="3">
        <f>K186*2%</f>
      </c>
      <c r="N186" s="3">
        <f>M186*20%</f>
      </c>
      <c r="O186" s="3">
        <v>0</v>
      </c>
      <c r="P186" s="3">
        <f>O186*20%</f>
      </c>
      <c r="Q186" s="3">
        <v>1</v>
      </c>
      <c r="R186" s="3">
        <f>L186+N186+P186</f>
      </c>
      <c r="S186" s="3">
        <f>I186-J186-K186-L186-M186-N186-O186-P186-Q186</f>
      </c>
      <c r="T186" s="3">
        <f>(S186-AB186)/G186*100</f>
      </c>
      <c r="U186" s="3">
        <f>J186-R186</f>
      </c>
      <c r="V186" t="s">
        <v>1</v>
      </c>
      <c r="W186" t="s">
        <v>64</v>
      </c>
      <c r="AC186" s="3">
        <f>S186-AB186</f>
      </c>
      <c r="AD186" t="s">
        <v>65</v>
      </c>
      <c r="AE186" t="s">
        <v>74</v>
      </c>
    </row>
    <row r="187" spans="1:31" x14ac:dyDescent="0.25">
      <c r="A187" s="7">
        <v>46195.5</v>
      </c>
      <c r="B187" t="s">
        <v>414</v>
      </c>
      <c r="C187" t="s">
        <v>1</v>
      </c>
      <c r="D187" s="8" t="s">
        <v>415</v>
      </c>
      <c r="E187" t="s">
        <v>57</v>
      </c>
      <c r="F187">
        <v>1</v>
      </c>
      <c r="G187" s="3">
        <v>335</v>
      </c>
      <c r="H187" s="3">
        <v>435.5</v>
      </c>
      <c r="I187" s="3">
        <f>H187-G187</f>
      </c>
      <c r="J187" s="3">
        <f>I187*16.67%</f>
      </c>
      <c r="K187" s="3">
        <f>H187/100*7</f>
      </c>
      <c r="L187" s="3">
        <f>K187*20%</f>
      </c>
      <c r="M187" s="3">
        <f>K187*2%</f>
      </c>
      <c r="N187" s="3">
        <f>M187*20%</f>
      </c>
      <c r="O187" s="3">
        <v>0</v>
      </c>
      <c r="P187" s="3">
        <f>O187*20%</f>
      </c>
      <c r="Q187" s="3">
        <v>1</v>
      </c>
      <c r="R187" s="3">
        <f>L187+N187+P187</f>
      </c>
      <c r="S187" s="3">
        <f>I187-J187-K187-L187-M187-N187-O187-P187-Q187</f>
      </c>
      <c r="T187" s="3">
        <f>(S187-AB187)/G187*100</f>
      </c>
      <c r="U187" s="3">
        <f>J187-R187</f>
      </c>
      <c r="V187" t="s">
        <v>1</v>
      </c>
      <c r="W187" t="s">
        <v>138</v>
      </c>
      <c r="AC187" s="3">
        <f>S187-AB187</f>
      </c>
      <c r="AD187" t="s">
        <v>65</v>
      </c>
      <c r="AE187" t="s">
        <v>74</v>
      </c>
    </row>
    <row r="188" spans="1:31" x14ac:dyDescent="0.25">
      <c r="A188" s="7">
        <v>46195.5</v>
      </c>
      <c r="B188" t="s">
        <v>416</v>
      </c>
      <c r="C188" t="s">
        <v>188</v>
      </c>
      <c r="D188" s="8" t="s">
        <v>1</v>
      </c>
      <c r="E188" t="s">
        <v>63</v>
      </c>
      <c r="F188">
        <v>4</v>
      </c>
      <c r="G188" s="3">
        <v>14</v>
      </c>
      <c r="H188" s="3">
        <v>19.74</v>
      </c>
      <c r="I188" s="3">
        <f>H188-G188</f>
      </c>
      <c r="J188" s="3">
        <f>I188*16.67%</f>
      </c>
      <c r="K188" s="3">
        <f>H188/100*7</f>
      </c>
      <c r="L188" s="3">
        <f>K188*20%</f>
      </c>
      <c r="M188" s="3">
        <f>K188*2%</f>
      </c>
      <c r="N188" s="3">
        <f>M188*20%</f>
      </c>
      <c r="O188" s="3">
        <v>0</v>
      </c>
      <c r="P188" s="3">
        <f>O188*20%</f>
      </c>
      <c r="Q188" s="3">
        <v>1</v>
      </c>
      <c r="R188" s="3">
        <f>L188+N188+P188</f>
      </c>
      <c r="S188" s="3">
        <f>I188-J188-K188-L188-M188-N188-O188-P188-Q188</f>
      </c>
      <c r="T188" s="3">
        <f>(S188-AB188)/G188*100</f>
      </c>
      <c r="U188" s="3">
        <f>J188-R188</f>
      </c>
      <c r="V188" t="s">
        <v>1</v>
      </c>
      <c r="W188" t="s">
        <v>188</v>
      </c>
      <c r="AC188" s="3">
        <f>S188-AB188</f>
      </c>
      <c r="AD188" t="s">
        <v>1</v>
      </c>
      <c r="AE188" t="s">
        <v>1</v>
      </c>
    </row>
    <row r="189" spans="1:31" x14ac:dyDescent="0.25">
      <c r="A189" s="7">
        <v>46195.5</v>
      </c>
      <c r="B189" t="s">
        <v>417</v>
      </c>
      <c r="C189" t="s">
        <v>1</v>
      </c>
      <c r="D189" s="8" t="s">
        <v>1</v>
      </c>
      <c r="E189" t="s">
        <v>77</v>
      </c>
      <c r="F189">
        <v>1</v>
      </c>
      <c r="G189" s="3">
        <v>151</v>
      </c>
      <c r="H189" s="3">
        <v>217.44</v>
      </c>
      <c r="I189" s="3">
        <f>H189-G189</f>
      </c>
      <c r="J189" s="3">
        <f>I189*16.67%</f>
      </c>
      <c r="K189" s="3">
        <f>H189/100*7</f>
      </c>
      <c r="L189" s="3">
        <f>K189*20%</f>
      </c>
      <c r="M189" s="3">
        <f>K189*2%</f>
      </c>
      <c r="N189" s="3">
        <f>M189*20%</f>
      </c>
      <c r="O189" s="3">
        <v>0</v>
      </c>
      <c r="P189" s="3">
        <f>O189*20%</f>
      </c>
      <c r="Q189" s="3">
        <v>1</v>
      </c>
      <c r="R189" s="3">
        <f>L189+N189+P189</f>
      </c>
      <c r="S189" s="3">
        <f>I189-J189-K189-L189-M189-N189-O189-P189-Q189</f>
      </c>
      <c r="T189" s="3">
        <f>(S189-AB189)/G189*100</f>
      </c>
      <c r="U189" s="3">
        <f>J189-R189</f>
      </c>
      <c r="V189" t="s">
        <v>1</v>
      </c>
      <c r="W189" t="s">
        <v>1</v>
      </c>
      <c r="AC189" s="3">
        <f>S189-AB189</f>
      </c>
      <c r="AD189" t="s">
        <v>1</v>
      </c>
      <c r="AE189" t="s">
        <v>1</v>
      </c>
    </row>
    <row r="190" spans="1:31" x14ac:dyDescent="0.25">
      <c r="A190" s="7">
        <v>46194.5</v>
      </c>
      <c r="B190" t="s">
        <v>418</v>
      </c>
      <c r="C190" t="s">
        <v>1</v>
      </c>
      <c r="D190" s="8" t="s">
        <v>419</v>
      </c>
      <c r="E190" t="s">
        <v>77</v>
      </c>
      <c r="F190">
        <v>1</v>
      </c>
      <c r="G190" s="3">
        <v>122</v>
      </c>
      <c r="H190" s="3">
        <v>152.5</v>
      </c>
      <c r="I190" s="3">
        <f>H190-G190</f>
      </c>
      <c r="J190" s="3">
        <f>I190*16.67%</f>
      </c>
      <c r="K190" s="3">
        <f>H190/100*7</f>
      </c>
      <c r="L190" s="3">
        <f>K190*20%</f>
      </c>
      <c r="M190" s="3">
        <f>K190*2%</f>
      </c>
      <c r="N190" s="3">
        <f>M190*20%</f>
      </c>
      <c r="O190" s="3">
        <v>0</v>
      </c>
      <c r="P190" s="3">
        <f>O190*20%</f>
      </c>
      <c r="Q190" s="3">
        <v>1</v>
      </c>
      <c r="R190" s="3">
        <f>L190+N190+P190</f>
      </c>
      <c r="S190" s="3">
        <f>I190-J190-K190-L190-M190-N190-O190-P190-Q190</f>
      </c>
      <c r="T190" s="3">
        <f>(S190-AB190)/G190*100</f>
      </c>
      <c r="U190" s="3">
        <f>J190-R190</f>
      </c>
      <c r="V190" t="s">
        <v>1</v>
      </c>
      <c r="W190" t="s">
        <v>133</v>
      </c>
      <c r="AC190" s="3">
        <f>S190-AB190</f>
      </c>
      <c r="AD190" t="s">
        <v>94</v>
      </c>
      <c r="AE190" t="s">
        <v>74</v>
      </c>
    </row>
    <row r="191" spans="1:31" x14ac:dyDescent="0.25">
      <c r="A191" s="7">
        <v>46194.5</v>
      </c>
      <c r="B191" t="s">
        <v>420</v>
      </c>
      <c r="C191" t="s">
        <v>1</v>
      </c>
      <c r="D191" s="8" t="s">
        <v>421</v>
      </c>
      <c r="E191" t="s">
        <v>77</v>
      </c>
      <c r="F191">
        <v>1</v>
      </c>
      <c r="G191" s="3">
        <v>378</v>
      </c>
      <c r="H191" s="3">
        <v>434.7</v>
      </c>
      <c r="I191" s="3">
        <f>H191-G191</f>
      </c>
      <c r="J191" s="3">
        <f>I191*16.67%</f>
      </c>
      <c r="K191" s="3">
        <f>H191/100*7</f>
      </c>
      <c r="L191" s="3">
        <f>K191*20%</f>
      </c>
      <c r="M191" s="3">
        <f>K191*2%</f>
      </c>
      <c r="N191" s="3">
        <f>M191*20%</f>
      </c>
      <c r="O191" s="3">
        <v>0</v>
      </c>
      <c r="P191" s="3">
        <f>O191*20%</f>
      </c>
      <c r="Q191" s="3">
        <v>1</v>
      </c>
      <c r="R191" s="3">
        <f>L191+N191+P191</f>
      </c>
      <c r="S191" s="3">
        <f>I191-J191-K191-L191-M191-N191-O191-P191-Q191</f>
      </c>
      <c r="T191" s="3">
        <f>(S191-AB191)/G191*100</f>
      </c>
      <c r="U191" s="3">
        <f>J191-R191</f>
      </c>
      <c r="V191" t="s">
        <v>1</v>
      </c>
      <c r="W191" t="s">
        <v>138</v>
      </c>
      <c r="AC191" s="3">
        <f>S191-AB191</f>
      </c>
      <c r="AD191" t="s">
        <v>59</v>
      </c>
      <c r="AE191" t="s">
        <v>74</v>
      </c>
    </row>
    <row r="192" spans="1:31" x14ac:dyDescent="0.25">
      <c r="A192" s="7">
        <v>46194.5</v>
      </c>
      <c r="B192" t="s">
        <v>422</v>
      </c>
      <c r="C192" t="s">
        <v>1</v>
      </c>
      <c r="D192" s="8" t="s">
        <v>423</v>
      </c>
      <c r="E192" t="s">
        <v>57</v>
      </c>
      <c r="F192">
        <v>1</v>
      </c>
      <c r="G192" s="3">
        <v>62</v>
      </c>
      <c r="H192" s="3">
        <v>74.4</v>
      </c>
      <c r="I192" s="3">
        <f>H192-G192</f>
      </c>
      <c r="J192" s="3">
        <f>I192*16.67%</f>
      </c>
      <c r="K192" s="3">
        <f>H192/100*7</f>
      </c>
      <c r="L192" s="3">
        <f>K192*20%</f>
      </c>
      <c r="M192" s="3">
        <f>K192*2%</f>
      </c>
      <c r="N192" s="3">
        <f>M192*20%</f>
      </c>
      <c r="O192" s="3">
        <v>0</v>
      </c>
      <c r="P192" s="3">
        <f>O192*20%</f>
      </c>
      <c r="Q192" s="3">
        <v>1</v>
      </c>
      <c r="R192" s="3">
        <f>L192+N192+P192</f>
      </c>
      <c r="S192" s="3">
        <f>I192-J192-K192-L192-M192-N192-O192-P192-Q192</f>
      </c>
      <c r="T192" s="3">
        <f>(S192-AB192)/G192*100</f>
      </c>
      <c r="U192" s="3">
        <f>J192-R192</f>
      </c>
      <c r="V192" t="s">
        <v>1</v>
      </c>
      <c r="W192" t="s">
        <v>93</v>
      </c>
      <c r="AC192" s="3">
        <f>S192-AB192</f>
      </c>
      <c r="AD192" t="s">
        <v>94</v>
      </c>
      <c r="AE192" t="s">
        <v>104</v>
      </c>
    </row>
    <row r="193" spans="1:31" x14ac:dyDescent="0.25">
      <c r="A193" s="7">
        <v>46194.5</v>
      </c>
      <c r="B193" t="s">
        <v>424</v>
      </c>
      <c r="C193" t="s">
        <v>253</v>
      </c>
      <c r="D193" s="8" t="s">
        <v>1</v>
      </c>
      <c r="E193" t="s">
        <v>57</v>
      </c>
      <c r="F193">
        <v>1</v>
      </c>
      <c r="G193" s="3">
        <v>0.8</v>
      </c>
      <c r="H193" s="3">
        <v>1.08</v>
      </c>
      <c r="I193" s="3">
        <f>H193-G193</f>
      </c>
      <c r="J193" s="3">
        <f>I193*16.67%</f>
      </c>
      <c r="K193" s="3">
        <f>H193/100*7</f>
      </c>
      <c r="L193" s="3">
        <f>K193*20%</f>
      </c>
      <c r="M193" s="3">
        <f>K193*2%</f>
      </c>
      <c r="N193" s="3">
        <f>M193*20%</f>
      </c>
      <c r="O193" s="3">
        <v>0</v>
      </c>
      <c r="P193" s="3">
        <f>O193*20%</f>
      </c>
      <c r="Q193" s="3">
        <v>1</v>
      </c>
      <c r="R193" s="3">
        <f>L193+N193+P193</f>
      </c>
      <c r="S193" s="3">
        <f>I193-J193-K193-L193-M193-N193-O193-P193-Q193</f>
      </c>
      <c r="T193" s="3">
        <f>(S193-AB193)/G193*100</f>
      </c>
      <c r="U193" s="3">
        <f>J193-R193</f>
      </c>
      <c r="V193" t="s">
        <v>1</v>
      </c>
      <c r="W193" t="s">
        <v>253</v>
      </c>
      <c r="AC193" s="3">
        <f>S193-AB193</f>
      </c>
      <c r="AD193" t="s">
        <v>1</v>
      </c>
      <c r="AE193" t="s">
        <v>1</v>
      </c>
    </row>
    <row r="194" spans="1:31" x14ac:dyDescent="0.25">
      <c r="A194" s="7">
        <v>46193.5</v>
      </c>
      <c r="B194" t="s">
        <v>425</v>
      </c>
      <c r="C194" t="s">
        <v>1</v>
      </c>
      <c r="D194" s="8" t="s">
        <v>426</v>
      </c>
      <c r="E194" t="s">
        <v>63</v>
      </c>
      <c r="F194">
        <v>1</v>
      </c>
      <c r="G194" s="3">
        <v>121</v>
      </c>
      <c r="H194" s="3">
        <v>147.62</v>
      </c>
      <c r="I194" s="3">
        <f>H194-G194</f>
      </c>
      <c r="J194" s="3">
        <f>I194*16.67%</f>
      </c>
      <c r="K194" s="3">
        <f>H194/100*7</f>
      </c>
      <c r="L194" s="3">
        <f>K194*20%</f>
      </c>
      <c r="M194" s="3">
        <f>K194*2%</f>
      </c>
      <c r="N194" s="3">
        <f>M194*20%</f>
      </c>
      <c r="O194" s="3">
        <v>0</v>
      </c>
      <c r="P194" s="3">
        <f>O194*20%</f>
      </c>
      <c r="Q194" s="3">
        <v>1</v>
      </c>
      <c r="R194" s="3">
        <f>L194+N194+P194</f>
      </c>
      <c r="S194" s="3">
        <f>I194-J194-K194-L194-M194-N194-O194-P194-Q194</f>
      </c>
      <c r="T194" s="3">
        <f>(S194-AB194)/G194*100</f>
      </c>
      <c r="U194" s="3">
        <f>J194-R194</f>
      </c>
      <c r="V194" t="s">
        <v>1</v>
      </c>
      <c r="W194" t="s">
        <v>90</v>
      </c>
      <c r="AC194" s="3">
        <f>S194-AB194</f>
      </c>
      <c r="AD194" t="s">
        <v>94</v>
      </c>
      <c r="AE194" t="s">
        <v>74</v>
      </c>
    </row>
    <row r="195" spans="1:31" x14ac:dyDescent="0.25">
      <c r="A195" s="7">
        <v>46193.5</v>
      </c>
      <c r="B195" t="s">
        <v>427</v>
      </c>
      <c r="C195" t="s">
        <v>1</v>
      </c>
      <c r="D195" s="8" t="s">
        <v>428</v>
      </c>
      <c r="E195" t="s">
        <v>77</v>
      </c>
      <c r="F195">
        <v>1</v>
      </c>
      <c r="G195" s="3">
        <v>494</v>
      </c>
      <c r="H195" s="3">
        <v>602.68</v>
      </c>
      <c r="I195" s="3">
        <f>H195-G195</f>
      </c>
      <c r="J195" s="3">
        <f>I195*16.67%</f>
      </c>
      <c r="K195" s="3">
        <f>H195/100*7</f>
      </c>
      <c r="L195" s="3">
        <f>K195*20%</f>
      </c>
      <c r="M195" s="3">
        <f>K195*2%</f>
      </c>
      <c r="N195" s="3">
        <f>M195*20%</f>
      </c>
      <c r="O195" s="3">
        <v>0</v>
      </c>
      <c r="P195" s="3">
        <f>O195*20%</f>
      </c>
      <c r="Q195" s="3">
        <v>1</v>
      </c>
      <c r="R195" s="3">
        <f>L195+N195+P195</f>
      </c>
      <c r="S195" s="3">
        <f>I195-J195-K195-L195-M195-N195-O195-P195-Q195</f>
      </c>
      <c r="T195" s="3">
        <f>(S195-AB195)/G195*100</f>
      </c>
      <c r="U195" s="3">
        <f>J195-R195</f>
      </c>
      <c r="V195" t="s">
        <v>1</v>
      </c>
      <c r="W195" t="s">
        <v>68</v>
      </c>
      <c r="AC195" s="3">
        <f>S195-AB195</f>
      </c>
      <c r="AD195" t="s">
        <v>59</v>
      </c>
      <c r="AE195" t="s">
        <v>74</v>
      </c>
    </row>
    <row r="196" spans="1:31" x14ac:dyDescent="0.25">
      <c r="A196" s="7">
        <v>46193.5</v>
      </c>
      <c r="B196" t="s">
        <v>429</v>
      </c>
      <c r="C196" t="s">
        <v>1</v>
      </c>
      <c r="D196" s="8" t="s">
        <v>430</v>
      </c>
      <c r="E196" t="s">
        <v>57</v>
      </c>
      <c r="F196">
        <v>1</v>
      </c>
      <c r="G196" s="3">
        <v>252</v>
      </c>
      <c r="H196" s="3">
        <v>294.84</v>
      </c>
      <c r="I196" s="3">
        <f>H196-G196</f>
      </c>
      <c r="J196" s="3">
        <f>I196*16.67%</f>
      </c>
      <c r="K196" s="3">
        <f>H196/100*7</f>
      </c>
      <c r="L196" s="3">
        <f>K196*20%</f>
      </c>
      <c r="M196" s="3">
        <f>K196*2%</f>
      </c>
      <c r="N196" s="3">
        <f>M196*20%</f>
      </c>
      <c r="O196" s="3">
        <v>0</v>
      </c>
      <c r="P196" s="3">
        <f>O196*20%</f>
      </c>
      <c r="Q196" s="3">
        <v>1</v>
      </c>
      <c r="R196" s="3">
        <f>L196+N196+P196</f>
      </c>
      <c r="S196" s="3">
        <f>I196-J196-K196-L196-M196-N196-O196-P196-Q196</f>
      </c>
      <c r="T196" s="3">
        <f>(S196-AB196)/G196*100</f>
      </c>
      <c r="U196" s="3">
        <f>J196-R196</f>
      </c>
      <c r="V196" t="s">
        <v>1</v>
      </c>
      <c r="W196" t="s">
        <v>113</v>
      </c>
      <c r="AC196" s="3">
        <f>S196-AB196</f>
      </c>
      <c r="AD196" t="s">
        <v>59</v>
      </c>
      <c r="AE196" t="s">
        <v>60</v>
      </c>
    </row>
    <row r="197" spans="1:31" x14ac:dyDescent="0.25">
      <c r="A197" s="7">
        <v>46193.5</v>
      </c>
      <c r="B197" t="s">
        <v>431</v>
      </c>
      <c r="C197" t="s">
        <v>1</v>
      </c>
      <c r="D197" s="8" t="s">
        <v>432</v>
      </c>
      <c r="E197" t="s">
        <v>77</v>
      </c>
      <c r="F197">
        <v>1</v>
      </c>
      <c r="G197" s="3">
        <v>140</v>
      </c>
      <c r="H197" s="3">
        <v>165.2</v>
      </c>
      <c r="I197" s="3">
        <f>H197-G197</f>
      </c>
      <c r="J197" s="3">
        <f>I197*16.67%</f>
      </c>
      <c r="K197" s="3">
        <f>H197/100*7</f>
      </c>
      <c r="L197" s="3">
        <f>K197*20%</f>
      </c>
      <c r="M197" s="3">
        <f>K197*2%</f>
      </c>
      <c r="N197" s="3">
        <f>M197*20%</f>
      </c>
      <c r="O197" s="3">
        <v>0</v>
      </c>
      <c r="P197" s="3">
        <f>O197*20%</f>
      </c>
      <c r="Q197" s="3">
        <v>1</v>
      </c>
      <c r="R197" s="3">
        <f>L197+N197+P197</f>
      </c>
      <c r="S197" s="3">
        <f>I197-J197-K197-L197-M197-N197-O197-P197-Q197</f>
      </c>
      <c r="T197" s="3">
        <f>(S197-AB197)/G197*100</f>
      </c>
      <c r="U197" s="3">
        <f>J197-R197</f>
      </c>
      <c r="V197" t="s">
        <v>1</v>
      </c>
      <c r="W197" t="s">
        <v>133</v>
      </c>
      <c r="AC197" s="3">
        <f>S197-AB197</f>
      </c>
      <c r="AD197" t="s">
        <v>65</v>
      </c>
      <c r="AE197" t="s">
        <v>104</v>
      </c>
    </row>
    <row r="198" spans="1:31" x14ac:dyDescent="0.25">
      <c r="A198" s="7">
        <v>46193.5</v>
      </c>
      <c r="B198" t="s">
        <v>433</v>
      </c>
      <c r="C198" t="s">
        <v>184</v>
      </c>
      <c r="D198" s="8" t="s">
        <v>1</v>
      </c>
      <c r="E198" t="s">
        <v>101</v>
      </c>
      <c r="F198">
        <v>2</v>
      </c>
      <c r="G198" s="3">
        <v>2.4</v>
      </c>
      <c r="H198" s="3">
        <v>3.26</v>
      </c>
      <c r="I198" s="3">
        <f>H198-G198</f>
      </c>
      <c r="J198" s="3">
        <f>I198*16.67%</f>
      </c>
      <c r="K198" s="3">
        <f>H198/100*7</f>
      </c>
      <c r="L198" s="3">
        <f>K198*20%</f>
      </c>
      <c r="M198" s="3">
        <f>K198*2%</f>
      </c>
      <c r="N198" s="3">
        <f>M198*20%</f>
      </c>
      <c r="O198" s="3">
        <v>0</v>
      </c>
      <c r="P198" s="3">
        <f>O198*20%</f>
      </c>
      <c r="Q198" s="3">
        <v>1</v>
      </c>
      <c r="R198" s="3">
        <f>L198+N198+P198</f>
      </c>
      <c r="S198" s="3">
        <f>I198-J198-K198-L198-M198-N198-O198-P198-Q198</f>
      </c>
      <c r="T198" s="3">
        <f>(S198-AB198)/G198*100</f>
      </c>
      <c r="U198" s="3">
        <f>J198-R198</f>
      </c>
      <c r="V198" t="s">
        <v>1</v>
      </c>
      <c r="W198" t="s">
        <v>184</v>
      </c>
      <c r="AC198" s="3">
        <f>S198-AB198</f>
      </c>
      <c r="AD198" t="s">
        <v>1</v>
      </c>
      <c r="AE198" t="s">
        <v>1</v>
      </c>
    </row>
    <row r="199" spans="1:31" x14ac:dyDescent="0.25">
      <c r="A199" s="7">
        <v>46193.5</v>
      </c>
      <c r="B199" t="s">
        <v>434</v>
      </c>
      <c r="C199" t="s">
        <v>184</v>
      </c>
      <c r="D199" s="8" t="s">
        <v>1</v>
      </c>
      <c r="E199" t="s">
        <v>101</v>
      </c>
      <c r="F199">
        <v>1</v>
      </c>
      <c r="G199" s="3">
        <v>1.2</v>
      </c>
      <c r="H199" s="3">
        <v>1.64</v>
      </c>
      <c r="I199" s="3">
        <f>H199-G199</f>
      </c>
      <c r="J199" s="3">
        <f>I199*16.67%</f>
      </c>
      <c r="K199" s="3">
        <f>H199/100*7</f>
      </c>
      <c r="L199" s="3">
        <f>K199*20%</f>
      </c>
      <c r="M199" s="3">
        <f>K199*2%</f>
      </c>
      <c r="N199" s="3">
        <f>M199*20%</f>
      </c>
      <c r="O199" s="3">
        <v>0</v>
      </c>
      <c r="P199" s="3">
        <f>O199*20%</f>
      </c>
      <c r="Q199" s="3">
        <v>1</v>
      </c>
      <c r="R199" s="3">
        <f>L199+N199+P199</f>
      </c>
      <c r="S199" s="3">
        <f>I199-J199-K199-L199-M199-N199-O199-P199-Q199</f>
      </c>
      <c r="T199" s="3">
        <f>(S199-AB199)/G199*100</f>
      </c>
      <c r="U199" s="3">
        <f>J199-R199</f>
      </c>
      <c r="V199" t="s">
        <v>1</v>
      </c>
      <c r="W199" t="s">
        <v>184</v>
      </c>
      <c r="AC199" s="3">
        <f>S199-AB199</f>
      </c>
      <c r="AD199" t="s">
        <v>1</v>
      </c>
      <c r="AE199" t="s">
        <v>1</v>
      </c>
    </row>
    <row r="200" spans="1:31" x14ac:dyDescent="0.25">
      <c r="A200" s="7">
        <v>46192.5</v>
      </c>
      <c r="B200" t="s">
        <v>435</v>
      </c>
      <c r="C200" t="s">
        <v>1</v>
      </c>
      <c r="D200" s="8" t="s">
        <v>436</v>
      </c>
      <c r="E200" t="s">
        <v>57</v>
      </c>
      <c r="F200">
        <v>1</v>
      </c>
      <c r="G200" s="3">
        <v>699</v>
      </c>
      <c r="H200" s="3">
        <v>880.74</v>
      </c>
      <c r="I200" s="3">
        <f>H200-G200</f>
      </c>
      <c r="J200" s="3">
        <f>I200*16.67%</f>
      </c>
      <c r="K200" s="3">
        <f>H200/100*7</f>
      </c>
      <c r="L200" s="3">
        <f>K200*20%</f>
      </c>
      <c r="M200" s="3">
        <f>K200*2%</f>
      </c>
      <c r="N200" s="3">
        <f>M200*20%</f>
      </c>
      <c r="O200" s="3">
        <v>0</v>
      </c>
      <c r="P200" s="3">
        <f>O200*20%</f>
      </c>
      <c r="Q200" s="3">
        <v>1</v>
      </c>
      <c r="R200" s="3">
        <f>L200+N200+P200</f>
      </c>
      <c r="S200" s="3">
        <f>I200-J200-K200-L200-M200-N200-O200-P200-Q200</f>
      </c>
      <c r="T200" s="3">
        <f>(S200-AB200)/G200*100</f>
      </c>
      <c r="U200" s="3">
        <f>J200-R200</f>
      </c>
      <c r="V200" t="s">
        <v>1</v>
      </c>
      <c r="W200" t="s">
        <v>83</v>
      </c>
      <c r="AC200" s="3">
        <f>S200-AB200</f>
      </c>
      <c r="AD200" t="s">
        <v>59</v>
      </c>
      <c r="AE200" t="s">
        <v>69</v>
      </c>
    </row>
    <row r="201" spans="1:31" x14ac:dyDescent="0.25">
      <c r="A201" s="7">
        <v>46192.5</v>
      </c>
      <c r="B201" t="s">
        <v>437</v>
      </c>
      <c r="C201" t="s">
        <v>1</v>
      </c>
      <c r="D201" s="8" t="s">
        <v>438</v>
      </c>
      <c r="E201" t="s">
        <v>57</v>
      </c>
      <c r="F201">
        <v>1</v>
      </c>
      <c r="G201" s="3">
        <v>64</v>
      </c>
      <c r="H201" s="3">
        <v>79.36</v>
      </c>
      <c r="I201" s="3">
        <f>H201-G201</f>
      </c>
      <c r="J201" s="3">
        <f>I201*16.67%</f>
      </c>
      <c r="K201" s="3">
        <f>H201/100*7</f>
      </c>
      <c r="L201" s="3">
        <f>K201*20%</f>
      </c>
      <c r="M201" s="3">
        <f>K201*2%</f>
      </c>
      <c r="N201" s="3">
        <f>M201*20%</f>
      </c>
      <c r="O201" s="3">
        <v>0</v>
      </c>
      <c r="P201" s="3">
        <f>O201*20%</f>
      </c>
      <c r="Q201" s="3">
        <v>1</v>
      </c>
      <c r="R201" s="3">
        <f>L201+N201+P201</f>
      </c>
      <c r="S201" s="3">
        <f>I201-J201-K201-L201-M201-N201-O201-P201-Q201</f>
      </c>
      <c r="T201" s="3">
        <f>(S201-AB201)/G201*100</f>
      </c>
      <c r="U201" s="3">
        <f>J201-R201</f>
      </c>
      <c r="V201" t="s">
        <v>1</v>
      </c>
      <c r="W201" t="s">
        <v>93</v>
      </c>
      <c r="AC201" s="3">
        <f>S201-AB201</f>
      </c>
      <c r="AD201" t="s">
        <v>94</v>
      </c>
      <c r="AE201" t="s">
        <v>104</v>
      </c>
    </row>
    <row r="202" spans="1:31" x14ac:dyDescent="0.25">
      <c r="A202" s="7">
        <v>46192.5</v>
      </c>
      <c r="B202" t="s">
        <v>439</v>
      </c>
      <c r="C202" t="s">
        <v>1</v>
      </c>
      <c r="D202" s="8" t="s">
        <v>440</v>
      </c>
      <c r="E202" t="s">
        <v>77</v>
      </c>
      <c r="F202">
        <v>1</v>
      </c>
      <c r="G202" s="3">
        <v>226</v>
      </c>
      <c r="H202" s="3">
        <v>266.68</v>
      </c>
      <c r="I202" s="3">
        <f>H202-G202</f>
      </c>
      <c r="J202" s="3">
        <f>I202*16.67%</f>
      </c>
      <c r="K202" s="3">
        <f>H202/100*7</f>
      </c>
      <c r="L202" s="3">
        <f>K202*20%</f>
      </c>
      <c r="M202" s="3">
        <f>K202*2%</f>
      </c>
      <c r="N202" s="3">
        <f>M202*20%</f>
      </c>
      <c r="O202" s="3">
        <v>0</v>
      </c>
      <c r="P202" s="3">
        <f>O202*20%</f>
      </c>
      <c r="Q202" s="3">
        <v>1</v>
      </c>
      <c r="R202" s="3">
        <f>L202+N202+P202</f>
      </c>
      <c r="S202" s="3">
        <f>I202-J202-K202-L202-M202-N202-O202-P202-Q202</f>
      </c>
      <c r="T202" s="3">
        <f>(S202-AB202)/G202*100</f>
      </c>
      <c r="U202" s="3">
        <f>J202-R202</f>
      </c>
      <c r="V202" t="s">
        <v>1</v>
      </c>
      <c r="W202" t="s">
        <v>64</v>
      </c>
      <c r="AC202" s="3">
        <f>S202-AB202</f>
      </c>
      <c r="AD202" t="s">
        <v>65</v>
      </c>
      <c r="AE202" t="s">
        <v>74</v>
      </c>
    </row>
    <row r="203" spans="1:31" x14ac:dyDescent="0.25">
      <c r="A203" s="7">
        <v>46192.5</v>
      </c>
      <c r="B203" t="s">
        <v>441</v>
      </c>
      <c r="C203" t="s">
        <v>1</v>
      </c>
      <c r="D203" s="8" t="s">
        <v>442</v>
      </c>
      <c r="E203" t="s">
        <v>72</v>
      </c>
      <c r="F203">
        <v>1</v>
      </c>
      <c r="G203" s="3">
        <v>140</v>
      </c>
      <c r="H203" s="3">
        <v>165.2</v>
      </c>
      <c r="I203" s="3">
        <f>H203-G203</f>
      </c>
      <c r="J203" s="3">
        <f>I203*16.67%</f>
      </c>
      <c r="K203" s="3">
        <f>H203/100*7</f>
      </c>
      <c r="L203" s="3">
        <f>K203*20%</f>
      </c>
      <c r="M203" s="3">
        <f>K203*2%</f>
      </c>
      <c r="N203" s="3">
        <f>M203*20%</f>
      </c>
      <c r="O203" s="3">
        <v>0</v>
      </c>
      <c r="P203" s="3">
        <f>O203*20%</f>
      </c>
      <c r="Q203" s="3">
        <v>1</v>
      </c>
      <c r="R203" s="3">
        <f>L203+N203+P203</f>
      </c>
      <c r="S203" s="3">
        <f>I203-J203-K203-L203-M203-N203-O203-P203-Q203</f>
      </c>
      <c r="T203" s="3">
        <f>(S203-AB203)/G203*100</f>
      </c>
      <c r="U203" s="3">
        <f>J203-R203</f>
      </c>
      <c r="V203" t="s">
        <v>1</v>
      </c>
      <c r="W203" t="s">
        <v>133</v>
      </c>
      <c r="AC203" s="3">
        <f>S203-AB203</f>
      </c>
      <c r="AD203" t="s">
        <v>65</v>
      </c>
      <c r="AE203" t="s">
        <v>98</v>
      </c>
    </row>
    <row r="204" spans="1:31" x14ac:dyDescent="0.25">
      <c r="A204" s="7">
        <v>46192.5</v>
      </c>
      <c r="B204" t="s">
        <v>443</v>
      </c>
      <c r="C204" t="s">
        <v>1</v>
      </c>
      <c r="D204" s="8" t="s">
        <v>444</v>
      </c>
      <c r="E204" t="s">
        <v>57</v>
      </c>
      <c r="F204">
        <v>1</v>
      </c>
      <c r="G204" s="3">
        <v>543</v>
      </c>
      <c r="H204" s="3">
        <v>640.74</v>
      </c>
      <c r="I204" s="3">
        <f>H204-G204</f>
      </c>
      <c r="J204" s="3">
        <f>I204*16.67%</f>
      </c>
      <c r="K204" s="3">
        <f>H204/100*7</f>
      </c>
      <c r="L204" s="3">
        <f>K204*20%</f>
      </c>
      <c r="M204" s="3">
        <f>K204*2%</f>
      </c>
      <c r="N204" s="3">
        <f>M204*20%</f>
      </c>
      <c r="O204" s="3">
        <v>0</v>
      </c>
      <c r="P204" s="3">
        <f>O204*20%</f>
      </c>
      <c r="Q204" s="3">
        <v>1</v>
      </c>
      <c r="R204" s="3">
        <f>L204+N204+P204</f>
      </c>
      <c r="S204" s="3">
        <f>I204-J204-K204-L204-M204-N204-O204-P204-Q204</f>
      </c>
      <c r="T204" s="3">
        <f>(S204-AB204)/G204*100</f>
      </c>
      <c r="U204" s="3">
        <f>J204-R204</f>
      </c>
      <c r="V204" t="s">
        <v>1</v>
      </c>
      <c r="W204" t="s">
        <v>68</v>
      </c>
      <c r="AC204" s="3">
        <f>S204-AB204</f>
      </c>
      <c r="AD204" t="s">
        <v>59</v>
      </c>
      <c r="AE204" t="s">
        <v>98</v>
      </c>
    </row>
    <row r="205" spans="1:31" x14ac:dyDescent="0.25">
      <c r="A205" s="7">
        <v>46191.5</v>
      </c>
      <c r="B205" t="s">
        <v>445</v>
      </c>
      <c r="C205" t="s">
        <v>1</v>
      </c>
      <c r="D205" s="8" t="s">
        <v>446</v>
      </c>
      <c r="E205" t="s">
        <v>63</v>
      </c>
      <c r="F205">
        <v>1</v>
      </c>
      <c r="G205" s="3">
        <v>91</v>
      </c>
      <c r="H205" s="3">
        <v>131.95</v>
      </c>
      <c r="I205" s="3">
        <f>H205-G205</f>
      </c>
      <c r="J205" s="3">
        <f>I205*16.67%</f>
      </c>
      <c r="K205" s="3">
        <f>H205/100*7</f>
      </c>
      <c r="L205" s="3">
        <f>K205*20%</f>
      </c>
      <c r="M205" s="3">
        <f>K205*2%</f>
      </c>
      <c r="N205" s="3">
        <f>M205*20%</f>
      </c>
      <c r="O205" s="3">
        <v>0</v>
      </c>
      <c r="P205" s="3">
        <f>O205*20%</f>
      </c>
      <c r="Q205" s="3">
        <v>1</v>
      </c>
      <c r="R205" s="3">
        <f>L205+N205+P205</f>
      </c>
      <c r="S205" s="3">
        <f>I205-J205-K205-L205-M205-N205-O205-P205-Q205</f>
      </c>
      <c r="T205" s="3">
        <f>(S205-AB205)/G205*100</f>
      </c>
      <c r="U205" s="3">
        <f>J205-R205</f>
      </c>
      <c r="V205" t="s">
        <v>1</v>
      </c>
      <c r="W205" t="s">
        <v>90</v>
      </c>
      <c r="AC205" s="3">
        <f>S205-AB205</f>
      </c>
      <c r="AD205" t="s">
        <v>65</v>
      </c>
      <c r="AE205" t="s">
        <v>74</v>
      </c>
    </row>
    <row r="206" spans="1:31" x14ac:dyDescent="0.25">
      <c r="A206" s="7">
        <v>46191.5</v>
      </c>
      <c r="B206" t="s">
        <v>447</v>
      </c>
      <c r="C206" t="s">
        <v>1</v>
      </c>
      <c r="D206" s="8" t="s">
        <v>448</v>
      </c>
      <c r="E206" t="s">
        <v>57</v>
      </c>
      <c r="F206">
        <v>1</v>
      </c>
      <c r="G206" s="3">
        <v>186</v>
      </c>
      <c r="H206" s="3">
        <v>254.82</v>
      </c>
      <c r="I206" s="3">
        <f>H206-G206</f>
      </c>
      <c r="J206" s="3">
        <f>I206*16.67%</f>
      </c>
      <c r="K206" s="3">
        <f>H206/100*7</f>
      </c>
      <c r="L206" s="3">
        <f>K206*20%</f>
      </c>
      <c r="M206" s="3">
        <f>K206*2%</f>
      </c>
      <c r="N206" s="3">
        <f>M206*20%</f>
      </c>
      <c r="O206" s="3">
        <v>0</v>
      </c>
      <c r="P206" s="3">
        <f>O206*20%</f>
      </c>
      <c r="Q206" s="3">
        <v>1</v>
      </c>
      <c r="R206" s="3">
        <f>L206+N206+P206</f>
      </c>
      <c r="S206" s="3">
        <f>I206-J206-K206-L206-M206-N206-O206-P206-Q206</f>
      </c>
      <c r="T206" s="3">
        <f>(S206-AB206)/G206*100</f>
      </c>
      <c r="U206" s="3">
        <f>J206-R206</f>
      </c>
      <c r="V206" t="s">
        <v>1</v>
      </c>
      <c r="W206" t="s">
        <v>291</v>
      </c>
      <c r="AC206" s="3">
        <f>S206-AB206</f>
      </c>
      <c r="AD206" t="s">
        <v>125</v>
      </c>
      <c r="AE206" t="s">
        <v>98</v>
      </c>
    </row>
    <row r="207" spans="1:31" x14ac:dyDescent="0.25">
      <c r="A207" s="7">
        <v>46191.5</v>
      </c>
      <c r="B207" t="s">
        <v>449</v>
      </c>
      <c r="C207" t="s">
        <v>1</v>
      </c>
      <c r="D207" s="8" t="s">
        <v>450</v>
      </c>
      <c r="E207" t="s">
        <v>63</v>
      </c>
      <c r="F207">
        <v>1</v>
      </c>
      <c r="G207" s="3">
        <v>214</v>
      </c>
      <c r="H207" s="3">
        <v>261.08</v>
      </c>
      <c r="I207" s="3">
        <f>H207-G207</f>
      </c>
      <c r="J207" s="3">
        <f>I207*16.67%</f>
      </c>
      <c r="K207" s="3">
        <f>H207/100*7</f>
      </c>
      <c r="L207" s="3">
        <f>K207*20%</f>
      </c>
      <c r="M207" s="3">
        <f>K207*2%</f>
      </c>
      <c r="N207" s="3">
        <f>M207*20%</f>
      </c>
      <c r="O207" s="3">
        <v>0</v>
      </c>
      <c r="P207" s="3">
        <f>O207*20%</f>
      </c>
      <c r="Q207" s="3">
        <v>1</v>
      </c>
      <c r="R207" s="3">
        <f>L207+N207+P207</f>
      </c>
      <c r="S207" s="3">
        <f>I207-J207-K207-L207-M207-N207-O207-P207-Q207</f>
      </c>
      <c r="T207" s="3">
        <f>(S207-AB207)/G207*100</f>
      </c>
      <c r="U207" s="3">
        <f>J207-R207</f>
      </c>
      <c r="V207" t="s">
        <v>1</v>
      </c>
      <c r="W207" t="s">
        <v>113</v>
      </c>
      <c r="AC207" s="3">
        <f>S207-AB207</f>
      </c>
      <c r="AD207" t="s">
        <v>94</v>
      </c>
      <c r="AE207" t="s">
        <v>74</v>
      </c>
    </row>
    <row r="208" spans="1:31" x14ac:dyDescent="0.25">
      <c r="A208" s="7">
        <v>46191.5</v>
      </c>
      <c r="B208" t="s">
        <v>451</v>
      </c>
      <c r="C208" t="s">
        <v>1</v>
      </c>
      <c r="D208" s="8" t="s">
        <v>452</v>
      </c>
      <c r="E208" t="s">
        <v>57</v>
      </c>
      <c r="F208">
        <v>1</v>
      </c>
      <c r="G208" s="3">
        <v>101</v>
      </c>
      <c r="H208" s="3">
        <v>125.24</v>
      </c>
      <c r="I208" s="3">
        <f>H208-G208</f>
      </c>
      <c r="J208" s="3">
        <f>I208*16.67%</f>
      </c>
      <c r="K208" s="3">
        <f>H208/100*7</f>
      </c>
      <c r="L208" s="3">
        <f>K208*20%</f>
      </c>
      <c r="M208" s="3">
        <f>K208*2%</f>
      </c>
      <c r="N208" s="3">
        <f>M208*20%</f>
      </c>
      <c r="O208" s="3">
        <v>0</v>
      </c>
      <c r="P208" s="3">
        <f>O208*20%</f>
      </c>
      <c r="Q208" s="3">
        <v>1</v>
      </c>
      <c r="R208" s="3">
        <f>L208+N208+P208</f>
      </c>
      <c r="S208" s="3">
        <f>I208-J208-K208-L208-M208-N208-O208-P208-Q208</f>
      </c>
      <c r="T208" s="3">
        <f>(S208-AB208)/G208*100</f>
      </c>
      <c r="U208" s="3">
        <f>J208-R208</f>
      </c>
      <c r="V208" t="s">
        <v>1</v>
      </c>
      <c r="W208" t="s">
        <v>90</v>
      </c>
      <c r="AC208" s="3">
        <f>S208-AB208</f>
      </c>
      <c r="AD208" t="s">
        <v>65</v>
      </c>
      <c r="AE208" t="s">
        <v>84</v>
      </c>
    </row>
    <row r="209" spans="1:31" x14ac:dyDescent="0.25">
      <c r="A209" s="7">
        <v>46191.5</v>
      </c>
      <c r="B209" t="s">
        <v>453</v>
      </c>
      <c r="C209" t="s">
        <v>1</v>
      </c>
      <c r="D209" s="8" t="s">
        <v>454</v>
      </c>
      <c r="E209" t="s">
        <v>57</v>
      </c>
      <c r="F209">
        <v>1</v>
      </c>
      <c r="G209" s="3">
        <v>122</v>
      </c>
      <c r="H209" s="3">
        <v>170.8</v>
      </c>
      <c r="I209" s="3">
        <f>H209-G209</f>
      </c>
      <c r="J209" s="3">
        <f>I209*16.67%</f>
      </c>
      <c r="K209" s="3">
        <f>H209/100*7</f>
      </c>
      <c r="L209" s="3">
        <f>K209*20%</f>
      </c>
      <c r="M209" s="3">
        <f>K209*2%</f>
      </c>
      <c r="N209" s="3">
        <f>M209*20%</f>
      </c>
      <c r="O209" s="3">
        <v>0</v>
      </c>
      <c r="P209" s="3">
        <f>O209*20%</f>
      </c>
      <c r="Q209" s="3">
        <v>1</v>
      </c>
      <c r="R209" s="3">
        <f>L209+N209+P209</f>
      </c>
      <c r="S209" s="3">
        <f>I209-J209-K209-L209-M209-N209-O209-P209-Q209</f>
      </c>
      <c r="T209" s="3">
        <f>(S209-AB209)/G209*100</f>
      </c>
      <c r="U209" s="3">
        <f>J209-R209</f>
      </c>
      <c r="V209" t="s">
        <v>1</v>
      </c>
      <c r="W209" t="s">
        <v>133</v>
      </c>
      <c r="AC209" s="3">
        <f>S209-AB209</f>
      </c>
      <c r="AD209" t="s">
        <v>65</v>
      </c>
      <c r="AE209" t="s">
        <v>87</v>
      </c>
    </row>
    <row r="210" spans="1:31" x14ac:dyDescent="0.25">
      <c r="A210" s="7">
        <v>46191.5</v>
      </c>
      <c r="B210" t="s">
        <v>455</v>
      </c>
      <c r="C210" t="s">
        <v>181</v>
      </c>
      <c r="D210" s="8" t="s">
        <v>1</v>
      </c>
      <c r="E210" t="s">
        <v>72</v>
      </c>
      <c r="F210">
        <v>4</v>
      </c>
      <c r="G210" s="3">
        <v>7.6</v>
      </c>
      <c r="H210" s="3">
        <v>9.42</v>
      </c>
      <c r="I210" s="3">
        <f>H210-G210</f>
      </c>
      <c r="J210" s="3">
        <f>I210*16.67%</f>
      </c>
      <c r="K210" s="3">
        <f>H210/100*7</f>
      </c>
      <c r="L210" s="3">
        <f>K210*20%</f>
      </c>
      <c r="M210" s="3">
        <f>K210*2%</f>
      </c>
      <c r="N210" s="3">
        <f>M210*20%</f>
      </c>
      <c r="O210" s="3">
        <v>0</v>
      </c>
      <c r="P210" s="3">
        <f>O210*20%</f>
      </c>
      <c r="Q210" s="3">
        <v>1</v>
      </c>
      <c r="R210" s="3">
        <f>L210+N210+P210</f>
      </c>
      <c r="S210" s="3">
        <f>I210-J210-K210-L210-M210-N210-O210-P210-Q210</f>
      </c>
      <c r="T210" s="3">
        <f>(S210-AB210)/G210*100</f>
      </c>
      <c r="U210" s="3">
        <f>J210-R210</f>
      </c>
      <c r="V210" t="s">
        <v>1</v>
      </c>
      <c r="W210" t="s">
        <v>181</v>
      </c>
      <c r="AC210" s="3">
        <f>S210-AB210</f>
      </c>
      <c r="AD210" t="s">
        <v>1</v>
      </c>
      <c r="AE210" t="s">
        <v>1</v>
      </c>
    </row>
    <row r="211" spans="1:31" x14ac:dyDescent="0.25">
      <c r="A211" s="7">
        <v>46191.5</v>
      </c>
      <c r="B211" t="s">
        <v>456</v>
      </c>
      <c r="C211" t="s">
        <v>181</v>
      </c>
      <c r="D211" s="8" t="s">
        <v>1</v>
      </c>
      <c r="E211" t="s">
        <v>72</v>
      </c>
      <c r="F211">
        <v>1</v>
      </c>
      <c r="G211" s="3">
        <v>1.9</v>
      </c>
      <c r="H211" s="3">
        <v>2.32</v>
      </c>
      <c r="I211" s="3">
        <f>H211-G211</f>
      </c>
      <c r="J211" s="3">
        <f>I211*16.67%</f>
      </c>
      <c r="K211" s="3">
        <f>H211/100*7</f>
      </c>
      <c r="L211" s="3">
        <f>K211*20%</f>
      </c>
      <c r="M211" s="3">
        <f>K211*2%</f>
      </c>
      <c r="N211" s="3">
        <f>M211*20%</f>
      </c>
      <c r="O211" s="3">
        <v>0</v>
      </c>
      <c r="P211" s="3">
        <f>O211*20%</f>
      </c>
      <c r="Q211" s="3">
        <v>1</v>
      </c>
      <c r="R211" s="3">
        <f>L211+N211+P211</f>
      </c>
      <c r="S211" s="3">
        <f>I211-J211-K211-L211-M211-N211-O211-P211-Q211</f>
      </c>
      <c r="T211" s="3">
        <f>(S211-AB211)/G211*100</f>
      </c>
      <c r="U211" s="3">
        <f>J211-R211</f>
      </c>
      <c r="V211" t="s">
        <v>1</v>
      </c>
      <c r="W211" t="s">
        <v>181</v>
      </c>
      <c r="AC211" s="3">
        <f>S211-AB211</f>
      </c>
      <c r="AD211" t="s">
        <v>1</v>
      </c>
      <c r="AE211" t="s">
        <v>1</v>
      </c>
    </row>
    <row r="212" spans="1:31" x14ac:dyDescent="0.25">
      <c r="A212" s="7">
        <v>46191.5</v>
      </c>
      <c r="B212" t="s">
        <v>457</v>
      </c>
      <c r="C212" t="s">
        <v>181</v>
      </c>
      <c r="D212" s="8" t="s">
        <v>1</v>
      </c>
      <c r="E212" t="s">
        <v>72</v>
      </c>
      <c r="F212">
        <v>3</v>
      </c>
      <c r="G212" s="3">
        <v>5.7</v>
      </c>
      <c r="H212" s="3">
        <v>6.95</v>
      </c>
      <c r="I212" s="3">
        <f>H212-G212</f>
      </c>
      <c r="J212" s="3">
        <f>I212*16.67%</f>
      </c>
      <c r="K212" s="3">
        <f>H212/100*7</f>
      </c>
      <c r="L212" s="3">
        <f>K212*20%</f>
      </c>
      <c r="M212" s="3">
        <f>K212*2%</f>
      </c>
      <c r="N212" s="3">
        <f>M212*20%</f>
      </c>
      <c r="O212" s="3">
        <v>0</v>
      </c>
      <c r="P212" s="3">
        <f>O212*20%</f>
      </c>
      <c r="Q212" s="3">
        <v>1</v>
      </c>
      <c r="R212" s="3">
        <f>L212+N212+P212</f>
      </c>
      <c r="S212" s="3">
        <f>I212-J212-K212-L212-M212-N212-O212-P212-Q212</f>
      </c>
      <c r="T212" s="3">
        <f>(S212-AB212)/G212*100</f>
      </c>
      <c r="U212" s="3">
        <f>J212-R212</f>
      </c>
      <c r="V212" t="s">
        <v>1</v>
      </c>
      <c r="W212" t="s">
        <v>181</v>
      </c>
      <c r="AC212" s="3">
        <f>S212-AB212</f>
      </c>
      <c r="AD212" t="s">
        <v>1</v>
      </c>
      <c r="AE212" t="s">
        <v>1</v>
      </c>
    </row>
    <row r="213" spans="1:31" x14ac:dyDescent="0.25">
      <c r="A213" s="7">
        <v>46190.5</v>
      </c>
      <c r="B213" t="s">
        <v>458</v>
      </c>
      <c r="C213" t="s">
        <v>1</v>
      </c>
      <c r="D213" s="8" t="s">
        <v>459</v>
      </c>
      <c r="E213" t="s">
        <v>101</v>
      </c>
      <c r="F213">
        <v>1</v>
      </c>
      <c r="G213" s="3">
        <v>234</v>
      </c>
      <c r="H213" s="3">
        <v>273.78</v>
      </c>
      <c r="I213" s="3">
        <f>H213-G213</f>
      </c>
      <c r="J213" s="3">
        <f>I213*16.67%</f>
      </c>
      <c r="K213" s="3">
        <f>H213/100*7</f>
      </c>
      <c r="L213" s="3">
        <f>K213*20%</f>
      </c>
      <c r="M213" s="3">
        <f>K213*2%</f>
      </c>
      <c r="N213" s="3">
        <f>M213*20%</f>
      </c>
      <c r="O213" s="3">
        <v>0</v>
      </c>
      <c r="P213" s="3">
        <f>O213*20%</f>
      </c>
      <c r="Q213" s="3">
        <v>1</v>
      </c>
      <c r="R213" s="3">
        <f>L213+N213+P213</f>
      </c>
      <c r="S213" s="3">
        <f>I213-J213-K213-L213-M213-N213-O213-P213-Q213</f>
      </c>
      <c r="T213" s="3">
        <f>(S213-AB213)/G213*100</f>
      </c>
      <c r="U213" s="3">
        <f>J213-R213</f>
      </c>
      <c r="V213" t="s">
        <v>1</v>
      </c>
      <c r="W213" t="s">
        <v>124</v>
      </c>
      <c r="AC213" s="3">
        <f>S213-AB213</f>
      </c>
      <c r="AD213" t="s">
        <v>125</v>
      </c>
      <c r="AE213" t="s">
        <v>74</v>
      </c>
    </row>
    <row r="214" spans="1:31" x14ac:dyDescent="0.25">
      <c r="A214" s="7">
        <v>46190.5</v>
      </c>
      <c r="B214" t="s">
        <v>460</v>
      </c>
      <c r="C214" t="s">
        <v>1</v>
      </c>
      <c r="D214" s="8" t="s">
        <v>461</v>
      </c>
      <c r="E214" t="s">
        <v>101</v>
      </c>
      <c r="F214">
        <v>1</v>
      </c>
      <c r="G214" s="3">
        <v>323</v>
      </c>
      <c r="H214" s="3">
        <v>384.37</v>
      </c>
      <c r="I214" s="3">
        <f>H214-G214</f>
      </c>
      <c r="J214" s="3">
        <f>I214*16.67%</f>
      </c>
      <c r="K214" s="3">
        <f>H214/100*7</f>
      </c>
      <c r="L214" s="3">
        <f>K214*20%</f>
      </c>
      <c r="M214" s="3">
        <f>K214*2%</f>
      </c>
      <c r="N214" s="3">
        <f>M214*20%</f>
      </c>
      <c r="O214" s="3">
        <v>0</v>
      </c>
      <c r="P214" s="3">
        <f>O214*20%</f>
      </c>
      <c r="Q214" s="3">
        <v>1</v>
      </c>
      <c r="R214" s="3">
        <f>L214+N214+P214</f>
      </c>
      <c r="S214" s="3">
        <f>I214-J214-K214-L214-M214-N214-O214-P214-Q214</f>
      </c>
      <c r="T214" s="3">
        <f>(S214-AB214)/G214*100</f>
      </c>
      <c r="U214" s="3">
        <f>J214-R214</f>
      </c>
      <c r="V214" t="s">
        <v>1</v>
      </c>
      <c r="W214" t="s">
        <v>97</v>
      </c>
      <c r="AC214" s="3">
        <f>S214-AB214</f>
      </c>
      <c r="AD214" t="s">
        <v>65</v>
      </c>
      <c r="AE214" t="s">
        <v>98</v>
      </c>
    </row>
    <row r="215" spans="1:31" x14ac:dyDescent="0.25">
      <c r="A215" s="7">
        <v>46190.5</v>
      </c>
      <c r="B215" t="s">
        <v>462</v>
      </c>
      <c r="C215" t="s">
        <v>1</v>
      </c>
      <c r="D215" s="8" t="s">
        <v>463</v>
      </c>
      <c r="E215" t="s">
        <v>77</v>
      </c>
      <c r="F215">
        <v>1</v>
      </c>
      <c r="G215" s="3">
        <v>476</v>
      </c>
      <c r="H215" s="3">
        <v>547.4</v>
      </c>
      <c r="I215" s="3">
        <f>H215-G215</f>
      </c>
      <c r="J215" s="3">
        <f>I215*16.67%</f>
      </c>
      <c r="K215" s="3">
        <f>H215/100*7</f>
      </c>
      <c r="L215" s="3">
        <f>K215*20%</f>
      </c>
      <c r="M215" s="3">
        <f>K215*2%</f>
      </c>
      <c r="N215" s="3">
        <f>M215*20%</f>
      </c>
      <c r="O215" s="3">
        <v>0</v>
      </c>
      <c r="P215" s="3">
        <f>O215*20%</f>
      </c>
      <c r="Q215" s="3">
        <v>1</v>
      </c>
      <c r="R215" s="3">
        <f>L215+N215+P215</f>
      </c>
      <c r="S215" s="3">
        <f>I215-J215-K215-L215-M215-N215-O215-P215-Q215</f>
      </c>
      <c r="T215" s="3">
        <f>(S215-AB215)/G215*100</f>
      </c>
      <c r="U215" s="3">
        <f>J215-R215</f>
      </c>
      <c r="V215" t="s">
        <v>1</v>
      </c>
      <c r="W215" t="s">
        <v>58</v>
      </c>
      <c r="AC215" s="3">
        <f>S215-AB215</f>
      </c>
      <c r="AD215" t="s">
        <v>59</v>
      </c>
      <c r="AE215" t="s">
        <v>84</v>
      </c>
    </row>
    <row r="216" spans="1:31" x14ac:dyDescent="0.25">
      <c r="A216" s="7">
        <v>46189.5</v>
      </c>
      <c r="B216" t="s">
        <v>464</v>
      </c>
      <c r="C216" t="s">
        <v>1</v>
      </c>
      <c r="D216" s="8" t="s">
        <v>465</v>
      </c>
      <c r="E216" t="s">
        <v>101</v>
      </c>
      <c r="F216">
        <v>1</v>
      </c>
      <c r="G216" s="3">
        <v>427</v>
      </c>
      <c r="H216" s="3">
        <v>508.13</v>
      </c>
      <c r="I216" s="3">
        <f>H216-G216</f>
      </c>
      <c r="J216" s="3">
        <f>I216*16.67%</f>
      </c>
      <c r="K216" s="3">
        <f>H216/100*7</f>
      </c>
      <c r="L216" s="3">
        <f>K216*20%</f>
      </c>
      <c r="M216" s="3">
        <f>K216*2%</f>
      </c>
      <c r="N216" s="3">
        <f>M216*20%</f>
      </c>
      <c r="O216" s="3">
        <v>0</v>
      </c>
      <c r="P216" s="3">
        <f>O216*20%</f>
      </c>
      <c r="Q216" s="3">
        <v>1</v>
      </c>
      <c r="R216" s="3">
        <f>L216+N216+P216</f>
      </c>
      <c r="S216" s="3">
        <f>I216-J216-K216-L216-M216-N216-O216-P216-Q216</f>
      </c>
      <c r="T216" s="3">
        <f>(S216-AB216)/G216*100</f>
      </c>
      <c r="U216" s="3">
        <f>J216-R216</f>
      </c>
      <c r="V216" t="s">
        <v>1</v>
      </c>
      <c r="W216" t="s">
        <v>58</v>
      </c>
      <c r="AC216" s="3">
        <f>S216-AB216</f>
      </c>
      <c r="AD216" t="s">
        <v>59</v>
      </c>
      <c r="AE216" t="s">
        <v>98</v>
      </c>
    </row>
    <row r="217" spans="1:31" x14ac:dyDescent="0.25">
      <c r="A217" s="7">
        <v>46189.5</v>
      </c>
      <c r="B217" t="s">
        <v>466</v>
      </c>
      <c r="C217" t="s">
        <v>1</v>
      </c>
      <c r="D217" s="8" t="s">
        <v>467</v>
      </c>
      <c r="E217" t="s">
        <v>72</v>
      </c>
      <c r="F217">
        <v>1</v>
      </c>
      <c r="G217" s="3">
        <v>180</v>
      </c>
      <c r="H217" s="3">
        <v>223.2</v>
      </c>
      <c r="I217" s="3">
        <f>H217-G217</f>
      </c>
      <c r="J217" s="3">
        <f>I217*16.67%</f>
      </c>
      <c r="K217" s="3">
        <f>H217/100*7</f>
      </c>
      <c r="L217" s="3">
        <f>K217*20%</f>
      </c>
      <c r="M217" s="3">
        <f>K217*2%</f>
      </c>
      <c r="N217" s="3">
        <f>M217*20%</f>
      </c>
      <c r="O217" s="3">
        <v>0</v>
      </c>
      <c r="P217" s="3">
        <f>O217*20%</f>
      </c>
      <c r="Q217" s="3">
        <v>1</v>
      </c>
      <c r="R217" s="3">
        <f>L217+N217+P217</f>
      </c>
      <c r="S217" s="3">
        <f>I217-J217-K217-L217-M217-N217-O217-P217-Q217</f>
      </c>
      <c r="T217" s="3">
        <f>(S217-AB217)/G217*100</f>
      </c>
      <c r="U217" s="3">
        <f>J217-R217</f>
      </c>
      <c r="V217" t="s">
        <v>1</v>
      </c>
      <c r="W217" t="s">
        <v>113</v>
      </c>
      <c r="AC217" s="3">
        <f>S217-AB217</f>
      </c>
      <c r="AD217" t="s">
        <v>94</v>
      </c>
      <c r="AE217" t="s">
        <v>98</v>
      </c>
    </row>
    <row r="218" spans="1:31" x14ac:dyDescent="0.25">
      <c r="A218" s="7">
        <v>46189.5</v>
      </c>
      <c r="B218" t="s">
        <v>468</v>
      </c>
      <c r="C218" t="s">
        <v>1</v>
      </c>
      <c r="D218" s="8" t="s">
        <v>469</v>
      </c>
      <c r="E218" t="s">
        <v>72</v>
      </c>
      <c r="F218">
        <v>1</v>
      </c>
      <c r="G218" s="3">
        <v>330</v>
      </c>
      <c r="H218" s="3">
        <v>386.1</v>
      </c>
      <c r="I218" s="3">
        <f>H218-G218</f>
      </c>
      <c r="J218" s="3">
        <f>I218*16.67%</f>
      </c>
      <c r="K218" s="3">
        <f>H218/100*7</f>
      </c>
      <c r="L218" s="3">
        <f>K218*20%</f>
      </c>
      <c r="M218" s="3">
        <f>K218*2%</f>
      </c>
      <c r="N218" s="3">
        <f>M218*20%</f>
      </c>
      <c r="O218" s="3">
        <v>0</v>
      </c>
      <c r="P218" s="3">
        <f>O218*20%</f>
      </c>
      <c r="Q218" s="3">
        <v>1</v>
      </c>
      <c r="R218" s="3">
        <f>L218+N218+P218</f>
      </c>
      <c r="S218" s="3">
        <f>I218-J218-K218-L218-M218-N218-O218-P218-Q218</f>
      </c>
      <c r="T218" s="3">
        <f>(S218-AB218)/G218*100</f>
      </c>
      <c r="U218" s="3">
        <f>J218-R218</f>
      </c>
      <c r="V218" t="s">
        <v>1</v>
      </c>
      <c r="W218" t="s">
        <v>97</v>
      </c>
      <c r="AC218" s="3">
        <f>S218-AB218</f>
      </c>
      <c r="AD218" t="s">
        <v>59</v>
      </c>
      <c r="AE218" t="s">
        <v>87</v>
      </c>
    </row>
    <row r="219" spans="1:31" x14ac:dyDescent="0.25">
      <c r="A219" s="7">
        <v>46189.5</v>
      </c>
      <c r="B219" t="s">
        <v>470</v>
      </c>
      <c r="C219" t="s">
        <v>1</v>
      </c>
      <c r="D219" s="8" t="s">
        <v>1</v>
      </c>
      <c r="E219" t="s">
        <v>57</v>
      </c>
      <c r="F219">
        <v>1</v>
      </c>
      <c r="G219" s="3">
        <v>279</v>
      </c>
      <c r="H219" s="3">
        <v>371.07</v>
      </c>
      <c r="I219" s="3">
        <f>H219-G219</f>
      </c>
      <c r="J219" s="3">
        <f>I219*16.67%</f>
      </c>
      <c r="K219" s="3">
        <f>H219/100*7</f>
      </c>
      <c r="L219" s="3">
        <f>K219*20%</f>
      </c>
      <c r="M219" s="3">
        <f>K219*2%</f>
      </c>
      <c r="N219" s="3">
        <f>M219*20%</f>
      </c>
      <c r="O219" s="3">
        <v>0</v>
      </c>
      <c r="P219" s="3">
        <f>O219*20%</f>
      </c>
      <c r="Q219" s="3">
        <v>1</v>
      </c>
      <c r="R219" s="3">
        <f>L219+N219+P219</f>
      </c>
      <c r="S219" s="3">
        <f>I219-J219-K219-L219-M219-N219-O219-P219-Q219</f>
      </c>
      <c r="T219" s="3">
        <f>(S219-AB219)/G219*100</f>
      </c>
      <c r="U219" s="3">
        <f>J219-R219</f>
      </c>
      <c r="V219" t="s">
        <v>1</v>
      </c>
      <c r="W219" t="s">
        <v>1</v>
      </c>
      <c r="AC219" s="3">
        <f>S219-AB219</f>
      </c>
      <c r="AD219" t="s">
        <v>1</v>
      </c>
      <c r="AE219" t="s">
        <v>1</v>
      </c>
    </row>
    <row r="220" spans="1:31" x14ac:dyDescent="0.25">
      <c r="A220" s="7">
        <v>46188.5</v>
      </c>
      <c r="B220" t="s">
        <v>471</v>
      </c>
      <c r="C220" t="s">
        <v>1</v>
      </c>
      <c r="D220" s="8" t="s">
        <v>472</v>
      </c>
      <c r="E220" t="s">
        <v>77</v>
      </c>
      <c r="F220">
        <v>1</v>
      </c>
      <c r="G220" s="3">
        <v>328</v>
      </c>
      <c r="H220" s="3">
        <v>410</v>
      </c>
      <c r="I220" s="3">
        <f>H220-G220</f>
      </c>
      <c r="J220" s="3">
        <f>I220*16.67%</f>
      </c>
      <c r="K220" s="3">
        <f>H220/100*7</f>
      </c>
      <c r="L220" s="3">
        <f>K220*20%</f>
      </c>
      <c r="M220" s="3">
        <f>K220*2%</f>
      </c>
      <c r="N220" s="3">
        <f>M220*20%</f>
      </c>
      <c r="O220" s="3">
        <v>0</v>
      </c>
      <c r="P220" s="3">
        <f>O220*20%</f>
      </c>
      <c r="Q220" s="3">
        <v>1</v>
      </c>
      <c r="R220" s="3">
        <f>L220+N220+P220</f>
      </c>
      <c r="S220" s="3">
        <f>I220-J220-K220-L220-M220-N220-O220-P220-Q220</f>
      </c>
      <c r="T220" s="3">
        <f>(S220-AB220)/G220*100</f>
      </c>
      <c r="U220" s="3">
        <f>J220-R220</f>
      </c>
      <c r="V220" t="s">
        <v>1</v>
      </c>
      <c r="W220" t="s">
        <v>130</v>
      </c>
      <c r="AC220" s="3">
        <f>S220-AB220</f>
      </c>
      <c r="AD220" t="s">
        <v>59</v>
      </c>
      <c r="AE220" t="s">
        <v>104</v>
      </c>
    </row>
    <row r="221" spans="1:31" x14ac:dyDescent="0.25">
      <c r="A221" s="7">
        <v>46188.5</v>
      </c>
      <c r="B221" t="s">
        <v>473</v>
      </c>
      <c r="C221" t="s">
        <v>1</v>
      </c>
      <c r="D221" s="8" t="s">
        <v>474</v>
      </c>
      <c r="E221" t="s">
        <v>72</v>
      </c>
      <c r="F221">
        <v>1</v>
      </c>
      <c r="G221" s="3">
        <v>537</v>
      </c>
      <c r="H221" s="3">
        <v>617.55</v>
      </c>
      <c r="I221" s="3">
        <f>H221-G221</f>
      </c>
      <c r="J221" s="3">
        <f>I221*16.67%</f>
      </c>
      <c r="K221" s="3">
        <f>H221/100*7</f>
      </c>
      <c r="L221" s="3">
        <f>K221*20%</f>
      </c>
      <c r="M221" s="3">
        <f>K221*2%</f>
      </c>
      <c r="N221" s="3">
        <f>M221*20%</f>
      </c>
      <c r="O221" s="3">
        <v>0</v>
      </c>
      <c r="P221" s="3">
        <f>O221*20%</f>
      </c>
      <c r="Q221" s="3">
        <v>1</v>
      </c>
      <c r="R221" s="3">
        <f>L221+N221+P221</f>
      </c>
      <c r="S221" s="3">
        <f>I221-J221-K221-L221-M221-N221-O221-P221-Q221</f>
      </c>
      <c r="T221" s="3">
        <f>(S221-AB221)/G221*100</f>
      </c>
      <c r="U221" s="3">
        <f>J221-R221</f>
      </c>
      <c r="V221" t="s">
        <v>1</v>
      </c>
      <c r="W221" t="s">
        <v>80</v>
      </c>
      <c r="AC221" s="3">
        <f>S221-AB221</f>
      </c>
      <c r="AD221" t="s">
        <v>59</v>
      </c>
      <c r="AE221" t="s">
        <v>60</v>
      </c>
    </row>
    <row r="222" spans="1:31" x14ac:dyDescent="0.25">
      <c r="A222" s="7">
        <v>46187.5</v>
      </c>
      <c r="B222" t="s">
        <v>475</v>
      </c>
      <c r="C222" t="s">
        <v>1</v>
      </c>
      <c r="D222" s="8" t="s">
        <v>476</v>
      </c>
      <c r="E222" t="s">
        <v>57</v>
      </c>
      <c r="F222">
        <v>1</v>
      </c>
      <c r="G222" s="3">
        <v>151</v>
      </c>
      <c r="H222" s="3">
        <v>194.79</v>
      </c>
      <c r="I222" s="3">
        <f>H222-G222</f>
      </c>
      <c r="J222" s="3">
        <f>I222*16.67%</f>
      </c>
      <c r="K222" s="3">
        <f>H222/100*7</f>
      </c>
      <c r="L222" s="3">
        <f>K222*20%</f>
      </c>
      <c r="M222" s="3">
        <f>K222*2%</f>
      </c>
      <c r="N222" s="3">
        <f>M222*20%</f>
      </c>
      <c r="O222" s="3">
        <v>0</v>
      </c>
      <c r="P222" s="3">
        <f>O222*20%</f>
      </c>
      <c r="Q222" s="3">
        <v>1</v>
      </c>
      <c r="R222" s="3">
        <f>L222+N222+P222</f>
      </c>
      <c r="S222" s="3">
        <f>I222-J222-K222-L222-M222-N222-O222-P222-Q222</f>
      </c>
      <c r="T222" s="3">
        <f>(S222-AB222)/G222*100</f>
      </c>
      <c r="U222" s="3">
        <f>J222-R222</f>
      </c>
      <c r="V222" t="s">
        <v>1</v>
      </c>
      <c r="W222" t="s">
        <v>233</v>
      </c>
      <c r="AC222" s="3">
        <f>S222-AB222</f>
      </c>
      <c r="AD222" t="s">
        <v>65</v>
      </c>
      <c r="AE222" t="s">
        <v>69</v>
      </c>
    </row>
    <row r="223" spans="1:31" x14ac:dyDescent="0.25">
      <c r="A223" s="7">
        <v>46187.5</v>
      </c>
      <c r="B223" t="s">
        <v>477</v>
      </c>
      <c r="C223" t="s">
        <v>1</v>
      </c>
      <c r="D223" s="8" t="s">
        <v>478</v>
      </c>
      <c r="E223" t="s">
        <v>77</v>
      </c>
      <c r="F223">
        <v>1</v>
      </c>
      <c r="G223" s="3">
        <v>741</v>
      </c>
      <c r="H223" s="3">
        <v>896.61</v>
      </c>
      <c r="I223" s="3">
        <f>H223-G223</f>
      </c>
      <c r="J223" s="3">
        <f>I223*16.67%</f>
      </c>
      <c r="K223" s="3">
        <f>H223/100*7</f>
      </c>
      <c r="L223" s="3">
        <f>K223*20%</f>
      </c>
      <c r="M223" s="3">
        <f>K223*2%</f>
      </c>
      <c r="N223" s="3">
        <f>M223*20%</f>
      </c>
      <c r="O223" s="3">
        <v>0</v>
      </c>
      <c r="P223" s="3">
        <f>O223*20%</f>
      </c>
      <c r="Q223" s="3">
        <v>1</v>
      </c>
      <c r="R223" s="3">
        <f>L223+N223+P223</f>
      </c>
      <c r="S223" s="3">
        <f>I223-J223-K223-L223-M223-N223-O223-P223-Q223</f>
      </c>
      <c r="T223" s="3">
        <f>(S223-AB223)/G223*100</f>
      </c>
      <c r="U223" s="3">
        <f>J223-R223</f>
      </c>
      <c r="V223" t="s">
        <v>1</v>
      </c>
      <c r="W223" t="s">
        <v>83</v>
      </c>
      <c r="AC223" s="3">
        <f>S223-AB223</f>
      </c>
      <c r="AD223" t="s">
        <v>59</v>
      </c>
      <c r="AE223" t="s">
        <v>84</v>
      </c>
    </row>
    <row r="224" spans="1:31" x14ac:dyDescent="0.25">
      <c r="A224" s="7">
        <v>46187.5</v>
      </c>
      <c r="B224" t="s">
        <v>479</v>
      </c>
      <c r="C224" t="s">
        <v>1</v>
      </c>
      <c r="D224" s="8" t="s">
        <v>480</v>
      </c>
      <c r="E224" t="s">
        <v>72</v>
      </c>
      <c r="F224">
        <v>1</v>
      </c>
      <c r="G224" s="3">
        <v>170</v>
      </c>
      <c r="H224" s="3">
        <v>198.9</v>
      </c>
      <c r="I224" s="3">
        <f>H224-G224</f>
      </c>
      <c r="J224" s="3">
        <f>I224*16.67%</f>
      </c>
      <c r="K224" s="3">
        <f>H224/100*7</f>
      </c>
      <c r="L224" s="3">
        <f>K224*20%</f>
      </c>
      <c r="M224" s="3">
        <f>K224*2%</f>
      </c>
      <c r="N224" s="3">
        <f>M224*20%</f>
      </c>
      <c r="O224" s="3">
        <v>0</v>
      </c>
      <c r="P224" s="3">
        <f>O224*20%</f>
      </c>
      <c r="Q224" s="3">
        <v>1</v>
      </c>
      <c r="R224" s="3">
        <f>L224+N224+P224</f>
      </c>
      <c r="S224" s="3">
        <f>I224-J224-K224-L224-M224-N224-O224-P224-Q224</f>
      </c>
      <c r="T224" s="3">
        <f>(S224-AB224)/G224*100</f>
      </c>
      <c r="U224" s="3">
        <f>J224-R224</f>
      </c>
      <c r="V224" t="s">
        <v>1</v>
      </c>
      <c r="W224" t="s">
        <v>291</v>
      </c>
      <c r="AC224" s="3">
        <f>S224-AB224</f>
      </c>
      <c r="AD224" t="s">
        <v>125</v>
      </c>
      <c r="AE224" t="s">
        <v>69</v>
      </c>
    </row>
    <row r="225" spans="1:31" x14ac:dyDescent="0.25">
      <c r="A225" s="7">
        <v>46187.5</v>
      </c>
      <c r="B225" t="s">
        <v>481</v>
      </c>
      <c r="C225" t="s">
        <v>1</v>
      </c>
      <c r="D225" s="8" t="s">
        <v>482</v>
      </c>
      <c r="E225" t="s">
        <v>77</v>
      </c>
      <c r="F225">
        <v>1</v>
      </c>
      <c r="G225" s="3">
        <v>114</v>
      </c>
      <c r="H225" s="3">
        <v>142.5</v>
      </c>
      <c r="I225" s="3">
        <f>H225-G225</f>
      </c>
      <c r="J225" s="3">
        <f>I225*16.67%</f>
      </c>
      <c r="K225" s="3">
        <f>H225/100*7</f>
      </c>
      <c r="L225" s="3">
        <f>K225*20%</f>
      </c>
      <c r="M225" s="3">
        <f>K225*2%</f>
      </c>
      <c r="N225" s="3">
        <f>M225*20%</f>
      </c>
      <c r="O225" s="3">
        <v>0</v>
      </c>
      <c r="P225" s="3">
        <f>O225*20%</f>
      </c>
      <c r="Q225" s="3">
        <v>1</v>
      </c>
      <c r="R225" s="3">
        <f>L225+N225+P225</f>
      </c>
      <c r="S225" s="3">
        <f>I225-J225-K225-L225-M225-N225-O225-P225-Q225</f>
      </c>
      <c r="T225" s="3">
        <f>(S225-AB225)/G225*100</f>
      </c>
      <c r="U225" s="3">
        <f>J225-R225</f>
      </c>
      <c r="V225" t="s">
        <v>1</v>
      </c>
      <c r="W225" t="s">
        <v>90</v>
      </c>
      <c r="AC225" s="3">
        <f>S225-AB225</f>
      </c>
      <c r="AD225" t="s">
        <v>94</v>
      </c>
      <c r="AE225" t="s">
        <v>84</v>
      </c>
    </row>
    <row r="226" spans="1:31" x14ac:dyDescent="0.25">
      <c r="A226" s="7">
        <v>46186.5</v>
      </c>
      <c r="B226" t="s">
        <v>483</v>
      </c>
      <c r="C226" t="s">
        <v>1</v>
      </c>
      <c r="D226" s="8" t="s">
        <v>484</v>
      </c>
      <c r="E226" t="s">
        <v>77</v>
      </c>
      <c r="F226">
        <v>1</v>
      </c>
      <c r="G226" s="3">
        <v>301</v>
      </c>
      <c r="H226" s="3">
        <v>367.22</v>
      </c>
      <c r="I226" s="3">
        <f>H226-G226</f>
      </c>
      <c r="J226" s="3">
        <f>I226*16.67%</f>
      </c>
      <c r="K226" s="3">
        <f>H226/100*7</f>
      </c>
      <c r="L226" s="3">
        <f>K226*20%</f>
      </c>
      <c r="M226" s="3">
        <f>K226*2%</f>
      </c>
      <c r="N226" s="3">
        <f>M226*20%</f>
      </c>
      <c r="O226" s="3">
        <v>0</v>
      </c>
      <c r="P226" s="3">
        <f>O226*20%</f>
      </c>
      <c r="Q226" s="3">
        <v>1</v>
      </c>
      <c r="R226" s="3">
        <f>L226+N226+P226</f>
      </c>
      <c r="S226" s="3">
        <f>I226-J226-K226-L226-M226-N226-O226-P226-Q226</f>
      </c>
      <c r="T226" s="3">
        <f>(S226-AB226)/G226*100</f>
      </c>
      <c r="U226" s="3">
        <f>J226-R226</f>
      </c>
      <c r="V226" t="s">
        <v>1</v>
      </c>
      <c r="W226" t="s">
        <v>97</v>
      </c>
      <c r="AC226" s="3">
        <f>S226-AB226</f>
      </c>
      <c r="AD226" t="s">
        <v>65</v>
      </c>
      <c r="AE226" t="s">
        <v>87</v>
      </c>
    </row>
    <row r="227" spans="1:31" x14ac:dyDescent="0.25">
      <c r="A227" s="7">
        <v>46186.5</v>
      </c>
      <c r="B227" t="s">
        <v>485</v>
      </c>
      <c r="C227" t="s">
        <v>1</v>
      </c>
      <c r="D227" s="8" t="s">
        <v>486</v>
      </c>
      <c r="E227" t="s">
        <v>63</v>
      </c>
      <c r="F227">
        <v>1</v>
      </c>
      <c r="G227" s="3">
        <v>94</v>
      </c>
      <c r="H227" s="3">
        <v>133.48</v>
      </c>
      <c r="I227" s="3">
        <f>H227-G227</f>
      </c>
      <c r="J227" s="3">
        <f>I227*16.67%</f>
      </c>
      <c r="K227" s="3">
        <f>H227/100*7</f>
      </c>
      <c r="L227" s="3">
        <f>K227*20%</f>
      </c>
      <c r="M227" s="3">
        <f>K227*2%</f>
      </c>
      <c r="N227" s="3">
        <f>M227*20%</f>
      </c>
      <c r="O227" s="3">
        <v>0</v>
      </c>
      <c r="P227" s="3">
        <f>O227*20%</f>
      </c>
      <c r="Q227" s="3">
        <v>1</v>
      </c>
      <c r="R227" s="3">
        <f>L227+N227+P227</f>
      </c>
      <c r="S227" s="3">
        <f>I227-J227-K227-L227-M227-N227-O227-P227-Q227</f>
      </c>
      <c r="T227" s="3">
        <f>(S227-AB227)/G227*100</f>
      </c>
      <c r="U227" s="3">
        <f>J227-R227</f>
      </c>
      <c r="V227" t="s">
        <v>1</v>
      </c>
      <c r="W227" t="s">
        <v>90</v>
      </c>
      <c r="AC227" s="3">
        <f>S227-AB227</f>
      </c>
      <c r="AD227" t="s">
        <v>65</v>
      </c>
      <c r="AE227" t="s">
        <v>74</v>
      </c>
    </row>
    <row r="228" spans="1:31" x14ac:dyDescent="0.25">
      <c r="A228" s="7">
        <v>46186.5</v>
      </c>
      <c r="B228" t="s">
        <v>487</v>
      </c>
      <c r="C228" t="s">
        <v>1</v>
      </c>
      <c r="D228" s="8" t="s">
        <v>488</v>
      </c>
      <c r="E228" t="s">
        <v>77</v>
      </c>
      <c r="F228">
        <v>1</v>
      </c>
      <c r="G228" s="3">
        <v>243</v>
      </c>
      <c r="H228" s="3">
        <v>323.19</v>
      </c>
      <c r="I228" s="3">
        <f>H228-G228</f>
      </c>
      <c r="J228" s="3">
        <f>I228*16.67%</f>
      </c>
      <c r="K228" s="3">
        <f>H228/100*7</f>
      </c>
      <c r="L228" s="3">
        <f>K228*20%</f>
      </c>
      <c r="M228" s="3">
        <f>K228*2%</f>
      </c>
      <c r="N228" s="3">
        <f>M228*20%</f>
      </c>
      <c r="O228" s="3">
        <v>0</v>
      </c>
      <c r="P228" s="3">
        <f>O228*20%</f>
      </c>
      <c r="Q228" s="3">
        <v>1</v>
      </c>
      <c r="R228" s="3">
        <f>L228+N228+P228</f>
      </c>
      <c r="S228" s="3">
        <f>I228-J228-K228-L228-M228-N228-O228-P228-Q228</f>
      </c>
      <c r="T228" s="3">
        <f>(S228-AB228)/G228*100</f>
      </c>
      <c r="U228" s="3">
        <f>J228-R228</f>
      </c>
      <c r="V228" t="s">
        <v>1</v>
      </c>
      <c r="W228" t="s">
        <v>124</v>
      </c>
      <c r="AC228" s="3">
        <f>S228-AB228</f>
      </c>
      <c r="AD228" t="s">
        <v>125</v>
      </c>
      <c r="AE228" t="s">
        <v>87</v>
      </c>
    </row>
    <row r="229" spans="1:31" x14ac:dyDescent="0.25">
      <c r="A229" s="7">
        <v>46185.5</v>
      </c>
      <c r="B229" t="s">
        <v>489</v>
      </c>
      <c r="C229" t="s">
        <v>1</v>
      </c>
      <c r="D229" s="8" t="s">
        <v>490</v>
      </c>
      <c r="E229" t="s">
        <v>101</v>
      </c>
      <c r="F229">
        <v>1</v>
      </c>
      <c r="G229" s="3">
        <v>307</v>
      </c>
      <c r="H229" s="3">
        <v>426.73</v>
      </c>
      <c r="I229" s="3">
        <f>H229-G229</f>
      </c>
      <c r="J229" s="3">
        <f>I229*16.67%</f>
      </c>
      <c r="K229" s="3">
        <f>H229/100*7</f>
      </c>
      <c r="L229" s="3">
        <f>K229*20%</f>
      </c>
      <c r="M229" s="3">
        <f>K229*2%</f>
      </c>
      <c r="N229" s="3">
        <f>M229*20%</f>
      </c>
      <c r="O229" s="3">
        <v>0</v>
      </c>
      <c r="P229" s="3">
        <f>O229*20%</f>
      </c>
      <c r="Q229" s="3">
        <v>1</v>
      </c>
      <c r="R229" s="3">
        <f>L229+N229+P229</f>
      </c>
      <c r="S229" s="3">
        <f>I229-J229-K229-L229-M229-N229-O229-P229-Q229</f>
      </c>
      <c r="T229" s="3">
        <f>(S229-AB229)/G229*100</f>
      </c>
      <c r="U229" s="3">
        <f>J229-R229</f>
      </c>
      <c r="V229" t="s">
        <v>1</v>
      </c>
      <c r="W229" t="s">
        <v>130</v>
      </c>
      <c r="AC229" s="3">
        <f>S229-AB229</f>
      </c>
      <c r="AD229" t="s">
        <v>59</v>
      </c>
      <c r="AE229" t="s">
        <v>84</v>
      </c>
    </row>
    <row r="230" spans="1:31" x14ac:dyDescent="0.25">
      <c r="A230" s="7">
        <v>46185.5</v>
      </c>
      <c r="B230" t="s">
        <v>491</v>
      </c>
      <c r="C230" t="s">
        <v>1</v>
      </c>
      <c r="D230" s="8" t="s">
        <v>492</v>
      </c>
      <c r="E230" t="s">
        <v>63</v>
      </c>
      <c r="F230">
        <v>1</v>
      </c>
      <c r="G230" s="3">
        <v>170</v>
      </c>
      <c r="H230" s="3">
        <v>219.3</v>
      </c>
      <c r="I230" s="3">
        <f>H230-G230</f>
      </c>
      <c r="J230" s="3">
        <f>I230*16.67%</f>
      </c>
      <c r="K230" s="3">
        <f>H230/100*7</f>
      </c>
      <c r="L230" s="3">
        <f>K230*20%</f>
      </c>
      <c r="M230" s="3">
        <f>K230*2%</f>
      </c>
      <c r="N230" s="3">
        <f>M230*20%</f>
      </c>
      <c r="O230" s="3">
        <v>0</v>
      </c>
      <c r="P230" s="3">
        <f>O230*20%</f>
      </c>
      <c r="Q230" s="3">
        <v>1</v>
      </c>
      <c r="R230" s="3">
        <f>L230+N230+P230</f>
      </c>
      <c r="S230" s="3">
        <f>I230-J230-K230-L230-M230-N230-O230-P230-Q230</f>
      </c>
      <c r="T230" s="3">
        <f>(S230-AB230)/G230*100</f>
      </c>
      <c r="U230" s="3">
        <f>J230-R230</f>
      </c>
      <c r="V230" t="s">
        <v>1</v>
      </c>
      <c r="W230" t="s">
        <v>171</v>
      </c>
      <c r="AC230" s="3">
        <f>S230-AB230</f>
      </c>
      <c r="AD230" t="s">
        <v>65</v>
      </c>
      <c r="AE230" t="s">
        <v>104</v>
      </c>
    </row>
    <row r="231" spans="1:31" x14ac:dyDescent="0.25">
      <c r="A231" s="7">
        <v>46185.5</v>
      </c>
      <c r="B231" t="s">
        <v>493</v>
      </c>
      <c r="C231" t="s">
        <v>181</v>
      </c>
      <c r="D231" s="8" t="s">
        <v>1</v>
      </c>
      <c r="E231" t="s">
        <v>72</v>
      </c>
      <c r="F231">
        <v>2</v>
      </c>
      <c r="G231" s="3">
        <v>3.8</v>
      </c>
      <c r="H231" s="3">
        <v>5.36</v>
      </c>
      <c r="I231" s="3">
        <f>H231-G231</f>
      </c>
      <c r="J231" s="3">
        <f>I231*16.67%</f>
      </c>
      <c r="K231" s="3">
        <f>H231/100*7</f>
      </c>
      <c r="L231" s="3">
        <f>K231*20%</f>
      </c>
      <c r="M231" s="3">
        <f>K231*2%</f>
      </c>
      <c r="N231" s="3">
        <f>M231*20%</f>
      </c>
      <c r="O231" s="3">
        <v>0</v>
      </c>
      <c r="P231" s="3">
        <f>O231*20%</f>
      </c>
      <c r="Q231" s="3">
        <v>1</v>
      </c>
      <c r="R231" s="3">
        <f>L231+N231+P231</f>
      </c>
      <c r="S231" s="3">
        <f>I231-J231-K231-L231-M231-N231-O231-P231-Q231</f>
      </c>
      <c r="T231" s="3">
        <f>(S231-AB231)/G231*100</f>
      </c>
      <c r="U231" s="3">
        <f>J231-R231</f>
      </c>
      <c r="V231" t="s">
        <v>1</v>
      </c>
      <c r="W231" t="s">
        <v>181</v>
      </c>
      <c r="AC231" s="3">
        <f>S231-AB231</f>
      </c>
      <c r="AD231" t="s">
        <v>1</v>
      </c>
      <c r="AE231" t="s">
        <v>1</v>
      </c>
    </row>
    <row r="232" spans="1:31" x14ac:dyDescent="0.25">
      <c r="A232" s="7">
        <v>46184.5</v>
      </c>
      <c r="B232" t="s">
        <v>494</v>
      </c>
      <c r="C232" t="s">
        <v>1</v>
      </c>
      <c r="D232" s="8" t="s">
        <v>495</v>
      </c>
      <c r="E232" t="s">
        <v>57</v>
      </c>
      <c r="F232">
        <v>1</v>
      </c>
      <c r="G232" s="3">
        <v>463</v>
      </c>
      <c r="H232" s="3">
        <v>550.97</v>
      </c>
      <c r="I232" s="3">
        <f>H232-G232</f>
      </c>
      <c r="J232" s="3">
        <f>I232*16.67%</f>
      </c>
      <c r="K232" s="3">
        <f>H232/100*7</f>
      </c>
      <c r="L232" s="3">
        <f>K232*20%</f>
      </c>
      <c r="M232" s="3">
        <f>K232*2%</f>
      </c>
      <c r="N232" s="3">
        <f>M232*20%</f>
      </c>
      <c r="O232" s="3">
        <v>0</v>
      </c>
      <c r="P232" s="3">
        <f>O232*20%</f>
      </c>
      <c r="Q232" s="3">
        <v>1</v>
      </c>
      <c r="R232" s="3">
        <f>L232+N232+P232</f>
      </c>
      <c r="S232" s="3">
        <f>I232-J232-K232-L232-M232-N232-O232-P232-Q232</f>
      </c>
      <c r="T232" s="3">
        <f>(S232-AB232)/G232*100</f>
      </c>
      <c r="U232" s="3">
        <f>J232-R232</f>
      </c>
      <c r="V232" t="s">
        <v>1</v>
      </c>
      <c r="W232" t="s">
        <v>58</v>
      </c>
      <c r="AC232" s="3">
        <f>S232-AB232</f>
      </c>
      <c r="AD232" t="s">
        <v>59</v>
      </c>
      <c r="AE232" t="s">
        <v>74</v>
      </c>
    </row>
    <row r="233" spans="1:31" x14ac:dyDescent="0.25">
      <c r="A233" s="7">
        <v>46184.5</v>
      </c>
      <c r="B233" t="s">
        <v>496</v>
      </c>
      <c r="C233" t="s">
        <v>1</v>
      </c>
      <c r="D233" s="8" t="s">
        <v>497</v>
      </c>
      <c r="E233" t="s">
        <v>72</v>
      </c>
      <c r="F233">
        <v>1</v>
      </c>
      <c r="G233" s="3">
        <v>508</v>
      </c>
      <c r="H233" s="3">
        <v>660.4</v>
      </c>
      <c r="I233" s="3">
        <f>H233-G233</f>
      </c>
      <c r="J233" s="3">
        <f>I233*16.67%</f>
      </c>
      <c r="K233" s="3">
        <f>H233/100*7</f>
      </c>
      <c r="L233" s="3">
        <f>K233*20%</f>
      </c>
      <c r="M233" s="3">
        <f>K233*2%</f>
      </c>
      <c r="N233" s="3">
        <f>M233*20%</f>
      </c>
      <c r="O233" s="3">
        <v>0</v>
      </c>
      <c r="P233" s="3">
        <f>O233*20%</f>
      </c>
      <c r="Q233" s="3">
        <v>1</v>
      </c>
      <c r="R233" s="3">
        <f>L233+N233+P233</f>
      </c>
      <c r="S233" s="3">
        <f>I233-J233-K233-L233-M233-N233-O233-P233-Q233</f>
      </c>
      <c r="T233" s="3">
        <f>(S233-AB233)/G233*100</f>
      </c>
      <c r="U233" s="3">
        <f>J233-R233</f>
      </c>
      <c r="V233" t="s">
        <v>1</v>
      </c>
      <c r="W233" t="s">
        <v>68</v>
      </c>
      <c r="AC233" s="3">
        <f>S233-AB233</f>
      </c>
      <c r="AD233" t="s">
        <v>59</v>
      </c>
      <c r="AE233" t="s">
        <v>98</v>
      </c>
    </row>
    <row r="234" spans="1:31" x14ac:dyDescent="0.25">
      <c r="A234" s="7">
        <v>46184.5</v>
      </c>
      <c r="B234" t="s">
        <v>498</v>
      </c>
      <c r="C234" t="s">
        <v>1</v>
      </c>
      <c r="D234" s="8" t="s">
        <v>499</v>
      </c>
      <c r="E234" t="s">
        <v>63</v>
      </c>
      <c r="F234">
        <v>1</v>
      </c>
      <c r="G234" s="3">
        <v>170</v>
      </c>
      <c r="H234" s="3">
        <v>241.4</v>
      </c>
      <c r="I234" s="3">
        <f>H234-G234</f>
      </c>
      <c r="J234" s="3">
        <f>I234*16.67%</f>
      </c>
      <c r="K234" s="3">
        <f>H234/100*7</f>
      </c>
      <c r="L234" s="3">
        <f>K234*20%</f>
      </c>
      <c r="M234" s="3">
        <f>K234*2%</f>
      </c>
      <c r="N234" s="3">
        <f>M234*20%</f>
      </c>
      <c r="O234" s="3">
        <v>0</v>
      </c>
      <c r="P234" s="3">
        <f>O234*20%</f>
      </c>
      <c r="Q234" s="3">
        <v>1</v>
      </c>
      <c r="R234" s="3">
        <f>L234+N234+P234</f>
      </c>
      <c r="S234" s="3">
        <f>I234-J234-K234-L234-M234-N234-O234-P234-Q234</f>
      </c>
      <c r="T234" s="3">
        <f>(S234-AB234)/G234*100</f>
      </c>
      <c r="U234" s="3">
        <f>J234-R234</f>
      </c>
      <c r="V234" t="s">
        <v>1</v>
      </c>
      <c r="W234" t="s">
        <v>171</v>
      </c>
      <c r="AC234" s="3">
        <f>S234-AB234</f>
      </c>
      <c r="AD234" t="s">
        <v>65</v>
      </c>
      <c r="AE234" t="s">
        <v>74</v>
      </c>
    </row>
    <row r="235" spans="1:31" x14ac:dyDescent="0.25">
      <c r="A235" s="7">
        <v>46184.5</v>
      </c>
      <c r="B235" t="s">
        <v>500</v>
      </c>
      <c r="C235" t="s">
        <v>1</v>
      </c>
      <c r="D235" s="8" t="s">
        <v>501</v>
      </c>
      <c r="E235" t="s">
        <v>101</v>
      </c>
      <c r="F235">
        <v>1</v>
      </c>
      <c r="G235" s="3">
        <v>328</v>
      </c>
      <c r="H235" s="3">
        <v>452.64</v>
      </c>
      <c r="I235" s="3">
        <f>H235-G235</f>
      </c>
      <c r="J235" s="3">
        <f>I235*16.67%</f>
      </c>
      <c r="K235" s="3">
        <f>H235/100*7</f>
      </c>
      <c r="L235" s="3">
        <f>K235*20%</f>
      </c>
      <c r="M235" s="3">
        <f>K235*2%</f>
      </c>
      <c r="N235" s="3">
        <f>M235*20%</f>
      </c>
      <c r="O235" s="3">
        <v>0</v>
      </c>
      <c r="P235" s="3">
        <f>O235*20%</f>
      </c>
      <c r="Q235" s="3">
        <v>1</v>
      </c>
      <c r="R235" s="3">
        <f>L235+N235+P235</f>
      </c>
      <c r="S235" s="3">
        <f>I235-J235-K235-L235-M235-N235-O235-P235-Q235</f>
      </c>
      <c r="T235" s="3">
        <f>(S235-AB235)/G235*100</f>
      </c>
      <c r="U235" s="3">
        <f>J235-R235</f>
      </c>
      <c r="V235" t="s">
        <v>1</v>
      </c>
      <c r="W235" t="s">
        <v>97</v>
      </c>
      <c r="AC235" s="3">
        <f>S235-AB235</f>
      </c>
      <c r="AD235" t="s">
        <v>59</v>
      </c>
      <c r="AE235" t="s">
        <v>74</v>
      </c>
    </row>
    <row r="236" spans="1:31" x14ac:dyDescent="0.25">
      <c r="A236" s="7">
        <v>46184.5</v>
      </c>
      <c r="B236" t="s">
        <v>502</v>
      </c>
      <c r="C236" t="s">
        <v>1</v>
      </c>
      <c r="D236" s="8" t="s">
        <v>503</v>
      </c>
      <c r="E236" t="s">
        <v>101</v>
      </c>
      <c r="F236">
        <v>1</v>
      </c>
      <c r="G236" s="3">
        <v>119</v>
      </c>
      <c r="H236" s="3">
        <v>154.7</v>
      </c>
      <c r="I236" s="3">
        <f>H236-G236</f>
      </c>
      <c r="J236" s="3">
        <f>I236*16.67%</f>
      </c>
      <c r="K236" s="3">
        <f>H236/100*7</f>
      </c>
      <c r="L236" s="3">
        <f>K236*20%</f>
      </c>
      <c r="M236" s="3">
        <f>K236*2%</f>
      </c>
      <c r="N236" s="3">
        <f>M236*20%</f>
      </c>
      <c r="O236" s="3">
        <v>0</v>
      </c>
      <c r="P236" s="3">
        <f>O236*20%</f>
      </c>
      <c r="Q236" s="3">
        <v>1</v>
      </c>
      <c r="R236" s="3">
        <f>L236+N236+P236</f>
      </c>
      <c r="S236" s="3">
        <f>I236-J236-K236-L236-M236-N236-O236-P236-Q236</f>
      </c>
      <c r="T236" s="3">
        <f>(S236-AB236)/G236*100</f>
      </c>
      <c r="U236" s="3">
        <f>J236-R236</f>
      </c>
      <c r="V236" t="s">
        <v>1</v>
      </c>
      <c r="W236" t="s">
        <v>133</v>
      </c>
      <c r="AC236" s="3">
        <f>S236-AB236</f>
      </c>
      <c r="AD236" t="s">
        <v>65</v>
      </c>
      <c r="AE236" t="s">
        <v>60</v>
      </c>
    </row>
    <row r="237" spans="1:31" x14ac:dyDescent="0.25">
      <c r="A237" s="7">
        <v>46184.5</v>
      </c>
      <c r="B237" t="s">
        <v>504</v>
      </c>
      <c r="C237" t="s">
        <v>176</v>
      </c>
      <c r="D237" s="8" t="s">
        <v>1</v>
      </c>
      <c r="E237" t="s">
        <v>77</v>
      </c>
      <c r="F237">
        <v>2</v>
      </c>
      <c r="G237" s="3">
        <v>0.3</v>
      </c>
      <c r="H237" s="3">
        <v>0.36</v>
      </c>
      <c r="I237" s="3">
        <f>H237-G237</f>
      </c>
      <c r="J237" s="3">
        <f>I237*16.67%</f>
      </c>
      <c r="K237" s="3">
        <f>H237/100*7</f>
      </c>
      <c r="L237" s="3">
        <f>K237*20%</f>
      </c>
      <c r="M237" s="3">
        <f>K237*2%</f>
      </c>
      <c r="N237" s="3">
        <f>M237*20%</f>
      </c>
      <c r="O237" s="3">
        <v>0</v>
      </c>
      <c r="P237" s="3">
        <f>O237*20%</f>
      </c>
      <c r="Q237" s="3">
        <v>1</v>
      </c>
      <c r="R237" s="3">
        <f>L237+N237+P237</f>
      </c>
      <c r="S237" s="3">
        <f>I237-J237-K237-L237-M237-N237-O237-P237-Q237</f>
      </c>
      <c r="T237" s="3">
        <f>(S237-AB237)/G237*100</f>
      </c>
      <c r="U237" s="3">
        <f>J237-R237</f>
      </c>
      <c r="V237" t="s">
        <v>1</v>
      </c>
      <c r="W237" t="s">
        <v>176</v>
      </c>
      <c r="AC237" s="3">
        <f>S237-AB237</f>
      </c>
      <c r="AD237" t="s">
        <v>1</v>
      </c>
      <c r="AE237" t="s">
        <v>1</v>
      </c>
    </row>
    <row r="238" spans="1:31" x14ac:dyDescent="0.25">
      <c r="A238" s="7">
        <v>46184.5</v>
      </c>
      <c r="B238" t="s">
        <v>505</v>
      </c>
      <c r="C238" t="s">
        <v>181</v>
      </c>
      <c r="D238" s="8" t="s">
        <v>1</v>
      </c>
      <c r="E238" t="s">
        <v>72</v>
      </c>
      <c r="F238">
        <v>3</v>
      </c>
      <c r="G238" s="3">
        <v>5.7</v>
      </c>
      <c r="H238" s="3">
        <v>7.69</v>
      </c>
      <c r="I238" s="3">
        <f>H238-G238</f>
      </c>
      <c r="J238" s="3">
        <f>I238*16.67%</f>
      </c>
      <c r="K238" s="3">
        <f>H238/100*7</f>
      </c>
      <c r="L238" s="3">
        <f>K238*20%</f>
      </c>
      <c r="M238" s="3">
        <f>K238*2%</f>
      </c>
      <c r="N238" s="3">
        <f>M238*20%</f>
      </c>
      <c r="O238" s="3">
        <v>0</v>
      </c>
      <c r="P238" s="3">
        <f>O238*20%</f>
      </c>
      <c r="Q238" s="3">
        <v>1</v>
      </c>
      <c r="R238" s="3">
        <f>L238+N238+P238</f>
      </c>
      <c r="S238" s="3">
        <f>I238-J238-K238-L238-M238-N238-O238-P238-Q238</f>
      </c>
      <c r="T238" s="3">
        <f>(S238-AB238)/G238*100</f>
      </c>
      <c r="U238" s="3">
        <f>J238-R238</f>
      </c>
      <c r="V238" t="s">
        <v>1</v>
      </c>
      <c r="W238" t="s">
        <v>181</v>
      </c>
      <c r="AC238" s="3">
        <f>S238-AB238</f>
      </c>
      <c r="AD238" t="s">
        <v>1</v>
      </c>
      <c r="AE238" t="s">
        <v>1</v>
      </c>
    </row>
    <row r="239" spans="1:31" x14ac:dyDescent="0.25">
      <c r="A239" s="7">
        <v>46183.5</v>
      </c>
      <c r="B239" t="s">
        <v>506</v>
      </c>
      <c r="C239" t="s">
        <v>1</v>
      </c>
      <c r="D239" s="8" t="s">
        <v>507</v>
      </c>
      <c r="E239" t="s">
        <v>63</v>
      </c>
      <c r="F239">
        <v>1</v>
      </c>
      <c r="G239" s="3">
        <v>573</v>
      </c>
      <c r="H239" s="3">
        <v>693.33</v>
      </c>
      <c r="I239" s="3">
        <f>H239-G239</f>
      </c>
      <c r="J239" s="3">
        <f>I239*16.67%</f>
      </c>
      <c r="K239" s="3">
        <f>H239/100*7</f>
      </c>
      <c r="L239" s="3">
        <f>K239*20%</f>
      </c>
      <c r="M239" s="3">
        <f>K239*2%</f>
      </c>
      <c r="N239" s="3">
        <f>M239*20%</f>
      </c>
      <c r="O239" s="3">
        <v>0</v>
      </c>
      <c r="P239" s="3">
        <f>O239*20%</f>
      </c>
      <c r="Q239" s="3">
        <v>1</v>
      </c>
      <c r="R239" s="3">
        <f>L239+N239+P239</f>
      </c>
      <c r="S239" s="3">
        <f>I239-J239-K239-L239-M239-N239-O239-P239-Q239</f>
      </c>
      <c r="T239" s="3">
        <f>(S239-AB239)/G239*100</f>
      </c>
      <c r="U239" s="3">
        <f>J239-R239</f>
      </c>
      <c r="V239" t="s">
        <v>1</v>
      </c>
      <c r="W239" t="s">
        <v>80</v>
      </c>
      <c r="AC239" s="3">
        <f>S239-AB239</f>
      </c>
      <c r="AD239" t="s">
        <v>65</v>
      </c>
      <c r="AE239" t="s">
        <v>74</v>
      </c>
    </row>
    <row r="240" spans="1:31" x14ac:dyDescent="0.25">
      <c r="A240" s="7">
        <v>46183.5</v>
      </c>
      <c r="B240" t="s">
        <v>508</v>
      </c>
      <c r="C240" t="s">
        <v>1</v>
      </c>
      <c r="D240" s="8" t="s">
        <v>509</v>
      </c>
      <c r="E240" t="s">
        <v>101</v>
      </c>
      <c r="F240">
        <v>1</v>
      </c>
      <c r="G240" s="3">
        <v>339</v>
      </c>
      <c r="H240" s="3">
        <v>457.65</v>
      </c>
      <c r="I240" s="3">
        <f>H240-G240</f>
      </c>
      <c r="J240" s="3">
        <f>I240*16.67%</f>
      </c>
      <c r="K240" s="3">
        <f>H240/100*7</f>
      </c>
      <c r="L240" s="3">
        <f>K240*20%</f>
      </c>
      <c r="M240" s="3">
        <f>K240*2%</f>
      </c>
      <c r="N240" s="3">
        <f>M240*20%</f>
      </c>
      <c r="O240" s="3">
        <v>0</v>
      </c>
      <c r="P240" s="3">
        <f>O240*20%</f>
      </c>
      <c r="Q240" s="3">
        <v>1</v>
      </c>
      <c r="R240" s="3">
        <f>L240+N240+P240</f>
      </c>
      <c r="S240" s="3">
        <f>I240-J240-K240-L240-M240-N240-O240-P240-Q240</f>
      </c>
      <c r="T240" s="3">
        <f>(S240-AB240)/G240*100</f>
      </c>
      <c r="U240" s="3">
        <f>J240-R240</f>
      </c>
      <c r="V240" t="s">
        <v>1</v>
      </c>
      <c r="W240" t="s">
        <v>138</v>
      </c>
      <c r="AC240" s="3">
        <f>S240-AB240</f>
      </c>
      <c r="AD240" t="s">
        <v>59</v>
      </c>
      <c r="AE240" t="s">
        <v>84</v>
      </c>
    </row>
    <row r="241" spans="1:31" x14ac:dyDescent="0.25">
      <c r="A241" s="7">
        <v>46183.5</v>
      </c>
      <c r="B241" t="s">
        <v>510</v>
      </c>
      <c r="C241" t="s">
        <v>1</v>
      </c>
      <c r="D241" s="8" t="s">
        <v>511</v>
      </c>
      <c r="E241" t="s">
        <v>72</v>
      </c>
      <c r="F241">
        <v>1</v>
      </c>
      <c r="G241" s="3">
        <v>159</v>
      </c>
      <c r="H241" s="3">
        <v>222.6</v>
      </c>
      <c r="I241" s="3">
        <f>H241-G241</f>
      </c>
      <c r="J241" s="3">
        <f>I241*16.67%</f>
      </c>
      <c r="K241" s="3">
        <f>H241/100*7</f>
      </c>
      <c r="L241" s="3">
        <f>K241*20%</f>
      </c>
      <c r="M241" s="3">
        <f>K241*2%</f>
      </c>
      <c r="N241" s="3">
        <f>M241*20%</f>
      </c>
      <c r="O241" s="3">
        <v>0</v>
      </c>
      <c r="P241" s="3">
        <f>O241*20%</f>
      </c>
      <c r="Q241" s="3">
        <v>1</v>
      </c>
      <c r="R241" s="3">
        <f>L241+N241+P241</f>
      </c>
      <c r="S241" s="3">
        <f>I241-J241-K241-L241-M241-N241-O241-P241-Q241</f>
      </c>
      <c r="T241" s="3">
        <f>(S241-AB241)/G241*100</f>
      </c>
      <c r="U241" s="3">
        <f>J241-R241</f>
      </c>
      <c r="V241" t="s">
        <v>1</v>
      </c>
      <c r="W241" t="s">
        <v>233</v>
      </c>
      <c r="AC241" s="3">
        <f>S241-AB241</f>
      </c>
      <c r="AD241" t="s">
        <v>65</v>
      </c>
      <c r="AE241" t="s">
        <v>87</v>
      </c>
    </row>
    <row r="242" spans="1:31" x14ac:dyDescent="0.25">
      <c r="A242" s="7">
        <v>46183.5</v>
      </c>
      <c r="B242" t="s">
        <v>512</v>
      </c>
      <c r="C242" t="s">
        <v>1</v>
      </c>
      <c r="D242" s="8" t="s">
        <v>513</v>
      </c>
      <c r="E242" t="s">
        <v>72</v>
      </c>
      <c r="F242">
        <v>1</v>
      </c>
      <c r="G242" s="3">
        <v>174</v>
      </c>
      <c r="H242" s="3">
        <v>234.9</v>
      </c>
      <c r="I242" s="3">
        <f>H242-G242</f>
      </c>
      <c r="J242" s="3">
        <f>I242*16.67%</f>
      </c>
      <c r="K242" s="3">
        <f>H242/100*7</f>
      </c>
      <c r="L242" s="3">
        <f>K242*20%</f>
      </c>
      <c r="M242" s="3">
        <f>K242*2%</f>
      </c>
      <c r="N242" s="3">
        <f>M242*20%</f>
      </c>
      <c r="O242" s="3">
        <v>0</v>
      </c>
      <c r="P242" s="3">
        <f>O242*20%</f>
      </c>
      <c r="Q242" s="3">
        <v>1</v>
      </c>
      <c r="R242" s="3">
        <f>L242+N242+P242</f>
      </c>
      <c r="S242" s="3">
        <f>I242-J242-K242-L242-M242-N242-O242-P242-Q242</f>
      </c>
      <c r="T242" s="3">
        <f>(S242-AB242)/G242*100</f>
      </c>
      <c r="U242" s="3">
        <f>J242-R242</f>
      </c>
      <c r="V242" t="s">
        <v>1</v>
      </c>
      <c r="W242" t="s">
        <v>171</v>
      </c>
      <c r="AC242" s="3">
        <f>S242-AB242</f>
      </c>
      <c r="AD242" t="s">
        <v>65</v>
      </c>
      <c r="AE242" t="s">
        <v>69</v>
      </c>
    </row>
    <row r="243" spans="1:31" x14ac:dyDescent="0.25">
      <c r="A243" s="7">
        <v>46183.5</v>
      </c>
      <c r="B243" t="s">
        <v>514</v>
      </c>
      <c r="C243" t="s">
        <v>188</v>
      </c>
      <c r="D243" s="8" t="s">
        <v>1</v>
      </c>
      <c r="E243" t="s">
        <v>63</v>
      </c>
      <c r="F243">
        <v>2</v>
      </c>
      <c r="G243" s="3">
        <v>7</v>
      </c>
      <c r="H243" s="3">
        <v>9.73</v>
      </c>
      <c r="I243" s="3">
        <f>H243-G243</f>
      </c>
      <c r="J243" s="3">
        <f>I243*16.67%</f>
      </c>
      <c r="K243" s="3">
        <f>H243/100*7</f>
      </c>
      <c r="L243" s="3">
        <f>K243*20%</f>
      </c>
      <c r="M243" s="3">
        <f>K243*2%</f>
      </c>
      <c r="N243" s="3">
        <f>M243*20%</f>
      </c>
      <c r="O243" s="3">
        <v>0</v>
      </c>
      <c r="P243" s="3">
        <f>O243*20%</f>
      </c>
      <c r="Q243" s="3">
        <v>1</v>
      </c>
      <c r="R243" s="3">
        <f>L243+N243+P243</f>
      </c>
      <c r="S243" s="3">
        <f>I243-J243-K243-L243-M243-N243-O243-P243-Q243</f>
      </c>
      <c r="T243" s="3">
        <f>(S243-AB243)/G243*100</f>
      </c>
      <c r="U243" s="3">
        <f>J243-R243</f>
      </c>
      <c r="V243" t="s">
        <v>1</v>
      </c>
      <c r="W243" t="s">
        <v>188</v>
      </c>
      <c r="AC243" s="3">
        <f>S243-AB243</f>
      </c>
      <c r="AD243" t="s">
        <v>1</v>
      </c>
      <c r="AE243" t="s">
        <v>1</v>
      </c>
    </row>
    <row r="244" spans="1:31" x14ac:dyDescent="0.25">
      <c r="A244" s="7">
        <v>46182.5</v>
      </c>
      <c r="B244" t="s">
        <v>515</v>
      </c>
      <c r="C244" t="s">
        <v>1</v>
      </c>
      <c r="D244" s="8" t="s">
        <v>516</v>
      </c>
      <c r="E244" t="s">
        <v>77</v>
      </c>
      <c r="F244">
        <v>1</v>
      </c>
      <c r="G244" s="3">
        <v>588</v>
      </c>
      <c r="H244" s="3">
        <v>676.2</v>
      </c>
      <c r="I244" s="3">
        <f>H244-G244</f>
      </c>
      <c r="J244" s="3">
        <f>I244*16.67%</f>
      </c>
      <c r="K244" s="3">
        <f>H244/100*7</f>
      </c>
      <c r="L244" s="3">
        <f>K244*20%</f>
      </c>
      <c r="M244" s="3">
        <f>K244*2%</f>
      </c>
      <c r="N244" s="3">
        <f>M244*20%</f>
      </c>
      <c r="O244" s="3">
        <v>0</v>
      </c>
      <c r="P244" s="3">
        <f>O244*20%</f>
      </c>
      <c r="Q244" s="3">
        <v>1</v>
      </c>
      <c r="R244" s="3">
        <f>L244+N244+P244</f>
      </c>
      <c r="S244" s="3">
        <f>I244-J244-K244-L244-M244-N244-O244-P244-Q244</f>
      </c>
      <c r="T244" s="3">
        <f>(S244-AB244)/G244*100</f>
      </c>
      <c r="U244" s="3">
        <f>J244-R244</f>
      </c>
      <c r="V244" t="s">
        <v>1</v>
      </c>
      <c r="W244" t="s">
        <v>80</v>
      </c>
      <c r="AC244" s="3">
        <f>S244-AB244</f>
      </c>
      <c r="AD244" t="s">
        <v>59</v>
      </c>
      <c r="AE244" t="s">
        <v>84</v>
      </c>
    </row>
    <row r="245" spans="1:31" x14ac:dyDescent="0.25">
      <c r="A245" s="7">
        <v>46182.5</v>
      </c>
      <c r="B245" t="s">
        <v>517</v>
      </c>
      <c r="C245" t="s">
        <v>1</v>
      </c>
      <c r="D245" s="8" t="s">
        <v>518</v>
      </c>
      <c r="E245" t="s">
        <v>57</v>
      </c>
      <c r="F245">
        <v>1</v>
      </c>
      <c r="G245" s="3">
        <v>490</v>
      </c>
      <c r="H245" s="3">
        <v>627.2</v>
      </c>
      <c r="I245" s="3">
        <f>H245-G245</f>
      </c>
      <c r="J245" s="3">
        <f>I245*16.67%</f>
      </c>
      <c r="K245" s="3">
        <f>H245/100*7</f>
      </c>
      <c r="L245" s="3">
        <f>K245*20%</f>
      </c>
      <c r="M245" s="3">
        <f>K245*2%</f>
      </c>
      <c r="N245" s="3">
        <f>M245*20%</f>
      </c>
      <c r="O245" s="3">
        <v>0</v>
      </c>
      <c r="P245" s="3">
        <f>O245*20%</f>
      </c>
      <c r="Q245" s="3">
        <v>1</v>
      </c>
      <c r="R245" s="3">
        <f>L245+N245+P245</f>
      </c>
      <c r="S245" s="3">
        <f>I245-J245-K245-L245-M245-N245-O245-P245-Q245</f>
      </c>
      <c r="T245" s="3">
        <f>(S245-AB245)/G245*100</f>
      </c>
      <c r="U245" s="3">
        <f>J245-R245</f>
      </c>
      <c r="V245" t="s">
        <v>1</v>
      </c>
      <c r="W245" t="s">
        <v>68</v>
      </c>
      <c r="AC245" s="3">
        <f>S245-AB245</f>
      </c>
      <c r="AD245" t="s">
        <v>59</v>
      </c>
      <c r="AE245" t="s">
        <v>104</v>
      </c>
    </row>
    <row r="246" spans="1:31" x14ac:dyDescent="0.25">
      <c r="A246" s="7">
        <v>46182.5</v>
      </c>
      <c r="B246" t="s">
        <v>519</v>
      </c>
      <c r="C246" t="s">
        <v>1</v>
      </c>
      <c r="D246" s="8" t="s">
        <v>520</v>
      </c>
      <c r="E246" t="s">
        <v>57</v>
      </c>
      <c r="F246">
        <v>1</v>
      </c>
      <c r="G246" s="3">
        <v>233</v>
      </c>
      <c r="H246" s="3">
        <v>279.6</v>
      </c>
      <c r="I246" s="3">
        <f>H246-G246</f>
      </c>
      <c r="J246" s="3">
        <f>I246*16.67%</f>
      </c>
      <c r="K246" s="3">
        <f>H246/100*7</f>
      </c>
      <c r="L246" s="3">
        <f>K246*20%</f>
      </c>
      <c r="M246" s="3">
        <f>K246*2%</f>
      </c>
      <c r="N246" s="3">
        <f>M246*20%</f>
      </c>
      <c r="O246" s="3">
        <v>0</v>
      </c>
      <c r="P246" s="3">
        <f>O246*20%</f>
      </c>
      <c r="Q246" s="3">
        <v>1</v>
      </c>
      <c r="R246" s="3">
        <f>L246+N246+P246</f>
      </c>
      <c r="S246" s="3">
        <f>I246-J246-K246-L246-M246-N246-O246-P246-Q246</f>
      </c>
      <c r="T246" s="3">
        <f>(S246-AB246)/G246*100</f>
      </c>
      <c r="U246" s="3">
        <f>J246-R246</f>
      </c>
      <c r="V246" t="s">
        <v>1</v>
      </c>
      <c r="W246" t="s">
        <v>124</v>
      </c>
      <c r="AC246" s="3">
        <f>S246-AB246</f>
      </c>
      <c r="AD246" t="s">
        <v>125</v>
      </c>
      <c r="AE246" t="s">
        <v>74</v>
      </c>
    </row>
    <row r="247" spans="1:31" x14ac:dyDescent="0.25">
      <c r="A247" s="7">
        <v>46182.5</v>
      </c>
      <c r="B247" t="s">
        <v>521</v>
      </c>
      <c r="C247" t="s">
        <v>188</v>
      </c>
      <c r="D247" s="8" t="s">
        <v>1</v>
      </c>
      <c r="E247" t="s">
        <v>63</v>
      </c>
      <c r="F247">
        <v>4</v>
      </c>
      <c r="G247" s="3">
        <v>14</v>
      </c>
      <c r="H247" s="3">
        <v>16.1</v>
      </c>
      <c r="I247" s="3">
        <f>H247-G247</f>
      </c>
      <c r="J247" s="3">
        <f>I247*16.67%</f>
      </c>
      <c r="K247" s="3">
        <f>H247/100*7</f>
      </c>
      <c r="L247" s="3">
        <f>K247*20%</f>
      </c>
      <c r="M247" s="3">
        <f>K247*2%</f>
      </c>
      <c r="N247" s="3">
        <f>M247*20%</f>
      </c>
      <c r="O247" s="3">
        <v>0</v>
      </c>
      <c r="P247" s="3">
        <f>O247*20%</f>
      </c>
      <c r="Q247" s="3">
        <v>1</v>
      </c>
      <c r="R247" s="3">
        <f>L247+N247+P247</f>
      </c>
      <c r="S247" s="3">
        <f>I247-J247-K247-L247-M247-N247-O247-P247-Q247</f>
      </c>
      <c r="T247" s="3">
        <f>(S247-AB247)/G247*100</f>
      </c>
      <c r="U247" s="3">
        <f>J247-R247</f>
      </c>
      <c r="V247" t="s">
        <v>1</v>
      </c>
      <c r="W247" t="s">
        <v>188</v>
      </c>
      <c r="AC247" s="3">
        <f>S247-AB247</f>
      </c>
      <c r="AD247" t="s">
        <v>1</v>
      </c>
      <c r="AE247" t="s">
        <v>1</v>
      </c>
    </row>
    <row r="248" spans="1:31" x14ac:dyDescent="0.25">
      <c r="A248" s="7">
        <v>46182.5</v>
      </c>
      <c r="B248" t="s">
        <v>522</v>
      </c>
      <c r="C248" t="s">
        <v>188</v>
      </c>
      <c r="D248" s="8" t="s">
        <v>1</v>
      </c>
      <c r="E248" t="s">
        <v>63</v>
      </c>
      <c r="F248">
        <v>3</v>
      </c>
      <c r="G248" s="3">
        <v>10.5</v>
      </c>
      <c r="H248" s="3">
        <v>14.39</v>
      </c>
      <c r="I248" s="3">
        <f>H248-G248</f>
      </c>
      <c r="J248" s="3">
        <f>I248*16.67%</f>
      </c>
      <c r="K248" s="3">
        <f>H248/100*7</f>
      </c>
      <c r="L248" s="3">
        <f>K248*20%</f>
      </c>
      <c r="M248" s="3">
        <f>K248*2%</f>
      </c>
      <c r="N248" s="3">
        <f>M248*20%</f>
      </c>
      <c r="O248" s="3">
        <v>0</v>
      </c>
      <c r="P248" s="3">
        <f>O248*20%</f>
      </c>
      <c r="Q248" s="3">
        <v>1</v>
      </c>
      <c r="R248" s="3">
        <f>L248+N248+P248</f>
      </c>
      <c r="S248" s="3">
        <f>I248-J248-K248-L248-M248-N248-O248-P248-Q248</f>
      </c>
      <c r="T248" s="3">
        <f>(S248-AB248)/G248*100</f>
      </c>
      <c r="U248" s="3">
        <f>J248-R248</f>
      </c>
      <c r="V248" t="s">
        <v>1</v>
      </c>
      <c r="W248" t="s">
        <v>188</v>
      </c>
      <c r="AC248" s="3">
        <f>S248-AB248</f>
      </c>
      <c r="AD248" t="s">
        <v>1</v>
      </c>
      <c r="AE248" t="s">
        <v>1</v>
      </c>
    </row>
    <row r="249" spans="1:31" x14ac:dyDescent="0.25">
      <c r="A249" s="7">
        <v>46181.5</v>
      </c>
      <c r="B249" t="s">
        <v>523</v>
      </c>
      <c r="C249" t="s">
        <v>1</v>
      </c>
      <c r="D249" s="8" t="s">
        <v>524</v>
      </c>
      <c r="E249" t="s">
        <v>63</v>
      </c>
      <c r="F249">
        <v>1</v>
      </c>
      <c r="G249" s="3">
        <v>84</v>
      </c>
      <c r="H249" s="3">
        <v>102.48</v>
      </c>
      <c r="I249" s="3">
        <f>H249-G249</f>
      </c>
      <c r="J249" s="3">
        <f>I249*16.67%</f>
      </c>
      <c r="K249" s="3">
        <f>H249/100*7</f>
      </c>
      <c r="L249" s="3">
        <f>K249*20%</f>
      </c>
      <c r="M249" s="3">
        <f>K249*2%</f>
      </c>
      <c r="N249" s="3">
        <f>M249*20%</f>
      </c>
      <c r="O249" s="3">
        <v>0</v>
      </c>
      <c r="P249" s="3">
        <f>O249*20%</f>
      </c>
      <c r="Q249" s="3">
        <v>1</v>
      </c>
      <c r="R249" s="3">
        <f>L249+N249+P249</f>
      </c>
      <c r="S249" s="3">
        <f>I249-J249-K249-L249-M249-N249-O249-P249-Q249</f>
      </c>
      <c r="T249" s="3">
        <f>(S249-AB249)/G249*100</f>
      </c>
      <c r="U249" s="3">
        <f>J249-R249</f>
      </c>
      <c r="V249" t="s">
        <v>1</v>
      </c>
      <c r="W249" t="s">
        <v>93</v>
      </c>
      <c r="AC249" s="3">
        <f>S249-AB249</f>
      </c>
      <c r="AD249" t="s">
        <v>94</v>
      </c>
      <c r="AE249" t="s">
        <v>60</v>
      </c>
    </row>
    <row r="250" spans="1:31" x14ac:dyDescent="0.25">
      <c r="A250" s="7">
        <v>46181.5</v>
      </c>
      <c r="B250" t="s">
        <v>525</v>
      </c>
      <c r="C250" t="s">
        <v>1</v>
      </c>
      <c r="D250" s="8" t="s">
        <v>526</v>
      </c>
      <c r="E250" t="s">
        <v>57</v>
      </c>
      <c r="F250">
        <v>1</v>
      </c>
      <c r="G250" s="3">
        <v>681</v>
      </c>
      <c r="H250" s="3">
        <v>864.87</v>
      </c>
      <c r="I250" s="3">
        <f>H250-G250</f>
      </c>
      <c r="J250" s="3">
        <f>I250*16.67%</f>
      </c>
      <c r="K250" s="3">
        <f>H250/100*7</f>
      </c>
      <c r="L250" s="3">
        <f>K250*20%</f>
      </c>
      <c r="M250" s="3">
        <f>K250*2%</f>
      </c>
      <c r="N250" s="3">
        <f>M250*20%</f>
      </c>
      <c r="O250" s="3">
        <v>0</v>
      </c>
      <c r="P250" s="3">
        <f>O250*20%</f>
      </c>
      <c r="Q250" s="3">
        <v>1</v>
      </c>
      <c r="R250" s="3">
        <f>L250+N250+P250</f>
      </c>
      <c r="S250" s="3">
        <f>I250-J250-K250-L250-M250-N250-O250-P250-Q250</f>
      </c>
      <c r="T250" s="3">
        <f>(S250-AB250)/G250*100</f>
      </c>
      <c r="U250" s="3">
        <f>J250-R250</f>
      </c>
      <c r="V250" t="s">
        <v>1</v>
      </c>
      <c r="W250" t="s">
        <v>83</v>
      </c>
      <c r="AC250" s="3">
        <f>S250-AB250</f>
      </c>
      <c r="AD250" t="s">
        <v>59</v>
      </c>
      <c r="AE250" t="s">
        <v>87</v>
      </c>
    </row>
    <row r="251" spans="1:31" x14ac:dyDescent="0.25">
      <c r="A251" s="7">
        <v>46181.5</v>
      </c>
      <c r="B251" t="s">
        <v>527</v>
      </c>
      <c r="C251" t="s">
        <v>1</v>
      </c>
      <c r="D251" s="8" t="s">
        <v>528</v>
      </c>
      <c r="E251" t="s">
        <v>72</v>
      </c>
      <c r="F251">
        <v>1</v>
      </c>
      <c r="G251" s="3">
        <v>142</v>
      </c>
      <c r="H251" s="3">
        <v>194.54</v>
      </c>
      <c r="I251" s="3">
        <f>H251-G251</f>
      </c>
      <c r="J251" s="3">
        <f>I251*16.67%</f>
      </c>
      <c r="K251" s="3">
        <f>H251/100*7</f>
      </c>
      <c r="L251" s="3">
        <f>K251*20%</f>
      </c>
      <c r="M251" s="3">
        <f>K251*2%</f>
      </c>
      <c r="N251" s="3">
        <f>M251*20%</f>
      </c>
      <c r="O251" s="3">
        <v>0</v>
      </c>
      <c r="P251" s="3">
        <f>O251*20%</f>
      </c>
      <c r="Q251" s="3">
        <v>1</v>
      </c>
      <c r="R251" s="3">
        <f>L251+N251+P251</f>
      </c>
      <c r="S251" s="3">
        <f>I251-J251-K251-L251-M251-N251-O251-P251-Q251</f>
      </c>
      <c r="T251" s="3">
        <f>(S251-AB251)/G251*100</f>
      </c>
      <c r="U251" s="3">
        <f>J251-R251</f>
      </c>
      <c r="V251" t="s">
        <v>1</v>
      </c>
      <c r="W251" t="s">
        <v>171</v>
      </c>
      <c r="AC251" s="3">
        <f>S251-AB251</f>
      </c>
      <c r="AD251" t="s">
        <v>65</v>
      </c>
      <c r="AE251" t="s">
        <v>60</v>
      </c>
    </row>
    <row r="252" spans="1:31" x14ac:dyDescent="0.25">
      <c r="A252" s="7">
        <v>46181.5</v>
      </c>
      <c r="B252" t="s">
        <v>529</v>
      </c>
      <c r="C252" t="s">
        <v>1</v>
      </c>
      <c r="D252" s="8" t="s">
        <v>530</v>
      </c>
      <c r="E252" t="s">
        <v>63</v>
      </c>
      <c r="F252">
        <v>1</v>
      </c>
      <c r="G252" s="3">
        <v>61</v>
      </c>
      <c r="H252" s="3">
        <v>71.98</v>
      </c>
      <c r="I252" s="3">
        <f>H252-G252</f>
      </c>
      <c r="J252" s="3">
        <f>I252*16.67%</f>
      </c>
      <c r="K252" s="3">
        <f>H252/100*7</f>
      </c>
      <c r="L252" s="3">
        <f>K252*20%</f>
      </c>
      <c r="M252" s="3">
        <f>K252*2%</f>
      </c>
      <c r="N252" s="3">
        <f>M252*20%</f>
      </c>
      <c r="O252" s="3">
        <v>0</v>
      </c>
      <c r="P252" s="3">
        <f>O252*20%</f>
      </c>
      <c r="Q252" s="3">
        <v>1</v>
      </c>
      <c r="R252" s="3">
        <f>L252+N252+P252</f>
      </c>
      <c r="S252" s="3">
        <f>I252-J252-K252-L252-M252-N252-O252-P252-Q252</f>
      </c>
      <c r="T252" s="3">
        <f>(S252-AB252)/G252*100</f>
      </c>
      <c r="U252" s="3">
        <f>J252-R252</f>
      </c>
      <c r="V252" t="s">
        <v>1</v>
      </c>
      <c r="W252" t="s">
        <v>93</v>
      </c>
      <c r="AC252" s="3">
        <f>S252-AB252</f>
      </c>
      <c r="AD252" t="s">
        <v>94</v>
      </c>
      <c r="AE252" t="s">
        <v>84</v>
      </c>
    </row>
    <row r="253" spans="1:31" x14ac:dyDescent="0.25">
      <c r="A253" s="7">
        <v>46181.5</v>
      </c>
      <c r="B253" t="s">
        <v>531</v>
      </c>
      <c r="C253" t="s">
        <v>176</v>
      </c>
      <c r="D253" s="8" t="s">
        <v>1</v>
      </c>
      <c r="E253" t="s">
        <v>77</v>
      </c>
      <c r="F253">
        <v>1</v>
      </c>
      <c r="G253" s="3">
        <v>0.15</v>
      </c>
      <c r="H253" s="3">
        <v>0.2</v>
      </c>
      <c r="I253" s="3">
        <f>H253-G253</f>
      </c>
      <c r="J253" s="3">
        <f>I253*16.67%</f>
      </c>
      <c r="K253" s="3">
        <f>H253/100*7</f>
      </c>
      <c r="L253" s="3">
        <f>K253*20%</f>
      </c>
      <c r="M253" s="3">
        <f>K253*2%</f>
      </c>
      <c r="N253" s="3">
        <f>M253*20%</f>
      </c>
      <c r="O253" s="3">
        <v>0</v>
      </c>
      <c r="P253" s="3">
        <f>O253*20%</f>
      </c>
      <c r="Q253" s="3">
        <v>1</v>
      </c>
      <c r="R253" s="3">
        <f>L253+N253+P253</f>
      </c>
      <c r="S253" s="3">
        <f>I253-J253-K253-L253-M253-N253-O253-P253-Q253</f>
      </c>
      <c r="T253" s="3">
        <f>(S253-AB253)/G253*100</f>
      </c>
      <c r="U253" s="3">
        <f>J253-R253</f>
      </c>
      <c r="V253" t="s">
        <v>1</v>
      </c>
      <c r="W253" t="s">
        <v>176</v>
      </c>
      <c r="AC253" s="3">
        <f>S253-AB253</f>
      </c>
      <c r="AD253" t="s">
        <v>1</v>
      </c>
      <c r="AE253" t="s">
        <v>1</v>
      </c>
    </row>
    <row r="254" spans="1:31" x14ac:dyDescent="0.25">
      <c r="A254" s="7">
        <v>46181.5</v>
      </c>
      <c r="B254" t="s">
        <v>532</v>
      </c>
      <c r="C254" t="s">
        <v>176</v>
      </c>
      <c r="D254" s="8" t="s">
        <v>1</v>
      </c>
      <c r="E254" t="s">
        <v>77</v>
      </c>
      <c r="F254">
        <v>4</v>
      </c>
      <c r="G254" s="3">
        <v>0.6</v>
      </c>
      <c r="H254" s="3">
        <v>0.74</v>
      </c>
      <c r="I254" s="3">
        <f>H254-G254</f>
      </c>
      <c r="J254" s="3">
        <f>I254*16.67%</f>
      </c>
      <c r="K254" s="3">
        <f>H254/100*7</f>
      </c>
      <c r="L254" s="3">
        <f>K254*20%</f>
      </c>
      <c r="M254" s="3">
        <f>K254*2%</f>
      </c>
      <c r="N254" s="3">
        <f>M254*20%</f>
      </c>
      <c r="O254" s="3">
        <v>0</v>
      </c>
      <c r="P254" s="3">
        <f>O254*20%</f>
      </c>
      <c r="Q254" s="3">
        <v>1</v>
      </c>
      <c r="R254" s="3">
        <f>L254+N254+P254</f>
      </c>
      <c r="S254" s="3">
        <f>I254-J254-K254-L254-M254-N254-O254-P254-Q254</f>
      </c>
      <c r="T254" s="3">
        <f>(S254-AB254)/G254*100</f>
      </c>
      <c r="U254" s="3">
        <f>J254-R254</f>
      </c>
      <c r="V254" t="s">
        <v>1</v>
      </c>
      <c r="W254" t="s">
        <v>176</v>
      </c>
      <c r="AC254" s="3">
        <f>S254-AB254</f>
      </c>
      <c r="AD254" t="s">
        <v>1</v>
      </c>
      <c r="AE254" t="s">
        <v>1</v>
      </c>
    </row>
    <row r="255" spans="1:31" x14ac:dyDescent="0.25">
      <c r="A255" s="7">
        <v>46180.5</v>
      </c>
      <c r="B255" t="s">
        <v>533</v>
      </c>
      <c r="C255" t="s">
        <v>173</v>
      </c>
      <c r="D255" s="8" t="s">
        <v>1</v>
      </c>
      <c r="E255" t="s">
        <v>63</v>
      </c>
      <c r="F255">
        <v>3</v>
      </c>
      <c r="G255" s="3">
        <v>12.75</v>
      </c>
      <c r="H255" s="3">
        <v>18.23</v>
      </c>
      <c r="I255" s="3">
        <f>H255-G255</f>
      </c>
      <c r="J255" s="3">
        <f>I255*16.67%</f>
      </c>
      <c r="K255" s="3">
        <f>H255/100*7</f>
      </c>
      <c r="L255" s="3">
        <f>K255*20%</f>
      </c>
      <c r="M255" s="3">
        <f>K255*2%</f>
      </c>
      <c r="N255" s="3">
        <f>M255*20%</f>
      </c>
      <c r="O255" s="3">
        <v>0</v>
      </c>
      <c r="P255" s="3">
        <f>O255*20%</f>
      </c>
      <c r="Q255" s="3">
        <v>1</v>
      </c>
      <c r="R255" s="3">
        <f>L255+N255+P255</f>
      </c>
      <c r="S255" s="3">
        <f>I255-J255-K255-L255-M255-N255-O255-P255-Q255</f>
      </c>
      <c r="T255" s="3">
        <f>(S255-AB255)/G255*100</f>
      </c>
      <c r="U255" s="3">
        <f>J255-R255</f>
      </c>
      <c r="V255" t="s">
        <v>1</v>
      </c>
      <c r="W255" t="s">
        <v>173</v>
      </c>
      <c r="AC255" s="3">
        <f>S255-AB255</f>
      </c>
      <c r="AD255" t="s">
        <v>1</v>
      </c>
      <c r="AE255" t="s">
        <v>1</v>
      </c>
    </row>
    <row r="256" spans="1:31" x14ac:dyDescent="0.25">
      <c r="A256" s="7">
        <v>46180.5</v>
      </c>
      <c r="B256" t="s">
        <v>534</v>
      </c>
      <c r="C256" t="s">
        <v>253</v>
      </c>
      <c r="D256" s="8" t="s">
        <v>1</v>
      </c>
      <c r="E256" t="s">
        <v>57</v>
      </c>
      <c r="F256">
        <v>1</v>
      </c>
      <c r="G256" s="3">
        <v>0.8</v>
      </c>
      <c r="H256" s="3">
        <v>1.12</v>
      </c>
      <c r="I256" s="3">
        <f>H256-G256</f>
      </c>
      <c r="J256" s="3">
        <f>I256*16.67%</f>
      </c>
      <c r="K256" s="3">
        <f>H256/100*7</f>
      </c>
      <c r="L256" s="3">
        <f>K256*20%</f>
      </c>
      <c r="M256" s="3">
        <f>K256*2%</f>
      </c>
      <c r="N256" s="3">
        <f>M256*20%</f>
      </c>
      <c r="O256" s="3">
        <v>0</v>
      </c>
      <c r="P256" s="3">
        <f>O256*20%</f>
      </c>
      <c r="Q256" s="3">
        <v>1</v>
      </c>
      <c r="R256" s="3">
        <f>L256+N256+P256</f>
      </c>
      <c r="S256" s="3">
        <f>I256-J256-K256-L256-M256-N256-O256-P256-Q256</f>
      </c>
      <c r="T256" s="3">
        <f>(S256-AB256)/G256*100</f>
      </c>
      <c r="U256" s="3">
        <f>J256-R256</f>
      </c>
      <c r="V256" t="s">
        <v>1</v>
      </c>
      <c r="W256" t="s">
        <v>253</v>
      </c>
      <c r="AC256" s="3">
        <f>S256-AB256</f>
      </c>
      <c r="AD256" t="s">
        <v>1</v>
      </c>
      <c r="AE256" t="s">
        <v>1</v>
      </c>
    </row>
    <row r="257" spans="1:31" x14ac:dyDescent="0.25">
      <c r="A257" s="7">
        <v>46179.5</v>
      </c>
      <c r="B257" t="s">
        <v>535</v>
      </c>
      <c r="C257" t="s">
        <v>1</v>
      </c>
      <c r="D257" s="8" t="s">
        <v>536</v>
      </c>
      <c r="E257" t="s">
        <v>72</v>
      </c>
      <c r="F257">
        <v>1</v>
      </c>
      <c r="G257" s="3">
        <v>333</v>
      </c>
      <c r="H257" s="3">
        <v>466.2</v>
      </c>
      <c r="I257" s="3">
        <f>H257-G257</f>
      </c>
      <c r="J257" s="3">
        <f>I257*16.67%</f>
      </c>
      <c r="K257" s="3">
        <f>H257/100*7</f>
      </c>
      <c r="L257" s="3">
        <f>K257*20%</f>
      </c>
      <c r="M257" s="3">
        <f>K257*2%</f>
      </c>
      <c r="N257" s="3">
        <f>M257*20%</f>
      </c>
      <c r="O257" s="3">
        <v>0</v>
      </c>
      <c r="P257" s="3">
        <f>O257*20%</f>
      </c>
      <c r="Q257" s="3">
        <v>1</v>
      </c>
      <c r="R257" s="3">
        <f>L257+N257+P257</f>
      </c>
      <c r="S257" s="3">
        <f>I257-J257-K257-L257-M257-N257-O257-P257-Q257</f>
      </c>
      <c r="T257" s="3">
        <f>(S257-AB257)/G257*100</f>
      </c>
      <c r="U257" s="3">
        <f>J257-R257</f>
      </c>
      <c r="V257" t="s">
        <v>1</v>
      </c>
      <c r="W257" t="s">
        <v>73</v>
      </c>
      <c r="AC257" s="3">
        <f>S257-AB257</f>
      </c>
      <c r="AD257" t="s">
        <v>59</v>
      </c>
      <c r="AE257" t="s">
        <v>104</v>
      </c>
    </row>
    <row r="258" spans="1:31" x14ac:dyDescent="0.25">
      <c r="A258" s="7">
        <v>46179.5</v>
      </c>
      <c r="B258" t="s">
        <v>537</v>
      </c>
      <c r="C258" t="s">
        <v>1</v>
      </c>
      <c r="D258" s="8" t="s">
        <v>538</v>
      </c>
      <c r="E258" t="s">
        <v>63</v>
      </c>
      <c r="F258">
        <v>1</v>
      </c>
      <c r="G258" s="3">
        <v>502</v>
      </c>
      <c r="H258" s="3">
        <v>587.34</v>
      </c>
      <c r="I258" s="3">
        <f>H258-G258</f>
      </c>
      <c r="J258" s="3">
        <f>I258*16.67%</f>
      </c>
      <c r="K258" s="3">
        <f>H258/100*7</f>
      </c>
      <c r="L258" s="3">
        <f>K258*20%</f>
      </c>
      <c r="M258" s="3">
        <f>K258*2%</f>
      </c>
      <c r="N258" s="3">
        <f>M258*20%</f>
      </c>
      <c r="O258" s="3">
        <v>0</v>
      </c>
      <c r="P258" s="3">
        <f>O258*20%</f>
      </c>
      <c r="Q258" s="3">
        <v>1</v>
      </c>
      <c r="R258" s="3">
        <f>L258+N258+P258</f>
      </c>
      <c r="S258" s="3">
        <f>I258-J258-K258-L258-M258-N258-O258-P258-Q258</f>
      </c>
      <c r="T258" s="3">
        <f>(S258-AB258)/G258*100</f>
      </c>
      <c r="U258" s="3">
        <f>J258-R258</f>
      </c>
      <c r="V258" t="s">
        <v>1</v>
      </c>
      <c r="W258" t="s">
        <v>68</v>
      </c>
      <c r="AC258" s="3">
        <f>S258-AB258</f>
      </c>
      <c r="AD258" t="s">
        <v>59</v>
      </c>
      <c r="AE258" t="s">
        <v>60</v>
      </c>
    </row>
    <row r="259" spans="1:31" x14ac:dyDescent="0.25">
      <c r="A259" s="7">
        <v>46179.5</v>
      </c>
      <c r="B259" t="s">
        <v>539</v>
      </c>
      <c r="C259" t="s">
        <v>1</v>
      </c>
      <c r="D259" s="8" t="s">
        <v>540</v>
      </c>
      <c r="E259" t="s">
        <v>72</v>
      </c>
      <c r="F259">
        <v>1</v>
      </c>
      <c r="G259" s="3">
        <v>169</v>
      </c>
      <c r="H259" s="3">
        <v>214.63</v>
      </c>
      <c r="I259" s="3">
        <f>H259-G259</f>
      </c>
      <c r="J259" s="3">
        <f>I259*16.67%</f>
      </c>
      <c r="K259" s="3">
        <f>H259/100*7</f>
      </c>
      <c r="L259" s="3">
        <f>K259*20%</f>
      </c>
      <c r="M259" s="3">
        <f>K259*2%</f>
      </c>
      <c r="N259" s="3">
        <f>M259*20%</f>
      </c>
      <c r="O259" s="3">
        <v>0</v>
      </c>
      <c r="P259" s="3">
        <f>O259*20%</f>
      </c>
      <c r="Q259" s="3">
        <v>1</v>
      </c>
      <c r="R259" s="3">
        <f>L259+N259+P259</f>
      </c>
      <c r="S259" s="3">
        <f>I259-J259-K259-L259-M259-N259-O259-P259-Q259</f>
      </c>
      <c r="T259" s="3">
        <f>(S259-AB259)/G259*100</f>
      </c>
      <c r="U259" s="3">
        <f>J259-R259</f>
      </c>
      <c r="V259" t="s">
        <v>1</v>
      </c>
      <c r="W259" t="s">
        <v>233</v>
      </c>
      <c r="AC259" s="3">
        <f>S259-AB259</f>
      </c>
      <c r="AD259" t="s">
        <v>65</v>
      </c>
      <c r="AE259" t="s">
        <v>98</v>
      </c>
    </row>
    <row r="260" spans="1:31" x14ac:dyDescent="0.25">
      <c r="A260" s="7">
        <v>46179.5</v>
      </c>
      <c r="B260" t="s">
        <v>541</v>
      </c>
      <c r="C260" t="s">
        <v>1</v>
      </c>
      <c r="D260" s="8" t="s">
        <v>542</v>
      </c>
      <c r="E260" t="s">
        <v>77</v>
      </c>
      <c r="F260">
        <v>1</v>
      </c>
      <c r="G260" s="3">
        <v>358</v>
      </c>
      <c r="H260" s="3">
        <v>426.02</v>
      </c>
      <c r="I260" s="3">
        <f>H260-G260</f>
      </c>
      <c r="J260" s="3">
        <f>I260*16.67%</f>
      </c>
      <c r="K260" s="3">
        <f>H260/100*7</f>
      </c>
      <c r="L260" s="3">
        <f>K260*20%</f>
      </c>
      <c r="M260" s="3">
        <f>K260*2%</f>
      </c>
      <c r="N260" s="3">
        <f>M260*20%</f>
      </c>
      <c r="O260" s="3">
        <v>0</v>
      </c>
      <c r="P260" s="3">
        <f>O260*20%</f>
      </c>
      <c r="Q260" s="3">
        <v>1</v>
      </c>
      <c r="R260" s="3">
        <f>L260+N260+P260</f>
      </c>
      <c r="S260" s="3">
        <f>I260-J260-K260-L260-M260-N260-O260-P260-Q260</f>
      </c>
      <c r="T260" s="3">
        <f>(S260-AB260)/G260*100</f>
      </c>
      <c r="U260" s="3">
        <f>J260-R260</f>
      </c>
      <c r="V260" t="s">
        <v>1</v>
      </c>
      <c r="W260" t="s">
        <v>73</v>
      </c>
      <c r="AC260" s="3">
        <f>S260-AB260</f>
      </c>
      <c r="AD260" t="s">
        <v>59</v>
      </c>
      <c r="AE260" t="s">
        <v>74</v>
      </c>
    </row>
    <row r="261" spans="1:31" x14ac:dyDescent="0.25">
      <c r="A261" s="7">
        <v>46179.5</v>
      </c>
      <c r="B261" t="s">
        <v>543</v>
      </c>
      <c r="C261" t="s">
        <v>1</v>
      </c>
      <c r="D261" s="8" t="s">
        <v>544</v>
      </c>
      <c r="E261" t="s">
        <v>57</v>
      </c>
      <c r="F261">
        <v>1</v>
      </c>
      <c r="G261" s="3">
        <v>328</v>
      </c>
      <c r="H261" s="3">
        <v>390.32</v>
      </c>
      <c r="I261" s="3">
        <f>H261-G261</f>
      </c>
      <c r="J261" s="3">
        <f>I261*16.67%</f>
      </c>
      <c r="K261" s="3">
        <f>H261/100*7</f>
      </c>
      <c r="L261" s="3">
        <f>K261*20%</f>
      </c>
      <c r="M261" s="3">
        <f>K261*2%</f>
      </c>
      <c r="N261" s="3">
        <f>M261*20%</f>
      </c>
      <c r="O261" s="3">
        <v>0</v>
      </c>
      <c r="P261" s="3">
        <f>O261*20%</f>
      </c>
      <c r="Q261" s="3">
        <v>1</v>
      </c>
      <c r="R261" s="3">
        <f>L261+N261+P261</f>
      </c>
      <c r="S261" s="3">
        <f>I261-J261-K261-L261-M261-N261-O261-P261-Q261</f>
      </c>
      <c r="T261" s="3">
        <f>(S261-AB261)/G261*100</f>
      </c>
      <c r="U261" s="3">
        <f>J261-R261</f>
      </c>
      <c r="V261" t="s">
        <v>1</v>
      </c>
      <c r="W261" t="s">
        <v>138</v>
      </c>
      <c r="AC261" s="3">
        <f>S261-AB261</f>
      </c>
      <c r="AD261" t="s">
        <v>59</v>
      </c>
      <c r="AE261" t="s">
        <v>104</v>
      </c>
    </row>
    <row r="262" spans="1:31" x14ac:dyDescent="0.25">
      <c r="A262" s="7">
        <v>46179.5</v>
      </c>
      <c r="B262" t="s">
        <v>545</v>
      </c>
      <c r="C262" t="s">
        <v>176</v>
      </c>
      <c r="D262" s="8" t="s">
        <v>1</v>
      </c>
      <c r="E262" t="s">
        <v>77</v>
      </c>
      <c r="F262">
        <v>4</v>
      </c>
      <c r="G262" s="3">
        <v>0.6</v>
      </c>
      <c r="H262" s="3">
        <v>0.76</v>
      </c>
      <c r="I262" s="3">
        <f>H262-G262</f>
      </c>
      <c r="J262" s="3">
        <f>I262*16.67%</f>
      </c>
      <c r="K262" s="3">
        <f>H262/100*7</f>
      </c>
      <c r="L262" s="3">
        <f>K262*20%</f>
      </c>
      <c r="M262" s="3">
        <f>K262*2%</f>
      </c>
      <c r="N262" s="3">
        <f>M262*20%</f>
      </c>
      <c r="O262" s="3">
        <v>0</v>
      </c>
      <c r="P262" s="3">
        <f>O262*20%</f>
      </c>
      <c r="Q262" s="3">
        <v>1</v>
      </c>
      <c r="R262" s="3">
        <f>L262+N262+P262</f>
      </c>
      <c r="S262" s="3">
        <f>I262-J262-K262-L262-M262-N262-O262-P262-Q262</f>
      </c>
      <c r="T262" s="3">
        <f>(S262-AB262)/G262*100</f>
      </c>
      <c r="U262" s="3">
        <f>J262-R262</f>
      </c>
      <c r="V262" t="s">
        <v>1</v>
      </c>
      <c r="W262" t="s">
        <v>176</v>
      </c>
      <c r="AC262" s="3">
        <f>S262-AB262</f>
      </c>
      <c r="AD262" t="s">
        <v>1</v>
      </c>
      <c r="AE262" t="s">
        <v>1</v>
      </c>
    </row>
    <row r="263" spans="1:31" x14ac:dyDescent="0.25">
      <c r="A263" s="7">
        <v>46178.5</v>
      </c>
      <c r="B263" t="s">
        <v>546</v>
      </c>
      <c r="C263" t="s">
        <v>1</v>
      </c>
      <c r="D263" s="8" t="s">
        <v>547</v>
      </c>
      <c r="E263" t="s">
        <v>101</v>
      </c>
      <c r="F263">
        <v>1</v>
      </c>
      <c r="G263" s="3">
        <v>243</v>
      </c>
      <c r="H263" s="3">
        <v>323.19</v>
      </c>
      <c r="I263" s="3">
        <f>H263-G263</f>
      </c>
      <c r="J263" s="3">
        <f>I263*16.67%</f>
      </c>
      <c r="K263" s="3">
        <f>H263/100*7</f>
      </c>
      <c r="L263" s="3">
        <f>K263*20%</f>
      </c>
      <c r="M263" s="3">
        <f>K263*2%</f>
      </c>
      <c r="N263" s="3">
        <f>M263*20%</f>
      </c>
      <c r="O263" s="3">
        <v>0</v>
      </c>
      <c r="P263" s="3">
        <f>O263*20%</f>
      </c>
      <c r="Q263" s="3">
        <v>1</v>
      </c>
      <c r="R263" s="3">
        <f>L263+N263+P263</f>
      </c>
      <c r="S263" s="3">
        <f>I263-J263-K263-L263-M263-N263-O263-P263-Q263</f>
      </c>
      <c r="T263" s="3">
        <f>(S263-AB263)/G263*100</f>
      </c>
      <c r="U263" s="3">
        <f>J263-R263</f>
      </c>
      <c r="V263" t="s">
        <v>1</v>
      </c>
      <c r="W263" t="s">
        <v>113</v>
      </c>
      <c r="AC263" s="3">
        <f>S263-AB263</f>
      </c>
      <c r="AD263" t="s">
        <v>59</v>
      </c>
      <c r="AE263" t="s">
        <v>84</v>
      </c>
    </row>
    <row r="264" spans="1:31" x14ac:dyDescent="0.25">
      <c r="A264" s="7">
        <v>46178.5</v>
      </c>
      <c r="B264" t="s">
        <v>548</v>
      </c>
      <c r="C264" t="s">
        <v>1</v>
      </c>
      <c r="D264" s="8" t="s">
        <v>549</v>
      </c>
      <c r="E264" t="s">
        <v>77</v>
      </c>
      <c r="F264">
        <v>1</v>
      </c>
      <c r="G264" s="3">
        <v>351</v>
      </c>
      <c r="H264" s="3">
        <v>403.65</v>
      </c>
      <c r="I264" s="3">
        <f>H264-G264</f>
      </c>
      <c r="J264" s="3">
        <f>I264*16.67%</f>
      </c>
      <c r="K264" s="3">
        <f>H264/100*7</f>
      </c>
      <c r="L264" s="3">
        <f>K264*20%</f>
      </c>
      <c r="M264" s="3">
        <f>K264*2%</f>
      </c>
      <c r="N264" s="3">
        <f>M264*20%</f>
      </c>
      <c r="O264" s="3">
        <v>0</v>
      </c>
      <c r="P264" s="3">
        <f>O264*20%</f>
      </c>
      <c r="Q264" s="3">
        <v>1</v>
      </c>
      <c r="R264" s="3">
        <f>L264+N264+P264</f>
      </c>
      <c r="S264" s="3">
        <f>I264-J264-K264-L264-M264-N264-O264-P264-Q264</f>
      </c>
      <c r="T264" s="3">
        <f>(S264-AB264)/G264*100</f>
      </c>
      <c r="U264" s="3">
        <f>J264-R264</f>
      </c>
      <c r="V264" t="s">
        <v>1</v>
      </c>
      <c r="W264" t="s">
        <v>73</v>
      </c>
      <c r="AC264" s="3">
        <f>S264-AB264</f>
      </c>
      <c r="AD264" t="s">
        <v>59</v>
      </c>
      <c r="AE264" t="s">
        <v>104</v>
      </c>
    </row>
    <row r="265" spans="1:31" x14ac:dyDescent="0.25">
      <c r="A265" s="7">
        <v>46178.5</v>
      </c>
      <c r="B265" t="s">
        <v>550</v>
      </c>
      <c r="C265" t="s">
        <v>1</v>
      </c>
      <c r="D265" s="8" t="s">
        <v>551</v>
      </c>
      <c r="E265" t="s">
        <v>101</v>
      </c>
      <c r="F265">
        <v>1</v>
      </c>
      <c r="G265" s="3">
        <v>771</v>
      </c>
      <c r="H265" s="3">
        <v>1102.53</v>
      </c>
      <c r="I265" s="3">
        <f>H265-G265</f>
      </c>
      <c r="J265" s="3">
        <f>I265*16.67%</f>
      </c>
      <c r="K265" s="3">
        <f>H265/100*7</f>
      </c>
      <c r="L265" s="3">
        <f>K265*20%</f>
      </c>
      <c r="M265" s="3">
        <f>K265*2%</f>
      </c>
      <c r="N265" s="3">
        <f>M265*20%</f>
      </c>
      <c r="O265" s="3">
        <v>0</v>
      </c>
      <c r="P265" s="3">
        <f>O265*20%</f>
      </c>
      <c r="Q265" s="3">
        <v>1</v>
      </c>
      <c r="R265" s="3">
        <f>L265+N265+P265</f>
      </c>
      <c r="S265" s="3">
        <f>I265-J265-K265-L265-M265-N265-O265-P265-Q265</f>
      </c>
      <c r="T265" s="3">
        <f>(S265-AB265)/G265*100</f>
      </c>
      <c r="U265" s="3">
        <f>J265-R265</f>
      </c>
      <c r="V265" t="s">
        <v>1</v>
      </c>
      <c r="W265" t="s">
        <v>83</v>
      </c>
      <c r="AC265" s="3">
        <f>S265-AB265</f>
      </c>
      <c r="AD265" t="s">
        <v>59</v>
      </c>
      <c r="AE265" t="s">
        <v>98</v>
      </c>
    </row>
    <row r="266" spans="1:31" x14ac:dyDescent="0.25">
      <c r="A266" s="7">
        <v>46178.5</v>
      </c>
      <c r="B266" t="s">
        <v>552</v>
      </c>
      <c r="C266" t="s">
        <v>1</v>
      </c>
      <c r="D266" s="8" t="s">
        <v>553</v>
      </c>
      <c r="E266" t="s">
        <v>57</v>
      </c>
      <c r="F266">
        <v>1</v>
      </c>
      <c r="G266" s="3">
        <v>219</v>
      </c>
      <c r="H266" s="3">
        <v>295.65</v>
      </c>
      <c r="I266" s="3">
        <f>H266-G266</f>
      </c>
      <c r="J266" s="3">
        <f>I266*16.67%</f>
      </c>
      <c r="K266" s="3">
        <f>H266/100*7</f>
      </c>
      <c r="L266" s="3">
        <f>K266*20%</f>
      </c>
      <c r="M266" s="3">
        <f>K266*2%</f>
      </c>
      <c r="N266" s="3">
        <f>M266*20%</f>
      </c>
      <c r="O266" s="3">
        <v>0</v>
      </c>
      <c r="P266" s="3">
        <f>O266*20%</f>
      </c>
      <c r="Q266" s="3">
        <v>1</v>
      </c>
      <c r="R266" s="3">
        <f>L266+N266+P266</f>
      </c>
      <c r="S266" s="3">
        <f>I266-J266-K266-L266-M266-N266-O266-P266-Q266</f>
      </c>
      <c r="T266" s="3">
        <f>(S266-AB266)/G266*100</f>
      </c>
      <c r="U266" s="3">
        <f>J266-R266</f>
      </c>
      <c r="V266" t="s">
        <v>1</v>
      </c>
      <c r="W266" t="s">
        <v>113</v>
      </c>
      <c r="AC266" s="3">
        <f>S266-AB266</f>
      </c>
      <c r="AD266" t="s">
        <v>94</v>
      </c>
      <c r="AE266" t="s">
        <v>60</v>
      </c>
    </row>
    <row r="267" spans="1:31" x14ac:dyDescent="0.25">
      <c r="A267" s="7">
        <v>46178.5</v>
      </c>
      <c r="B267" t="s">
        <v>554</v>
      </c>
      <c r="C267" t="s">
        <v>1</v>
      </c>
      <c r="D267" s="8" t="s">
        <v>555</v>
      </c>
      <c r="E267" t="s">
        <v>63</v>
      </c>
      <c r="F267">
        <v>1</v>
      </c>
      <c r="G267" s="3">
        <v>449</v>
      </c>
      <c r="H267" s="3">
        <v>642.07</v>
      </c>
      <c r="I267" s="3">
        <f>H267-G267</f>
      </c>
      <c r="J267" s="3">
        <f>I267*16.67%</f>
      </c>
      <c r="K267" s="3">
        <f>H267/100*7</f>
      </c>
      <c r="L267" s="3">
        <f>K267*20%</f>
      </c>
      <c r="M267" s="3">
        <f>K267*2%</f>
      </c>
      <c r="N267" s="3">
        <f>M267*20%</f>
      </c>
      <c r="O267" s="3">
        <v>0</v>
      </c>
      <c r="P267" s="3">
        <f>O267*20%</f>
      </c>
      <c r="Q267" s="3">
        <v>1</v>
      </c>
      <c r="R267" s="3">
        <f>L267+N267+P267</f>
      </c>
      <c r="S267" s="3">
        <f>I267-J267-K267-L267-M267-N267-O267-P267-Q267</f>
      </c>
      <c r="T267" s="3">
        <f>(S267-AB267)/G267*100</f>
      </c>
      <c r="U267" s="3">
        <f>J267-R267</f>
      </c>
      <c r="V267" t="s">
        <v>1</v>
      </c>
      <c r="W267" t="s">
        <v>58</v>
      </c>
      <c r="AC267" s="3">
        <f>S267-AB267</f>
      </c>
      <c r="AD267" t="s">
        <v>59</v>
      </c>
      <c r="AE267" t="s">
        <v>69</v>
      </c>
    </row>
    <row r="268" spans="1:31" x14ac:dyDescent="0.25">
      <c r="A268" s="7">
        <v>46178.5</v>
      </c>
      <c r="B268" t="s">
        <v>556</v>
      </c>
      <c r="C268" t="s">
        <v>181</v>
      </c>
      <c r="D268" s="8" t="s">
        <v>1</v>
      </c>
      <c r="E268" t="s">
        <v>72</v>
      </c>
      <c r="F268">
        <v>1</v>
      </c>
      <c r="G268" s="3">
        <v>1.9</v>
      </c>
      <c r="H268" s="3">
        <v>2.34</v>
      </c>
      <c r="I268" s="3">
        <f>H268-G268</f>
      </c>
      <c r="J268" s="3">
        <f>I268*16.67%</f>
      </c>
      <c r="K268" s="3">
        <f>H268/100*7</f>
      </c>
      <c r="L268" s="3">
        <f>K268*20%</f>
      </c>
      <c r="M268" s="3">
        <f>K268*2%</f>
      </c>
      <c r="N268" s="3">
        <f>M268*20%</f>
      </c>
      <c r="O268" s="3">
        <v>0</v>
      </c>
      <c r="P268" s="3">
        <f>O268*20%</f>
      </c>
      <c r="Q268" s="3">
        <v>1</v>
      </c>
      <c r="R268" s="3">
        <f>L268+N268+P268</f>
      </c>
      <c r="S268" s="3">
        <f>I268-J268-K268-L268-M268-N268-O268-P268-Q268</f>
      </c>
      <c r="T268" s="3">
        <f>(S268-AB268)/G268*100</f>
      </c>
      <c r="U268" s="3">
        <f>J268-R268</f>
      </c>
      <c r="V268" t="s">
        <v>1</v>
      </c>
      <c r="W268" t="s">
        <v>181</v>
      </c>
      <c r="AC268" s="3">
        <f>S268-AB268</f>
      </c>
      <c r="AD268" t="s">
        <v>1</v>
      </c>
      <c r="AE268" t="s">
        <v>1</v>
      </c>
    </row>
    <row r="269" spans="1:31" x14ac:dyDescent="0.25">
      <c r="A269" s="7">
        <v>46177.5</v>
      </c>
      <c r="B269" t="s">
        <v>557</v>
      </c>
      <c r="C269" t="s">
        <v>1</v>
      </c>
      <c r="D269" s="8" t="s">
        <v>558</v>
      </c>
      <c r="E269" t="s">
        <v>77</v>
      </c>
      <c r="F269">
        <v>1</v>
      </c>
      <c r="G269" s="3">
        <v>281</v>
      </c>
      <c r="H269" s="3">
        <v>328.77</v>
      </c>
      <c r="I269" s="3">
        <f>H269-G269</f>
      </c>
      <c r="J269" s="3">
        <f>I269*16.67%</f>
      </c>
      <c r="K269" s="3">
        <f>H269/100*7</f>
      </c>
      <c r="L269" s="3">
        <f>K269*20%</f>
      </c>
      <c r="M269" s="3">
        <f>K269*2%</f>
      </c>
      <c r="N269" s="3">
        <f>M269*20%</f>
      </c>
      <c r="O269" s="3">
        <v>0</v>
      </c>
      <c r="P269" s="3">
        <f>O269*20%</f>
      </c>
      <c r="Q269" s="3">
        <v>1</v>
      </c>
      <c r="R269" s="3">
        <f>L269+N269+P269</f>
      </c>
      <c r="S269" s="3">
        <f>I269-J269-K269-L269-M269-N269-O269-P269-Q269</f>
      </c>
      <c r="T269" s="3">
        <f>(S269-AB269)/G269*100</f>
      </c>
      <c r="U269" s="3">
        <f>J269-R269</f>
      </c>
      <c r="V269" t="s">
        <v>1</v>
      </c>
      <c r="W269" t="s">
        <v>130</v>
      </c>
      <c r="AC269" s="3">
        <f>S269-AB269</f>
      </c>
      <c r="AD269" t="s">
        <v>65</v>
      </c>
      <c r="AE269" t="s">
        <v>84</v>
      </c>
    </row>
    <row r="270" spans="1:31" x14ac:dyDescent="0.25">
      <c r="A270" s="7">
        <v>46177.5</v>
      </c>
      <c r="B270" t="s">
        <v>559</v>
      </c>
      <c r="C270" t="s">
        <v>1</v>
      </c>
      <c r="D270" s="8" t="s">
        <v>560</v>
      </c>
      <c r="E270" t="s">
        <v>101</v>
      </c>
      <c r="F270">
        <v>1</v>
      </c>
      <c r="G270" s="3">
        <v>142</v>
      </c>
      <c r="H270" s="3">
        <v>166.14</v>
      </c>
      <c r="I270" s="3">
        <f>H270-G270</f>
      </c>
      <c r="J270" s="3">
        <f>I270*16.67%</f>
      </c>
      <c r="K270" s="3">
        <f>H270/100*7</f>
      </c>
      <c r="L270" s="3">
        <f>K270*20%</f>
      </c>
      <c r="M270" s="3">
        <f>K270*2%</f>
      </c>
      <c r="N270" s="3">
        <f>M270*20%</f>
      </c>
      <c r="O270" s="3">
        <v>0</v>
      </c>
      <c r="P270" s="3">
        <f>O270*20%</f>
      </c>
      <c r="Q270" s="3">
        <v>1</v>
      </c>
      <c r="R270" s="3">
        <f>L270+N270+P270</f>
      </c>
      <c r="S270" s="3">
        <f>I270-J270-K270-L270-M270-N270-O270-P270-Q270</f>
      </c>
      <c r="T270" s="3">
        <f>(S270-AB270)/G270*100</f>
      </c>
      <c r="U270" s="3">
        <f>J270-R270</f>
      </c>
      <c r="V270" t="s">
        <v>1</v>
      </c>
      <c r="W270" t="s">
        <v>171</v>
      </c>
      <c r="AC270" s="3">
        <f>S270-AB270</f>
      </c>
      <c r="AD270" t="s">
        <v>65</v>
      </c>
      <c r="AE270" t="s">
        <v>60</v>
      </c>
    </row>
    <row r="271" spans="1:31" x14ac:dyDescent="0.25">
      <c r="A271" s="7">
        <v>46176.5</v>
      </c>
      <c r="B271" t="s">
        <v>561</v>
      </c>
      <c r="C271" t="s">
        <v>1</v>
      </c>
      <c r="D271" s="8" t="s">
        <v>562</v>
      </c>
      <c r="E271" t="s">
        <v>57</v>
      </c>
      <c r="F271">
        <v>1</v>
      </c>
      <c r="G271" s="3">
        <v>306</v>
      </c>
      <c r="H271" s="3">
        <v>351.9</v>
      </c>
      <c r="I271" s="3">
        <f>H271-G271</f>
      </c>
      <c r="J271" s="3">
        <f>I271*16.67%</f>
      </c>
      <c r="K271" s="3">
        <f>H271/100*7</f>
      </c>
      <c r="L271" s="3">
        <f>K271*20%</f>
      </c>
      <c r="M271" s="3">
        <f>K271*2%</f>
      </c>
      <c r="N271" s="3">
        <f>M271*20%</f>
      </c>
      <c r="O271" s="3">
        <v>0</v>
      </c>
      <c r="P271" s="3">
        <f>O271*20%</f>
      </c>
      <c r="Q271" s="3">
        <v>1</v>
      </c>
      <c r="R271" s="3">
        <f>L271+N271+P271</f>
      </c>
      <c r="S271" s="3">
        <f>I271-J271-K271-L271-M271-N271-O271-P271-Q271</f>
      </c>
      <c r="T271" s="3">
        <f>(S271-AB271)/G271*100</f>
      </c>
      <c r="U271" s="3">
        <f>J271-R271</f>
      </c>
      <c r="V271" t="s">
        <v>1</v>
      </c>
      <c r="W271" t="s">
        <v>138</v>
      </c>
      <c r="AC271" s="3">
        <f>S271-AB271</f>
      </c>
      <c r="AD271" t="s">
        <v>59</v>
      </c>
      <c r="AE271" t="s">
        <v>69</v>
      </c>
    </row>
    <row r="272" spans="1:31" x14ac:dyDescent="0.25">
      <c r="A272" s="7">
        <v>46176.5</v>
      </c>
      <c r="B272" t="s">
        <v>563</v>
      </c>
      <c r="C272" t="s">
        <v>1</v>
      </c>
      <c r="D272" s="8" t="s">
        <v>564</v>
      </c>
      <c r="E272" t="s">
        <v>101</v>
      </c>
      <c r="F272">
        <v>1</v>
      </c>
      <c r="G272" s="3">
        <v>70</v>
      </c>
      <c r="H272" s="3">
        <v>87.5</v>
      </c>
      <c r="I272" s="3">
        <f>H272-G272</f>
      </c>
      <c r="J272" s="3">
        <f>I272*16.67%</f>
      </c>
      <c r="K272" s="3">
        <f>H272/100*7</f>
      </c>
      <c r="L272" s="3">
        <f>K272*20%</f>
      </c>
      <c r="M272" s="3">
        <f>K272*2%</f>
      </c>
      <c r="N272" s="3">
        <f>M272*20%</f>
      </c>
      <c r="O272" s="3">
        <v>0</v>
      </c>
      <c r="P272" s="3">
        <f>O272*20%</f>
      </c>
      <c r="Q272" s="3">
        <v>1</v>
      </c>
      <c r="R272" s="3">
        <f>L272+N272+P272</f>
      </c>
      <c r="S272" s="3">
        <f>I272-J272-K272-L272-M272-N272-O272-P272-Q272</f>
      </c>
      <c r="T272" s="3">
        <f>(S272-AB272)/G272*100</f>
      </c>
      <c r="U272" s="3">
        <f>J272-R272</f>
      </c>
      <c r="V272" t="s">
        <v>1</v>
      </c>
      <c r="W272" t="s">
        <v>93</v>
      </c>
      <c r="AC272" s="3">
        <f>S272-AB272</f>
      </c>
      <c r="AD272" t="s">
        <v>94</v>
      </c>
      <c r="AE272" t="s">
        <v>69</v>
      </c>
    </row>
    <row r="273" spans="1:31" x14ac:dyDescent="0.25">
      <c r="A273" s="7">
        <v>46176.5</v>
      </c>
      <c r="B273" t="s">
        <v>565</v>
      </c>
      <c r="C273" t="s">
        <v>1</v>
      </c>
      <c r="D273" s="8" t="s">
        <v>566</v>
      </c>
      <c r="E273" t="s">
        <v>63</v>
      </c>
      <c r="F273">
        <v>1</v>
      </c>
      <c r="G273" s="3">
        <v>93</v>
      </c>
      <c r="H273" s="3">
        <v>118.11</v>
      </c>
      <c r="I273" s="3">
        <f>H273-G273</f>
      </c>
      <c r="J273" s="3">
        <f>I273*16.67%</f>
      </c>
      <c r="K273" s="3">
        <f>H273/100*7</f>
      </c>
      <c r="L273" s="3">
        <f>K273*20%</f>
      </c>
      <c r="M273" s="3">
        <f>K273*2%</f>
      </c>
      <c r="N273" s="3">
        <f>M273*20%</f>
      </c>
      <c r="O273" s="3">
        <v>0</v>
      </c>
      <c r="P273" s="3">
        <f>O273*20%</f>
      </c>
      <c r="Q273" s="3">
        <v>1</v>
      </c>
      <c r="R273" s="3">
        <f>L273+N273+P273</f>
      </c>
      <c r="S273" s="3">
        <f>I273-J273-K273-L273-M273-N273-O273-P273-Q273</f>
      </c>
      <c r="T273" s="3">
        <f>(S273-AB273)/G273*100</f>
      </c>
      <c r="U273" s="3">
        <f>J273-R273</f>
      </c>
      <c r="V273" t="s">
        <v>1</v>
      </c>
      <c r="W273" t="s">
        <v>90</v>
      </c>
      <c r="AC273" s="3">
        <f>S273-AB273</f>
      </c>
      <c r="AD273" t="s">
        <v>94</v>
      </c>
      <c r="AE273" t="s">
        <v>104</v>
      </c>
    </row>
    <row r="274" spans="1:31" x14ac:dyDescent="0.25">
      <c r="A274" s="7">
        <v>46176.5</v>
      </c>
      <c r="B274" t="s">
        <v>567</v>
      </c>
      <c r="C274" t="s">
        <v>1</v>
      </c>
      <c r="D274" s="8" t="s">
        <v>568</v>
      </c>
      <c r="E274" t="s">
        <v>101</v>
      </c>
      <c r="F274">
        <v>1</v>
      </c>
      <c r="G274" s="3">
        <v>179</v>
      </c>
      <c r="H274" s="3">
        <v>218.38</v>
      </c>
      <c r="I274" s="3">
        <f>H274-G274</f>
      </c>
      <c r="J274" s="3">
        <f>I274*16.67%</f>
      </c>
      <c r="K274" s="3">
        <f>H274/100*7</f>
      </c>
      <c r="L274" s="3">
        <f>K274*20%</f>
      </c>
      <c r="M274" s="3">
        <f>K274*2%</f>
      </c>
      <c r="N274" s="3">
        <f>M274*20%</f>
      </c>
      <c r="O274" s="3">
        <v>0</v>
      </c>
      <c r="P274" s="3">
        <f>O274*20%</f>
      </c>
      <c r="Q274" s="3">
        <v>1</v>
      </c>
      <c r="R274" s="3">
        <f>L274+N274+P274</f>
      </c>
      <c r="S274" s="3">
        <f>I274-J274-K274-L274-M274-N274-O274-P274-Q274</f>
      </c>
      <c r="T274" s="3">
        <f>(S274-AB274)/G274*100</f>
      </c>
      <c r="U274" s="3">
        <f>J274-R274</f>
      </c>
      <c r="V274" t="s">
        <v>1</v>
      </c>
      <c r="W274" t="s">
        <v>233</v>
      </c>
      <c r="AC274" s="3">
        <f>S274-AB274</f>
      </c>
      <c r="AD274" t="s">
        <v>65</v>
      </c>
      <c r="AE274" t="s">
        <v>69</v>
      </c>
    </row>
    <row r="275" spans="1:31" x14ac:dyDescent="0.25">
      <c r="A275" s="7">
        <v>46176.5</v>
      </c>
      <c r="B275" t="s">
        <v>569</v>
      </c>
      <c r="C275" t="s">
        <v>1</v>
      </c>
      <c r="D275" s="8" t="s">
        <v>570</v>
      </c>
      <c r="E275" t="s">
        <v>77</v>
      </c>
      <c r="F275">
        <v>1</v>
      </c>
      <c r="G275" s="3">
        <v>126</v>
      </c>
      <c r="H275" s="3">
        <v>147.42</v>
      </c>
      <c r="I275" s="3">
        <f>H275-G275</f>
      </c>
      <c r="J275" s="3">
        <f>I275*16.67%</f>
      </c>
      <c r="K275" s="3">
        <f>H275/100*7</f>
      </c>
      <c r="L275" s="3">
        <f>K275*20%</f>
      </c>
      <c r="M275" s="3">
        <f>K275*2%</f>
      </c>
      <c r="N275" s="3">
        <f>M275*20%</f>
      </c>
      <c r="O275" s="3">
        <v>0</v>
      </c>
      <c r="P275" s="3">
        <f>O275*20%</f>
      </c>
      <c r="Q275" s="3">
        <v>1</v>
      </c>
      <c r="R275" s="3">
        <f>L275+N275+P275</f>
      </c>
      <c r="S275" s="3">
        <f>I275-J275-K275-L275-M275-N275-O275-P275-Q275</f>
      </c>
      <c r="T275" s="3">
        <f>(S275-AB275)/G275*100</f>
      </c>
      <c r="U275" s="3">
        <f>J275-R275</f>
      </c>
      <c r="V275" t="s">
        <v>1</v>
      </c>
      <c r="W275" t="s">
        <v>90</v>
      </c>
      <c r="AC275" s="3">
        <f>S275-AB275</f>
      </c>
      <c r="AD275" t="s">
        <v>94</v>
      </c>
      <c r="AE275" t="s">
        <v>69</v>
      </c>
    </row>
    <row r="276" spans="1:31" x14ac:dyDescent="0.25">
      <c r="A276" s="7">
        <v>46176.5</v>
      </c>
      <c r="B276" t="s">
        <v>571</v>
      </c>
      <c r="C276" t="s">
        <v>181</v>
      </c>
      <c r="D276" s="8" t="s">
        <v>1</v>
      </c>
      <c r="E276" t="s">
        <v>72</v>
      </c>
      <c r="F276">
        <v>2</v>
      </c>
      <c r="G276" s="3">
        <v>3.8</v>
      </c>
      <c r="H276" s="3">
        <v>5.24</v>
      </c>
      <c r="I276" s="3">
        <f>H276-G276</f>
      </c>
      <c r="J276" s="3">
        <f>I276*16.67%</f>
      </c>
      <c r="K276" s="3">
        <f>H276/100*7</f>
      </c>
      <c r="L276" s="3">
        <f>K276*20%</f>
      </c>
      <c r="M276" s="3">
        <f>K276*2%</f>
      </c>
      <c r="N276" s="3">
        <f>M276*20%</f>
      </c>
      <c r="O276" s="3">
        <v>0</v>
      </c>
      <c r="P276" s="3">
        <f>O276*20%</f>
      </c>
      <c r="Q276" s="3">
        <v>1</v>
      </c>
      <c r="R276" s="3">
        <f>L276+N276+P276</f>
      </c>
      <c r="S276" s="3">
        <f>I276-J276-K276-L276-M276-N276-O276-P276-Q276</f>
      </c>
      <c r="T276" s="3">
        <f>(S276-AB276)/G276*100</f>
      </c>
      <c r="U276" s="3">
        <f>J276-R276</f>
      </c>
      <c r="V276" t="s">
        <v>1</v>
      </c>
      <c r="W276" t="s">
        <v>181</v>
      </c>
      <c r="AC276" s="3">
        <f>S276-AB276</f>
      </c>
      <c r="AD276" t="s">
        <v>1</v>
      </c>
      <c r="AE276" t="s">
        <v>1</v>
      </c>
    </row>
    <row r="277" spans="1:31" x14ac:dyDescent="0.25">
      <c r="A277" s="7">
        <v>46175.5</v>
      </c>
      <c r="B277" t="s">
        <v>572</v>
      </c>
      <c r="C277" t="s">
        <v>1</v>
      </c>
      <c r="D277" s="8" t="s">
        <v>573</v>
      </c>
      <c r="E277" t="s">
        <v>57</v>
      </c>
      <c r="F277">
        <v>1</v>
      </c>
      <c r="G277" s="3">
        <v>233</v>
      </c>
      <c r="H277" s="3">
        <v>319.21</v>
      </c>
      <c r="I277" s="3">
        <f>H277-G277</f>
      </c>
      <c r="J277" s="3">
        <f>I277*16.67%</f>
      </c>
      <c r="K277" s="3">
        <f>H277/100*7</f>
      </c>
      <c r="L277" s="3">
        <f>K277*20%</f>
      </c>
      <c r="M277" s="3">
        <f>K277*2%</f>
      </c>
      <c r="N277" s="3">
        <f>M277*20%</f>
      </c>
      <c r="O277" s="3">
        <v>0</v>
      </c>
      <c r="P277" s="3">
        <f>O277*20%</f>
      </c>
      <c r="Q277" s="3">
        <v>1</v>
      </c>
      <c r="R277" s="3">
        <f>L277+N277+P277</f>
      </c>
      <c r="S277" s="3">
        <f>I277-J277-K277-L277-M277-N277-O277-P277-Q277</f>
      </c>
      <c r="T277" s="3">
        <f>(S277-AB277)/G277*100</f>
      </c>
      <c r="U277" s="3">
        <f>J277-R277</f>
      </c>
      <c r="V277" t="s">
        <v>1</v>
      </c>
      <c r="W277" t="s">
        <v>124</v>
      </c>
      <c r="AC277" s="3">
        <f>S277-AB277</f>
      </c>
      <c r="AD277" t="s">
        <v>125</v>
      </c>
      <c r="AE277" t="s">
        <v>87</v>
      </c>
    </row>
    <row r="278" spans="1:31" x14ac:dyDescent="0.25">
      <c r="A278" s="7">
        <v>46175.5</v>
      </c>
      <c r="B278" t="s">
        <v>574</v>
      </c>
      <c r="C278" t="s">
        <v>1</v>
      </c>
      <c r="D278" s="8" t="s">
        <v>575</v>
      </c>
      <c r="E278" t="s">
        <v>72</v>
      </c>
      <c r="F278">
        <v>1</v>
      </c>
      <c r="G278" s="3">
        <v>698</v>
      </c>
      <c r="H278" s="3">
        <v>991.16</v>
      </c>
      <c r="I278" s="3">
        <f>H278-G278</f>
      </c>
      <c r="J278" s="3">
        <f>I278*16.67%</f>
      </c>
      <c r="K278" s="3">
        <f>H278/100*7</f>
      </c>
      <c r="L278" s="3">
        <f>K278*20%</f>
      </c>
      <c r="M278" s="3">
        <f>K278*2%</f>
      </c>
      <c r="N278" s="3">
        <f>M278*20%</f>
      </c>
      <c r="O278" s="3">
        <v>0</v>
      </c>
      <c r="P278" s="3">
        <f>O278*20%</f>
      </c>
      <c r="Q278" s="3">
        <v>1</v>
      </c>
      <c r="R278" s="3">
        <f>L278+N278+P278</f>
      </c>
      <c r="S278" s="3">
        <f>I278-J278-K278-L278-M278-N278-O278-P278-Q278</f>
      </c>
      <c r="T278" s="3">
        <f>(S278-AB278)/G278*100</f>
      </c>
      <c r="U278" s="3">
        <f>J278-R278</f>
      </c>
      <c r="V278" t="s">
        <v>1</v>
      </c>
      <c r="W278" t="s">
        <v>83</v>
      </c>
      <c r="AC278" s="3">
        <f>S278-AB278</f>
      </c>
      <c r="AD278" t="s">
        <v>59</v>
      </c>
      <c r="AE278" t="s">
        <v>98</v>
      </c>
    </row>
    <row r="279" spans="1:31" x14ac:dyDescent="0.25">
      <c r="A279" s="7">
        <v>46175.5</v>
      </c>
      <c r="B279" t="s">
        <v>576</v>
      </c>
      <c r="C279" t="s">
        <v>1</v>
      </c>
      <c r="D279" s="8" t="s">
        <v>577</v>
      </c>
      <c r="E279" t="s">
        <v>72</v>
      </c>
      <c r="F279">
        <v>1</v>
      </c>
      <c r="G279" s="3">
        <v>125</v>
      </c>
      <c r="H279" s="3">
        <v>171.25</v>
      </c>
      <c r="I279" s="3">
        <f>H279-G279</f>
      </c>
      <c r="J279" s="3">
        <f>I279*16.67%</f>
      </c>
      <c r="K279" s="3">
        <f>H279/100*7</f>
      </c>
      <c r="L279" s="3">
        <f>K279*20%</f>
      </c>
      <c r="M279" s="3">
        <f>K279*2%</f>
      </c>
      <c r="N279" s="3">
        <f>M279*20%</f>
      </c>
      <c r="O279" s="3">
        <v>0</v>
      </c>
      <c r="P279" s="3">
        <f>O279*20%</f>
      </c>
      <c r="Q279" s="3">
        <v>1</v>
      </c>
      <c r="R279" s="3">
        <f>L279+N279+P279</f>
      </c>
      <c r="S279" s="3">
        <f>I279-J279-K279-L279-M279-N279-O279-P279-Q279</f>
      </c>
      <c r="T279" s="3">
        <f>(S279-AB279)/G279*100</f>
      </c>
      <c r="U279" s="3">
        <f>J279-R279</f>
      </c>
      <c r="V279" t="s">
        <v>1</v>
      </c>
      <c r="W279" t="s">
        <v>133</v>
      </c>
      <c r="AC279" s="3">
        <f>S279-AB279</f>
      </c>
      <c r="AD279" t="s">
        <v>94</v>
      </c>
      <c r="AE279" t="s">
        <v>104</v>
      </c>
    </row>
    <row r="280" spans="1:31" x14ac:dyDescent="0.25">
      <c r="A280" s="7">
        <v>46175.5</v>
      </c>
      <c r="B280" t="s">
        <v>578</v>
      </c>
      <c r="C280" t="s">
        <v>1</v>
      </c>
      <c r="D280" s="8" t="s">
        <v>579</v>
      </c>
      <c r="E280" t="s">
        <v>57</v>
      </c>
      <c r="F280">
        <v>1</v>
      </c>
      <c r="G280" s="3">
        <v>238</v>
      </c>
      <c r="H280" s="3">
        <v>276.08</v>
      </c>
      <c r="I280" s="3">
        <f>H280-G280</f>
      </c>
      <c r="J280" s="3">
        <f>I280*16.67%</f>
      </c>
      <c r="K280" s="3">
        <f>H280/100*7</f>
      </c>
      <c r="L280" s="3">
        <f>K280*20%</f>
      </c>
      <c r="M280" s="3">
        <f>K280*2%</f>
      </c>
      <c r="N280" s="3">
        <f>M280*20%</f>
      </c>
      <c r="O280" s="3">
        <v>0</v>
      </c>
      <c r="P280" s="3">
        <f>O280*20%</f>
      </c>
      <c r="Q280" s="3">
        <v>1</v>
      </c>
      <c r="R280" s="3">
        <f>L280+N280+P280</f>
      </c>
      <c r="S280" s="3">
        <f>I280-J280-K280-L280-M280-N280-O280-P280-Q280</f>
      </c>
      <c r="T280" s="3">
        <f>(S280-AB280)/G280*100</f>
      </c>
      <c r="U280" s="3">
        <f>J280-R280</f>
      </c>
      <c r="V280" t="s">
        <v>1</v>
      </c>
      <c r="W280" t="s">
        <v>64</v>
      </c>
      <c r="AC280" s="3">
        <f>S280-AB280</f>
      </c>
      <c r="AD280" t="s">
        <v>65</v>
      </c>
      <c r="AE280" t="s">
        <v>87</v>
      </c>
    </row>
    <row r="281" spans="1:31" x14ac:dyDescent="0.25">
      <c r="A281" s="7">
        <v>46175.5</v>
      </c>
      <c r="B281" t="s">
        <v>580</v>
      </c>
      <c r="C281" t="s">
        <v>184</v>
      </c>
      <c r="D281" s="8" t="s">
        <v>1</v>
      </c>
      <c r="E281" t="s">
        <v>101</v>
      </c>
      <c r="F281">
        <v>1</v>
      </c>
      <c r="G281" s="3">
        <v>1.2</v>
      </c>
      <c r="H281" s="3">
        <v>1.51</v>
      </c>
      <c r="I281" s="3">
        <f>H281-G281</f>
      </c>
      <c r="J281" s="3">
        <f>I281*16.67%</f>
      </c>
      <c r="K281" s="3">
        <f>H281/100*7</f>
      </c>
      <c r="L281" s="3">
        <f>K281*20%</f>
      </c>
      <c r="M281" s="3">
        <f>K281*2%</f>
      </c>
      <c r="N281" s="3">
        <f>M281*20%</f>
      </c>
      <c r="O281" s="3">
        <v>0</v>
      </c>
      <c r="P281" s="3">
        <f>O281*20%</f>
      </c>
      <c r="Q281" s="3">
        <v>1</v>
      </c>
      <c r="R281" s="3">
        <f>L281+N281+P281</f>
      </c>
      <c r="S281" s="3">
        <f>I281-J281-K281-L281-M281-N281-O281-P281-Q281</f>
      </c>
      <c r="T281" s="3">
        <f>(S281-AB281)/G281*100</f>
      </c>
      <c r="U281" s="3">
        <f>J281-R281</f>
      </c>
      <c r="V281" t="s">
        <v>1</v>
      </c>
      <c r="W281" t="s">
        <v>184</v>
      </c>
      <c r="AC281" s="3">
        <f>S281-AB281</f>
      </c>
      <c r="AD281" t="s">
        <v>1</v>
      </c>
      <c r="AE281" t="s">
        <v>1</v>
      </c>
    </row>
    <row r="282" spans="1:31" x14ac:dyDescent="0.25">
      <c r="A282" s="7">
        <v>46174.5</v>
      </c>
      <c r="B282" t="s">
        <v>581</v>
      </c>
      <c r="C282" t="s">
        <v>1</v>
      </c>
      <c r="D282" s="8" t="s">
        <v>582</v>
      </c>
      <c r="E282" t="s">
        <v>57</v>
      </c>
      <c r="F282">
        <v>1</v>
      </c>
      <c r="G282" s="3">
        <v>583</v>
      </c>
      <c r="H282" s="3">
        <v>763.73</v>
      </c>
      <c r="I282" s="3">
        <f>H282-G282</f>
      </c>
      <c r="J282" s="3">
        <f>I282*16.67%</f>
      </c>
      <c r="K282" s="3">
        <f>H282/100*7</f>
      </c>
      <c r="L282" s="3">
        <f>K282*20%</f>
      </c>
      <c r="M282" s="3">
        <f>K282*2%</f>
      </c>
      <c r="N282" s="3">
        <f>M282*20%</f>
      </c>
      <c r="O282" s="3">
        <v>0</v>
      </c>
      <c r="P282" s="3">
        <f>O282*20%</f>
      </c>
      <c r="Q282" s="3">
        <v>1</v>
      </c>
      <c r="R282" s="3">
        <f>L282+N282+P282</f>
      </c>
      <c r="S282" s="3">
        <f>I282-J282-K282-L282-M282-N282-O282-P282-Q282</f>
      </c>
      <c r="T282" s="3">
        <f>(S282-AB282)/G282*100</f>
      </c>
      <c r="U282" s="3">
        <f>J282-R282</f>
      </c>
      <c r="V282" t="s">
        <v>1</v>
      </c>
      <c r="W282" t="s">
        <v>80</v>
      </c>
      <c r="AC282" s="3">
        <f>S282-AB282</f>
      </c>
      <c r="AD282" t="s">
        <v>59</v>
      </c>
      <c r="AE282" t="s">
        <v>84</v>
      </c>
    </row>
    <row r="283" spans="1:31" x14ac:dyDescent="0.25">
      <c r="A283" s="7">
        <v>46173.5</v>
      </c>
      <c r="B283" t="s">
        <v>583</v>
      </c>
      <c r="C283" t="s">
        <v>1</v>
      </c>
      <c r="D283" s="8" t="s">
        <v>584</v>
      </c>
      <c r="E283" t="s">
        <v>77</v>
      </c>
      <c r="F283">
        <v>1</v>
      </c>
      <c r="G283" s="3">
        <v>305</v>
      </c>
      <c r="H283" s="3">
        <v>411.75</v>
      </c>
      <c r="I283" s="3">
        <f>H283-G283</f>
      </c>
      <c r="J283" s="3">
        <f>I283*16.67%</f>
      </c>
      <c r="K283" s="3">
        <f>H283/100*7</f>
      </c>
      <c r="L283" s="3">
        <f>K283*20%</f>
      </c>
      <c r="M283" s="3">
        <f>K283*2%</f>
      </c>
      <c r="N283" s="3">
        <f>M283*20%</f>
      </c>
      <c r="O283" s="3">
        <v>0</v>
      </c>
      <c r="P283" s="3">
        <f>O283*20%</f>
      </c>
      <c r="Q283" s="3">
        <v>1</v>
      </c>
      <c r="R283" s="3">
        <f>L283+N283+P283</f>
      </c>
      <c r="S283" s="3">
        <f>I283-J283-K283-L283-M283-N283-O283-P283-Q283</f>
      </c>
      <c r="T283" s="3">
        <f>(S283-AB283)/G283*100</f>
      </c>
      <c r="U283" s="3">
        <f>J283-R283</f>
      </c>
      <c r="V283" t="s">
        <v>1</v>
      </c>
      <c r="W283" t="s">
        <v>138</v>
      </c>
      <c r="AC283" s="3">
        <f>S283-AB283</f>
      </c>
      <c r="AD283" t="s">
        <v>59</v>
      </c>
      <c r="AE283" t="s">
        <v>98</v>
      </c>
    </row>
    <row r="284" spans="1:31" x14ac:dyDescent="0.25">
      <c r="A284" s="7">
        <v>46173.5</v>
      </c>
      <c r="B284" t="s">
        <v>585</v>
      </c>
      <c r="C284" t="s">
        <v>1</v>
      </c>
      <c r="D284" s="8" t="s">
        <v>586</v>
      </c>
      <c r="E284" t="s">
        <v>63</v>
      </c>
      <c r="F284">
        <v>1</v>
      </c>
      <c r="G284" s="3">
        <v>318</v>
      </c>
      <c r="H284" s="3">
        <v>397.5</v>
      </c>
      <c r="I284" s="3">
        <f>H284-G284</f>
      </c>
      <c r="J284" s="3">
        <f>I284*16.67%</f>
      </c>
      <c r="K284" s="3">
        <f>H284/100*7</f>
      </c>
      <c r="L284" s="3">
        <f>K284*20%</f>
      </c>
      <c r="M284" s="3">
        <f>K284*2%</f>
      </c>
      <c r="N284" s="3">
        <f>M284*20%</f>
      </c>
      <c r="O284" s="3">
        <v>0</v>
      </c>
      <c r="P284" s="3">
        <f>O284*20%</f>
      </c>
      <c r="Q284" s="3">
        <v>1</v>
      </c>
      <c r="R284" s="3">
        <f>L284+N284+P284</f>
      </c>
      <c r="S284" s="3">
        <f>I284-J284-K284-L284-M284-N284-O284-P284-Q284</f>
      </c>
      <c r="T284" s="3">
        <f>(S284-AB284)/G284*100</f>
      </c>
      <c r="U284" s="3">
        <f>J284-R284</f>
      </c>
      <c r="V284" t="s">
        <v>1</v>
      </c>
      <c r="W284" t="s">
        <v>130</v>
      </c>
      <c r="AC284" s="3">
        <f>S284-AB284</f>
      </c>
      <c r="AD284" t="s">
        <v>65</v>
      </c>
      <c r="AE284" t="s">
        <v>84</v>
      </c>
    </row>
    <row r="285" spans="1:31" x14ac:dyDescent="0.25">
      <c r="A285" s="7">
        <v>46173.5</v>
      </c>
      <c r="B285" t="s">
        <v>587</v>
      </c>
      <c r="C285" t="s">
        <v>1</v>
      </c>
      <c r="D285" s="8" t="s">
        <v>588</v>
      </c>
      <c r="E285" t="s">
        <v>72</v>
      </c>
      <c r="F285">
        <v>1</v>
      </c>
      <c r="G285" s="3">
        <v>318</v>
      </c>
      <c r="H285" s="3">
        <v>429.3</v>
      </c>
      <c r="I285" s="3">
        <f>H285-G285</f>
      </c>
      <c r="J285" s="3">
        <f>I285*16.67%</f>
      </c>
      <c r="K285" s="3">
        <f>H285/100*7</f>
      </c>
      <c r="L285" s="3">
        <f>K285*20%</f>
      </c>
      <c r="M285" s="3">
        <f>K285*2%</f>
      </c>
      <c r="N285" s="3">
        <f>M285*20%</f>
      </c>
      <c r="O285" s="3">
        <v>0</v>
      </c>
      <c r="P285" s="3">
        <f>O285*20%</f>
      </c>
      <c r="Q285" s="3">
        <v>1</v>
      </c>
      <c r="R285" s="3">
        <f>L285+N285+P285</f>
      </c>
      <c r="S285" s="3">
        <f>I285-J285-K285-L285-M285-N285-O285-P285-Q285</f>
      </c>
      <c r="T285" s="3">
        <f>(S285-AB285)/G285*100</f>
      </c>
      <c r="U285" s="3">
        <f>J285-R285</f>
      </c>
      <c r="V285" t="s">
        <v>1</v>
      </c>
      <c r="W285" t="s">
        <v>97</v>
      </c>
      <c r="AC285" s="3">
        <f>S285-AB285</f>
      </c>
      <c r="AD285" t="s">
        <v>65</v>
      </c>
      <c r="AE285" t="s">
        <v>74</v>
      </c>
    </row>
    <row r="286" spans="1:31" x14ac:dyDescent="0.25">
      <c r="A286" s="7">
        <v>46172.5</v>
      </c>
      <c r="B286" t="s">
        <v>589</v>
      </c>
      <c r="C286" t="s">
        <v>1</v>
      </c>
      <c r="D286" s="8" t="s">
        <v>590</v>
      </c>
      <c r="E286" t="s">
        <v>101</v>
      </c>
      <c r="F286">
        <v>1</v>
      </c>
      <c r="G286" s="3">
        <v>687</v>
      </c>
      <c r="H286" s="3">
        <v>845.01</v>
      </c>
      <c r="I286" s="3">
        <f>H286-G286</f>
      </c>
      <c r="J286" s="3">
        <f>I286*16.67%</f>
      </c>
      <c r="K286" s="3">
        <f>H286/100*7</f>
      </c>
      <c r="L286" s="3">
        <f>K286*20%</f>
      </c>
      <c r="M286" s="3">
        <f>K286*2%</f>
      </c>
      <c r="N286" s="3">
        <f>M286*20%</f>
      </c>
      <c r="O286" s="3">
        <v>0</v>
      </c>
      <c r="P286" s="3">
        <f>O286*20%</f>
      </c>
      <c r="Q286" s="3">
        <v>1</v>
      </c>
      <c r="R286" s="3">
        <f>L286+N286+P286</f>
      </c>
      <c r="S286" s="3">
        <f>I286-J286-K286-L286-M286-N286-O286-P286-Q286</f>
      </c>
      <c r="T286" s="3">
        <f>(S286-AB286)/G286*100</f>
      </c>
      <c r="U286" s="3">
        <f>J286-R286</f>
      </c>
      <c r="V286" t="s">
        <v>1</v>
      </c>
      <c r="W286" t="s">
        <v>83</v>
      </c>
      <c r="AC286" s="3">
        <f>S286-AB286</f>
      </c>
      <c r="AD286" t="s">
        <v>59</v>
      </c>
      <c r="AE286" t="s">
        <v>74</v>
      </c>
    </row>
    <row r="287" spans="1:31" x14ac:dyDescent="0.25">
      <c r="A287" s="7">
        <v>46172.5</v>
      </c>
      <c r="B287" t="s">
        <v>591</v>
      </c>
      <c r="C287" t="s">
        <v>1</v>
      </c>
      <c r="D287" s="8" t="s">
        <v>592</v>
      </c>
      <c r="E287" t="s">
        <v>77</v>
      </c>
      <c r="F287">
        <v>1</v>
      </c>
      <c r="G287" s="3">
        <v>296</v>
      </c>
      <c r="H287" s="3">
        <v>423.28</v>
      </c>
      <c r="I287" s="3">
        <f>H287-G287</f>
      </c>
      <c r="J287" s="3">
        <f>I287*16.67%</f>
      </c>
      <c r="K287" s="3">
        <f>H287/100*7</f>
      </c>
      <c r="L287" s="3">
        <f>K287*20%</f>
      </c>
      <c r="M287" s="3">
        <f>K287*2%</f>
      </c>
      <c r="N287" s="3">
        <f>M287*20%</f>
      </c>
      <c r="O287" s="3">
        <v>0</v>
      </c>
      <c r="P287" s="3">
        <f>O287*20%</f>
      </c>
      <c r="Q287" s="3">
        <v>1</v>
      </c>
      <c r="R287" s="3">
        <f>L287+N287+P287</f>
      </c>
      <c r="S287" s="3">
        <f>I287-J287-K287-L287-M287-N287-O287-P287-Q287</f>
      </c>
      <c r="T287" s="3">
        <f>(S287-AB287)/G287*100</f>
      </c>
      <c r="U287" s="3">
        <f>J287-R287</f>
      </c>
      <c r="V287" t="s">
        <v>1</v>
      </c>
      <c r="W287" t="s">
        <v>130</v>
      </c>
      <c r="AC287" s="3">
        <f>S287-AB287</f>
      </c>
      <c r="AD287" t="s">
        <v>59</v>
      </c>
      <c r="AE287" t="s">
        <v>69</v>
      </c>
    </row>
    <row r="288" spans="1:31" x14ac:dyDescent="0.25">
      <c r="A288" s="7">
        <v>46172.5</v>
      </c>
      <c r="B288" t="s">
        <v>593</v>
      </c>
      <c r="C288" t="s">
        <v>188</v>
      </c>
      <c r="D288" s="8" t="s">
        <v>1</v>
      </c>
      <c r="E288" t="s">
        <v>63</v>
      </c>
      <c r="F288">
        <v>1</v>
      </c>
      <c r="G288" s="3">
        <v>3.5</v>
      </c>
      <c r="H288" s="3">
        <v>4.02</v>
      </c>
      <c r="I288" s="3">
        <f>H288-G288</f>
      </c>
      <c r="J288" s="3">
        <f>I288*16.67%</f>
      </c>
      <c r="K288" s="3">
        <f>H288/100*7</f>
      </c>
      <c r="L288" s="3">
        <f>K288*20%</f>
      </c>
      <c r="M288" s="3">
        <f>K288*2%</f>
      </c>
      <c r="N288" s="3">
        <f>M288*20%</f>
      </c>
      <c r="O288" s="3">
        <v>0</v>
      </c>
      <c r="P288" s="3">
        <f>O288*20%</f>
      </c>
      <c r="Q288" s="3">
        <v>1</v>
      </c>
      <c r="R288" s="3">
        <f>L288+N288+P288</f>
      </c>
      <c r="S288" s="3">
        <f>I288-J288-K288-L288-M288-N288-O288-P288-Q288</f>
      </c>
      <c r="T288" s="3">
        <f>(S288-AB288)/G288*100</f>
      </c>
      <c r="U288" s="3">
        <f>J288-R288</f>
      </c>
      <c r="V288" t="s">
        <v>1</v>
      </c>
      <c r="W288" t="s">
        <v>188</v>
      </c>
      <c r="AC288" s="3">
        <f>S288-AB288</f>
      </c>
      <c r="AD288" t="s">
        <v>1</v>
      </c>
      <c r="AE288" t="s">
        <v>1</v>
      </c>
    </row>
    <row r="289" spans="1:31" x14ac:dyDescent="0.25">
      <c r="A289" s="7">
        <v>46172.5</v>
      </c>
      <c r="B289" t="s">
        <v>594</v>
      </c>
      <c r="C289" t="s">
        <v>253</v>
      </c>
      <c r="D289" s="8" t="s">
        <v>1</v>
      </c>
      <c r="E289" t="s">
        <v>57</v>
      </c>
      <c r="F289">
        <v>4</v>
      </c>
      <c r="G289" s="3">
        <v>3.2</v>
      </c>
      <c r="H289" s="3">
        <v>3.84</v>
      </c>
      <c r="I289" s="3">
        <f>H289-G289</f>
      </c>
      <c r="J289" s="3">
        <f>I289*16.67%</f>
      </c>
      <c r="K289" s="3">
        <f>H289/100*7</f>
      </c>
      <c r="L289" s="3">
        <f>K289*20%</f>
      </c>
      <c r="M289" s="3">
        <f>K289*2%</f>
      </c>
      <c r="N289" s="3">
        <f>M289*20%</f>
      </c>
      <c r="O289" s="3">
        <v>0</v>
      </c>
      <c r="P289" s="3">
        <f>O289*20%</f>
      </c>
      <c r="Q289" s="3">
        <v>1</v>
      </c>
      <c r="R289" s="3">
        <f>L289+N289+P289</f>
      </c>
      <c r="S289" s="3">
        <f>I289-J289-K289-L289-M289-N289-O289-P289-Q289</f>
      </c>
      <c r="T289" s="3">
        <f>(S289-AB289)/G289*100</f>
      </c>
      <c r="U289" s="3">
        <f>J289-R289</f>
      </c>
      <c r="V289" t="s">
        <v>1</v>
      </c>
      <c r="W289" t="s">
        <v>253</v>
      </c>
      <c r="AC289" s="3">
        <f>S289-AB289</f>
      </c>
      <c r="AD289" t="s">
        <v>1</v>
      </c>
      <c r="AE289" t="s">
        <v>1</v>
      </c>
    </row>
    <row r="290" spans="1:31" x14ac:dyDescent="0.25">
      <c r="A290" s="7">
        <v>46171.5</v>
      </c>
      <c r="B290" t="s">
        <v>595</v>
      </c>
      <c r="C290" t="s">
        <v>1</v>
      </c>
      <c r="D290" s="8" t="s">
        <v>596</v>
      </c>
      <c r="E290" t="s">
        <v>63</v>
      </c>
      <c r="F290">
        <v>1</v>
      </c>
      <c r="G290" s="3">
        <v>678</v>
      </c>
      <c r="H290" s="3">
        <v>908.52</v>
      </c>
      <c r="I290" s="3">
        <f>H290-G290</f>
      </c>
      <c r="J290" s="3">
        <f>I290*16.67%</f>
      </c>
      <c r="K290" s="3">
        <f>H290/100*7</f>
      </c>
      <c r="L290" s="3">
        <f>K290*20%</f>
      </c>
      <c r="M290" s="3">
        <f>K290*2%</f>
      </c>
      <c r="N290" s="3">
        <f>M290*20%</f>
      </c>
      <c r="O290" s="3">
        <v>0</v>
      </c>
      <c r="P290" s="3">
        <f>O290*20%</f>
      </c>
      <c r="Q290" s="3">
        <v>1</v>
      </c>
      <c r="R290" s="3">
        <f>L290+N290+P290</f>
      </c>
      <c r="S290" s="3">
        <f>I290-J290-K290-L290-M290-N290-O290-P290-Q290</f>
      </c>
      <c r="T290" s="3">
        <f>(S290-AB290)/G290*100</f>
      </c>
      <c r="U290" s="3">
        <f>J290-R290</f>
      </c>
      <c r="V290" t="s">
        <v>1</v>
      </c>
      <c r="W290" t="s">
        <v>83</v>
      </c>
      <c r="AC290" s="3">
        <f>S290-AB290</f>
      </c>
      <c r="AD290" t="s">
        <v>59</v>
      </c>
      <c r="AE290" t="s">
        <v>87</v>
      </c>
    </row>
    <row r="291" spans="1:31" x14ac:dyDescent="0.25">
      <c r="A291" s="7">
        <v>46170.5</v>
      </c>
      <c r="B291" t="s">
        <v>597</v>
      </c>
      <c r="C291" t="s">
        <v>1</v>
      </c>
      <c r="D291" s="8" t="s">
        <v>598</v>
      </c>
      <c r="E291" t="s">
        <v>72</v>
      </c>
      <c r="F291">
        <v>1</v>
      </c>
      <c r="G291" s="3">
        <v>83</v>
      </c>
      <c r="H291" s="3">
        <v>107.07</v>
      </c>
      <c r="I291" s="3">
        <f>H291-G291</f>
      </c>
      <c r="J291" s="3">
        <f>I291*16.67%</f>
      </c>
      <c r="K291" s="3">
        <f>H291/100*7</f>
      </c>
      <c r="L291" s="3">
        <f>K291*20%</f>
      </c>
      <c r="M291" s="3">
        <f>K291*2%</f>
      </c>
      <c r="N291" s="3">
        <f>M291*20%</f>
      </c>
      <c r="O291" s="3">
        <v>0</v>
      </c>
      <c r="P291" s="3">
        <f>O291*20%</f>
      </c>
      <c r="Q291" s="3">
        <v>1</v>
      </c>
      <c r="R291" s="3">
        <f>L291+N291+P291</f>
      </c>
      <c r="S291" s="3">
        <f>I291-J291-K291-L291-M291-N291-O291-P291-Q291</f>
      </c>
      <c r="T291" s="3">
        <f>(S291-AB291)/G291*100</f>
      </c>
      <c r="U291" s="3">
        <f>J291-R291</f>
      </c>
      <c r="V291" t="s">
        <v>1</v>
      </c>
      <c r="W291" t="s">
        <v>93</v>
      </c>
      <c r="AC291" s="3">
        <f>S291-AB291</f>
      </c>
      <c r="AD291" t="s">
        <v>94</v>
      </c>
      <c r="AE291" t="s">
        <v>69</v>
      </c>
    </row>
    <row r="292" spans="1:31" x14ac:dyDescent="0.25">
      <c r="A292" s="7">
        <v>46170.5</v>
      </c>
      <c r="B292" t="s">
        <v>599</v>
      </c>
      <c r="C292" t="s">
        <v>1</v>
      </c>
      <c r="D292" s="8" t="s">
        <v>600</v>
      </c>
      <c r="E292" t="s">
        <v>72</v>
      </c>
      <c r="F292">
        <v>1</v>
      </c>
      <c r="G292" s="3">
        <v>575</v>
      </c>
      <c r="H292" s="3">
        <v>764.75</v>
      </c>
      <c r="I292" s="3">
        <f>H292-G292</f>
      </c>
      <c r="J292" s="3">
        <f>I292*16.67%</f>
      </c>
      <c r="K292" s="3">
        <f>H292/100*7</f>
      </c>
      <c r="L292" s="3">
        <f>K292*20%</f>
      </c>
      <c r="M292" s="3">
        <f>K292*2%</f>
      </c>
      <c r="N292" s="3">
        <f>M292*20%</f>
      </c>
      <c r="O292" s="3">
        <v>0</v>
      </c>
      <c r="P292" s="3">
        <f>O292*20%</f>
      </c>
      <c r="Q292" s="3">
        <v>1</v>
      </c>
      <c r="R292" s="3">
        <f>L292+N292+P292</f>
      </c>
      <c r="S292" s="3">
        <f>I292-J292-K292-L292-M292-N292-O292-P292-Q292</f>
      </c>
      <c r="T292" s="3">
        <f>(S292-AB292)/G292*100</f>
      </c>
      <c r="U292" s="3">
        <f>J292-R292</f>
      </c>
      <c r="V292" t="s">
        <v>1</v>
      </c>
      <c r="W292" t="s">
        <v>80</v>
      </c>
      <c r="AC292" s="3">
        <f>S292-AB292</f>
      </c>
      <c r="AD292" t="s">
        <v>65</v>
      </c>
      <c r="AE292" t="s">
        <v>69</v>
      </c>
    </row>
    <row r="293" spans="1:31" x14ac:dyDescent="0.25">
      <c r="A293" s="7">
        <v>46170.5</v>
      </c>
      <c r="B293" t="s">
        <v>601</v>
      </c>
      <c r="C293" t="s">
        <v>1</v>
      </c>
      <c r="D293" s="8" t="s">
        <v>602</v>
      </c>
      <c r="E293" t="s">
        <v>72</v>
      </c>
      <c r="F293">
        <v>1</v>
      </c>
      <c r="G293" s="3">
        <v>313</v>
      </c>
      <c r="H293" s="3">
        <v>372.47</v>
      </c>
      <c r="I293" s="3">
        <f>H293-G293</f>
      </c>
      <c r="J293" s="3">
        <f>I293*16.67%</f>
      </c>
      <c r="K293" s="3">
        <f>H293/100*7</f>
      </c>
      <c r="L293" s="3">
        <f>K293*20%</f>
      </c>
      <c r="M293" s="3">
        <f>K293*2%</f>
      </c>
      <c r="N293" s="3">
        <f>M293*20%</f>
      </c>
      <c r="O293" s="3">
        <v>0</v>
      </c>
      <c r="P293" s="3">
        <f>O293*20%</f>
      </c>
      <c r="Q293" s="3">
        <v>1</v>
      </c>
      <c r="R293" s="3">
        <f>L293+N293+P293</f>
      </c>
      <c r="S293" s="3">
        <f>I293-J293-K293-L293-M293-N293-O293-P293-Q293</f>
      </c>
      <c r="T293" s="3">
        <f>(S293-AB293)/G293*100</f>
      </c>
      <c r="U293" s="3">
        <f>J293-R293</f>
      </c>
      <c r="V293" t="s">
        <v>1</v>
      </c>
      <c r="W293" t="s">
        <v>97</v>
      </c>
      <c r="AC293" s="3">
        <f>S293-AB293</f>
      </c>
      <c r="AD293" t="s">
        <v>65</v>
      </c>
      <c r="AE293" t="s">
        <v>74</v>
      </c>
    </row>
    <row r="294" spans="1:31" x14ac:dyDescent="0.25">
      <c r="A294" s="7">
        <v>46170.5</v>
      </c>
      <c r="B294" t="s">
        <v>603</v>
      </c>
      <c r="C294" t="s">
        <v>181</v>
      </c>
      <c r="D294" s="8" t="s">
        <v>1</v>
      </c>
      <c r="E294" t="s">
        <v>72</v>
      </c>
      <c r="F294">
        <v>3</v>
      </c>
      <c r="G294" s="3">
        <v>5.7</v>
      </c>
      <c r="H294" s="3">
        <v>6.78</v>
      </c>
      <c r="I294" s="3">
        <f>H294-G294</f>
      </c>
      <c r="J294" s="3">
        <f>I294*16.67%</f>
      </c>
      <c r="K294" s="3">
        <f>H294/100*7</f>
      </c>
      <c r="L294" s="3">
        <f>K294*20%</f>
      </c>
      <c r="M294" s="3">
        <f>K294*2%</f>
      </c>
      <c r="N294" s="3">
        <f>M294*20%</f>
      </c>
      <c r="O294" s="3">
        <v>0</v>
      </c>
      <c r="P294" s="3">
        <f>O294*20%</f>
      </c>
      <c r="Q294" s="3">
        <v>1</v>
      </c>
      <c r="R294" s="3">
        <f>L294+N294+P294</f>
      </c>
      <c r="S294" s="3">
        <f>I294-J294-K294-L294-M294-N294-O294-P294-Q294</f>
      </c>
      <c r="T294" s="3">
        <f>(S294-AB294)/G294*100</f>
      </c>
      <c r="U294" s="3">
        <f>J294-R294</f>
      </c>
      <c r="V294" t="s">
        <v>1</v>
      </c>
      <c r="W294" t="s">
        <v>181</v>
      </c>
      <c r="AC294" s="3">
        <f>S294-AB294</f>
      </c>
      <c r="AD294" t="s">
        <v>1</v>
      </c>
      <c r="AE294" t="s">
        <v>1</v>
      </c>
    </row>
    <row r="295" spans="1:31" x14ac:dyDescent="0.25">
      <c r="A295" s="7">
        <v>46170.5</v>
      </c>
      <c r="B295" t="s">
        <v>604</v>
      </c>
      <c r="C295" t="s">
        <v>1</v>
      </c>
      <c r="D295" s="8" t="s">
        <v>1</v>
      </c>
      <c r="E295" t="s">
        <v>77</v>
      </c>
      <c r="F295">
        <v>1</v>
      </c>
      <c r="G295" s="3">
        <v>231</v>
      </c>
      <c r="H295" s="3">
        <v>295.68</v>
      </c>
      <c r="I295" s="3">
        <f>H295-G295</f>
      </c>
      <c r="J295" s="3">
        <f>I295*16.67%</f>
      </c>
      <c r="K295" s="3">
        <f>H295/100*7</f>
      </c>
      <c r="L295" s="3">
        <f>K295*20%</f>
      </c>
      <c r="M295" s="3">
        <f>K295*2%</f>
      </c>
      <c r="N295" s="3">
        <f>M295*20%</f>
      </c>
      <c r="O295" s="3">
        <v>0</v>
      </c>
      <c r="P295" s="3">
        <f>O295*20%</f>
      </c>
      <c r="Q295" s="3">
        <v>1</v>
      </c>
      <c r="R295" s="3">
        <f>L295+N295+P295</f>
      </c>
      <c r="S295" s="3">
        <f>I295-J295-K295-L295-M295-N295-O295-P295-Q295</f>
      </c>
      <c r="T295" s="3">
        <f>(S295-AB295)/G295*100</f>
      </c>
      <c r="U295" s="3">
        <f>J295-R295</f>
      </c>
      <c r="V295" t="s">
        <v>1</v>
      </c>
      <c r="W295" t="s">
        <v>1</v>
      </c>
      <c r="AC295" s="3">
        <f>S295-AB295</f>
      </c>
      <c r="AD295" t="s">
        <v>1</v>
      </c>
      <c r="AE295" t="s">
        <v>1</v>
      </c>
    </row>
    <row r="296" spans="1:31" x14ac:dyDescent="0.25">
      <c r="A296" s="7">
        <v>46169.5</v>
      </c>
      <c r="B296" t="s">
        <v>605</v>
      </c>
      <c r="C296" t="s">
        <v>1</v>
      </c>
      <c r="D296" s="8" t="s">
        <v>606</v>
      </c>
      <c r="E296" t="s">
        <v>72</v>
      </c>
      <c r="F296">
        <v>1</v>
      </c>
      <c r="G296" s="3">
        <v>122</v>
      </c>
      <c r="H296" s="3">
        <v>150.06</v>
      </c>
      <c r="I296" s="3">
        <f>H296-G296</f>
      </c>
      <c r="J296" s="3">
        <f>I296*16.67%</f>
      </c>
      <c r="K296" s="3">
        <f>H296/100*7</f>
      </c>
      <c r="L296" s="3">
        <f>K296*20%</f>
      </c>
      <c r="M296" s="3">
        <f>K296*2%</f>
      </c>
      <c r="N296" s="3">
        <f>M296*20%</f>
      </c>
      <c r="O296" s="3">
        <v>0</v>
      </c>
      <c r="P296" s="3">
        <f>O296*20%</f>
      </c>
      <c r="Q296" s="3">
        <v>1</v>
      </c>
      <c r="R296" s="3">
        <f>L296+N296+P296</f>
      </c>
      <c r="S296" s="3">
        <f>I296-J296-K296-L296-M296-N296-O296-P296-Q296</f>
      </c>
      <c r="T296" s="3">
        <f>(S296-AB296)/G296*100</f>
      </c>
      <c r="U296" s="3">
        <f>J296-R296</f>
      </c>
      <c r="V296" t="s">
        <v>1</v>
      </c>
      <c r="W296" t="s">
        <v>90</v>
      </c>
      <c r="AC296" s="3">
        <f>S296-AB296</f>
      </c>
      <c r="AD296" t="s">
        <v>65</v>
      </c>
      <c r="AE296" t="s">
        <v>104</v>
      </c>
    </row>
    <row r="297" spans="1:31" x14ac:dyDescent="0.25">
      <c r="A297" s="7">
        <v>46169.5</v>
      </c>
      <c r="B297" t="s">
        <v>607</v>
      </c>
      <c r="C297" t="s">
        <v>1</v>
      </c>
      <c r="D297" s="8" t="s">
        <v>608</v>
      </c>
      <c r="E297" t="s">
        <v>63</v>
      </c>
      <c r="F297">
        <v>1</v>
      </c>
      <c r="G297" s="3">
        <v>456</v>
      </c>
      <c r="H297" s="3">
        <v>652.08</v>
      </c>
      <c r="I297" s="3">
        <f>H297-G297</f>
      </c>
      <c r="J297" s="3">
        <f>I297*16.67%</f>
      </c>
      <c r="K297" s="3">
        <f>H297/100*7</f>
      </c>
      <c r="L297" s="3">
        <f>K297*20%</f>
      </c>
      <c r="M297" s="3">
        <f>K297*2%</f>
      </c>
      <c r="N297" s="3">
        <f>M297*20%</f>
      </c>
      <c r="O297" s="3">
        <v>0</v>
      </c>
      <c r="P297" s="3">
        <f>O297*20%</f>
      </c>
      <c r="Q297" s="3">
        <v>1</v>
      </c>
      <c r="R297" s="3">
        <f>L297+N297+P297</f>
      </c>
      <c r="S297" s="3">
        <f>I297-J297-K297-L297-M297-N297-O297-P297-Q297</f>
      </c>
      <c r="T297" s="3">
        <f>(S297-AB297)/G297*100</f>
      </c>
      <c r="U297" s="3">
        <f>J297-R297</f>
      </c>
      <c r="V297" t="s">
        <v>1</v>
      </c>
      <c r="W297" t="s">
        <v>58</v>
      </c>
      <c r="AC297" s="3">
        <f>S297-AB297</f>
      </c>
      <c r="AD297" t="s">
        <v>59</v>
      </c>
      <c r="AE297" t="s">
        <v>74</v>
      </c>
    </row>
    <row r="298" spans="1:31" x14ac:dyDescent="0.25">
      <c r="A298" s="7">
        <v>46169.5</v>
      </c>
      <c r="B298" t="s">
        <v>609</v>
      </c>
      <c r="C298" t="s">
        <v>1</v>
      </c>
      <c r="D298" s="8" t="s">
        <v>610</v>
      </c>
      <c r="E298" t="s">
        <v>101</v>
      </c>
      <c r="F298">
        <v>1</v>
      </c>
      <c r="G298" s="3">
        <v>192</v>
      </c>
      <c r="H298" s="3">
        <v>276.48</v>
      </c>
      <c r="I298" s="3">
        <f>H298-G298</f>
      </c>
      <c r="J298" s="3">
        <f>I298*16.67%</f>
      </c>
      <c r="K298" s="3">
        <f>H298/100*7</f>
      </c>
      <c r="L298" s="3">
        <f>K298*20%</f>
      </c>
      <c r="M298" s="3">
        <f>K298*2%</f>
      </c>
      <c r="N298" s="3">
        <f>M298*20%</f>
      </c>
      <c r="O298" s="3">
        <v>0</v>
      </c>
      <c r="P298" s="3">
        <f>O298*20%</f>
      </c>
      <c r="Q298" s="3">
        <v>1</v>
      </c>
      <c r="R298" s="3">
        <f>L298+N298+P298</f>
      </c>
      <c r="S298" s="3">
        <f>I298-J298-K298-L298-M298-N298-O298-P298-Q298</f>
      </c>
      <c r="T298" s="3">
        <f>(S298-AB298)/G298*100</f>
      </c>
      <c r="U298" s="3">
        <f>J298-R298</f>
      </c>
      <c r="V298" t="s">
        <v>1</v>
      </c>
      <c r="W298" t="s">
        <v>291</v>
      </c>
      <c r="AC298" s="3">
        <f>S298-AB298</f>
      </c>
      <c r="AD298" t="s">
        <v>125</v>
      </c>
      <c r="AE298" t="s">
        <v>104</v>
      </c>
    </row>
    <row r="299" spans="1:31" x14ac:dyDescent="0.25">
      <c r="A299" s="7">
        <v>46169.5</v>
      </c>
      <c r="B299" t="s">
        <v>611</v>
      </c>
      <c r="C299" t="s">
        <v>1</v>
      </c>
      <c r="D299" s="8" t="s">
        <v>612</v>
      </c>
      <c r="E299" t="s">
        <v>57</v>
      </c>
      <c r="F299">
        <v>1</v>
      </c>
      <c r="G299" s="3">
        <v>160</v>
      </c>
      <c r="H299" s="3">
        <v>192</v>
      </c>
      <c r="I299" s="3">
        <f>H299-G299</f>
      </c>
      <c r="J299" s="3">
        <f>I299*16.67%</f>
      </c>
      <c r="K299" s="3">
        <f>H299/100*7</f>
      </c>
      <c r="L299" s="3">
        <f>K299*20%</f>
      </c>
      <c r="M299" s="3">
        <f>K299*2%</f>
      </c>
      <c r="N299" s="3">
        <f>M299*20%</f>
      </c>
      <c r="O299" s="3">
        <v>0</v>
      </c>
      <c r="P299" s="3">
        <f>O299*20%</f>
      </c>
      <c r="Q299" s="3">
        <v>1</v>
      </c>
      <c r="R299" s="3">
        <f>L299+N299+P299</f>
      </c>
      <c r="S299" s="3">
        <f>I299-J299-K299-L299-M299-N299-O299-P299-Q299</f>
      </c>
      <c r="T299" s="3">
        <f>(S299-AB299)/G299*100</f>
      </c>
      <c r="U299" s="3">
        <f>J299-R299</f>
      </c>
      <c r="V299" t="s">
        <v>1</v>
      </c>
      <c r="W299" t="s">
        <v>233</v>
      </c>
      <c r="AC299" s="3">
        <f>S299-AB299</f>
      </c>
      <c r="AD299" t="s">
        <v>65</v>
      </c>
      <c r="AE299" t="s">
        <v>87</v>
      </c>
    </row>
    <row r="300" spans="1:31" x14ac:dyDescent="0.25">
      <c r="A300" s="7">
        <v>46169.5</v>
      </c>
      <c r="B300" t="s">
        <v>613</v>
      </c>
      <c r="C300" t="s">
        <v>1</v>
      </c>
      <c r="D300" s="8" t="s">
        <v>614</v>
      </c>
      <c r="E300" t="s">
        <v>57</v>
      </c>
      <c r="F300">
        <v>1</v>
      </c>
      <c r="G300" s="3">
        <v>541</v>
      </c>
      <c r="H300" s="3">
        <v>746.58</v>
      </c>
      <c r="I300" s="3">
        <f>H300-G300</f>
      </c>
      <c r="J300" s="3">
        <f>I300*16.67%</f>
      </c>
      <c r="K300" s="3">
        <f>H300/100*7</f>
      </c>
      <c r="L300" s="3">
        <f>K300*20%</f>
      </c>
      <c r="M300" s="3">
        <f>K300*2%</f>
      </c>
      <c r="N300" s="3">
        <f>M300*20%</f>
      </c>
      <c r="O300" s="3">
        <v>0</v>
      </c>
      <c r="P300" s="3">
        <f>O300*20%</f>
      </c>
      <c r="Q300" s="3">
        <v>1</v>
      </c>
      <c r="R300" s="3">
        <f>L300+N300+P300</f>
      </c>
      <c r="S300" s="3">
        <f>I300-J300-K300-L300-M300-N300-O300-P300-Q300</f>
      </c>
      <c r="T300" s="3">
        <f>(S300-AB300)/G300*100</f>
      </c>
      <c r="U300" s="3">
        <f>J300-R300</f>
      </c>
      <c r="V300" t="s">
        <v>1</v>
      </c>
      <c r="W300" t="s">
        <v>80</v>
      </c>
      <c r="AC300" s="3">
        <f>S300-AB300</f>
      </c>
      <c r="AD300" t="s">
        <v>65</v>
      </c>
      <c r="AE300" t="s">
        <v>104</v>
      </c>
    </row>
    <row r="301" spans="1:31" x14ac:dyDescent="0.25">
      <c r="A301" s="7">
        <v>46169.5</v>
      </c>
      <c r="B301" t="s">
        <v>615</v>
      </c>
      <c r="C301" t="s">
        <v>1</v>
      </c>
      <c r="D301" s="8" t="s">
        <v>616</v>
      </c>
      <c r="E301" t="s">
        <v>77</v>
      </c>
      <c r="F301">
        <v>1</v>
      </c>
      <c r="G301" s="3">
        <v>338</v>
      </c>
      <c r="H301" s="3">
        <v>466.44</v>
      </c>
      <c r="I301" s="3">
        <f>H301-G301</f>
      </c>
      <c r="J301" s="3">
        <f>I301*16.67%</f>
      </c>
      <c r="K301" s="3">
        <f>H301/100*7</f>
      </c>
      <c r="L301" s="3">
        <f>K301*20%</f>
      </c>
      <c r="M301" s="3">
        <f>K301*2%</f>
      </c>
      <c r="N301" s="3">
        <f>M301*20%</f>
      </c>
      <c r="O301" s="3">
        <v>0</v>
      </c>
      <c r="P301" s="3">
        <f>O301*20%</f>
      </c>
      <c r="Q301" s="3">
        <v>1</v>
      </c>
      <c r="R301" s="3">
        <f>L301+N301+P301</f>
      </c>
      <c r="S301" s="3">
        <f>I301-J301-K301-L301-M301-N301-O301-P301-Q301</f>
      </c>
      <c r="T301" s="3">
        <f>(S301-AB301)/G301*100</f>
      </c>
      <c r="U301" s="3">
        <f>J301-R301</f>
      </c>
      <c r="V301" t="s">
        <v>1</v>
      </c>
      <c r="W301" t="s">
        <v>73</v>
      </c>
      <c r="AC301" s="3">
        <f>S301-AB301</f>
      </c>
      <c r="AD301" t="s">
        <v>59</v>
      </c>
      <c r="AE301" t="s">
        <v>69</v>
      </c>
    </row>
    <row r="302" spans="1:31" x14ac:dyDescent="0.25">
      <c r="A302" s="7">
        <v>46169.5</v>
      </c>
      <c r="B302" t="s">
        <v>617</v>
      </c>
      <c r="C302" t="s">
        <v>181</v>
      </c>
      <c r="D302" s="8" t="s">
        <v>1</v>
      </c>
      <c r="E302" t="s">
        <v>72</v>
      </c>
      <c r="F302">
        <v>2</v>
      </c>
      <c r="G302" s="3">
        <v>3.8</v>
      </c>
      <c r="H302" s="3">
        <v>5.21</v>
      </c>
      <c r="I302" s="3">
        <f>H302-G302</f>
      </c>
      <c r="J302" s="3">
        <f>I302*16.67%</f>
      </c>
      <c r="K302" s="3">
        <f>H302/100*7</f>
      </c>
      <c r="L302" s="3">
        <f>K302*20%</f>
      </c>
      <c r="M302" s="3">
        <f>K302*2%</f>
      </c>
      <c r="N302" s="3">
        <f>M302*20%</f>
      </c>
      <c r="O302" s="3">
        <v>0</v>
      </c>
      <c r="P302" s="3">
        <f>O302*20%</f>
      </c>
      <c r="Q302" s="3">
        <v>1</v>
      </c>
      <c r="R302" s="3">
        <f>L302+N302+P302</f>
      </c>
      <c r="S302" s="3">
        <f>I302-J302-K302-L302-M302-N302-O302-P302-Q302</f>
      </c>
      <c r="T302" s="3">
        <f>(S302-AB302)/G302*100</f>
      </c>
      <c r="U302" s="3">
        <f>J302-R302</f>
      </c>
      <c r="V302" t="s">
        <v>1</v>
      </c>
      <c r="W302" t="s">
        <v>181</v>
      </c>
      <c r="AC302" s="3">
        <f>S302-AB302</f>
      </c>
      <c r="AD302" t="s">
        <v>1</v>
      </c>
      <c r="AE302" t="s">
        <v>1</v>
      </c>
    </row>
    <row r="303" spans="1:31" x14ac:dyDescent="0.25">
      <c r="A303" s="7">
        <v>46169.5</v>
      </c>
      <c r="B303" t="s">
        <v>618</v>
      </c>
      <c r="C303" t="s">
        <v>1</v>
      </c>
      <c r="D303" s="8" t="s">
        <v>1</v>
      </c>
      <c r="E303" t="s">
        <v>101</v>
      </c>
      <c r="F303">
        <v>1</v>
      </c>
      <c r="G303" s="3">
        <v>302</v>
      </c>
      <c r="H303" s="3">
        <v>362.4</v>
      </c>
      <c r="I303" s="3">
        <f>H303-G303</f>
      </c>
      <c r="J303" s="3">
        <f>I303*16.67%</f>
      </c>
      <c r="K303" s="3">
        <f>H303/100*7</f>
      </c>
      <c r="L303" s="3">
        <f>K303*20%</f>
      </c>
      <c r="M303" s="3">
        <f>K303*2%</f>
      </c>
      <c r="N303" s="3">
        <f>M303*20%</f>
      </c>
      <c r="O303" s="3">
        <v>0</v>
      </c>
      <c r="P303" s="3">
        <f>O303*20%</f>
      </c>
      <c r="Q303" s="3">
        <v>1</v>
      </c>
      <c r="R303" s="3">
        <f>L303+N303+P303</f>
      </c>
      <c r="S303" s="3">
        <f>I303-J303-K303-L303-M303-N303-O303-P303-Q303</f>
      </c>
      <c r="T303" s="3">
        <f>(S303-AB303)/G303*100</f>
      </c>
      <c r="U303" s="3">
        <f>J303-R303</f>
      </c>
      <c r="V303" t="s">
        <v>1</v>
      </c>
      <c r="W303" t="s">
        <v>1</v>
      </c>
      <c r="AC303" s="3">
        <f>S303-AB303</f>
      </c>
      <c r="AD303" t="s">
        <v>1</v>
      </c>
      <c r="AE303" t="s">
        <v>1</v>
      </c>
    </row>
    <row r="304" spans="1:31" x14ac:dyDescent="0.25">
      <c r="A304" s="7">
        <v>46168.5</v>
      </c>
      <c r="B304" t="s">
        <v>619</v>
      </c>
      <c r="C304" t="s">
        <v>1</v>
      </c>
      <c r="D304" s="8" t="s">
        <v>620</v>
      </c>
      <c r="E304" t="s">
        <v>57</v>
      </c>
      <c r="F304">
        <v>1</v>
      </c>
      <c r="G304" s="3">
        <v>278</v>
      </c>
      <c r="H304" s="3">
        <v>347.5</v>
      </c>
      <c r="I304" s="3">
        <f>H304-G304</f>
      </c>
      <c r="J304" s="3">
        <f>I304*16.67%</f>
      </c>
      <c r="K304" s="3">
        <f>H304/100*7</f>
      </c>
      <c r="L304" s="3">
        <f>K304*20%</f>
      </c>
      <c r="M304" s="3">
        <f>K304*2%</f>
      </c>
      <c r="N304" s="3">
        <f>M304*20%</f>
      </c>
      <c r="O304" s="3">
        <v>0</v>
      </c>
      <c r="P304" s="3">
        <f>O304*20%</f>
      </c>
      <c r="Q304" s="3">
        <v>1</v>
      </c>
      <c r="R304" s="3">
        <f>L304+N304+P304</f>
      </c>
      <c r="S304" s="3">
        <f>I304-J304-K304-L304-M304-N304-O304-P304-Q304</f>
      </c>
      <c r="T304" s="3">
        <f>(S304-AB304)/G304*100</f>
      </c>
      <c r="U304" s="3">
        <f>J304-R304</f>
      </c>
      <c r="V304" t="s">
        <v>1</v>
      </c>
      <c r="W304" t="s">
        <v>130</v>
      </c>
      <c r="AC304" s="3">
        <f>S304-AB304</f>
      </c>
      <c r="AD304" t="s">
        <v>65</v>
      </c>
      <c r="AE304" t="s">
        <v>104</v>
      </c>
    </row>
    <row r="305" spans="1:31" x14ac:dyDescent="0.25">
      <c r="A305" s="7">
        <v>46168.5</v>
      </c>
      <c r="B305" t="s">
        <v>621</v>
      </c>
      <c r="C305" t="s">
        <v>1</v>
      </c>
      <c r="D305" s="8" t="s">
        <v>622</v>
      </c>
      <c r="E305" t="s">
        <v>77</v>
      </c>
      <c r="F305">
        <v>1</v>
      </c>
      <c r="G305" s="3">
        <v>139</v>
      </c>
      <c r="H305" s="3">
        <v>169.58</v>
      </c>
      <c r="I305" s="3">
        <f>H305-G305</f>
      </c>
      <c r="J305" s="3">
        <f>I305*16.67%</f>
      </c>
      <c r="K305" s="3">
        <f>H305/100*7</f>
      </c>
      <c r="L305" s="3">
        <f>K305*20%</f>
      </c>
      <c r="M305" s="3">
        <f>K305*2%</f>
      </c>
      <c r="N305" s="3">
        <f>M305*20%</f>
      </c>
      <c r="O305" s="3">
        <v>0</v>
      </c>
      <c r="P305" s="3">
        <f>O305*20%</f>
      </c>
      <c r="Q305" s="3">
        <v>1</v>
      </c>
      <c r="R305" s="3">
        <f>L305+N305+P305</f>
      </c>
      <c r="S305" s="3">
        <f>I305-J305-K305-L305-M305-N305-O305-P305-Q305</f>
      </c>
      <c r="T305" s="3">
        <f>(S305-AB305)/G305*100</f>
      </c>
      <c r="U305" s="3">
        <f>J305-R305</f>
      </c>
      <c r="V305" t="s">
        <v>1</v>
      </c>
      <c r="W305" t="s">
        <v>90</v>
      </c>
      <c r="AC305" s="3">
        <f>S305-AB305</f>
      </c>
      <c r="AD305" t="s">
        <v>94</v>
      </c>
      <c r="AE305" t="s">
        <v>87</v>
      </c>
    </row>
    <row r="306" spans="1:31" x14ac:dyDescent="0.25">
      <c r="A306" s="7">
        <v>46168.5</v>
      </c>
      <c r="B306" t="s">
        <v>623</v>
      </c>
      <c r="C306" t="s">
        <v>176</v>
      </c>
      <c r="D306" s="8" t="s">
        <v>1</v>
      </c>
      <c r="E306" t="s">
        <v>77</v>
      </c>
      <c r="F306">
        <v>4</v>
      </c>
      <c r="G306" s="3">
        <v>0.6</v>
      </c>
      <c r="H306" s="3">
        <v>0.86</v>
      </c>
      <c r="I306" s="3">
        <f>H306-G306</f>
      </c>
      <c r="J306" s="3">
        <f>I306*16.67%</f>
      </c>
      <c r="K306" s="3">
        <f>H306/100*7</f>
      </c>
      <c r="L306" s="3">
        <f>K306*20%</f>
      </c>
      <c r="M306" s="3">
        <f>K306*2%</f>
      </c>
      <c r="N306" s="3">
        <f>M306*20%</f>
      </c>
      <c r="O306" s="3">
        <v>0</v>
      </c>
      <c r="P306" s="3">
        <f>O306*20%</f>
      </c>
      <c r="Q306" s="3">
        <v>1</v>
      </c>
      <c r="R306" s="3">
        <f>L306+N306+P306</f>
      </c>
      <c r="S306" s="3">
        <f>I306-J306-K306-L306-M306-N306-O306-P306-Q306</f>
      </c>
      <c r="T306" s="3">
        <f>(S306-AB306)/G306*100</f>
      </c>
      <c r="U306" s="3">
        <f>J306-R306</f>
      </c>
      <c r="V306" t="s">
        <v>1</v>
      </c>
      <c r="W306" t="s">
        <v>176</v>
      </c>
      <c r="AC306" s="3">
        <f>S306-AB306</f>
      </c>
      <c r="AD306" t="s">
        <v>1</v>
      </c>
      <c r="AE306" t="s">
        <v>1</v>
      </c>
    </row>
    <row r="307" spans="1:31" x14ac:dyDescent="0.25">
      <c r="A307" s="7">
        <v>46168.5</v>
      </c>
      <c r="B307" t="s">
        <v>624</v>
      </c>
      <c r="C307" t="s">
        <v>184</v>
      </c>
      <c r="D307" s="8" t="s">
        <v>1</v>
      </c>
      <c r="E307" t="s">
        <v>101</v>
      </c>
      <c r="F307">
        <v>2</v>
      </c>
      <c r="G307" s="3">
        <v>2.4</v>
      </c>
      <c r="H307" s="3">
        <v>3.26</v>
      </c>
      <c r="I307" s="3">
        <f>H307-G307</f>
      </c>
      <c r="J307" s="3">
        <f>I307*16.67%</f>
      </c>
      <c r="K307" s="3">
        <f>H307/100*7</f>
      </c>
      <c r="L307" s="3">
        <f>K307*20%</f>
      </c>
      <c r="M307" s="3">
        <f>K307*2%</f>
      </c>
      <c r="N307" s="3">
        <f>M307*20%</f>
      </c>
      <c r="O307" s="3">
        <v>0</v>
      </c>
      <c r="P307" s="3">
        <f>O307*20%</f>
      </c>
      <c r="Q307" s="3">
        <v>1</v>
      </c>
      <c r="R307" s="3">
        <f>L307+N307+P307</f>
      </c>
      <c r="S307" s="3">
        <f>I307-J307-K307-L307-M307-N307-O307-P307-Q307</f>
      </c>
      <c r="T307" s="3">
        <f>(S307-AB307)/G307*100</f>
      </c>
      <c r="U307" s="3">
        <f>J307-R307</f>
      </c>
      <c r="V307" t="s">
        <v>1</v>
      </c>
      <c r="W307" t="s">
        <v>184</v>
      </c>
      <c r="AC307" s="3">
        <f>S307-AB307</f>
      </c>
      <c r="AD307" t="s">
        <v>1</v>
      </c>
      <c r="AE307" t="s">
        <v>1</v>
      </c>
    </row>
    <row r="308" spans="1:31" x14ac:dyDescent="0.25">
      <c r="A308" s="7">
        <v>46168.5</v>
      </c>
      <c r="B308" t="s">
        <v>625</v>
      </c>
      <c r="C308" t="s">
        <v>173</v>
      </c>
      <c r="D308" s="8" t="s">
        <v>1</v>
      </c>
      <c r="E308" t="s">
        <v>63</v>
      </c>
      <c r="F308">
        <v>2</v>
      </c>
      <c r="G308" s="3">
        <v>8.5</v>
      </c>
      <c r="H308" s="3">
        <v>12.15</v>
      </c>
      <c r="I308" s="3">
        <f>H308-G308</f>
      </c>
      <c r="J308" s="3">
        <f>I308*16.67%</f>
      </c>
      <c r="K308" s="3">
        <f>H308/100*7</f>
      </c>
      <c r="L308" s="3">
        <f>K308*20%</f>
      </c>
      <c r="M308" s="3">
        <f>K308*2%</f>
      </c>
      <c r="N308" s="3">
        <f>M308*20%</f>
      </c>
      <c r="O308" s="3">
        <v>0</v>
      </c>
      <c r="P308" s="3">
        <f>O308*20%</f>
      </c>
      <c r="Q308" s="3">
        <v>1</v>
      </c>
      <c r="R308" s="3">
        <f>L308+N308+P308</f>
      </c>
      <c r="S308" s="3">
        <f>I308-J308-K308-L308-M308-N308-O308-P308-Q308</f>
      </c>
      <c r="T308" s="3">
        <f>(S308-AB308)/G308*100</f>
      </c>
      <c r="U308" s="3">
        <f>J308-R308</f>
      </c>
      <c r="V308" t="s">
        <v>1</v>
      </c>
      <c r="W308" t="s">
        <v>173</v>
      </c>
      <c r="AC308" s="3">
        <f>S308-AB308</f>
      </c>
      <c r="AD308" t="s">
        <v>1</v>
      </c>
      <c r="AE308" t="s">
        <v>1</v>
      </c>
    </row>
    <row r="309" spans="1:31" x14ac:dyDescent="0.25">
      <c r="A309" s="7">
        <v>46167.5</v>
      </c>
      <c r="B309" t="s">
        <v>626</v>
      </c>
      <c r="C309" t="s">
        <v>1</v>
      </c>
      <c r="D309" s="8" t="s">
        <v>627</v>
      </c>
      <c r="E309" t="s">
        <v>57</v>
      </c>
      <c r="F309">
        <v>1</v>
      </c>
      <c r="G309" s="3">
        <v>196</v>
      </c>
      <c r="H309" s="3">
        <v>254.8</v>
      </c>
      <c r="I309" s="3">
        <f>H309-G309</f>
      </c>
      <c r="J309" s="3">
        <f>I309*16.67%</f>
      </c>
      <c r="K309" s="3">
        <f>H309/100*7</f>
      </c>
      <c r="L309" s="3">
        <f>K309*20%</f>
      </c>
      <c r="M309" s="3">
        <f>K309*2%</f>
      </c>
      <c r="N309" s="3">
        <f>M309*20%</f>
      </c>
      <c r="O309" s="3">
        <v>0</v>
      </c>
      <c r="P309" s="3">
        <f>O309*20%</f>
      </c>
      <c r="Q309" s="3">
        <v>1</v>
      </c>
      <c r="R309" s="3">
        <f>L309+N309+P309</f>
      </c>
      <c r="S309" s="3">
        <f>I309-J309-K309-L309-M309-N309-O309-P309-Q309</f>
      </c>
      <c r="T309" s="3">
        <f>(S309-AB309)/G309*100</f>
      </c>
      <c r="U309" s="3">
        <f>J309-R309</f>
      </c>
      <c r="V309" t="s">
        <v>1</v>
      </c>
      <c r="W309" t="s">
        <v>291</v>
      </c>
      <c r="AC309" s="3">
        <f>S309-AB309</f>
      </c>
      <c r="AD309" t="s">
        <v>125</v>
      </c>
      <c r="AE309" t="s">
        <v>104</v>
      </c>
    </row>
    <row r="310" spans="1:31" x14ac:dyDescent="0.25">
      <c r="A310" s="7">
        <v>46166.5</v>
      </c>
      <c r="B310" t="s">
        <v>628</v>
      </c>
      <c r="C310" t="s">
        <v>1</v>
      </c>
      <c r="D310" s="8" t="s">
        <v>629</v>
      </c>
      <c r="E310" t="s">
        <v>101</v>
      </c>
      <c r="F310">
        <v>1</v>
      </c>
      <c r="G310" s="3">
        <v>331</v>
      </c>
      <c r="H310" s="3">
        <v>407.13</v>
      </c>
      <c r="I310" s="3">
        <f>H310-G310</f>
      </c>
      <c r="J310" s="3">
        <f>I310*16.67%</f>
      </c>
      <c r="K310" s="3">
        <f>H310/100*7</f>
      </c>
      <c r="L310" s="3">
        <f>K310*20%</f>
      </c>
      <c r="M310" s="3">
        <f>K310*2%</f>
      </c>
      <c r="N310" s="3">
        <f>M310*20%</f>
      </c>
      <c r="O310" s="3">
        <v>0</v>
      </c>
      <c r="P310" s="3">
        <f>O310*20%</f>
      </c>
      <c r="Q310" s="3">
        <v>1</v>
      </c>
      <c r="R310" s="3">
        <f>L310+N310+P310</f>
      </c>
      <c r="S310" s="3">
        <f>I310-J310-K310-L310-M310-N310-O310-P310-Q310</f>
      </c>
      <c r="T310" s="3">
        <f>(S310-AB310)/G310*100</f>
      </c>
      <c r="U310" s="3">
        <f>J310-R310</f>
      </c>
      <c r="V310" t="s">
        <v>1</v>
      </c>
      <c r="W310" t="s">
        <v>73</v>
      </c>
      <c r="AC310" s="3">
        <f>S310-AB310</f>
      </c>
      <c r="AD310" t="s">
        <v>59</v>
      </c>
      <c r="AE310" t="s">
        <v>84</v>
      </c>
    </row>
    <row r="311" spans="1:31" x14ac:dyDescent="0.25">
      <c r="A311" s="7">
        <v>46166.5</v>
      </c>
      <c r="B311" t="s">
        <v>630</v>
      </c>
      <c r="C311" t="s">
        <v>1</v>
      </c>
      <c r="D311" s="8" t="s">
        <v>631</v>
      </c>
      <c r="E311" t="s">
        <v>63</v>
      </c>
      <c r="F311">
        <v>1</v>
      </c>
      <c r="G311" s="3">
        <v>714</v>
      </c>
      <c r="H311" s="3">
        <v>949.62</v>
      </c>
      <c r="I311" s="3">
        <f>H311-G311</f>
      </c>
      <c r="J311" s="3">
        <f>I311*16.67%</f>
      </c>
      <c r="K311" s="3">
        <f>H311/100*7</f>
      </c>
      <c r="L311" s="3">
        <f>K311*20%</f>
      </c>
      <c r="M311" s="3">
        <f>K311*2%</f>
      </c>
      <c r="N311" s="3">
        <f>M311*20%</f>
      </c>
      <c r="O311" s="3">
        <v>0</v>
      </c>
      <c r="P311" s="3">
        <f>O311*20%</f>
      </c>
      <c r="Q311" s="3">
        <v>1</v>
      </c>
      <c r="R311" s="3">
        <f>L311+N311+P311</f>
      </c>
      <c r="S311" s="3">
        <f>I311-J311-K311-L311-M311-N311-O311-P311-Q311</f>
      </c>
      <c r="T311" s="3">
        <f>(S311-AB311)/G311*100</f>
      </c>
      <c r="U311" s="3">
        <f>J311-R311</f>
      </c>
      <c r="V311" t="s">
        <v>1</v>
      </c>
      <c r="W311" t="s">
        <v>83</v>
      </c>
      <c r="AC311" s="3">
        <f>S311-AB311</f>
      </c>
      <c r="AD311" t="s">
        <v>59</v>
      </c>
      <c r="AE311" t="s">
        <v>74</v>
      </c>
    </row>
    <row r="312" spans="1:31" x14ac:dyDescent="0.25">
      <c r="A312" s="7">
        <v>46166.5</v>
      </c>
      <c r="B312" t="s">
        <v>632</v>
      </c>
      <c r="C312" t="s">
        <v>184</v>
      </c>
      <c r="D312" s="8" t="s">
        <v>1</v>
      </c>
      <c r="E312" t="s">
        <v>101</v>
      </c>
      <c r="F312">
        <v>3</v>
      </c>
      <c r="G312" s="3">
        <v>3.6</v>
      </c>
      <c r="H312" s="3">
        <v>4.75</v>
      </c>
      <c r="I312" s="3">
        <f>H312-G312</f>
      </c>
      <c r="J312" s="3">
        <f>I312*16.67%</f>
      </c>
      <c r="K312" s="3">
        <f>H312/100*7</f>
      </c>
      <c r="L312" s="3">
        <f>K312*20%</f>
      </c>
      <c r="M312" s="3">
        <f>K312*2%</f>
      </c>
      <c r="N312" s="3">
        <f>M312*20%</f>
      </c>
      <c r="O312" s="3">
        <v>0</v>
      </c>
      <c r="P312" s="3">
        <f>O312*20%</f>
      </c>
      <c r="Q312" s="3">
        <v>1</v>
      </c>
      <c r="R312" s="3">
        <f>L312+N312+P312</f>
      </c>
      <c r="S312" s="3">
        <f>I312-J312-K312-L312-M312-N312-O312-P312-Q312</f>
      </c>
      <c r="T312" s="3">
        <f>(S312-AB312)/G312*100</f>
      </c>
      <c r="U312" s="3">
        <f>J312-R312</f>
      </c>
      <c r="V312" t="s">
        <v>1</v>
      </c>
      <c r="W312" t="s">
        <v>184</v>
      </c>
      <c r="AC312" s="3">
        <f>S312-AB312</f>
      </c>
      <c r="AD312" t="s">
        <v>1</v>
      </c>
      <c r="AE312" t="s">
        <v>1</v>
      </c>
    </row>
    <row r="313" spans="1:31" x14ac:dyDescent="0.25">
      <c r="A313" s="7">
        <v>46166.5</v>
      </c>
      <c r="B313" t="s">
        <v>633</v>
      </c>
      <c r="C313" t="s">
        <v>1</v>
      </c>
      <c r="D313" s="8" t="s">
        <v>1</v>
      </c>
      <c r="E313" t="s">
        <v>77</v>
      </c>
      <c r="F313">
        <v>1</v>
      </c>
      <c r="G313" s="3">
        <v>342</v>
      </c>
      <c r="H313" s="3">
        <v>441.18</v>
      </c>
      <c r="I313" s="3">
        <f>H313-G313</f>
      </c>
      <c r="J313" s="3">
        <f>I313*16.67%</f>
      </c>
      <c r="K313" s="3">
        <f>H313/100*7</f>
      </c>
      <c r="L313" s="3">
        <f>K313*20%</f>
      </c>
      <c r="M313" s="3">
        <f>K313*2%</f>
      </c>
      <c r="N313" s="3">
        <f>M313*20%</f>
      </c>
      <c r="O313" s="3">
        <v>0</v>
      </c>
      <c r="P313" s="3">
        <f>O313*20%</f>
      </c>
      <c r="Q313" s="3">
        <v>1</v>
      </c>
      <c r="R313" s="3">
        <f>L313+N313+P313</f>
      </c>
      <c r="S313" s="3">
        <f>I313-J313-K313-L313-M313-N313-O313-P313-Q313</f>
      </c>
      <c r="T313" s="3">
        <f>(S313-AB313)/G313*100</f>
      </c>
      <c r="U313" s="3">
        <f>J313-R313</f>
      </c>
      <c r="V313" t="s">
        <v>1</v>
      </c>
      <c r="W313" t="s">
        <v>1</v>
      </c>
      <c r="AC313" s="3">
        <f>S313-AB313</f>
      </c>
      <c r="AD313" t="s">
        <v>1</v>
      </c>
      <c r="AE313" t="s">
        <v>1</v>
      </c>
    </row>
    <row r="314" spans="1:31" x14ac:dyDescent="0.25">
      <c r="A314" s="7">
        <v>46166.5</v>
      </c>
      <c r="B314" t="s">
        <v>634</v>
      </c>
      <c r="C314" t="s">
        <v>188</v>
      </c>
      <c r="D314" s="8" t="s">
        <v>1</v>
      </c>
      <c r="E314" t="s">
        <v>63</v>
      </c>
      <c r="F314">
        <v>1</v>
      </c>
      <c r="G314" s="3">
        <v>3.5</v>
      </c>
      <c r="H314" s="3">
        <v>4.97</v>
      </c>
      <c r="I314" s="3">
        <f>H314-G314</f>
      </c>
      <c r="J314" s="3">
        <f>I314*16.67%</f>
      </c>
      <c r="K314" s="3">
        <f>H314/100*7</f>
      </c>
      <c r="L314" s="3">
        <f>K314*20%</f>
      </c>
      <c r="M314" s="3">
        <f>K314*2%</f>
      </c>
      <c r="N314" s="3">
        <f>M314*20%</f>
      </c>
      <c r="O314" s="3">
        <v>0</v>
      </c>
      <c r="P314" s="3">
        <f>O314*20%</f>
      </c>
      <c r="Q314" s="3">
        <v>1</v>
      </c>
      <c r="R314" s="3">
        <f>L314+N314+P314</f>
      </c>
      <c r="S314" s="3">
        <f>I314-J314-K314-L314-M314-N314-O314-P314-Q314</f>
      </c>
      <c r="T314" s="3">
        <f>(S314-AB314)/G314*100</f>
      </c>
      <c r="U314" s="3">
        <f>J314-R314</f>
      </c>
      <c r="V314" t="s">
        <v>1</v>
      </c>
      <c r="W314" t="s">
        <v>188</v>
      </c>
      <c r="AC314" s="3">
        <f>S314-AB314</f>
      </c>
      <c r="AD314" t="s">
        <v>1</v>
      </c>
      <c r="AE314" t="s">
        <v>1</v>
      </c>
    </row>
    <row r="315" spans="1:31" x14ac:dyDescent="0.25">
      <c r="A315" s="7">
        <v>46164.5</v>
      </c>
      <c r="B315" t="s">
        <v>635</v>
      </c>
      <c r="C315" t="s">
        <v>1</v>
      </c>
      <c r="D315" s="8" t="s">
        <v>636</v>
      </c>
      <c r="E315" t="s">
        <v>77</v>
      </c>
      <c r="F315">
        <v>1</v>
      </c>
      <c r="G315" s="3">
        <v>250</v>
      </c>
      <c r="H315" s="3">
        <v>332.5</v>
      </c>
      <c r="I315" s="3">
        <f>H315-G315</f>
      </c>
      <c r="J315" s="3">
        <f>I315*16.67%</f>
      </c>
      <c r="K315" s="3">
        <f>H315/100*7</f>
      </c>
      <c r="L315" s="3">
        <f>K315*20%</f>
      </c>
      <c r="M315" s="3">
        <f>K315*2%</f>
      </c>
      <c r="N315" s="3">
        <f>M315*20%</f>
      </c>
      <c r="O315" s="3">
        <v>0</v>
      </c>
      <c r="P315" s="3">
        <f>O315*20%</f>
      </c>
      <c r="Q315" s="3">
        <v>1</v>
      </c>
      <c r="R315" s="3">
        <f>L315+N315+P315</f>
      </c>
      <c r="S315" s="3">
        <f>I315-J315-K315-L315-M315-N315-O315-P315-Q315</f>
      </c>
      <c r="T315" s="3">
        <f>(S315-AB315)/G315*100</f>
      </c>
      <c r="U315" s="3">
        <f>J315-R315</f>
      </c>
      <c r="V315" t="s">
        <v>1</v>
      </c>
      <c r="W315" t="s">
        <v>64</v>
      </c>
      <c r="AC315" s="3">
        <f>S315-AB315</f>
      </c>
      <c r="AD315" t="s">
        <v>65</v>
      </c>
      <c r="AE315" t="s">
        <v>98</v>
      </c>
    </row>
    <row r="316" spans="1:31" x14ac:dyDescent="0.25">
      <c r="A316" s="7">
        <v>46164.5</v>
      </c>
      <c r="B316" t="s">
        <v>637</v>
      </c>
      <c r="C316" t="s">
        <v>1</v>
      </c>
      <c r="D316" s="8" t="s">
        <v>638</v>
      </c>
      <c r="E316" t="s">
        <v>101</v>
      </c>
      <c r="F316">
        <v>1</v>
      </c>
      <c r="G316" s="3">
        <v>103</v>
      </c>
      <c r="H316" s="3">
        <v>135.96</v>
      </c>
      <c r="I316" s="3">
        <f>H316-G316</f>
      </c>
      <c r="J316" s="3">
        <f>I316*16.67%</f>
      </c>
      <c r="K316" s="3">
        <f>H316/100*7</f>
      </c>
      <c r="L316" s="3">
        <f>K316*20%</f>
      </c>
      <c r="M316" s="3">
        <f>K316*2%</f>
      </c>
      <c r="N316" s="3">
        <f>M316*20%</f>
      </c>
      <c r="O316" s="3">
        <v>0</v>
      </c>
      <c r="P316" s="3">
        <f>O316*20%</f>
      </c>
      <c r="Q316" s="3">
        <v>1</v>
      </c>
      <c r="R316" s="3">
        <f>L316+N316+P316</f>
      </c>
      <c r="S316" s="3">
        <f>I316-J316-K316-L316-M316-N316-O316-P316-Q316</f>
      </c>
      <c r="T316" s="3">
        <f>(S316-AB316)/G316*100</f>
      </c>
      <c r="U316" s="3">
        <f>J316-R316</f>
      </c>
      <c r="V316" t="s">
        <v>1</v>
      </c>
      <c r="W316" t="s">
        <v>133</v>
      </c>
      <c r="AC316" s="3">
        <f>S316-AB316</f>
      </c>
      <c r="AD316" t="s">
        <v>65</v>
      </c>
      <c r="AE316" t="s">
        <v>98</v>
      </c>
    </row>
    <row r="317" spans="1:31" x14ac:dyDescent="0.25">
      <c r="A317" s="7">
        <v>46164.5</v>
      </c>
      <c r="B317" t="s">
        <v>639</v>
      </c>
      <c r="C317" t="s">
        <v>1</v>
      </c>
      <c r="D317" s="8" t="s">
        <v>1</v>
      </c>
      <c r="E317" t="s">
        <v>57</v>
      </c>
      <c r="F317">
        <v>1</v>
      </c>
      <c r="G317" s="3">
        <v>374</v>
      </c>
      <c r="H317" s="3">
        <v>474.98</v>
      </c>
      <c r="I317" s="3">
        <f>H317-G317</f>
      </c>
      <c r="J317" s="3">
        <f>I317*16.67%</f>
      </c>
      <c r="K317" s="3">
        <f>H317/100*7</f>
      </c>
      <c r="L317" s="3">
        <f>K317*20%</f>
      </c>
      <c r="M317" s="3">
        <f>K317*2%</f>
      </c>
      <c r="N317" s="3">
        <f>M317*20%</f>
      </c>
      <c r="O317" s="3">
        <v>0</v>
      </c>
      <c r="P317" s="3">
        <f>O317*20%</f>
      </c>
      <c r="Q317" s="3">
        <v>1</v>
      </c>
      <c r="R317" s="3">
        <f>L317+N317+P317</f>
      </c>
      <c r="S317" s="3">
        <f>I317-J317-K317-L317-M317-N317-O317-P317-Q317</f>
      </c>
      <c r="T317" s="3">
        <f>(S317-AB317)/G317*100</f>
      </c>
      <c r="U317" s="3">
        <f>J317-R317</f>
      </c>
      <c r="V317" t="s">
        <v>1</v>
      </c>
      <c r="W317" t="s">
        <v>1</v>
      </c>
      <c r="AC317" s="3">
        <f>S317-AB317</f>
      </c>
      <c r="AD317" t="s">
        <v>1</v>
      </c>
      <c r="AE317" t="s">
        <v>1</v>
      </c>
    </row>
    <row r="318" spans="1:31" x14ac:dyDescent="0.25">
      <c r="A318" s="7">
        <v>46164.5</v>
      </c>
      <c r="B318" t="s">
        <v>640</v>
      </c>
      <c r="C318" t="s">
        <v>1</v>
      </c>
      <c r="D318" s="8" t="s">
        <v>1</v>
      </c>
      <c r="E318" t="s">
        <v>57</v>
      </c>
      <c r="F318">
        <v>1</v>
      </c>
      <c r="G318" s="3">
        <v>502</v>
      </c>
      <c r="H318" s="3">
        <v>717.86</v>
      </c>
      <c r="I318" s="3">
        <f>H318-G318</f>
      </c>
      <c r="J318" s="3">
        <f>I318*16.67%</f>
      </c>
      <c r="K318" s="3">
        <f>H318/100*7</f>
      </c>
      <c r="L318" s="3">
        <f>K318*20%</f>
      </c>
      <c r="M318" s="3">
        <f>K318*2%</f>
      </c>
      <c r="N318" s="3">
        <f>M318*20%</f>
      </c>
      <c r="O318" s="3">
        <v>0</v>
      </c>
      <c r="P318" s="3">
        <f>O318*20%</f>
      </c>
      <c r="Q318" s="3">
        <v>1</v>
      </c>
      <c r="R318" s="3">
        <f>L318+N318+P318</f>
      </c>
      <c r="S318" s="3">
        <f>I318-J318-K318-L318-M318-N318-O318-P318-Q318</f>
      </c>
      <c r="T318" s="3">
        <f>(S318-AB318)/G318*100</f>
      </c>
      <c r="U318" s="3">
        <f>J318-R318</f>
      </c>
      <c r="V318" t="s">
        <v>1</v>
      </c>
      <c r="W318" t="s">
        <v>1</v>
      </c>
      <c r="AC318" s="3">
        <f>S318-AB318</f>
      </c>
      <c r="AD318" t="s">
        <v>1</v>
      </c>
      <c r="AE318" t="s">
        <v>1</v>
      </c>
    </row>
    <row r="319" spans="1:31" x14ac:dyDescent="0.25">
      <c r="A319" s="7">
        <v>46163.5</v>
      </c>
      <c r="B319" t="s">
        <v>641</v>
      </c>
      <c r="C319" t="s">
        <v>1</v>
      </c>
      <c r="D319" s="8" t="s">
        <v>642</v>
      </c>
      <c r="E319" t="s">
        <v>57</v>
      </c>
      <c r="F319">
        <v>1</v>
      </c>
      <c r="G319" s="3">
        <v>281</v>
      </c>
      <c r="H319" s="3">
        <v>325.96</v>
      </c>
      <c r="I319" s="3">
        <f>H319-G319</f>
      </c>
      <c r="J319" s="3">
        <f>I319*16.67%</f>
      </c>
      <c r="K319" s="3">
        <f>H319/100*7</f>
      </c>
      <c r="L319" s="3">
        <f>K319*20%</f>
      </c>
      <c r="M319" s="3">
        <f>K319*2%</f>
      </c>
      <c r="N319" s="3">
        <f>M319*20%</f>
      </c>
      <c r="O319" s="3">
        <v>0</v>
      </c>
      <c r="P319" s="3">
        <f>O319*20%</f>
      </c>
      <c r="Q319" s="3">
        <v>1</v>
      </c>
      <c r="R319" s="3">
        <f>L319+N319+P319</f>
      </c>
      <c r="S319" s="3">
        <f>I319-J319-K319-L319-M319-N319-O319-P319-Q319</f>
      </c>
      <c r="T319" s="3">
        <f>(S319-AB319)/G319*100</f>
      </c>
      <c r="U319" s="3">
        <f>J319-R319</f>
      </c>
      <c r="V319" t="s">
        <v>1</v>
      </c>
      <c r="W319" t="s">
        <v>130</v>
      </c>
      <c r="AC319" s="3">
        <f>S319-AB319</f>
      </c>
      <c r="AD319" t="s">
        <v>65</v>
      </c>
      <c r="AE319" t="s">
        <v>98</v>
      </c>
    </row>
    <row r="320" spans="1:31" x14ac:dyDescent="0.25">
      <c r="A320" s="7">
        <v>46163.5</v>
      </c>
      <c r="B320" t="s">
        <v>643</v>
      </c>
      <c r="C320" t="s">
        <v>1</v>
      </c>
      <c r="D320" s="8" t="s">
        <v>644</v>
      </c>
      <c r="E320" t="s">
        <v>63</v>
      </c>
      <c r="F320">
        <v>1</v>
      </c>
      <c r="G320" s="3">
        <v>212</v>
      </c>
      <c r="H320" s="3">
        <v>271.36</v>
      </c>
      <c r="I320" s="3">
        <f>H320-G320</f>
      </c>
      <c r="J320" s="3">
        <f>I320*16.67%</f>
      </c>
      <c r="K320" s="3">
        <f>H320/100*7</f>
      </c>
      <c r="L320" s="3">
        <f>K320*20%</f>
      </c>
      <c r="M320" s="3">
        <f>K320*2%</f>
      </c>
      <c r="N320" s="3">
        <f>M320*20%</f>
      </c>
      <c r="O320" s="3">
        <v>0</v>
      </c>
      <c r="P320" s="3">
        <f>O320*20%</f>
      </c>
      <c r="Q320" s="3">
        <v>1</v>
      </c>
      <c r="R320" s="3">
        <f>L320+N320+P320</f>
      </c>
      <c r="S320" s="3">
        <f>I320-J320-K320-L320-M320-N320-O320-P320-Q320</f>
      </c>
      <c r="T320" s="3">
        <f>(S320-AB320)/G320*100</f>
      </c>
      <c r="U320" s="3">
        <f>J320-R320</f>
      </c>
      <c r="V320" t="s">
        <v>1</v>
      </c>
      <c r="W320" t="s">
        <v>113</v>
      </c>
      <c r="AC320" s="3">
        <f>S320-AB320</f>
      </c>
      <c r="AD320" t="s">
        <v>59</v>
      </c>
      <c r="AE320" t="s">
        <v>74</v>
      </c>
    </row>
    <row r="321" spans="1:31" x14ac:dyDescent="0.25">
      <c r="A321" s="7">
        <v>46163.5</v>
      </c>
      <c r="B321" t="s">
        <v>645</v>
      </c>
      <c r="C321" t="s">
        <v>253</v>
      </c>
      <c r="D321" s="8" t="s">
        <v>1</v>
      </c>
      <c r="E321" t="s">
        <v>57</v>
      </c>
      <c r="F321">
        <v>3</v>
      </c>
      <c r="G321" s="3">
        <v>2.4</v>
      </c>
      <c r="H321" s="3">
        <v>3.1</v>
      </c>
      <c r="I321" s="3">
        <f>H321-G321</f>
      </c>
      <c r="J321" s="3">
        <f>I321*16.67%</f>
      </c>
      <c r="K321" s="3">
        <f>H321/100*7</f>
      </c>
      <c r="L321" s="3">
        <f>K321*20%</f>
      </c>
      <c r="M321" s="3">
        <f>K321*2%</f>
      </c>
      <c r="N321" s="3">
        <f>M321*20%</f>
      </c>
      <c r="O321" s="3">
        <v>0</v>
      </c>
      <c r="P321" s="3">
        <f>O321*20%</f>
      </c>
      <c r="Q321" s="3">
        <v>1</v>
      </c>
      <c r="R321" s="3">
        <f>L321+N321+P321</f>
      </c>
      <c r="S321" s="3">
        <f>I321-J321-K321-L321-M321-N321-O321-P321-Q321</f>
      </c>
      <c r="T321" s="3">
        <f>(S321-AB321)/G321*100</f>
      </c>
      <c r="U321" s="3">
        <f>J321-R321</f>
      </c>
      <c r="V321" t="s">
        <v>1</v>
      </c>
      <c r="W321" t="s">
        <v>253</v>
      </c>
      <c r="AC321" s="3">
        <f>S321-AB321</f>
      </c>
      <c r="AD321" t="s">
        <v>1</v>
      </c>
      <c r="AE321" t="s">
        <v>1</v>
      </c>
    </row>
    <row r="322" spans="1:31" x14ac:dyDescent="0.25">
      <c r="A322" s="7">
        <v>46162.5</v>
      </c>
      <c r="B322" t="s">
        <v>646</v>
      </c>
      <c r="C322" t="s">
        <v>1</v>
      </c>
      <c r="D322" s="8" t="s">
        <v>647</v>
      </c>
      <c r="E322" t="s">
        <v>57</v>
      </c>
      <c r="F322">
        <v>1</v>
      </c>
      <c r="G322" s="3">
        <v>291</v>
      </c>
      <c r="H322" s="3">
        <v>340.47</v>
      </c>
      <c r="I322" s="3">
        <f>H322-G322</f>
      </c>
      <c r="J322" s="3">
        <f>I322*16.67%</f>
      </c>
      <c r="K322" s="3">
        <f>H322/100*7</f>
      </c>
      <c r="L322" s="3">
        <f>K322*20%</f>
      </c>
      <c r="M322" s="3">
        <f>K322*2%</f>
      </c>
      <c r="N322" s="3">
        <f>M322*20%</f>
      </c>
      <c r="O322" s="3">
        <v>0</v>
      </c>
      <c r="P322" s="3">
        <f>O322*20%</f>
      </c>
      <c r="Q322" s="3">
        <v>1</v>
      </c>
      <c r="R322" s="3">
        <f>L322+N322+P322</f>
      </c>
      <c r="S322" s="3">
        <f>I322-J322-K322-L322-M322-N322-O322-P322-Q322</f>
      </c>
      <c r="T322" s="3">
        <f>(S322-AB322)/G322*100</f>
      </c>
      <c r="U322" s="3">
        <f>J322-R322</f>
      </c>
      <c r="V322" t="s">
        <v>1</v>
      </c>
      <c r="W322" t="s">
        <v>124</v>
      </c>
      <c r="AC322" s="3">
        <f>S322-AB322</f>
      </c>
      <c r="AD322" t="s">
        <v>125</v>
      </c>
      <c r="AE322" t="s">
        <v>104</v>
      </c>
    </row>
    <row r="323" spans="1:31" x14ac:dyDescent="0.25">
      <c r="A323" s="7">
        <v>46162.5</v>
      </c>
      <c r="B323" t="s">
        <v>648</v>
      </c>
      <c r="C323" t="s">
        <v>1</v>
      </c>
      <c r="D323" s="8" t="s">
        <v>649</v>
      </c>
      <c r="E323" t="s">
        <v>72</v>
      </c>
      <c r="F323">
        <v>1</v>
      </c>
      <c r="G323" s="3">
        <v>247</v>
      </c>
      <c r="H323" s="3">
        <v>296.4</v>
      </c>
      <c r="I323" s="3">
        <f>H323-G323</f>
      </c>
      <c r="J323" s="3">
        <f>I323*16.67%</f>
      </c>
      <c r="K323" s="3">
        <f>H323/100*7</f>
      </c>
      <c r="L323" s="3">
        <f>K323*20%</f>
      </c>
      <c r="M323" s="3">
        <f>K323*2%</f>
      </c>
      <c r="N323" s="3">
        <f>M323*20%</f>
      </c>
      <c r="O323" s="3">
        <v>0</v>
      </c>
      <c r="P323" s="3">
        <f>O323*20%</f>
      </c>
      <c r="Q323" s="3">
        <v>1</v>
      </c>
      <c r="R323" s="3">
        <f>L323+N323+P323</f>
      </c>
      <c r="S323" s="3">
        <f>I323-J323-K323-L323-M323-N323-O323-P323-Q323</f>
      </c>
      <c r="T323" s="3">
        <f>(S323-AB323)/G323*100</f>
      </c>
      <c r="U323" s="3">
        <f>J323-R323</f>
      </c>
      <c r="V323" t="s">
        <v>1</v>
      </c>
      <c r="W323" t="s">
        <v>124</v>
      </c>
      <c r="AC323" s="3">
        <f>S323-AB323</f>
      </c>
      <c r="AD323" t="s">
        <v>125</v>
      </c>
      <c r="AE323" t="s">
        <v>60</v>
      </c>
    </row>
    <row r="324" spans="1:31" x14ac:dyDescent="0.25">
      <c r="A324" s="7">
        <v>46162.5</v>
      </c>
      <c r="B324" t="s">
        <v>650</v>
      </c>
      <c r="C324" t="s">
        <v>1</v>
      </c>
      <c r="D324" s="8" t="s">
        <v>651</v>
      </c>
      <c r="E324" t="s">
        <v>101</v>
      </c>
      <c r="F324">
        <v>1</v>
      </c>
      <c r="G324" s="3">
        <v>235</v>
      </c>
      <c r="H324" s="3">
        <v>291.4</v>
      </c>
      <c r="I324" s="3">
        <f>H324-G324</f>
      </c>
      <c r="J324" s="3">
        <f>I324*16.67%</f>
      </c>
      <c r="K324" s="3">
        <f>H324/100*7</f>
      </c>
      <c r="L324" s="3">
        <f>K324*20%</f>
      </c>
      <c r="M324" s="3">
        <f>K324*2%</f>
      </c>
      <c r="N324" s="3">
        <f>M324*20%</f>
      </c>
      <c r="O324" s="3">
        <v>0</v>
      </c>
      <c r="P324" s="3">
        <f>O324*20%</f>
      </c>
      <c r="Q324" s="3">
        <v>1</v>
      </c>
      <c r="R324" s="3">
        <f>L324+N324+P324</f>
      </c>
      <c r="S324" s="3">
        <f>I324-J324-K324-L324-M324-N324-O324-P324-Q324</f>
      </c>
      <c r="T324" s="3">
        <f>(S324-AB324)/G324*100</f>
      </c>
      <c r="U324" s="3">
        <f>J324-R324</f>
      </c>
      <c r="V324" t="s">
        <v>1</v>
      </c>
      <c r="W324" t="s">
        <v>124</v>
      </c>
      <c r="AC324" s="3">
        <f>S324-AB324</f>
      </c>
      <c r="AD324" t="s">
        <v>125</v>
      </c>
      <c r="AE324" t="s">
        <v>69</v>
      </c>
    </row>
    <row r="325" spans="1:31" x14ac:dyDescent="0.25">
      <c r="A325" s="7">
        <v>46162.5</v>
      </c>
      <c r="B325" t="s">
        <v>652</v>
      </c>
      <c r="C325" t="s">
        <v>1</v>
      </c>
      <c r="D325" s="8" t="s">
        <v>653</v>
      </c>
      <c r="E325" t="s">
        <v>63</v>
      </c>
      <c r="F325">
        <v>1</v>
      </c>
      <c r="G325" s="3">
        <v>173</v>
      </c>
      <c r="H325" s="3">
        <v>243.93</v>
      </c>
      <c r="I325" s="3">
        <f>H325-G325</f>
      </c>
      <c r="J325" s="3">
        <f>I325*16.67%</f>
      </c>
      <c r="K325" s="3">
        <f>H325/100*7</f>
      </c>
      <c r="L325" s="3">
        <f>K325*20%</f>
      </c>
      <c r="M325" s="3">
        <f>K325*2%</f>
      </c>
      <c r="N325" s="3">
        <f>M325*20%</f>
      </c>
      <c r="O325" s="3">
        <v>0</v>
      </c>
      <c r="P325" s="3">
        <f>O325*20%</f>
      </c>
      <c r="Q325" s="3">
        <v>1</v>
      </c>
      <c r="R325" s="3">
        <f>L325+N325+P325</f>
      </c>
      <c r="S325" s="3">
        <f>I325-J325-K325-L325-M325-N325-O325-P325-Q325</f>
      </c>
      <c r="T325" s="3">
        <f>(S325-AB325)/G325*100</f>
      </c>
      <c r="U325" s="3">
        <f>J325-R325</f>
      </c>
      <c r="V325" t="s">
        <v>1</v>
      </c>
      <c r="W325" t="s">
        <v>291</v>
      </c>
      <c r="AC325" s="3">
        <f>S325-AB325</f>
      </c>
      <c r="AD325" t="s">
        <v>125</v>
      </c>
      <c r="AE325" t="s">
        <v>74</v>
      </c>
    </row>
    <row r="326" spans="1:31" x14ac:dyDescent="0.25">
      <c r="A326" s="7">
        <v>46162.5</v>
      </c>
      <c r="B326" t="s">
        <v>654</v>
      </c>
      <c r="C326" t="s">
        <v>253</v>
      </c>
      <c r="D326" s="8" t="s">
        <v>1</v>
      </c>
      <c r="E326" t="s">
        <v>57</v>
      </c>
      <c r="F326">
        <v>1</v>
      </c>
      <c r="G326" s="3">
        <v>0.8</v>
      </c>
      <c r="H326" s="3">
        <v>1.11</v>
      </c>
      <c r="I326" s="3">
        <f>H326-G326</f>
      </c>
      <c r="J326" s="3">
        <f>I326*16.67%</f>
      </c>
      <c r="K326" s="3">
        <f>H326/100*7</f>
      </c>
      <c r="L326" s="3">
        <f>K326*20%</f>
      </c>
      <c r="M326" s="3">
        <f>K326*2%</f>
      </c>
      <c r="N326" s="3">
        <f>M326*20%</f>
      </c>
      <c r="O326" s="3">
        <v>0</v>
      </c>
      <c r="P326" s="3">
        <f>O326*20%</f>
      </c>
      <c r="Q326" s="3">
        <v>1</v>
      </c>
      <c r="R326" s="3">
        <f>L326+N326+P326</f>
      </c>
      <c r="S326" s="3">
        <f>I326-J326-K326-L326-M326-N326-O326-P326-Q326</f>
      </c>
      <c r="T326" s="3">
        <f>(S326-AB326)/G326*100</f>
      </c>
      <c r="U326" s="3">
        <f>J326-R326</f>
      </c>
      <c r="V326" t="s">
        <v>1</v>
      </c>
      <c r="W326" t="s">
        <v>253</v>
      </c>
      <c r="AC326" s="3">
        <f>S326-AB326</f>
      </c>
      <c r="AD326" t="s">
        <v>1</v>
      </c>
      <c r="AE326" t="s">
        <v>1</v>
      </c>
    </row>
    <row r="327" spans="1:31" x14ac:dyDescent="0.25">
      <c r="A327" s="7">
        <v>46162.5</v>
      </c>
      <c r="B327" t="s">
        <v>655</v>
      </c>
      <c r="C327" t="s">
        <v>188</v>
      </c>
      <c r="D327" s="8" t="s">
        <v>1</v>
      </c>
      <c r="E327" t="s">
        <v>63</v>
      </c>
      <c r="F327">
        <v>1</v>
      </c>
      <c r="G327" s="3">
        <v>3.5</v>
      </c>
      <c r="H327" s="3">
        <v>4.41</v>
      </c>
      <c r="I327" s="3">
        <f>H327-G327</f>
      </c>
      <c r="J327" s="3">
        <f>I327*16.67%</f>
      </c>
      <c r="K327" s="3">
        <f>H327/100*7</f>
      </c>
      <c r="L327" s="3">
        <f>K327*20%</f>
      </c>
      <c r="M327" s="3">
        <f>K327*2%</f>
      </c>
      <c r="N327" s="3">
        <f>M327*20%</f>
      </c>
      <c r="O327" s="3">
        <v>0</v>
      </c>
      <c r="P327" s="3">
        <f>O327*20%</f>
      </c>
      <c r="Q327" s="3">
        <v>1</v>
      </c>
      <c r="R327" s="3">
        <f>L327+N327+P327</f>
      </c>
      <c r="S327" s="3">
        <f>I327-J327-K327-L327-M327-N327-O327-P327-Q327</f>
      </c>
      <c r="T327" s="3">
        <f>(S327-AB327)/G327*100</f>
      </c>
      <c r="U327" s="3">
        <f>J327-R327</f>
      </c>
      <c r="V327" t="s">
        <v>1</v>
      </c>
      <c r="W327" t="s">
        <v>188</v>
      </c>
      <c r="AC327" s="3">
        <f>S327-AB327</f>
      </c>
      <c r="AD327" t="s">
        <v>1</v>
      </c>
      <c r="AE327" t="s">
        <v>1</v>
      </c>
    </row>
    <row r="328" spans="1:31" x14ac:dyDescent="0.25">
      <c r="A328" s="7">
        <v>46161.5</v>
      </c>
      <c r="B328" t="s">
        <v>656</v>
      </c>
      <c r="C328" t="s">
        <v>1</v>
      </c>
      <c r="D328" s="8" t="s">
        <v>657</v>
      </c>
      <c r="E328" t="s">
        <v>63</v>
      </c>
      <c r="F328">
        <v>1</v>
      </c>
      <c r="G328" s="3">
        <v>369</v>
      </c>
      <c r="H328" s="3">
        <v>479.7</v>
      </c>
      <c r="I328" s="3">
        <f>H328-G328</f>
      </c>
      <c r="J328" s="3">
        <f>I328*16.67%</f>
      </c>
      <c r="K328" s="3">
        <f>H328/100*7</f>
      </c>
      <c r="L328" s="3">
        <f>K328*20%</f>
      </c>
      <c r="M328" s="3">
        <f>K328*2%</f>
      </c>
      <c r="N328" s="3">
        <f>M328*20%</f>
      </c>
      <c r="O328" s="3">
        <v>0</v>
      </c>
      <c r="P328" s="3">
        <f>O328*20%</f>
      </c>
      <c r="Q328" s="3">
        <v>1</v>
      </c>
      <c r="R328" s="3">
        <f>L328+N328+P328</f>
      </c>
      <c r="S328" s="3">
        <f>I328-J328-K328-L328-M328-N328-O328-P328-Q328</f>
      </c>
      <c r="T328" s="3">
        <f>(S328-AB328)/G328*100</f>
      </c>
      <c r="U328" s="3">
        <f>J328-R328</f>
      </c>
      <c r="V328" t="s">
        <v>1</v>
      </c>
      <c r="W328" t="s">
        <v>138</v>
      </c>
      <c r="AC328" s="3">
        <f>S328-AB328</f>
      </c>
      <c r="AD328" t="s">
        <v>59</v>
      </c>
      <c r="AE328" t="s">
        <v>69</v>
      </c>
    </row>
    <row r="329" spans="1:31" x14ac:dyDescent="0.25">
      <c r="A329" s="7">
        <v>46161.5</v>
      </c>
      <c r="B329" t="s">
        <v>658</v>
      </c>
      <c r="C329" t="s">
        <v>173</v>
      </c>
      <c r="D329" s="8" t="s">
        <v>1</v>
      </c>
      <c r="E329" t="s">
        <v>63</v>
      </c>
      <c r="F329">
        <v>1</v>
      </c>
      <c r="G329" s="3">
        <v>4.25</v>
      </c>
      <c r="H329" s="3">
        <v>5.1</v>
      </c>
      <c r="I329" s="3">
        <f>H329-G329</f>
      </c>
      <c r="J329" s="3">
        <f>I329*16.67%</f>
      </c>
      <c r="K329" s="3">
        <f>H329/100*7</f>
      </c>
      <c r="L329" s="3">
        <f>K329*20%</f>
      </c>
      <c r="M329" s="3">
        <f>K329*2%</f>
      </c>
      <c r="N329" s="3">
        <f>M329*20%</f>
      </c>
      <c r="O329" s="3">
        <v>0</v>
      </c>
      <c r="P329" s="3">
        <f>O329*20%</f>
      </c>
      <c r="Q329" s="3">
        <v>1</v>
      </c>
      <c r="R329" s="3">
        <f>L329+N329+P329</f>
      </c>
      <c r="S329" s="3">
        <f>I329-J329-K329-L329-M329-N329-O329-P329-Q329</f>
      </c>
      <c r="T329" s="3">
        <f>(S329-AB329)/G329*100</f>
      </c>
      <c r="U329" s="3">
        <f>J329-R329</f>
      </c>
      <c r="V329" t="s">
        <v>1</v>
      </c>
      <c r="W329" t="s">
        <v>173</v>
      </c>
      <c r="AC329" s="3">
        <f>S329-AB329</f>
      </c>
      <c r="AD329" t="s">
        <v>1</v>
      </c>
      <c r="AE329" t="s">
        <v>1</v>
      </c>
    </row>
    <row r="330" spans="1:31" x14ac:dyDescent="0.25">
      <c r="A330" s="7">
        <v>46160.5</v>
      </c>
      <c r="B330" t="s">
        <v>659</v>
      </c>
      <c r="C330" t="s">
        <v>1</v>
      </c>
      <c r="D330" s="8" t="s">
        <v>660</v>
      </c>
      <c r="E330" t="s">
        <v>77</v>
      </c>
      <c r="F330">
        <v>1</v>
      </c>
      <c r="G330" s="3">
        <v>309</v>
      </c>
      <c r="H330" s="3">
        <v>426.42</v>
      </c>
      <c r="I330" s="3">
        <f>H330-G330</f>
      </c>
      <c r="J330" s="3">
        <f>I330*16.67%</f>
      </c>
      <c r="K330" s="3">
        <f>H330/100*7</f>
      </c>
      <c r="L330" s="3">
        <f>K330*20%</f>
      </c>
      <c r="M330" s="3">
        <f>K330*2%</f>
      </c>
      <c r="N330" s="3">
        <f>M330*20%</f>
      </c>
      <c r="O330" s="3">
        <v>0</v>
      </c>
      <c r="P330" s="3">
        <f>O330*20%</f>
      </c>
      <c r="Q330" s="3">
        <v>1</v>
      </c>
      <c r="R330" s="3">
        <f>L330+N330+P330</f>
      </c>
      <c r="S330" s="3">
        <f>I330-J330-K330-L330-M330-N330-O330-P330-Q330</f>
      </c>
      <c r="T330" s="3">
        <f>(S330-AB330)/G330*100</f>
      </c>
      <c r="U330" s="3">
        <f>J330-R330</f>
      </c>
      <c r="V330" t="s">
        <v>1</v>
      </c>
      <c r="W330" t="s">
        <v>130</v>
      </c>
      <c r="AC330" s="3">
        <f>S330-AB330</f>
      </c>
      <c r="AD330" t="s">
        <v>59</v>
      </c>
      <c r="AE330" t="s">
        <v>69</v>
      </c>
    </row>
    <row r="331" spans="1:31" x14ac:dyDescent="0.25">
      <c r="A331" s="7">
        <v>46159.5</v>
      </c>
      <c r="B331" t="s">
        <v>661</v>
      </c>
      <c r="C331" t="s">
        <v>1</v>
      </c>
      <c r="D331" s="8" t="s">
        <v>662</v>
      </c>
      <c r="E331" t="s">
        <v>72</v>
      </c>
      <c r="F331">
        <v>1</v>
      </c>
      <c r="G331" s="3">
        <v>100</v>
      </c>
      <c r="H331" s="3">
        <v>125</v>
      </c>
      <c r="I331" s="3">
        <f>H331-G331</f>
      </c>
      <c r="J331" s="3">
        <f>I331*16.67%</f>
      </c>
      <c r="K331" s="3">
        <f>H331/100*7</f>
      </c>
      <c r="L331" s="3">
        <f>K331*20%</f>
      </c>
      <c r="M331" s="3">
        <f>K331*2%</f>
      </c>
      <c r="N331" s="3">
        <f>M331*20%</f>
      </c>
      <c r="O331" s="3">
        <v>0</v>
      </c>
      <c r="P331" s="3">
        <f>O331*20%</f>
      </c>
      <c r="Q331" s="3">
        <v>1</v>
      </c>
      <c r="R331" s="3">
        <f>L331+N331+P331</f>
      </c>
      <c r="S331" s="3">
        <f>I331-J331-K331-L331-M331-N331-O331-P331-Q331</f>
      </c>
      <c r="T331" s="3">
        <f>(S331-AB331)/G331*100</f>
      </c>
      <c r="U331" s="3">
        <f>J331-R331</f>
      </c>
      <c r="V331" t="s">
        <v>1</v>
      </c>
      <c r="W331" t="s">
        <v>133</v>
      </c>
      <c r="AC331" s="3">
        <f>S331-AB331</f>
      </c>
      <c r="AD331" t="s">
        <v>94</v>
      </c>
      <c r="AE331" t="s">
        <v>104</v>
      </c>
    </row>
    <row r="332" spans="1:31" x14ac:dyDescent="0.25">
      <c r="A332" s="7">
        <v>46159.5</v>
      </c>
      <c r="B332" t="s">
        <v>663</v>
      </c>
      <c r="C332" t="s">
        <v>1</v>
      </c>
      <c r="D332" s="8" t="s">
        <v>664</v>
      </c>
      <c r="E332" t="s">
        <v>101</v>
      </c>
      <c r="F332">
        <v>1</v>
      </c>
      <c r="G332" s="3">
        <v>450</v>
      </c>
      <c r="H332" s="3">
        <v>580.5</v>
      </c>
      <c r="I332" s="3">
        <f>H332-G332</f>
      </c>
      <c r="J332" s="3">
        <f>I332*16.67%</f>
      </c>
      <c r="K332" s="3">
        <f>H332/100*7</f>
      </c>
      <c r="L332" s="3">
        <f>K332*20%</f>
      </c>
      <c r="M332" s="3">
        <f>K332*2%</f>
      </c>
      <c r="N332" s="3">
        <f>M332*20%</f>
      </c>
      <c r="O332" s="3">
        <v>0</v>
      </c>
      <c r="P332" s="3">
        <f>O332*20%</f>
      </c>
      <c r="Q332" s="3">
        <v>1</v>
      </c>
      <c r="R332" s="3">
        <f>L332+N332+P332</f>
      </c>
      <c r="S332" s="3">
        <f>I332-J332-K332-L332-M332-N332-O332-P332-Q332</f>
      </c>
      <c r="T332" s="3">
        <f>(S332-AB332)/G332*100</f>
      </c>
      <c r="U332" s="3">
        <f>J332-R332</f>
      </c>
      <c r="V332" t="s">
        <v>1</v>
      </c>
      <c r="W332" t="s">
        <v>58</v>
      </c>
      <c r="AC332" s="3">
        <f>S332-AB332</f>
      </c>
      <c r="AD332" t="s">
        <v>59</v>
      </c>
      <c r="AE332" t="s">
        <v>104</v>
      </c>
    </row>
    <row r="333" spans="1:31" x14ac:dyDescent="0.25">
      <c r="A333" s="7">
        <v>46159.5</v>
      </c>
      <c r="B333" t="s">
        <v>665</v>
      </c>
      <c r="C333" t="s">
        <v>1</v>
      </c>
      <c r="D333" s="8" t="s">
        <v>666</v>
      </c>
      <c r="E333" t="s">
        <v>77</v>
      </c>
      <c r="F333">
        <v>1</v>
      </c>
      <c r="G333" s="3">
        <v>127</v>
      </c>
      <c r="H333" s="3">
        <v>167.64</v>
      </c>
      <c r="I333" s="3">
        <f>H333-G333</f>
      </c>
      <c r="J333" s="3">
        <f>I333*16.67%</f>
      </c>
      <c r="K333" s="3">
        <f>H333/100*7</f>
      </c>
      <c r="L333" s="3">
        <f>K333*20%</f>
      </c>
      <c r="M333" s="3">
        <f>K333*2%</f>
      </c>
      <c r="N333" s="3">
        <f>M333*20%</f>
      </c>
      <c r="O333" s="3">
        <v>0</v>
      </c>
      <c r="P333" s="3">
        <f>O333*20%</f>
      </c>
      <c r="Q333" s="3">
        <v>1</v>
      </c>
      <c r="R333" s="3">
        <f>L333+N333+P333</f>
      </c>
      <c r="S333" s="3">
        <f>I333-J333-K333-L333-M333-N333-O333-P333-Q333</f>
      </c>
      <c r="T333" s="3">
        <f>(S333-AB333)/G333*100</f>
      </c>
      <c r="U333" s="3">
        <f>J333-R333</f>
      </c>
      <c r="V333" t="s">
        <v>1</v>
      </c>
      <c r="W333" t="s">
        <v>90</v>
      </c>
      <c r="AC333" s="3">
        <f>S333-AB333</f>
      </c>
      <c r="AD333" t="s">
        <v>65</v>
      </c>
      <c r="AE333" t="s">
        <v>84</v>
      </c>
    </row>
    <row r="334" spans="1:31" x14ac:dyDescent="0.25">
      <c r="A334" s="9">
        <v>46158.5</v>
      </c>
      <c r="B334" s="10" t="s">
        <v>667</v>
      </c>
      <c r="C334" s="10" t="s">
        <v>1</v>
      </c>
      <c r="D334" s="11" t="s">
        <v>668</v>
      </c>
      <c r="E334" s="10" t="s">
        <v>63</v>
      </c>
      <c r="F334" s="10">
        <v>1</v>
      </c>
      <c r="G334" s="12">
        <v>182</v>
      </c>
      <c r="H334" s="12">
        <v>236.6</v>
      </c>
      <c r="I334" s="12">
        <f>H334-G334</f>
      </c>
      <c r="J334" s="12">
        <f>I334*16.67%</f>
      </c>
      <c r="K334" s="12">
        <f>H334/100*7</f>
      </c>
      <c r="L334" s="12">
        <f>K334*20%</f>
      </c>
      <c r="M334" s="12">
        <f>K334*2%</f>
      </c>
      <c r="N334" s="12">
        <f>M334*20%</f>
      </c>
      <c r="O334" s="12">
        <v>0</v>
      </c>
      <c r="P334" s="12">
        <f>O334*20%</f>
      </c>
      <c r="Q334" s="12">
        <v>1</v>
      </c>
      <c r="R334" s="12">
        <f>L334+N334+P334</f>
      </c>
      <c r="S334" s="12">
        <f>I334-J334-K334-L334-M334-N334-O334-P334-Q334</f>
      </c>
      <c r="T334" s="12">
        <f>(S334-AB334)/G334*100</f>
      </c>
      <c r="U334" s="12">
        <f>J334-R334</f>
      </c>
      <c r="V334" s="10" t="s">
        <v>1</v>
      </c>
      <c r="W334" s="10" t="s">
        <v>233</v>
      </c>
      <c r="X334" s="9">
        <v>46237.5</v>
      </c>
      <c r="Y334" s="10" t="s">
        <v>669</v>
      </c>
      <c r="Z334" s="10" t="s">
        <v>670</v>
      </c>
      <c r="AA334" s="10">
        <v>2</v>
      </c>
      <c r="AB334" s="10"/>
      <c r="AC334" s="12">
        <f>S334-AB334</f>
      </c>
      <c r="AD334" s="10" t="s">
        <v>65</v>
      </c>
      <c r="AE334" s="10" t="s">
        <v>74</v>
      </c>
    </row>
    <row r="335" spans="1:31" x14ac:dyDescent="0.25">
      <c r="A335" s="7">
        <v>46158.5</v>
      </c>
      <c r="B335" t="s">
        <v>671</v>
      </c>
      <c r="C335" t="s">
        <v>1</v>
      </c>
      <c r="D335" s="8" t="s">
        <v>672</v>
      </c>
      <c r="E335" t="s">
        <v>63</v>
      </c>
      <c r="F335">
        <v>1</v>
      </c>
      <c r="G335" s="3">
        <v>64</v>
      </c>
      <c r="H335" s="3">
        <v>85.12</v>
      </c>
      <c r="I335" s="3">
        <f>H335-G335</f>
      </c>
      <c r="J335" s="3">
        <f>I335*16.67%</f>
      </c>
      <c r="K335" s="3">
        <f>H335/100*7</f>
      </c>
      <c r="L335" s="3">
        <f>K335*20%</f>
      </c>
      <c r="M335" s="3">
        <f>K335*2%</f>
      </c>
      <c r="N335" s="3">
        <f>M335*20%</f>
      </c>
      <c r="O335" s="3">
        <v>0</v>
      </c>
      <c r="P335" s="3">
        <f>O335*20%</f>
      </c>
      <c r="Q335" s="3">
        <v>1</v>
      </c>
      <c r="R335" s="3">
        <f>L335+N335+P335</f>
      </c>
      <c r="S335" s="3">
        <f>I335-J335-K335-L335-M335-N335-O335-P335-Q335</f>
      </c>
      <c r="T335" s="3">
        <f>(S335-AB335)/G335*100</f>
      </c>
      <c r="U335" s="3">
        <f>J335-R335</f>
      </c>
      <c r="V335" t="s">
        <v>1</v>
      </c>
      <c r="W335" t="s">
        <v>93</v>
      </c>
      <c r="AC335" s="3">
        <f>S335-AB335</f>
      </c>
      <c r="AD335" t="s">
        <v>94</v>
      </c>
      <c r="AE335" t="s">
        <v>87</v>
      </c>
    </row>
    <row r="336" spans="1:31" x14ac:dyDescent="0.25">
      <c r="A336" s="7">
        <v>46158.5</v>
      </c>
      <c r="B336" t="s">
        <v>673</v>
      </c>
      <c r="C336" t="s">
        <v>1</v>
      </c>
      <c r="D336" s="8" t="s">
        <v>674</v>
      </c>
      <c r="E336" t="s">
        <v>72</v>
      </c>
      <c r="F336">
        <v>1</v>
      </c>
      <c r="G336" s="3">
        <v>286</v>
      </c>
      <c r="H336" s="3">
        <v>331.76</v>
      </c>
      <c r="I336" s="3">
        <f>H336-G336</f>
      </c>
      <c r="J336" s="3">
        <f>I336*16.67%</f>
      </c>
      <c r="K336" s="3">
        <f>H336/100*7</f>
      </c>
      <c r="L336" s="3">
        <f>K336*20%</f>
      </c>
      <c r="M336" s="3">
        <f>K336*2%</f>
      </c>
      <c r="N336" s="3">
        <f>M336*20%</f>
      </c>
      <c r="O336" s="3">
        <v>0</v>
      </c>
      <c r="P336" s="3">
        <f>O336*20%</f>
      </c>
      <c r="Q336" s="3">
        <v>1</v>
      </c>
      <c r="R336" s="3">
        <f>L336+N336+P336</f>
      </c>
      <c r="S336" s="3">
        <f>I336-J336-K336-L336-M336-N336-O336-P336-Q336</f>
      </c>
      <c r="T336" s="3">
        <f>(S336-AB336)/G336*100</f>
      </c>
      <c r="U336" s="3">
        <f>J336-R336</f>
      </c>
      <c r="V336" t="s">
        <v>1</v>
      </c>
      <c r="W336" t="s">
        <v>124</v>
      </c>
      <c r="AC336" s="3">
        <f>S336-AB336</f>
      </c>
      <c r="AD336" t="s">
        <v>125</v>
      </c>
      <c r="AE336" t="s">
        <v>104</v>
      </c>
    </row>
    <row r="337" spans="1:31" x14ac:dyDescent="0.25">
      <c r="A337" s="7">
        <v>46158.5</v>
      </c>
      <c r="B337" t="s">
        <v>675</v>
      </c>
      <c r="C337" t="s">
        <v>1</v>
      </c>
      <c r="D337" s="8" t="s">
        <v>676</v>
      </c>
      <c r="E337" t="s">
        <v>63</v>
      </c>
      <c r="F337">
        <v>1</v>
      </c>
      <c r="G337" s="3">
        <v>372</v>
      </c>
      <c r="H337" s="3">
        <v>487.32</v>
      </c>
      <c r="I337" s="3">
        <f>H337-G337</f>
      </c>
      <c r="J337" s="3">
        <f>I337*16.67%</f>
      </c>
      <c r="K337" s="3">
        <f>H337/100*7</f>
      </c>
      <c r="L337" s="3">
        <f>K337*20%</f>
      </c>
      <c r="M337" s="3">
        <f>K337*2%</f>
      </c>
      <c r="N337" s="3">
        <f>M337*20%</f>
      </c>
      <c r="O337" s="3">
        <v>0</v>
      </c>
      <c r="P337" s="3">
        <f>O337*20%</f>
      </c>
      <c r="Q337" s="3">
        <v>1</v>
      </c>
      <c r="R337" s="3">
        <f>L337+N337+P337</f>
      </c>
      <c r="S337" s="3">
        <f>I337-J337-K337-L337-M337-N337-O337-P337-Q337</f>
      </c>
      <c r="T337" s="3">
        <f>(S337-AB337)/G337*100</f>
      </c>
      <c r="U337" s="3">
        <f>J337-R337</f>
      </c>
      <c r="V337" t="s">
        <v>1</v>
      </c>
      <c r="W337" t="s">
        <v>73</v>
      </c>
      <c r="AC337" s="3">
        <f>S337-AB337</f>
      </c>
      <c r="AD337" t="s">
        <v>59</v>
      </c>
      <c r="AE337" t="s">
        <v>87</v>
      </c>
    </row>
    <row r="338" spans="1:31" x14ac:dyDescent="0.25">
      <c r="A338" s="7">
        <v>46158.5</v>
      </c>
      <c r="B338" t="s">
        <v>677</v>
      </c>
      <c r="C338" t="s">
        <v>1</v>
      </c>
      <c r="D338" s="8" t="s">
        <v>678</v>
      </c>
      <c r="E338" t="s">
        <v>101</v>
      </c>
      <c r="F338">
        <v>1</v>
      </c>
      <c r="G338" s="3">
        <v>162</v>
      </c>
      <c r="H338" s="3">
        <v>204.12</v>
      </c>
      <c r="I338" s="3">
        <f>H338-G338</f>
      </c>
      <c r="J338" s="3">
        <f>I338*16.67%</f>
      </c>
      <c r="K338" s="3">
        <f>H338/100*7</f>
      </c>
      <c r="L338" s="3">
        <f>K338*20%</f>
      </c>
      <c r="M338" s="3">
        <f>K338*2%</f>
      </c>
      <c r="N338" s="3">
        <f>M338*20%</f>
      </c>
      <c r="O338" s="3">
        <v>0</v>
      </c>
      <c r="P338" s="3">
        <f>O338*20%</f>
      </c>
      <c r="Q338" s="3">
        <v>1</v>
      </c>
      <c r="R338" s="3">
        <f>L338+N338+P338</f>
      </c>
      <c r="S338" s="3">
        <f>I338-J338-K338-L338-M338-N338-O338-P338-Q338</f>
      </c>
      <c r="T338" s="3">
        <f>(S338-AB338)/G338*100</f>
      </c>
      <c r="U338" s="3">
        <f>J338-R338</f>
      </c>
      <c r="V338" t="s">
        <v>1</v>
      </c>
      <c r="W338" t="s">
        <v>171</v>
      </c>
      <c r="AC338" s="3">
        <f>S338-AB338</f>
      </c>
      <c r="AD338" t="s">
        <v>65</v>
      </c>
      <c r="AE338" t="s">
        <v>98</v>
      </c>
    </row>
    <row r="339" spans="1:31" x14ac:dyDescent="0.25">
      <c r="A339" s="9">
        <v>46157.5</v>
      </c>
      <c r="B339" s="10" t="s">
        <v>679</v>
      </c>
      <c r="C339" s="10" t="s">
        <v>1</v>
      </c>
      <c r="D339" s="11" t="s">
        <v>680</v>
      </c>
      <c r="E339" s="10" t="s">
        <v>63</v>
      </c>
      <c r="F339" s="10">
        <v>1</v>
      </c>
      <c r="G339" s="12">
        <v>158</v>
      </c>
      <c r="H339" s="12">
        <v>191.18</v>
      </c>
      <c r="I339" s="12">
        <f>H339-G339</f>
      </c>
      <c r="J339" s="12">
        <f>I339*16.67%</f>
      </c>
      <c r="K339" s="12">
        <f>H339/100*7</f>
      </c>
      <c r="L339" s="12">
        <f>K339*20%</f>
      </c>
      <c r="M339" s="12">
        <f>K339*2%</f>
      </c>
      <c r="N339" s="12">
        <f>M339*20%</f>
      </c>
      <c r="O339" s="12">
        <v>0</v>
      </c>
      <c r="P339" s="12">
        <f>O339*20%</f>
      </c>
      <c r="Q339" s="12">
        <v>1</v>
      </c>
      <c r="R339" s="12">
        <f>L339+N339+P339</f>
      </c>
      <c r="S339" s="12">
        <f>I339-J339-K339-L339-M339-N339-O339-P339-Q339</f>
      </c>
      <c r="T339" s="12">
        <f>(S339-AB339)/G339*100</f>
      </c>
      <c r="U339" s="12">
        <f>J339-R339</f>
      </c>
      <c r="V339" s="10" t="s">
        <v>1</v>
      </c>
      <c r="W339" s="10" t="s">
        <v>171</v>
      </c>
      <c r="X339" s="9">
        <v>46237.5</v>
      </c>
      <c r="Y339" s="10" t="s">
        <v>669</v>
      </c>
      <c r="Z339" s="10" t="s">
        <v>670</v>
      </c>
      <c r="AA339" s="10">
        <v>2</v>
      </c>
      <c r="AB339" s="10"/>
      <c r="AC339" s="12">
        <f>S339-AB339</f>
      </c>
      <c r="AD339" s="10" t="s">
        <v>65</v>
      </c>
      <c r="AE339" s="10" t="s">
        <v>87</v>
      </c>
    </row>
    <row r="340" spans="1:31" x14ac:dyDescent="0.25">
      <c r="A340" s="7">
        <v>46157.5</v>
      </c>
      <c r="B340" t="s">
        <v>681</v>
      </c>
      <c r="C340" t="s">
        <v>1</v>
      </c>
      <c r="D340" s="8" t="s">
        <v>682</v>
      </c>
      <c r="E340" t="s">
        <v>72</v>
      </c>
      <c r="F340">
        <v>1</v>
      </c>
      <c r="G340" s="3">
        <v>149</v>
      </c>
      <c r="H340" s="3">
        <v>204.13</v>
      </c>
      <c r="I340" s="3">
        <f>H340-G340</f>
      </c>
      <c r="J340" s="3">
        <f>I340*16.67%</f>
      </c>
      <c r="K340" s="3">
        <f>H340/100*7</f>
      </c>
      <c r="L340" s="3">
        <f>K340*20%</f>
      </c>
      <c r="M340" s="3">
        <f>K340*2%</f>
      </c>
      <c r="N340" s="3">
        <f>M340*20%</f>
      </c>
      <c r="O340" s="3">
        <v>0</v>
      </c>
      <c r="P340" s="3">
        <f>O340*20%</f>
      </c>
      <c r="Q340" s="3">
        <v>1</v>
      </c>
      <c r="R340" s="3">
        <f>L340+N340+P340</f>
      </c>
      <c r="S340" s="3">
        <f>I340-J340-K340-L340-M340-N340-O340-P340-Q340</f>
      </c>
      <c r="T340" s="3">
        <f>(S340-AB340)/G340*100</f>
      </c>
      <c r="U340" s="3">
        <f>J340-R340</f>
      </c>
      <c r="V340" t="s">
        <v>1</v>
      </c>
      <c r="W340" t="s">
        <v>171</v>
      </c>
      <c r="AC340" s="3">
        <f>S340-AB340</f>
      </c>
      <c r="AD340" t="s">
        <v>65</v>
      </c>
      <c r="AE340" t="s">
        <v>60</v>
      </c>
    </row>
    <row r="341" spans="1:31" x14ac:dyDescent="0.25">
      <c r="A341" s="7">
        <v>46157.5</v>
      </c>
      <c r="B341" t="s">
        <v>683</v>
      </c>
      <c r="C341" t="s">
        <v>253</v>
      </c>
      <c r="D341" s="8" t="s">
        <v>1</v>
      </c>
      <c r="E341" t="s">
        <v>57</v>
      </c>
      <c r="F341">
        <v>3</v>
      </c>
      <c r="G341" s="3">
        <v>2.4</v>
      </c>
      <c r="H341" s="3">
        <v>3.19</v>
      </c>
      <c r="I341" s="3">
        <f>H341-G341</f>
      </c>
      <c r="J341" s="3">
        <f>I341*16.67%</f>
      </c>
      <c r="K341" s="3">
        <f>H341/100*7</f>
      </c>
      <c r="L341" s="3">
        <f>K341*20%</f>
      </c>
      <c r="M341" s="3">
        <f>K341*2%</f>
      </c>
      <c r="N341" s="3">
        <f>M341*20%</f>
      </c>
      <c r="O341" s="3">
        <v>0</v>
      </c>
      <c r="P341" s="3">
        <f>O341*20%</f>
      </c>
      <c r="Q341" s="3">
        <v>1</v>
      </c>
      <c r="R341" s="3">
        <f>L341+N341+P341</f>
      </c>
      <c r="S341" s="3">
        <f>I341-J341-K341-L341-M341-N341-O341-P341-Q341</f>
      </c>
      <c r="T341" s="3">
        <f>(S341-AB341)/G341*100</f>
      </c>
      <c r="U341" s="3">
        <f>J341-R341</f>
      </c>
      <c r="V341" t="s">
        <v>1</v>
      </c>
      <c r="W341" t="s">
        <v>253</v>
      </c>
      <c r="AC341" s="3">
        <f>S341-AB341</f>
      </c>
      <c r="AD341" t="s">
        <v>1</v>
      </c>
      <c r="AE341" t="s">
        <v>1</v>
      </c>
    </row>
    <row r="342" spans="1:31" x14ac:dyDescent="0.25">
      <c r="A342" s="7">
        <v>46157.5</v>
      </c>
      <c r="B342" t="s">
        <v>684</v>
      </c>
      <c r="C342" t="s">
        <v>181</v>
      </c>
      <c r="D342" s="8" t="s">
        <v>1</v>
      </c>
      <c r="E342" t="s">
        <v>72</v>
      </c>
      <c r="F342">
        <v>1</v>
      </c>
      <c r="G342" s="3">
        <v>1.9</v>
      </c>
      <c r="H342" s="3">
        <v>2.6</v>
      </c>
      <c r="I342" s="3">
        <f>H342-G342</f>
      </c>
      <c r="J342" s="3">
        <f>I342*16.67%</f>
      </c>
      <c r="K342" s="3">
        <f>H342/100*7</f>
      </c>
      <c r="L342" s="3">
        <f>K342*20%</f>
      </c>
      <c r="M342" s="3">
        <f>K342*2%</f>
      </c>
      <c r="N342" s="3">
        <f>M342*20%</f>
      </c>
      <c r="O342" s="3">
        <v>0</v>
      </c>
      <c r="P342" s="3">
        <f>O342*20%</f>
      </c>
      <c r="Q342" s="3">
        <v>1</v>
      </c>
      <c r="R342" s="3">
        <f>L342+N342+P342</f>
      </c>
      <c r="S342" s="3">
        <f>I342-J342-K342-L342-M342-N342-O342-P342-Q342</f>
      </c>
      <c r="T342" s="3">
        <f>(S342-AB342)/G342*100</f>
      </c>
      <c r="U342" s="3">
        <f>J342-R342</f>
      </c>
      <c r="V342" t="s">
        <v>1</v>
      </c>
      <c r="W342" t="s">
        <v>181</v>
      </c>
      <c r="AC342" s="3">
        <f>S342-AB342</f>
      </c>
      <c r="AD342" t="s">
        <v>1</v>
      </c>
      <c r="AE342" t="s">
        <v>1</v>
      </c>
    </row>
    <row r="343" spans="1:31" x14ac:dyDescent="0.25">
      <c r="A343" s="7">
        <v>46157.5</v>
      </c>
      <c r="B343" t="s">
        <v>685</v>
      </c>
      <c r="C343" t="s">
        <v>188</v>
      </c>
      <c r="D343" s="8" t="s">
        <v>1</v>
      </c>
      <c r="E343" t="s">
        <v>63</v>
      </c>
      <c r="F343">
        <v>4</v>
      </c>
      <c r="G343" s="3">
        <v>14</v>
      </c>
      <c r="H343" s="3">
        <v>18.76</v>
      </c>
      <c r="I343" s="3">
        <f>H343-G343</f>
      </c>
      <c r="J343" s="3">
        <f>I343*16.67%</f>
      </c>
      <c r="K343" s="3">
        <f>H343/100*7</f>
      </c>
      <c r="L343" s="3">
        <f>K343*20%</f>
      </c>
      <c r="M343" s="3">
        <f>K343*2%</f>
      </c>
      <c r="N343" s="3">
        <f>M343*20%</f>
      </c>
      <c r="O343" s="3">
        <v>0</v>
      </c>
      <c r="P343" s="3">
        <f>O343*20%</f>
      </c>
      <c r="Q343" s="3">
        <v>1</v>
      </c>
      <c r="R343" s="3">
        <f>L343+N343+P343</f>
      </c>
      <c r="S343" s="3">
        <f>I343-J343-K343-L343-M343-N343-O343-P343-Q343</f>
      </c>
      <c r="T343" s="3">
        <f>(S343-AB343)/G343*100</f>
      </c>
      <c r="U343" s="3">
        <f>J343-R343</f>
      </c>
      <c r="V343" t="s">
        <v>1</v>
      </c>
      <c r="W343" t="s">
        <v>188</v>
      </c>
      <c r="AC343" s="3">
        <f>S343-AB343</f>
      </c>
      <c r="AD343" t="s">
        <v>1</v>
      </c>
      <c r="AE343" t="s">
        <v>1</v>
      </c>
    </row>
    <row r="344" spans="1:31" x14ac:dyDescent="0.25">
      <c r="A344" s="7">
        <v>46156.5</v>
      </c>
      <c r="B344" t="s">
        <v>686</v>
      </c>
      <c r="C344" t="s">
        <v>1</v>
      </c>
      <c r="D344" s="8" t="s">
        <v>687</v>
      </c>
      <c r="E344" t="s">
        <v>72</v>
      </c>
      <c r="F344">
        <v>1</v>
      </c>
      <c r="G344" s="3">
        <v>71</v>
      </c>
      <c r="H344" s="3">
        <v>90.17</v>
      </c>
      <c r="I344" s="3">
        <f>H344-G344</f>
      </c>
      <c r="J344" s="3">
        <f>I344*16.67%</f>
      </c>
      <c r="K344" s="3">
        <f>H344/100*7</f>
      </c>
      <c r="L344" s="3">
        <f>K344*20%</f>
      </c>
      <c r="M344" s="3">
        <f>K344*2%</f>
      </c>
      <c r="N344" s="3">
        <f>M344*20%</f>
      </c>
      <c r="O344" s="3">
        <v>0</v>
      </c>
      <c r="P344" s="3">
        <f>O344*20%</f>
      </c>
      <c r="Q344" s="3">
        <v>1</v>
      </c>
      <c r="R344" s="3">
        <f>L344+N344+P344</f>
      </c>
      <c r="S344" s="3">
        <f>I344-J344-K344-L344-M344-N344-O344-P344-Q344</f>
      </c>
      <c r="T344" s="3">
        <f>(S344-AB344)/G344*100</f>
      </c>
      <c r="U344" s="3">
        <f>J344-R344</f>
      </c>
      <c r="V344" t="s">
        <v>1</v>
      </c>
      <c r="W344" t="s">
        <v>93</v>
      </c>
      <c r="AC344" s="3">
        <f>S344-AB344</f>
      </c>
      <c r="AD344" t="s">
        <v>94</v>
      </c>
      <c r="AE344" t="s">
        <v>74</v>
      </c>
    </row>
    <row r="345" spans="1:31" x14ac:dyDescent="0.25">
      <c r="A345" s="7">
        <v>46156.5</v>
      </c>
      <c r="B345" t="s">
        <v>688</v>
      </c>
      <c r="C345" t="s">
        <v>1</v>
      </c>
      <c r="D345" s="8" t="s">
        <v>689</v>
      </c>
      <c r="E345" t="s">
        <v>57</v>
      </c>
      <c r="F345">
        <v>1</v>
      </c>
      <c r="G345" s="3">
        <v>105</v>
      </c>
      <c r="H345" s="3">
        <v>150.15</v>
      </c>
      <c r="I345" s="3">
        <f>H345-G345</f>
      </c>
      <c r="J345" s="3">
        <f>I345*16.67%</f>
      </c>
      <c r="K345" s="3">
        <f>H345/100*7</f>
      </c>
      <c r="L345" s="3">
        <f>K345*20%</f>
      </c>
      <c r="M345" s="3">
        <f>K345*2%</f>
      </c>
      <c r="N345" s="3">
        <f>M345*20%</f>
      </c>
      <c r="O345" s="3">
        <v>0</v>
      </c>
      <c r="P345" s="3">
        <f>O345*20%</f>
      </c>
      <c r="Q345" s="3">
        <v>1</v>
      </c>
      <c r="R345" s="3">
        <f>L345+N345+P345</f>
      </c>
      <c r="S345" s="3">
        <f>I345-J345-K345-L345-M345-N345-O345-P345-Q345</f>
      </c>
      <c r="T345" s="3">
        <f>(S345-AB345)/G345*100</f>
      </c>
      <c r="U345" s="3">
        <f>J345-R345</f>
      </c>
      <c r="V345" t="s">
        <v>1</v>
      </c>
      <c r="W345" t="s">
        <v>90</v>
      </c>
      <c r="AC345" s="3">
        <f>S345-AB345</f>
      </c>
      <c r="AD345" t="s">
        <v>94</v>
      </c>
      <c r="AE345" t="s">
        <v>104</v>
      </c>
    </row>
    <row r="346" spans="1:31" x14ac:dyDescent="0.25">
      <c r="A346" s="7">
        <v>46156.5</v>
      </c>
      <c r="B346" t="s">
        <v>690</v>
      </c>
      <c r="C346" t="s">
        <v>1</v>
      </c>
      <c r="D346" s="8" t="s">
        <v>691</v>
      </c>
      <c r="E346" t="s">
        <v>101</v>
      </c>
      <c r="F346">
        <v>1</v>
      </c>
      <c r="G346" s="3">
        <v>497</v>
      </c>
      <c r="H346" s="3">
        <v>626.22</v>
      </c>
      <c r="I346" s="3">
        <f>H346-G346</f>
      </c>
      <c r="J346" s="3">
        <f>I346*16.67%</f>
      </c>
      <c r="K346" s="3">
        <f>H346/100*7</f>
      </c>
      <c r="L346" s="3">
        <f>K346*20%</f>
      </c>
      <c r="M346" s="3">
        <f>K346*2%</f>
      </c>
      <c r="N346" s="3">
        <f>M346*20%</f>
      </c>
      <c r="O346" s="3">
        <v>0</v>
      </c>
      <c r="P346" s="3">
        <f>O346*20%</f>
      </c>
      <c r="Q346" s="3">
        <v>1</v>
      </c>
      <c r="R346" s="3">
        <f>L346+N346+P346</f>
      </c>
      <c r="S346" s="3">
        <f>I346-J346-K346-L346-M346-N346-O346-P346-Q346</f>
      </c>
      <c r="T346" s="3">
        <f>(S346-AB346)/G346*100</f>
      </c>
      <c r="U346" s="3">
        <f>J346-R346</f>
      </c>
      <c r="V346" t="s">
        <v>1</v>
      </c>
      <c r="W346" t="s">
        <v>68</v>
      </c>
      <c r="AC346" s="3">
        <f>S346-AB346</f>
      </c>
      <c r="AD346" t="s">
        <v>59</v>
      </c>
      <c r="AE346" t="s">
        <v>74</v>
      </c>
    </row>
    <row r="347" spans="1:31" x14ac:dyDescent="0.25">
      <c r="A347" s="7">
        <v>46156.5</v>
      </c>
      <c r="B347" t="s">
        <v>692</v>
      </c>
      <c r="C347" t="s">
        <v>176</v>
      </c>
      <c r="D347" s="8" t="s">
        <v>1</v>
      </c>
      <c r="E347" t="s">
        <v>77</v>
      </c>
      <c r="F347">
        <v>1</v>
      </c>
      <c r="G347" s="3">
        <v>0.15</v>
      </c>
      <c r="H347" s="3">
        <v>0.21</v>
      </c>
      <c r="I347" s="3">
        <f>H347-G347</f>
      </c>
      <c r="J347" s="3">
        <f>I347*16.67%</f>
      </c>
      <c r="K347" s="3">
        <f>H347/100*7</f>
      </c>
      <c r="L347" s="3">
        <f>K347*20%</f>
      </c>
      <c r="M347" s="3">
        <f>K347*2%</f>
      </c>
      <c r="N347" s="3">
        <f>M347*20%</f>
      </c>
      <c r="O347" s="3">
        <v>0</v>
      </c>
      <c r="P347" s="3">
        <f>O347*20%</f>
      </c>
      <c r="Q347" s="3">
        <v>1</v>
      </c>
      <c r="R347" s="3">
        <f>L347+N347+P347</f>
      </c>
      <c r="S347" s="3">
        <f>I347-J347-K347-L347-M347-N347-O347-P347-Q347</f>
      </c>
      <c r="T347" s="3">
        <f>(S347-AB347)/G347*100</f>
      </c>
      <c r="U347" s="3">
        <f>J347-R347</f>
      </c>
      <c r="V347" t="s">
        <v>1</v>
      </c>
      <c r="W347" t="s">
        <v>176</v>
      </c>
      <c r="AC347" s="3">
        <f>S347-AB347</f>
      </c>
      <c r="AD347" t="s">
        <v>1</v>
      </c>
      <c r="AE347" t="s">
        <v>1</v>
      </c>
    </row>
    <row r="348" spans="1:31" x14ac:dyDescent="0.25">
      <c r="A348" s="7">
        <v>46155.5</v>
      </c>
      <c r="B348" t="s">
        <v>693</v>
      </c>
      <c r="C348" t="s">
        <v>1</v>
      </c>
      <c r="D348" s="8" t="s">
        <v>694</v>
      </c>
      <c r="E348" t="s">
        <v>72</v>
      </c>
      <c r="F348">
        <v>1</v>
      </c>
      <c r="G348" s="3">
        <v>454</v>
      </c>
      <c r="H348" s="3">
        <v>621.98</v>
      </c>
      <c r="I348" s="3">
        <f>H348-G348</f>
      </c>
      <c r="J348" s="3">
        <f>I348*16.67%</f>
      </c>
      <c r="K348" s="3">
        <f>H348/100*7</f>
      </c>
      <c r="L348" s="3">
        <f>K348*20%</f>
      </c>
      <c r="M348" s="3">
        <f>K348*2%</f>
      </c>
      <c r="N348" s="3">
        <f>M348*20%</f>
      </c>
      <c r="O348" s="3">
        <v>0</v>
      </c>
      <c r="P348" s="3">
        <f>O348*20%</f>
      </c>
      <c r="Q348" s="3">
        <v>1</v>
      </c>
      <c r="R348" s="3">
        <f>L348+N348+P348</f>
      </c>
      <c r="S348" s="3">
        <f>I348-J348-K348-L348-M348-N348-O348-P348-Q348</f>
      </c>
      <c r="T348" s="3">
        <f>(S348-AB348)/G348*100</f>
      </c>
      <c r="U348" s="3">
        <f>J348-R348</f>
      </c>
      <c r="V348" t="s">
        <v>1</v>
      </c>
      <c r="W348" t="s">
        <v>58</v>
      </c>
      <c r="AC348" s="3">
        <f>S348-AB348</f>
      </c>
      <c r="AD348" t="s">
        <v>59</v>
      </c>
      <c r="AE348" t="s">
        <v>60</v>
      </c>
    </row>
    <row r="349" spans="1:31" x14ac:dyDescent="0.25">
      <c r="A349" s="7">
        <v>46155.5</v>
      </c>
      <c r="B349" t="s">
        <v>695</v>
      </c>
      <c r="C349" t="s">
        <v>1</v>
      </c>
      <c r="D349" s="8" t="s">
        <v>696</v>
      </c>
      <c r="E349" t="s">
        <v>63</v>
      </c>
      <c r="F349">
        <v>1</v>
      </c>
      <c r="G349" s="3">
        <v>245</v>
      </c>
      <c r="H349" s="3">
        <v>286.65</v>
      </c>
      <c r="I349" s="3">
        <f>H349-G349</f>
      </c>
      <c r="J349" s="3">
        <f>I349*16.67%</f>
      </c>
      <c r="K349" s="3">
        <f>H349/100*7</f>
      </c>
      <c r="L349" s="3">
        <f>K349*20%</f>
      </c>
      <c r="M349" s="3">
        <f>K349*2%</f>
      </c>
      <c r="N349" s="3">
        <f>M349*20%</f>
      </c>
      <c r="O349" s="3">
        <v>0</v>
      </c>
      <c r="P349" s="3">
        <f>O349*20%</f>
      </c>
      <c r="Q349" s="3">
        <v>1</v>
      </c>
      <c r="R349" s="3">
        <f>L349+N349+P349</f>
      </c>
      <c r="S349" s="3">
        <f>I349-J349-K349-L349-M349-N349-O349-P349-Q349</f>
      </c>
      <c r="T349" s="3">
        <f>(S349-AB349)/G349*100</f>
      </c>
      <c r="U349" s="3">
        <f>J349-R349</f>
      </c>
      <c r="V349" t="s">
        <v>1</v>
      </c>
      <c r="W349" t="s">
        <v>113</v>
      </c>
      <c r="AC349" s="3">
        <f>S349-AB349</f>
      </c>
      <c r="AD349" t="s">
        <v>59</v>
      </c>
      <c r="AE349" t="s">
        <v>74</v>
      </c>
    </row>
    <row r="350" spans="1:31" x14ac:dyDescent="0.25">
      <c r="A350" s="7">
        <v>46155.5</v>
      </c>
      <c r="B350" t="s">
        <v>697</v>
      </c>
      <c r="C350" t="s">
        <v>1</v>
      </c>
      <c r="D350" s="8" t="s">
        <v>698</v>
      </c>
      <c r="E350" t="s">
        <v>63</v>
      </c>
      <c r="F350">
        <v>1</v>
      </c>
      <c r="G350" s="3">
        <v>209</v>
      </c>
      <c r="H350" s="3">
        <v>280.06</v>
      </c>
      <c r="I350" s="3">
        <f>H350-G350</f>
      </c>
      <c r="J350" s="3">
        <f>I350*16.67%</f>
      </c>
      <c r="K350" s="3">
        <f>H350/100*7</f>
      </c>
      <c r="L350" s="3">
        <f>K350*20%</f>
      </c>
      <c r="M350" s="3">
        <f>K350*2%</f>
      </c>
      <c r="N350" s="3">
        <f>M350*20%</f>
      </c>
      <c r="O350" s="3">
        <v>0</v>
      </c>
      <c r="P350" s="3">
        <f>O350*20%</f>
      </c>
      <c r="Q350" s="3">
        <v>1</v>
      </c>
      <c r="R350" s="3">
        <f>L350+N350+P350</f>
      </c>
      <c r="S350" s="3">
        <f>I350-J350-K350-L350-M350-N350-O350-P350-Q350</f>
      </c>
      <c r="T350" s="3">
        <f>(S350-AB350)/G350*100</f>
      </c>
      <c r="U350" s="3">
        <f>J350-R350</f>
      </c>
      <c r="V350" t="s">
        <v>1</v>
      </c>
      <c r="W350" t="s">
        <v>291</v>
      </c>
      <c r="AC350" s="3">
        <f>S350-AB350</f>
      </c>
      <c r="AD350" t="s">
        <v>125</v>
      </c>
      <c r="AE350" t="s">
        <v>104</v>
      </c>
    </row>
    <row r="351" spans="1:31" x14ac:dyDescent="0.25">
      <c r="A351" s="7">
        <v>46154.5</v>
      </c>
      <c r="B351" t="s">
        <v>699</v>
      </c>
      <c r="C351" t="s">
        <v>1</v>
      </c>
      <c r="D351" s="8" t="s">
        <v>700</v>
      </c>
      <c r="E351" t="s">
        <v>63</v>
      </c>
      <c r="F351">
        <v>1</v>
      </c>
      <c r="G351" s="3">
        <v>517</v>
      </c>
      <c r="H351" s="3">
        <v>687.61</v>
      </c>
      <c r="I351" s="3">
        <f>H351-G351</f>
      </c>
      <c r="J351" s="3">
        <f>I351*16.67%</f>
      </c>
      <c r="K351" s="3">
        <f>H351/100*7</f>
      </c>
      <c r="L351" s="3">
        <f>K351*20%</f>
      </c>
      <c r="M351" s="3">
        <f>K351*2%</f>
      </c>
      <c r="N351" s="3">
        <f>M351*20%</f>
      </c>
      <c r="O351" s="3">
        <v>0</v>
      </c>
      <c r="P351" s="3">
        <f>O351*20%</f>
      </c>
      <c r="Q351" s="3">
        <v>1</v>
      </c>
      <c r="R351" s="3">
        <f>L351+N351+P351</f>
      </c>
      <c r="S351" s="3">
        <f>I351-J351-K351-L351-M351-N351-O351-P351-Q351</f>
      </c>
      <c r="T351" s="3">
        <f>(S351-AB351)/G351*100</f>
      </c>
      <c r="U351" s="3">
        <f>J351-R351</f>
      </c>
      <c r="V351" t="s">
        <v>1</v>
      </c>
      <c r="W351" t="s">
        <v>68</v>
      </c>
      <c r="AC351" s="3">
        <f>S351-AB351</f>
      </c>
      <c r="AD351" t="s">
        <v>59</v>
      </c>
      <c r="AE351" t="s">
        <v>69</v>
      </c>
    </row>
    <row r="352" spans="1:31" x14ac:dyDescent="0.25">
      <c r="A352" s="7">
        <v>46154.5</v>
      </c>
      <c r="B352" t="s">
        <v>701</v>
      </c>
      <c r="C352" t="s">
        <v>1</v>
      </c>
      <c r="D352" s="8" t="s">
        <v>702</v>
      </c>
      <c r="E352" t="s">
        <v>77</v>
      </c>
      <c r="F352">
        <v>1</v>
      </c>
      <c r="G352" s="3">
        <v>282</v>
      </c>
      <c r="H352" s="3">
        <v>406.08</v>
      </c>
      <c r="I352" s="3">
        <f>H352-G352</f>
      </c>
      <c r="J352" s="3">
        <f>I352*16.67%</f>
      </c>
      <c r="K352" s="3">
        <f>H352/100*7</f>
      </c>
      <c r="L352" s="3">
        <f>K352*20%</f>
      </c>
      <c r="M352" s="3">
        <f>K352*2%</f>
      </c>
      <c r="N352" s="3">
        <f>M352*20%</f>
      </c>
      <c r="O352" s="3">
        <v>0</v>
      </c>
      <c r="P352" s="3">
        <f>O352*20%</f>
      </c>
      <c r="Q352" s="3">
        <v>1</v>
      </c>
      <c r="R352" s="3">
        <f>L352+N352+P352</f>
      </c>
      <c r="S352" s="3">
        <f>I352-J352-K352-L352-M352-N352-O352-P352-Q352</f>
      </c>
      <c r="T352" s="3">
        <f>(S352-AB352)/G352*100</f>
      </c>
      <c r="U352" s="3">
        <f>J352-R352</f>
      </c>
      <c r="V352" t="s">
        <v>1</v>
      </c>
      <c r="W352" t="s">
        <v>130</v>
      </c>
      <c r="AC352" s="3">
        <f>S352-AB352</f>
      </c>
      <c r="AD352" t="s">
        <v>65</v>
      </c>
      <c r="AE352" t="s">
        <v>69</v>
      </c>
    </row>
    <row r="353" spans="1:31" x14ac:dyDescent="0.25">
      <c r="A353" s="7">
        <v>46154.5</v>
      </c>
      <c r="B353" t="s">
        <v>703</v>
      </c>
      <c r="C353" t="s">
        <v>1</v>
      </c>
      <c r="D353" s="8" t="s">
        <v>1</v>
      </c>
      <c r="E353" t="s">
        <v>101</v>
      </c>
      <c r="F353">
        <v>1</v>
      </c>
      <c r="G353" s="3">
        <v>279</v>
      </c>
      <c r="H353" s="3">
        <v>390.6</v>
      </c>
      <c r="I353" s="3">
        <f>H353-G353</f>
      </c>
      <c r="J353" s="3">
        <f>I353*16.67%</f>
      </c>
      <c r="K353" s="3">
        <f>H353/100*7</f>
      </c>
      <c r="L353" s="3">
        <f>K353*20%</f>
      </c>
      <c r="M353" s="3">
        <f>K353*2%</f>
      </c>
      <c r="N353" s="3">
        <f>M353*20%</f>
      </c>
      <c r="O353" s="3">
        <v>0</v>
      </c>
      <c r="P353" s="3">
        <f>O353*20%</f>
      </c>
      <c r="Q353" s="3">
        <v>1</v>
      </c>
      <c r="R353" s="3">
        <f>L353+N353+P353</f>
      </c>
      <c r="S353" s="3">
        <f>I353-J353-K353-L353-M353-N353-O353-P353-Q353</f>
      </c>
      <c r="T353" s="3">
        <f>(S353-AB353)/G353*100</f>
      </c>
      <c r="U353" s="3">
        <f>J353-R353</f>
      </c>
      <c r="V353" t="s">
        <v>1</v>
      </c>
      <c r="W353" t="s">
        <v>1</v>
      </c>
      <c r="AC353" s="3">
        <f>S353-AB353</f>
      </c>
      <c r="AD353" t="s">
        <v>1</v>
      </c>
      <c r="AE353" t="s">
        <v>1</v>
      </c>
    </row>
    <row r="354" spans="1:31" x14ac:dyDescent="0.25">
      <c r="A354" s="7">
        <v>46154.5</v>
      </c>
      <c r="B354" t="s">
        <v>704</v>
      </c>
      <c r="C354" t="s">
        <v>173</v>
      </c>
      <c r="D354" s="8" t="s">
        <v>1</v>
      </c>
      <c r="E354" t="s">
        <v>63</v>
      </c>
      <c r="F354">
        <v>4</v>
      </c>
      <c r="G354" s="3">
        <v>17</v>
      </c>
      <c r="H354" s="3">
        <v>22.1</v>
      </c>
      <c r="I354" s="3">
        <f>H354-G354</f>
      </c>
      <c r="J354" s="3">
        <f>I354*16.67%</f>
      </c>
      <c r="K354" s="3">
        <f>H354/100*7</f>
      </c>
      <c r="L354" s="3">
        <f>K354*20%</f>
      </c>
      <c r="M354" s="3">
        <f>K354*2%</f>
      </c>
      <c r="N354" s="3">
        <f>M354*20%</f>
      </c>
      <c r="O354" s="3">
        <v>0</v>
      </c>
      <c r="P354" s="3">
        <f>O354*20%</f>
      </c>
      <c r="Q354" s="3">
        <v>1</v>
      </c>
      <c r="R354" s="3">
        <f>L354+N354+P354</f>
      </c>
      <c r="S354" s="3">
        <f>I354-J354-K354-L354-M354-N354-O354-P354-Q354</f>
      </c>
      <c r="T354" s="3">
        <f>(S354-AB354)/G354*100</f>
      </c>
      <c r="U354" s="3">
        <f>J354-R354</f>
      </c>
      <c r="V354" t="s">
        <v>1</v>
      </c>
      <c r="W354" t="s">
        <v>173</v>
      </c>
      <c r="AC354" s="3">
        <f>S354-AB354</f>
      </c>
      <c r="AD354" t="s">
        <v>1</v>
      </c>
      <c r="AE354" t="s">
        <v>1</v>
      </c>
    </row>
    <row r="355" spans="1:31" x14ac:dyDescent="0.25">
      <c r="A355" s="7">
        <v>46154.5</v>
      </c>
      <c r="B355" t="s">
        <v>705</v>
      </c>
      <c r="C355" t="s">
        <v>181</v>
      </c>
      <c r="D355" s="8" t="s">
        <v>1</v>
      </c>
      <c r="E355" t="s">
        <v>72</v>
      </c>
      <c r="F355">
        <v>4</v>
      </c>
      <c r="G355" s="3">
        <v>7.6</v>
      </c>
      <c r="H355" s="3">
        <v>8.89</v>
      </c>
      <c r="I355" s="3">
        <f>H355-G355</f>
      </c>
      <c r="J355" s="3">
        <f>I355*16.67%</f>
      </c>
      <c r="K355" s="3">
        <f>H355/100*7</f>
      </c>
      <c r="L355" s="3">
        <f>K355*20%</f>
      </c>
      <c r="M355" s="3">
        <f>K355*2%</f>
      </c>
      <c r="N355" s="3">
        <f>M355*20%</f>
      </c>
      <c r="O355" s="3">
        <v>0</v>
      </c>
      <c r="P355" s="3">
        <f>O355*20%</f>
      </c>
      <c r="Q355" s="3">
        <v>1</v>
      </c>
      <c r="R355" s="3">
        <f>L355+N355+P355</f>
      </c>
      <c r="S355" s="3">
        <f>I355-J355-K355-L355-M355-N355-O355-P355-Q355</f>
      </c>
      <c r="T355" s="3">
        <f>(S355-AB355)/G355*100</f>
      </c>
      <c r="U355" s="3">
        <f>J355-R355</f>
      </c>
      <c r="V355" t="s">
        <v>1</v>
      </c>
      <c r="W355" t="s">
        <v>181</v>
      </c>
      <c r="AC355" s="3">
        <f>S355-AB355</f>
      </c>
      <c r="AD355" t="s">
        <v>1</v>
      </c>
      <c r="AE355" t="s">
        <v>1</v>
      </c>
    </row>
    <row r="356" spans="1:31" x14ac:dyDescent="0.25">
      <c r="A356" s="9">
        <v>46153.5</v>
      </c>
      <c r="B356" s="10" t="s">
        <v>706</v>
      </c>
      <c r="C356" s="10" t="s">
        <v>1</v>
      </c>
      <c r="D356" s="11" t="s">
        <v>707</v>
      </c>
      <c r="E356" s="10" t="s">
        <v>101</v>
      </c>
      <c r="F356" s="10">
        <v>1</v>
      </c>
      <c r="G356" s="12">
        <v>757</v>
      </c>
      <c r="H356" s="12">
        <v>968.96</v>
      </c>
      <c r="I356" s="12">
        <f>H356-G356</f>
      </c>
      <c r="J356" s="12">
        <f>I356*16.67%</f>
      </c>
      <c r="K356" s="12">
        <f>H356/100*7</f>
      </c>
      <c r="L356" s="12">
        <f>K356*20%</f>
      </c>
      <c r="M356" s="12">
        <f>K356*2%</f>
      </c>
      <c r="N356" s="12">
        <f>M356*20%</f>
      </c>
      <c r="O356" s="12">
        <v>0</v>
      </c>
      <c r="P356" s="12">
        <f>O356*20%</f>
      </c>
      <c r="Q356" s="12">
        <v>1</v>
      </c>
      <c r="R356" s="12">
        <f>L356+N356+P356</f>
      </c>
      <c r="S356" s="12">
        <f>I356-J356-K356-L356-M356-N356-O356-P356-Q356</f>
      </c>
      <c r="T356" s="12">
        <f>(S356-AB356)/G356*100</f>
      </c>
      <c r="U356" s="12">
        <f>J356-R356</f>
      </c>
      <c r="V356" s="10" t="s">
        <v>1</v>
      </c>
      <c r="W356" s="10" t="s">
        <v>83</v>
      </c>
      <c r="X356" s="9">
        <v>46237.5</v>
      </c>
      <c r="Y356" s="10" t="s">
        <v>669</v>
      </c>
      <c r="Z356" s="10" t="s">
        <v>670</v>
      </c>
      <c r="AA356" s="10">
        <v>2</v>
      </c>
      <c r="AB356" s="10"/>
      <c r="AC356" s="12">
        <f>S356-AB356</f>
      </c>
      <c r="AD356" s="10" t="s">
        <v>59</v>
      </c>
      <c r="AE356" s="10" t="s">
        <v>60</v>
      </c>
    </row>
    <row r="357" spans="1:31" x14ac:dyDescent="0.25">
      <c r="A357" s="7">
        <v>46153.5</v>
      </c>
      <c r="B357" t="s">
        <v>708</v>
      </c>
      <c r="C357" t="s">
        <v>1</v>
      </c>
      <c r="D357" s="8" t="s">
        <v>709</v>
      </c>
      <c r="E357" t="s">
        <v>57</v>
      </c>
      <c r="F357">
        <v>1</v>
      </c>
      <c r="G357" s="3">
        <v>156</v>
      </c>
      <c r="H357" s="3">
        <v>191.88</v>
      </c>
      <c r="I357" s="3">
        <f>H357-G357</f>
      </c>
      <c r="J357" s="3">
        <f>I357*16.67%</f>
      </c>
      <c r="K357" s="3">
        <f>H357/100*7</f>
      </c>
      <c r="L357" s="3">
        <f>K357*20%</f>
      </c>
      <c r="M357" s="3">
        <f>K357*2%</f>
      </c>
      <c r="N357" s="3">
        <f>M357*20%</f>
      </c>
      <c r="O357" s="3">
        <v>0</v>
      </c>
      <c r="P357" s="3">
        <f>O357*20%</f>
      </c>
      <c r="Q357" s="3">
        <v>1</v>
      </c>
      <c r="R357" s="3">
        <f>L357+N357+P357</f>
      </c>
      <c r="S357" s="3">
        <f>I357-J357-K357-L357-M357-N357-O357-P357-Q357</f>
      </c>
      <c r="T357" s="3">
        <f>(S357-AB357)/G357*100</f>
      </c>
      <c r="U357" s="3">
        <f>J357-R357</f>
      </c>
      <c r="V357" t="s">
        <v>1</v>
      </c>
      <c r="W357" t="s">
        <v>171</v>
      </c>
      <c r="AC357" s="3">
        <f>S357-AB357</f>
      </c>
      <c r="AD357" t="s">
        <v>65</v>
      </c>
      <c r="AE357" t="s">
        <v>69</v>
      </c>
    </row>
    <row r="358" spans="1:31" x14ac:dyDescent="0.25">
      <c r="A358" s="7">
        <v>46153.5</v>
      </c>
      <c r="B358" t="s">
        <v>710</v>
      </c>
      <c r="C358" t="s">
        <v>1</v>
      </c>
      <c r="D358" s="8" t="s">
        <v>711</v>
      </c>
      <c r="E358" t="s">
        <v>72</v>
      </c>
      <c r="F358">
        <v>1</v>
      </c>
      <c r="G358" s="3">
        <v>177</v>
      </c>
      <c r="H358" s="3">
        <v>240.72</v>
      </c>
      <c r="I358" s="3">
        <f>H358-G358</f>
      </c>
      <c r="J358" s="3">
        <f>I358*16.67%</f>
      </c>
      <c r="K358" s="3">
        <f>H358/100*7</f>
      </c>
      <c r="L358" s="3">
        <f>K358*20%</f>
      </c>
      <c r="M358" s="3">
        <f>K358*2%</f>
      </c>
      <c r="N358" s="3">
        <f>M358*20%</f>
      </c>
      <c r="O358" s="3">
        <v>0</v>
      </c>
      <c r="P358" s="3">
        <f>O358*20%</f>
      </c>
      <c r="Q358" s="3">
        <v>1</v>
      </c>
      <c r="R358" s="3">
        <f>L358+N358+P358</f>
      </c>
      <c r="S358" s="3">
        <f>I358-J358-K358-L358-M358-N358-O358-P358-Q358</f>
      </c>
      <c r="T358" s="3">
        <f>(S358-AB358)/G358*100</f>
      </c>
      <c r="U358" s="3">
        <f>J358-R358</f>
      </c>
      <c r="V358" t="s">
        <v>1</v>
      </c>
      <c r="W358" t="s">
        <v>233</v>
      </c>
      <c r="AC358" s="3">
        <f>S358-AB358</f>
      </c>
      <c r="AD358" t="s">
        <v>65</v>
      </c>
      <c r="AE358" t="s">
        <v>84</v>
      </c>
    </row>
    <row r="359" spans="1:31" x14ac:dyDescent="0.25">
      <c r="A359" s="7">
        <v>46153.5</v>
      </c>
      <c r="B359" t="s">
        <v>712</v>
      </c>
      <c r="C359" t="s">
        <v>1</v>
      </c>
      <c r="D359" s="8" t="s">
        <v>713</v>
      </c>
      <c r="E359" t="s">
        <v>57</v>
      </c>
      <c r="F359">
        <v>1</v>
      </c>
      <c r="G359" s="3">
        <v>307</v>
      </c>
      <c r="H359" s="3">
        <v>377.61</v>
      </c>
      <c r="I359" s="3">
        <f>H359-G359</f>
      </c>
      <c r="J359" s="3">
        <f>I359*16.67%</f>
      </c>
      <c r="K359" s="3">
        <f>H359/100*7</f>
      </c>
      <c r="L359" s="3">
        <f>K359*20%</f>
      </c>
      <c r="M359" s="3">
        <f>K359*2%</f>
      </c>
      <c r="N359" s="3">
        <f>M359*20%</f>
      </c>
      <c r="O359" s="3">
        <v>0</v>
      </c>
      <c r="P359" s="3">
        <f>O359*20%</f>
      </c>
      <c r="Q359" s="3">
        <v>1</v>
      </c>
      <c r="R359" s="3">
        <f>L359+N359+P359</f>
      </c>
      <c r="S359" s="3">
        <f>I359-J359-K359-L359-M359-N359-O359-P359-Q359</f>
      </c>
      <c r="T359" s="3">
        <f>(S359-AB359)/G359*100</f>
      </c>
      <c r="U359" s="3">
        <f>J359-R359</f>
      </c>
      <c r="V359" t="s">
        <v>1</v>
      </c>
      <c r="W359" t="s">
        <v>138</v>
      </c>
      <c r="AC359" s="3">
        <f>S359-AB359</f>
      </c>
      <c r="AD359" t="s">
        <v>59</v>
      </c>
      <c r="AE359" t="s">
        <v>69</v>
      </c>
    </row>
    <row r="360" spans="1:31" x14ac:dyDescent="0.25">
      <c r="A360" s="7">
        <v>46153.5</v>
      </c>
      <c r="B360" t="s">
        <v>714</v>
      </c>
      <c r="C360" t="s">
        <v>253</v>
      </c>
      <c r="D360" s="8" t="s">
        <v>1</v>
      </c>
      <c r="E360" t="s">
        <v>57</v>
      </c>
      <c r="F360">
        <v>3</v>
      </c>
      <c r="G360" s="3">
        <v>2.4</v>
      </c>
      <c r="H360" s="3">
        <v>3.48</v>
      </c>
      <c r="I360" s="3">
        <f>H360-G360</f>
      </c>
      <c r="J360" s="3">
        <f>I360*16.67%</f>
      </c>
      <c r="K360" s="3">
        <f>H360/100*7</f>
      </c>
      <c r="L360" s="3">
        <f>K360*20%</f>
      </c>
      <c r="M360" s="3">
        <f>K360*2%</f>
      </c>
      <c r="N360" s="3">
        <f>M360*20%</f>
      </c>
      <c r="O360" s="3">
        <v>0</v>
      </c>
      <c r="P360" s="3">
        <f>O360*20%</f>
      </c>
      <c r="Q360" s="3">
        <v>1</v>
      </c>
      <c r="R360" s="3">
        <f>L360+N360+P360</f>
      </c>
      <c r="S360" s="3">
        <f>I360-J360-K360-L360-M360-N360-O360-P360-Q360</f>
      </c>
      <c r="T360" s="3">
        <f>(S360-AB360)/G360*100</f>
      </c>
      <c r="U360" s="3">
        <f>J360-R360</f>
      </c>
      <c r="V360" t="s">
        <v>1</v>
      </c>
      <c r="W360" t="s">
        <v>253</v>
      </c>
      <c r="AC360" s="3">
        <f>S360-AB360</f>
      </c>
      <c r="AD360" t="s">
        <v>1</v>
      </c>
      <c r="AE360" t="s">
        <v>1</v>
      </c>
    </row>
    <row r="361" spans="1:31" x14ac:dyDescent="0.25">
      <c r="A361" s="7">
        <v>46152.5</v>
      </c>
      <c r="B361" t="s">
        <v>715</v>
      </c>
      <c r="C361" t="s">
        <v>1</v>
      </c>
      <c r="D361" s="8" t="s">
        <v>716</v>
      </c>
      <c r="E361" t="s">
        <v>63</v>
      </c>
      <c r="F361">
        <v>1</v>
      </c>
      <c r="G361" s="3">
        <v>228</v>
      </c>
      <c r="H361" s="3">
        <v>323.76</v>
      </c>
      <c r="I361" s="3">
        <f>H361-G361</f>
      </c>
      <c r="J361" s="3">
        <f>I361*16.67%</f>
      </c>
      <c r="K361" s="3">
        <f>H361/100*7</f>
      </c>
      <c r="L361" s="3">
        <f>K361*20%</f>
      </c>
      <c r="M361" s="3">
        <f>K361*2%</f>
      </c>
      <c r="N361" s="3">
        <f>M361*20%</f>
      </c>
      <c r="O361" s="3">
        <v>0</v>
      </c>
      <c r="P361" s="3">
        <f>O361*20%</f>
      </c>
      <c r="Q361" s="3">
        <v>1</v>
      </c>
      <c r="R361" s="3">
        <f>L361+N361+P361</f>
      </c>
      <c r="S361" s="3">
        <f>I361-J361-K361-L361-M361-N361-O361-P361-Q361</f>
      </c>
      <c r="T361" s="3">
        <f>(S361-AB361)/G361*100</f>
      </c>
      <c r="U361" s="3">
        <f>J361-R361</f>
      </c>
      <c r="V361" t="s">
        <v>1</v>
      </c>
      <c r="W361" t="s">
        <v>113</v>
      </c>
      <c r="AC361" s="3">
        <f>S361-AB361</f>
      </c>
      <c r="AD361" t="s">
        <v>94</v>
      </c>
      <c r="AE361" t="s">
        <v>87</v>
      </c>
    </row>
    <row r="362" spans="1:31" x14ac:dyDescent="0.25">
      <c r="A362" s="7">
        <v>46152.5</v>
      </c>
      <c r="B362" t="s">
        <v>717</v>
      </c>
      <c r="C362" t="s">
        <v>1</v>
      </c>
      <c r="D362" s="8" t="s">
        <v>718</v>
      </c>
      <c r="E362" t="s">
        <v>63</v>
      </c>
      <c r="F362">
        <v>1</v>
      </c>
      <c r="G362" s="3">
        <v>459</v>
      </c>
      <c r="H362" s="3">
        <v>587.52</v>
      </c>
      <c r="I362" s="3">
        <f>H362-G362</f>
      </c>
      <c r="J362" s="3">
        <f>I362*16.67%</f>
      </c>
      <c r="K362" s="3">
        <f>H362/100*7</f>
      </c>
      <c r="L362" s="3">
        <f>K362*20%</f>
      </c>
      <c r="M362" s="3">
        <f>K362*2%</f>
      </c>
      <c r="N362" s="3">
        <f>M362*20%</f>
      </c>
      <c r="O362" s="3">
        <v>0</v>
      </c>
      <c r="P362" s="3">
        <f>O362*20%</f>
      </c>
      <c r="Q362" s="3">
        <v>1</v>
      </c>
      <c r="R362" s="3">
        <f>L362+N362+P362</f>
      </c>
      <c r="S362" s="3">
        <f>I362-J362-K362-L362-M362-N362-O362-P362-Q362</f>
      </c>
      <c r="T362" s="3">
        <f>(S362-AB362)/G362*100</f>
      </c>
      <c r="U362" s="3">
        <f>J362-R362</f>
      </c>
      <c r="V362" t="s">
        <v>1</v>
      </c>
      <c r="W362" t="s">
        <v>58</v>
      </c>
      <c r="AC362" s="3">
        <f>S362-AB362</f>
      </c>
      <c r="AD362" t="s">
        <v>59</v>
      </c>
      <c r="AE362" t="s">
        <v>69</v>
      </c>
    </row>
    <row r="363" spans="1:31" x14ac:dyDescent="0.25">
      <c r="A363" s="7">
        <v>46152.5</v>
      </c>
      <c r="B363" t="s">
        <v>719</v>
      </c>
      <c r="C363" t="s">
        <v>173</v>
      </c>
      <c r="D363" s="8" t="s">
        <v>1</v>
      </c>
      <c r="E363" t="s">
        <v>63</v>
      </c>
      <c r="F363">
        <v>4</v>
      </c>
      <c r="G363" s="3">
        <v>17</v>
      </c>
      <c r="H363" s="3">
        <v>22.78</v>
      </c>
      <c r="I363" s="3">
        <f>H363-G363</f>
      </c>
      <c r="J363" s="3">
        <f>I363*16.67%</f>
      </c>
      <c r="K363" s="3">
        <f>H363/100*7</f>
      </c>
      <c r="L363" s="3">
        <f>K363*20%</f>
      </c>
      <c r="M363" s="3">
        <f>K363*2%</f>
      </c>
      <c r="N363" s="3">
        <f>M363*20%</f>
      </c>
      <c r="O363" s="3">
        <v>0</v>
      </c>
      <c r="P363" s="3">
        <f>O363*20%</f>
      </c>
      <c r="Q363" s="3">
        <v>1</v>
      </c>
      <c r="R363" s="3">
        <f>L363+N363+P363</f>
      </c>
      <c r="S363" s="3">
        <f>I363-J363-K363-L363-M363-N363-O363-P363-Q363</f>
      </c>
      <c r="T363" s="3">
        <f>(S363-AB363)/G363*100</f>
      </c>
      <c r="U363" s="3">
        <f>J363-R363</f>
      </c>
      <c r="V363" t="s">
        <v>1</v>
      </c>
      <c r="W363" t="s">
        <v>173</v>
      </c>
      <c r="AC363" s="3">
        <f>S363-AB363</f>
      </c>
      <c r="AD363" t="s">
        <v>1</v>
      </c>
      <c r="AE363" t="s">
        <v>1</v>
      </c>
    </row>
    <row r="364" spans="1:31" x14ac:dyDescent="0.25">
      <c r="A364" s="7">
        <v>46152.5</v>
      </c>
      <c r="B364" t="s">
        <v>720</v>
      </c>
      <c r="C364" t="s">
        <v>184</v>
      </c>
      <c r="D364" s="8" t="s">
        <v>1</v>
      </c>
      <c r="E364" t="s">
        <v>101</v>
      </c>
      <c r="F364">
        <v>3</v>
      </c>
      <c r="G364" s="3">
        <v>3.6</v>
      </c>
      <c r="H364" s="3">
        <v>4.43</v>
      </c>
      <c r="I364" s="3">
        <f>H364-G364</f>
      </c>
      <c r="J364" s="3">
        <f>I364*16.67%</f>
      </c>
      <c r="K364" s="3">
        <f>H364/100*7</f>
      </c>
      <c r="L364" s="3">
        <f>K364*20%</f>
      </c>
      <c r="M364" s="3">
        <f>K364*2%</f>
      </c>
      <c r="N364" s="3">
        <f>M364*20%</f>
      </c>
      <c r="O364" s="3">
        <v>0</v>
      </c>
      <c r="P364" s="3">
        <f>O364*20%</f>
      </c>
      <c r="Q364" s="3">
        <v>1</v>
      </c>
      <c r="R364" s="3">
        <f>L364+N364+P364</f>
      </c>
      <c r="S364" s="3">
        <f>I364-J364-K364-L364-M364-N364-O364-P364-Q364</f>
      </c>
      <c r="T364" s="3">
        <f>(S364-AB364)/G364*100</f>
      </c>
      <c r="U364" s="3">
        <f>J364-R364</f>
      </c>
      <c r="V364" t="s">
        <v>1</v>
      </c>
      <c r="W364" t="s">
        <v>184</v>
      </c>
      <c r="AC364" s="3">
        <f>S364-AB364</f>
      </c>
      <c r="AD364" t="s">
        <v>1</v>
      </c>
      <c r="AE364" t="s">
        <v>1</v>
      </c>
    </row>
    <row r="365" spans="1:31" x14ac:dyDescent="0.25">
      <c r="A365" s="7">
        <v>46150.5</v>
      </c>
      <c r="B365" t="s">
        <v>721</v>
      </c>
      <c r="C365" t="s">
        <v>188</v>
      </c>
      <c r="D365" s="8" t="s">
        <v>1</v>
      </c>
      <c r="E365" t="s">
        <v>63</v>
      </c>
      <c r="F365">
        <v>1</v>
      </c>
      <c r="G365" s="3">
        <v>3.5</v>
      </c>
      <c r="H365" s="3">
        <v>4.83</v>
      </c>
      <c r="I365" s="3">
        <f>H365-G365</f>
      </c>
      <c r="J365" s="3">
        <f>I365*16.67%</f>
      </c>
      <c r="K365" s="3">
        <f>H365/100*7</f>
      </c>
      <c r="L365" s="3">
        <f>K365*20%</f>
      </c>
      <c r="M365" s="3">
        <f>K365*2%</f>
      </c>
      <c r="N365" s="3">
        <f>M365*20%</f>
      </c>
      <c r="O365" s="3">
        <v>0</v>
      </c>
      <c r="P365" s="3">
        <f>O365*20%</f>
      </c>
      <c r="Q365" s="3">
        <v>1</v>
      </c>
      <c r="R365" s="3">
        <f>L365+N365+P365</f>
      </c>
      <c r="S365" s="3">
        <f>I365-J365-K365-L365-M365-N365-O365-P365-Q365</f>
      </c>
      <c r="T365" s="3">
        <f>(S365-AB365)/G365*100</f>
      </c>
      <c r="U365" s="3">
        <f>J365-R365</f>
      </c>
      <c r="V365" t="s">
        <v>1</v>
      </c>
      <c r="W365" t="s">
        <v>188</v>
      </c>
      <c r="AC365" s="3">
        <f>S365-AB365</f>
      </c>
      <c r="AD365" t="s">
        <v>1</v>
      </c>
      <c r="AE365" t="s">
        <v>1</v>
      </c>
    </row>
    <row r="366" spans="1:31" x14ac:dyDescent="0.25">
      <c r="A366" s="7">
        <v>46149.5</v>
      </c>
      <c r="B366" t="s">
        <v>722</v>
      </c>
      <c r="C366" t="s">
        <v>1</v>
      </c>
      <c r="D366" s="8" t="s">
        <v>723</v>
      </c>
      <c r="E366" t="s">
        <v>72</v>
      </c>
      <c r="F366">
        <v>1</v>
      </c>
      <c r="G366" s="3">
        <v>102</v>
      </c>
      <c r="H366" s="3">
        <v>134.64</v>
      </c>
      <c r="I366" s="3">
        <f>H366-G366</f>
      </c>
      <c r="J366" s="3">
        <f>I366*16.67%</f>
      </c>
      <c r="K366" s="3">
        <f>H366/100*7</f>
      </c>
      <c r="L366" s="3">
        <f>K366*20%</f>
      </c>
      <c r="M366" s="3">
        <f>K366*2%</f>
      </c>
      <c r="N366" s="3">
        <f>M366*20%</f>
      </c>
      <c r="O366" s="3">
        <v>0</v>
      </c>
      <c r="P366" s="3">
        <f>O366*20%</f>
      </c>
      <c r="Q366" s="3">
        <v>1</v>
      </c>
      <c r="R366" s="3">
        <f>L366+N366+P366</f>
      </c>
      <c r="S366" s="3">
        <f>I366-J366-K366-L366-M366-N366-O366-P366-Q366</f>
      </c>
      <c r="T366" s="3">
        <f>(S366-AB366)/G366*100</f>
      </c>
      <c r="U366" s="3">
        <f>J366-R366</f>
      </c>
      <c r="V366" t="s">
        <v>1</v>
      </c>
      <c r="W366" t="s">
        <v>133</v>
      </c>
      <c r="AC366" s="3">
        <f>S366-AB366</f>
      </c>
      <c r="AD366" t="s">
        <v>94</v>
      </c>
      <c r="AE366" t="s">
        <v>60</v>
      </c>
    </row>
    <row r="367" spans="1:31" x14ac:dyDescent="0.25">
      <c r="A367" s="9">
        <v>46148.5</v>
      </c>
      <c r="B367" s="10" t="s">
        <v>724</v>
      </c>
      <c r="C367" s="10" t="s">
        <v>1</v>
      </c>
      <c r="D367" s="11" t="s">
        <v>725</v>
      </c>
      <c r="E367" s="10" t="s">
        <v>101</v>
      </c>
      <c r="F367" s="10">
        <v>1</v>
      </c>
      <c r="G367" s="12">
        <v>715</v>
      </c>
      <c r="H367" s="12">
        <v>836.55</v>
      </c>
      <c r="I367" s="12">
        <f>H367-G367</f>
      </c>
      <c r="J367" s="12">
        <f>I367*16.67%</f>
      </c>
      <c r="K367" s="12">
        <f>H367/100*7</f>
      </c>
      <c r="L367" s="12">
        <f>K367*20%</f>
      </c>
      <c r="M367" s="12">
        <f>K367*2%</f>
      </c>
      <c r="N367" s="12">
        <f>M367*20%</f>
      </c>
      <c r="O367" s="12">
        <v>0</v>
      </c>
      <c r="P367" s="12">
        <f>O367*20%</f>
      </c>
      <c r="Q367" s="12">
        <v>1</v>
      </c>
      <c r="R367" s="12">
        <f>L367+N367+P367</f>
      </c>
      <c r="S367" s="12">
        <f>I367-J367-K367-L367-M367-N367-O367-P367-Q367</f>
      </c>
      <c r="T367" s="12">
        <f>(S367-AB367)/G367*100</f>
      </c>
      <c r="U367" s="12">
        <f>J367-R367</f>
      </c>
      <c r="V367" s="10" t="s">
        <v>1</v>
      </c>
      <c r="W367" s="10" t="s">
        <v>83</v>
      </c>
      <c r="X367" s="9">
        <v>46237.5</v>
      </c>
      <c r="Y367" s="10" t="s">
        <v>669</v>
      </c>
      <c r="Z367" s="10" t="s">
        <v>670</v>
      </c>
      <c r="AA367" s="10">
        <v>2</v>
      </c>
      <c r="AB367" s="10"/>
      <c r="AC367" s="12">
        <f>S367-AB367</f>
      </c>
      <c r="AD367" s="10" t="s">
        <v>59</v>
      </c>
      <c r="AE367" s="10" t="s">
        <v>60</v>
      </c>
    </row>
    <row r="368" spans="1:31" x14ac:dyDescent="0.25">
      <c r="A368" s="7">
        <v>46148.5</v>
      </c>
      <c r="B368" t="s">
        <v>726</v>
      </c>
      <c r="C368" t="s">
        <v>188</v>
      </c>
      <c r="D368" s="8" t="s">
        <v>1</v>
      </c>
      <c r="E368" t="s">
        <v>63</v>
      </c>
      <c r="F368">
        <v>4</v>
      </c>
      <c r="G368" s="3">
        <v>14</v>
      </c>
      <c r="H368" s="3">
        <v>20.02</v>
      </c>
      <c r="I368" s="3">
        <f>H368-G368</f>
      </c>
      <c r="J368" s="3">
        <f>I368*16.67%</f>
      </c>
      <c r="K368" s="3">
        <f>H368/100*7</f>
      </c>
      <c r="L368" s="3">
        <f>K368*20%</f>
      </c>
      <c r="M368" s="3">
        <f>K368*2%</f>
      </c>
      <c r="N368" s="3">
        <f>M368*20%</f>
      </c>
      <c r="O368" s="3">
        <v>0</v>
      </c>
      <c r="P368" s="3">
        <f>O368*20%</f>
      </c>
      <c r="Q368" s="3">
        <v>1</v>
      </c>
      <c r="R368" s="3">
        <f>L368+N368+P368</f>
      </c>
      <c r="S368" s="3">
        <f>I368-J368-K368-L368-M368-N368-O368-P368-Q368</f>
      </c>
      <c r="T368" s="3">
        <f>(S368-AB368)/G368*100</f>
      </c>
      <c r="U368" s="3">
        <f>J368-R368</f>
      </c>
      <c r="V368" t="s">
        <v>1</v>
      </c>
      <c r="W368" t="s">
        <v>188</v>
      </c>
      <c r="AC368" s="3">
        <f>S368-AB368</f>
      </c>
      <c r="AD368" t="s">
        <v>1</v>
      </c>
      <c r="AE368" t="s">
        <v>1</v>
      </c>
    </row>
    <row r="369" spans="1:31" x14ac:dyDescent="0.25">
      <c r="A369" s="9">
        <v>46147.5</v>
      </c>
      <c r="B369" s="10" t="s">
        <v>727</v>
      </c>
      <c r="C369" s="10" t="s">
        <v>1</v>
      </c>
      <c r="D369" s="11" t="s">
        <v>728</v>
      </c>
      <c r="E369" s="10" t="s">
        <v>63</v>
      </c>
      <c r="F369" s="10">
        <v>1</v>
      </c>
      <c r="G369" s="12">
        <v>257</v>
      </c>
      <c r="H369" s="12">
        <v>295.55</v>
      </c>
      <c r="I369" s="12">
        <f>H369-G369</f>
      </c>
      <c r="J369" s="12">
        <f>I369*16.67%</f>
      </c>
      <c r="K369" s="12">
        <f>H369/100*7</f>
      </c>
      <c r="L369" s="12">
        <f>K369*20%</f>
      </c>
      <c r="M369" s="12">
        <f>K369*2%</f>
      </c>
      <c r="N369" s="12">
        <f>M369*20%</f>
      </c>
      <c r="O369" s="12">
        <v>0</v>
      </c>
      <c r="P369" s="12">
        <f>O369*20%</f>
      </c>
      <c r="Q369" s="12">
        <v>1</v>
      </c>
      <c r="R369" s="12">
        <f>L369+N369+P369</f>
      </c>
      <c r="S369" s="12">
        <f>I369-J369-K369-L369-M369-N369-O369-P369-Q369</f>
      </c>
      <c r="T369" s="12">
        <f>(S369-AB369)/G369*100</f>
      </c>
      <c r="U369" s="12">
        <f>J369-R369</f>
      </c>
      <c r="V369" s="10" t="s">
        <v>1</v>
      </c>
      <c r="W369" s="10" t="s">
        <v>64</v>
      </c>
      <c r="X369" s="9">
        <v>46237.5</v>
      </c>
      <c r="Y369" s="10" t="s">
        <v>669</v>
      </c>
      <c r="Z369" s="10" t="s">
        <v>670</v>
      </c>
      <c r="AA369" s="10">
        <v>2</v>
      </c>
      <c r="AB369" s="10"/>
      <c r="AC369" s="12">
        <f>S369-AB369</f>
      </c>
      <c r="AD369" s="10" t="s">
        <v>65</v>
      </c>
      <c r="AE369" s="10" t="s">
        <v>104</v>
      </c>
    </row>
    <row r="370" spans="1:31" x14ac:dyDescent="0.25">
      <c r="A370" s="7">
        <v>46146.5</v>
      </c>
      <c r="B370" t="s">
        <v>729</v>
      </c>
      <c r="C370" t="s">
        <v>1</v>
      </c>
      <c r="D370" s="8" t="s">
        <v>730</v>
      </c>
      <c r="E370" t="s">
        <v>57</v>
      </c>
      <c r="F370">
        <v>1</v>
      </c>
      <c r="G370" s="3">
        <v>140</v>
      </c>
      <c r="H370" s="3">
        <v>186.2</v>
      </c>
      <c r="I370" s="3">
        <f>H370-G370</f>
      </c>
      <c r="J370" s="3">
        <f>I370*16.67%</f>
      </c>
      <c r="K370" s="3">
        <f>H370/100*7</f>
      </c>
      <c r="L370" s="3">
        <f>K370*20%</f>
      </c>
      <c r="M370" s="3">
        <f>K370*2%</f>
      </c>
      <c r="N370" s="3">
        <f>M370*20%</f>
      </c>
      <c r="O370" s="3">
        <v>0</v>
      </c>
      <c r="P370" s="3">
        <f>O370*20%</f>
      </c>
      <c r="Q370" s="3">
        <v>1</v>
      </c>
      <c r="R370" s="3">
        <f>L370+N370+P370</f>
      </c>
      <c r="S370" s="3">
        <f>I370-J370-K370-L370-M370-N370-O370-P370-Q370</f>
      </c>
      <c r="T370" s="3">
        <f>(S370-AB370)/G370*100</f>
      </c>
      <c r="U370" s="3">
        <f>J370-R370</f>
      </c>
      <c r="V370" t="s">
        <v>1</v>
      </c>
      <c r="W370" t="s">
        <v>133</v>
      </c>
      <c r="AC370" s="3">
        <f>S370-AB370</f>
      </c>
      <c r="AD370" t="s">
        <v>94</v>
      </c>
      <c r="AE370" t="s">
        <v>84</v>
      </c>
    </row>
    <row r="371" spans="1:31" x14ac:dyDescent="0.25">
      <c r="A371" s="7">
        <v>46146.5</v>
      </c>
      <c r="B371" t="s">
        <v>731</v>
      </c>
      <c r="C371" t="s">
        <v>1</v>
      </c>
      <c r="D371" s="8" t="s">
        <v>732</v>
      </c>
      <c r="E371" t="s">
        <v>57</v>
      </c>
      <c r="F371">
        <v>1</v>
      </c>
      <c r="G371" s="3">
        <v>104</v>
      </c>
      <c r="H371" s="3">
        <v>149.76</v>
      </c>
      <c r="I371" s="3">
        <f>H371-G371</f>
      </c>
      <c r="J371" s="3">
        <f>I371*16.67%</f>
      </c>
      <c r="K371" s="3">
        <f>H371/100*7</f>
      </c>
      <c r="L371" s="3">
        <f>K371*20%</f>
      </c>
      <c r="M371" s="3">
        <f>K371*2%</f>
      </c>
      <c r="N371" s="3">
        <f>M371*20%</f>
      </c>
      <c r="O371" s="3">
        <v>0</v>
      </c>
      <c r="P371" s="3">
        <f>O371*20%</f>
      </c>
      <c r="Q371" s="3">
        <v>1</v>
      </c>
      <c r="R371" s="3">
        <f>L371+N371+P371</f>
      </c>
      <c r="S371" s="3">
        <f>I371-J371-K371-L371-M371-N371-O371-P371-Q371</f>
      </c>
      <c r="T371" s="3">
        <f>(S371-AB371)/G371*100</f>
      </c>
      <c r="U371" s="3">
        <f>J371-R371</f>
      </c>
      <c r="V371" t="s">
        <v>1</v>
      </c>
      <c r="W371" t="s">
        <v>133</v>
      </c>
      <c r="AC371" s="3">
        <f>S371-AB371</f>
      </c>
      <c r="AD371" t="s">
        <v>94</v>
      </c>
      <c r="AE371" t="s">
        <v>104</v>
      </c>
    </row>
    <row r="372" spans="1:31" x14ac:dyDescent="0.25">
      <c r="A372" s="7">
        <v>46146.5</v>
      </c>
      <c r="B372" t="s">
        <v>733</v>
      </c>
      <c r="C372" t="s">
        <v>181</v>
      </c>
      <c r="D372" s="8" t="s">
        <v>1</v>
      </c>
      <c r="E372" t="s">
        <v>72</v>
      </c>
      <c r="F372">
        <v>2</v>
      </c>
      <c r="G372" s="3">
        <v>3.8</v>
      </c>
      <c r="H372" s="3">
        <v>5.09</v>
      </c>
      <c r="I372" s="3">
        <f>H372-G372</f>
      </c>
      <c r="J372" s="3">
        <f>I372*16.67%</f>
      </c>
      <c r="K372" s="3">
        <f>H372/100*7</f>
      </c>
      <c r="L372" s="3">
        <f>K372*20%</f>
      </c>
      <c r="M372" s="3">
        <f>K372*2%</f>
      </c>
      <c r="N372" s="3">
        <f>M372*20%</f>
      </c>
      <c r="O372" s="3">
        <v>0</v>
      </c>
      <c r="P372" s="3">
        <f>O372*20%</f>
      </c>
      <c r="Q372" s="3">
        <v>1</v>
      </c>
      <c r="R372" s="3">
        <f>L372+N372+P372</f>
      </c>
      <c r="S372" s="3">
        <f>I372-J372-K372-L372-M372-N372-O372-P372-Q372</f>
      </c>
      <c r="T372" s="3">
        <f>(S372-AB372)/G372*100</f>
      </c>
      <c r="U372" s="3">
        <f>J372-R372</f>
      </c>
      <c r="V372" t="s">
        <v>1</v>
      </c>
      <c r="W372" t="s">
        <v>181</v>
      </c>
      <c r="AC372" s="3">
        <f>S372-AB372</f>
      </c>
      <c r="AD372" t="s">
        <v>1</v>
      </c>
      <c r="AE372" t="s">
        <v>1</v>
      </c>
    </row>
    <row r="373" spans="1:31" x14ac:dyDescent="0.25">
      <c r="A373" s="7">
        <v>46145.5</v>
      </c>
      <c r="B373" t="s">
        <v>734</v>
      </c>
      <c r="C373" t="s">
        <v>188</v>
      </c>
      <c r="D373" s="8" t="s">
        <v>1</v>
      </c>
      <c r="E373" t="s">
        <v>63</v>
      </c>
      <c r="F373">
        <v>2</v>
      </c>
      <c r="G373" s="3">
        <v>7</v>
      </c>
      <c r="H373" s="3">
        <v>9.59</v>
      </c>
      <c r="I373" s="3">
        <f>H373-G373</f>
      </c>
      <c r="J373" s="3">
        <f>I373*16.67%</f>
      </c>
      <c r="K373" s="3">
        <f>H373/100*7</f>
      </c>
      <c r="L373" s="3">
        <f>K373*20%</f>
      </c>
      <c r="M373" s="3">
        <f>K373*2%</f>
      </c>
      <c r="N373" s="3">
        <f>M373*20%</f>
      </c>
      <c r="O373" s="3">
        <v>0</v>
      </c>
      <c r="P373" s="3">
        <f>O373*20%</f>
      </c>
      <c r="Q373" s="3">
        <v>1</v>
      </c>
      <c r="R373" s="3">
        <f>L373+N373+P373</f>
      </c>
      <c r="S373" s="3">
        <f>I373-J373-K373-L373-M373-N373-O373-P373-Q373</f>
      </c>
      <c r="T373" s="3">
        <f>(S373-AB373)/G373*100</f>
      </c>
      <c r="U373" s="3">
        <f>J373-R373</f>
      </c>
      <c r="V373" t="s">
        <v>1</v>
      </c>
      <c r="W373" t="s">
        <v>188</v>
      </c>
      <c r="AC373" s="3">
        <f>S373-AB373</f>
      </c>
      <c r="AD373" t="s">
        <v>1</v>
      </c>
      <c r="AE373" t="s">
        <v>1</v>
      </c>
    </row>
    <row r="374" spans="1:31" x14ac:dyDescent="0.25">
      <c r="A374" s="7">
        <v>46145.5</v>
      </c>
      <c r="B374" t="s">
        <v>735</v>
      </c>
      <c r="C374" t="s">
        <v>181</v>
      </c>
      <c r="D374" s="8" t="s">
        <v>1</v>
      </c>
      <c r="E374" t="s">
        <v>72</v>
      </c>
      <c r="F374">
        <v>4</v>
      </c>
      <c r="G374" s="3">
        <v>7.6</v>
      </c>
      <c r="H374" s="3">
        <v>8.82</v>
      </c>
      <c r="I374" s="3">
        <f>H374-G374</f>
      </c>
      <c r="J374" s="3">
        <f>I374*16.67%</f>
      </c>
      <c r="K374" s="3">
        <f>H374/100*7</f>
      </c>
      <c r="L374" s="3">
        <f>K374*20%</f>
      </c>
      <c r="M374" s="3">
        <f>K374*2%</f>
      </c>
      <c r="N374" s="3">
        <f>M374*20%</f>
      </c>
      <c r="O374" s="3">
        <v>0</v>
      </c>
      <c r="P374" s="3">
        <f>O374*20%</f>
      </c>
      <c r="Q374" s="3">
        <v>1</v>
      </c>
      <c r="R374" s="3">
        <f>L374+N374+P374</f>
      </c>
      <c r="S374" s="3">
        <f>I374-J374-K374-L374-M374-N374-O374-P374-Q374</f>
      </c>
      <c r="T374" s="3">
        <f>(S374-AB374)/G374*100</f>
      </c>
      <c r="U374" s="3">
        <f>J374-R374</f>
      </c>
      <c r="V374" t="s">
        <v>1</v>
      </c>
      <c r="W374" t="s">
        <v>181</v>
      </c>
      <c r="AC374" s="3">
        <f>S374-AB374</f>
      </c>
      <c r="AD374" t="s">
        <v>1</v>
      </c>
      <c r="AE374" t="s">
        <v>1</v>
      </c>
    </row>
    <row r="375" spans="1:31" x14ac:dyDescent="0.25">
      <c r="A375" s="7">
        <v>46144.5</v>
      </c>
      <c r="B375" t="s">
        <v>736</v>
      </c>
      <c r="C375" t="s">
        <v>1</v>
      </c>
      <c r="D375" s="8" t="s">
        <v>737</v>
      </c>
      <c r="E375" t="s">
        <v>63</v>
      </c>
      <c r="F375">
        <v>1</v>
      </c>
      <c r="G375" s="3">
        <v>444</v>
      </c>
      <c r="H375" s="3">
        <v>599.4</v>
      </c>
      <c r="I375" s="3">
        <f>H375-G375</f>
      </c>
      <c r="J375" s="3">
        <f>I375*16.67%</f>
      </c>
      <c r="K375" s="3">
        <f>H375/100*7</f>
      </c>
      <c r="L375" s="3">
        <f>K375*20%</f>
      </c>
      <c r="M375" s="3">
        <f>K375*2%</f>
      </c>
      <c r="N375" s="3">
        <f>M375*20%</f>
      </c>
      <c r="O375" s="3">
        <v>0</v>
      </c>
      <c r="P375" s="3">
        <f>O375*20%</f>
      </c>
      <c r="Q375" s="3">
        <v>1</v>
      </c>
      <c r="R375" s="3">
        <f>L375+N375+P375</f>
      </c>
      <c r="S375" s="3">
        <f>I375-J375-K375-L375-M375-N375-O375-P375-Q375</f>
      </c>
      <c r="T375" s="3">
        <f>(S375-AB375)/G375*100</f>
      </c>
      <c r="U375" s="3">
        <f>J375-R375</f>
      </c>
      <c r="V375" t="s">
        <v>1</v>
      </c>
      <c r="W375" t="s">
        <v>58</v>
      </c>
      <c r="AC375" s="3">
        <f>S375-AB375</f>
      </c>
      <c r="AD375" t="s">
        <v>59</v>
      </c>
      <c r="AE375" t="s">
        <v>104</v>
      </c>
    </row>
    <row r="376" spans="1:31" x14ac:dyDescent="0.25">
      <c r="A376" s="7">
        <v>46143.5</v>
      </c>
      <c r="B376" t="s">
        <v>738</v>
      </c>
      <c r="C376" t="s">
        <v>173</v>
      </c>
      <c r="D376" s="8" t="s">
        <v>1</v>
      </c>
      <c r="E376" t="s">
        <v>63</v>
      </c>
      <c r="F376">
        <v>4</v>
      </c>
      <c r="G376" s="3">
        <v>17</v>
      </c>
      <c r="H376" s="3">
        <v>24.65</v>
      </c>
      <c r="I376" s="3">
        <f>H376-G376</f>
      </c>
      <c r="J376" s="3">
        <f>I376*16.67%</f>
      </c>
      <c r="K376" s="3">
        <f>H376/100*7</f>
      </c>
      <c r="L376" s="3">
        <f>K376*20%</f>
      </c>
      <c r="M376" s="3">
        <f>K376*2%</f>
      </c>
      <c r="N376" s="3">
        <f>M376*20%</f>
      </c>
      <c r="O376" s="3">
        <v>0</v>
      </c>
      <c r="P376" s="3">
        <f>O376*20%</f>
      </c>
      <c r="Q376" s="3">
        <v>1</v>
      </c>
      <c r="R376" s="3">
        <f>L376+N376+P376</f>
      </c>
      <c r="S376" s="3">
        <f>I376-J376-K376-L376-M376-N376-O376-P376-Q376</f>
      </c>
      <c r="T376" s="3">
        <f>(S376-AB376)/G376*100</f>
      </c>
      <c r="U376" s="3">
        <f>J376-R376</f>
      </c>
      <c r="V376" t="s">
        <v>1</v>
      </c>
      <c r="W376" t="s">
        <v>173</v>
      </c>
      <c r="AC376" s="3">
        <f>S376-AB376</f>
      </c>
      <c r="AD376" t="s">
        <v>1</v>
      </c>
      <c r="AE376" t="s">
        <v>1</v>
      </c>
    </row>
    <row r="377" spans="1:31" x14ac:dyDescent="0.25">
      <c r="A377" s="7">
        <v>46143.5</v>
      </c>
      <c r="B377" t="s">
        <v>739</v>
      </c>
      <c r="C377" t="s">
        <v>181</v>
      </c>
      <c r="D377" s="8" t="s">
        <v>1</v>
      </c>
      <c r="E377" t="s">
        <v>72</v>
      </c>
      <c r="F377">
        <v>3</v>
      </c>
      <c r="G377" s="3">
        <v>5.7</v>
      </c>
      <c r="H377" s="3">
        <v>7.52</v>
      </c>
      <c r="I377" s="3">
        <f>H377-G377</f>
      </c>
      <c r="J377" s="3">
        <f>I377*16.67%</f>
      </c>
      <c r="K377" s="3">
        <f>H377/100*7</f>
      </c>
      <c r="L377" s="3">
        <f>K377*20%</f>
      </c>
      <c r="M377" s="3">
        <f>K377*2%</f>
      </c>
      <c r="N377" s="3">
        <f>M377*20%</f>
      </c>
      <c r="O377" s="3">
        <v>0</v>
      </c>
      <c r="P377" s="3">
        <f>O377*20%</f>
      </c>
      <c r="Q377" s="3">
        <v>1</v>
      </c>
      <c r="R377" s="3">
        <f>L377+N377+P377</f>
      </c>
      <c r="S377" s="3">
        <f>I377-J377-K377-L377-M377-N377-O377-P377-Q377</f>
      </c>
      <c r="T377" s="3">
        <f>(S377-AB377)/G377*100</f>
      </c>
      <c r="U377" s="3">
        <f>J377-R377</f>
      </c>
      <c r="V377" t="s">
        <v>1</v>
      </c>
      <c r="W377" t="s">
        <v>181</v>
      </c>
      <c r="AC377" s="3">
        <f>S377-AB377</f>
      </c>
      <c r="AD377" t="s">
        <v>1</v>
      </c>
      <c r="AE377" t="s">
        <v>1</v>
      </c>
    </row>
    <row r="378" spans="1:31" s="6" customFormat="1" x14ac:dyDescent="0.25">
      <c r="A378" s="2" t="s">
        <v>17</v>
      </c>
      <c r="B378" s="6"/>
      <c r="C378" s="6"/>
      <c r="D378" s="6"/>
      <c r="E378" s="6"/>
      <c r="F378" s="13">
        <f>SUM(F2:F377)</f>
      </c>
      <c r="G378" s="13">
        <f>SUM(G2:G377)</f>
      </c>
      <c r="H378" s="13">
        <f>SUM(H2:H377)</f>
      </c>
      <c r="I378" s="13">
        <f>SUM(I2:I377)</f>
      </c>
      <c r="J378" s="13">
        <f>SUM(J2:J377)</f>
      </c>
      <c r="K378" s="13">
        <f>SUM(K2:K377)</f>
      </c>
      <c r="L378" s="13">
        <f>SUM(L2:L377)</f>
      </c>
      <c r="M378" s="13">
        <f>SUM(M2:M377)</f>
      </c>
      <c r="N378" s="13">
        <f>SUM(N2:N377)</f>
      </c>
      <c r="O378" s="13">
        <f>SUM(O2:O377)</f>
      </c>
      <c r="P378" s="13">
        <f>SUM(P2:P377)</f>
      </c>
      <c r="Q378" s="13">
        <f>SUM(Q2:Q377)</f>
      </c>
      <c r="R378" s="13">
        <f>SUM(R2:R377)</f>
      </c>
      <c r="S378" s="13">
        <f>SUM(S2:S377)</f>
      </c>
      <c r="T378" s="13">
        <f>IFERROR((S378-AB378)/G378*100,0)</f>
      </c>
      <c r="U378" s="13">
        <f>SUM(U2:U377)</f>
      </c>
      <c r="V378" s="6"/>
      <c r="W378" s="6"/>
      <c r="X378" s="6"/>
      <c r="Y378" s="6"/>
      <c r="Z378" s="6"/>
      <c r="AA378" s="6"/>
      <c r="AB378" s="13">
        <f>SUM(AB2:AB377)</f>
      </c>
      <c r="AC378" s="13">
        <f>SUM(AC2:AC377)</f>
      </c>
      <c r="AD378" s="6"/>
      <c r="AE37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5"/>
  <sheetFormatPr defaultRowHeight="15" outlineLevelRow="0" outlineLevelCol="0" x14ac:dyDescent="55"/>
  <sheetData>
    <row r="1" spans="1:2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740</v>
      </c>
      <c r="M1" t="s">
        <v>39</v>
      </c>
      <c r="N1" t="s">
        <v>40</v>
      </c>
      <c r="O1" t="s">
        <v>41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10</v>
      </c>
      <c r="AA1" t="s">
        <v>53</v>
      </c>
      <c r="AB1" t="s">
        <v>54</v>
      </c>
    </row>
    <row r="2" spans="1:28" x14ac:dyDescent="0.25">
      <c r="A2" s="7">
        <v>46231.5</v>
      </c>
      <c r="B2" t="s">
        <v>741</v>
      </c>
      <c r="C2" t="s">
        <v>1</v>
      </c>
      <c r="D2" s="8" t="s">
        <v>742</v>
      </c>
      <c r="E2" t="s">
        <v>57</v>
      </c>
      <c r="F2">
        <v>1</v>
      </c>
      <c r="G2" s="3">
        <v>243</v>
      </c>
      <c r="H2" s="3">
        <v>291.6</v>
      </c>
      <c r="I2" s="3">
        <f>H2-G2</f>
      </c>
      <c r="J2" s="3">
        <f>I2*16.67%</f>
      </c>
      <c r="K2" s="3">
        <f>H2/100*11</f>
      </c>
      <c r="L2" s="3">
        <v>8.99</v>
      </c>
      <c r="M2" s="3">
        <v>0</v>
      </c>
      <c r="N2" s="3">
        <f>M2*20%</f>
      </c>
      <c r="O2" s="3">
        <v>1</v>
      </c>
      <c r="P2" s="3">
        <f>I2-J2-K2-L2-M2-N2-O2</f>
      </c>
      <c r="Q2" s="3">
        <f>(P2-Y2)/G2*100</f>
      </c>
      <c r="R2" s="3">
        <f>J2-N2</f>
      </c>
      <c r="S2" t="s">
        <v>1</v>
      </c>
      <c r="T2" t="s">
        <v>124</v>
      </c>
      <c r="Z2" s="3">
        <f>P2-Y2</f>
      </c>
      <c r="AA2" t="s">
        <v>125</v>
      </c>
      <c r="AB2" t="s">
        <v>104</v>
      </c>
    </row>
    <row r="3" spans="1:28" x14ac:dyDescent="0.25">
      <c r="A3" s="7">
        <v>46231.5</v>
      </c>
      <c r="B3" t="s">
        <v>743</v>
      </c>
      <c r="C3" t="s">
        <v>1</v>
      </c>
      <c r="D3" s="8" t="s">
        <v>744</v>
      </c>
      <c r="E3" t="s">
        <v>57</v>
      </c>
      <c r="F3">
        <v>1</v>
      </c>
      <c r="G3" s="3">
        <v>696</v>
      </c>
      <c r="H3" s="3">
        <v>946.56</v>
      </c>
      <c r="I3" s="3">
        <f>H3-G3</f>
      </c>
      <c r="J3" s="3">
        <f>I3*16.67%</f>
      </c>
      <c r="K3" s="3">
        <f>H3/100*11</f>
      </c>
      <c r="L3" s="3">
        <v>8.99</v>
      </c>
      <c r="M3" s="3">
        <v>0</v>
      </c>
      <c r="N3" s="3">
        <f>M3*20%</f>
      </c>
      <c r="O3" s="3">
        <v>1</v>
      </c>
      <c r="P3" s="3">
        <f>I3-J3-K3-L3-M3-N3-O3</f>
      </c>
      <c r="Q3" s="3">
        <f>(P3-Y3)/G3*100</f>
      </c>
      <c r="R3" s="3">
        <f>J3-N3</f>
      </c>
      <c r="S3" t="s">
        <v>1</v>
      </c>
      <c r="T3" t="s">
        <v>83</v>
      </c>
      <c r="Z3" s="3">
        <f>P3-Y3</f>
      </c>
      <c r="AA3" t="s">
        <v>59</v>
      </c>
      <c r="AB3" t="s">
        <v>69</v>
      </c>
    </row>
    <row r="4" spans="1:28" x14ac:dyDescent="0.25">
      <c r="A4" s="7">
        <v>46231.5</v>
      </c>
      <c r="B4" t="s">
        <v>745</v>
      </c>
      <c r="C4" t="s">
        <v>1</v>
      </c>
      <c r="D4" s="8" t="s">
        <v>746</v>
      </c>
      <c r="E4" t="s">
        <v>57</v>
      </c>
      <c r="F4">
        <v>1</v>
      </c>
      <c r="G4" s="3">
        <v>605</v>
      </c>
      <c r="H4" s="3">
        <v>750.2</v>
      </c>
      <c r="I4" s="3">
        <f>H4-G4</f>
      </c>
      <c r="J4" s="3">
        <f>I4*16.67%</f>
      </c>
      <c r="K4" s="3">
        <f>H4/100*11</f>
      </c>
      <c r="L4" s="3">
        <v>8.99</v>
      </c>
      <c r="M4" s="3">
        <v>0</v>
      </c>
      <c r="N4" s="3">
        <f>M4*20%</f>
      </c>
      <c r="O4" s="3">
        <v>1</v>
      </c>
      <c r="P4" s="3">
        <f>I4-J4-K4-L4-M4-N4-O4</f>
      </c>
      <c r="Q4" s="3">
        <f>(P4-Y4)/G4*100</f>
      </c>
      <c r="R4" s="3">
        <f>J4-N4</f>
      </c>
      <c r="S4" t="s">
        <v>1</v>
      </c>
      <c r="T4" t="s">
        <v>80</v>
      </c>
      <c r="Z4" s="3">
        <f>P4-Y4</f>
      </c>
      <c r="AA4" t="s">
        <v>65</v>
      </c>
      <c r="AB4" t="s">
        <v>74</v>
      </c>
    </row>
    <row r="5" spans="1:28" x14ac:dyDescent="0.25">
      <c r="A5" s="7">
        <v>46231.5</v>
      </c>
      <c r="B5" t="s">
        <v>747</v>
      </c>
      <c r="C5" t="s">
        <v>1</v>
      </c>
      <c r="D5" s="8" t="s">
        <v>748</v>
      </c>
      <c r="E5" t="s">
        <v>63</v>
      </c>
      <c r="F5">
        <v>1</v>
      </c>
      <c r="G5" s="3">
        <v>235</v>
      </c>
      <c r="H5" s="3">
        <v>298.45</v>
      </c>
      <c r="I5" s="3">
        <f>H5-G5</f>
      </c>
      <c r="J5" s="3">
        <f>I5*16.67%</f>
      </c>
      <c r="K5" s="3">
        <f>H5/100*11</f>
      </c>
      <c r="L5" s="3">
        <v>8.99</v>
      </c>
      <c r="M5" s="3">
        <v>0</v>
      </c>
      <c r="N5" s="3">
        <f>M5*20%</f>
      </c>
      <c r="O5" s="3">
        <v>1</v>
      </c>
      <c r="P5" s="3">
        <f>I5-J5-K5-L5-M5-N5-O5</f>
      </c>
      <c r="Q5" s="3">
        <f>(P5-Y5)/G5*100</f>
      </c>
      <c r="R5" s="3">
        <f>J5-N5</f>
      </c>
      <c r="S5" t="s">
        <v>1</v>
      </c>
      <c r="T5" t="s">
        <v>113</v>
      </c>
      <c r="Z5" s="3">
        <f>P5-Y5</f>
      </c>
      <c r="AA5" t="s">
        <v>59</v>
      </c>
      <c r="AB5" t="s">
        <v>104</v>
      </c>
    </row>
    <row r="6" spans="1:28" x14ac:dyDescent="0.25">
      <c r="A6" s="7">
        <v>46231.5</v>
      </c>
      <c r="B6" t="s">
        <v>749</v>
      </c>
      <c r="C6" t="s">
        <v>1</v>
      </c>
      <c r="D6" s="8" t="s">
        <v>750</v>
      </c>
      <c r="E6" t="s">
        <v>57</v>
      </c>
      <c r="F6">
        <v>1</v>
      </c>
      <c r="G6" s="3">
        <v>172</v>
      </c>
      <c r="H6" s="3">
        <v>244.24</v>
      </c>
      <c r="I6" s="3">
        <f>H6-G6</f>
      </c>
      <c r="J6" s="3">
        <f>I6*16.67%</f>
      </c>
      <c r="K6" s="3">
        <f>H6/100*11</f>
      </c>
      <c r="L6" s="3">
        <v>8.99</v>
      </c>
      <c r="M6" s="3">
        <v>0</v>
      </c>
      <c r="N6" s="3">
        <f>M6*20%</f>
      </c>
      <c r="O6" s="3">
        <v>1</v>
      </c>
      <c r="P6" s="3">
        <f>I6-J6-K6-L6-M6-N6-O6</f>
      </c>
      <c r="Q6" s="3">
        <f>(P6-Y6)/G6*100</f>
      </c>
      <c r="R6" s="3">
        <f>J6-N6</f>
      </c>
      <c r="S6" t="s">
        <v>1</v>
      </c>
      <c r="T6" t="s">
        <v>171</v>
      </c>
      <c r="Z6" s="3">
        <f>P6-Y6</f>
      </c>
      <c r="AA6" t="s">
        <v>65</v>
      </c>
      <c r="AB6" t="s">
        <v>98</v>
      </c>
    </row>
    <row r="7" spans="1:28" x14ac:dyDescent="0.25">
      <c r="A7" s="7">
        <v>46231.5</v>
      </c>
      <c r="B7" t="s">
        <v>751</v>
      </c>
      <c r="C7" t="s">
        <v>1</v>
      </c>
      <c r="D7" s="8" t="s">
        <v>752</v>
      </c>
      <c r="E7" t="s">
        <v>63</v>
      </c>
      <c r="F7">
        <v>1</v>
      </c>
      <c r="G7" s="3">
        <v>125</v>
      </c>
      <c r="H7" s="3">
        <v>148.75</v>
      </c>
      <c r="I7" s="3">
        <f>H7-G7</f>
      </c>
      <c r="J7" s="3">
        <f>I7*16.67%</f>
      </c>
      <c r="K7" s="3">
        <f>H7/100*11</f>
      </c>
      <c r="L7" s="3">
        <v>8.99</v>
      </c>
      <c r="M7" s="3">
        <v>0</v>
      </c>
      <c r="N7" s="3">
        <f>M7*20%</f>
      </c>
      <c r="O7" s="3">
        <v>1</v>
      </c>
      <c r="P7" s="3">
        <f>I7-J7-K7-L7-M7-N7-O7</f>
      </c>
      <c r="Q7" s="3">
        <f>(P7-Y7)/G7*100</f>
      </c>
      <c r="R7" s="3">
        <f>J7-N7</f>
      </c>
      <c r="S7" t="s">
        <v>1</v>
      </c>
      <c r="T7" t="s">
        <v>90</v>
      </c>
      <c r="Z7" s="3">
        <f>P7-Y7</f>
      </c>
      <c r="AA7" t="s">
        <v>94</v>
      </c>
      <c r="AB7" t="s">
        <v>74</v>
      </c>
    </row>
    <row r="8" spans="1:28" x14ac:dyDescent="0.25">
      <c r="A8" s="7">
        <v>46231.5</v>
      </c>
      <c r="B8" t="s">
        <v>753</v>
      </c>
      <c r="C8" t="s">
        <v>1</v>
      </c>
      <c r="D8" s="8" t="s">
        <v>754</v>
      </c>
      <c r="E8" t="s">
        <v>63</v>
      </c>
      <c r="F8">
        <v>1</v>
      </c>
      <c r="G8" s="3">
        <v>180</v>
      </c>
      <c r="H8" s="3">
        <v>241.2</v>
      </c>
      <c r="I8" s="3">
        <f>H8-G8</f>
      </c>
      <c r="J8" s="3">
        <f>I8*16.67%</f>
      </c>
      <c r="K8" s="3">
        <f>H8/100*11</f>
      </c>
      <c r="L8" s="3">
        <v>8.99</v>
      </c>
      <c r="M8" s="3">
        <v>0</v>
      </c>
      <c r="N8" s="3">
        <f>M8*20%</f>
      </c>
      <c r="O8" s="3">
        <v>1</v>
      </c>
      <c r="P8" s="3">
        <f>I8-J8-K8-L8-M8-N8-O8</f>
      </c>
      <c r="Q8" s="3">
        <f>(P8-Y8)/G8*100</f>
      </c>
      <c r="R8" s="3">
        <f>J8-N8</f>
      </c>
      <c r="S8" t="s">
        <v>1</v>
      </c>
      <c r="T8" t="s">
        <v>233</v>
      </c>
      <c r="Z8" s="3">
        <f>P8-Y8</f>
      </c>
      <c r="AA8" t="s">
        <v>65</v>
      </c>
      <c r="AB8" t="s">
        <v>98</v>
      </c>
    </row>
    <row r="9" spans="1:28" x14ac:dyDescent="0.25">
      <c r="A9" s="7">
        <v>46231.5</v>
      </c>
      <c r="B9" t="s">
        <v>755</v>
      </c>
      <c r="C9" t="s">
        <v>1</v>
      </c>
      <c r="D9" s="8" t="s">
        <v>756</v>
      </c>
      <c r="E9" t="s">
        <v>72</v>
      </c>
      <c r="F9">
        <v>1</v>
      </c>
      <c r="G9" s="3">
        <v>179</v>
      </c>
      <c r="H9" s="3">
        <v>209.43</v>
      </c>
      <c r="I9" s="3">
        <f>H9-G9</f>
      </c>
      <c r="J9" s="3">
        <f>I9*16.67%</f>
      </c>
      <c r="K9" s="3">
        <f>H9/100*11</f>
      </c>
      <c r="L9" s="3">
        <v>8.99</v>
      </c>
      <c r="M9" s="3">
        <v>0</v>
      </c>
      <c r="N9" s="3">
        <f>M9*20%</f>
      </c>
      <c r="O9" s="3">
        <v>1</v>
      </c>
      <c r="P9" s="3">
        <f>I9-J9-K9-L9-M9-N9-O9</f>
      </c>
      <c r="Q9" s="3">
        <f>(P9-Y9)/G9*100</f>
      </c>
      <c r="R9" s="3">
        <f>J9-N9</f>
      </c>
      <c r="S9" t="s">
        <v>1</v>
      </c>
      <c r="T9" t="s">
        <v>291</v>
      </c>
      <c r="Z9" s="3">
        <f>P9-Y9</f>
      </c>
      <c r="AA9" t="s">
        <v>125</v>
      </c>
      <c r="AB9" t="s">
        <v>74</v>
      </c>
    </row>
    <row r="10" spans="1:28" x14ac:dyDescent="0.25">
      <c r="A10" s="7">
        <v>46231.5</v>
      </c>
      <c r="B10" t="s">
        <v>757</v>
      </c>
      <c r="C10" t="s">
        <v>1</v>
      </c>
      <c r="D10" s="8" t="s">
        <v>758</v>
      </c>
      <c r="E10" t="s">
        <v>101</v>
      </c>
      <c r="F10">
        <v>1</v>
      </c>
      <c r="G10" s="3">
        <v>181</v>
      </c>
      <c r="H10" s="3">
        <v>246.16</v>
      </c>
      <c r="I10" s="3">
        <f>H10-G10</f>
      </c>
      <c r="J10" s="3">
        <f>I10*16.67%</f>
      </c>
      <c r="K10" s="3">
        <f>H10/100*11</f>
      </c>
      <c r="L10" s="3">
        <v>8.99</v>
      </c>
      <c r="M10" s="3">
        <v>0</v>
      </c>
      <c r="N10" s="3">
        <f>M10*20%</f>
      </c>
      <c r="O10" s="3">
        <v>1</v>
      </c>
      <c r="P10" s="3">
        <f>I10-J10-K10-L10-M10-N10-O10</f>
      </c>
      <c r="Q10" s="3">
        <f>(P10-Y10)/G10*100</f>
      </c>
      <c r="R10" s="3">
        <f>J10-N10</f>
      </c>
      <c r="S10" t="s">
        <v>1</v>
      </c>
      <c r="T10" t="s">
        <v>233</v>
      </c>
      <c r="Z10" s="3">
        <f>P10-Y10</f>
      </c>
      <c r="AA10" t="s">
        <v>65</v>
      </c>
      <c r="AB10" t="s">
        <v>69</v>
      </c>
    </row>
    <row r="11" spans="1:28" x14ac:dyDescent="0.25">
      <c r="A11" s="7">
        <v>46231.5</v>
      </c>
      <c r="B11" t="s">
        <v>759</v>
      </c>
      <c r="C11" t="s">
        <v>1</v>
      </c>
      <c r="D11" s="8" t="s">
        <v>760</v>
      </c>
      <c r="E11" t="s">
        <v>72</v>
      </c>
      <c r="F11">
        <v>1</v>
      </c>
      <c r="G11" s="3">
        <v>341</v>
      </c>
      <c r="H11" s="3">
        <v>439.89</v>
      </c>
      <c r="I11" s="3">
        <f>H11-G11</f>
      </c>
      <c r="J11" s="3">
        <f>I11*16.67%</f>
      </c>
      <c r="K11" s="3">
        <f>H11/100*11</f>
      </c>
      <c r="L11" s="3">
        <v>8.99</v>
      </c>
      <c r="M11" s="3">
        <v>0</v>
      </c>
      <c r="N11" s="3">
        <f>M11*20%</f>
      </c>
      <c r="O11" s="3">
        <v>1</v>
      </c>
      <c r="P11" s="3">
        <f>I11-J11-K11-L11-M11-N11-O11</f>
      </c>
      <c r="Q11" s="3">
        <f>(P11-Y11)/G11*100</f>
      </c>
      <c r="R11" s="3">
        <f>J11-N11</f>
      </c>
      <c r="S11" t="s">
        <v>1</v>
      </c>
      <c r="T11" t="s">
        <v>73</v>
      </c>
      <c r="Z11" s="3">
        <f>P11-Y11</f>
      </c>
      <c r="AA11" t="s">
        <v>59</v>
      </c>
      <c r="AB11" t="s">
        <v>84</v>
      </c>
    </row>
    <row r="12" spans="1:28" x14ac:dyDescent="0.25">
      <c r="A12" s="7">
        <v>46231.5</v>
      </c>
      <c r="B12" t="s">
        <v>761</v>
      </c>
      <c r="C12" t="s">
        <v>1</v>
      </c>
      <c r="D12" s="8" t="s">
        <v>762</v>
      </c>
      <c r="E12" t="s">
        <v>72</v>
      </c>
      <c r="F12">
        <v>1</v>
      </c>
      <c r="G12" s="3">
        <v>139</v>
      </c>
      <c r="H12" s="3">
        <v>201.55</v>
      </c>
      <c r="I12" s="3">
        <f>H12-G12</f>
      </c>
      <c r="J12" s="3">
        <f>I12*16.67%</f>
      </c>
      <c r="K12" s="3">
        <f>H12/100*11</f>
      </c>
      <c r="L12" s="3">
        <v>8.99</v>
      </c>
      <c r="M12" s="3">
        <v>0</v>
      </c>
      <c r="N12" s="3">
        <f>M12*20%</f>
      </c>
      <c r="O12" s="3">
        <v>1</v>
      </c>
      <c r="P12" s="3">
        <f>I12-J12-K12-L12-M12-N12-O12</f>
      </c>
      <c r="Q12" s="3">
        <f>(P12-Y12)/G12*100</f>
      </c>
      <c r="R12" s="3">
        <f>J12-N12</f>
      </c>
      <c r="S12" t="s">
        <v>1</v>
      </c>
      <c r="T12" t="s">
        <v>133</v>
      </c>
      <c r="Z12" s="3">
        <f>P12-Y12</f>
      </c>
      <c r="AA12" t="s">
        <v>65</v>
      </c>
      <c r="AB12" t="s">
        <v>104</v>
      </c>
    </row>
    <row r="13" spans="1:28" x14ac:dyDescent="0.25">
      <c r="A13" s="7">
        <v>46231.5</v>
      </c>
      <c r="B13" t="s">
        <v>763</v>
      </c>
      <c r="C13" t="s">
        <v>1</v>
      </c>
      <c r="D13" s="8" t="s">
        <v>764</v>
      </c>
      <c r="E13" t="s">
        <v>57</v>
      </c>
      <c r="F13">
        <v>1</v>
      </c>
      <c r="G13" s="3">
        <v>457</v>
      </c>
      <c r="H13" s="3">
        <v>644.37</v>
      </c>
      <c r="I13" s="3">
        <f>H13-G13</f>
      </c>
      <c r="J13" s="3">
        <f>I13*16.67%</f>
      </c>
      <c r="K13" s="3">
        <f>H13/100*11</f>
      </c>
      <c r="L13" s="3">
        <v>8.99</v>
      </c>
      <c r="M13" s="3">
        <v>0</v>
      </c>
      <c r="N13" s="3">
        <f>M13*20%</f>
      </c>
      <c r="O13" s="3">
        <v>1</v>
      </c>
      <c r="P13" s="3">
        <f>I13-J13-K13-L13-M13-N13-O13</f>
      </c>
      <c r="Q13" s="3">
        <f>(P13-Y13)/G13*100</f>
      </c>
      <c r="R13" s="3">
        <f>J13-N13</f>
      </c>
      <c r="S13" t="s">
        <v>1</v>
      </c>
      <c r="T13" t="s">
        <v>58</v>
      </c>
      <c r="Z13" s="3">
        <f>P13-Y13</f>
      </c>
      <c r="AA13" t="s">
        <v>59</v>
      </c>
      <c r="AB13" t="s">
        <v>87</v>
      </c>
    </row>
    <row r="14" spans="1:28" x14ac:dyDescent="0.25">
      <c r="A14" s="7">
        <v>46231.5</v>
      </c>
      <c r="B14" t="s">
        <v>765</v>
      </c>
      <c r="C14" t="s">
        <v>1</v>
      </c>
      <c r="D14" s="8" t="s">
        <v>766</v>
      </c>
      <c r="E14" t="s">
        <v>63</v>
      </c>
      <c r="F14">
        <v>1</v>
      </c>
      <c r="G14" s="3">
        <v>283</v>
      </c>
      <c r="H14" s="3">
        <v>396.2</v>
      </c>
      <c r="I14" s="3">
        <f>H14-G14</f>
      </c>
      <c r="J14" s="3">
        <f>I14*16.67%</f>
      </c>
      <c r="K14" s="3">
        <f>H14/100*11</f>
      </c>
      <c r="L14" s="3">
        <v>8.99</v>
      </c>
      <c r="M14" s="3">
        <v>0</v>
      </c>
      <c r="N14" s="3">
        <f>M14*20%</f>
      </c>
      <c r="O14" s="3">
        <v>1</v>
      </c>
      <c r="P14" s="3">
        <f>I14-J14-K14-L14-M14-N14-O14</f>
      </c>
      <c r="Q14" s="3">
        <f>(P14-Y14)/G14*100</f>
      </c>
      <c r="R14" s="3">
        <f>J14-N14</f>
      </c>
      <c r="S14" t="s">
        <v>1</v>
      </c>
      <c r="T14" t="s">
        <v>124</v>
      </c>
      <c r="Z14" s="3">
        <f>P14-Y14</f>
      </c>
      <c r="AA14" t="s">
        <v>125</v>
      </c>
      <c r="AB14" t="s">
        <v>98</v>
      </c>
    </row>
    <row r="15" spans="1:28" x14ac:dyDescent="0.25">
      <c r="A15" s="7">
        <v>46231.5</v>
      </c>
      <c r="B15" t="s">
        <v>767</v>
      </c>
      <c r="C15" t="s">
        <v>1</v>
      </c>
      <c r="D15" s="8" t="s">
        <v>768</v>
      </c>
      <c r="E15" t="s">
        <v>77</v>
      </c>
      <c r="F15">
        <v>1</v>
      </c>
      <c r="G15" s="3">
        <v>297</v>
      </c>
      <c r="H15" s="3">
        <v>347.49</v>
      </c>
      <c r="I15" s="3">
        <f>H15-G15</f>
      </c>
      <c r="J15" s="3">
        <f>I15*16.67%</f>
      </c>
      <c r="K15" s="3">
        <f>H15/100*11</f>
      </c>
      <c r="L15" s="3">
        <v>8.99</v>
      </c>
      <c r="M15" s="3">
        <v>0</v>
      </c>
      <c r="N15" s="3">
        <f>M15*20%</f>
      </c>
      <c r="O15" s="3">
        <v>1</v>
      </c>
      <c r="P15" s="3">
        <f>I15-J15-K15-L15-M15-N15-O15</f>
      </c>
      <c r="Q15" s="3">
        <f>(P15-Y15)/G15*100</f>
      </c>
      <c r="R15" s="3">
        <f>J15-N15</f>
      </c>
      <c r="S15" t="s">
        <v>1</v>
      </c>
      <c r="T15" t="s">
        <v>130</v>
      </c>
      <c r="Z15" s="3">
        <f>P15-Y15</f>
      </c>
      <c r="AA15" t="s">
        <v>65</v>
      </c>
      <c r="AB15" t="s">
        <v>60</v>
      </c>
    </row>
    <row r="16" spans="1:28" x14ac:dyDescent="0.25">
      <c r="A16" s="7">
        <v>46231.5</v>
      </c>
      <c r="B16" t="s">
        <v>769</v>
      </c>
      <c r="C16" t="s">
        <v>1</v>
      </c>
      <c r="D16" s="8" t="s">
        <v>770</v>
      </c>
      <c r="E16" t="s">
        <v>77</v>
      </c>
      <c r="F16">
        <v>1</v>
      </c>
      <c r="G16" s="3">
        <v>106</v>
      </c>
      <c r="H16" s="3">
        <v>149.46</v>
      </c>
      <c r="I16" s="3">
        <f>H16-G16</f>
      </c>
      <c r="J16" s="3">
        <f>I16*16.67%</f>
      </c>
      <c r="K16" s="3">
        <f>H16/100*11</f>
      </c>
      <c r="L16" s="3">
        <v>8.99</v>
      </c>
      <c r="M16" s="3">
        <v>0</v>
      </c>
      <c r="N16" s="3">
        <f>M16*20%</f>
      </c>
      <c r="O16" s="3">
        <v>1</v>
      </c>
      <c r="P16" s="3">
        <f>I16-J16-K16-L16-M16-N16-O16</f>
      </c>
      <c r="Q16" s="3">
        <f>(P16-Y16)/G16*100</f>
      </c>
      <c r="R16" s="3">
        <f>J16-N16</f>
      </c>
      <c r="S16" t="s">
        <v>1</v>
      </c>
      <c r="T16" t="s">
        <v>133</v>
      </c>
      <c r="Z16" s="3">
        <f>P16-Y16</f>
      </c>
      <c r="AA16" t="s">
        <v>94</v>
      </c>
      <c r="AB16" t="s">
        <v>74</v>
      </c>
    </row>
    <row r="17" spans="1:28" x14ac:dyDescent="0.25">
      <c r="A17" s="7">
        <v>46231.5</v>
      </c>
      <c r="B17" t="s">
        <v>771</v>
      </c>
      <c r="C17" t="s">
        <v>1</v>
      </c>
      <c r="D17" s="8" t="s">
        <v>772</v>
      </c>
      <c r="E17" t="s">
        <v>63</v>
      </c>
      <c r="F17">
        <v>1</v>
      </c>
      <c r="G17" s="3">
        <v>714</v>
      </c>
      <c r="H17" s="3">
        <v>906.78</v>
      </c>
      <c r="I17" s="3">
        <f>H17-G17</f>
      </c>
      <c r="J17" s="3">
        <f>I17*16.67%</f>
      </c>
      <c r="K17" s="3">
        <f>H17/100*11</f>
      </c>
      <c r="L17" s="3">
        <v>8.99</v>
      </c>
      <c r="M17" s="3">
        <v>0</v>
      </c>
      <c r="N17" s="3">
        <f>M17*20%</f>
      </c>
      <c r="O17" s="3">
        <v>1</v>
      </c>
      <c r="P17" s="3">
        <f>I17-J17-K17-L17-M17-N17-O17</f>
      </c>
      <c r="Q17" s="3">
        <f>(P17-Y17)/G17*100</f>
      </c>
      <c r="R17" s="3">
        <f>J17-N17</f>
      </c>
      <c r="S17" t="s">
        <v>1</v>
      </c>
      <c r="T17" t="s">
        <v>83</v>
      </c>
      <c r="Z17" s="3">
        <f>P17-Y17</f>
      </c>
      <c r="AA17" t="s">
        <v>59</v>
      </c>
      <c r="AB17" t="s">
        <v>60</v>
      </c>
    </row>
    <row r="18" spans="1:28" x14ac:dyDescent="0.25">
      <c r="A18" s="7">
        <v>46231.5</v>
      </c>
      <c r="B18" t="s">
        <v>773</v>
      </c>
      <c r="C18" t="s">
        <v>1</v>
      </c>
      <c r="D18" s="8" t="s">
        <v>774</v>
      </c>
      <c r="E18" t="s">
        <v>63</v>
      </c>
      <c r="F18">
        <v>1</v>
      </c>
      <c r="G18" s="3">
        <v>598</v>
      </c>
      <c r="H18" s="3">
        <v>723.58</v>
      </c>
      <c r="I18" s="3">
        <f>H18-G18</f>
      </c>
      <c r="J18" s="3">
        <f>I18*16.67%</f>
      </c>
      <c r="K18" s="3">
        <f>H18/100*11</f>
      </c>
      <c r="L18" s="3">
        <v>8.99</v>
      </c>
      <c r="M18" s="3">
        <v>0</v>
      </c>
      <c r="N18" s="3">
        <f>M18*20%</f>
      </c>
      <c r="O18" s="3">
        <v>1</v>
      </c>
      <c r="P18" s="3">
        <f>I18-J18-K18-L18-M18-N18-O18</f>
      </c>
      <c r="Q18" s="3">
        <f>(P18-Y18)/G18*100</f>
      </c>
      <c r="R18" s="3">
        <f>J18-N18</f>
      </c>
      <c r="S18" t="s">
        <v>1</v>
      </c>
      <c r="T18" t="s">
        <v>80</v>
      </c>
      <c r="Z18" s="3">
        <f>P18-Y18</f>
      </c>
      <c r="AA18" t="s">
        <v>65</v>
      </c>
      <c r="AB18" t="s">
        <v>84</v>
      </c>
    </row>
    <row r="19" spans="1:28" x14ac:dyDescent="0.25">
      <c r="A19" s="7">
        <v>46231.5</v>
      </c>
      <c r="B19" t="s">
        <v>775</v>
      </c>
      <c r="C19" t="s">
        <v>1</v>
      </c>
      <c r="D19" s="8" t="s">
        <v>776</v>
      </c>
      <c r="E19" t="s">
        <v>77</v>
      </c>
      <c r="F19">
        <v>1</v>
      </c>
      <c r="G19" s="3">
        <v>105</v>
      </c>
      <c r="H19" s="3">
        <v>126</v>
      </c>
      <c r="I19" s="3">
        <f>H19-G19</f>
      </c>
      <c r="J19" s="3">
        <f>I19*16.67%</f>
      </c>
      <c r="K19" s="3">
        <f>H19/100*11</f>
      </c>
      <c r="L19" s="3">
        <v>8.99</v>
      </c>
      <c r="M19" s="3">
        <v>0</v>
      </c>
      <c r="N19" s="3">
        <f>M19*20%</f>
      </c>
      <c r="O19" s="3">
        <v>1</v>
      </c>
      <c r="P19" s="3">
        <f>I19-J19-K19-L19-M19-N19-O19</f>
      </c>
      <c r="Q19" s="3">
        <f>(P19-Y19)/G19*100</f>
      </c>
      <c r="R19" s="3">
        <f>J19-N19</f>
      </c>
      <c r="S19" t="s">
        <v>1</v>
      </c>
      <c r="T19" t="s">
        <v>133</v>
      </c>
      <c r="Z19" s="3">
        <f>P19-Y19</f>
      </c>
      <c r="AA19" t="s">
        <v>94</v>
      </c>
      <c r="AB19" t="s">
        <v>104</v>
      </c>
    </row>
    <row r="20" spans="1:28" x14ac:dyDescent="0.25">
      <c r="A20" s="7">
        <v>46231.5</v>
      </c>
      <c r="B20" t="s">
        <v>777</v>
      </c>
      <c r="C20" t="s">
        <v>1</v>
      </c>
      <c r="D20" s="8" t="s">
        <v>778</v>
      </c>
      <c r="E20" t="s">
        <v>77</v>
      </c>
      <c r="F20">
        <v>1</v>
      </c>
      <c r="G20" s="3">
        <v>353</v>
      </c>
      <c r="H20" s="3">
        <v>444.78</v>
      </c>
      <c r="I20" s="3">
        <f>H20-G20</f>
      </c>
      <c r="J20" s="3">
        <f>I20*16.67%</f>
      </c>
      <c r="K20" s="3">
        <f>H20/100*11</f>
      </c>
      <c r="L20" s="3">
        <v>8.99</v>
      </c>
      <c r="M20" s="3">
        <v>0</v>
      </c>
      <c r="N20" s="3">
        <f>M20*20%</f>
      </c>
      <c r="O20" s="3">
        <v>1</v>
      </c>
      <c r="P20" s="3">
        <f>I20-J20-K20-L20-M20-N20-O20</f>
      </c>
      <c r="Q20" s="3">
        <f>(P20-Y20)/G20*100</f>
      </c>
      <c r="R20" s="3">
        <f>J20-N20</f>
      </c>
      <c r="S20" t="s">
        <v>1</v>
      </c>
      <c r="T20" t="s">
        <v>73</v>
      </c>
      <c r="Z20" s="3">
        <f>P20-Y20</f>
      </c>
      <c r="AA20" t="s">
        <v>59</v>
      </c>
      <c r="AB20" t="s">
        <v>87</v>
      </c>
    </row>
    <row r="21" spans="1:28" x14ac:dyDescent="0.25">
      <c r="A21" s="7">
        <v>46231.5</v>
      </c>
      <c r="B21" t="s">
        <v>779</v>
      </c>
      <c r="C21" t="s">
        <v>1</v>
      </c>
      <c r="D21" s="8" t="s">
        <v>780</v>
      </c>
      <c r="E21" t="s">
        <v>101</v>
      </c>
      <c r="F21">
        <v>1</v>
      </c>
      <c r="G21" s="3">
        <v>249</v>
      </c>
      <c r="H21" s="3">
        <v>346.11</v>
      </c>
      <c r="I21" s="3">
        <f>H21-G21</f>
      </c>
      <c r="J21" s="3">
        <f>I21*16.67%</f>
      </c>
      <c r="K21" s="3">
        <f>H21/100*11</f>
      </c>
      <c r="L21" s="3">
        <v>8.99</v>
      </c>
      <c r="M21" s="3">
        <v>0</v>
      </c>
      <c r="N21" s="3">
        <f>M21*20%</f>
      </c>
      <c r="O21" s="3">
        <v>1</v>
      </c>
      <c r="P21" s="3">
        <f>I21-J21-K21-L21-M21-N21-O21</f>
      </c>
      <c r="Q21" s="3">
        <f>(P21-Y21)/G21*100</f>
      </c>
      <c r="R21" s="3">
        <f>J21-N21</f>
      </c>
      <c r="S21" t="s">
        <v>1</v>
      </c>
      <c r="T21" t="s">
        <v>64</v>
      </c>
      <c r="Z21" s="3">
        <f>P21-Y21</f>
      </c>
      <c r="AA21" t="s">
        <v>65</v>
      </c>
      <c r="AB21" t="s">
        <v>84</v>
      </c>
    </row>
    <row r="22" spans="1:28" x14ac:dyDescent="0.25">
      <c r="A22" s="7">
        <v>46231.5</v>
      </c>
      <c r="B22" t="s">
        <v>781</v>
      </c>
      <c r="C22" t="s">
        <v>1</v>
      </c>
      <c r="D22" s="8" t="s">
        <v>782</v>
      </c>
      <c r="E22" t="s">
        <v>72</v>
      </c>
      <c r="F22">
        <v>1</v>
      </c>
      <c r="G22" s="3">
        <v>495</v>
      </c>
      <c r="H22" s="3">
        <v>569.25</v>
      </c>
      <c r="I22" s="3">
        <f>H22-G22</f>
      </c>
      <c r="J22" s="3">
        <f>I22*16.67%</f>
      </c>
      <c r="K22" s="3">
        <f>H22/100*11</f>
      </c>
      <c r="L22" s="3">
        <v>8.99</v>
      </c>
      <c r="M22" s="3">
        <v>0</v>
      </c>
      <c r="N22" s="3">
        <f>M22*20%</f>
      </c>
      <c r="O22" s="3">
        <v>1</v>
      </c>
      <c r="P22" s="3">
        <f>I22-J22-K22-L22-M22-N22-O22</f>
      </c>
      <c r="Q22" s="3">
        <f>(P22-Y22)/G22*100</f>
      </c>
      <c r="R22" s="3">
        <f>J22-N22</f>
      </c>
      <c r="S22" t="s">
        <v>1</v>
      </c>
      <c r="T22" t="s">
        <v>68</v>
      </c>
      <c r="Z22" s="3">
        <f>P22-Y22</f>
      </c>
      <c r="AA22" t="s">
        <v>59</v>
      </c>
      <c r="AB22" t="s">
        <v>84</v>
      </c>
    </row>
    <row r="23" spans="1:28" x14ac:dyDescent="0.25">
      <c r="A23" s="7">
        <v>46231.5</v>
      </c>
      <c r="B23" t="s">
        <v>783</v>
      </c>
      <c r="C23" t="s">
        <v>1</v>
      </c>
      <c r="D23" s="8" t="s">
        <v>784</v>
      </c>
      <c r="E23" t="s">
        <v>57</v>
      </c>
      <c r="F23">
        <v>1</v>
      </c>
      <c r="G23" s="3">
        <v>146</v>
      </c>
      <c r="H23" s="3">
        <v>172.28</v>
      </c>
      <c r="I23" s="3">
        <f>H23-G23</f>
      </c>
      <c r="J23" s="3">
        <f>I23*16.67%</f>
      </c>
      <c r="K23" s="3">
        <f>H23/100*11</f>
      </c>
      <c r="L23" s="3">
        <v>8.99</v>
      </c>
      <c r="M23" s="3">
        <v>0</v>
      </c>
      <c r="N23" s="3">
        <f>M23*20%</f>
      </c>
      <c r="O23" s="3">
        <v>1</v>
      </c>
      <c r="P23" s="3">
        <f>I23-J23-K23-L23-M23-N23-O23</f>
      </c>
      <c r="Q23" s="3">
        <f>(P23-Y23)/G23*100</f>
      </c>
      <c r="R23" s="3">
        <f>J23-N23</f>
      </c>
      <c r="S23" t="s">
        <v>1</v>
      </c>
      <c r="T23" t="s">
        <v>171</v>
      </c>
      <c r="Z23" s="3">
        <f>P23-Y23</f>
      </c>
      <c r="AA23" t="s">
        <v>65</v>
      </c>
      <c r="AB23" t="s">
        <v>69</v>
      </c>
    </row>
    <row r="24" spans="1:28" x14ac:dyDescent="0.25">
      <c r="A24" s="7">
        <v>46231.5</v>
      </c>
      <c r="B24" t="s">
        <v>785</v>
      </c>
      <c r="C24" t="s">
        <v>1</v>
      </c>
      <c r="D24" s="8" t="s">
        <v>786</v>
      </c>
      <c r="E24" t="s">
        <v>57</v>
      </c>
      <c r="F24">
        <v>1</v>
      </c>
      <c r="G24" s="3">
        <v>152</v>
      </c>
      <c r="H24" s="3">
        <v>176.32</v>
      </c>
      <c r="I24" s="3">
        <f>H24-G24</f>
      </c>
      <c r="J24" s="3">
        <f>I24*16.67%</f>
      </c>
      <c r="K24" s="3">
        <f>H24/100*11</f>
      </c>
      <c r="L24" s="3">
        <v>8.99</v>
      </c>
      <c r="M24" s="3">
        <v>0</v>
      </c>
      <c r="N24" s="3">
        <f>M24*20%</f>
      </c>
      <c r="O24" s="3">
        <v>1</v>
      </c>
      <c r="P24" s="3">
        <f>I24-J24-K24-L24-M24-N24-O24</f>
      </c>
      <c r="Q24" s="3">
        <f>(P24-Y24)/G24*100</f>
      </c>
      <c r="R24" s="3">
        <f>J24-N24</f>
      </c>
      <c r="S24" t="s">
        <v>1</v>
      </c>
      <c r="T24" t="s">
        <v>291</v>
      </c>
      <c r="Z24" s="3">
        <f>P24-Y24</f>
      </c>
      <c r="AA24" t="s">
        <v>125</v>
      </c>
      <c r="AB24" t="s">
        <v>84</v>
      </c>
    </row>
    <row r="25" spans="1:28" x14ac:dyDescent="0.25">
      <c r="A25" s="7">
        <v>46231.5</v>
      </c>
      <c r="B25" t="s">
        <v>787</v>
      </c>
      <c r="C25" t="s">
        <v>1</v>
      </c>
      <c r="D25" s="8" t="s">
        <v>788</v>
      </c>
      <c r="E25" t="s">
        <v>72</v>
      </c>
      <c r="F25">
        <v>1</v>
      </c>
      <c r="G25" s="3">
        <v>83</v>
      </c>
      <c r="H25" s="3">
        <v>112.05</v>
      </c>
      <c r="I25" s="3">
        <f>H25-G25</f>
      </c>
      <c r="J25" s="3">
        <f>I25*16.67%</f>
      </c>
      <c r="K25" s="3">
        <f>H25/100*11</f>
      </c>
      <c r="L25" s="3">
        <v>8.99</v>
      </c>
      <c r="M25" s="3">
        <v>0</v>
      </c>
      <c r="N25" s="3">
        <f>M25*20%</f>
      </c>
      <c r="O25" s="3">
        <v>1</v>
      </c>
      <c r="P25" s="3">
        <f>I25-J25-K25-L25-M25-N25-O25</f>
      </c>
      <c r="Q25" s="3">
        <f>(P25-Y25)/G25*100</f>
      </c>
      <c r="R25" s="3">
        <f>J25-N25</f>
      </c>
      <c r="S25" t="s">
        <v>1</v>
      </c>
      <c r="T25" t="s">
        <v>93</v>
      </c>
      <c r="Z25" s="3">
        <f>P25-Y25</f>
      </c>
      <c r="AA25" t="s">
        <v>94</v>
      </c>
      <c r="AB25" t="s">
        <v>69</v>
      </c>
    </row>
    <row r="26" spans="1:28" x14ac:dyDescent="0.25">
      <c r="A26" s="7">
        <v>46231.5</v>
      </c>
      <c r="B26" t="s">
        <v>789</v>
      </c>
      <c r="C26" t="s">
        <v>1</v>
      </c>
      <c r="D26" s="8" t="s">
        <v>790</v>
      </c>
      <c r="E26" t="s">
        <v>63</v>
      </c>
      <c r="F26">
        <v>1</v>
      </c>
      <c r="G26" s="3">
        <v>152</v>
      </c>
      <c r="H26" s="3">
        <v>193.04</v>
      </c>
      <c r="I26" s="3">
        <f>H26-G26</f>
      </c>
      <c r="J26" s="3">
        <f>I26*16.67%</f>
      </c>
      <c r="K26" s="3">
        <f>H26/100*11</f>
      </c>
      <c r="L26" s="3">
        <v>8.99</v>
      </c>
      <c r="M26" s="3">
        <v>0</v>
      </c>
      <c r="N26" s="3">
        <f>M26*20%</f>
      </c>
      <c r="O26" s="3">
        <v>1</v>
      </c>
      <c r="P26" s="3">
        <f>I26-J26-K26-L26-M26-N26-O26</f>
      </c>
      <c r="Q26" s="3">
        <f>(P26-Y26)/G26*100</f>
      </c>
      <c r="R26" s="3">
        <f>J26-N26</f>
      </c>
      <c r="S26" t="s">
        <v>1</v>
      </c>
      <c r="T26" t="s">
        <v>233</v>
      </c>
      <c r="Z26" s="3">
        <f>P26-Y26</f>
      </c>
      <c r="AA26" t="s">
        <v>65</v>
      </c>
      <c r="AB26" t="s">
        <v>104</v>
      </c>
    </row>
    <row r="27" spans="1:28" x14ac:dyDescent="0.25">
      <c r="A27" s="7">
        <v>46231.5</v>
      </c>
      <c r="B27" t="s">
        <v>791</v>
      </c>
      <c r="C27" t="s">
        <v>1</v>
      </c>
      <c r="D27" s="8" t="s">
        <v>792</v>
      </c>
      <c r="E27" t="s">
        <v>77</v>
      </c>
      <c r="F27">
        <v>1</v>
      </c>
      <c r="G27" s="3">
        <v>243</v>
      </c>
      <c r="H27" s="3">
        <v>342.63</v>
      </c>
      <c r="I27" s="3">
        <f>H27-G27</f>
      </c>
      <c r="J27" s="3">
        <f>I27*16.67%</f>
      </c>
      <c r="K27" s="3">
        <f>H27/100*11</f>
      </c>
      <c r="L27" s="3">
        <v>8.99</v>
      </c>
      <c r="M27" s="3">
        <v>0</v>
      </c>
      <c r="N27" s="3">
        <f>M27*20%</f>
      </c>
      <c r="O27" s="3">
        <v>1</v>
      </c>
      <c r="P27" s="3">
        <f>I27-J27-K27-L27-M27-N27-O27</f>
      </c>
      <c r="Q27" s="3">
        <f>(P27-Y27)/G27*100</f>
      </c>
      <c r="R27" s="3">
        <f>J27-N27</f>
      </c>
      <c r="S27" t="s">
        <v>1</v>
      </c>
      <c r="T27" t="s">
        <v>64</v>
      </c>
      <c r="Z27" s="3">
        <f>P27-Y27</f>
      </c>
      <c r="AA27" t="s">
        <v>65</v>
      </c>
      <c r="AB27" t="s">
        <v>104</v>
      </c>
    </row>
    <row r="28" spans="1:28" x14ac:dyDescent="0.25">
      <c r="A28" s="7">
        <v>46231.5</v>
      </c>
      <c r="B28" t="s">
        <v>793</v>
      </c>
      <c r="C28" t="s">
        <v>1</v>
      </c>
      <c r="D28" s="8" t="s">
        <v>794</v>
      </c>
      <c r="E28" t="s">
        <v>57</v>
      </c>
      <c r="F28">
        <v>1</v>
      </c>
      <c r="G28" s="3">
        <v>162</v>
      </c>
      <c r="H28" s="3">
        <v>215.46</v>
      </c>
      <c r="I28" s="3">
        <f>H28-G28</f>
      </c>
      <c r="J28" s="3">
        <f>I28*16.67%</f>
      </c>
      <c r="K28" s="3">
        <f>H28/100*11</f>
      </c>
      <c r="L28" s="3">
        <v>8.99</v>
      </c>
      <c r="M28" s="3">
        <v>0</v>
      </c>
      <c r="N28" s="3">
        <f>M28*20%</f>
      </c>
      <c r="O28" s="3">
        <v>1</v>
      </c>
      <c r="P28" s="3">
        <f>I28-J28-K28-L28-M28-N28-O28</f>
      </c>
      <c r="Q28" s="3">
        <f>(P28-Y28)/G28*100</f>
      </c>
      <c r="R28" s="3">
        <f>J28-N28</f>
      </c>
      <c r="S28" t="s">
        <v>1</v>
      </c>
      <c r="T28" t="s">
        <v>291</v>
      </c>
      <c r="Z28" s="3">
        <f>P28-Y28</f>
      </c>
      <c r="AA28" t="s">
        <v>125</v>
      </c>
      <c r="AB28" t="s">
        <v>74</v>
      </c>
    </row>
    <row r="29" spans="1:28" x14ac:dyDescent="0.25">
      <c r="A29" s="7">
        <v>46231.5</v>
      </c>
      <c r="B29" t="s">
        <v>795</v>
      </c>
      <c r="C29" t="s">
        <v>1</v>
      </c>
      <c r="D29" s="8" t="s">
        <v>796</v>
      </c>
      <c r="E29" t="s">
        <v>72</v>
      </c>
      <c r="F29">
        <v>1</v>
      </c>
      <c r="G29" s="3">
        <v>555</v>
      </c>
      <c r="H29" s="3">
        <v>638.25</v>
      </c>
      <c r="I29" s="3">
        <f>H29-G29</f>
      </c>
      <c r="J29" s="3">
        <f>I29*16.67%</f>
      </c>
      <c r="K29" s="3">
        <f>H29/100*11</f>
      </c>
      <c r="L29" s="3">
        <v>8.99</v>
      </c>
      <c r="M29" s="3">
        <v>0</v>
      </c>
      <c r="N29" s="3">
        <f>M29*20%</f>
      </c>
      <c r="O29" s="3">
        <v>1</v>
      </c>
      <c r="P29" s="3">
        <f>I29-J29-K29-L29-M29-N29-O29</f>
      </c>
      <c r="Q29" s="3">
        <f>(P29-Y29)/G29*100</f>
      </c>
      <c r="R29" s="3">
        <f>J29-N29</f>
      </c>
      <c r="S29" t="s">
        <v>1</v>
      </c>
      <c r="T29" t="s">
        <v>68</v>
      </c>
      <c r="Z29" s="3">
        <f>P29-Y29</f>
      </c>
      <c r="AA29" t="s">
        <v>59</v>
      </c>
      <c r="AB29" t="s">
        <v>104</v>
      </c>
    </row>
    <row r="30" spans="1:28" x14ac:dyDescent="0.25">
      <c r="A30" s="7">
        <v>46231.5</v>
      </c>
      <c r="B30" t="s">
        <v>797</v>
      </c>
      <c r="C30" t="s">
        <v>1</v>
      </c>
      <c r="D30" s="8" t="s">
        <v>798</v>
      </c>
      <c r="E30" t="s">
        <v>72</v>
      </c>
      <c r="F30">
        <v>1</v>
      </c>
      <c r="G30" s="3">
        <v>329</v>
      </c>
      <c r="H30" s="3">
        <v>424.41</v>
      </c>
      <c r="I30" s="3">
        <f>H30-G30</f>
      </c>
      <c r="J30" s="3">
        <f>I30*16.67%</f>
      </c>
      <c r="K30" s="3">
        <f>H30/100*11</f>
      </c>
      <c r="L30" s="3">
        <v>8.99</v>
      </c>
      <c r="M30" s="3">
        <v>0</v>
      </c>
      <c r="N30" s="3">
        <f>M30*20%</f>
      </c>
      <c r="O30" s="3">
        <v>1</v>
      </c>
      <c r="P30" s="3">
        <f>I30-J30-K30-L30-M30-N30-O30</f>
      </c>
      <c r="Q30" s="3">
        <f>(P30-Y30)/G30*100</f>
      </c>
      <c r="R30" s="3">
        <f>J30-N30</f>
      </c>
      <c r="S30" t="s">
        <v>1</v>
      </c>
      <c r="T30" t="s">
        <v>130</v>
      </c>
      <c r="Z30" s="3">
        <f>P30-Y30</f>
      </c>
      <c r="AA30" t="s">
        <v>65</v>
      </c>
      <c r="AB30" t="s">
        <v>87</v>
      </c>
    </row>
    <row r="31" spans="1:28" x14ac:dyDescent="0.25">
      <c r="A31" s="7">
        <v>46231.5</v>
      </c>
      <c r="B31" t="s">
        <v>799</v>
      </c>
      <c r="C31" t="s">
        <v>1</v>
      </c>
      <c r="D31" s="8" t="s">
        <v>800</v>
      </c>
      <c r="E31" t="s">
        <v>57</v>
      </c>
      <c r="F31">
        <v>1</v>
      </c>
      <c r="G31" s="3">
        <v>80</v>
      </c>
      <c r="H31" s="3">
        <v>95.2</v>
      </c>
      <c r="I31" s="3">
        <f>H31-G31</f>
      </c>
      <c r="J31" s="3">
        <f>I31*16.67%</f>
      </c>
      <c r="K31" s="3">
        <f>H31/100*11</f>
      </c>
      <c r="L31" s="3">
        <v>8.99</v>
      </c>
      <c r="M31" s="3">
        <v>0</v>
      </c>
      <c r="N31" s="3">
        <f>M31*20%</f>
      </c>
      <c r="O31" s="3">
        <v>1</v>
      </c>
      <c r="P31" s="3">
        <f>I31-J31-K31-L31-M31-N31-O31</f>
      </c>
      <c r="Q31" s="3">
        <f>(P31-Y31)/G31*100</f>
      </c>
      <c r="R31" s="3">
        <f>J31-N31</f>
      </c>
      <c r="S31" t="s">
        <v>1</v>
      </c>
      <c r="T31" t="s">
        <v>93</v>
      </c>
      <c r="Z31" s="3">
        <f>P31-Y31</f>
      </c>
      <c r="AA31" t="s">
        <v>94</v>
      </c>
      <c r="AB31" t="s">
        <v>69</v>
      </c>
    </row>
    <row r="32" spans="1:28" x14ac:dyDescent="0.25">
      <c r="A32" s="7">
        <v>46231.5</v>
      </c>
      <c r="B32" t="s">
        <v>801</v>
      </c>
      <c r="C32" t="s">
        <v>1</v>
      </c>
      <c r="D32" s="8" t="s">
        <v>802</v>
      </c>
      <c r="E32" t="s">
        <v>72</v>
      </c>
      <c r="F32">
        <v>1</v>
      </c>
      <c r="G32" s="3">
        <v>300</v>
      </c>
      <c r="H32" s="3">
        <v>411</v>
      </c>
      <c r="I32" s="3">
        <f>H32-G32</f>
      </c>
      <c r="J32" s="3">
        <f>I32*16.67%</f>
      </c>
      <c r="K32" s="3">
        <f>H32/100*11</f>
      </c>
      <c r="L32" s="3">
        <v>8.99</v>
      </c>
      <c r="M32" s="3">
        <v>0</v>
      </c>
      <c r="N32" s="3">
        <f>M32*20%</f>
      </c>
      <c r="O32" s="3">
        <v>1</v>
      </c>
      <c r="P32" s="3">
        <f>I32-J32-K32-L32-M32-N32-O32</f>
      </c>
      <c r="Q32" s="3">
        <f>(P32-Y32)/G32*100</f>
      </c>
      <c r="R32" s="3">
        <f>J32-N32</f>
      </c>
      <c r="S32" t="s">
        <v>1</v>
      </c>
      <c r="T32" t="s">
        <v>124</v>
      </c>
      <c r="Z32" s="3">
        <f>P32-Y32</f>
      </c>
      <c r="AA32" t="s">
        <v>125</v>
      </c>
      <c r="AB32" t="s">
        <v>84</v>
      </c>
    </row>
    <row r="33" spans="1:28" x14ac:dyDescent="0.25">
      <c r="A33" s="7">
        <v>46231.5</v>
      </c>
      <c r="B33" t="s">
        <v>803</v>
      </c>
      <c r="C33" t="s">
        <v>1</v>
      </c>
      <c r="D33" s="8" t="s">
        <v>804</v>
      </c>
      <c r="E33" t="s">
        <v>77</v>
      </c>
      <c r="F33">
        <v>1</v>
      </c>
      <c r="G33" s="3">
        <v>361</v>
      </c>
      <c r="H33" s="3">
        <v>498.18</v>
      </c>
      <c r="I33" s="3">
        <f>H33-G33</f>
      </c>
      <c r="J33" s="3">
        <f>I33*16.67%</f>
      </c>
      <c r="K33" s="3">
        <f>H33/100*11</f>
      </c>
      <c r="L33" s="3">
        <v>8.99</v>
      </c>
      <c r="M33" s="3">
        <v>0</v>
      </c>
      <c r="N33" s="3">
        <f>M33*20%</f>
      </c>
      <c r="O33" s="3">
        <v>1</v>
      </c>
      <c r="P33" s="3">
        <f>I33-J33-K33-L33-M33-N33-O33</f>
      </c>
      <c r="Q33" s="3">
        <f>(P33-Y33)/G33*100</f>
      </c>
      <c r="R33" s="3">
        <f>J33-N33</f>
      </c>
      <c r="S33" t="s">
        <v>1</v>
      </c>
      <c r="T33" t="s">
        <v>73</v>
      </c>
      <c r="Z33" s="3">
        <f>P33-Y33</f>
      </c>
      <c r="AA33" t="s">
        <v>59</v>
      </c>
      <c r="AB33" t="s">
        <v>104</v>
      </c>
    </row>
    <row r="34" spans="1:28" x14ac:dyDescent="0.25">
      <c r="A34" s="7">
        <v>46231.5</v>
      </c>
      <c r="B34" t="s">
        <v>805</v>
      </c>
      <c r="C34" t="s">
        <v>1</v>
      </c>
      <c r="D34" s="8" t="s">
        <v>806</v>
      </c>
      <c r="E34" t="s">
        <v>57</v>
      </c>
      <c r="F34">
        <v>1</v>
      </c>
      <c r="G34" s="3">
        <v>80</v>
      </c>
      <c r="H34" s="3">
        <v>114.4</v>
      </c>
      <c r="I34" s="3">
        <f>H34-G34</f>
      </c>
      <c r="J34" s="3">
        <f>I34*16.67%</f>
      </c>
      <c r="K34" s="3">
        <f>H34/100*11</f>
      </c>
      <c r="L34" s="3">
        <v>8.99</v>
      </c>
      <c r="M34" s="3">
        <v>0</v>
      </c>
      <c r="N34" s="3">
        <f>M34*20%</f>
      </c>
      <c r="O34" s="3">
        <v>1</v>
      </c>
      <c r="P34" s="3">
        <f>I34-J34-K34-L34-M34-N34-O34</f>
      </c>
      <c r="Q34" s="3">
        <f>(P34-Y34)/G34*100</f>
      </c>
      <c r="R34" s="3">
        <f>J34-N34</f>
      </c>
      <c r="S34" t="s">
        <v>1</v>
      </c>
      <c r="T34" t="s">
        <v>93</v>
      </c>
      <c r="Z34" s="3">
        <f>P34-Y34</f>
      </c>
      <c r="AA34" t="s">
        <v>94</v>
      </c>
      <c r="AB34" t="s">
        <v>87</v>
      </c>
    </row>
    <row r="35" spans="1:28" x14ac:dyDescent="0.25">
      <c r="A35" s="7">
        <v>46231.5</v>
      </c>
      <c r="B35" t="s">
        <v>807</v>
      </c>
      <c r="C35" t="s">
        <v>1</v>
      </c>
      <c r="D35" s="8" t="s">
        <v>808</v>
      </c>
      <c r="E35" t="s">
        <v>72</v>
      </c>
      <c r="F35">
        <v>1</v>
      </c>
      <c r="G35" s="3">
        <v>338</v>
      </c>
      <c r="H35" s="3">
        <v>408.98</v>
      </c>
      <c r="I35" s="3">
        <f>H35-G35</f>
      </c>
      <c r="J35" s="3">
        <f>I35*16.67%</f>
      </c>
      <c r="K35" s="3">
        <f>H35/100*11</f>
      </c>
      <c r="L35" s="3">
        <v>8.99</v>
      </c>
      <c r="M35" s="3">
        <v>0</v>
      </c>
      <c r="N35" s="3">
        <f>M35*20%</f>
      </c>
      <c r="O35" s="3">
        <v>1</v>
      </c>
      <c r="P35" s="3">
        <f>I35-J35-K35-L35-M35-N35-O35</f>
      </c>
      <c r="Q35" s="3">
        <f>(P35-Y35)/G35*100</f>
      </c>
      <c r="R35" s="3">
        <f>J35-N35</f>
      </c>
      <c r="S35" t="s">
        <v>1</v>
      </c>
      <c r="T35" t="s">
        <v>138</v>
      </c>
      <c r="Z35" s="3">
        <f>P35-Y35</f>
      </c>
      <c r="AA35" t="s">
        <v>65</v>
      </c>
      <c r="AB35" t="s">
        <v>69</v>
      </c>
    </row>
    <row r="36" spans="1:28" x14ac:dyDescent="0.25">
      <c r="A36" s="7">
        <v>46231.5</v>
      </c>
      <c r="B36" t="s">
        <v>809</v>
      </c>
      <c r="C36" t="s">
        <v>1</v>
      </c>
      <c r="D36" s="8" t="s">
        <v>810</v>
      </c>
      <c r="E36" t="s">
        <v>63</v>
      </c>
      <c r="F36">
        <v>1</v>
      </c>
      <c r="G36" s="3">
        <v>372</v>
      </c>
      <c r="H36" s="3">
        <v>531.96</v>
      </c>
      <c r="I36" s="3">
        <f>H36-G36</f>
      </c>
      <c r="J36" s="3">
        <f>I36*16.67%</f>
      </c>
      <c r="K36" s="3">
        <f>H36/100*11</f>
      </c>
      <c r="L36" s="3">
        <v>8.99</v>
      </c>
      <c r="M36" s="3">
        <v>0</v>
      </c>
      <c r="N36" s="3">
        <f>M36*20%</f>
      </c>
      <c r="O36" s="3">
        <v>1</v>
      </c>
      <c r="P36" s="3">
        <f>I36-J36-K36-L36-M36-N36-O36</f>
      </c>
      <c r="Q36" s="3">
        <f>(P36-Y36)/G36*100</f>
      </c>
      <c r="R36" s="3">
        <f>J36-N36</f>
      </c>
      <c r="S36" t="s">
        <v>1</v>
      </c>
      <c r="T36" t="s">
        <v>73</v>
      </c>
      <c r="Z36" s="3">
        <f>P36-Y36</f>
      </c>
      <c r="AA36" t="s">
        <v>59</v>
      </c>
      <c r="AB36" t="s">
        <v>69</v>
      </c>
    </row>
    <row r="37" spans="1:28" x14ac:dyDescent="0.25">
      <c r="A37" s="7">
        <v>46231.5</v>
      </c>
      <c r="B37" t="s">
        <v>811</v>
      </c>
      <c r="C37" t="s">
        <v>1</v>
      </c>
      <c r="D37" s="8" t="s">
        <v>812</v>
      </c>
      <c r="E37" t="s">
        <v>63</v>
      </c>
      <c r="F37">
        <v>1</v>
      </c>
      <c r="G37" s="3">
        <v>542</v>
      </c>
      <c r="H37" s="3">
        <v>661.24</v>
      </c>
      <c r="I37" s="3">
        <f>H37-G37</f>
      </c>
      <c r="J37" s="3">
        <f>I37*16.67%</f>
      </c>
      <c r="K37" s="3">
        <f>H37/100*11</f>
      </c>
      <c r="L37" s="3">
        <v>8.99</v>
      </c>
      <c r="M37" s="3">
        <v>0</v>
      </c>
      <c r="N37" s="3">
        <f>M37*20%</f>
      </c>
      <c r="O37" s="3">
        <v>1</v>
      </c>
      <c r="P37" s="3">
        <f>I37-J37-K37-L37-M37-N37-O37</f>
      </c>
      <c r="Q37" s="3">
        <f>(P37-Y37)/G37*100</f>
      </c>
      <c r="R37" s="3">
        <f>J37-N37</f>
      </c>
      <c r="S37" t="s">
        <v>1</v>
      </c>
      <c r="T37" t="s">
        <v>80</v>
      </c>
      <c r="Z37" s="3">
        <f>P37-Y37</f>
      </c>
      <c r="AA37" t="s">
        <v>59</v>
      </c>
      <c r="AB37" t="s">
        <v>87</v>
      </c>
    </row>
    <row r="38" spans="1:28" x14ac:dyDescent="0.25">
      <c r="A38" s="7">
        <v>46231.5</v>
      </c>
      <c r="B38" t="s">
        <v>813</v>
      </c>
      <c r="C38" t="s">
        <v>1</v>
      </c>
      <c r="D38" s="8" t="s">
        <v>814</v>
      </c>
      <c r="E38" t="s">
        <v>101</v>
      </c>
      <c r="F38">
        <v>1</v>
      </c>
      <c r="G38" s="3">
        <v>345</v>
      </c>
      <c r="H38" s="3">
        <v>486.45</v>
      </c>
      <c r="I38" s="3">
        <f>H38-G38</f>
      </c>
      <c r="J38" s="3">
        <f>I38*16.67%</f>
      </c>
      <c r="K38" s="3">
        <f>H38/100*11</f>
      </c>
      <c r="L38" s="3">
        <v>8.99</v>
      </c>
      <c r="M38" s="3">
        <v>0</v>
      </c>
      <c r="N38" s="3">
        <f>M38*20%</f>
      </c>
      <c r="O38" s="3">
        <v>1</v>
      </c>
      <c r="P38" s="3">
        <f>I38-J38-K38-L38-M38-N38-O38</f>
      </c>
      <c r="Q38" s="3">
        <f>(P38-Y38)/G38*100</f>
      </c>
      <c r="R38" s="3">
        <f>J38-N38</f>
      </c>
      <c r="S38" t="s">
        <v>1</v>
      </c>
      <c r="T38" t="s">
        <v>73</v>
      </c>
      <c r="Z38" s="3">
        <f>P38-Y38</f>
      </c>
      <c r="AA38" t="s">
        <v>59</v>
      </c>
      <c r="AB38" t="s">
        <v>87</v>
      </c>
    </row>
    <row r="39" spans="1:28" x14ac:dyDescent="0.25">
      <c r="A39" s="7">
        <v>46231.5</v>
      </c>
      <c r="B39" t="s">
        <v>815</v>
      </c>
      <c r="C39" t="s">
        <v>184</v>
      </c>
      <c r="D39" s="8" t="s">
        <v>1</v>
      </c>
      <c r="E39" t="s">
        <v>101</v>
      </c>
      <c r="F39">
        <v>2</v>
      </c>
      <c r="G39" s="3">
        <v>2.4</v>
      </c>
      <c r="H39" s="3">
        <v>3.22</v>
      </c>
      <c r="I39" s="3">
        <f>H39-G39</f>
      </c>
      <c r="J39" s="3">
        <f>I39*16.67%</f>
      </c>
      <c r="K39" s="3">
        <f>H39/100*11</f>
      </c>
      <c r="L39" s="3">
        <v>8.99</v>
      </c>
      <c r="M39" s="3">
        <v>0</v>
      </c>
      <c r="N39" s="3">
        <f>M39*20%</f>
      </c>
      <c r="O39" s="3">
        <v>1</v>
      </c>
      <c r="P39" s="3">
        <f>I39-J39-K39-L39-M39-N39-O39</f>
      </c>
      <c r="Q39" s="3">
        <f>(P39-Y39)/G39*100</f>
      </c>
      <c r="R39" s="3">
        <f>J39-N39</f>
      </c>
      <c r="S39" t="s">
        <v>1</v>
      </c>
      <c r="T39" t="s">
        <v>184</v>
      </c>
      <c r="Z39" s="3">
        <f>P39-Y39</f>
      </c>
      <c r="AA39" t="s">
        <v>1</v>
      </c>
      <c r="AB39" t="s">
        <v>1</v>
      </c>
    </row>
    <row r="40" spans="1:28" x14ac:dyDescent="0.25">
      <c r="A40" s="7">
        <v>46231.5</v>
      </c>
      <c r="B40" t="s">
        <v>816</v>
      </c>
      <c r="C40" t="s">
        <v>184</v>
      </c>
      <c r="D40" s="8" t="s">
        <v>1</v>
      </c>
      <c r="E40" t="s">
        <v>101</v>
      </c>
      <c r="F40">
        <v>2</v>
      </c>
      <c r="G40" s="3">
        <v>2.4</v>
      </c>
      <c r="H40" s="3">
        <v>3.36</v>
      </c>
      <c r="I40" s="3">
        <f>H40-G40</f>
      </c>
      <c r="J40" s="3">
        <f>I40*16.67%</f>
      </c>
      <c r="K40" s="3">
        <f>H40/100*11</f>
      </c>
      <c r="L40" s="3">
        <v>8.99</v>
      </c>
      <c r="M40" s="3">
        <v>0</v>
      </c>
      <c r="N40" s="3">
        <f>M40*20%</f>
      </c>
      <c r="O40" s="3">
        <v>1</v>
      </c>
      <c r="P40" s="3">
        <f>I40-J40-K40-L40-M40-N40-O40</f>
      </c>
      <c r="Q40" s="3">
        <f>(P40-Y40)/G40*100</f>
      </c>
      <c r="R40" s="3">
        <f>J40-N40</f>
      </c>
      <c r="S40" t="s">
        <v>1</v>
      </c>
      <c r="T40" t="s">
        <v>184</v>
      </c>
      <c r="Z40" s="3">
        <f>P40-Y40</f>
      </c>
      <c r="AA40" t="s">
        <v>1</v>
      </c>
      <c r="AB40" t="s">
        <v>1</v>
      </c>
    </row>
    <row r="41" spans="1:28" x14ac:dyDescent="0.25">
      <c r="A41" s="7">
        <v>46231.5</v>
      </c>
      <c r="B41" t="s">
        <v>817</v>
      </c>
      <c r="C41" t="s">
        <v>188</v>
      </c>
      <c r="D41" s="8" t="s">
        <v>1</v>
      </c>
      <c r="E41" t="s">
        <v>63</v>
      </c>
      <c r="F41">
        <v>3</v>
      </c>
      <c r="G41" s="3">
        <v>10.5</v>
      </c>
      <c r="H41" s="3">
        <v>13.65</v>
      </c>
      <c r="I41" s="3">
        <f>H41-G41</f>
      </c>
      <c r="J41" s="3">
        <f>I41*16.67%</f>
      </c>
      <c r="K41" s="3">
        <f>H41/100*11</f>
      </c>
      <c r="L41" s="3">
        <v>8.99</v>
      </c>
      <c r="M41" s="3">
        <v>0</v>
      </c>
      <c r="N41" s="3">
        <f>M41*20%</f>
      </c>
      <c r="O41" s="3">
        <v>1</v>
      </c>
      <c r="P41" s="3">
        <f>I41-J41-K41-L41-M41-N41-O41</f>
      </c>
      <c r="Q41" s="3">
        <f>(P41-Y41)/G41*100</f>
      </c>
      <c r="R41" s="3">
        <f>J41-N41</f>
      </c>
      <c r="S41" t="s">
        <v>1</v>
      </c>
      <c r="T41" t="s">
        <v>188</v>
      </c>
      <c r="Z41" s="3">
        <f>P41-Y41</f>
      </c>
      <c r="AA41" t="s">
        <v>1</v>
      </c>
      <c r="AB41" t="s">
        <v>1</v>
      </c>
    </row>
    <row r="42" spans="1:28" x14ac:dyDescent="0.25">
      <c r="A42" s="7">
        <v>46231.5</v>
      </c>
      <c r="B42" t="s">
        <v>818</v>
      </c>
      <c r="C42" t="s">
        <v>188</v>
      </c>
      <c r="D42" s="8" t="s">
        <v>1</v>
      </c>
      <c r="E42" t="s">
        <v>63</v>
      </c>
      <c r="F42">
        <v>3</v>
      </c>
      <c r="G42" s="3">
        <v>10.5</v>
      </c>
      <c r="H42" s="3">
        <v>13.23</v>
      </c>
      <c r="I42" s="3">
        <f>H42-G42</f>
      </c>
      <c r="J42" s="3">
        <f>I42*16.67%</f>
      </c>
      <c r="K42" s="3">
        <f>H42/100*11</f>
      </c>
      <c r="L42" s="3">
        <v>8.99</v>
      </c>
      <c r="M42" s="3">
        <v>0</v>
      </c>
      <c r="N42" s="3">
        <f>M42*20%</f>
      </c>
      <c r="O42" s="3">
        <v>1</v>
      </c>
      <c r="P42" s="3">
        <f>I42-J42-K42-L42-M42-N42-O42</f>
      </c>
      <c r="Q42" s="3">
        <f>(P42-Y42)/G42*100</f>
      </c>
      <c r="R42" s="3">
        <f>J42-N42</f>
      </c>
      <c r="S42" t="s">
        <v>1</v>
      </c>
      <c r="T42" t="s">
        <v>188</v>
      </c>
      <c r="Z42" s="3">
        <f>P42-Y42</f>
      </c>
      <c r="AA42" t="s">
        <v>1</v>
      </c>
      <c r="AB42" t="s">
        <v>1</v>
      </c>
    </row>
    <row r="43" spans="1:28" x14ac:dyDescent="0.25">
      <c r="A43" s="7">
        <v>46231.5</v>
      </c>
      <c r="B43" t="s">
        <v>819</v>
      </c>
      <c r="C43" t="s">
        <v>173</v>
      </c>
      <c r="D43" s="8" t="s">
        <v>1</v>
      </c>
      <c r="E43" t="s">
        <v>63</v>
      </c>
      <c r="F43">
        <v>1</v>
      </c>
      <c r="G43" s="3">
        <v>4.25</v>
      </c>
      <c r="H43" s="3">
        <v>5.99</v>
      </c>
      <c r="I43" s="3">
        <f>H43-G43</f>
      </c>
      <c r="J43" s="3">
        <f>I43*16.67%</f>
      </c>
      <c r="K43" s="3">
        <f>H43/100*11</f>
      </c>
      <c r="L43" s="3">
        <v>8.99</v>
      </c>
      <c r="M43" s="3">
        <v>0</v>
      </c>
      <c r="N43" s="3">
        <f>M43*20%</f>
      </c>
      <c r="O43" s="3">
        <v>1</v>
      </c>
      <c r="P43" s="3">
        <f>I43-J43-K43-L43-M43-N43-O43</f>
      </c>
      <c r="Q43" s="3">
        <f>(P43-Y43)/G43*100</f>
      </c>
      <c r="R43" s="3">
        <f>J43-N43</f>
      </c>
      <c r="S43" t="s">
        <v>1</v>
      </c>
      <c r="T43" t="s">
        <v>173</v>
      </c>
      <c r="Z43" s="3">
        <f>P43-Y43</f>
      </c>
      <c r="AA43" t="s">
        <v>1</v>
      </c>
      <c r="AB43" t="s">
        <v>1</v>
      </c>
    </row>
    <row r="44" spans="1:28" x14ac:dyDescent="0.25">
      <c r="A44" s="7">
        <v>46231.5</v>
      </c>
      <c r="B44" t="s">
        <v>820</v>
      </c>
      <c r="C44" t="s">
        <v>253</v>
      </c>
      <c r="D44" s="8" t="s">
        <v>1</v>
      </c>
      <c r="E44" t="s">
        <v>57</v>
      </c>
      <c r="F44">
        <v>4</v>
      </c>
      <c r="G44" s="3">
        <v>3.2</v>
      </c>
      <c r="H44" s="3">
        <v>4.58</v>
      </c>
      <c r="I44" s="3">
        <f>H44-G44</f>
      </c>
      <c r="J44" s="3">
        <f>I44*16.67%</f>
      </c>
      <c r="K44" s="3">
        <f>H44/100*11</f>
      </c>
      <c r="L44" s="3">
        <v>8.99</v>
      </c>
      <c r="M44" s="3">
        <v>0</v>
      </c>
      <c r="N44" s="3">
        <f>M44*20%</f>
      </c>
      <c r="O44" s="3">
        <v>1</v>
      </c>
      <c r="P44" s="3">
        <f>I44-J44-K44-L44-M44-N44-O44</f>
      </c>
      <c r="Q44" s="3">
        <f>(P44-Y44)/G44*100</f>
      </c>
      <c r="R44" s="3">
        <f>J44-N44</f>
      </c>
      <c r="S44" t="s">
        <v>1</v>
      </c>
      <c r="T44" t="s">
        <v>253</v>
      </c>
      <c r="Z44" s="3">
        <f>P44-Y44</f>
      </c>
      <c r="AA44" t="s">
        <v>1</v>
      </c>
      <c r="AB44" t="s">
        <v>1</v>
      </c>
    </row>
    <row r="45" spans="1:28" x14ac:dyDescent="0.25">
      <c r="A45" s="7">
        <v>46231.5</v>
      </c>
      <c r="B45" t="s">
        <v>821</v>
      </c>
      <c r="C45" t="s">
        <v>253</v>
      </c>
      <c r="D45" s="8" t="s">
        <v>1</v>
      </c>
      <c r="E45" t="s">
        <v>57</v>
      </c>
      <c r="F45">
        <v>3</v>
      </c>
      <c r="G45" s="3">
        <v>2.4</v>
      </c>
      <c r="H45" s="3">
        <v>2.86</v>
      </c>
      <c r="I45" s="3">
        <f>H45-G45</f>
      </c>
      <c r="J45" s="3">
        <f>I45*16.67%</f>
      </c>
      <c r="K45" s="3">
        <f>H45/100*11</f>
      </c>
      <c r="L45" s="3">
        <v>8.99</v>
      </c>
      <c r="M45" s="3">
        <v>0</v>
      </c>
      <c r="N45" s="3">
        <f>M45*20%</f>
      </c>
      <c r="O45" s="3">
        <v>1</v>
      </c>
      <c r="P45" s="3">
        <f>I45-J45-K45-L45-M45-N45-O45</f>
      </c>
      <c r="Q45" s="3">
        <f>(P45-Y45)/G45*100</f>
      </c>
      <c r="R45" s="3">
        <f>J45-N45</f>
      </c>
      <c r="S45" t="s">
        <v>1</v>
      </c>
      <c r="T45" t="s">
        <v>253</v>
      </c>
      <c r="Z45" s="3">
        <f>P45-Y45</f>
      </c>
      <c r="AA45" t="s">
        <v>1</v>
      </c>
      <c r="AB45" t="s">
        <v>1</v>
      </c>
    </row>
    <row r="46" spans="1:28" x14ac:dyDescent="0.25">
      <c r="A46" s="7">
        <v>46231.5</v>
      </c>
      <c r="B46" t="s">
        <v>822</v>
      </c>
      <c r="C46" t="s">
        <v>253</v>
      </c>
      <c r="D46" s="8" t="s">
        <v>1</v>
      </c>
      <c r="E46" t="s">
        <v>57</v>
      </c>
      <c r="F46">
        <v>4</v>
      </c>
      <c r="G46" s="3">
        <v>3.2</v>
      </c>
      <c r="H46" s="3">
        <v>4.22</v>
      </c>
      <c r="I46" s="3">
        <f>H46-G46</f>
      </c>
      <c r="J46" s="3">
        <f>I46*16.67%</f>
      </c>
      <c r="K46" s="3">
        <f>H46/100*11</f>
      </c>
      <c r="L46" s="3">
        <v>8.99</v>
      </c>
      <c r="M46" s="3">
        <v>0</v>
      </c>
      <c r="N46" s="3">
        <f>M46*20%</f>
      </c>
      <c r="O46" s="3">
        <v>1</v>
      </c>
      <c r="P46" s="3">
        <f>I46-J46-K46-L46-M46-N46-O46</f>
      </c>
      <c r="Q46" s="3">
        <f>(P46-Y46)/G46*100</f>
      </c>
      <c r="R46" s="3">
        <f>J46-N46</f>
      </c>
      <c r="S46" t="s">
        <v>1</v>
      </c>
      <c r="T46" t="s">
        <v>253</v>
      </c>
      <c r="Z46" s="3">
        <f>P46-Y46</f>
      </c>
      <c r="AA46" t="s">
        <v>1</v>
      </c>
      <c r="AB46" t="s">
        <v>1</v>
      </c>
    </row>
    <row r="47" spans="1:28" x14ac:dyDescent="0.25">
      <c r="A47" s="7">
        <v>46231.5</v>
      </c>
      <c r="B47" t="s">
        <v>823</v>
      </c>
      <c r="C47" t="s">
        <v>253</v>
      </c>
      <c r="D47" s="8" t="s">
        <v>1</v>
      </c>
      <c r="E47" t="s">
        <v>57</v>
      </c>
      <c r="F47">
        <v>1</v>
      </c>
      <c r="G47" s="3">
        <v>0.8</v>
      </c>
      <c r="H47" s="3">
        <v>0.99</v>
      </c>
      <c r="I47" s="3">
        <f>H47-G47</f>
      </c>
      <c r="J47" s="3">
        <f>I47*16.67%</f>
      </c>
      <c r="K47" s="3">
        <f>H47/100*11</f>
      </c>
      <c r="L47" s="3">
        <v>8.99</v>
      </c>
      <c r="M47" s="3">
        <v>0</v>
      </c>
      <c r="N47" s="3">
        <f>M47*20%</f>
      </c>
      <c r="O47" s="3">
        <v>1</v>
      </c>
      <c r="P47" s="3">
        <f>I47-J47-K47-L47-M47-N47-O47</f>
      </c>
      <c r="Q47" s="3">
        <f>(P47-Y47)/G47*100</f>
      </c>
      <c r="R47" s="3">
        <f>J47-N47</f>
      </c>
      <c r="S47" t="s">
        <v>1</v>
      </c>
      <c r="T47" t="s">
        <v>253</v>
      </c>
      <c r="Z47" s="3">
        <f>P47-Y47</f>
      </c>
      <c r="AA47" t="s">
        <v>1</v>
      </c>
      <c r="AB47" t="s">
        <v>1</v>
      </c>
    </row>
    <row r="48" spans="1:28" x14ac:dyDescent="0.25">
      <c r="A48" s="7">
        <v>46231.5</v>
      </c>
      <c r="B48" t="s">
        <v>824</v>
      </c>
      <c r="C48" t="s">
        <v>181</v>
      </c>
      <c r="D48" s="8" t="s">
        <v>1</v>
      </c>
      <c r="E48" t="s">
        <v>72</v>
      </c>
      <c r="F48">
        <v>3</v>
      </c>
      <c r="G48" s="3">
        <v>5.7</v>
      </c>
      <c r="H48" s="3">
        <v>7.52</v>
      </c>
      <c r="I48" s="3">
        <f>H48-G48</f>
      </c>
      <c r="J48" s="3">
        <f>I48*16.67%</f>
      </c>
      <c r="K48" s="3">
        <f>H48/100*11</f>
      </c>
      <c r="L48" s="3">
        <v>8.99</v>
      </c>
      <c r="M48" s="3">
        <v>0</v>
      </c>
      <c r="N48" s="3">
        <f>M48*20%</f>
      </c>
      <c r="O48" s="3">
        <v>1</v>
      </c>
      <c r="P48" s="3">
        <f>I48-J48-K48-L48-M48-N48-O48</f>
      </c>
      <c r="Q48" s="3">
        <f>(P48-Y48)/G48*100</f>
      </c>
      <c r="R48" s="3">
        <f>J48-N48</f>
      </c>
      <c r="S48" t="s">
        <v>1</v>
      </c>
      <c r="T48" t="s">
        <v>181</v>
      </c>
      <c r="Z48" s="3">
        <f>P48-Y48</f>
      </c>
      <c r="AA48" t="s">
        <v>1</v>
      </c>
      <c r="AB48" t="s">
        <v>1</v>
      </c>
    </row>
    <row r="49" spans="1:28" x14ac:dyDescent="0.25">
      <c r="A49" s="7">
        <v>46231.5</v>
      </c>
      <c r="B49" t="s">
        <v>825</v>
      </c>
      <c r="C49" t="s">
        <v>181</v>
      </c>
      <c r="D49" s="8" t="s">
        <v>1</v>
      </c>
      <c r="E49" t="s">
        <v>72</v>
      </c>
      <c r="F49">
        <v>1</v>
      </c>
      <c r="G49" s="3">
        <v>1.9</v>
      </c>
      <c r="H49" s="3">
        <v>2.68</v>
      </c>
      <c r="I49" s="3">
        <f>H49-G49</f>
      </c>
      <c r="J49" s="3">
        <f>I49*16.67%</f>
      </c>
      <c r="K49" s="3">
        <f>H49/100*11</f>
      </c>
      <c r="L49" s="3">
        <v>8.99</v>
      </c>
      <c r="M49" s="3">
        <v>0</v>
      </c>
      <c r="N49" s="3">
        <f>M49*20%</f>
      </c>
      <c r="O49" s="3">
        <v>1</v>
      </c>
      <c r="P49" s="3">
        <f>I49-J49-K49-L49-M49-N49-O49</f>
      </c>
      <c r="Q49" s="3">
        <f>(P49-Y49)/G49*100</f>
      </c>
      <c r="R49" s="3">
        <f>J49-N49</f>
      </c>
      <c r="S49" t="s">
        <v>1</v>
      </c>
      <c r="T49" t="s">
        <v>181</v>
      </c>
      <c r="Z49" s="3">
        <f>P49-Y49</f>
      </c>
      <c r="AA49" t="s">
        <v>1</v>
      </c>
      <c r="AB49" t="s">
        <v>1</v>
      </c>
    </row>
    <row r="50" spans="1:28" x14ac:dyDescent="0.25">
      <c r="A50" s="7">
        <v>46231.5</v>
      </c>
      <c r="B50" t="s">
        <v>826</v>
      </c>
      <c r="C50" t="s">
        <v>1</v>
      </c>
      <c r="D50" s="8" t="s">
        <v>1</v>
      </c>
      <c r="E50" t="s">
        <v>72</v>
      </c>
      <c r="F50">
        <v>1</v>
      </c>
      <c r="G50" s="3">
        <v>356</v>
      </c>
      <c r="H50" s="3">
        <v>441.44</v>
      </c>
      <c r="I50" s="3">
        <f>H50-G50</f>
      </c>
      <c r="J50" s="3">
        <f>I50*16.67%</f>
      </c>
      <c r="K50" s="3">
        <f>H50/100*11</f>
      </c>
      <c r="L50" s="3">
        <v>8.99</v>
      </c>
      <c r="M50" s="3">
        <v>0</v>
      </c>
      <c r="N50" s="3">
        <f>M50*20%</f>
      </c>
      <c r="O50" s="3">
        <v>1</v>
      </c>
      <c r="P50" s="3">
        <f>I50-J50-K50-L50-M50-N50-O50</f>
      </c>
      <c r="Q50" s="3">
        <f>(P50-Y50)/G50*100</f>
      </c>
      <c r="R50" s="3">
        <f>J50-N50</f>
      </c>
      <c r="S50" t="s">
        <v>1</v>
      </c>
      <c r="T50" t="s">
        <v>1</v>
      </c>
      <c r="Z50" s="3">
        <f>P50-Y50</f>
      </c>
      <c r="AA50" t="s">
        <v>1</v>
      </c>
      <c r="AB50" t="s">
        <v>1</v>
      </c>
    </row>
    <row r="51" spans="1:28" x14ac:dyDescent="0.25">
      <c r="A51" s="7">
        <v>46231.5</v>
      </c>
      <c r="B51" t="s">
        <v>827</v>
      </c>
      <c r="C51" t="s">
        <v>1</v>
      </c>
      <c r="D51" s="8" t="s">
        <v>1</v>
      </c>
      <c r="E51" t="s">
        <v>63</v>
      </c>
      <c r="F51">
        <v>1</v>
      </c>
      <c r="G51" s="3">
        <v>139</v>
      </c>
      <c r="H51" s="3">
        <v>186.26</v>
      </c>
      <c r="I51" s="3">
        <f>H51-G51</f>
      </c>
      <c r="J51" s="3">
        <f>I51*16.67%</f>
      </c>
      <c r="K51" s="3">
        <f>H51/100*11</f>
      </c>
      <c r="L51" s="3">
        <v>8.99</v>
      </c>
      <c r="M51" s="3">
        <v>0</v>
      </c>
      <c r="N51" s="3">
        <f>M51*20%</f>
      </c>
      <c r="O51" s="3">
        <v>1</v>
      </c>
      <c r="P51" s="3">
        <f>I51-J51-K51-L51-M51-N51-O51</f>
      </c>
      <c r="Q51" s="3">
        <f>(P51-Y51)/G51*100</f>
      </c>
      <c r="R51" s="3">
        <f>J51-N51</f>
      </c>
      <c r="S51" t="s">
        <v>1</v>
      </c>
      <c r="T51" t="s">
        <v>1</v>
      </c>
      <c r="Z51" s="3">
        <f>P51-Y51</f>
      </c>
      <c r="AA51" t="s">
        <v>1</v>
      </c>
      <c r="AB51" t="s">
        <v>1</v>
      </c>
    </row>
    <row r="52" spans="1:28" x14ac:dyDescent="0.25">
      <c r="A52" s="7">
        <v>46231.5</v>
      </c>
      <c r="B52" t="s">
        <v>828</v>
      </c>
      <c r="C52" t="s">
        <v>1</v>
      </c>
      <c r="D52" s="8" t="s">
        <v>1</v>
      </c>
      <c r="E52" t="s">
        <v>77</v>
      </c>
      <c r="F52">
        <v>1</v>
      </c>
      <c r="G52" s="3">
        <v>140</v>
      </c>
      <c r="H52" s="3">
        <v>193.2</v>
      </c>
      <c r="I52" s="3">
        <f>H52-G52</f>
      </c>
      <c r="J52" s="3">
        <f>I52*16.67%</f>
      </c>
      <c r="K52" s="3">
        <f>H52/100*11</f>
      </c>
      <c r="L52" s="3">
        <v>8.99</v>
      </c>
      <c r="M52" s="3">
        <v>0</v>
      </c>
      <c r="N52" s="3">
        <f>M52*20%</f>
      </c>
      <c r="O52" s="3">
        <v>1</v>
      </c>
      <c r="P52" s="3">
        <f>I52-J52-K52-L52-M52-N52-O52</f>
      </c>
      <c r="Q52" s="3">
        <f>(P52-Y52)/G52*100</f>
      </c>
      <c r="R52" s="3">
        <f>J52-N52</f>
      </c>
      <c r="S52" t="s">
        <v>1</v>
      </c>
      <c r="T52" t="s">
        <v>1</v>
      </c>
      <c r="Z52" s="3">
        <f>P52-Y52</f>
      </c>
      <c r="AA52" t="s">
        <v>1</v>
      </c>
      <c r="AB52" t="s">
        <v>1</v>
      </c>
    </row>
    <row r="53" spans="1:28" x14ac:dyDescent="0.25">
      <c r="A53" s="7">
        <v>46231.5</v>
      </c>
      <c r="B53" t="s">
        <v>829</v>
      </c>
      <c r="C53" t="s">
        <v>1</v>
      </c>
      <c r="D53" s="8" t="s">
        <v>1</v>
      </c>
      <c r="E53" t="s">
        <v>72</v>
      </c>
      <c r="F53">
        <v>1</v>
      </c>
      <c r="G53" s="3">
        <v>723</v>
      </c>
      <c r="H53" s="3">
        <v>1041.12</v>
      </c>
      <c r="I53" s="3">
        <f>H53-G53</f>
      </c>
      <c r="J53" s="3">
        <f>I53*16.67%</f>
      </c>
      <c r="K53" s="3">
        <f>H53/100*11</f>
      </c>
      <c r="L53" s="3">
        <v>8.99</v>
      </c>
      <c r="M53" s="3">
        <v>0</v>
      </c>
      <c r="N53" s="3">
        <f>M53*20%</f>
      </c>
      <c r="O53" s="3">
        <v>1</v>
      </c>
      <c r="P53" s="3">
        <f>I53-J53-K53-L53-M53-N53-O53</f>
      </c>
      <c r="Q53" s="3">
        <f>(P53-Y53)/G53*100</f>
      </c>
      <c r="R53" s="3">
        <f>J53-N53</f>
      </c>
      <c r="S53" t="s">
        <v>1</v>
      </c>
      <c r="T53" t="s">
        <v>1</v>
      </c>
      <c r="Z53" s="3">
        <f>P53-Y53</f>
      </c>
      <c r="AA53" t="s">
        <v>1</v>
      </c>
      <c r="AB53" t="s">
        <v>1</v>
      </c>
    </row>
    <row r="54" spans="1:28" x14ac:dyDescent="0.25">
      <c r="A54" s="7">
        <v>46231.5</v>
      </c>
      <c r="B54" t="s">
        <v>830</v>
      </c>
      <c r="C54" t="s">
        <v>1</v>
      </c>
      <c r="D54" s="8" t="s">
        <v>1</v>
      </c>
      <c r="E54" t="s">
        <v>57</v>
      </c>
      <c r="F54">
        <v>1</v>
      </c>
      <c r="G54" s="3">
        <v>563</v>
      </c>
      <c r="H54" s="3">
        <v>664.34</v>
      </c>
      <c r="I54" s="3">
        <f>H54-G54</f>
      </c>
      <c r="J54" s="3">
        <f>I54*16.67%</f>
      </c>
      <c r="K54" s="3">
        <f>H54/100*11</f>
      </c>
      <c r="L54" s="3">
        <v>8.99</v>
      </c>
      <c r="M54" s="3">
        <v>0</v>
      </c>
      <c r="N54" s="3">
        <f>M54*20%</f>
      </c>
      <c r="O54" s="3">
        <v>1</v>
      </c>
      <c r="P54" s="3">
        <f>I54-J54-K54-L54-M54-N54-O54</f>
      </c>
      <c r="Q54" s="3">
        <f>(P54-Y54)/G54*100</f>
      </c>
      <c r="R54" s="3">
        <f>J54-N54</f>
      </c>
      <c r="S54" t="s">
        <v>1</v>
      </c>
      <c r="T54" t="s">
        <v>1</v>
      </c>
      <c r="Z54" s="3">
        <f>P54-Y54</f>
      </c>
      <c r="AA54" t="s">
        <v>1</v>
      </c>
      <c r="AB54" t="s">
        <v>1</v>
      </c>
    </row>
    <row r="55" spans="1:28" x14ac:dyDescent="0.25">
      <c r="A55" s="7">
        <v>46231.5</v>
      </c>
      <c r="B55" t="s">
        <v>831</v>
      </c>
      <c r="C55" t="s">
        <v>1</v>
      </c>
      <c r="D55" s="8" t="s">
        <v>1</v>
      </c>
      <c r="E55" t="s">
        <v>63</v>
      </c>
      <c r="F55">
        <v>1</v>
      </c>
      <c r="G55" s="3">
        <v>319</v>
      </c>
      <c r="H55" s="3">
        <v>392.37</v>
      </c>
      <c r="I55" s="3">
        <f>H55-G55</f>
      </c>
      <c r="J55" s="3">
        <f>I55*16.67%</f>
      </c>
      <c r="K55" s="3">
        <f>H55/100*11</f>
      </c>
      <c r="L55" s="3">
        <v>8.99</v>
      </c>
      <c r="M55" s="3">
        <v>0</v>
      </c>
      <c r="N55" s="3">
        <f>M55*20%</f>
      </c>
      <c r="O55" s="3">
        <v>1</v>
      </c>
      <c r="P55" s="3">
        <f>I55-J55-K55-L55-M55-N55-O55</f>
      </c>
      <c r="Q55" s="3">
        <f>(P55-Y55)/G55*100</f>
      </c>
      <c r="R55" s="3">
        <f>J55-N55</f>
      </c>
      <c r="S55" t="s">
        <v>1</v>
      </c>
      <c r="T55" t="s">
        <v>1</v>
      </c>
      <c r="Z55" s="3">
        <f>P55-Y55</f>
      </c>
      <c r="AA55" t="s">
        <v>1</v>
      </c>
      <c r="AB55" t="s">
        <v>1</v>
      </c>
    </row>
    <row r="56" spans="1:28" x14ac:dyDescent="0.25">
      <c r="A56" s="7">
        <v>46231.5</v>
      </c>
      <c r="B56" t="s">
        <v>832</v>
      </c>
      <c r="C56" t="s">
        <v>1</v>
      </c>
      <c r="D56" s="8" t="s">
        <v>1</v>
      </c>
      <c r="E56" t="s">
        <v>101</v>
      </c>
      <c r="F56">
        <v>1</v>
      </c>
      <c r="G56" s="3">
        <v>251</v>
      </c>
      <c r="H56" s="3">
        <v>316.26</v>
      </c>
      <c r="I56" s="3">
        <f>H56-G56</f>
      </c>
      <c r="J56" s="3">
        <f>I56*16.67%</f>
      </c>
      <c r="K56" s="3">
        <f>H56/100*11</f>
      </c>
      <c r="L56" s="3">
        <v>8.99</v>
      </c>
      <c r="M56" s="3">
        <v>0</v>
      </c>
      <c r="N56" s="3">
        <f>M56*20%</f>
      </c>
      <c r="O56" s="3">
        <v>1</v>
      </c>
      <c r="P56" s="3">
        <f>I56-J56-K56-L56-M56-N56-O56</f>
      </c>
      <c r="Q56" s="3">
        <f>(P56-Y56)/G56*100</f>
      </c>
      <c r="R56" s="3">
        <f>J56-N56</f>
      </c>
      <c r="S56" t="s">
        <v>1</v>
      </c>
      <c r="T56" t="s">
        <v>1</v>
      </c>
      <c r="Z56" s="3">
        <f>P56-Y56</f>
      </c>
      <c r="AA56" t="s">
        <v>1</v>
      </c>
      <c r="AB56" t="s">
        <v>1</v>
      </c>
    </row>
    <row r="57" spans="1:28" x14ac:dyDescent="0.25">
      <c r="A57" s="7">
        <v>46231.5</v>
      </c>
      <c r="B57" t="s">
        <v>833</v>
      </c>
      <c r="C57" t="s">
        <v>1</v>
      </c>
      <c r="D57" s="8" t="s">
        <v>1</v>
      </c>
      <c r="E57" t="s">
        <v>57</v>
      </c>
      <c r="F57">
        <v>1</v>
      </c>
      <c r="G57" s="3">
        <v>170</v>
      </c>
      <c r="H57" s="3">
        <v>221</v>
      </c>
      <c r="I57" s="3">
        <f>H57-G57</f>
      </c>
      <c r="J57" s="3">
        <f>I57*16.67%</f>
      </c>
      <c r="K57" s="3">
        <f>H57/100*11</f>
      </c>
      <c r="L57" s="3">
        <v>8.99</v>
      </c>
      <c r="M57" s="3">
        <v>0</v>
      </c>
      <c r="N57" s="3">
        <f>M57*20%</f>
      </c>
      <c r="O57" s="3">
        <v>1</v>
      </c>
      <c r="P57" s="3">
        <f>I57-J57-K57-L57-M57-N57-O57</f>
      </c>
      <c r="Q57" s="3">
        <f>(P57-Y57)/G57*100</f>
      </c>
      <c r="R57" s="3">
        <f>J57-N57</f>
      </c>
      <c r="S57" t="s">
        <v>1</v>
      </c>
      <c r="T57" t="s">
        <v>1</v>
      </c>
      <c r="Z57" s="3">
        <f>P57-Y57</f>
      </c>
      <c r="AA57" t="s">
        <v>1</v>
      </c>
      <c r="AB57" t="s">
        <v>1</v>
      </c>
    </row>
    <row r="58" spans="1:28" x14ac:dyDescent="0.25">
      <c r="A58" s="7">
        <v>46230.5</v>
      </c>
      <c r="B58" t="s">
        <v>834</v>
      </c>
      <c r="C58" t="s">
        <v>1</v>
      </c>
      <c r="D58" s="8" t="s">
        <v>835</v>
      </c>
      <c r="E58" t="s">
        <v>72</v>
      </c>
      <c r="F58">
        <v>1</v>
      </c>
      <c r="G58" s="3">
        <v>309</v>
      </c>
      <c r="H58" s="3">
        <v>395.52</v>
      </c>
      <c r="I58" s="3">
        <f>H58-G58</f>
      </c>
      <c r="J58" s="3">
        <f>I58*16.67%</f>
      </c>
      <c r="K58" s="3">
        <f>H58/100*11</f>
      </c>
      <c r="L58" s="3">
        <v>8.99</v>
      </c>
      <c r="M58" s="3">
        <v>0</v>
      </c>
      <c r="N58" s="3">
        <f>M58*20%</f>
      </c>
      <c r="O58" s="3">
        <v>1</v>
      </c>
      <c r="P58" s="3">
        <f>I58-J58-K58-L58-M58-N58-O58</f>
      </c>
      <c r="Q58" s="3">
        <f>(P58-Y58)/G58*100</f>
      </c>
      <c r="R58" s="3">
        <f>J58-N58</f>
      </c>
      <c r="S58" t="s">
        <v>1</v>
      </c>
      <c r="T58" t="s">
        <v>130</v>
      </c>
      <c r="Z58" s="3">
        <f>P58-Y58</f>
      </c>
      <c r="AA58" t="s">
        <v>65</v>
      </c>
      <c r="AB58" t="s">
        <v>60</v>
      </c>
    </row>
    <row r="59" spans="1:28" x14ac:dyDescent="0.25">
      <c r="A59" s="7">
        <v>46230.5</v>
      </c>
      <c r="B59" t="s">
        <v>836</v>
      </c>
      <c r="C59" t="s">
        <v>1</v>
      </c>
      <c r="D59" s="8" t="s">
        <v>1</v>
      </c>
      <c r="E59" t="s">
        <v>101</v>
      </c>
      <c r="F59">
        <v>1</v>
      </c>
      <c r="G59" s="3">
        <v>83</v>
      </c>
      <c r="H59" s="3">
        <v>107.07</v>
      </c>
      <c r="I59" s="3">
        <f>H59-G59</f>
      </c>
      <c r="J59" s="3">
        <f>I59*16.67%</f>
      </c>
      <c r="K59" s="3">
        <f>H59/100*11</f>
      </c>
      <c r="L59" s="3">
        <v>8.99</v>
      </c>
      <c r="M59" s="3">
        <v>0</v>
      </c>
      <c r="N59" s="3">
        <f>M59*20%</f>
      </c>
      <c r="O59" s="3">
        <v>1</v>
      </c>
      <c r="P59" s="3">
        <f>I59-J59-K59-L59-M59-N59-O59</f>
      </c>
      <c r="Q59" s="3">
        <f>(P59-Y59)/G59*100</f>
      </c>
      <c r="R59" s="3">
        <f>J59-N59</f>
      </c>
      <c r="S59" t="s">
        <v>1</v>
      </c>
      <c r="T59" t="s">
        <v>1</v>
      </c>
      <c r="Z59" s="3">
        <f>P59-Y59</f>
      </c>
      <c r="AA59" t="s">
        <v>1</v>
      </c>
      <c r="AB59" t="s">
        <v>1</v>
      </c>
    </row>
    <row r="60" spans="1:28" x14ac:dyDescent="0.25">
      <c r="A60" s="7">
        <v>46229.5</v>
      </c>
      <c r="B60" t="s">
        <v>837</v>
      </c>
      <c r="C60" t="s">
        <v>1</v>
      </c>
      <c r="D60" s="8" t="s">
        <v>838</v>
      </c>
      <c r="E60" t="s">
        <v>57</v>
      </c>
      <c r="F60">
        <v>1</v>
      </c>
      <c r="G60" s="3">
        <v>339</v>
      </c>
      <c r="H60" s="3">
        <v>491.55</v>
      </c>
      <c r="I60" s="3">
        <f>H60-G60</f>
      </c>
      <c r="J60" s="3">
        <f>I60*16.67%</f>
      </c>
      <c r="K60" s="3">
        <f>H60/100*11</f>
      </c>
      <c r="L60" s="3">
        <v>8.99</v>
      </c>
      <c r="M60" s="3">
        <v>0</v>
      </c>
      <c r="N60" s="3">
        <f>M60*20%</f>
      </c>
      <c r="O60" s="3">
        <v>1</v>
      </c>
      <c r="P60" s="3">
        <f>I60-J60-K60-L60-M60-N60-O60</f>
      </c>
      <c r="Q60" s="3">
        <f>(P60-Y60)/G60*100</f>
      </c>
      <c r="R60" s="3">
        <f>J60-N60</f>
      </c>
      <c r="S60" t="s">
        <v>1</v>
      </c>
      <c r="T60" t="s">
        <v>97</v>
      </c>
      <c r="Z60" s="3">
        <f>P60-Y60</f>
      </c>
      <c r="AA60" t="s">
        <v>65</v>
      </c>
      <c r="AB60" t="s">
        <v>98</v>
      </c>
    </row>
    <row r="61" spans="1:28" x14ac:dyDescent="0.25">
      <c r="A61" s="7">
        <v>46229.5</v>
      </c>
      <c r="B61" t="s">
        <v>839</v>
      </c>
      <c r="C61" t="s">
        <v>1</v>
      </c>
      <c r="D61" s="8" t="s">
        <v>840</v>
      </c>
      <c r="E61" t="s">
        <v>63</v>
      </c>
      <c r="F61">
        <v>1</v>
      </c>
      <c r="G61" s="3">
        <v>438</v>
      </c>
      <c r="H61" s="3">
        <v>630.72</v>
      </c>
      <c r="I61" s="3">
        <f>H61-G61</f>
      </c>
      <c r="J61" s="3">
        <f>I61*16.67%</f>
      </c>
      <c r="K61" s="3">
        <f>H61/100*11</f>
      </c>
      <c r="L61" s="3">
        <v>8.99</v>
      </c>
      <c r="M61" s="3">
        <v>0</v>
      </c>
      <c r="N61" s="3">
        <f>M61*20%</f>
      </c>
      <c r="O61" s="3">
        <v>1</v>
      </c>
      <c r="P61" s="3">
        <f>I61-J61-K61-L61-M61-N61-O61</f>
      </c>
      <c r="Q61" s="3">
        <f>(P61-Y61)/G61*100</f>
      </c>
      <c r="R61" s="3">
        <f>J61-N61</f>
      </c>
      <c r="S61" t="s">
        <v>1</v>
      </c>
      <c r="T61" t="s">
        <v>58</v>
      </c>
      <c r="Z61" s="3">
        <f>P61-Y61</f>
      </c>
      <c r="AA61" t="s">
        <v>59</v>
      </c>
      <c r="AB61" t="s">
        <v>104</v>
      </c>
    </row>
    <row r="62" spans="1:28" x14ac:dyDescent="0.25">
      <c r="A62" s="7">
        <v>46229.5</v>
      </c>
      <c r="B62" t="s">
        <v>841</v>
      </c>
      <c r="C62" t="s">
        <v>188</v>
      </c>
      <c r="D62" s="8" t="s">
        <v>1</v>
      </c>
      <c r="E62" t="s">
        <v>63</v>
      </c>
      <c r="F62">
        <v>3</v>
      </c>
      <c r="G62" s="3">
        <v>10.5</v>
      </c>
      <c r="H62" s="3">
        <v>12.39</v>
      </c>
      <c r="I62" s="3">
        <f>H62-G62</f>
      </c>
      <c r="J62" s="3">
        <f>I62*16.67%</f>
      </c>
      <c r="K62" s="3">
        <f>H62/100*11</f>
      </c>
      <c r="L62" s="3">
        <v>8.99</v>
      </c>
      <c r="M62" s="3">
        <v>0</v>
      </c>
      <c r="N62" s="3">
        <f>M62*20%</f>
      </c>
      <c r="O62" s="3">
        <v>1</v>
      </c>
      <c r="P62" s="3">
        <f>I62-J62-K62-L62-M62-N62-O62</f>
      </c>
      <c r="Q62" s="3">
        <f>(P62-Y62)/G62*100</f>
      </c>
      <c r="R62" s="3">
        <f>J62-N62</f>
      </c>
      <c r="S62" t="s">
        <v>1</v>
      </c>
      <c r="T62" t="s">
        <v>188</v>
      </c>
      <c r="Z62" s="3">
        <f>P62-Y62</f>
      </c>
      <c r="AA62" t="s">
        <v>1</v>
      </c>
      <c r="AB62" t="s">
        <v>1</v>
      </c>
    </row>
    <row r="63" spans="1:28" x14ac:dyDescent="0.25">
      <c r="A63" s="7">
        <v>46228.5</v>
      </c>
      <c r="B63" t="s">
        <v>842</v>
      </c>
      <c r="C63" t="s">
        <v>1</v>
      </c>
      <c r="D63" s="8" t="s">
        <v>843</v>
      </c>
      <c r="E63" t="s">
        <v>63</v>
      </c>
      <c r="F63">
        <v>1</v>
      </c>
      <c r="G63" s="3">
        <v>185</v>
      </c>
      <c r="H63" s="3">
        <v>260.85</v>
      </c>
      <c r="I63" s="3">
        <f>H63-G63</f>
      </c>
      <c r="J63" s="3">
        <f>I63*16.67%</f>
      </c>
      <c r="K63" s="3">
        <f>H63/100*11</f>
      </c>
      <c r="L63" s="3">
        <v>8.99</v>
      </c>
      <c r="M63" s="3">
        <v>0</v>
      </c>
      <c r="N63" s="3">
        <f>M63*20%</f>
      </c>
      <c r="O63" s="3">
        <v>1</v>
      </c>
      <c r="P63" s="3">
        <f>I63-J63-K63-L63-M63-N63-O63</f>
      </c>
      <c r="Q63" s="3">
        <f>(P63-Y63)/G63*100</f>
      </c>
      <c r="R63" s="3">
        <f>J63-N63</f>
      </c>
      <c r="S63" t="s">
        <v>1</v>
      </c>
      <c r="T63" t="s">
        <v>291</v>
      </c>
      <c r="Z63" s="3">
        <f>P63-Y63</f>
      </c>
      <c r="AA63" t="s">
        <v>125</v>
      </c>
      <c r="AB63" t="s">
        <v>84</v>
      </c>
    </row>
    <row r="64" spans="1:28" x14ac:dyDescent="0.25">
      <c r="A64" s="7">
        <v>46228.5</v>
      </c>
      <c r="B64" t="s">
        <v>844</v>
      </c>
      <c r="C64" t="s">
        <v>1</v>
      </c>
      <c r="D64" s="8" t="s">
        <v>845</v>
      </c>
      <c r="E64" t="s">
        <v>101</v>
      </c>
      <c r="F64">
        <v>1</v>
      </c>
      <c r="G64" s="3">
        <v>323</v>
      </c>
      <c r="H64" s="3">
        <v>442.51</v>
      </c>
      <c r="I64" s="3">
        <f>H64-G64</f>
      </c>
      <c r="J64" s="3">
        <f>I64*16.67%</f>
      </c>
      <c r="K64" s="3">
        <f>H64/100*11</f>
      </c>
      <c r="L64" s="3">
        <v>8.99</v>
      </c>
      <c r="M64" s="3">
        <v>0</v>
      </c>
      <c r="N64" s="3">
        <f>M64*20%</f>
      </c>
      <c r="O64" s="3">
        <v>1</v>
      </c>
      <c r="P64" s="3">
        <f>I64-J64-K64-L64-M64-N64-O64</f>
      </c>
      <c r="Q64" s="3">
        <f>(P64-Y64)/G64*100</f>
      </c>
      <c r="R64" s="3">
        <f>J64-N64</f>
      </c>
      <c r="S64" t="s">
        <v>1</v>
      </c>
      <c r="T64" t="s">
        <v>97</v>
      </c>
      <c r="Z64" s="3">
        <f>P64-Y64</f>
      </c>
      <c r="AA64" t="s">
        <v>65</v>
      </c>
      <c r="AB64" t="s">
        <v>104</v>
      </c>
    </row>
    <row r="65" spans="1:28" x14ac:dyDescent="0.25">
      <c r="A65" s="7">
        <v>46228.5</v>
      </c>
      <c r="B65" t="s">
        <v>846</v>
      </c>
      <c r="C65" t="s">
        <v>1</v>
      </c>
      <c r="D65" s="8" t="s">
        <v>847</v>
      </c>
      <c r="E65" t="s">
        <v>101</v>
      </c>
      <c r="F65">
        <v>1</v>
      </c>
      <c r="G65" s="3">
        <v>199</v>
      </c>
      <c r="H65" s="3">
        <v>256.71</v>
      </c>
      <c r="I65" s="3">
        <f>H65-G65</f>
      </c>
      <c r="J65" s="3">
        <f>I65*16.67%</f>
      </c>
      <c r="K65" s="3">
        <f>H65/100*11</f>
      </c>
      <c r="L65" s="3">
        <v>8.99</v>
      </c>
      <c r="M65" s="3">
        <v>0</v>
      </c>
      <c r="N65" s="3">
        <f>M65*20%</f>
      </c>
      <c r="O65" s="3">
        <v>1</v>
      </c>
      <c r="P65" s="3">
        <f>I65-J65-K65-L65-M65-N65-O65</f>
      </c>
      <c r="Q65" s="3">
        <f>(P65-Y65)/G65*100</f>
      </c>
      <c r="R65" s="3">
        <f>J65-N65</f>
      </c>
      <c r="S65" t="s">
        <v>1</v>
      </c>
      <c r="T65" t="s">
        <v>113</v>
      </c>
      <c r="Z65" s="3">
        <f>P65-Y65</f>
      </c>
      <c r="AA65" t="s">
        <v>94</v>
      </c>
      <c r="AB65" t="s">
        <v>84</v>
      </c>
    </row>
    <row r="66" spans="1:28" x14ac:dyDescent="0.25">
      <c r="A66" s="7">
        <v>46228.5</v>
      </c>
      <c r="B66" t="s">
        <v>848</v>
      </c>
      <c r="C66" t="s">
        <v>1</v>
      </c>
      <c r="D66" s="8" t="s">
        <v>849</v>
      </c>
      <c r="E66" t="s">
        <v>57</v>
      </c>
      <c r="F66">
        <v>1</v>
      </c>
      <c r="G66" s="3">
        <v>241</v>
      </c>
      <c r="H66" s="3">
        <v>330.17</v>
      </c>
      <c r="I66" s="3">
        <f>H66-G66</f>
      </c>
      <c r="J66" s="3">
        <f>I66*16.67%</f>
      </c>
      <c r="K66" s="3">
        <f>H66/100*11</f>
      </c>
      <c r="L66" s="3">
        <v>8.99</v>
      </c>
      <c r="M66" s="3">
        <v>0</v>
      </c>
      <c r="N66" s="3">
        <f>M66*20%</f>
      </c>
      <c r="O66" s="3">
        <v>1</v>
      </c>
      <c r="P66" s="3">
        <f>I66-J66-K66-L66-M66-N66-O66</f>
      </c>
      <c r="Q66" s="3">
        <f>(P66-Y66)/G66*100</f>
      </c>
      <c r="R66" s="3">
        <f>J66-N66</f>
      </c>
      <c r="S66" t="s">
        <v>1</v>
      </c>
      <c r="T66" t="s">
        <v>64</v>
      </c>
      <c r="Z66" s="3">
        <f>P66-Y66</f>
      </c>
      <c r="AA66" t="s">
        <v>65</v>
      </c>
      <c r="AB66" t="s">
        <v>69</v>
      </c>
    </row>
    <row r="67" spans="1:28" x14ac:dyDescent="0.25">
      <c r="A67" s="7">
        <v>46228.5</v>
      </c>
      <c r="B67" t="s">
        <v>850</v>
      </c>
      <c r="C67" t="s">
        <v>1</v>
      </c>
      <c r="D67" s="8" t="s">
        <v>851</v>
      </c>
      <c r="E67" t="s">
        <v>57</v>
      </c>
      <c r="F67">
        <v>1</v>
      </c>
      <c r="G67" s="3">
        <v>164</v>
      </c>
      <c r="H67" s="3">
        <v>206.64</v>
      </c>
      <c r="I67" s="3">
        <f>H67-G67</f>
      </c>
      <c r="J67" s="3">
        <f>I67*16.67%</f>
      </c>
      <c r="K67" s="3">
        <f>H67/100*11</f>
      </c>
      <c r="L67" s="3">
        <v>8.99</v>
      </c>
      <c r="M67" s="3">
        <v>0</v>
      </c>
      <c r="N67" s="3">
        <f>M67*20%</f>
      </c>
      <c r="O67" s="3">
        <v>1</v>
      </c>
      <c r="P67" s="3">
        <f>I67-J67-K67-L67-M67-N67-O67</f>
      </c>
      <c r="Q67" s="3">
        <f>(P67-Y67)/G67*100</f>
      </c>
      <c r="R67" s="3">
        <f>J67-N67</f>
      </c>
      <c r="S67" t="s">
        <v>1</v>
      </c>
      <c r="T67" t="s">
        <v>291</v>
      </c>
      <c r="Z67" s="3">
        <f>P67-Y67</f>
      </c>
      <c r="AA67" t="s">
        <v>125</v>
      </c>
      <c r="AB67" t="s">
        <v>104</v>
      </c>
    </row>
    <row r="68" spans="1:28" x14ac:dyDescent="0.25">
      <c r="A68" s="7">
        <v>46228.5</v>
      </c>
      <c r="B68" t="s">
        <v>852</v>
      </c>
      <c r="C68" t="s">
        <v>181</v>
      </c>
      <c r="D68" s="8" t="s">
        <v>1</v>
      </c>
      <c r="E68" t="s">
        <v>72</v>
      </c>
      <c r="F68">
        <v>4</v>
      </c>
      <c r="G68" s="3">
        <v>7.6</v>
      </c>
      <c r="H68" s="3">
        <v>10.79</v>
      </c>
      <c r="I68" s="3">
        <f>H68-G68</f>
      </c>
      <c r="J68" s="3">
        <f>I68*16.67%</f>
      </c>
      <c r="K68" s="3">
        <f>H68/100*11</f>
      </c>
      <c r="L68" s="3">
        <v>8.99</v>
      </c>
      <c r="M68" s="3">
        <v>0</v>
      </c>
      <c r="N68" s="3">
        <f>M68*20%</f>
      </c>
      <c r="O68" s="3">
        <v>1</v>
      </c>
      <c r="P68" s="3">
        <f>I68-J68-K68-L68-M68-N68-O68</f>
      </c>
      <c r="Q68" s="3">
        <f>(P68-Y68)/G68*100</f>
      </c>
      <c r="R68" s="3">
        <f>J68-N68</f>
      </c>
      <c r="S68" t="s">
        <v>1</v>
      </c>
      <c r="T68" t="s">
        <v>181</v>
      </c>
      <c r="Z68" s="3">
        <f>P68-Y68</f>
      </c>
      <c r="AA68" t="s">
        <v>1</v>
      </c>
      <c r="AB68" t="s">
        <v>1</v>
      </c>
    </row>
    <row r="69" spans="1:28" x14ac:dyDescent="0.25">
      <c r="A69" s="7">
        <v>46228.5</v>
      </c>
      <c r="B69" t="s">
        <v>853</v>
      </c>
      <c r="C69" t="s">
        <v>173</v>
      </c>
      <c r="D69" s="8" t="s">
        <v>1</v>
      </c>
      <c r="E69" t="s">
        <v>63</v>
      </c>
      <c r="F69">
        <v>3</v>
      </c>
      <c r="G69" s="3">
        <v>12.75</v>
      </c>
      <c r="H69" s="3">
        <v>17.59</v>
      </c>
      <c r="I69" s="3">
        <f>H69-G69</f>
      </c>
      <c r="J69" s="3">
        <f>I69*16.67%</f>
      </c>
      <c r="K69" s="3">
        <f>H69/100*11</f>
      </c>
      <c r="L69" s="3">
        <v>8.99</v>
      </c>
      <c r="M69" s="3">
        <v>0</v>
      </c>
      <c r="N69" s="3">
        <f>M69*20%</f>
      </c>
      <c r="O69" s="3">
        <v>1</v>
      </c>
      <c r="P69" s="3">
        <f>I69-J69-K69-L69-M69-N69-O69</f>
      </c>
      <c r="Q69" s="3">
        <f>(P69-Y69)/G69*100</f>
      </c>
      <c r="R69" s="3">
        <f>J69-N69</f>
      </c>
      <c r="S69" t="s">
        <v>1</v>
      </c>
      <c r="T69" t="s">
        <v>173</v>
      </c>
      <c r="Z69" s="3">
        <f>P69-Y69</f>
      </c>
      <c r="AA69" t="s">
        <v>1</v>
      </c>
      <c r="AB69" t="s">
        <v>1</v>
      </c>
    </row>
    <row r="70" spans="1:28" x14ac:dyDescent="0.25">
      <c r="A70" s="7">
        <v>46228.5</v>
      </c>
      <c r="B70" t="s">
        <v>854</v>
      </c>
      <c r="C70" t="s">
        <v>173</v>
      </c>
      <c r="D70" s="8" t="s">
        <v>1</v>
      </c>
      <c r="E70" t="s">
        <v>63</v>
      </c>
      <c r="F70">
        <v>2</v>
      </c>
      <c r="G70" s="3">
        <v>8.5</v>
      </c>
      <c r="H70" s="3">
        <v>10.88</v>
      </c>
      <c r="I70" s="3">
        <f>H70-G70</f>
      </c>
      <c r="J70" s="3">
        <f>I70*16.67%</f>
      </c>
      <c r="K70" s="3">
        <f>H70/100*11</f>
      </c>
      <c r="L70" s="3">
        <v>8.99</v>
      </c>
      <c r="M70" s="3">
        <v>0</v>
      </c>
      <c r="N70" s="3">
        <f>M70*20%</f>
      </c>
      <c r="O70" s="3">
        <v>1</v>
      </c>
      <c r="P70" s="3">
        <f>I70-J70-K70-L70-M70-N70-O70</f>
      </c>
      <c r="Q70" s="3">
        <f>(P70-Y70)/G70*100</f>
      </c>
      <c r="R70" s="3">
        <f>J70-N70</f>
      </c>
      <c r="S70" t="s">
        <v>1</v>
      </c>
      <c r="T70" t="s">
        <v>173</v>
      </c>
      <c r="Z70" s="3">
        <f>P70-Y70</f>
      </c>
      <c r="AA70" t="s">
        <v>1</v>
      </c>
      <c r="AB70" t="s">
        <v>1</v>
      </c>
    </row>
    <row r="71" spans="1:28" x14ac:dyDescent="0.25">
      <c r="A71" s="7">
        <v>46228.5</v>
      </c>
      <c r="B71" t="s">
        <v>855</v>
      </c>
      <c r="C71" t="s">
        <v>1</v>
      </c>
      <c r="D71" s="8" t="s">
        <v>1</v>
      </c>
      <c r="E71" t="s">
        <v>101</v>
      </c>
      <c r="F71">
        <v>1</v>
      </c>
      <c r="G71" s="3">
        <v>312</v>
      </c>
      <c r="H71" s="3">
        <v>424.32</v>
      </c>
      <c r="I71" s="3">
        <f>H71-G71</f>
      </c>
      <c r="J71" s="3">
        <f>I71*16.67%</f>
      </c>
      <c r="K71" s="3">
        <f>H71/100*11</f>
      </c>
      <c r="L71" s="3">
        <v>8.99</v>
      </c>
      <c r="M71" s="3">
        <v>0</v>
      </c>
      <c r="N71" s="3">
        <f>M71*20%</f>
      </c>
      <c r="O71" s="3">
        <v>1</v>
      </c>
      <c r="P71" s="3">
        <f>I71-J71-K71-L71-M71-N71-O71</f>
      </c>
      <c r="Q71" s="3">
        <f>(P71-Y71)/G71*100</f>
      </c>
      <c r="R71" s="3">
        <f>J71-N71</f>
      </c>
      <c r="S71" t="s">
        <v>1</v>
      </c>
      <c r="T71" t="s">
        <v>1</v>
      </c>
      <c r="Z71" s="3">
        <f>P71-Y71</f>
      </c>
      <c r="AA71" t="s">
        <v>1</v>
      </c>
      <c r="AB71" t="s">
        <v>1</v>
      </c>
    </row>
    <row r="72" spans="1:28" x14ac:dyDescent="0.25">
      <c r="A72" s="7">
        <v>46227.5</v>
      </c>
      <c r="B72" t="s">
        <v>856</v>
      </c>
      <c r="C72" t="s">
        <v>1</v>
      </c>
      <c r="D72" s="8" t="s">
        <v>857</v>
      </c>
      <c r="E72" t="s">
        <v>101</v>
      </c>
      <c r="F72">
        <v>1</v>
      </c>
      <c r="G72" s="3">
        <v>553</v>
      </c>
      <c r="H72" s="3">
        <v>685.72</v>
      </c>
      <c r="I72" s="3">
        <f>H72-G72</f>
      </c>
      <c r="J72" s="3">
        <f>I72*16.67%</f>
      </c>
      <c r="K72" s="3">
        <f>H72/100*11</f>
      </c>
      <c r="L72" s="3">
        <v>8.99</v>
      </c>
      <c r="M72" s="3">
        <v>0</v>
      </c>
      <c r="N72" s="3">
        <f>M72*20%</f>
      </c>
      <c r="O72" s="3">
        <v>1</v>
      </c>
      <c r="P72" s="3">
        <f>I72-J72-K72-L72-M72-N72-O72</f>
      </c>
      <c r="Q72" s="3">
        <f>(P72-Y72)/G72*100</f>
      </c>
      <c r="R72" s="3">
        <f>J72-N72</f>
      </c>
      <c r="S72" t="s">
        <v>1</v>
      </c>
      <c r="T72" t="s">
        <v>68</v>
      </c>
      <c r="Z72" s="3">
        <f>P72-Y72</f>
      </c>
      <c r="AA72" t="s">
        <v>59</v>
      </c>
      <c r="AB72" t="s">
        <v>104</v>
      </c>
    </row>
    <row r="73" spans="1:28" x14ac:dyDescent="0.25">
      <c r="A73" s="7">
        <v>46227.5</v>
      </c>
      <c r="B73" t="s">
        <v>858</v>
      </c>
      <c r="C73" t="s">
        <v>1</v>
      </c>
      <c r="D73" s="8" t="s">
        <v>859</v>
      </c>
      <c r="E73" t="s">
        <v>101</v>
      </c>
      <c r="F73">
        <v>1</v>
      </c>
      <c r="G73" s="3">
        <v>135</v>
      </c>
      <c r="H73" s="3">
        <v>187.65</v>
      </c>
      <c r="I73" s="3">
        <f>H73-G73</f>
      </c>
      <c r="J73" s="3">
        <f>I73*16.67%</f>
      </c>
      <c r="K73" s="3">
        <f>H73/100*11</f>
      </c>
      <c r="L73" s="3">
        <v>8.99</v>
      </c>
      <c r="M73" s="3">
        <v>0</v>
      </c>
      <c r="N73" s="3">
        <f>M73*20%</f>
      </c>
      <c r="O73" s="3">
        <v>1</v>
      </c>
      <c r="P73" s="3">
        <f>I73-J73-K73-L73-M73-N73-O73</f>
      </c>
      <c r="Q73" s="3">
        <f>(P73-Y73)/G73*100</f>
      </c>
      <c r="R73" s="3">
        <f>J73-N73</f>
      </c>
      <c r="S73" t="s">
        <v>1</v>
      </c>
      <c r="T73" t="s">
        <v>133</v>
      </c>
      <c r="Z73" s="3">
        <f>P73-Y73</f>
      </c>
      <c r="AA73" t="s">
        <v>94</v>
      </c>
      <c r="AB73" t="s">
        <v>69</v>
      </c>
    </row>
    <row r="74" spans="1:28" x14ac:dyDescent="0.25">
      <c r="A74" s="7">
        <v>46227.5</v>
      </c>
      <c r="B74" t="s">
        <v>860</v>
      </c>
      <c r="C74" t="s">
        <v>1</v>
      </c>
      <c r="D74" s="8" t="s">
        <v>861</v>
      </c>
      <c r="E74" t="s">
        <v>57</v>
      </c>
      <c r="F74">
        <v>1</v>
      </c>
      <c r="G74" s="3">
        <v>696</v>
      </c>
      <c r="H74" s="3">
        <v>918.72</v>
      </c>
      <c r="I74" s="3">
        <f>H74-G74</f>
      </c>
      <c r="J74" s="3">
        <f>I74*16.67%</f>
      </c>
      <c r="K74" s="3">
        <f>H74/100*11</f>
      </c>
      <c r="L74" s="3">
        <v>8.99</v>
      </c>
      <c r="M74" s="3">
        <v>0</v>
      </c>
      <c r="N74" s="3">
        <f>M74*20%</f>
      </c>
      <c r="O74" s="3">
        <v>1</v>
      </c>
      <c r="P74" s="3">
        <f>I74-J74-K74-L74-M74-N74-O74</f>
      </c>
      <c r="Q74" s="3">
        <f>(P74-Y74)/G74*100</f>
      </c>
      <c r="R74" s="3">
        <f>J74-N74</f>
      </c>
      <c r="S74" t="s">
        <v>1</v>
      </c>
      <c r="T74" t="s">
        <v>83</v>
      </c>
      <c r="Z74" s="3">
        <f>P74-Y74</f>
      </c>
      <c r="AA74" t="s">
        <v>59</v>
      </c>
      <c r="AB74" t="s">
        <v>84</v>
      </c>
    </row>
    <row r="75" spans="1:28" x14ac:dyDescent="0.25">
      <c r="A75" s="7">
        <v>46227.5</v>
      </c>
      <c r="B75" t="s">
        <v>862</v>
      </c>
      <c r="C75" t="s">
        <v>1</v>
      </c>
      <c r="D75" s="8" t="s">
        <v>863</v>
      </c>
      <c r="E75" t="s">
        <v>72</v>
      </c>
      <c r="F75">
        <v>1</v>
      </c>
      <c r="G75" s="3">
        <v>697</v>
      </c>
      <c r="H75" s="3">
        <v>857.31</v>
      </c>
      <c r="I75" s="3">
        <f>H75-G75</f>
      </c>
      <c r="J75" s="3">
        <f>I75*16.67%</f>
      </c>
      <c r="K75" s="3">
        <f>H75/100*11</f>
      </c>
      <c r="L75" s="3">
        <v>8.99</v>
      </c>
      <c r="M75" s="3">
        <v>0</v>
      </c>
      <c r="N75" s="3">
        <f>M75*20%</f>
      </c>
      <c r="O75" s="3">
        <v>1</v>
      </c>
      <c r="P75" s="3">
        <f>I75-J75-K75-L75-M75-N75-O75</f>
      </c>
      <c r="Q75" s="3">
        <f>(P75-Y75)/G75*100</f>
      </c>
      <c r="R75" s="3">
        <f>J75-N75</f>
      </c>
      <c r="S75" t="s">
        <v>1</v>
      </c>
      <c r="T75" t="s">
        <v>83</v>
      </c>
      <c r="Z75" s="3">
        <f>P75-Y75</f>
      </c>
      <c r="AA75" t="s">
        <v>59</v>
      </c>
      <c r="AB75" t="s">
        <v>69</v>
      </c>
    </row>
    <row r="76" spans="1:28" x14ac:dyDescent="0.25">
      <c r="A76" s="7">
        <v>46227.5</v>
      </c>
      <c r="B76" t="s">
        <v>864</v>
      </c>
      <c r="C76" t="s">
        <v>1</v>
      </c>
      <c r="D76" s="8" t="s">
        <v>865</v>
      </c>
      <c r="E76" t="s">
        <v>77</v>
      </c>
      <c r="F76">
        <v>1</v>
      </c>
      <c r="G76" s="3">
        <v>525</v>
      </c>
      <c r="H76" s="3">
        <v>756</v>
      </c>
      <c r="I76" s="3">
        <f>H76-G76</f>
      </c>
      <c r="J76" s="3">
        <f>I76*16.67%</f>
      </c>
      <c r="K76" s="3">
        <f>H76/100*11</f>
      </c>
      <c r="L76" s="3">
        <v>8.99</v>
      </c>
      <c r="M76" s="3">
        <v>0</v>
      </c>
      <c r="N76" s="3">
        <f>M76*20%</f>
      </c>
      <c r="O76" s="3">
        <v>1</v>
      </c>
      <c r="P76" s="3">
        <f>I76-J76-K76-L76-M76-N76-O76</f>
      </c>
      <c r="Q76" s="3">
        <f>(P76-Y76)/G76*100</f>
      </c>
      <c r="R76" s="3">
        <f>J76-N76</f>
      </c>
      <c r="S76" t="s">
        <v>1</v>
      </c>
      <c r="T76" t="s">
        <v>68</v>
      </c>
      <c r="Z76" s="3">
        <f>P76-Y76</f>
      </c>
      <c r="AA76" t="s">
        <v>59</v>
      </c>
      <c r="AB76" t="s">
        <v>74</v>
      </c>
    </row>
    <row r="77" spans="1:28" x14ac:dyDescent="0.25">
      <c r="A77" s="7">
        <v>46227.5</v>
      </c>
      <c r="B77" t="s">
        <v>866</v>
      </c>
      <c r="C77" t="s">
        <v>1</v>
      </c>
      <c r="D77" s="8" t="s">
        <v>867</v>
      </c>
      <c r="E77" t="s">
        <v>72</v>
      </c>
      <c r="F77">
        <v>1</v>
      </c>
      <c r="G77" s="3">
        <v>293</v>
      </c>
      <c r="H77" s="3">
        <v>389.69</v>
      </c>
      <c r="I77" s="3">
        <f>H77-G77</f>
      </c>
      <c r="J77" s="3">
        <f>I77*16.67%</f>
      </c>
      <c r="K77" s="3">
        <f>H77/100*11</f>
      </c>
      <c r="L77" s="3">
        <v>8.99</v>
      </c>
      <c r="M77" s="3">
        <v>0</v>
      </c>
      <c r="N77" s="3">
        <f>M77*20%</f>
      </c>
      <c r="O77" s="3">
        <v>1</v>
      </c>
      <c r="P77" s="3">
        <f>I77-J77-K77-L77-M77-N77-O77</f>
      </c>
      <c r="Q77" s="3">
        <f>(P77-Y77)/G77*100</f>
      </c>
      <c r="R77" s="3">
        <f>J77-N77</f>
      </c>
      <c r="S77" t="s">
        <v>1</v>
      </c>
      <c r="T77" t="s">
        <v>124</v>
      </c>
      <c r="Z77" s="3">
        <f>P77-Y77</f>
      </c>
      <c r="AA77" t="s">
        <v>125</v>
      </c>
      <c r="AB77" t="s">
        <v>87</v>
      </c>
    </row>
    <row r="78" spans="1:28" x14ac:dyDescent="0.25">
      <c r="A78" s="7">
        <v>46227.5</v>
      </c>
      <c r="B78" t="s">
        <v>868</v>
      </c>
      <c r="C78" t="s">
        <v>184</v>
      </c>
      <c r="D78" s="8" t="s">
        <v>1</v>
      </c>
      <c r="E78" t="s">
        <v>101</v>
      </c>
      <c r="F78">
        <v>3</v>
      </c>
      <c r="G78" s="3">
        <v>3.6</v>
      </c>
      <c r="H78" s="3">
        <v>4.72</v>
      </c>
      <c r="I78" s="3">
        <f>H78-G78</f>
      </c>
      <c r="J78" s="3">
        <f>I78*16.67%</f>
      </c>
      <c r="K78" s="3">
        <f>H78/100*11</f>
      </c>
      <c r="L78" s="3">
        <v>8.99</v>
      </c>
      <c r="M78" s="3">
        <v>0</v>
      </c>
      <c r="N78" s="3">
        <f>M78*20%</f>
      </c>
      <c r="O78" s="3">
        <v>1</v>
      </c>
      <c r="P78" s="3">
        <f>I78-J78-K78-L78-M78-N78-O78</f>
      </c>
      <c r="Q78" s="3">
        <f>(P78-Y78)/G78*100</f>
      </c>
      <c r="R78" s="3">
        <f>J78-N78</f>
      </c>
      <c r="S78" t="s">
        <v>1</v>
      </c>
      <c r="T78" t="s">
        <v>184</v>
      </c>
      <c r="Z78" s="3">
        <f>P78-Y78</f>
      </c>
      <c r="AA78" t="s">
        <v>1</v>
      </c>
      <c r="AB78" t="s">
        <v>1</v>
      </c>
    </row>
    <row r="79" spans="1:28" x14ac:dyDescent="0.25">
      <c r="A79" s="7">
        <v>46227.5</v>
      </c>
      <c r="B79" t="s">
        <v>869</v>
      </c>
      <c r="C79" t="s">
        <v>1</v>
      </c>
      <c r="D79" s="8" t="s">
        <v>1</v>
      </c>
      <c r="E79" t="s">
        <v>101</v>
      </c>
      <c r="F79">
        <v>1</v>
      </c>
      <c r="G79" s="3">
        <v>197</v>
      </c>
      <c r="H79" s="3">
        <v>263.98</v>
      </c>
      <c r="I79" s="3">
        <f>H79-G79</f>
      </c>
      <c r="J79" s="3">
        <f>I79*16.67%</f>
      </c>
      <c r="K79" s="3">
        <f>H79/100*11</f>
      </c>
      <c r="L79" s="3">
        <v>8.99</v>
      </c>
      <c r="M79" s="3">
        <v>0</v>
      </c>
      <c r="N79" s="3">
        <f>M79*20%</f>
      </c>
      <c r="O79" s="3">
        <v>1</v>
      </c>
      <c r="P79" s="3">
        <f>I79-J79-K79-L79-M79-N79-O79</f>
      </c>
      <c r="Q79" s="3">
        <f>(P79-Y79)/G79*100</f>
      </c>
      <c r="R79" s="3">
        <f>J79-N79</f>
      </c>
      <c r="S79" t="s">
        <v>1</v>
      </c>
      <c r="T79" t="s">
        <v>1</v>
      </c>
      <c r="Z79" s="3">
        <f>P79-Y79</f>
      </c>
      <c r="AA79" t="s">
        <v>1</v>
      </c>
      <c r="AB79" t="s">
        <v>1</v>
      </c>
    </row>
    <row r="80" spans="1:28" x14ac:dyDescent="0.25">
      <c r="A80" s="7">
        <v>46227.5</v>
      </c>
      <c r="B80" t="s">
        <v>870</v>
      </c>
      <c r="C80" t="s">
        <v>1</v>
      </c>
      <c r="D80" s="8" t="s">
        <v>1</v>
      </c>
      <c r="E80" t="s">
        <v>63</v>
      </c>
      <c r="F80">
        <v>1</v>
      </c>
      <c r="G80" s="3">
        <v>509</v>
      </c>
      <c r="H80" s="3">
        <v>590.44</v>
      </c>
      <c r="I80" s="3">
        <f>H80-G80</f>
      </c>
      <c r="J80" s="3">
        <f>I80*16.67%</f>
      </c>
      <c r="K80" s="3">
        <f>H80/100*11</f>
      </c>
      <c r="L80" s="3">
        <v>8.99</v>
      </c>
      <c r="M80" s="3">
        <v>0</v>
      </c>
      <c r="N80" s="3">
        <f>M80*20%</f>
      </c>
      <c r="O80" s="3">
        <v>1</v>
      </c>
      <c r="P80" s="3">
        <f>I80-J80-K80-L80-M80-N80-O80</f>
      </c>
      <c r="Q80" s="3">
        <f>(P80-Y80)/G80*100</f>
      </c>
      <c r="R80" s="3">
        <f>J80-N80</f>
      </c>
      <c r="S80" t="s">
        <v>1</v>
      </c>
      <c r="T80" t="s">
        <v>1</v>
      </c>
      <c r="Z80" s="3">
        <f>P80-Y80</f>
      </c>
      <c r="AA80" t="s">
        <v>1</v>
      </c>
      <c r="AB80" t="s">
        <v>1</v>
      </c>
    </row>
    <row r="81" spans="1:28" x14ac:dyDescent="0.25">
      <c r="A81" s="7">
        <v>46226.5</v>
      </c>
      <c r="B81" t="s">
        <v>871</v>
      </c>
      <c r="C81" t="s">
        <v>1</v>
      </c>
      <c r="D81" s="8" t="s">
        <v>872</v>
      </c>
      <c r="E81" t="s">
        <v>101</v>
      </c>
      <c r="F81">
        <v>1</v>
      </c>
      <c r="G81" s="3">
        <v>230</v>
      </c>
      <c r="H81" s="3">
        <v>319.7</v>
      </c>
      <c r="I81" s="3">
        <f>H81-G81</f>
      </c>
      <c r="J81" s="3">
        <f>I81*16.67%</f>
      </c>
      <c r="K81" s="3">
        <f>H81/100*11</f>
      </c>
      <c r="L81" s="3">
        <v>8.99</v>
      </c>
      <c r="M81" s="3">
        <v>0</v>
      </c>
      <c r="N81" s="3">
        <f>M81*20%</f>
      </c>
      <c r="O81" s="3">
        <v>1</v>
      </c>
      <c r="P81" s="3">
        <f>I81-J81-K81-L81-M81-N81-O81</f>
      </c>
      <c r="Q81" s="3">
        <f>(P81-Y81)/G81*100</f>
      </c>
      <c r="R81" s="3">
        <f>J81-N81</f>
      </c>
      <c r="S81" t="s">
        <v>1</v>
      </c>
      <c r="T81" t="s">
        <v>124</v>
      </c>
      <c r="Z81" s="3">
        <f>P81-Y81</f>
      </c>
      <c r="AA81" t="s">
        <v>125</v>
      </c>
      <c r="AB81" t="s">
        <v>98</v>
      </c>
    </row>
    <row r="82" spans="1:28" x14ac:dyDescent="0.25">
      <c r="A82" s="7">
        <v>46226.5</v>
      </c>
      <c r="B82" t="s">
        <v>873</v>
      </c>
      <c r="C82" t="s">
        <v>1</v>
      </c>
      <c r="D82" s="8" t="s">
        <v>874</v>
      </c>
      <c r="E82" t="s">
        <v>57</v>
      </c>
      <c r="F82">
        <v>1</v>
      </c>
      <c r="G82" s="3">
        <v>521</v>
      </c>
      <c r="H82" s="3">
        <v>745.03</v>
      </c>
      <c r="I82" s="3">
        <f>H82-G82</f>
      </c>
      <c r="J82" s="3">
        <f>I82*16.67%</f>
      </c>
      <c r="K82" s="3">
        <f>H82/100*11</f>
      </c>
      <c r="L82" s="3">
        <v>8.99</v>
      </c>
      <c r="M82" s="3">
        <v>0</v>
      </c>
      <c r="N82" s="3">
        <f>M82*20%</f>
      </c>
      <c r="O82" s="3">
        <v>1</v>
      </c>
      <c r="P82" s="3">
        <f>I82-J82-K82-L82-M82-N82-O82</f>
      </c>
      <c r="Q82" s="3">
        <f>(P82-Y82)/G82*100</f>
      </c>
      <c r="R82" s="3">
        <f>J82-N82</f>
      </c>
      <c r="S82" t="s">
        <v>1</v>
      </c>
      <c r="T82" t="s">
        <v>68</v>
      </c>
      <c r="Z82" s="3">
        <f>P82-Y82</f>
      </c>
      <c r="AA82" t="s">
        <v>59</v>
      </c>
      <c r="AB82" t="s">
        <v>84</v>
      </c>
    </row>
    <row r="83" spans="1:28" x14ac:dyDescent="0.25">
      <c r="A83" s="7">
        <v>46226.5</v>
      </c>
      <c r="B83" t="s">
        <v>875</v>
      </c>
      <c r="C83" t="s">
        <v>176</v>
      </c>
      <c r="D83" s="8" t="s">
        <v>1</v>
      </c>
      <c r="E83" t="s">
        <v>77</v>
      </c>
      <c r="F83">
        <v>3</v>
      </c>
      <c r="G83" s="3">
        <v>0.45</v>
      </c>
      <c r="H83" s="3">
        <v>0.65</v>
      </c>
      <c r="I83" s="3">
        <f>H83-G83</f>
      </c>
      <c r="J83" s="3">
        <f>I83*16.67%</f>
      </c>
      <c r="K83" s="3">
        <f>H83/100*11</f>
      </c>
      <c r="L83" s="3">
        <v>8.99</v>
      </c>
      <c r="M83" s="3">
        <v>0</v>
      </c>
      <c r="N83" s="3">
        <f>M83*20%</f>
      </c>
      <c r="O83" s="3">
        <v>1</v>
      </c>
      <c r="P83" s="3">
        <f>I83-J83-K83-L83-M83-N83-O83</f>
      </c>
      <c r="Q83" s="3">
        <f>(P83-Y83)/G83*100</f>
      </c>
      <c r="R83" s="3">
        <f>J83-N83</f>
      </c>
      <c r="S83" t="s">
        <v>1</v>
      </c>
      <c r="T83" t="s">
        <v>176</v>
      </c>
      <c r="Z83" s="3">
        <f>P83-Y83</f>
      </c>
      <c r="AA83" t="s">
        <v>1</v>
      </c>
      <c r="AB83" t="s">
        <v>1</v>
      </c>
    </row>
    <row r="84" spans="1:28" x14ac:dyDescent="0.25">
      <c r="A84" s="7">
        <v>46225.5</v>
      </c>
      <c r="B84" t="s">
        <v>876</v>
      </c>
      <c r="C84" t="s">
        <v>1</v>
      </c>
      <c r="D84" s="8" t="s">
        <v>877</v>
      </c>
      <c r="E84" t="s">
        <v>77</v>
      </c>
      <c r="F84">
        <v>1</v>
      </c>
      <c r="G84" s="3">
        <v>334</v>
      </c>
      <c r="H84" s="3">
        <v>467.6</v>
      </c>
      <c r="I84" s="3">
        <f>H84-G84</f>
      </c>
      <c r="J84" s="3">
        <f>I84*16.67%</f>
      </c>
      <c r="K84" s="3">
        <f>H84/100*11</f>
      </c>
      <c r="L84" s="3">
        <v>8.99</v>
      </c>
      <c r="M84" s="3">
        <v>0</v>
      </c>
      <c r="N84" s="3">
        <f>M84*20%</f>
      </c>
      <c r="O84" s="3">
        <v>1</v>
      </c>
      <c r="P84" s="3">
        <f>I84-J84-K84-L84-M84-N84-O84</f>
      </c>
      <c r="Q84" s="3">
        <f>(P84-Y84)/G84*100</f>
      </c>
      <c r="R84" s="3">
        <f>J84-N84</f>
      </c>
      <c r="S84" t="s">
        <v>1</v>
      </c>
      <c r="T84" t="s">
        <v>73</v>
      </c>
      <c r="Z84" s="3">
        <f>P84-Y84</f>
      </c>
      <c r="AA84" t="s">
        <v>59</v>
      </c>
      <c r="AB84" t="s">
        <v>87</v>
      </c>
    </row>
    <row r="85" spans="1:28" x14ac:dyDescent="0.25">
      <c r="A85" s="7">
        <v>46225.5</v>
      </c>
      <c r="B85" t="s">
        <v>878</v>
      </c>
      <c r="C85" t="s">
        <v>1</v>
      </c>
      <c r="D85" s="8" t="s">
        <v>879</v>
      </c>
      <c r="E85" t="s">
        <v>101</v>
      </c>
      <c r="F85">
        <v>1</v>
      </c>
      <c r="G85" s="3">
        <v>327</v>
      </c>
      <c r="H85" s="3">
        <v>444.72</v>
      </c>
      <c r="I85" s="3">
        <f>H85-G85</f>
      </c>
      <c r="J85" s="3">
        <f>I85*16.67%</f>
      </c>
      <c r="K85" s="3">
        <f>H85/100*11</f>
      </c>
      <c r="L85" s="3">
        <v>8.99</v>
      </c>
      <c r="M85" s="3">
        <v>0</v>
      </c>
      <c r="N85" s="3">
        <f>M85*20%</f>
      </c>
      <c r="O85" s="3">
        <v>1</v>
      </c>
      <c r="P85" s="3">
        <f>I85-J85-K85-L85-M85-N85-O85</f>
      </c>
      <c r="Q85" s="3">
        <f>(P85-Y85)/G85*100</f>
      </c>
      <c r="R85" s="3">
        <f>J85-N85</f>
      </c>
      <c r="S85" t="s">
        <v>1</v>
      </c>
      <c r="T85" t="s">
        <v>73</v>
      </c>
      <c r="Z85" s="3">
        <f>P85-Y85</f>
      </c>
      <c r="AA85" t="s">
        <v>59</v>
      </c>
      <c r="AB85" t="s">
        <v>98</v>
      </c>
    </row>
    <row r="86" spans="1:28" x14ac:dyDescent="0.25">
      <c r="A86" s="7">
        <v>46225.5</v>
      </c>
      <c r="B86" t="s">
        <v>880</v>
      </c>
      <c r="C86" t="s">
        <v>1</v>
      </c>
      <c r="D86" s="8" t="s">
        <v>881</v>
      </c>
      <c r="E86" t="s">
        <v>72</v>
      </c>
      <c r="F86">
        <v>1</v>
      </c>
      <c r="G86" s="3">
        <v>449</v>
      </c>
      <c r="H86" s="3">
        <v>570.23</v>
      </c>
      <c r="I86" s="3">
        <f>H86-G86</f>
      </c>
      <c r="J86" s="3">
        <f>I86*16.67%</f>
      </c>
      <c r="K86" s="3">
        <f>H86/100*11</f>
      </c>
      <c r="L86" s="3">
        <v>8.99</v>
      </c>
      <c r="M86" s="3">
        <v>0</v>
      </c>
      <c r="N86" s="3">
        <f>M86*20%</f>
      </c>
      <c r="O86" s="3">
        <v>1</v>
      </c>
      <c r="P86" s="3">
        <f>I86-J86-K86-L86-M86-N86-O86</f>
      </c>
      <c r="Q86" s="3">
        <f>(P86-Y86)/G86*100</f>
      </c>
      <c r="R86" s="3">
        <f>J86-N86</f>
      </c>
      <c r="S86" t="s">
        <v>1</v>
      </c>
      <c r="T86" t="s">
        <v>58</v>
      </c>
      <c r="Z86" s="3">
        <f>P86-Y86</f>
      </c>
      <c r="AA86" t="s">
        <v>59</v>
      </c>
      <c r="AB86" t="s">
        <v>74</v>
      </c>
    </row>
    <row r="87" spans="1:28" x14ac:dyDescent="0.25">
      <c r="A87" s="7">
        <v>46225.5</v>
      </c>
      <c r="B87" t="s">
        <v>882</v>
      </c>
      <c r="C87" t="s">
        <v>1</v>
      </c>
      <c r="D87" s="8" t="s">
        <v>883</v>
      </c>
      <c r="E87" t="s">
        <v>101</v>
      </c>
      <c r="F87">
        <v>1</v>
      </c>
      <c r="G87" s="3">
        <v>247</v>
      </c>
      <c r="H87" s="3">
        <v>355.68</v>
      </c>
      <c r="I87" s="3">
        <f>H87-G87</f>
      </c>
      <c r="J87" s="3">
        <f>I87*16.67%</f>
      </c>
      <c r="K87" s="3">
        <f>H87/100*11</f>
      </c>
      <c r="L87" s="3">
        <v>8.99</v>
      </c>
      <c r="M87" s="3">
        <v>0</v>
      </c>
      <c r="N87" s="3">
        <f>M87*20%</f>
      </c>
      <c r="O87" s="3">
        <v>1</v>
      </c>
      <c r="P87" s="3">
        <f>I87-J87-K87-L87-M87-N87-O87</f>
      </c>
      <c r="Q87" s="3">
        <f>(P87-Y87)/G87*100</f>
      </c>
      <c r="R87" s="3">
        <f>J87-N87</f>
      </c>
      <c r="S87" t="s">
        <v>1</v>
      </c>
      <c r="T87" t="s">
        <v>113</v>
      </c>
      <c r="Z87" s="3">
        <f>P87-Y87</f>
      </c>
      <c r="AA87" t="s">
        <v>59</v>
      </c>
      <c r="AB87" t="s">
        <v>84</v>
      </c>
    </row>
    <row r="88" spans="1:28" x14ac:dyDescent="0.25">
      <c r="A88" s="7">
        <v>46225.5</v>
      </c>
      <c r="B88" t="s">
        <v>884</v>
      </c>
      <c r="C88" t="s">
        <v>1</v>
      </c>
      <c r="D88" s="8" t="s">
        <v>885</v>
      </c>
      <c r="E88" t="s">
        <v>63</v>
      </c>
      <c r="F88">
        <v>1</v>
      </c>
      <c r="G88" s="3">
        <v>331</v>
      </c>
      <c r="H88" s="3">
        <v>397.2</v>
      </c>
      <c r="I88" s="3">
        <f>H88-G88</f>
      </c>
      <c r="J88" s="3">
        <f>I88*16.67%</f>
      </c>
      <c r="K88" s="3">
        <f>H88/100*11</f>
      </c>
      <c r="L88" s="3">
        <v>8.99</v>
      </c>
      <c r="M88" s="3">
        <v>0</v>
      </c>
      <c r="N88" s="3">
        <f>M88*20%</f>
      </c>
      <c r="O88" s="3">
        <v>1</v>
      </c>
      <c r="P88" s="3">
        <f>I88-J88-K88-L88-M88-N88-O88</f>
      </c>
      <c r="Q88" s="3">
        <f>(P88-Y88)/G88*100</f>
      </c>
      <c r="R88" s="3">
        <f>J88-N88</f>
      </c>
      <c r="S88" t="s">
        <v>1</v>
      </c>
      <c r="T88" t="s">
        <v>97</v>
      </c>
      <c r="Z88" s="3">
        <f>P88-Y88</f>
      </c>
      <c r="AA88" t="s">
        <v>59</v>
      </c>
      <c r="AB88" t="s">
        <v>104</v>
      </c>
    </row>
    <row r="89" spans="1:28" x14ac:dyDescent="0.25">
      <c r="A89" s="7">
        <v>46225.5</v>
      </c>
      <c r="B89" t="s">
        <v>886</v>
      </c>
      <c r="C89" t="s">
        <v>173</v>
      </c>
      <c r="D89" s="8" t="s">
        <v>1</v>
      </c>
      <c r="E89" t="s">
        <v>63</v>
      </c>
      <c r="F89">
        <v>1</v>
      </c>
      <c r="G89" s="3">
        <v>4.25</v>
      </c>
      <c r="H89" s="3">
        <v>5.61</v>
      </c>
      <c r="I89" s="3">
        <f>H89-G89</f>
      </c>
      <c r="J89" s="3">
        <f>I89*16.67%</f>
      </c>
      <c r="K89" s="3">
        <f>H89/100*11</f>
      </c>
      <c r="L89" s="3">
        <v>8.99</v>
      </c>
      <c r="M89" s="3">
        <v>0</v>
      </c>
      <c r="N89" s="3">
        <f>M89*20%</f>
      </c>
      <c r="O89" s="3">
        <v>1</v>
      </c>
      <c r="P89" s="3">
        <f>I89-J89-K89-L89-M89-N89-O89</f>
      </c>
      <c r="Q89" s="3">
        <f>(P89-Y89)/G89*100</f>
      </c>
      <c r="R89" s="3">
        <f>J89-N89</f>
      </c>
      <c r="S89" t="s">
        <v>1</v>
      </c>
      <c r="T89" t="s">
        <v>173</v>
      </c>
      <c r="Z89" s="3">
        <f>P89-Y89</f>
      </c>
      <c r="AA89" t="s">
        <v>1</v>
      </c>
      <c r="AB89" t="s">
        <v>1</v>
      </c>
    </row>
    <row r="90" spans="1:28" x14ac:dyDescent="0.25">
      <c r="A90" s="7">
        <v>46225.5</v>
      </c>
      <c r="B90" t="s">
        <v>887</v>
      </c>
      <c r="C90" t="s">
        <v>173</v>
      </c>
      <c r="D90" s="8" t="s">
        <v>1</v>
      </c>
      <c r="E90" t="s">
        <v>63</v>
      </c>
      <c r="F90">
        <v>2</v>
      </c>
      <c r="G90" s="3">
        <v>8.5</v>
      </c>
      <c r="H90" s="3">
        <v>11.82</v>
      </c>
      <c r="I90" s="3">
        <f>H90-G90</f>
      </c>
      <c r="J90" s="3">
        <f>I90*16.67%</f>
      </c>
      <c r="K90" s="3">
        <f>H90/100*11</f>
      </c>
      <c r="L90" s="3">
        <v>8.99</v>
      </c>
      <c r="M90" s="3">
        <v>0</v>
      </c>
      <c r="N90" s="3">
        <f>M90*20%</f>
      </c>
      <c r="O90" s="3">
        <v>1</v>
      </c>
      <c r="P90" s="3">
        <f>I90-J90-K90-L90-M90-N90-O90</f>
      </c>
      <c r="Q90" s="3">
        <f>(P90-Y90)/G90*100</f>
      </c>
      <c r="R90" s="3">
        <f>J90-N90</f>
      </c>
      <c r="S90" t="s">
        <v>1</v>
      </c>
      <c r="T90" t="s">
        <v>173</v>
      </c>
      <c r="Z90" s="3">
        <f>P90-Y90</f>
      </c>
      <c r="AA90" t="s">
        <v>1</v>
      </c>
      <c r="AB90" t="s">
        <v>1</v>
      </c>
    </row>
    <row r="91" spans="1:28" x14ac:dyDescent="0.25">
      <c r="A91" s="7">
        <v>46225.5</v>
      </c>
      <c r="B91" t="s">
        <v>888</v>
      </c>
      <c r="C91" t="s">
        <v>1</v>
      </c>
      <c r="D91" s="8" t="s">
        <v>1</v>
      </c>
      <c r="E91" t="s">
        <v>63</v>
      </c>
      <c r="F91">
        <v>1</v>
      </c>
      <c r="G91" s="3">
        <v>251</v>
      </c>
      <c r="H91" s="3">
        <v>348.89</v>
      </c>
      <c r="I91" s="3">
        <f>H91-G91</f>
      </c>
      <c r="J91" s="3">
        <f>I91*16.67%</f>
      </c>
      <c r="K91" s="3">
        <f>H91/100*11</f>
      </c>
      <c r="L91" s="3">
        <v>8.99</v>
      </c>
      <c r="M91" s="3">
        <v>0</v>
      </c>
      <c r="N91" s="3">
        <f>M91*20%</f>
      </c>
      <c r="O91" s="3">
        <v>1</v>
      </c>
      <c r="P91" s="3">
        <f>I91-J91-K91-L91-M91-N91-O91</f>
      </c>
      <c r="Q91" s="3">
        <f>(P91-Y91)/G91*100</f>
      </c>
      <c r="R91" s="3">
        <f>J91-N91</f>
      </c>
      <c r="S91" t="s">
        <v>1</v>
      </c>
      <c r="T91" t="s">
        <v>1</v>
      </c>
      <c r="Z91" s="3">
        <f>P91-Y91</f>
      </c>
      <c r="AA91" t="s">
        <v>1</v>
      </c>
      <c r="AB91" t="s">
        <v>1</v>
      </c>
    </row>
    <row r="92" spans="1:28" x14ac:dyDescent="0.25">
      <c r="A92" s="7">
        <v>46224.5</v>
      </c>
      <c r="B92" t="s">
        <v>889</v>
      </c>
      <c r="C92" t="s">
        <v>1</v>
      </c>
      <c r="D92" s="8" t="s">
        <v>890</v>
      </c>
      <c r="E92" t="s">
        <v>57</v>
      </c>
      <c r="F92">
        <v>1</v>
      </c>
      <c r="G92" s="3">
        <v>494</v>
      </c>
      <c r="H92" s="3">
        <v>691.6</v>
      </c>
      <c r="I92" s="3">
        <f>H92-G92</f>
      </c>
      <c r="J92" s="3">
        <f>I92*16.67%</f>
      </c>
      <c r="K92" s="3">
        <f>H92/100*11</f>
      </c>
      <c r="L92" s="3">
        <v>8.99</v>
      </c>
      <c r="M92" s="3">
        <v>0</v>
      </c>
      <c r="N92" s="3">
        <f>M92*20%</f>
      </c>
      <c r="O92" s="3">
        <v>1</v>
      </c>
      <c r="P92" s="3">
        <f>I92-J92-K92-L92-M92-N92-O92</f>
      </c>
      <c r="Q92" s="3">
        <f>(P92-Y92)/G92*100</f>
      </c>
      <c r="R92" s="3">
        <f>J92-N92</f>
      </c>
      <c r="S92" t="s">
        <v>1</v>
      </c>
      <c r="T92" t="s">
        <v>68</v>
      </c>
      <c r="Z92" s="3">
        <f>P92-Y92</f>
      </c>
      <c r="AA92" t="s">
        <v>59</v>
      </c>
      <c r="AB92" t="s">
        <v>69</v>
      </c>
    </row>
    <row r="93" spans="1:28" x14ac:dyDescent="0.25">
      <c r="A93" s="7">
        <v>46224.5</v>
      </c>
      <c r="B93" t="s">
        <v>891</v>
      </c>
      <c r="C93" t="s">
        <v>1</v>
      </c>
      <c r="D93" s="8" t="s">
        <v>892</v>
      </c>
      <c r="E93" t="s">
        <v>77</v>
      </c>
      <c r="F93">
        <v>1</v>
      </c>
      <c r="G93" s="3">
        <v>508</v>
      </c>
      <c r="H93" s="3">
        <v>655.32</v>
      </c>
      <c r="I93" s="3">
        <f>H93-G93</f>
      </c>
      <c r="J93" s="3">
        <f>I93*16.67%</f>
      </c>
      <c r="K93" s="3">
        <f>H93/100*11</f>
      </c>
      <c r="L93" s="3">
        <v>8.99</v>
      </c>
      <c r="M93" s="3">
        <v>0</v>
      </c>
      <c r="N93" s="3">
        <f>M93*20%</f>
      </c>
      <c r="O93" s="3">
        <v>1</v>
      </c>
      <c r="P93" s="3">
        <f>I93-J93-K93-L93-M93-N93-O93</f>
      </c>
      <c r="Q93" s="3">
        <f>(P93-Y93)/G93*100</f>
      </c>
      <c r="R93" s="3">
        <f>J93-N93</f>
      </c>
      <c r="S93" t="s">
        <v>1</v>
      </c>
      <c r="T93" t="s">
        <v>68</v>
      </c>
      <c r="Z93" s="3">
        <f>P93-Y93</f>
      </c>
      <c r="AA93" t="s">
        <v>59</v>
      </c>
      <c r="AB93" t="s">
        <v>69</v>
      </c>
    </row>
    <row r="94" spans="1:28" x14ac:dyDescent="0.25">
      <c r="A94" s="7">
        <v>46224.5</v>
      </c>
      <c r="B94" t="s">
        <v>893</v>
      </c>
      <c r="C94" t="s">
        <v>188</v>
      </c>
      <c r="D94" s="8" t="s">
        <v>1</v>
      </c>
      <c r="E94" t="s">
        <v>63</v>
      </c>
      <c r="F94">
        <v>2</v>
      </c>
      <c r="G94" s="3">
        <v>7</v>
      </c>
      <c r="H94" s="3">
        <v>9.03</v>
      </c>
      <c r="I94" s="3">
        <f>H94-G94</f>
      </c>
      <c r="J94" s="3">
        <f>I94*16.67%</f>
      </c>
      <c r="K94" s="3">
        <f>H94/100*11</f>
      </c>
      <c r="L94" s="3">
        <v>8.99</v>
      </c>
      <c r="M94" s="3">
        <v>0</v>
      </c>
      <c r="N94" s="3">
        <f>M94*20%</f>
      </c>
      <c r="O94" s="3">
        <v>1</v>
      </c>
      <c r="P94" s="3">
        <f>I94-J94-K94-L94-M94-N94-O94</f>
      </c>
      <c r="Q94" s="3">
        <f>(P94-Y94)/G94*100</f>
      </c>
      <c r="R94" s="3">
        <f>J94-N94</f>
      </c>
      <c r="S94" t="s">
        <v>1</v>
      </c>
      <c r="T94" t="s">
        <v>188</v>
      </c>
      <c r="Z94" s="3">
        <f>P94-Y94</f>
      </c>
      <c r="AA94" t="s">
        <v>1</v>
      </c>
      <c r="AB94" t="s">
        <v>1</v>
      </c>
    </row>
    <row r="95" spans="1:28" x14ac:dyDescent="0.25">
      <c r="A95" s="7">
        <v>46224.5</v>
      </c>
      <c r="B95" t="s">
        <v>894</v>
      </c>
      <c r="C95" t="s">
        <v>253</v>
      </c>
      <c r="D95" s="8" t="s">
        <v>1</v>
      </c>
      <c r="E95" t="s">
        <v>57</v>
      </c>
      <c r="F95">
        <v>2</v>
      </c>
      <c r="G95" s="3">
        <v>1.6</v>
      </c>
      <c r="H95" s="3">
        <v>2.21</v>
      </c>
      <c r="I95" s="3">
        <f>H95-G95</f>
      </c>
      <c r="J95" s="3">
        <f>I95*16.67%</f>
      </c>
      <c r="K95" s="3">
        <f>H95/100*11</f>
      </c>
      <c r="L95" s="3">
        <v>8.99</v>
      </c>
      <c r="M95" s="3">
        <v>0</v>
      </c>
      <c r="N95" s="3">
        <f>M95*20%</f>
      </c>
      <c r="O95" s="3">
        <v>1</v>
      </c>
      <c r="P95" s="3">
        <f>I95-J95-K95-L95-M95-N95-O95</f>
      </c>
      <c r="Q95" s="3">
        <f>(P95-Y95)/G95*100</f>
      </c>
      <c r="R95" s="3">
        <f>J95-N95</f>
      </c>
      <c r="S95" t="s">
        <v>1</v>
      </c>
      <c r="T95" t="s">
        <v>253</v>
      </c>
      <c r="Z95" s="3">
        <f>P95-Y95</f>
      </c>
      <c r="AA95" t="s">
        <v>1</v>
      </c>
      <c r="AB95" t="s">
        <v>1</v>
      </c>
    </row>
    <row r="96" spans="1:28" x14ac:dyDescent="0.25">
      <c r="A96" s="7">
        <v>46223.5</v>
      </c>
      <c r="B96" t="s">
        <v>895</v>
      </c>
      <c r="C96" t="s">
        <v>1</v>
      </c>
      <c r="D96" s="8" t="s">
        <v>896</v>
      </c>
      <c r="E96" t="s">
        <v>57</v>
      </c>
      <c r="F96">
        <v>1</v>
      </c>
      <c r="G96" s="3">
        <v>265</v>
      </c>
      <c r="H96" s="3">
        <v>355.1</v>
      </c>
      <c r="I96" s="3">
        <f>H96-G96</f>
      </c>
      <c r="J96" s="3">
        <f>I96*16.67%</f>
      </c>
      <c r="K96" s="3">
        <f>H96/100*11</f>
      </c>
      <c r="L96" s="3">
        <v>8.99</v>
      </c>
      <c r="M96" s="3">
        <v>0</v>
      </c>
      <c r="N96" s="3">
        <f>M96*20%</f>
      </c>
      <c r="O96" s="3">
        <v>1</v>
      </c>
      <c r="P96" s="3">
        <f>I96-J96-K96-L96-M96-N96-O96</f>
      </c>
      <c r="Q96" s="3">
        <f>(P96-Y96)/G96*100</f>
      </c>
      <c r="R96" s="3">
        <f>J96-N96</f>
      </c>
      <c r="S96" t="s">
        <v>1</v>
      </c>
      <c r="T96" t="s">
        <v>130</v>
      </c>
      <c r="Z96" s="3">
        <f>P96-Y96</f>
      </c>
      <c r="AA96" t="s">
        <v>59</v>
      </c>
      <c r="AB96" t="s">
        <v>60</v>
      </c>
    </row>
    <row r="97" spans="1:28" x14ac:dyDescent="0.25">
      <c r="A97" s="7">
        <v>46223.5</v>
      </c>
      <c r="B97" t="s">
        <v>897</v>
      </c>
      <c r="C97" t="s">
        <v>1</v>
      </c>
      <c r="D97" s="8" t="s">
        <v>898</v>
      </c>
      <c r="E97" t="s">
        <v>77</v>
      </c>
      <c r="F97">
        <v>1</v>
      </c>
      <c r="G97" s="3">
        <v>441</v>
      </c>
      <c r="H97" s="3">
        <v>507.15</v>
      </c>
      <c r="I97" s="3">
        <f>H97-G97</f>
      </c>
      <c r="J97" s="3">
        <f>I97*16.67%</f>
      </c>
      <c r="K97" s="3">
        <f>H97/100*11</f>
      </c>
      <c r="L97" s="3">
        <v>8.99</v>
      </c>
      <c r="M97" s="3">
        <v>0</v>
      </c>
      <c r="N97" s="3">
        <f>M97*20%</f>
      </c>
      <c r="O97" s="3">
        <v>1</v>
      </c>
      <c r="P97" s="3">
        <f>I97-J97-K97-L97-M97-N97-O97</f>
      </c>
      <c r="Q97" s="3">
        <f>(P97-Y97)/G97*100</f>
      </c>
      <c r="R97" s="3">
        <f>J97-N97</f>
      </c>
      <c r="S97" t="s">
        <v>1</v>
      </c>
      <c r="T97" t="s">
        <v>58</v>
      </c>
      <c r="Z97" s="3">
        <f>P97-Y97</f>
      </c>
      <c r="AA97" t="s">
        <v>59</v>
      </c>
      <c r="AB97" t="s">
        <v>74</v>
      </c>
    </row>
    <row r="98" spans="1:28" x14ac:dyDescent="0.25">
      <c r="A98" s="7">
        <v>46222.5</v>
      </c>
      <c r="B98" t="s">
        <v>899</v>
      </c>
      <c r="C98" t="s">
        <v>188</v>
      </c>
      <c r="D98" s="8" t="s">
        <v>1</v>
      </c>
      <c r="E98" t="s">
        <v>63</v>
      </c>
      <c r="F98">
        <v>3</v>
      </c>
      <c r="G98" s="3">
        <v>10.5</v>
      </c>
      <c r="H98" s="3">
        <v>13.65</v>
      </c>
      <c r="I98" s="3">
        <f>H98-G98</f>
      </c>
      <c r="J98" s="3">
        <f>I98*16.67%</f>
      </c>
      <c r="K98" s="3">
        <f>H98/100*11</f>
      </c>
      <c r="L98" s="3">
        <v>8.99</v>
      </c>
      <c r="M98" s="3">
        <v>0</v>
      </c>
      <c r="N98" s="3">
        <f>M98*20%</f>
      </c>
      <c r="O98" s="3">
        <v>1</v>
      </c>
      <c r="P98" s="3">
        <f>I98-J98-K98-L98-M98-N98-O98</f>
      </c>
      <c r="Q98" s="3">
        <f>(P98-Y98)/G98*100</f>
      </c>
      <c r="R98" s="3">
        <f>J98-N98</f>
      </c>
      <c r="S98" t="s">
        <v>1</v>
      </c>
      <c r="T98" t="s">
        <v>188</v>
      </c>
      <c r="Z98" s="3">
        <f>P98-Y98</f>
      </c>
      <c r="AA98" t="s">
        <v>1</v>
      </c>
      <c r="AB98" t="s">
        <v>1</v>
      </c>
    </row>
    <row r="99" spans="1:28" x14ac:dyDescent="0.25">
      <c r="A99" s="7">
        <v>46221.5</v>
      </c>
      <c r="B99" t="s">
        <v>900</v>
      </c>
      <c r="C99" t="s">
        <v>1</v>
      </c>
      <c r="D99" s="8" t="s">
        <v>901</v>
      </c>
      <c r="E99" t="s">
        <v>72</v>
      </c>
      <c r="F99">
        <v>1</v>
      </c>
      <c r="G99" s="3">
        <v>521</v>
      </c>
      <c r="H99" s="3">
        <v>739.82</v>
      </c>
      <c r="I99" s="3">
        <f>H99-G99</f>
      </c>
      <c r="J99" s="3">
        <f>I99*16.67%</f>
      </c>
      <c r="K99" s="3">
        <f>H99/100*11</f>
      </c>
      <c r="L99" s="3">
        <v>8.99</v>
      </c>
      <c r="M99" s="3">
        <v>0</v>
      </c>
      <c r="N99" s="3">
        <f>M99*20%</f>
      </c>
      <c r="O99" s="3">
        <v>1</v>
      </c>
      <c r="P99" s="3">
        <f>I99-J99-K99-L99-M99-N99-O99</f>
      </c>
      <c r="Q99" s="3">
        <f>(P99-Y99)/G99*100</f>
      </c>
      <c r="R99" s="3">
        <f>J99-N99</f>
      </c>
      <c r="S99" t="s">
        <v>1</v>
      </c>
      <c r="T99" t="s">
        <v>80</v>
      </c>
      <c r="Z99" s="3">
        <f>P99-Y99</f>
      </c>
      <c r="AA99" t="s">
        <v>65</v>
      </c>
      <c r="AB99" t="s">
        <v>69</v>
      </c>
    </row>
    <row r="100" spans="1:28" x14ac:dyDescent="0.25">
      <c r="A100" s="7">
        <v>46221.5</v>
      </c>
      <c r="B100" t="s">
        <v>902</v>
      </c>
      <c r="C100" t="s">
        <v>1</v>
      </c>
      <c r="D100" s="8" t="s">
        <v>903</v>
      </c>
      <c r="E100" t="s">
        <v>72</v>
      </c>
      <c r="F100">
        <v>1</v>
      </c>
      <c r="G100" s="3">
        <v>216</v>
      </c>
      <c r="H100" s="3">
        <v>313.2</v>
      </c>
      <c r="I100" s="3">
        <f>H100-G100</f>
      </c>
      <c r="J100" s="3">
        <f>I100*16.67%</f>
      </c>
      <c r="K100" s="3">
        <f>H100/100*11</f>
      </c>
      <c r="L100" s="3">
        <v>8.99</v>
      </c>
      <c r="M100" s="3">
        <v>0</v>
      </c>
      <c r="N100" s="3">
        <f>M100*20%</f>
      </c>
      <c r="O100" s="3">
        <v>1</v>
      </c>
      <c r="P100" s="3">
        <f>I100-J100-K100-L100-M100-N100-O100</f>
      </c>
      <c r="Q100" s="3">
        <f>(P100-Y100)/G100*100</f>
      </c>
      <c r="R100" s="3">
        <f>J100-N100</f>
      </c>
      <c r="S100" t="s">
        <v>1</v>
      </c>
      <c r="T100" t="s">
        <v>113</v>
      </c>
      <c r="Z100" s="3">
        <f>P100-Y100</f>
      </c>
      <c r="AA100" t="s">
        <v>94</v>
      </c>
      <c r="AB100" t="s">
        <v>74</v>
      </c>
    </row>
    <row r="101" spans="1:28" x14ac:dyDescent="0.25">
      <c r="A101" s="7">
        <v>46221.5</v>
      </c>
      <c r="B101" t="s">
        <v>904</v>
      </c>
      <c r="C101" t="s">
        <v>1</v>
      </c>
      <c r="D101" s="8" t="s">
        <v>905</v>
      </c>
      <c r="E101" t="s">
        <v>63</v>
      </c>
      <c r="F101">
        <v>1</v>
      </c>
      <c r="G101" s="3">
        <v>150</v>
      </c>
      <c r="H101" s="3">
        <v>202.5</v>
      </c>
      <c r="I101" s="3">
        <f>H101-G101</f>
      </c>
      <c r="J101" s="3">
        <f>I101*16.67%</f>
      </c>
      <c r="K101" s="3">
        <f>H101/100*11</f>
      </c>
      <c r="L101" s="3">
        <v>8.99</v>
      </c>
      <c r="M101" s="3">
        <v>0</v>
      </c>
      <c r="N101" s="3">
        <f>M101*20%</f>
      </c>
      <c r="O101" s="3">
        <v>1</v>
      </c>
      <c r="P101" s="3">
        <f>I101-J101-K101-L101-M101-N101-O101</f>
      </c>
      <c r="Q101" s="3">
        <f>(P101-Y101)/G101*100</f>
      </c>
      <c r="R101" s="3">
        <f>J101-N101</f>
      </c>
      <c r="S101" t="s">
        <v>1</v>
      </c>
      <c r="T101" t="s">
        <v>233</v>
      </c>
      <c r="Z101" s="3">
        <f>P101-Y101</f>
      </c>
      <c r="AA101" t="s">
        <v>65</v>
      </c>
      <c r="AB101" t="s">
        <v>60</v>
      </c>
    </row>
    <row r="102" spans="1:28" x14ac:dyDescent="0.25">
      <c r="A102" s="7">
        <v>46221.5</v>
      </c>
      <c r="B102" t="s">
        <v>906</v>
      </c>
      <c r="C102" t="s">
        <v>1</v>
      </c>
      <c r="D102" s="8" t="s">
        <v>907</v>
      </c>
      <c r="E102" t="s">
        <v>63</v>
      </c>
      <c r="F102">
        <v>1</v>
      </c>
      <c r="G102" s="3">
        <v>107</v>
      </c>
      <c r="H102" s="3">
        <v>147.66</v>
      </c>
      <c r="I102" s="3">
        <f>H102-G102</f>
      </c>
      <c r="J102" s="3">
        <f>I102*16.67%</f>
      </c>
      <c r="K102" s="3">
        <f>H102/100*11</f>
      </c>
      <c r="L102" s="3">
        <v>8.99</v>
      </c>
      <c r="M102" s="3">
        <v>0</v>
      </c>
      <c r="N102" s="3">
        <f>M102*20%</f>
      </c>
      <c r="O102" s="3">
        <v>1</v>
      </c>
      <c r="P102" s="3">
        <f>I102-J102-K102-L102-M102-N102-O102</f>
      </c>
      <c r="Q102" s="3">
        <f>(P102-Y102)/G102*100</f>
      </c>
      <c r="R102" s="3">
        <f>J102-N102</f>
      </c>
      <c r="S102" t="s">
        <v>1</v>
      </c>
      <c r="T102" t="s">
        <v>133</v>
      </c>
      <c r="Z102" s="3">
        <f>P102-Y102</f>
      </c>
      <c r="AA102" t="s">
        <v>65</v>
      </c>
      <c r="AB102" t="s">
        <v>74</v>
      </c>
    </row>
    <row r="103" spans="1:28" x14ac:dyDescent="0.25">
      <c r="A103" s="7">
        <v>46221.5</v>
      </c>
      <c r="B103" t="s">
        <v>908</v>
      </c>
      <c r="C103" t="s">
        <v>1</v>
      </c>
      <c r="D103" s="8" t="s">
        <v>909</v>
      </c>
      <c r="E103" t="s">
        <v>63</v>
      </c>
      <c r="F103">
        <v>1</v>
      </c>
      <c r="G103" s="3">
        <v>352</v>
      </c>
      <c r="H103" s="3">
        <v>489.28</v>
      </c>
      <c r="I103" s="3">
        <f>H103-G103</f>
      </c>
      <c r="J103" s="3">
        <f>I103*16.67%</f>
      </c>
      <c r="K103" s="3">
        <f>H103/100*11</f>
      </c>
      <c r="L103" s="3">
        <v>8.99</v>
      </c>
      <c r="M103" s="3">
        <v>0</v>
      </c>
      <c r="N103" s="3">
        <f>M103*20%</f>
      </c>
      <c r="O103" s="3">
        <v>1</v>
      </c>
      <c r="P103" s="3">
        <f>I103-J103-K103-L103-M103-N103-O103</f>
      </c>
      <c r="Q103" s="3">
        <f>(P103-Y103)/G103*100</f>
      </c>
      <c r="R103" s="3">
        <f>J103-N103</f>
      </c>
      <c r="S103" t="s">
        <v>1</v>
      </c>
      <c r="T103" t="s">
        <v>73</v>
      </c>
      <c r="Z103" s="3">
        <f>P103-Y103</f>
      </c>
      <c r="AA103" t="s">
        <v>59</v>
      </c>
      <c r="AB103" t="s">
        <v>60</v>
      </c>
    </row>
    <row r="104" spans="1:28" x14ac:dyDescent="0.25">
      <c r="A104" s="7">
        <v>46221.5</v>
      </c>
      <c r="B104" t="s">
        <v>910</v>
      </c>
      <c r="C104" t="s">
        <v>176</v>
      </c>
      <c r="D104" s="8" t="s">
        <v>1</v>
      </c>
      <c r="E104" t="s">
        <v>77</v>
      </c>
      <c r="F104">
        <v>3</v>
      </c>
      <c r="G104" s="3">
        <v>0.45</v>
      </c>
      <c r="H104" s="3">
        <v>0.54</v>
      </c>
      <c r="I104" s="3">
        <f>H104-G104</f>
      </c>
      <c r="J104" s="3">
        <f>I104*16.67%</f>
      </c>
      <c r="K104" s="3">
        <f>H104/100*11</f>
      </c>
      <c r="L104" s="3">
        <v>8.99</v>
      </c>
      <c r="M104" s="3">
        <v>0</v>
      </c>
      <c r="N104" s="3">
        <f>M104*20%</f>
      </c>
      <c r="O104" s="3">
        <v>1</v>
      </c>
      <c r="P104" s="3">
        <f>I104-J104-K104-L104-M104-N104-O104</f>
      </c>
      <c r="Q104" s="3">
        <f>(P104-Y104)/G104*100</f>
      </c>
      <c r="R104" s="3">
        <f>J104-N104</f>
      </c>
      <c r="S104" t="s">
        <v>1</v>
      </c>
      <c r="T104" t="s">
        <v>176</v>
      </c>
      <c r="Z104" s="3">
        <f>P104-Y104</f>
      </c>
      <c r="AA104" t="s">
        <v>1</v>
      </c>
      <c r="AB104" t="s">
        <v>1</v>
      </c>
    </row>
    <row r="105" spans="1:28" x14ac:dyDescent="0.25">
      <c r="A105" s="7">
        <v>46220.5</v>
      </c>
      <c r="B105" t="s">
        <v>911</v>
      </c>
      <c r="C105" t="s">
        <v>1</v>
      </c>
      <c r="D105" s="8" t="s">
        <v>912</v>
      </c>
      <c r="E105" t="s">
        <v>72</v>
      </c>
      <c r="F105">
        <v>1</v>
      </c>
      <c r="G105" s="3">
        <v>158</v>
      </c>
      <c r="H105" s="3">
        <v>194.34</v>
      </c>
      <c r="I105" s="3">
        <f>H105-G105</f>
      </c>
      <c r="J105" s="3">
        <f>I105*16.67%</f>
      </c>
      <c r="K105" s="3">
        <f>H105/100*11</f>
      </c>
      <c r="L105" s="3">
        <v>8.99</v>
      </c>
      <c r="M105" s="3">
        <v>0</v>
      </c>
      <c r="N105" s="3">
        <f>M105*20%</f>
      </c>
      <c r="O105" s="3">
        <v>1</v>
      </c>
      <c r="P105" s="3">
        <f>I105-J105-K105-L105-M105-N105-O105</f>
      </c>
      <c r="Q105" s="3">
        <f>(P105-Y105)/G105*100</f>
      </c>
      <c r="R105" s="3">
        <f>J105-N105</f>
      </c>
      <c r="S105" t="s">
        <v>1</v>
      </c>
      <c r="T105" t="s">
        <v>291</v>
      </c>
      <c r="Z105" s="3">
        <f>P105-Y105</f>
      </c>
      <c r="AA105" t="s">
        <v>125</v>
      </c>
      <c r="AB105" t="s">
        <v>74</v>
      </c>
    </row>
    <row r="106" spans="1:28" x14ac:dyDescent="0.25">
      <c r="A106" s="7">
        <v>46220.5</v>
      </c>
      <c r="B106" t="s">
        <v>913</v>
      </c>
      <c r="C106" t="s">
        <v>1</v>
      </c>
      <c r="D106" s="8" t="s">
        <v>914</v>
      </c>
      <c r="E106" t="s">
        <v>72</v>
      </c>
      <c r="F106">
        <v>1</v>
      </c>
      <c r="G106" s="3">
        <v>275</v>
      </c>
      <c r="H106" s="3">
        <v>346.5</v>
      </c>
      <c r="I106" s="3">
        <f>H106-G106</f>
      </c>
      <c r="J106" s="3">
        <f>I106*16.67%</f>
      </c>
      <c r="K106" s="3">
        <f>H106/100*11</f>
      </c>
      <c r="L106" s="3">
        <v>8.99</v>
      </c>
      <c r="M106" s="3">
        <v>0</v>
      </c>
      <c r="N106" s="3">
        <f>M106*20%</f>
      </c>
      <c r="O106" s="3">
        <v>1</v>
      </c>
      <c r="P106" s="3">
        <f>I106-J106-K106-L106-M106-N106-O106</f>
      </c>
      <c r="Q106" s="3">
        <f>(P106-Y106)/G106*100</f>
      </c>
      <c r="R106" s="3">
        <f>J106-N106</f>
      </c>
      <c r="S106" t="s">
        <v>1</v>
      </c>
      <c r="T106" t="s">
        <v>124</v>
      </c>
      <c r="Z106" s="3">
        <f>P106-Y106</f>
      </c>
      <c r="AA106" t="s">
        <v>125</v>
      </c>
      <c r="AB106" t="s">
        <v>98</v>
      </c>
    </row>
    <row r="107" spans="1:28" x14ac:dyDescent="0.25">
      <c r="A107" s="7">
        <v>46220.5</v>
      </c>
      <c r="B107" t="s">
        <v>915</v>
      </c>
      <c r="C107" t="s">
        <v>1</v>
      </c>
      <c r="D107" s="8" t="s">
        <v>916</v>
      </c>
      <c r="E107" t="s">
        <v>63</v>
      </c>
      <c r="F107">
        <v>1</v>
      </c>
      <c r="G107" s="3">
        <v>539</v>
      </c>
      <c r="H107" s="3">
        <v>759.99</v>
      </c>
      <c r="I107" s="3">
        <f>H107-G107</f>
      </c>
      <c r="J107" s="3">
        <f>I107*16.67%</f>
      </c>
      <c r="K107" s="3">
        <f>H107/100*11</f>
      </c>
      <c r="L107" s="3">
        <v>8.99</v>
      </c>
      <c r="M107" s="3">
        <v>0</v>
      </c>
      <c r="N107" s="3">
        <f>M107*20%</f>
      </c>
      <c r="O107" s="3">
        <v>1</v>
      </c>
      <c r="P107" s="3">
        <f>I107-J107-K107-L107-M107-N107-O107</f>
      </c>
      <c r="Q107" s="3">
        <f>(P107-Y107)/G107*100</f>
      </c>
      <c r="R107" s="3">
        <f>J107-N107</f>
      </c>
      <c r="S107" t="s">
        <v>1</v>
      </c>
      <c r="T107" t="s">
        <v>68</v>
      </c>
      <c r="Z107" s="3">
        <f>P107-Y107</f>
      </c>
      <c r="AA107" t="s">
        <v>59</v>
      </c>
      <c r="AB107" t="s">
        <v>69</v>
      </c>
    </row>
    <row r="108" spans="1:28" x14ac:dyDescent="0.25">
      <c r="A108" s="7">
        <v>46220.5</v>
      </c>
      <c r="B108" t="s">
        <v>917</v>
      </c>
      <c r="C108" t="s">
        <v>1</v>
      </c>
      <c r="D108" s="8" t="s">
        <v>918</v>
      </c>
      <c r="E108" t="s">
        <v>72</v>
      </c>
      <c r="F108">
        <v>1</v>
      </c>
      <c r="G108" s="3">
        <v>172</v>
      </c>
      <c r="H108" s="3">
        <v>228.76</v>
      </c>
      <c r="I108" s="3">
        <f>H108-G108</f>
      </c>
      <c r="J108" s="3">
        <f>I108*16.67%</f>
      </c>
      <c r="K108" s="3">
        <f>H108/100*11</f>
      </c>
      <c r="L108" s="3">
        <v>8.99</v>
      </c>
      <c r="M108" s="3">
        <v>0</v>
      </c>
      <c r="N108" s="3">
        <f>M108*20%</f>
      </c>
      <c r="O108" s="3">
        <v>1</v>
      </c>
      <c r="P108" s="3">
        <f>I108-J108-K108-L108-M108-N108-O108</f>
      </c>
      <c r="Q108" s="3">
        <f>(P108-Y108)/G108*100</f>
      </c>
      <c r="R108" s="3">
        <f>J108-N108</f>
      </c>
      <c r="S108" t="s">
        <v>1</v>
      </c>
      <c r="T108" t="s">
        <v>171</v>
      </c>
      <c r="Z108" s="3">
        <f>P108-Y108</f>
      </c>
      <c r="AA108" t="s">
        <v>65</v>
      </c>
      <c r="AB108" t="s">
        <v>69</v>
      </c>
    </row>
    <row r="109" spans="1:28" x14ac:dyDescent="0.25">
      <c r="A109" s="7">
        <v>46220.5</v>
      </c>
      <c r="B109" t="s">
        <v>919</v>
      </c>
      <c r="C109" t="s">
        <v>1</v>
      </c>
      <c r="D109" s="8" t="s">
        <v>920</v>
      </c>
      <c r="E109" t="s">
        <v>77</v>
      </c>
      <c r="F109">
        <v>1</v>
      </c>
      <c r="G109" s="3">
        <v>333</v>
      </c>
      <c r="H109" s="3">
        <v>389.61</v>
      </c>
      <c r="I109" s="3">
        <f>H109-G109</f>
      </c>
      <c r="J109" s="3">
        <f>I109*16.67%</f>
      </c>
      <c r="K109" s="3">
        <f>H109/100*11</f>
      </c>
      <c r="L109" s="3">
        <v>8.99</v>
      </c>
      <c r="M109" s="3">
        <v>0</v>
      </c>
      <c r="N109" s="3">
        <f>M109*20%</f>
      </c>
      <c r="O109" s="3">
        <v>1</v>
      </c>
      <c r="P109" s="3">
        <f>I109-J109-K109-L109-M109-N109-O109</f>
      </c>
      <c r="Q109" s="3">
        <f>(P109-Y109)/G109*100</f>
      </c>
      <c r="R109" s="3">
        <f>J109-N109</f>
      </c>
      <c r="S109" t="s">
        <v>1</v>
      </c>
      <c r="T109" t="s">
        <v>73</v>
      </c>
      <c r="Z109" s="3">
        <f>P109-Y109</f>
      </c>
      <c r="AA109" t="s">
        <v>59</v>
      </c>
      <c r="AB109" t="s">
        <v>104</v>
      </c>
    </row>
    <row r="110" spans="1:28" x14ac:dyDescent="0.25">
      <c r="A110" s="7">
        <v>46220.5</v>
      </c>
      <c r="B110" t="s">
        <v>921</v>
      </c>
      <c r="C110" t="s">
        <v>1</v>
      </c>
      <c r="D110" s="8" t="s">
        <v>1</v>
      </c>
      <c r="E110" t="s">
        <v>77</v>
      </c>
      <c r="F110">
        <v>1</v>
      </c>
      <c r="G110" s="3">
        <v>165</v>
      </c>
      <c r="H110" s="3">
        <v>209.55</v>
      </c>
      <c r="I110" s="3">
        <f>H110-G110</f>
      </c>
      <c r="J110" s="3">
        <f>I110*16.67%</f>
      </c>
      <c r="K110" s="3">
        <f>H110/100*11</f>
      </c>
      <c r="L110" s="3">
        <v>8.99</v>
      </c>
      <c r="M110" s="3">
        <v>0</v>
      </c>
      <c r="N110" s="3">
        <f>M110*20%</f>
      </c>
      <c r="O110" s="3">
        <v>1</v>
      </c>
      <c r="P110" s="3">
        <f>I110-J110-K110-L110-M110-N110-O110</f>
      </c>
      <c r="Q110" s="3">
        <f>(P110-Y110)/G110*100</f>
      </c>
      <c r="R110" s="3">
        <f>J110-N110</f>
      </c>
      <c r="S110" t="s">
        <v>1</v>
      </c>
      <c r="T110" t="s">
        <v>1</v>
      </c>
      <c r="Z110" s="3">
        <f>P110-Y110</f>
      </c>
      <c r="AA110" t="s">
        <v>1</v>
      </c>
      <c r="AB110" t="s">
        <v>1</v>
      </c>
    </row>
    <row r="111" spans="1:28" x14ac:dyDescent="0.25">
      <c r="A111" s="7">
        <v>46219.5</v>
      </c>
      <c r="B111" t="s">
        <v>922</v>
      </c>
      <c r="C111" t="s">
        <v>1</v>
      </c>
      <c r="D111" s="8" t="s">
        <v>923</v>
      </c>
      <c r="E111" t="s">
        <v>57</v>
      </c>
      <c r="F111">
        <v>1</v>
      </c>
      <c r="G111" s="3">
        <v>118</v>
      </c>
      <c r="H111" s="3">
        <v>147.5</v>
      </c>
      <c r="I111" s="3">
        <f>H111-G111</f>
      </c>
      <c r="J111" s="3">
        <f>I111*16.67%</f>
      </c>
      <c r="K111" s="3">
        <f>H111/100*11</f>
      </c>
      <c r="L111" s="3">
        <v>8.99</v>
      </c>
      <c r="M111" s="3">
        <v>0</v>
      </c>
      <c r="N111" s="3">
        <f>M111*20%</f>
      </c>
      <c r="O111" s="3">
        <v>1</v>
      </c>
      <c r="P111" s="3">
        <f>I111-J111-K111-L111-M111-N111-O111</f>
      </c>
      <c r="Q111" s="3">
        <f>(P111-Y111)/G111*100</f>
      </c>
      <c r="R111" s="3">
        <f>J111-N111</f>
      </c>
      <c r="S111" t="s">
        <v>1</v>
      </c>
      <c r="T111" t="s">
        <v>90</v>
      </c>
      <c r="Z111" s="3">
        <f>P111-Y111</f>
      </c>
      <c r="AA111" t="s">
        <v>65</v>
      </c>
      <c r="AB111" t="s">
        <v>69</v>
      </c>
    </row>
    <row r="112" spans="1:28" x14ac:dyDescent="0.25">
      <c r="A112" s="7">
        <v>46219.5</v>
      </c>
      <c r="B112" t="s">
        <v>924</v>
      </c>
      <c r="C112" t="s">
        <v>1</v>
      </c>
      <c r="D112" s="8" t="s">
        <v>925</v>
      </c>
      <c r="E112" t="s">
        <v>57</v>
      </c>
      <c r="F112">
        <v>1</v>
      </c>
      <c r="G112" s="3">
        <v>157</v>
      </c>
      <c r="H112" s="3">
        <v>182.12</v>
      </c>
      <c r="I112" s="3">
        <f>H112-G112</f>
      </c>
      <c r="J112" s="3">
        <f>I112*16.67%</f>
      </c>
      <c r="K112" s="3">
        <f>H112/100*11</f>
      </c>
      <c r="L112" s="3">
        <v>8.99</v>
      </c>
      <c r="M112" s="3">
        <v>0</v>
      </c>
      <c r="N112" s="3">
        <f>M112*20%</f>
      </c>
      <c r="O112" s="3">
        <v>1</v>
      </c>
      <c r="P112" s="3">
        <f>I112-J112-K112-L112-M112-N112-O112</f>
      </c>
      <c r="Q112" s="3">
        <f>(P112-Y112)/G112*100</f>
      </c>
      <c r="R112" s="3">
        <f>J112-N112</f>
      </c>
      <c r="S112" t="s">
        <v>1</v>
      </c>
      <c r="T112" t="s">
        <v>233</v>
      </c>
      <c r="Z112" s="3">
        <f>P112-Y112</f>
      </c>
      <c r="AA112" t="s">
        <v>65</v>
      </c>
      <c r="AB112" t="s">
        <v>98</v>
      </c>
    </row>
    <row r="113" spans="1:28" x14ac:dyDescent="0.25">
      <c r="A113" s="7">
        <v>46219.5</v>
      </c>
      <c r="B113" t="s">
        <v>926</v>
      </c>
      <c r="C113" t="s">
        <v>1</v>
      </c>
      <c r="D113" s="8" t="s">
        <v>927</v>
      </c>
      <c r="E113" t="s">
        <v>63</v>
      </c>
      <c r="F113">
        <v>1</v>
      </c>
      <c r="G113" s="3">
        <v>241</v>
      </c>
      <c r="H113" s="3">
        <v>306.07</v>
      </c>
      <c r="I113" s="3">
        <f>H113-G113</f>
      </c>
      <c r="J113" s="3">
        <f>I113*16.67%</f>
      </c>
      <c r="K113" s="3">
        <f>H113/100*11</f>
      </c>
      <c r="L113" s="3">
        <v>8.99</v>
      </c>
      <c r="M113" s="3">
        <v>0</v>
      </c>
      <c r="N113" s="3">
        <f>M113*20%</f>
      </c>
      <c r="O113" s="3">
        <v>1</v>
      </c>
      <c r="P113" s="3">
        <f>I113-J113-K113-L113-M113-N113-O113</f>
      </c>
      <c r="Q113" s="3">
        <f>(P113-Y113)/G113*100</f>
      </c>
      <c r="R113" s="3">
        <f>J113-N113</f>
      </c>
      <c r="S113" t="s">
        <v>1</v>
      </c>
      <c r="T113" t="s">
        <v>64</v>
      </c>
      <c r="Z113" s="3">
        <f>P113-Y113</f>
      </c>
      <c r="AA113" t="s">
        <v>65</v>
      </c>
      <c r="AB113" t="s">
        <v>104</v>
      </c>
    </row>
    <row r="114" spans="1:28" x14ac:dyDescent="0.25">
      <c r="A114" s="7">
        <v>46219.5</v>
      </c>
      <c r="B114" t="s">
        <v>928</v>
      </c>
      <c r="C114" t="s">
        <v>1</v>
      </c>
      <c r="D114" s="8" t="s">
        <v>929</v>
      </c>
      <c r="E114" t="s">
        <v>101</v>
      </c>
      <c r="F114">
        <v>1</v>
      </c>
      <c r="G114" s="3">
        <v>178</v>
      </c>
      <c r="H114" s="3">
        <v>249.2</v>
      </c>
      <c r="I114" s="3">
        <f>H114-G114</f>
      </c>
      <c r="J114" s="3">
        <f>I114*16.67%</f>
      </c>
      <c r="K114" s="3">
        <f>H114/100*11</f>
      </c>
      <c r="L114" s="3">
        <v>8.99</v>
      </c>
      <c r="M114" s="3">
        <v>0</v>
      </c>
      <c r="N114" s="3">
        <f>M114*20%</f>
      </c>
      <c r="O114" s="3">
        <v>1</v>
      </c>
      <c r="P114" s="3">
        <f>I114-J114-K114-L114-M114-N114-O114</f>
      </c>
      <c r="Q114" s="3">
        <f>(P114-Y114)/G114*100</f>
      </c>
      <c r="R114" s="3">
        <f>J114-N114</f>
      </c>
      <c r="S114" t="s">
        <v>1</v>
      </c>
      <c r="T114" t="s">
        <v>291</v>
      </c>
      <c r="Z114" s="3">
        <f>P114-Y114</f>
      </c>
      <c r="AA114" t="s">
        <v>125</v>
      </c>
      <c r="AB114" t="s">
        <v>60</v>
      </c>
    </row>
    <row r="115" spans="1:28" x14ac:dyDescent="0.25">
      <c r="A115" s="7">
        <v>46219.5</v>
      </c>
      <c r="B115" t="s">
        <v>930</v>
      </c>
      <c r="C115" t="s">
        <v>1</v>
      </c>
      <c r="D115" s="8" t="s">
        <v>931</v>
      </c>
      <c r="E115" t="s">
        <v>72</v>
      </c>
      <c r="F115">
        <v>1</v>
      </c>
      <c r="G115" s="3">
        <v>193</v>
      </c>
      <c r="H115" s="3">
        <v>237.39</v>
      </c>
      <c r="I115" s="3">
        <f>H115-G115</f>
      </c>
      <c r="J115" s="3">
        <f>I115*16.67%</f>
      </c>
      <c r="K115" s="3">
        <f>H115/100*11</f>
      </c>
      <c r="L115" s="3">
        <v>8.99</v>
      </c>
      <c r="M115" s="3">
        <v>0</v>
      </c>
      <c r="N115" s="3">
        <f>M115*20%</f>
      </c>
      <c r="O115" s="3">
        <v>1</v>
      </c>
      <c r="P115" s="3">
        <f>I115-J115-K115-L115-M115-N115-O115</f>
      </c>
      <c r="Q115" s="3">
        <f>(P115-Y115)/G115*100</f>
      </c>
      <c r="R115" s="3">
        <f>J115-N115</f>
      </c>
      <c r="S115" t="s">
        <v>1</v>
      </c>
      <c r="T115" t="s">
        <v>113</v>
      </c>
      <c r="Z115" s="3">
        <f>P115-Y115</f>
      </c>
      <c r="AA115" t="s">
        <v>59</v>
      </c>
      <c r="AB115" t="s">
        <v>84</v>
      </c>
    </row>
    <row r="116" spans="1:28" x14ac:dyDescent="0.25">
      <c r="A116" s="7">
        <v>46219.5</v>
      </c>
      <c r="B116" t="s">
        <v>932</v>
      </c>
      <c r="C116" t="s">
        <v>176</v>
      </c>
      <c r="D116" s="8" t="s">
        <v>1</v>
      </c>
      <c r="E116" t="s">
        <v>77</v>
      </c>
      <c r="F116">
        <v>3</v>
      </c>
      <c r="G116" s="3">
        <v>0.45</v>
      </c>
      <c r="H116" s="3">
        <v>0.59</v>
      </c>
      <c r="I116" s="3">
        <f>H116-G116</f>
      </c>
      <c r="J116" s="3">
        <f>I116*16.67%</f>
      </c>
      <c r="K116" s="3">
        <f>H116/100*11</f>
      </c>
      <c r="L116" s="3">
        <v>8.99</v>
      </c>
      <c r="M116" s="3">
        <v>0</v>
      </c>
      <c r="N116" s="3">
        <f>M116*20%</f>
      </c>
      <c r="O116" s="3">
        <v>1</v>
      </c>
      <c r="P116" s="3">
        <f>I116-J116-K116-L116-M116-N116-O116</f>
      </c>
      <c r="Q116" s="3">
        <f>(P116-Y116)/G116*100</f>
      </c>
      <c r="R116" s="3">
        <f>J116-N116</f>
      </c>
      <c r="S116" t="s">
        <v>1</v>
      </c>
      <c r="T116" t="s">
        <v>176</v>
      </c>
      <c r="Z116" s="3">
        <f>P116-Y116</f>
      </c>
      <c r="AA116" t="s">
        <v>1</v>
      </c>
      <c r="AB116" t="s">
        <v>1</v>
      </c>
    </row>
    <row r="117" spans="1:28" x14ac:dyDescent="0.25">
      <c r="A117" s="7">
        <v>46219.5</v>
      </c>
      <c r="B117" t="s">
        <v>933</v>
      </c>
      <c r="C117" t="s">
        <v>181</v>
      </c>
      <c r="D117" s="8" t="s">
        <v>1</v>
      </c>
      <c r="E117" t="s">
        <v>72</v>
      </c>
      <c r="F117">
        <v>2</v>
      </c>
      <c r="G117" s="3">
        <v>3.8</v>
      </c>
      <c r="H117" s="3">
        <v>5.21</v>
      </c>
      <c r="I117" s="3">
        <f>H117-G117</f>
      </c>
      <c r="J117" s="3">
        <f>I117*16.67%</f>
      </c>
      <c r="K117" s="3">
        <f>H117/100*11</f>
      </c>
      <c r="L117" s="3">
        <v>8.99</v>
      </c>
      <c r="M117" s="3">
        <v>0</v>
      </c>
      <c r="N117" s="3">
        <f>M117*20%</f>
      </c>
      <c r="O117" s="3">
        <v>1</v>
      </c>
      <c r="P117" s="3">
        <f>I117-J117-K117-L117-M117-N117-O117</f>
      </c>
      <c r="Q117" s="3">
        <f>(P117-Y117)/G117*100</f>
      </c>
      <c r="R117" s="3">
        <f>J117-N117</f>
      </c>
      <c r="S117" t="s">
        <v>1</v>
      </c>
      <c r="T117" t="s">
        <v>181</v>
      </c>
      <c r="Z117" s="3">
        <f>P117-Y117</f>
      </c>
      <c r="AA117" t="s">
        <v>1</v>
      </c>
      <c r="AB117" t="s">
        <v>1</v>
      </c>
    </row>
    <row r="118" spans="1:28" x14ac:dyDescent="0.25">
      <c r="A118" s="7">
        <v>46218.5</v>
      </c>
      <c r="B118" t="s">
        <v>934</v>
      </c>
      <c r="C118" t="s">
        <v>1</v>
      </c>
      <c r="D118" s="8" t="s">
        <v>935</v>
      </c>
      <c r="E118" t="s">
        <v>101</v>
      </c>
      <c r="F118">
        <v>1</v>
      </c>
      <c r="G118" s="3">
        <v>177</v>
      </c>
      <c r="H118" s="3">
        <v>223.02</v>
      </c>
      <c r="I118" s="3">
        <f>H118-G118</f>
      </c>
      <c r="J118" s="3">
        <f>I118*16.67%</f>
      </c>
      <c r="K118" s="3">
        <f>H118/100*11</f>
      </c>
      <c r="L118" s="3">
        <v>8.99</v>
      </c>
      <c r="M118" s="3">
        <v>0</v>
      </c>
      <c r="N118" s="3">
        <f>M118*20%</f>
      </c>
      <c r="O118" s="3">
        <v>1</v>
      </c>
      <c r="P118" s="3">
        <f>I118-J118-K118-L118-M118-N118-O118</f>
      </c>
      <c r="Q118" s="3">
        <f>(P118-Y118)/G118*100</f>
      </c>
      <c r="R118" s="3">
        <f>J118-N118</f>
      </c>
      <c r="S118" t="s">
        <v>1</v>
      </c>
      <c r="T118" t="s">
        <v>233</v>
      </c>
      <c r="Z118" s="3">
        <f>P118-Y118</f>
      </c>
      <c r="AA118" t="s">
        <v>65</v>
      </c>
      <c r="AB118" t="s">
        <v>87</v>
      </c>
    </row>
    <row r="119" spans="1:28" x14ac:dyDescent="0.25">
      <c r="A119" s="7">
        <v>46218.5</v>
      </c>
      <c r="B119" t="s">
        <v>936</v>
      </c>
      <c r="C119" t="s">
        <v>1</v>
      </c>
      <c r="D119" s="8" t="s">
        <v>937</v>
      </c>
      <c r="E119" t="s">
        <v>57</v>
      </c>
      <c r="F119">
        <v>1</v>
      </c>
      <c r="G119" s="3">
        <v>540</v>
      </c>
      <c r="H119" s="3">
        <v>664.2</v>
      </c>
      <c r="I119" s="3">
        <f>H119-G119</f>
      </c>
      <c r="J119" s="3">
        <f>I119*16.67%</f>
      </c>
      <c r="K119" s="3">
        <f>H119/100*11</f>
      </c>
      <c r="L119" s="3">
        <v>8.99</v>
      </c>
      <c r="M119" s="3">
        <v>0</v>
      </c>
      <c r="N119" s="3">
        <f>M119*20%</f>
      </c>
      <c r="O119" s="3">
        <v>1</v>
      </c>
      <c r="P119" s="3">
        <f>I119-J119-K119-L119-M119-N119-O119</f>
      </c>
      <c r="Q119" s="3">
        <f>(P119-Y119)/G119*100</f>
      </c>
      <c r="R119" s="3">
        <f>J119-N119</f>
      </c>
      <c r="S119" t="s">
        <v>1</v>
      </c>
      <c r="T119" t="s">
        <v>80</v>
      </c>
      <c r="Z119" s="3">
        <f>P119-Y119</f>
      </c>
      <c r="AA119" t="s">
        <v>65</v>
      </c>
      <c r="AB119" t="s">
        <v>60</v>
      </c>
    </row>
    <row r="120" spans="1:28" x14ac:dyDescent="0.25">
      <c r="A120" s="7">
        <v>46218.5</v>
      </c>
      <c r="B120" t="s">
        <v>938</v>
      </c>
      <c r="C120" t="s">
        <v>1</v>
      </c>
      <c r="D120" s="8" t="s">
        <v>939</v>
      </c>
      <c r="E120" t="s">
        <v>77</v>
      </c>
      <c r="F120">
        <v>1</v>
      </c>
      <c r="G120" s="3">
        <v>84</v>
      </c>
      <c r="H120" s="3">
        <v>120.96</v>
      </c>
      <c r="I120" s="3">
        <f>H120-G120</f>
      </c>
      <c r="J120" s="3">
        <f>I120*16.67%</f>
      </c>
      <c r="K120" s="3">
        <f>H120/100*11</f>
      </c>
      <c r="L120" s="3">
        <v>8.99</v>
      </c>
      <c r="M120" s="3">
        <v>0</v>
      </c>
      <c r="N120" s="3">
        <f>M120*20%</f>
      </c>
      <c r="O120" s="3">
        <v>1</v>
      </c>
      <c r="P120" s="3">
        <f>I120-J120-K120-L120-M120-N120-O120</f>
      </c>
      <c r="Q120" s="3">
        <f>(P120-Y120)/G120*100</f>
      </c>
      <c r="R120" s="3">
        <f>J120-N120</f>
      </c>
      <c r="S120" t="s">
        <v>1</v>
      </c>
      <c r="T120" t="s">
        <v>93</v>
      </c>
      <c r="Z120" s="3">
        <f>P120-Y120</f>
      </c>
      <c r="AA120" t="s">
        <v>94</v>
      </c>
      <c r="AB120" t="s">
        <v>87</v>
      </c>
    </row>
    <row r="121" spans="1:28" x14ac:dyDescent="0.25">
      <c r="A121" s="7">
        <v>46218.5</v>
      </c>
      <c r="B121" t="s">
        <v>940</v>
      </c>
      <c r="C121" t="s">
        <v>1</v>
      </c>
      <c r="D121" s="8" t="s">
        <v>941</v>
      </c>
      <c r="E121" t="s">
        <v>77</v>
      </c>
      <c r="F121">
        <v>1</v>
      </c>
      <c r="G121" s="3">
        <v>87</v>
      </c>
      <c r="H121" s="3">
        <v>114.84</v>
      </c>
      <c r="I121" s="3">
        <f>H121-G121</f>
      </c>
      <c r="J121" s="3">
        <f>I121*16.67%</f>
      </c>
      <c r="K121" s="3">
        <f>H121/100*11</f>
      </c>
      <c r="L121" s="3">
        <v>8.99</v>
      </c>
      <c r="M121" s="3">
        <v>0</v>
      </c>
      <c r="N121" s="3">
        <f>M121*20%</f>
      </c>
      <c r="O121" s="3">
        <v>1</v>
      </c>
      <c r="P121" s="3">
        <f>I121-J121-K121-L121-M121-N121-O121</f>
      </c>
      <c r="Q121" s="3">
        <f>(P121-Y121)/G121*100</f>
      </c>
      <c r="R121" s="3">
        <f>J121-N121</f>
      </c>
      <c r="S121" t="s">
        <v>1</v>
      </c>
      <c r="T121" t="s">
        <v>93</v>
      </c>
      <c r="Z121" s="3">
        <f>P121-Y121</f>
      </c>
      <c r="AA121" t="s">
        <v>94</v>
      </c>
      <c r="AB121" t="s">
        <v>84</v>
      </c>
    </row>
    <row r="122" spans="1:28" x14ac:dyDescent="0.25">
      <c r="A122" s="7">
        <v>46218.5</v>
      </c>
      <c r="B122" t="s">
        <v>942</v>
      </c>
      <c r="C122" t="s">
        <v>1</v>
      </c>
      <c r="D122" s="8" t="s">
        <v>943</v>
      </c>
      <c r="E122" t="s">
        <v>63</v>
      </c>
      <c r="F122">
        <v>1</v>
      </c>
      <c r="G122" s="3">
        <v>222</v>
      </c>
      <c r="H122" s="3">
        <v>308.58</v>
      </c>
      <c r="I122" s="3">
        <f>H122-G122</f>
      </c>
      <c r="J122" s="3">
        <f>I122*16.67%</f>
      </c>
      <c r="K122" s="3">
        <f>H122/100*11</f>
      </c>
      <c r="L122" s="3">
        <v>8.99</v>
      </c>
      <c r="M122" s="3">
        <v>0</v>
      </c>
      <c r="N122" s="3">
        <f>M122*20%</f>
      </c>
      <c r="O122" s="3">
        <v>1</v>
      </c>
      <c r="P122" s="3">
        <f>I122-J122-K122-L122-M122-N122-O122</f>
      </c>
      <c r="Q122" s="3">
        <f>(P122-Y122)/G122*100</f>
      </c>
      <c r="R122" s="3">
        <f>J122-N122</f>
      </c>
      <c r="S122" t="s">
        <v>1</v>
      </c>
      <c r="T122" t="s">
        <v>64</v>
      </c>
      <c r="Z122" s="3">
        <f>P122-Y122</f>
      </c>
      <c r="AA122" t="s">
        <v>65</v>
      </c>
      <c r="AB122" t="s">
        <v>74</v>
      </c>
    </row>
    <row r="123" spans="1:28" x14ac:dyDescent="0.25">
      <c r="A123" s="7">
        <v>46218.5</v>
      </c>
      <c r="B123" t="s">
        <v>944</v>
      </c>
      <c r="C123" t="s">
        <v>1</v>
      </c>
      <c r="D123" s="8" t="s">
        <v>1</v>
      </c>
      <c r="E123" t="s">
        <v>77</v>
      </c>
      <c r="F123">
        <v>1</v>
      </c>
      <c r="G123" s="3">
        <v>76</v>
      </c>
      <c r="H123" s="3">
        <v>95</v>
      </c>
      <c r="I123" s="3">
        <f>H123-G123</f>
      </c>
      <c r="J123" s="3">
        <f>I123*16.67%</f>
      </c>
      <c r="K123" s="3">
        <f>H123/100*11</f>
      </c>
      <c r="L123" s="3">
        <v>8.99</v>
      </c>
      <c r="M123" s="3">
        <v>0</v>
      </c>
      <c r="N123" s="3">
        <f>M123*20%</f>
      </c>
      <c r="O123" s="3">
        <v>1</v>
      </c>
      <c r="P123" s="3">
        <f>I123-J123-K123-L123-M123-N123-O123</f>
      </c>
      <c r="Q123" s="3">
        <f>(P123-Y123)/G123*100</f>
      </c>
      <c r="R123" s="3">
        <f>J123-N123</f>
      </c>
      <c r="S123" t="s">
        <v>1</v>
      </c>
      <c r="T123" t="s">
        <v>1</v>
      </c>
      <c r="Z123" s="3">
        <f>P123-Y123</f>
      </c>
      <c r="AA123" t="s">
        <v>1</v>
      </c>
      <c r="AB123" t="s">
        <v>1</v>
      </c>
    </row>
    <row r="124" spans="1:28" x14ac:dyDescent="0.25">
      <c r="A124" s="7">
        <v>46217.5</v>
      </c>
      <c r="B124" t="s">
        <v>945</v>
      </c>
      <c r="C124" t="s">
        <v>1</v>
      </c>
      <c r="D124" s="8" t="s">
        <v>946</v>
      </c>
      <c r="E124" t="s">
        <v>77</v>
      </c>
      <c r="F124">
        <v>1</v>
      </c>
      <c r="G124" s="3">
        <v>283</v>
      </c>
      <c r="H124" s="3">
        <v>336.77</v>
      </c>
      <c r="I124" s="3">
        <f>H124-G124</f>
      </c>
      <c r="J124" s="3">
        <f>I124*16.67%</f>
      </c>
      <c r="K124" s="3">
        <f>H124/100*11</f>
      </c>
      <c r="L124" s="3">
        <v>8.99</v>
      </c>
      <c r="M124" s="3">
        <v>0</v>
      </c>
      <c r="N124" s="3">
        <f>M124*20%</f>
      </c>
      <c r="O124" s="3">
        <v>1</v>
      </c>
      <c r="P124" s="3">
        <f>I124-J124-K124-L124-M124-N124-O124</f>
      </c>
      <c r="Q124" s="3">
        <f>(P124-Y124)/G124*100</f>
      </c>
      <c r="R124" s="3">
        <f>J124-N124</f>
      </c>
      <c r="S124" t="s">
        <v>1</v>
      </c>
      <c r="T124" t="s">
        <v>124</v>
      </c>
      <c r="Z124" s="3">
        <f>P124-Y124</f>
      </c>
      <c r="AA124" t="s">
        <v>125</v>
      </c>
      <c r="AB124" t="s">
        <v>104</v>
      </c>
    </row>
    <row r="125" spans="1:28" x14ac:dyDescent="0.25">
      <c r="A125" s="7">
        <v>46217.5</v>
      </c>
      <c r="B125" t="s">
        <v>947</v>
      </c>
      <c r="C125" t="s">
        <v>1</v>
      </c>
      <c r="D125" s="8" t="s">
        <v>948</v>
      </c>
      <c r="E125" t="s">
        <v>77</v>
      </c>
      <c r="F125">
        <v>1</v>
      </c>
      <c r="G125" s="3">
        <v>545</v>
      </c>
      <c r="H125" s="3">
        <v>654</v>
      </c>
      <c r="I125" s="3">
        <f>H125-G125</f>
      </c>
      <c r="J125" s="3">
        <f>I125*16.67%</f>
      </c>
      <c r="K125" s="3">
        <f>H125/100*11</f>
      </c>
      <c r="L125" s="3">
        <v>8.99</v>
      </c>
      <c r="M125" s="3">
        <v>0</v>
      </c>
      <c r="N125" s="3">
        <f>M125*20%</f>
      </c>
      <c r="O125" s="3">
        <v>1</v>
      </c>
      <c r="P125" s="3">
        <f>I125-J125-K125-L125-M125-N125-O125</f>
      </c>
      <c r="Q125" s="3">
        <f>(P125-Y125)/G125*100</f>
      </c>
      <c r="R125" s="3">
        <f>J125-N125</f>
      </c>
      <c r="S125" t="s">
        <v>1</v>
      </c>
      <c r="T125" t="s">
        <v>68</v>
      </c>
      <c r="Z125" s="3">
        <f>P125-Y125</f>
      </c>
      <c r="AA125" t="s">
        <v>59</v>
      </c>
      <c r="AB125" t="s">
        <v>74</v>
      </c>
    </row>
    <row r="126" spans="1:28" x14ac:dyDescent="0.25">
      <c r="A126" s="7">
        <v>46217.5</v>
      </c>
      <c r="B126" t="s">
        <v>949</v>
      </c>
      <c r="C126" t="s">
        <v>1</v>
      </c>
      <c r="D126" s="8" t="s">
        <v>950</v>
      </c>
      <c r="E126" t="s">
        <v>77</v>
      </c>
      <c r="F126">
        <v>1</v>
      </c>
      <c r="G126" s="3">
        <v>162</v>
      </c>
      <c r="H126" s="3">
        <v>200.88</v>
      </c>
      <c r="I126" s="3">
        <f>H126-G126</f>
      </c>
      <c r="J126" s="3">
        <f>I126*16.67%</f>
      </c>
      <c r="K126" s="3">
        <f>H126/100*11</f>
      </c>
      <c r="L126" s="3">
        <v>8.99</v>
      </c>
      <c r="M126" s="3">
        <v>0</v>
      </c>
      <c r="N126" s="3">
        <f>M126*20%</f>
      </c>
      <c r="O126" s="3">
        <v>1</v>
      </c>
      <c r="P126" s="3">
        <f>I126-J126-K126-L126-M126-N126-O126</f>
      </c>
      <c r="Q126" s="3">
        <f>(P126-Y126)/G126*100</f>
      </c>
      <c r="R126" s="3">
        <f>J126-N126</f>
      </c>
      <c r="S126" t="s">
        <v>1</v>
      </c>
      <c r="T126" t="s">
        <v>291</v>
      </c>
      <c r="Z126" s="3">
        <f>P126-Y126</f>
      </c>
      <c r="AA126" t="s">
        <v>125</v>
      </c>
      <c r="AB126" t="s">
        <v>84</v>
      </c>
    </row>
    <row r="127" spans="1:28" x14ac:dyDescent="0.25">
      <c r="A127" s="7">
        <v>46216.5</v>
      </c>
      <c r="B127" t="s">
        <v>951</v>
      </c>
      <c r="C127" t="s">
        <v>1</v>
      </c>
      <c r="D127" s="8" t="s">
        <v>952</v>
      </c>
      <c r="E127" t="s">
        <v>57</v>
      </c>
      <c r="F127">
        <v>1</v>
      </c>
      <c r="G127" s="3">
        <v>526</v>
      </c>
      <c r="H127" s="3">
        <v>710.1</v>
      </c>
      <c r="I127" s="3">
        <f>H127-G127</f>
      </c>
      <c r="J127" s="3">
        <f>I127*16.67%</f>
      </c>
      <c r="K127" s="3">
        <f>H127/100*11</f>
      </c>
      <c r="L127" s="3">
        <v>8.99</v>
      </c>
      <c r="M127" s="3">
        <v>0</v>
      </c>
      <c r="N127" s="3">
        <f>M127*20%</f>
      </c>
      <c r="O127" s="3">
        <v>1</v>
      </c>
      <c r="P127" s="3">
        <f>I127-J127-K127-L127-M127-N127-O127</f>
      </c>
      <c r="Q127" s="3">
        <f>(P127-Y127)/G127*100</f>
      </c>
      <c r="R127" s="3">
        <f>J127-N127</f>
      </c>
      <c r="S127" t="s">
        <v>1</v>
      </c>
      <c r="T127" t="s">
        <v>68</v>
      </c>
      <c r="Z127" s="3">
        <f>P127-Y127</f>
      </c>
      <c r="AA127" t="s">
        <v>59</v>
      </c>
      <c r="AB127" t="s">
        <v>60</v>
      </c>
    </row>
    <row r="128" spans="1:28" x14ac:dyDescent="0.25">
      <c r="A128" s="7">
        <v>46216.5</v>
      </c>
      <c r="B128" t="s">
        <v>953</v>
      </c>
      <c r="C128" t="s">
        <v>1</v>
      </c>
      <c r="D128" s="8" t="s">
        <v>954</v>
      </c>
      <c r="E128" t="s">
        <v>63</v>
      </c>
      <c r="F128">
        <v>1</v>
      </c>
      <c r="G128" s="3">
        <v>346</v>
      </c>
      <c r="H128" s="3">
        <v>501.7</v>
      </c>
      <c r="I128" s="3">
        <f>H128-G128</f>
      </c>
      <c r="J128" s="3">
        <f>I128*16.67%</f>
      </c>
      <c r="K128" s="3">
        <f>H128/100*11</f>
      </c>
      <c r="L128" s="3">
        <v>8.99</v>
      </c>
      <c r="M128" s="3">
        <v>0</v>
      </c>
      <c r="N128" s="3">
        <f>M128*20%</f>
      </c>
      <c r="O128" s="3">
        <v>1</v>
      </c>
      <c r="P128" s="3">
        <f>I128-J128-K128-L128-M128-N128-O128</f>
      </c>
      <c r="Q128" s="3">
        <f>(P128-Y128)/G128*100</f>
      </c>
      <c r="R128" s="3">
        <f>J128-N128</f>
      </c>
      <c r="S128" t="s">
        <v>1</v>
      </c>
      <c r="T128" t="s">
        <v>138</v>
      </c>
      <c r="Z128" s="3">
        <f>P128-Y128</f>
      </c>
      <c r="AA128" t="s">
        <v>59</v>
      </c>
      <c r="AB128" t="s">
        <v>74</v>
      </c>
    </row>
    <row r="129" spans="1:28" x14ac:dyDescent="0.25">
      <c r="A129" s="7">
        <v>46216.5</v>
      </c>
      <c r="B129" t="s">
        <v>955</v>
      </c>
      <c r="C129" t="s">
        <v>184</v>
      </c>
      <c r="D129" s="8" t="s">
        <v>1</v>
      </c>
      <c r="E129" t="s">
        <v>101</v>
      </c>
      <c r="F129">
        <v>4</v>
      </c>
      <c r="G129" s="3">
        <v>4.8</v>
      </c>
      <c r="H129" s="3">
        <v>6.67</v>
      </c>
      <c r="I129" s="3">
        <f>H129-G129</f>
      </c>
      <c r="J129" s="3">
        <f>I129*16.67%</f>
      </c>
      <c r="K129" s="3">
        <f>H129/100*11</f>
      </c>
      <c r="L129" s="3">
        <v>8.99</v>
      </c>
      <c r="M129" s="3">
        <v>0</v>
      </c>
      <c r="N129" s="3">
        <f>M129*20%</f>
      </c>
      <c r="O129" s="3">
        <v>1</v>
      </c>
      <c r="P129" s="3">
        <f>I129-J129-K129-L129-M129-N129-O129</f>
      </c>
      <c r="Q129" s="3">
        <f>(P129-Y129)/G129*100</f>
      </c>
      <c r="R129" s="3">
        <f>J129-N129</f>
      </c>
      <c r="S129" t="s">
        <v>1</v>
      </c>
      <c r="T129" t="s">
        <v>184</v>
      </c>
      <c r="Z129" s="3">
        <f>P129-Y129</f>
      </c>
      <c r="AA129" t="s">
        <v>1</v>
      </c>
      <c r="AB129" t="s">
        <v>1</v>
      </c>
    </row>
    <row r="130" spans="1:28" x14ac:dyDescent="0.25">
      <c r="A130" s="7">
        <v>46216.5</v>
      </c>
      <c r="B130" t="s">
        <v>956</v>
      </c>
      <c r="C130" t="s">
        <v>1</v>
      </c>
      <c r="D130" s="8" t="s">
        <v>1</v>
      </c>
      <c r="E130" t="s">
        <v>72</v>
      </c>
      <c r="F130">
        <v>1</v>
      </c>
      <c r="G130" s="3">
        <v>109</v>
      </c>
      <c r="H130" s="3">
        <v>136.25</v>
      </c>
      <c r="I130" s="3">
        <f>H130-G130</f>
      </c>
      <c r="J130" s="3">
        <f>I130*16.67%</f>
      </c>
      <c r="K130" s="3">
        <f>H130/100*11</f>
      </c>
      <c r="L130" s="3">
        <v>8.99</v>
      </c>
      <c r="M130" s="3">
        <v>0</v>
      </c>
      <c r="N130" s="3">
        <f>M130*20%</f>
      </c>
      <c r="O130" s="3">
        <v>1</v>
      </c>
      <c r="P130" s="3">
        <f>I130-J130-K130-L130-M130-N130-O130</f>
      </c>
      <c r="Q130" s="3">
        <f>(P130-Y130)/G130*100</f>
      </c>
      <c r="R130" s="3">
        <f>J130-N130</f>
      </c>
      <c r="S130" t="s">
        <v>1</v>
      </c>
      <c r="T130" t="s">
        <v>1</v>
      </c>
      <c r="Z130" s="3">
        <f>P130-Y130</f>
      </c>
      <c r="AA130" t="s">
        <v>1</v>
      </c>
      <c r="AB130" t="s">
        <v>1</v>
      </c>
    </row>
    <row r="131" spans="1:28" x14ac:dyDescent="0.25">
      <c r="A131" s="7">
        <v>46215.5</v>
      </c>
      <c r="B131" t="s">
        <v>957</v>
      </c>
      <c r="C131" t="s">
        <v>1</v>
      </c>
      <c r="D131" s="8" t="s">
        <v>958</v>
      </c>
      <c r="E131" t="s">
        <v>77</v>
      </c>
      <c r="F131">
        <v>1</v>
      </c>
      <c r="G131" s="3">
        <v>122</v>
      </c>
      <c r="H131" s="3">
        <v>165.92</v>
      </c>
      <c r="I131" s="3">
        <f>H131-G131</f>
      </c>
      <c r="J131" s="3">
        <f>I131*16.67%</f>
      </c>
      <c r="K131" s="3">
        <f>H131/100*11</f>
      </c>
      <c r="L131" s="3">
        <v>8.99</v>
      </c>
      <c r="M131" s="3">
        <v>0</v>
      </c>
      <c r="N131" s="3">
        <f>M131*20%</f>
      </c>
      <c r="O131" s="3">
        <v>1</v>
      </c>
      <c r="P131" s="3">
        <f>I131-J131-K131-L131-M131-N131-O131</f>
      </c>
      <c r="Q131" s="3">
        <f>(P131-Y131)/G131*100</f>
      </c>
      <c r="R131" s="3">
        <f>J131-N131</f>
      </c>
      <c r="S131" t="s">
        <v>1</v>
      </c>
      <c r="T131" t="s">
        <v>90</v>
      </c>
      <c r="Z131" s="3">
        <f>P131-Y131</f>
      </c>
      <c r="AA131" t="s">
        <v>94</v>
      </c>
      <c r="AB131" t="s">
        <v>60</v>
      </c>
    </row>
    <row r="132" spans="1:28" x14ac:dyDescent="0.25">
      <c r="A132" s="7">
        <v>46215.5</v>
      </c>
      <c r="B132" t="s">
        <v>959</v>
      </c>
      <c r="C132" t="s">
        <v>1</v>
      </c>
      <c r="D132" s="8" t="s">
        <v>960</v>
      </c>
      <c r="E132" t="s">
        <v>77</v>
      </c>
      <c r="F132">
        <v>1</v>
      </c>
      <c r="G132" s="3">
        <v>199</v>
      </c>
      <c r="H132" s="3">
        <v>280.59</v>
      </c>
      <c r="I132" s="3">
        <f>H132-G132</f>
      </c>
      <c r="J132" s="3">
        <f>I132*16.67%</f>
      </c>
      <c r="K132" s="3">
        <f>H132/100*11</f>
      </c>
      <c r="L132" s="3">
        <v>8.99</v>
      </c>
      <c r="M132" s="3">
        <v>0</v>
      </c>
      <c r="N132" s="3">
        <f>M132*20%</f>
      </c>
      <c r="O132" s="3">
        <v>1</v>
      </c>
      <c r="P132" s="3">
        <f>I132-J132-K132-L132-M132-N132-O132</f>
      </c>
      <c r="Q132" s="3">
        <f>(P132-Y132)/G132*100</f>
      </c>
      <c r="R132" s="3">
        <f>J132-N132</f>
      </c>
      <c r="S132" t="s">
        <v>1</v>
      </c>
      <c r="T132" t="s">
        <v>291</v>
      </c>
      <c r="Z132" s="3">
        <f>P132-Y132</f>
      </c>
      <c r="AA132" t="s">
        <v>125</v>
      </c>
      <c r="AB132" t="s">
        <v>104</v>
      </c>
    </row>
    <row r="133" spans="1:28" x14ac:dyDescent="0.25">
      <c r="A133" s="7">
        <v>46215.5</v>
      </c>
      <c r="B133" t="s">
        <v>961</v>
      </c>
      <c r="C133" t="s">
        <v>173</v>
      </c>
      <c r="D133" s="8" t="s">
        <v>1</v>
      </c>
      <c r="E133" t="s">
        <v>63</v>
      </c>
      <c r="F133">
        <v>2</v>
      </c>
      <c r="G133" s="3">
        <v>8.5</v>
      </c>
      <c r="H133" s="3">
        <v>9.86</v>
      </c>
      <c r="I133" s="3">
        <f>H133-G133</f>
      </c>
      <c r="J133" s="3">
        <f>I133*16.67%</f>
      </c>
      <c r="K133" s="3">
        <f>H133/100*11</f>
      </c>
      <c r="L133" s="3">
        <v>8.99</v>
      </c>
      <c r="M133" s="3">
        <v>0</v>
      </c>
      <c r="N133" s="3">
        <f>M133*20%</f>
      </c>
      <c r="O133" s="3">
        <v>1</v>
      </c>
      <c r="P133" s="3">
        <f>I133-J133-K133-L133-M133-N133-O133</f>
      </c>
      <c r="Q133" s="3">
        <f>(P133-Y133)/G133*100</f>
      </c>
      <c r="R133" s="3">
        <f>J133-N133</f>
      </c>
      <c r="S133" t="s">
        <v>1</v>
      </c>
      <c r="T133" t="s">
        <v>173</v>
      </c>
      <c r="Z133" s="3">
        <f>P133-Y133</f>
      </c>
      <c r="AA133" t="s">
        <v>1</v>
      </c>
      <c r="AB133" t="s">
        <v>1</v>
      </c>
    </row>
    <row r="134" spans="1:28" x14ac:dyDescent="0.25">
      <c r="A134" s="7">
        <v>46215.5</v>
      </c>
      <c r="B134" t="s">
        <v>962</v>
      </c>
      <c r="C134" t="s">
        <v>184</v>
      </c>
      <c r="D134" s="8" t="s">
        <v>1</v>
      </c>
      <c r="E134" t="s">
        <v>101</v>
      </c>
      <c r="F134">
        <v>2</v>
      </c>
      <c r="G134" s="3">
        <v>2.4</v>
      </c>
      <c r="H134" s="3">
        <v>2.83</v>
      </c>
      <c r="I134" s="3">
        <f>H134-G134</f>
      </c>
      <c r="J134" s="3">
        <f>I134*16.67%</f>
      </c>
      <c r="K134" s="3">
        <f>H134/100*11</f>
      </c>
      <c r="L134" s="3">
        <v>8.99</v>
      </c>
      <c r="M134" s="3">
        <v>0</v>
      </c>
      <c r="N134" s="3">
        <f>M134*20%</f>
      </c>
      <c r="O134" s="3">
        <v>1</v>
      </c>
      <c r="P134" s="3">
        <f>I134-J134-K134-L134-M134-N134-O134</f>
      </c>
      <c r="Q134" s="3">
        <f>(P134-Y134)/G134*100</f>
      </c>
      <c r="R134" s="3">
        <f>J134-N134</f>
      </c>
      <c r="S134" t="s">
        <v>1</v>
      </c>
      <c r="T134" t="s">
        <v>184</v>
      </c>
      <c r="Z134" s="3">
        <f>P134-Y134</f>
      </c>
      <c r="AA134" t="s">
        <v>1</v>
      </c>
      <c r="AB134" t="s">
        <v>1</v>
      </c>
    </row>
    <row r="135" spans="1:28" x14ac:dyDescent="0.25">
      <c r="A135" s="7">
        <v>46214.5</v>
      </c>
      <c r="B135" t="s">
        <v>963</v>
      </c>
      <c r="C135" t="s">
        <v>1</v>
      </c>
      <c r="D135" s="8" t="s">
        <v>964</v>
      </c>
      <c r="E135" t="s">
        <v>63</v>
      </c>
      <c r="F135">
        <v>1</v>
      </c>
      <c r="G135" s="3">
        <v>517</v>
      </c>
      <c r="H135" s="3">
        <v>744.48</v>
      </c>
      <c r="I135" s="3">
        <f>H135-G135</f>
      </c>
      <c r="J135" s="3">
        <f>I135*16.67%</f>
      </c>
      <c r="K135" s="3">
        <f>H135/100*11</f>
      </c>
      <c r="L135" s="3">
        <v>8.99</v>
      </c>
      <c r="M135" s="3">
        <v>0</v>
      </c>
      <c r="N135" s="3">
        <f>M135*20%</f>
      </c>
      <c r="O135" s="3">
        <v>1</v>
      </c>
      <c r="P135" s="3">
        <f>I135-J135-K135-L135-M135-N135-O135</f>
      </c>
      <c r="Q135" s="3">
        <f>(P135-Y135)/G135*100</f>
      </c>
      <c r="R135" s="3">
        <f>J135-N135</f>
      </c>
      <c r="S135" t="s">
        <v>1</v>
      </c>
      <c r="T135" t="s">
        <v>68</v>
      </c>
      <c r="Z135" s="3">
        <f>P135-Y135</f>
      </c>
      <c r="AA135" t="s">
        <v>59</v>
      </c>
      <c r="AB135" t="s">
        <v>60</v>
      </c>
    </row>
    <row r="136" spans="1:28" x14ac:dyDescent="0.25">
      <c r="A136" s="7">
        <v>46214.5</v>
      </c>
      <c r="B136" t="s">
        <v>965</v>
      </c>
      <c r="C136" t="s">
        <v>1</v>
      </c>
      <c r="D136" s="8" t="s">
        <v>966</v>
      </c>
      <c r="E136" t="s">
        <v>77</v>
      </c>
      <c r="F136">
        <v>1</v>
      </c>
      <c r="G136" s="3">
        <v>726</v>
      </c>
      <c r="H136" s="3">
        <v>1009.14</v>
      </c>
      <c r="I136" s="3">
        <f>H136-G136</f>
      </c>
      <c r="J136" s="3">
        <f>I136*16.67%</f>
      </c>
      <c r="K136" s="3">
        <f>H136/100*11</f>
      </c>
      <c r="L136" s="3">
        <v>8.99</v>
      </c>
      <c r="M136" s="3">
        <v>0</v>
      </c>
      <c r="N136" s="3">
        <f>M136*20%</f>
      </c>
      <c r="O136" s="3">
        <v>1</v>
      </c>
      <c r="P136" s="3">
        <f>I136-J136-K136-L136-M136-N136-O136</f>
      </c>
      <c r="Q136" s="3">
        <f>(P136-Y136)/G136*100</f>
      </c>
      <c r="R136" s="3">
        <f>J136-N136</f>
      </c>
      <c r="S136" t="s">
        <v>1</v>
      </c>
      <c r="T136" t="s">
        <v>83</v>
      </c>
      <c r="Z136" s="3">
        <f>P136-Y136</f>
      </c>
      <c r="AA136" t="s">
        <v>59</v>
      </c>
      <c r="AB136" t="s">
        <v>60</v>
      </c>
    </row>
    <row r="137" spans="1:28" x14ac:dyDescent="0.25">
      <c r="A137" s="7">
        <v>46214.5</v>
      </c>
      <c r="B137" t="s">
        <v>967</v>
      </c>
      <c r="C137" t="s">
        <v>1</v>
      </c>
      <c r="D137" s="8" t="s">
        <v>968</v>
      </c>
      <c r="E137" t="s">
        <v>63</v>
      </c>
      <c r="F137">
        <v>1</v>
      </c>
      <c r="G137" s="3">
        <v>308</v>
      </c>
      <c r="H137" s="3">
        <v>446.6</v>
      </c>
      <c r="I137" s="3">
        <f>H137-G137</f>
      </c>
      <c r="J137" s="3">
        <f>I137*16.67%</f>
      </c>
      <c r="K137" s="3">
        <f>H137/100*11</f>
      </c>
      <c r="L137" s="3">
        <v>8.99</v>
      </c>
      <c r="M137" s="3">
        <v>0</v>
      </c>
      <c r="N137" s="3">
        <f>M137*20%</f>
      </c>
      <c r="O137" s="3">
        <v>1</v>
      </c>
      <c r="P137" s="3">
        <f>I137-J137-K137-L137-M137-N137-O137</f>
      </c>
      <c r="Q137" s="3">
        <f>(P137-Y137)/G137*100</f>
      </c>
      <c r="R137" s="3">
        <f>J137-N137</f>
      </c>
      <c r="S137" t="s">
        <v>1</v>
      </c>
      <c r="T137" t="s">
        <v>97</v>
      </c>
      <c r="Z137" s="3">
        <f>P137-Y137</f>
      </c>
      <c r="AA137" t="s">
        <v>65</v>
      </c>
      <c r="AB137" t="s">
        <v>104</v>
      </c>
    </row>
    <row r="138" spans="1:28" x14ac:dyDescent="0.25">
      <c r="A138" s="7">
        <v>46214.5</v>
      </c>
      <c r="B138" t="s">
        <v>969</v>
      </c>
      <c r="C138" t="s">
        <v>1</v>
      </c>
      <c r="D138" s="8" t="s">
        <v>970</v>
      </c>
      <c r="E138" t="s">
        <v>72</v>
      </c>
      <c r="F138">
        <v>1</v>
      </c>
      <c r="G138" s="3">
        <v>235</v>
      </c>
      <c r="H138" s="3">
        <v>340.75</v>
      </c>
      <c r="I138" s="3">
        <f>H138-G138</f>
      </c>
      <c r="J138" s="3">
        <f>I138*16.67%</f>
      </c>
      <c r="K138" s="3">
        <f>H138/100*11</f>
      </c>
      <c r="L138" s="3">
        <v>8.99</v>
      </c>
      <c r="M138" s="3">
        <v>0</v>
      </c>
      <c r="N138" s="3">
        <f>M138*20%</f>
      </c>
      <c r="O138" s="3">
        <v>1</v>
      </c>
      <c r="P138" s="3">
        <f>I138-J138-K138-L138-M138-N138-O138</f>
      </c>
      <c r="Q138" s="3">
        <f>(P138-Y138)/G138*100</f>
      </c>
      <c r="R138" s="3">
        <f>J138-N138</f>
      </c>
      <c r="S138" t="s">
        <v>1</v>
      </c>
      <c r="T138" t="s">
        <v>124</v>
      </c>
      <c r="Z138" s="3">
        <f>P138-Y138</f>
      </c>
      <c r="AA138" t="s">
        <v>125</v>
      </c>
      <c r="AB138" t="s">
        <v>74</v>
      </c>
    </row>
    <row r="139" spans="1:28" x14ac:dyDescent="0.25">
      <c r="A139" s="7">
        <v>46214.5</v>
      </c>
      <c r="B139" t="s">
        <v>971</v>
      </c>
      <c r="C139" t="s">
        <v>1</v>
      </c>
      <c r="D139" s="8" t="s">
        <v>972</v>
      </c>
      <c r="E139" t="s">
        <v>101</v>
      </c>
      <c r="F139">
        <v>1</v>
      </c>
      <c r="G139" s="3">
        <v>454</v>
      </c>
      <c r="H139" s="3">
        <v>644.68</v>
      </c>
      <c r="I139" s="3">
        <f>H139-G139</f>
      </c>
      <c r="J139" s="3">
        <f>I139*16.67%</f>
      </c>
      <c r="K139" s="3">
        <f>H139/100*11</f>
      </c>
      <c r="L139" s="3">
        <v>8.99</v>
      </c>
      <c r="M139" s="3">
        <v>0</v>
      </c>
      <c r="N139" s="3">
        <f>M139*20%</f>
      </c>
      <c r="O139" s="3">
        <v>1</v>
      </c>
      <c r="P139" s="3">
        <f>I139-J139-K139-L139-M139-N139-O139</f>
      </c>
      <c r="Q139" s="3">
        <f>(P139-Y139)/G139*100</f>
      </c>
      <c r="R139" s="3">
        <f>J139-N139</f>
      </c>
      <c r="S139" t="s">
        <v>1</v>
      </c>
      <c r="T139" t="s">
        <v>58</v>
      </c>
      <c r="Z139" s="3">
        <f>P139-Y139</f>
      </c>
      <c r="AA139" t="s">
        <v>59</v>
      </c>
      <c r="AB139" t="s">
        <v>60</v>
      </c>
    </row>
    <row r="140" spans="1:28" x14ac:dyDescent="0.25">
      <c r="A140" s="7">
        <v>46214.5</v>
      </c>
      <c r="B140" t="s">
        <v>973</v>
      </c>
      <c r="C140" t="s">
        <v>184</v>
      </c>
      <c r="D140" s="8" t="s">
        <v>1</v>
      </c>
      <c r="E140" t="s">
        <v>101</v>
      </c>
      <c r="F140">
        <v>2</v>
      </c>
      <c r="G140" s="3">
        <v>2.4</v>
      </c>
      <c r="H140" s="3">
        <v>3.26</v>
      </c>
      <c r="I140" s="3">
        <f>H140-G140</f>
      </c>
      <c r="J140" s="3">
        <f>I140*16.67%</f>
      </c>
      <c r="K140" s="3">
        <f>H140/100*11</f>
      </c>
      <c r="L140" s="3">
        <v>8.99</v>
      </c>
      <c r="M140" s="3">
        <v>0</v>
      </c>
      <c r="N140" s="3">
        <f>M140*20%</f>
      </c>
      <c r="O140" s="3">
        <v>1</v>
      </c>
      <c r="P140" s="3">
        <f>I140-J140-K140-L140-M140-N140-O140</f>
      </c>
      <c r="Q140" s="3">
        <f>(P140-Y140)/G140*100</f>
      </c>
      <c r="R140" s="3">
        <f>J140-N140</f>
      </c>
      <c r="S140" t="s">
        <v>1</v>
      </c>
      <c r="T140" t="s">
        <v>184</v>
      </c>
      <c r="Z140" s="3">
        <f>P140-Y140</f>
      </c>
      <c r="AA140" t="s">
        <v>1</v>
      </c>
      <c r="AB140" t="s">
        <v>1</v>
      </c>
    </row>
    <row r="141" spans="1:28" x14ac:dyDescent="0.25">
      <c r="A141" s="7">
        <v>46213.5</v>
      </c>
      <c r="B141" t="s">
        <v>974</v>
      </c>
      <c r="C141" t="s">
        <v>1</v>
      </c>
      <c r="D141" s="8" t="s">
        <v>975</v>
      </c>
      <c r="E141" t="s">
        <v>77</v>
      </c>
      <c r="F141">
        <v>1</v>
      </c>
      <c r="G141" s="3">
        <v>244</v>
      </c>
      <c r="H141" s="3">
        <v>297.68</v>
      </c>
      <c r="I141" s="3">
        <f>H141-G141</f>
      </c>
      <c r="J141" s="3">
        <f>I141*16.67%</f>
      </c>
      <c r="K141" s="3">
        <f>H141/100*11</f>
      </c>
      <c r="L141" s="3">
        <v>8.99</v>
      </c>
      <c r="M141" s="3">
        <v>0</v>
      </c>
      <c r="N141" s="3">
        <f>M141*20%</f>
      </c>
      <c r="O141" s="3">
        <v>1</v>
      </c>
      <c r="P141" s="3">
        <f>I141-J141-K141-L141-M141-N141-O141</f>
      </c>
      <c r="Q141" s="3">
        <f>(P141-Y141)/G141*100</f>
      </c>
      <c r="R141" s="3">
        <f>J141-N141</f>
      </c>
      <c r="S141" t="s">
        <v>1</v>
      </c>
      <c r="T141" t="s">
        <v>124</v>
      </c>
      <c r="Z141" s="3">
        <f>P141-Y141</f>
      </c>
      <c r="AA141" t="s">
        <v>125</v>
      </c>
      <c r="AB141" t="s">
        <v>60</v>
      </c>
    </row>
    <row r="142" spans="1:28" x14ac:dyDescent="0.25">
      <c r="A142" s="7">
        <v>46213.5</v>
      </c>
      <c r="B142" t="s">
        <v>976</v>
      </c>
      <c r="C142" t="s">
        <v>1</v>
      </c>
      <c r="D142" s="8" t="s">
        <v>977</v>
      </c>
      <c r="E142" t="s">
        <v>101</v>
      </c>
      <c r="F142">
        <v>1</v>
      </c>
      <c r="G142" s="3">
        <v>190</v>
      </c>
      <c r="H142" s="3">
        <v>239.4</v>
      </c>
      <c r="I142" s="3">
        <f>H142-G142</f>
      </c>
      <c r="J142" s="3">
        <f>I142*16.67%</f>
      </c>
      <c r="K142" s="3">
        <f>H142/100*11</f>
      </c>
      <c r="L142" s="3">
        <v>8.99</v>
      </c>
      <c r="M142" s="3">
        <v>0</v>
      </c>
      <c r="N142" s="3">
        <f>M142*20%</f>
      </c>
      <c r="O142" s="3">
        <v>1</v>
      </c>
      <c r="P142" s="3">
        <f>I142-J142-K142-L142-M142-N142-O142</f>
      </c>
      <c r="Q142" s="3">
        <f>(P142-Y142)/G142*100</f>
      </c>
      <c r="R142" s="3">
        <f>J142-N142</f>
      </c>
      <c r="S142" t="s">
        <v>1</v>
      </c>
      <c r="T142" t="s">
        <v>291</v>
      </c>
      <c r="Z142" s="3">
        <f>P142-Y142</f>
      </c>
      <c r="AA142" t="s">
        <v>125</v>
      </c>
      <c r="AB142" t="s">
        <v>74</v>
      </c>
    </row>
    <row r="143" spans="1:28" x14ac:dyDescent="0.25">
      <c r="A143" s="7">
        <v>46213.5</v>
      </c>
      <c r="B143" t="s">
        <v>978</v>
      </c>
      <c r="C143" t="s">
        <v>1</v>
      </c>
      <c r="D143" s="8" t="s">
        <v>979</v>
      </c>
      <c r="E143" t="s">
        <v>101</v>
      </c>
      <c r="F143">
        <v>1</v>
      </c>
      <c r="G143" s="3">
        <v>729</v>
      </c>
      <c r="H143" s="3">
        <v>1035.18</v>
      </c>
      <c r="I143" s="3">
        <f>H143-G143</f>
      </c>
      <c r="J143" s="3">
        <f>I143*16.67%</f>
      </c>
      <c r="K143" s="3">
        <f>H143/100*11</f>
      </c>
      <c r="L143" s="3">
        <v>8.99</v>
      </c>
      <c r="M143" s="3">
        <v>0</v>
      </c>
      <c r="N143" s="3">
        <f>M143*20%</f>
      </c>
      <c r="O143" s="3">
        <v>1</v>
      </c>
      <c r="P143" s="3">
        <f>I143-J143-K143-L143-M143-N143-O143</f>
      </c>
      <c r="Q143" s="3">
        <f>(P143-Y143)/G143*100</f>
      </c>
      <c r="R143" s="3">
        <f>J143-N143</f>
      </c>
      <c r="S143" t="s">
        <v>1</v>
      </c>
      <c r="T143" t="s">
        <v>83</v>
      </c>
      <c r="Z143" s="3">
        <f>P143-Y143</f>
      </c>
      <c r="AA143" t="s">
        <v>59</v>
      </c>
      <c r="AB143" t="s">
        <v>98</v>
      </c>
    </row>
    <row r="144" spans="1:28" x14ac:dyDescent="0.25">
      <c r="A144" s="7">
        <v>46213.5</v>
      </c>
      <c r="B144" t="s">
        <v>980</v>
      </c>
      <c r="C144" t="s">
        <v>176</v>
      </c>
      <c r="D144" s="8" t="s">
        <v>1</v>
      </c>
      <c r="E144" t="s">
        <v>77</v>
      </c>
      <c r="F144">
        <v>4</v>
      </c>
      <c r="G144" s="3">
        <v>0.6</v>
      </c>
      <c r="H144" s="3">
        <v>0.86</v>
      </c>
      <c r="I144" s="3">
        <f>H144-G144</f>
      </c>
      <c r="J144" s="3">
        <f>I144*16.67%</f>
      </c>
      <c r="K144" s="3">
        <f>H144/100*11</f>
      </c>
      <c r="L144" s="3">
        <v>8.99</v>
      </c>
      <c r="M144" s="3">
        <v>0</v>
      </c>
      <c r="N144" s="3">
        <f>M144*20%</f>
      </c>
      <c r="O144" s="3">
        <v>1</v>
      </c>
      <c r="P144" s="3">
        <f>I144-J144-K144-L144-M144-N144-O144</f>
      </c>
      <c r="Q144" s="3">
        <f>(P144-Y144)/G144*100</f>
      </c>
      <c r="R144" s="3">
        <f>J144-N144</f>
      </c>
      <c r="S144" t="s">
        <v>1</v>
      </c>
      <c r="T144" t="s">
        <v>176</v>
      </c>
      <c r="Z144" s="3">
        <f>P144-Y144</f>
      </c>
      <c r="AA144" t="s">
        <v>1</v>
      </c>
      <c r="AB144" t="s">
        <v>1</v>
      </c>
    </row>
    <row r="145" spans="1:28" x14ac:dyDescent="0.25">
      <c r="A145" s="7">
        <v>46213.5</v>
      </c>
      <c r="B145" t="s">
        <v>981</v>
      </c>
      <c r="C145" t="s">
        <v>253</v>
      </c>
      <c r="D145" s="8" t="s">
        <v>1</v>
      </c>
      <c r="E145" t="s">
        <v>57</v>
      </c>
      <c r="F145">
        <v>4</v>
      </c>
      <c r="G145" s="3">
        <v>3.2</v>
      </c>
      <c r="H145" s="3">
        <v>3.9</v>
      </c>
      <c r="I145" s="3">
        <f>H145-G145</f>
      </c>
      <c r="J145" s="3">
        <f>I145*16.67%</f>
      </c>
      <c r="K145" s="3">
        <f>H145/100*11</f>
      </c>
      <c r="L145" s="3">
        <v>8.99</v>
      </c>
      <c r="M145" s="3">
        <v>0</v>
      </c>
      <c r="N145" s="3">
        <f>M145*20%</f>
      </c>
      <c r="O145" s="3">
        <v>1</v>
      </c>
      <c r="P145" s="3">
        <f>I145-J145-K145-L145-M145-N145-O145</f>
      </c>
      <c r="Q145" s="3">
        <f>(P145-Y145)/G145*100</f>
      </c>
      <c r="R145" s="3">
        <f>J145-N145</f>
      </c>
      <c r="S145" t="s">
        <v>1</v>
      </c>
      <c r="T145" t="s">
        <v>253</v>
      </c>
      <c r="Z145" s="3">
        <f>P145-Y145</f>
      </c>
      <c r="AA145" t="s">
        <v>1</v>
      </c>
      <c r="AB145" t="s">
        <v>1</v>
      </c>
    </row>
    <row r="146" spans="1:28" x14ac:dyDescent="0.25">
      <c r="A146" s="7">
        <v>46213.5</v>
      </c>
      <c r="B146" t="s">
        <v>982</v>
      </c>
      <c r="C146" t="s">
        <v>181</v>
      </c>
      <c r="D146" s="8" t="s">
        <v>1</v>
      </c>
      <c r="E146" t="s">
        <v>72</v>
      </c>
      <c r="F146">
        <v>4</v>
      </c>
      <c r="G146" s="3">
        <v>7.6</v>
      </c>
      <c r="H146" s="3">
        <v>10.72</v>
      </c>
      <c r="I146" s="3">
        <f>H146-G146</f>
      </c>
      <c r="J146" s="3">
        <f>I146*16.67%</f>
      </c>
      <c r="K146" s="3">
        <f>H146/100*11</f>
      </c>
      <c r="L146" s="3">
        <v>8.99</v>
      </c>
      <c r="M146" s="3">
        <v>0</v>
      </c>
      <c r="N146" s="3">
        <f>M146*20%</f>
      </c>
      <c r="O146" s="3">
        <v>1</v>
      </c>
      <c r="P146" s="3">
        <f>I146-J146-K146-L146-M146-N146-O146</f>
      </c>
      <c r="Q146" s="3">
        <f>(P146-Y146)/G146*100</f>
      </c>
      <c r="R146" s="3">
        <f>J146-N146</f>
      </c>
      <c r="S146" t="s">
        <v>1</v>
      </c>
      <c r="T146" t="s">
        <v>181</v>
      </c>
      <c r="Z146" s="3">
        <f>P146-Y146</f>
      </c>
      <c r="AA146" t="s">
        <v>1</v>
      </c>
      <c r="AB146" t="s">
        <v>1</v>
      </c>
    </row>
    <row r="147" spans="1:28" x14ac:dyDescent="0.25">
      <c r="A147" s="7">
        <v>46213.5</v>
      </c>
      <c r="B147" t="s">
        <v>983</v>
      </c>
      <c r="C147" t="s">
        <v>1</v>
      </c>
      <c r="D147" s="8" t="s">
        <v>1</v>
      </c>
      <c r="E147" t="s">
        <v>72</v>
      </c>
      <c r="F147">
        <v>1</v>
      </c>
      <c r="G147" s="3">
        <v>324</v>
      </c>
      <c r="H147" s="3">
        <v>375.84</v>
      </c>
      <c r="I147" s="3">
        <f>H147-G147</f>
      </c>
      <c r="J147" s="3">
        <f>I147*16.67%</f>
      </c>
      <c r="K147" s="3">
        <f>H147/100*11</f>
      </c>
      <c r="L147" s="3">
        <v>8.99</v>
      </c>
      <c r="M147" s="3">
        <v>0</v>
      </c>
      <c r="N147" s="3">
        <f>M147*20%</f>
      </c>
      <c r="O147" s="3">
        <v>1</v>
      </c>
      <c r="P147" s="3">
        <f>I147-J147-K147-L147-M147-N147-O147</f>
      </c>
      <c r="Q147" s="3">
        <f>(P147-Y147)/G147*100</f>
      </c>
      <c r="R147" s="3">
        <f>J147-N147</f>
      </c>
      <c r="S147" t="s">
        <v>1</v>
      </c>
      <c r="T147" t="s">
        <v>1</v>
      </c>
      <c r="Z147" s="3">
        <f>P147-Y147</f>
      </c>
      <c r="AA147" t="s">
        <v>1</v>
      </c>
      <c r="AB147" t="s">
        <v>1</v>
      </c>
    </row>
    <row r="148" spans="1:28" x14ac:dyDescent="0.25">
      <c r="A148" s="7">
        <v>46212.5</v>
      </c>
      <c r="B148" t="s">
        <v>984</v>
      </c>
      <c r="C148" t="s">
        <v>1</v>
      </c>
      <c r="D148" s="8" t="s">
        <v>985</v>
      </c>
      <c r="E148" t="s">
        <v>72</v>
      </c>
      <c r="F148">
        <v>1</v>
      </c>
      <c r="G148" s="3">
        <v>107</v>
      </c>
      <c r="H148" s="3">
        <v>134.82</v>
      </c>
      <c r="I148" s="3">
        <f>H148-G148</f>
      </c>
      <c r="J148" s="3">
        <f>I148*16.67%</f>
      </c>
      <c r="K148" s="3">
        <f>H148/100*11</f>
      </c>
      <c r="L148" s="3">
        <v>8.99</v>
      </c>
      <c r="M148" s="3">
        <v>0</v>
      </c>
      <c r="N148" s="3">
        <f>M148*20%</f>
      </c>
      <c r="O148" s="3">
        <v>1</v>
      </c>
      <c r="P148" s="3">
        <f>I148-J148-K148-L148-M148-N148-O148</f>
      </c>
      <c r="Q148" s="3">
        <f>(P148-Y148)/G148*100</f>
      </c>
      <c r="R148" s="3">
        <f>J148-N148</f>
      </c>
      <c r="S148" t="s">
        <v>1</v>
      </c>
      <c r="T148" t="s">
        <v>90</v>
      </c>
      <c r="Z148" s="3">
        <f>P148-Y148</f>
      </c>
      <c r="AA148" t="s">
        <v>65</v>
      </c>
      <c r="AB148" t="s">
        <v>87</v>
      </c>
    </row>
    <row r="149" spans="1:28" x14ac:dyDescent="0.25">
      <c r="A149" s="7">
        <v>46211.5</v>
      </c>
      <c r="B149" t="s">
        <v>986</v>
      </c>
      <c r="C149" t="s">
        <v>1</v>
      </c>
      <c r="D149" s="8" t="s">
        <v>987</v>
      </c>
      <c r="E149" t="s">
        <v>63</v>
      </c>
      <c r="F149">
        <v>1</v>
      </c>
      <c r="G149" s="3">
        <v>264</v>
      </c>
      <c r="H149" s="3">
        <v>322.08</v>
      </c>
      <c r="I149" s="3">
        <f>H149-G149</f>
      </c>
      <c r="J149" s="3">
        <f>I149*16.67%</f>
      </c>
      <c r="K149" s="3">
        <f>H149/100*11</f>
      </c>
      <c r="L149" s="3">
        <v>8.99</v>
      </c>
      <c r="M149" s="3">
        <v>0</v>
      </c>
      <c r="N149" s="3">
        <f>M149*20%</f>
      </c>
      <c r="O149" s="3">
        <v>1</v>
      </c>
      <c r="P149" s="3">
        <f>I149-J149-K149-L149-M149-N149-O149</f>
      </c>
      <c r="Q149" s="3">
        <f>(P149-Y149)/G149*100</f>
      </c>
      <c r="R149" s="3">
        <f>J149-N149</f>
      </c>
      <c r="S149" t="s">
        <v>1</v>
      </c>
      <c r="T149" t="s">
        <v>124</v>
      </c>
      <c r="Z149" s="3">
        <f>P149-Y149</f>
      </c>
      <c r="AA149" t="s">
        <v>125</v>
      </c>
      <c r="AB149" t="s">
        <v>74</v>
      </c>
    </row>
    <row r="150" spans="1:28" x14ac:dyDescent="0.25">
      <c r="A150" s="7">
        <v>46211.5</v>
      </c>
      <c r="B150" t="s">
        <v>988</v>
      </c>
      <c r="C150" t="s">
        <v>1</v>
      </c>
      <c r="D150" s="8" t="s">
        <v>989</v>
      </c>
      <c r="E150" t="s">
        <v>77</v>
      </c>
      <c r="F150">
        <v>1</v>
      </c>
      <c r="G150" s="3">
        <v>76</v>
      </c>
      <c r="H150" s="3">
        <v>97.28</v>
      </c>
      <c r="I150" s="3">
        <f>H150-G150</f>
      </c>
      <c r="J150" s="3">
        <f>I150*16.67%</f>
      </c>
      <c r="K150" s="3">
        <f>H150/100*11</f>
      </c>
      <c r="L150" s="3">
        <v>8.99</v>
      </c>
      <c r="M150" s="3">
        <v>0</v>
      </c>
      <c r="N150" s="3">
        <f>M150*20%</f>
      </c>
      <c r="O150" s="3">
        <v>1</v>
      </c>
      <c r="P150" s="3">
        <f>I150-J150-K150-L150-M150-N150-O150</f>
      </c>
      <c r="Q150" s="3">
        <f>(P150-Y150)/G150*100</f>
      </c>
      <c r="R150" s="3">
        <f>J150-N150</f>
      </c>
      <c r="S150" t="s">
        <v>1</v>
      </c>
      <c r="T150" t="s">
        <v>93</v>
      </c>
      <c r="Z150" s="3">
        <f>P150-Y150</f>
      </c>
      <c r="AA150" t="s">
        <v>94</v>
      </c>
      <c r="AB150" t="s">
        <v>84</v>
      </c>
    </row>
    <row r="151" spans="1:28" x14ac:dyDescent="0.25">
      <c r="A151" s="7">
        <v>46211.5</v>
      </c>
      <c r="B151" t="s">
        <v>990</v>
      </c>
      <c r="C151" t="s">
        <v>1</v>
      </c>
      <c r="D151" s="8" t="s">
        <v>991</v>
      </c>
      <c r="E151" t="s">
        <v>63</v>
      </c>
      <c r="F151">
        <v>1</v>
      </c>
      <c r="G151" s="3">
        <v>339</v>
      </c>
      <c r="H151" s="3">
        <v>461.04</v>
      </c>
      <c r="I151" s="3">
        <f>H151-G151</f>
      </c>
      <c r="J151" s="3">
        <f>I151*16.67%</f>
      </c>
      <c r="K151" s="3">
        <f>H151/100*11</f>
      </c>
      <c r="L151" s="3">
        <v>8.99</v>
      </c>
      <c r="M151" s="3">
        <v>0</v>
      </c>
      <c r="N151" s="3">
        <f>M151*20%</f>
      </c>
      <c r="O151" s="3">
        <v>1</v>
      </c>
      <c r="P151" s="3">
        <f>I151-J151-K151-L151-M151-N151-O151</f>
      </c>
      <c r="Q151" s="3">
        <f>(P151-Y151)/G151*100</f>
      </c>
      <c r="R151" s="3">
        <f>J151-N151</f>
      </c>
      <c r="S151" t="s">
        <v>1</v>
      </c>
      <c r="T151" t="s">
        <v>138</v>
      </c>
      <c r="Z151" s="3">
        <f>P151-Y151</f>
      </c>
      <c r="AA151" t="s">
        <v>59</v>
      </c>
      <c r="AB151" t="s">
        <v>69</v>
      </c>
    </row>
    <row r="152" spans="1:28" x14ac:dyDescent="0.25">
      <c r="A152" s="7">
        <v>46211.5</v>
      </c>
      <c r="B152" t="s">
        <v>992</v>
      </c>
      <c r="C152" t="s">
        <v>1</v>
      </c>
      <c r="D152" s="8" t="s">
        <v>993</v>
      </c>
      <c r="E152" t="s">
        <v>72</v>
      </c>
      <c r="F152">
        <v>1</v>
      </c>
      <c r="G152" s="3">
        <v>228</v>
      </c>
      <c r="H152" s="3">
        <v>273.6</v>
      </c>
      <c r="I152" s="3">
        <f>H152-G152</f>
      </c>
      <c r="J152" s="3">
        <f>I152*16.67%</f>
      </c>
      <c r="K152" s="3">
        <f>H152/100*11</f>
      </c>
      <c r="L152" s="3">
        <v>8.99</v>
      </c>
      <c r="M152" s="3">
        <v>0</v>
      </c>
      <c r="N152" s="3">
        <f>M152*20%</f>
      </c>
      <c r="O152" s="3">
        <v>1</v>
      </c>
      <c r="P152" s="3">
        <f>I152-J152-K152-L152-M152-N152-O152</f>
      </c>
      <c r="Q152" s="3">
        <f>(P152-Y152)/G152*100</f>
      </c>
      <c r="R152" s="3">
        <f>J152-N152</f>
      </c>
      <c r="S152" t="s">
        <v>1</v>
      </c>
      <c r="T152" t="s">
        <v>124</v>
      </c>
      <c r="Z152" s="3">
        <f>P152-Y152</f>
      </c>
      <c r="AA152" t="s">
        <v>125</v>
      </c>
      <c r="AB152" t="s">
        <v>74</v>
      </c>
    </row>
    <row r="153" spans="1:28" x14ac:dyDescent="0.25">
      <c r="A153" s="7">
        <v>46211.5</v>
      </c>
      <c r="B153" t="s">
        <v>994</v>
      </c>
      <c r="C153" t="s">
        <v>1</v>
      </c>
      <c r="D153" s="8" t="s">
        <v>995</v>
      </c>
      <c r="E153" t="s">
        <v>101</v>
      </c>
      <c r="F153">
        <v>1</v>
      </c>
      <c r="G153" s="3">
        <v>266</v>
      </c>
      <c r="H153" s="3">
        <v>313.88</v>
      </c>
      <c r="I153" s="3">
        <f>H153-G153</f>
      </c>
      <c r="J153" s="3">
        <f>I153*16.67%</f>
      </c>
      <c r="K153" s="3">
        <f>H153/100*11</f>
      </c>
      <c r="L153" s="3">
        <v>8.99</v>
      </c>
      <c r="M153" s="3">
        <v>0</v>
      </c>
      <c r="N153" s="3">
        <f>M153*20%</f>
      </c>
      <c r="O153" s="3">
        <v>1</v>
      </c>
      <c r="P153" s="3">
        <f>I153-J153-K153-L153-M153-N153-O153</f>
      </c>
      <c r="Q153" s="3">
        <f>(P153-Y153)/G153*100</f>
      </c>
      <c r="R153" s="3">
        <f>J153-N153</f>
      </c>
      <c r="S153" t="s">
        <v>1</v>
      </c>
      <c r="T153" t="s">
        <v>124</v>
      </c>
      <c r="Z153" s="3">
        <f>P153-Y153</f>
      </c>
      <c r="AA153" t="s">
        <v>125</v>
      </c>
      <c r="AB153" t="s">
        <v>69</v>
      </c>
    </row>
    <row r="154" spans="1:28" x14ac:dyDescent="0.25">
      <c r="A154" s="7">
        <v>46210.5</v>
      </c>
      <c r="B154" t="s">
        <v>996</v>
      </c>
      <c r="C154" t="s">
        <v>1</v>
      </c>
      <c r="D154" s="8" t="s">
        <v>997</v>
      </c>
      <c r="E154" t="s">
        <v>57</v>
      </c>
      <c r="F154">
        <v>1</v>
      </c>
      <c r="G154" s="3">
        <v>422</v>
      </c>
      <c r="H154" s="3">
        <v>502.18</v>
      </c>
      <c r="I154" s="3">
        <f>H154-G154</f>
      </c>
      <c r="J154" s="3">
        <f>I154*16.67%</f>
      </c>
      <c r="K154" s="3">
        <f>H154/100*11</f>
      </c>
      <c r="L154" s="3">
        <v>8.99</v>
      </c>
      <c r="M154" s="3">
        <v>0</v>
      </c>
      <c r="N154" s="3">
        <f>M154*20%</f>
      </c>
      <c r="O154" s="3">
        <v>1</v>
      </c>
      <c r="P154" s="3">
        <f>I154-J154-K154-L154-M154-N154-O154</f>
      </c>
      <c r="Q154" s="3">
        <f>(P154-Y154)/G154*100</f>
      </c>
      <c r="R154" s="3">
        <f>J154-N154</f>
      </c>
      <c r="S154" t="s">
        <v>1</v>
      </c>
      <c r="T154" t="s">
        <v>58</v>
      </c>
      <c r="Z154" s="3">
        <f>P154-Y154</f>
      </c>
      <c r="AA154" t="s">
        <v>59</v>
      </c>
      <c r="AB154" t="s">
        <v>74</v>
      </c>
    </row>
    <row r="155" spans="1:28" x14ac:dyDescent="0.25">
      <c r="A155" s="7">
        <v>46210.5</v>
      </c>
      <c r="B155" t="s">
        <v>998</v>
      </c>
      <c r="C155" t="s">
        <v>1</v>
      </c>
      <c r="D155" s="8" t="s">
        <v>999</v>
      </c>
      <c r="E155" t="s">
        <v>101</v>
      </c>
      <c r="F155">
        <v>1</v>
      </c>
      <c r="G155" s="3">
        <v>372</v>
      </c>
      <c r="H155" s="3">
        <v>528.24</v>
      </c>
      <c r="I155" s="3">
        <f>H155-G155</f>
      </c>
      <c r="J155" s="3">
        <f>I155*16.67%</f>
      </c>
      <c r="K155" s="3">
        <f>H155/100*11</f>
      </c>
      <c r="L155" s="3">
        <v>8.99</v>
      </c>
      <c r="M155" s="3">
        <v>0</v>
      </c>
      <c r="N155" s="3">
        <f>M155*20%</f>
      </c>
      <c r="O155" s="3">
        <v>1</v>
      </c>
      <c r="P155" s="3">
        <f>I155-J155-K155-L155-M155-N155-O155</f>
      </c>
      <c r="Q155" s="3">
        <f>(P155-Y155)/G155*100</f>
      </c>
      <c r="R155" s="3">
        <f>J155-N155</f>
      </c>
      <c r="S155" t="s">
        <v>1</v>
      </c>
      <c r="T155" t="s">
        <v>73</v>
      </c>
      <c r="Z155" s="3">
        <f>P155-Y155</f>
      </c>
      <c r="AA155" t="s">
        <v>59</v>
      </c>
      <c r="AB155" t="s">
        <v>74</v>
      </c>
    </row>
    <row r="156" spans="1:28" x14ac:dyDescent="0.25">
      <c r="A156" s="7">
        <v>46210.5</v>
      </c>
      <c r="B156" t="s">
        <v>1000</v>
      </c>
      <c r="C156" t="s">
        <v>1</v>
      </c>
      <c r="D156" s="8" t="s">
        <v>1001</v>
      </c>
      <c r="E156" t="s">
        <v>63</v>
      </c>
      <c r="F156">
        <v>1</v>
      </c>
      <c r="G156" s="3">
        <v>192</v>
      </c>
      <c r="H156" s="3">
        <v>245.76</v>
      </c>
      <c r="I156" s="3">
        <f>H156-G156</f>
      </c>
      <c r="J156" s="3">
        <f>I156*16.67%</f>
      </c>
      <c r="K156" s="3">
        <f>H156/100*11</f>
      </c>
      <c r="L156" s="3">
        <v>8.99</v>
      </c>
      <c r="M156" s="3">
        <v>0</v>
      </c>
      <c r="N156" s="3">
        <f>M156*20%</f>
      </c>
      <c r="O156" s="3">
        <v>1</v>
      </c>
      <c r="P156" s="3">
        <f>I156-J156-K156-L156-M156-N156-O156</f>
      </c>
      <c r="Q156" s="3">
        <f>(P156-Y156)/G156*100</f>
      </c>
      <c r="R156" s="3">
        <f>J156-N156</f>
      </c>
      <c r="S156" t="s">
        <v>1</v>
      </c>
      <c r="T156" t="s">
        <v>291</v>
      </c>
      <c r="Z156" s="3">
        <f>P156-Y156</f>
      </c>
      <c r="AA156" t="s">
        <v>125</v>
      </c>
      <c r="AB156" t="s">
        <v>69</v>
      </c>
    </row>
    <row r="157" spans="1:28" x14ac:dyDescent="0.25">
      <c r="A157" s="7">
        <v>46210.5</v>
      </c>
      <c r="B157" t="s">
        <v>1002</v>
      </c>
      <c r="C157" t="s">
        <v>1</v>
      </c>
      <c r="D157" s="8" t="s">
        <v>1003</v>
      </c>
      <c r="E157" t="s">
        <v>63</v>
      </c>
      <c r="F157">
        <v>1</v>
      </c>
      <c r="G157" s="3">
        <v>158</v>
      </c>
      <c r="H157" s="3">
        <v>208.56</v>
      </c>
      <c r="I157" s="3">
        <f>H157-G157</f>
      </c>
      <c r="J157" s="3">
        <f>I157*16.67%</f>
      </c>
      <c r="K157" s="3">
        <f>H157/100*11</f>
      </c>
      <c r="L157" s="3">
        <v>8.99</v>
      </c>
      <c r="M157" s="3">
        <v>0</v>
      </c>
      <c r="N157" s="3">
        <f>M157*20%</f>
      </c>
      <c r="O157" s="3">
        <v>1</v>
      </c>
      <c r="P157" s="3">
        <f>I157-J157-K157-L157-M157-N157-O157</f>
      </c>
      <c r="Q157" s="3">
        <f>(P157-Y157)/G157*100</f>
      </c>
      <c r="R157" s="3">
        <f>J157-N157</f>
      </c>
      <c r="S157" t="s">
        <v>1</v>
      </c>
      <c r="T157" t="s">
        <v>171</v>
      </c>
      <c r="Z157" s="3">
        <f>P157-Y157</f>
      </c>
      <c r="AA157" t="s">
        <v>65</v>
      </c>
      <c r="AB157" t="s">
        <v>104</v>
      </c>
    </row>
    <row r="158" spans="1:28" x14ac:dyDescent="0.25">
      <c r="A158" s="7">
        <v>46210.5</v>
      </c>
      <c r="B158" t="s">
        <v>1004</v>
      </c>
      <c r="C158" t="s">
        <v>1</v>
      </c>
      <c r="D158" s="8" t="s">
        <v>1005</v>
      </c>
      <c r="E158" t="s">
        <v>63</v>
      </c>
      <c r="F158">
        <v>1</v>
      </c>
      <c r="G158" s="3">
        <v>268</v>
      </c>
      <c r="H158" s="3">
        <v>308.2</v>
      </c>
      <c r="I158" s="3">
        <f>H158-G158</f>
      </c>
      <c r="J158" s="3">
        <f>I158*16.67%</f>
      </c>
      <c r="K158" s="3">
        <f>H158/100*11</f>
      </c>
      <c r="L158" s="3">
        <v>8.99</v>
      </c>
      <c r="M158" s="3">
        <v>0</v>
      </c>
      <c r="N158" s="3">
        <f>M158*20%</f>
      </c>
      <c r="O158" s="3">
        <v>1</v>
      </c>
      <c r="P158" s="3">
        <f>I158-J158-K158-L158-M158-N158-O158</f>
      </c>
      <c r="Q158" s="3">
        <f>(P158-Y158)/G158*100</f>
      </c>
      <c r="R158" s="3">
        <f>J158-N158</f>
      </c>
      <c r="S158" t="s">
        <v>1</v>
      </c>
      <c r="T158" t="s">
        <v>124</v>
      </c>
      <c r="Z158" s="3">
        <f>P158-Y158</f>
      </c>
      <c r="AA158" t="s">
        <v>125</v>
      </c>
      <c r="AB158" t="s">
        <v>87</v>
      </c>
    </row>
    <row r="159" spans="1:28" x14ac:dyDescent="0.25">
      <c r="A159" s="7">
        <v>46210.5</v>
      </c>
      <c r="B159" t="s">
        <v>1006</v>
      </c>
      <c r="C159" t="s">
        <v>181</v>
      </c>
      <c r="D159" s="8" t="s">
        <v>1</v>
      </c>
      <c r="E159" t="s">
        <v>72</v>
      </c>
      <c r="F159">
        <v>1</v>
      </c>
      <c r="G159" s="3">
        <v>1.9</v>
      </c>
      <c r="H159" s="3">
        <v>2.43</v>
      </c>
      <c r="I159" s="3">
        <f>H159-G159</f>
      </c>
      <c r="J159" s="3">
        <f>I159*16.67%</f>
      </c>
      <c r="K159" s="3">
        <f>H159/100*11</f>
      </c>
      <c r="L159" s="3">
        <v>8.99</v>
      </c>
      <c r="M159" s="3">
        <v>0</v>
      </c>
      <c r="N159" s="3">
        <f>M159*20%</f>
      </c>
      <c r="O159" s="3">
        <v>1</v>
      </c>
      <c r="P159" s="3">
        <f>I159-J159-K159-L159-M159-N159-O159</f>
      </c>
      <c r="Q159" s="3">
        <f>(P159-Y159)/G159*100</f>
      </c>
      <c r="R159" s="3">
        <f>J159-N159</f>
      </c>
      <c r="S159" t="s">
        <v>1</v>
      </c>
      <c r="T159" t="s">
        <v>181</v>
      </c>
      <c r="Z159" s="3">
        <f>P159-Y159</f>
      </c>
      <c r="AA159" t="s">
        <v>1</v>
      </c>
      <c r="AB159" t="s">
        <v>1</v>
      </c>
    </row>
    <row r="160" spans="1:28" x14ac:dyDescent="0.25">
      <c r="A160" s="7">
        <v>46210.5</v>
      </c>
      <c r="B160" t="s">
        <v>1007</v>
      </c>
      <c r="C160" t="s">
        <v>184</v>
      </c>
      <c r="D160" s="8" t="s">
        <v>1</v>
      </c>
      <c r="E160" t="s">
        <v>101</v>
      </c>
      <c r="F160">
        <v>4</v>
      </c>
      <c r="G160" s="3">
        <v>4.8</v>
      </c>
      <c r="H160" s="3">
        <v>6.53</v>
      </c>
      <c r="I160" s="3">
        <f>H160-G160</f>
      </c>
      <c r="J160" s="3">
        <f>I160*16.67%</f>
      </c>
      <c r="K160" s="3">
        <f>H160/100*11</f>
      </c>
      <c r="L160" s="3">
        <v>8.99</v>
      </c>
      <c r="M160" s="3">
        <v>0</v>
      </c>
      <c r="N160" s="3">
        <f>M160*20%</f>
      </c>
      <c r="O160" s="3">
        <v>1</v>
      </c>
      <c r="P160" s="3">
        <f>I160-J160-K160-L160-M160-N160-O160</f>
      </c>
      <c r="Q160" s="3">
        <f>(P160-Y160)/G160*100</f>
      </c>
      <c r="R160" s="3">
        <f>J160-N160</f>
      </c>
      <c r="S160" t="s">
        <v>1</v>
      </c>
      <c r="T160" t="s">
        <v>184</v>
      </c>
      <c r="Z160" s="3">
        <f>P160-Y160</f>
      </c>
      <c r="AA160" t="s">
        <v>1</v>
      </c>
      <c r="AB160" t="s">
        <v>1</v>
      </c>
    </row>
    <row r="161" spans="1:28" x14ac:dyDescent="0.25">
      <c r="A161" s="7">
        <v>46209.5</v>
      </c>
      <c r="B161" t="s">
        <v>1008</v>
      </c>
      <c r="C161" t="s">
        <v>1</v>
      </c>
      <c r="D161" s="8" t="s">
        <v>1009</v>
      </c>
      <c r="E161" t="s">
        <v>101</v>
      </c>
      <c r="F161">
        <v>1</v>
      </c>
      <c r="G161" s="3">
        <v>256</v>
      </c>
      <c r="H161" s="3">
        <v>325.12</v>
      </c>
      <c r="I161" s="3">
        <f>H161-G161</f>
      </c>
      <c r="J161" s="3">
        <f>I161*16.67%</f>
      </c>
      <c r="K161" s="3">
        <f>H161/100*11</f>
      </c>
      <c r="L161" s="3">
        <v>8.99</v>
      </c>
      <c r="M161" s="3">
        <v>0</v>
      </c>
      <c r="N161" s="3">
        <f>M161*20%</f>
      </c>
      <c r="O161" s="3">
        <v>1</v>
      </c>
      <c r="P161" s="3">
        <f>I161-J161-K161-L161-M161-N161-O161</f>
      </c>
      <c r="Q161" s="3">
        <f>(P161-Y161)/G161*100</f>
      </c>
      <c r="R161" s="3">
        <f>J161-N161</f>
      </c>
      <c r="S161" t="s">
        <v>1</v>
      </c>
      <c r="T161" t="s">
        <v>64</v>
      </c>
      <c r="Z161" s="3">
        <f>P161-Y161</f>
      </c>
      <c r="AA161" t="s">
        <v>65</v>
      </c>
      <c r="AB161" t="s">
        <v>104</v>
      </c>
    </row>
    <row r="162" spans="1:28" x14ac:dyDescent="0.25">
      <c r="A162" s="7">
        <v>46209.5</v>
      </c>
      <c r="B162" t="s">
        <v>1010</v>
      </c>
      <c r="C162" t="s">
        <v>1</v>
      </c>
      <c r="D162" s="8" t="s">
        <v>1011</v>
      </c>
      <c r="E162" t="s">
        <v>77</v>
      </c>
      <c r="F162">
        <v>1</v>
      </c>
      <c r="G162" s="3">
        <v>84</v>
      </c>
      <c r="H162" s="3">
        <v>121.8</v>
      </c>
      <c r="I162" s="3">
        <f>H162-G162</f>
      </c>
      <c r="J162" s="3">
        <f>I162*16.67%</f>
      </c>
      <c r="K162" s="3">
        <f>H162/100*11</f>
      </c>
      <c r="L162" s="3">
        <v>8.99</v>
      </c>
      <c r="M162" s="3">
        <v>0</v>
      </c>
      <c r="N162" s="3">
        <f>M162*20%</f>
      </c>
      <c r="O162" s="3">
        <v>1</v>
      </c>
      <c r="P162" s="3">
        <f>I162-J162-K162-L162-M162-N162-O162</f>
      </c>
      <c r="Q162" s="3">
        <f>(P162-Y162)/G162*100</f>
      </c>
      <c r="R162" s="3">
        <f>J162-N162</f>
      </c>
      <c r="S162" t="s">
        <v>1</v>
      </c>
      <c r="T162" t="s">
        <v>93</v>
      </c>
      <c r="Z162" s="3">
        <f>P162-Y162</f>
      </c>
      <c r="AA162" t="s">
        <v>94</v>
      </c>
      <c r="AB162" t="s">
        <v>104</v>
      </c>
    </row>
    <row r="163" spans="1:28" x14ac:dyDescent="0.25">
      <c r="A163" s="7">
        <v>46209.5</v>
      </c>
      <c r="B163" t="s">
        <v>1012</v>
      </c>
      <c r="C163" t="s">
        <v>1</v>
      </c>
      <c r="D163" s="8" t="s">
        <v>1013</v>
      </c>
      <c r="E163" t="s">
        <v>63</v>
      </c>
      <c r="F163">
        <v>1</v>
      </c>
      <c r="G163" s="3">
        <v>472</v>
      </c>
      <c r="H163" s="3">
        <v>599.44</v>
      </c>
      <c r="I163" s="3">
        <f>H163-G163</f>
      </c>
      <c r="J163" s="3">
        <f>I163*16.67%</f>
      </c>
      <c r="K163" s="3">
        <f>H163/100*11</f>
      </c>
      <c r="L163" s="3">
        <v>8.99</v>
      </c>
      <c r="M163" s="3">
        <v>0</v>
      </c>
      <c r="N163" s="3">
        <f>M163*20%</f>
      </c>
      <c r="O163" s="3">
        <v>1</v>
      </c>
      <c r="P163" s="3">
        <f>I163-J163-K163-L163-M163-N163-O163</f>
      </c>
      <c r="Q163" s="3">
        <f>(P163-Y163)/G163*100</f>
      </c>
      <c r="R163" s="3">
        <f>J163-N163</f>
      </c>
      <c r="S163" t="s">
        <v>1</v>
      </c>
      <c r="T163" t="s">
        <v>58</v>
      </c>
      <c r="Z163" s="3">
        <f>P163-Y163</f>
      </c>
      <c r="AA163" t="s">
        <v>59</v>
      </c>
      <c r="AB163" t="s">
        <v>98</v>
      </c>
    </row>
    <row r="164" spans="1:28" x14ac:dyDescent="0.25">
      <c r="A164" s="7">
        <v>46209.5</v>
      </c>
      <c r="B164" t="s">
        <v>1014</v>
      </c>
      <c r="C164" t="s">
        <v>1</v>
      </c>
      <c r="D164" s="8" t="s">
        <v>1015</v>
      </c>
      <c r="E164" t="s">
        <v>101</v>
      </c>
      <c r="F164">
        <v>1</v>
      </c>
      <c r="G164" s="3">
        <v>235</v>
      </c>
      <c r="H164" s="3">
        <v>336.05</v>
      </c>
      <c r="I164" s="3">
        <f>H164-G164</f>
      </c>
      <c r="J164" s="3">
        <f>I164*16.67%</f>
      </c>
      <c r="K164" s="3">
        <f>H164/100*11</f>
      </c>
      <c r="L164" s="3">
        <v>8.99</v>
      </c>
      <c r="M164" s="3">
        <v>0</v>
      </c>
      <c r="N164" s="3">
        <f>M164*20%</f>
      </c>
      <c r="O164" s="3">
        <v>1</v>
      </c>
      <c r="P164" s="3">
        <f>I164-J164-K164-L164-M164-N164-O164</f>
      </c>
      <c r="Q164" s="3">
        <f>(P164-Y164)/G164*100</f>
      </c>
      <c r="R164" s="3">
        <f>J164-N164</f>
      </c>
      <c r="S164" t="s">
        <v>1</v>
      </c>
      <c r="T164" t="s">
        <v>113</v>
      </c>
      <c r="Z164" s="3">
        <f>P164-Y164</f>
      </c>
      <c r="AA164" t="s">
        <v>59</v>
      </c>
      <c r="AB164" t="s">
        <v>69</v>
      </c>
    </row>
    <row r="165" spans="1:28" x14ac:dyDescent="0.25">
      <c r="A165" s="7">
        <v>46209.5</v>
      </c>
      <c r="B165" t="s">
        <v>1016</v>
      </c>
      <c r="C165" t="s">
        <v>188</v>
      </c>
      <c r="D165" s="8" t="s">
        <v>1</v>
      </c>
      <c r="E165" t="s">
        <v>63</v>
      </c>
      <c r="F165">
        <v>4</v>
      </c>
      <c r="G165" s="3">
        <v>14</v>
      </c>
      <c r="H165" s="3">
        <v>20.02</v>
      </c>
      <c r="I165" s="3">
        <f>H165-G165</f>
      </c>
      <c r="J165" s="3">
        <f>I165*16.67%</f>
      </c>
      <c r="K165" s="3">
        <f>H165/100*11</f>
      </c>
      <c r="L165" s="3">
        <v>8.99</v>
      </c>
      <c r="M165" s="3">
        <v>0</v>
      </c>
      <c r="N165" s="3">
        <f>M165*20%</f>
      </c>
      <c r="O165" s="3">
        <v>1</v>
      </c>
      <c r="P165" s="3">
        <f>I165-J165-K165-L165-M165-N165-O165</f>
      </c>
      <c r="Q165" s="3">
        <f>(P165-Y165)/G165*100</f>
      </c>
      <c r="R165" s="3">
        <f>J165-N165</f>
      </c>
      <c r="S165" t="s">
        <v>1</v>
      </c>
      <c r="T165" t="s">
        <v>188</v>
      </c>
      <c r="Z165" s="3">
        <f>P165-Y165</f>
      </c>
      <c r="AA165" t="s">
        <v>1</v>
      </c>
      <c r="AB165" t="s">
        <v>1</v>
      </c>
    </row>
    <row r="166" spans="1:28" x14ac:dyDescent="0.25">
      <c r="A166" s="7">
        <v>46208.5</v>
      </c>
      <c r="B166" t="s">
        <v>1017</v>
      </c>
      <c r="C166" t="s">
        <v>1</v>
      </c>
      <c r="D166" s="8" t="s">
        <v>1018</v>
      </c>
      <c r="E166" t="s">
        <v>101</v>
      </c>
      <c r="F166">
        <v>1</v>
      </c>
      <c r="G166" s="3">
        <v>475</v>
      </c>
      <c r="H166" s="3">
        <v>555.75</v>
      </c>
      <c r="I166" s="3">
        <f>H166-G166</f>
      </c>
      <c r="J166" s="3">
        <f>I166*16.67%</f>
      </c>
      <c r="K166" s="3">
        <f>H166/100*11</f>
      </c>
      <c r="L166" s="3">
        <v>8.99</v>
      </c>
      <c r="M166" s="3">
        <v>0</v>
      </c>
      <c r="N166" s="3">
        <f>M166*20%</f>
      </c>
      <c r="O166" s="3">
        <v>1</v>
      </c>
      <c r="P166" s="3">
        <f>I166-J166-K166-L166-M166-N166-O166</f>
      </c>
      <c r="Q166" s="3">
        <f>(P166-Y166)/G166*100</f>
      </c>
      <c r="R166" s="3">
        <f>J166-N166</f>
      </c>
      <c r="S166" t="s">
        <v>1</v>
      </c>
      <c r="T166" t="s">
        <v>58</v>
      </c>
      <c r="Z166" s="3">
        <f>P166-Y166</f>
      </c>
      <c r="AA166" t="s">
        <v>59</v>
      </c>
      <c r="AB166" t="s">
        <v>104</v>
      </c>
    </row>
    <row r="167" spans="1:28" x14ac:dyDescent="0.25">
      <c r="A167" s="7">
        <v>46208.5</v>
      </c>
      <c r="B167" t="s">
        <v>1019</v>
      </c>
      <c r="C167" t="s">
        <v>1</v>
      </c>
      <c r="D167" s="8" t="s">
        <v>1020</v>
      </c>
      <c r="E167" t="s">
        <v>57</v>
      </c>
      <c r="F167">
        <v>1</v>
      </c>
      <c r="G167" s="3">
        <v>284</v>
      </c>
      <c r="H167" s="3">
        <v>383.4</v>
      </c>
      <c r="I167" s="3">
        <f>H167-G167</f>
      </c>
      <c r="J167" s="3">
        <f>I167*16.67%</f>
      </c>
      <c r="K167" s="3">
        <f>H167/100*11</f>
      </c>
      <c r="L167" s="3">
        <v>8.99</v>
      </c>
      <c r="M167" s="3">
        <v>0</v>
      </c>
      <c r="N167" s="3">
        <f>M167*20%</f>
      </c>
      <c r="O167" s="3">
        <v>1</v>
      </c>
      <c r="P167" s="3">
        <f>I167-J167-K167-L167-M167-N167-O167</f>
      </c>
      <c r="Q167" s="3">
        <f>(P167-Y167)/G167*100</f>
      </c>
      <c r="R167" s="3">
        <f>J167-N167</f>
      </c>
      <c r="S167" t="s">
        <v>1</v>
      </c>
      <c r="T167" t="s">
        <v>97</v>
      </c>
      <c r="Z167" s="3">
        <f>P167-Y167</f>
      </c>
      <c r="AA167" t="s">
        <v>65</v>
      </c>
      <c r="AB167" t="s">
        <v>74</v>
      </c>
    </row>
    <row r="168" spans="1:28" x14ac:dyDescent="0.25">
      <c r="A168" s="7">
        <v>46208.5</v>
      </c>
      <c r="B168" t="s">
        <v>1021</v>
      </c>
      <c r="C168" t="s">
        <v>1</v>
      </c>
      <c r="D168" s="8" t="s">
        <v>1022</v>
      </c>
      <c r="E168" t="s">
        <v>101</v>
      </c>
      <c r="F168">
        <v>1</v>
      </c>
      <c r="G168" s="3">
        <v>773</v>
      </c>
      <c r="H168" s="3">
        <v>896.68</v>
      </c>
      <c r="I168" s="3">
        <f>H168-G168</f>
      </c>
      <c r="J168" s="3">
        <f>I168*16.67%</f>
      </c>
      <c r="K168" s="3">
        <f>H168/100*11</f>
      </c>
      <c r="L168" s="3">
        <v>8.99</v>
      </c>
      <c r="M168" s="3">
        <v>0</v>
      </c>
      <c r="N168" s="3">
        <f>M168*20%</f>
      </c>
      <c r="O168" s="3">
        <v>1</v>
      </c>
      <c r="P168" s="3">
        <f>I168-J168-K168-L168-M168-N168-O168</f>
      </c>
      <c r="Q168" s="3">
        <f>(P168-Y168)/G168*100</f>
      </c>
      <c r="R168" s="3">
        <f>J168-N168</f>
      </c>
      <c r="S168" t="s">
        <v>1</v>
      </c>
      <c r="T168" t="s">
        <v>83</v>
      </c>
      <c r="Z168" s="3">
        <f>P168-Y168</f>
      </c>
      <c r="AA168" t="s">
        <v>59</v>
      </c>
      <c r="AB168" t="s">
        <v>98</v>
      </c>
    </row>
    <row r="169" spans="1:28" x14ac:dyDescent="0.25">
      <c r="A169" s="7">
        <v>46207.5</v>
      </c>
      <c r="B169" t="s">
        <v>1023</v>
      </c>
      <c r="C169" t="s">
        <v>1</v>
      </c>
      <c r="D169" s="8" t="s">
        <v>1024</v>
      </c>
      <c r="E169" t="s">
        <v>63</v>
      </c>
      <c r="F169">
        <v>1</v>
      </c>
      <c r="G169" s="3">
        <v>480</v>
      </c>
      <c r="H169" s="3">
        <v>643.2</v>
      </c>
      <c r="I169" s="3">
        <f>H169-G169</f>
      </c>
      <c r="J169" s="3">
        <f>I169*16.67%</f>
      </c>
      <c r="K169" s="3">
        <f>H169/100*11</f>
      </c>
      <c r="L169" s="3">
        <v>8.99</v>
      </c>
      <c r="M169" s="3">
        <v>0</v>
      </c>
      <c r="N169" s="3">
        <f>M169*20%</f>
      </c>
      <c r="O169" s="3">
        <v>1</v>
      </c>
      <c r="P169" s="3">
        <f>I169-J169-K169-L169-M169-N169-O169</f>
      </c>
      <c r="Q169" s="3">
        <f>(P169-Y169)/G169*100</f>
      </c>
      <c r="R169" s="3">
        <f>J169-N169</f>
      </c>
      <c r="S169" t="s">
        <v>1</v>
      </c>
      <c r="T169" t="s">
        <v>68</v>
      </c>
      <c r="Z169" s="3">
        <f>P169-Y169</f>
      </c>
      <c r="AA169" t="s">
        <v>59</v>
      </c>
      <c r="AB169" t="s">
        <v>87</v>
      </c>
    </row>
    <row r="170" spans="1:28" x14ac:dyDescent="0.25">
      <c r="A170" s="7">
        <v>46207.5</v>
      </c>
      <c r="B170" t="s">
        <v>1025</v>
      </c>
      <c r="C170" t="s">
        <v>1</v>
      </c>
      <c r="D170" s="8" t="s">
        <v>1026</v>
      </c>
      <c r="E170" t="s">
        <v>77</v>
      </c>
      <c r="F170">
        <v>1</v>
      </c>
      <c r="G170" s="3">
        <v>295</v>
      </c>
      <c r="H170" s="3">
        <v>407.1</v>
      </c>
      <c r="I170" s="3">
        <f>H170-G170</f>
      </c>
      <c r="J170" s="3">
        <f>I170*16.67%</f>
      </c>
      <c r="K170" s="3">
        <f>H170/100*11</f>
      </c>
      <c r="L170" s="3">
        <v>8.99</v>
      </c>
      <c r="M170" s="3">
        <v>0</v>
      </c>
      <c r="N170" s="3">
        <f>M170*20%</f>
      </c>
      <c r="O170" s="3">
        <v>1</v>
      </c>
      <c r="P170" s="3">
        <f>I170-J170-K170-L170-M170-N170-O170</f>
      </c>
      <c r="Q170" s="3">
        <f>(P170-Y170)/G170*100</f>
      </c>
      <c r="R170" s="3">
        <f>J170-N170</f>
      </c>
      <c r="S170" t="s">
        <v>1</v>
      </c>
      <c r="T170" t="s">
        <v>124</v>
      </c>
      <c r="Z170" s="3">
        <f>P170-Y170</f>
      </c>
      <c r="AA170" t="s">
        <v>125</v>
      </c>
      <c r="AB170" t="s">
        <v>69</v>
      </c>
    </row>
    <row r="171" spans="1:28" x14ac:dyDescent="0.25">
      <c r="A171" s="7">
        <v>46207.5</v>
      </c>
      <c r="B171" t="s">
        <v>1027</v>
      </c>
      <c r="C171" t="s">
        <v>1</v>
      </c>
      <c r="D171" s="8" t="s">
        <v>1028</v>
      </c>
      <c r="E171" t="s">
        <v>77</v>
      </c>
      <c r="F171">
        <v>1</v>
      </c>
      <c r="G171" s="3">
        <v>312</v>
      </c>
      <c r="H171" s="3">
        <v>358.8</v>
      </c>
      <c r="I171" s="3">
        <f>H171-G171</f>
      </c>
      <c r="J171" s="3">
        <f>I171*16.67%</f>
      </c>
      <c r="K171" s="3">
        <f>H171/100*11</f>
      </c>
      <c r="L171" s="3">
        <v>8.99</v>
      </c>
      <c r="M171" s="3">
        <v>0</v>
      </c>
      <c r="N171" s="3">
        <f>M171*20%</f>
      </c>
      <c r="O171" s="3">
        <v>1</v>
      </c>
      <c r="P171" s="3">
        <f>I171-J171-K171-L171-M171-N171-O171</f>
      </c>
      <c r="Q171" s="3">
        <f>(P171-Y171)/G171*100</f>
      </c>
      <c r="R171" s="3">
        <f>J171-N171</f>
      </c>
      <c r="S171" t="s">
        <v>1</v>
      </c>
      <c r="T171" t="s">
        <v>97</v>
      </c>
      <c r="Z171" s="3">
        <f>P171-Y171</f>
      </c>
      <c r="AA171" t="s">
        <v>65</v>
      </c>
      <c r="AB171" t="s">
        <v>87</v>
      </c>
    </row>
    <row r="172" spans="1:28" x14ac:dyDescent="0.25">
      <c r="A172" s="7">
        <v>46207.5</v>
      </c>
      <c r="B172" t="s">
        <v>1029</v>
      </c>
      <c r="C172" t="s">
        <v>1</v>
      </c>
      <c r="D172" s="8" t="s">
        <v>1030</v>
      </c>
      <c r="E172" t="s">
        <v>72</v>
      </c>
      <c r="F172">
        <v>1</v>
      </c>
      <c r="G172" s="3">
        <v>281</v>
      </c>
      <c r="H172" s="3">
        <v>328.77</v>
      </c>
      <c r="I172" s="3">
        <f>H172-G172</f>
      </c>
      <c r="J172" s="3">
        <f>I172*16.67%</f>
      </c>
      <c r="K172" s="3">
        <f>H172/100*11</f>
      </c>
      <c r="L172" s="3">
        <v>8.99</v>
      </c>
      <c r="M172" s="3">
        <v>0</v>
      </c>
      <c r="N172" s="3">
        <f>M172*20%</f>
      </c>
      <c r="O172" s="3">
        <v>1</v>
      </c>
      <c r="P172" s="3">
        <f>I172-J172-K172-L172-M172-N172-O172</f>
      </c>
      <c r="Q172" s="3">
        <f>(P172-Y172)/G172*100</f>
      </c>
      <c r="R172" s="3">
        <f>J172-N172</f>
      </c>
      <c r="S172" t="s">
        <v>1</v>
      </c>
      <c r="T172" t="s">
        <v>97</v>
      </c>
      <c r="Z172" s="3">
        <f>P172-Y172</f>
      </c>
      <c r="AA172" t="s">
        <v>59</v>
      </c>
      <c r="AB172" t="s">
        <v>84</v>
      </c>
    </row>
    <row r="173" spans="1:28" x14ac:dyDescent="0.25">
      <c r="A173" s="7">
        <v>46207.5</v>
      </c>
      <c r="B173" t="s">
        <v>1031</v>
      </c>
      <c r="C173" t="s">
        <v>1</v>
      </c>
      <c r="D173" s="8" t="s">
        <v>1032</v>
      </c>
      <c r="E173" t="s">
        <v>101</v>
      </c>
      <c r="F173">
        <v>1</v>
      </c>
      <c r="G173" s="3">
        <v>617</v>
      </c>
      <c r="H173" s="3">
        <v>789.76</v>
      </c>
      <c r="I173" s="3">
        <f>H173-G173</f>
      </c>
      <c r="J173" s="3">
        <f>I173*16.67%</f>
      </c>
      <c r="K173" s="3">
        <f>H173/100*11</f>
      </c>
      <c r="L173" s="3">
        <v>8.99</v>
      </c>
      <c r="M173" s="3">
        <v>0</v>
      </c>
      <c r="N173" s="3">
        <f>M173*20%</f>
      </c>
      <c r="O173" s="3">
        <v>1</v>
      </c>
      <c r="P173" s="3">
        <f>I173-J173-K173-L173-M173-N173-O173</f>
      </c>
      <c r="Q173" s="3">
        <f>(P173-Y173)/G173*100</f>
      </c>
      <c r="R173" s="3">
        <f>J173-N173</f>
      </c>
      <c r="S173" t="s">
        <v>1</v>
      </c>
      <c r="T173" t="s">
        <v>80</v>
      </c>
      <c r="Z173" s="3">
        <f>P173-Y173</f>
      </c>
      <c r="AA173" t="s">
        <v>59</v>
      </c>
      <c r="AB173" t="s">
        <v>104</v>
      </c>
    </row>
    <row r="174" spans="1:28" x14ac:dyDescent="0.25">
      <c r="A174" s="7">
        <v>46207.5</v>
      </c>
      <c r="B174" t="s">
        <v>1033</v>
      </c>
      <c r="C174" t="s">
        <v>1</v>
      </c>
      <c r="D174" s="8" t="s">
        <v>1034</v>
      </c>
      <c r="E174" t="s">
        <v>77</v>
      </c>
      <c r="F174">
        <v>1</v>
      </c>
      <c r="G174" s="3">
        <v>456</v>
      </c>
      <c r="H174" s="3">
        <v>661.2</v>
      </c>
      <c r="I174" s="3">
        <f>H174-G174</f>
      </c>
      <c r="J174" s="3">
        <f>I174*16.67%</f>
      </c>
      <c r="K174" s="3">
        <f>H174/100*11</f>
      </c>
      <c r="L174" s="3">
        <v>8.99</v>
      </c>
      <c r="M174" s="3">
        <v>0</v>
      </c>
      <c r="N174" s="3">
        <f>M174*20%</f>
      </c>
      <c r="O174" s="3">
        <v>1</v>
      </c>
      <c r="P174" s="3">
        <f>I174-J174-K174-L174-M174-N174-O174</f>
      </c>
      <c r="Q174" s="3">
        <f>(P174-Y174)/G174*100</f>
      </c>
      <c r="R174" s="3">
        <f>J174-N174</f>
      </c>
      <c r="S174" t="s">
        <v>1</v>
      </c>
      <c r="T174" t="s">
        <v>58</v>
      </c>
      <c r="Z174" s="3">
        <f>P174-Y174</f>
      </c>
      <c r="AA174" t="s">
        <v>59</v>
      </c>
      <c r="AB174" t="s">
        <v>69</v>
      </c>
    </row>
    <row r="175" spans="1:28" x14ac:dyDescent="0.25">
      <c r="A175" s="7">
        <v>46206.5</v>
      </c>
      <c r="B175" t="s">
        <v>1035</v>
      </c>
      <c r="C175" t="s">
        <v>1</v>
      </c>
      <c r="D175" s="8" t="s">
        <v>1036</v>
      </c>
      <c r="E175" t="s">
        <v>57</v>
      </c>
      <c r="F175">
        <v>1</v>
      </c>
      <c r="G175" s="3">
        <v>593</v>
      </c>
      <c r="H175" s="3">
        <v>759.04</v>
      </c>
      <c r="I175" s="3">
        <f>H175-G175</f>
      </c>
      <c r="J175" s="3">
        <f>I175*16.67%</f>
      </c>
      <c r="K175" s="3">
        <f>H175/100*11</f>
      </c>
      <c r="L175" s="3">
        <v>8.99</v>
      </c>
      <c r="M175" s="3">
        <v>0</v>
      </c>
      <c r="N175" s="3">
        <f>M175*20%</f>
      </c>
      <c r="O175" s="3">
        <v>1</v>
      </c>
      <c r="P175" s="3">
        <f>I175-J175-K175-L175-M175-N175-O175</f>
      </c>
      <c r="Q175" s="3">
        <f>(P175-Y175)/G175*100</f>
      </c>
      <c r="R175" s="3">
        <f>J175-N175</f>
      </c>
      <c r="S175" t="s">
        <v>1</v>
      </c>
      <c r="T175" t="s">
        <v>80</v>
      </c>
      <c r="Z175" s="3">
        <f>P175-Y175</f>
      </c>
      <c r="AA175" t="s">
        <v>65</v>
      </c>
      <c r="AB175" t="s">
        <v>87</v>
      </c>
    </row>
    <row r="176" spans="1:28" x14ac:dyDescent="0.25">
      <c r="A176" s="7">
        <v>46206.5</v>
      </c>
      <c r="B176" t="s">
        <v>1037</v>
      </c>
      <c r="C176" t="s">
        <v>1</v>
      </c>
      <c r="D176" s="8" t="s">
        <v>1038</v>
      </c>
      <c r="E176" t="s">
        <v>77</v>
      </c>
      <c r="F176">
        <v>1</v>
      </c>
      <c r="G176" s="3">
        <v>254</v>
      </c>
      <c r="H176" s="3">
        <v>294.64</v>
      </c>
      <c r="I176" s="3">
        <f>H176-G176</f>
      </c>
      <c r="J176" s="3">
        <f>I176*16.67%</f>
      </c>
      <c r="K176" s="3">
        <f>H176/100*11</f>
      </c>
      <c r="L176" s="3">
        <v>8.99</v>
      </c>
      <c r="M176" s="3">
        <v>0</v>
      </c>
      <c r="N176" s="3">
        <f>M176*20%</f>
      </c>
      <c r="O176" s="3">
        <v>1</v>
      </c>
      <c r="P176" s="3">
        <f>I176-J176-K176-L176-M176-N176-O176</f>
      </c>
      <c r="Q176" s="3">
        <f>(P176-Y176)/G176*100</f>
      </c>
      <c r="R176" s="3">
        <f>J176-N176</f>
      </c>
      <c r="S176" t="s">
        <v>1</v>
      </c>
      <c r="T176" t="s">
        <v>124</v>
      </c>
      <c r="Z176" s="3">
        <f>P176-Y176</f>
      </c>
      <c r="AA176" t="s">
        <v>125</v>
      </c>
      <c r="AB176" t="s">
        <v>74</v>
      </c>
    </row>
    <row r="177" spans="1:28" x14ac:dyDescent="0.25">
      <c r="A177" s="7">
        <v>46206.5</v>
      </c>
      <c r="B177" t="s">
        <v>1039</v>
      </c>
      <c r="C177" t="s">
        <v>173</v>
      </c>
      <c r="D177" s="8" t="s">
        <v>1</v>
      </c>
      <c r="E177" t="s">
        <v>63</v>
      </c>
      <c r="F177">
        <v>2</v>
      </c>
      <c r="G177" s="3">
        <v>8.5</v>
      </c>
      <c r="H177" s="3">
        <v>10.2</v>
      </c>
      <c r="I177" s="3">
        <f>H177-G177</f>
      </c>
      <c r="J177" s="3">
        <f>I177*16.67%</f>
      </c>
      <c r="K177" s="3">
        <f>H177/100*11</f>
      </c>
      <c r="L177" s="3">
        <v>8.99</v>
      </c>
      <c r="M177" s="3">
        <v>0</v>
      </c>
      <c r="N177" s="3">
        <f>M177*20%</f>
      </c>
      <c r="O177" s="3">
        <v>1</v>
      </c>
      <c r="P177" s="3">
        <f>I177-J177-K177-L177-M177-N177-O177</f>
      </c>
      <c r="Q177" s="3">
        <f>(P177-Y177)/G177*100</f>
      </c>
      <c r="R177" s="3">
        <f>J177-N177</f>
      </c>
      <c r="S177" t="s">
        <v>1</v>
      </c>
      <c r="T177" t="s">
        <v>173</v>
      </c>
      <c r="Z177" s="3">
        <f>P177-Y177</f>
      </c>
      <c r="AA177" t="s">
        <v>1</v>
      </c>
      <c r="AB177" t="s">
        <v>1</v>
      </c>
    </row>
    <row r="178" spans="1:28" x14ac:dyDescent="0.25">
      <c r="A178" s="7">
        <v>46206.5</v>
      </c>
      <c r="B178" t="s">
        <v>1040</v>
      </c>
      <c r="C178" t="s">
        <v>1</v>
      </c>
      <c r="D178" s="8" t="s">
        <v>1</v>
      </c>
      <c r="E178" t="s">
        <v>63</v>
      </c>
      <c r="F178">
        <v>1</v>
      </c>
      <c r="G178" s="3">
        <v>315</v>
      </c>
      <c r="H178" s="3">
        <v>384.3</v>
      </c>
      <c r="I178" s="3">
        <f>H178-G178</f>
      </c>
      <c r="J178" s="3">
        <f>I178*16.67%</f>
      </c>
      <c r="K178" s="3">
        <f>H178/100*11</f>
      </c>
      <c r="L178" s="3">
        <v>8.99</v>
      </c>
      <c r="M178" s="3">
        <v>0</v>
      </c>
      <c r="N178" s="3">
        <f>M178*20%</f>
      </c>
      <c r="O178" s="3">
        <v>1</v>
      </c>
      <c r="P178" s="3">
        <f>I178-J178-K178-L178-M178-N178-O178</f>
      </c>
      <c r="Q178" s="3">
        <f>(P178-Y178)/G178*100</f>
      </c>
      <c r="R178" s="3">
        <f>J178-N178</f>
      </c>
      <c r="S178" t="s">
        <v>1</v>
      </c>
      <c r="T178" t="s">
        <v>1</v>
      </c>
      <c r="Z178" s="3">
        <f>P178-Y178</f>
      </c>
      <c r="AA178" t="s">
        <v>1</v>
      </c>
      <c r="AB178" t="s">
        <v>1</v>
      </c>
    </row>
    <row r="179" spans="1:28" x14ac:dyDescent="0.25">
      <c r="A179" s="7">
        <v>46205.5</v>
      </c>
      <c r="B179" t="s">
        <v>1041</v>
      </c>
      <c r="C179" t="s">
        <v>1</v>
      </c>
      <c r="D179" s="8" t="s">
        <v>1042</v>
      </c>
      <c r="E179" t="s">
        <v>63</v>
      </c>
      <c r="F179">
        <v>1</v>
      </c>
      <c r="G179" s="3">
        <v>276</v>
      </c>
      <c r="H179" s="3">
        <v>369.84</v>
      </c>
      <c r="I179" s="3">
        <f>H179-G179</f>
      </c>
      <c r="J179" s="3">
        <f>I179*16.67%</f>
      </c>
      <c r="K179" s="3">
        <f>H179/100*11</f>
      </c>
      <c r="L179" s="3">
        <v>8.99</v>
      </c>
      <c r="M179" s="3">
        <v>0</v>
      </c>
      <c r="N179" s="3">
        <f>M179*20%</f>
      </c>
      <c r="O179" s="3">
        <v>1</v>
      </c>
      <c r="P179" s="3">
        <f>I179-J179-K179-L179-M179-N179-O179</f>
      </c>
      <c r="Q179" s="3">
        <f>(P179-Y179)/G179*100</f>
      </c>
      <c r="R179" s="3">
        <f>J179-N179</f>
      </c>
      <c r="S179" t="s">
        <v>1</v>
      </c>
      <c r="T179" t="s">
        <v>130</v>
      </c>
      <c r="Z179" s="3">
        <f>P179-Y179</f>
      </c>
      <c r="AA179" t="s">
        <v>59</v>
      </c>
      <c r="AB179" t="s">
        <v>104</v>
      </c>
    </row>
    <row r="180" spans="1:28" x14ac:dyDescent="0.25">
      <c r="A180" s="7">
        <v>46204.5</v>
      </c>
      <c r="B180" t="s">
        <v>1043</v>
      </c>
      <c r="C180" t="s">
        <v>1</v>
      </c>
      <c r="D180" s="8" t="s">
        <v>1044</v>
      </c>
      <c r="E180" t="s">
        <v>57</v>
      </c>
      <c r="F180">
        <v>1</v>
      </c>
      <c r="G180" s="3">
        <v>674</v>
      </c>
      <c r="H180" s="3">
        <v>795.32</v>
      </c>
      <c r="I180" s="3">
        <f>H180-G180</f>
      </c>
      <c r="J180" s="3">
        <f>I180*16.67%</f>
      </c>
      <c r="K180" s="3">
        <f>H180/100*11</f>
      </c>
      <c r="L180" s="3">
        <v>8.99</v>
      </c>
      <c r="M180" s="3">
        <v>0</v>
      </c>
      <c r="N180" s="3">
        <f>M180*20%</f>
      </c>
      <c r="O180" s="3">
        <v>1</v>
      </c>
      <c r="P180" s="3">
        <f>I180-J180-K180-L180-M180-N180-O180</f>
      </c>
      <c r="Q180" s="3">
        <f>(P180-Y180)/G180*100</f>
      </c>
      <c r="R180" s="3">
        <f>J180-N180</f>
      </c>
      <c r="S180" t="s">
        <v>1</v>
      </c>
      <c r="T180" t="s">
        <v>83</v>
      </c>
      <c r="Z180" s="3">
        <f>P180-Y180</f>
      </c>
      <c r="AA180" t="s">
        <v>59</v>
      </c>
      <c r="AB180" t="s">
        <v>69</v>
      </c>
    </row>
    <row r="181" spans="1:28" x14ac:dyDescent="0.25">
      <c r="A181" s="7">
        <v>46203.5</v>
      </c>
      <c r="B181" t="s">
        <v>1045</v>
      </c>
      <c r="C181" t="s">
        <v>1</v>
      </c>
      <c r="D181" s="8" t="s">
        <v>1046</v>
      </c>
      <c r="E181" t="s">
        <v>72</v>
      </c>
      <c r="F181">
        <v>1</v>
      </c>
      <c r="G181" s="3">
        <v>322</v>
      </c>
      <c r="H181" s="3">
        <v>441.14</v>
      </c>
      <c r="I181" s="3">
        <f>H181-G181</f>
      </c>
      <c r="J181" s="3">
        <f>I181*16.67%</f>
      </c>
      <c r="K181" s="3">
        <f>H181/100*11</f>
      </c>
      <c r="L181" s="3">
        <v>8.99</v>
      </c>
      <c r="M181" s="3">
        <v>0</v>
      </c>
      <c r="N181" s="3">
        <f>M181*20%</f>
      </c>
      <c r="O181" s="3">
        <v>1</v>
      </c>
      <c r="P181" s="3">
        <f>I181-J181-K181-L181-M181-N181-O181</f>
      </c>
      <c r="Q181" s="3">
        <f>(P181-Y181)/G181*100</f>
      </c>
      <c r="R181" s="3">
        <f>J181-N181</f>
      </c>
      <c r="S181" t="s">
        <v>1</v>
      </c>
      <c r="T181" t="s">
        <v>138</v>
      </c>
      <c r="Z181" s="3">
        <f>P181-Y181</f>
      </c>
      <c r="AA181" t="s">
        <v>59</v>
      </c>
      <c r="AB181" t="s">
        <v>74</v>
      </c>
    </row>
    <row r="182" spans="1:28" x14ac:dyDescent="0.25">
      <c r="A182" s="7">
        <v>46203.5</v>
      </c>
      <c r="B182" t="s">
        <v>1047</v>
      </c>
      <c r="C182" t="s">
        <v>1</v>
      </c>
      <c r="D182" s="8" t="s">
        <v>1048</v>
      </c>
      <c r="E182" t="s">
        <v>72</v>
      </c>
      <c r="F182">
        <v>1</v>
      </c>
      <c r="G182" s="3">
        <v>334</v>
      </c>
      <c r="H182" s="3">
        <v>434.2</v>
      </c>
      <c r="I182" s="3">
        <f>H182-G182</f>
      </c>
      <c r="J182" s="3">
        <f>I182*16.67%</f>
      </c>
      <c r="K182" s="3">
        <f>H182/100*11</f>
      </c>
      <c r="L182" s="3">
        <v>8.99</v>
      </c>
      <c r="M182" s="3">
        <v>0</v>
      </c>
      <c r="N182" s="3">
        <f>M182*20%</f>
      </c>
      <c r="O182" s="3">
        <v>1</v>
      </c>
      <c r="P182" s="3">
        <f>I182-J182-K182-L182-M182-N182-O182</f>
      </c>
      <c r="Q182" s="3">
        <f>(P182-Y182)/G182*100</f>
      </c>
      <c r="R182" s="3">
        <f>J182-N182</f>
      </c>
      <c r="S182" t="s">
        <v>1</v>
      </c>
      <c r="T182" t="s">
        <v>138</v>
      </c>
      <c r="Z182" s="3">
        <f>P182-Y182</f>
      </c>
      <c r="AA182" t="s">
        <v>59</v>
      </c>
      <c r="AB182" t="s">
        <v>74</v>
      </c>
    </row>
    <row r="183" spans="1:28" x14ac:dyDescent="0.25">
      <c r="A183" s="7">
        <v>46203.5</v>
      </c>
      <c r="B183" t="s">
        <v>1049</v>
      </c>
      <c r="C183" t="s">
        <v>1</v>
      </c>
      <c r="D183" s="8" t="s">
        <v>1050</v>
      </c>
      <c r="E183" t="s">
        <v>101</v>
      </c>
      <c r="F183">
        <v>1</v>
      </c>
      <c r="G183" s="3">
        <v>109</v>
      </c>
      <c r="H183" s="3">
        <v>129.71</v>
      </c>
      <c r="I183" s="3">
        <f>H183-G183</f>
      </c>
      <c r="J183" s="3">
        <f>I183*16.67%</f>
      </c>
      <c r="K183" s="3">
        <f>H183/100*11</f>
      </c>
      <c r="L183" s="3">
        <v>8.99</v>
      </c>
      <c r="M183" s="3">
        <v>0</v>
      </c>
      <c r="N183" s="3">
        <f>M183*20%</f>
      </c>
      <c r="O183" s="3">
        <v>1</v>
      </c>
      <c r="P183" s="3">
        <f>I183-J183-K183-L183-M183-N183-O183</f>
      </c>
      <c r="Q183" s="3">
        <f>(P183-Y183)/G183*100</f>
      </c>
      <c r="R183" s="3">
        <f>J183-N183</f>
      </c>
      <c r="S183" t="s">
        <v>1</v>
      </c>
      <c r="T183" t="s">
        <v>133</v>
      </c>
      <c r="Z183" s="3">
        <f>P183-Y183</f>
      </c>
      <c r="AA183" t="s">
        <v>65</v>
      </c>
      <c r="AB183" t="s">
        <v>60</v>
      </c>
    </row>
    <row r="184" spans="1:28" x14ac:dyDescent="0.25">
      <c r="A184" s="7">
        <v>46203.5</v>
      </c>
      <c r="B184" t="s">
        <v>1051</v>
      </c>
      <c r="C184" t="s">
        <v>1</v>
      </c>
      <c r="D184" s="8" t="s">
        <v>1052</v>
      </c>
      <c r="E184" t="s">
        <v>63</v>
      </c>
      <c r="F184">
        <v>1</v>
      </c>
      <c r="G184" s="3">
        <v>516</v>
      </c>
      <c r="H184" s="3">
        <v>639.84</v>
      </c>
      <c r="I184" s="3">
        <f>H184-G184</f>
      </c>
      <c r="J184" s="3">
        <f>I184*16.67%</f>
      </c>
      <c r="K184" s="3">
        <f>H184/100*11</f>
      </c>
      <c r="L184" s="3">
        <v>8.99</v>
      </c>
      <c r="M184" s="3">
        <v>0</v>
      </c>
      <c r="N184" s="3">
        <f>M184*20%</f>
      </c>
      <c r="O184" s="3">
        <v>1</v>
      </c>
      <c r="P184" s="3">
        <f>I184-J184-K184-L184-M184-N184-O184</f>
      </c>
      <c r="Q184" s="3">
        <f>(P184-Y184)/G184*100</f>
      </c>
      <c r="R184" s="3">
        <f>J184-N184</f>
      </c>
      <c r="S184" t="s">
        <v>1</v>
      </c>
      <c r="T184" t="s">
        <v>68</v>
      </c>
      <c r="Z184" s="3">
        <f>P184-Y184</f>
      </c>
      <c r="AA184" t="s">
        <v>59</v>
      </c>
      <c r="AB184" t="s">
        <v>60</v>
      </c>
    </row>
    <row r="185" spans="1:28" x14ac:dyDescent="0.25">
      <c r="A185" s="7">
        <v>46203.5</v>
      </c>
      <c r="B185" t="s">
        <v>1053</v>
      </c>
      <c r="C185" t="s">
        <v>176</v>
      </c>
      <c r="D185" s="8" t="s">
        <v>1</v>
      </c>
      <c r="E185" t="s">
        <v>77</v>
      </c>
      <c r="F185">
        <v>4</v>
      </c>
      <c r="G185" s="3">
        <v>0.6</v>
      </c>
      <c r="H185" s="3">
        <v>0.82</v>
      </c>
      <c r="I185" s="3">
        <f>H185-G185</f>
      </c>
      <c r="J185" s="3">
        <f>I185*16.67%</f>
      </c>
      <c r="K185" s="3">
        <f>H185/100*11</f>
      </c>
      <c r="L185" s="3">
        <v>8.99</v>
      </c>
      <c r="M185" s="3">
        <v>0</v>
      </c>
      <c r="N185" s="3">
        <f>M185*20%</f>
      </c>
      <c r="O185" s="3">
        <v>1</v>
      </c>
      <c r="P185" s="3">
        <f>I185-J185-K185-L185-M185-N185-O185</f>
      </c>
      <c r="Q185" s="3">
        <f>(P185-Y185)/G185*100</f>
      </c>
      <c r="R185" s="3">
        <f>J185-N185</f>
      </c>
      <c r="S185" t="s">
        <v>1</v>
      </c>
      <c r="T185" t="s">
        <v>176</v>
      </c>
      <c r="Z185" s="3">
        <f>P185-Y185</f>
      </c>
      <c r="AA185" t="s">
        <v>1</v>
      </c>
      <c r="AB185" t="s">
        <v>1</v>
      </c>
    </row>
    <row r="186" spans="1:28" x14ac:dyDescent="0.25">
      <c r="A186" s="7">
        <v>46203.5</v>
      </c>
      <c r="B186" t="s">
        <v>1054</v>
      </c>
      <c r="C186" t="s">
        <v>181</v>
      </c>
      <c r="D186" s="8" t="s">
        <v>1</v>
      </c>
      <c r="E186" t="s">
        <v>72</v>
      </c>
      <c r="F186">
        <v>1</v>
      </c>
      <c r="G186" s="3">
        <v>1.9</v>
      </c>
      <c r="H186" s="3">
        <v>2.36</v>
      </c>
      <c r="I186" s="3">
        <f>H186-G186</f>
      </c>
      <c r="J186" s="3">
        <f>I186*16.67%</f>
      </c>
      <c r="K186" s="3">
        <f>H186/100*11</f>
      </c>
      <c r="L186" s="3">
        <v>8.99</v>
      </c>
      <c r="M186" s="3">
        <v>0</v>
      </c>
      <c r="N186" s="3">
        <f>M186*20%</f>
      </c>
      <c r="O186" s="3">
        <v>1</v>
      </c>
      <c r="P186" s="3">
        <f>I186-J186-K186-L186-M186-N186-O186</f>
      </c>
      <c r="Q186" s="3">
        <f>(P186-Y186)/G186*100</f>
      </c>
      <c r="R186" s="3">
        <f>J186-N186</f>
      </c>
      <c r="S186" t="s">
        <v>1</v>
      </c>
      <c r="T186" t="s">
        <v>181</v>
      </c>
      <c r="Z186" s="3">
        <f>P186-Y186</f>
      </c>
      <c r="AA186" t="s">
        <v>1</v>
      </c>
      <c r="AB186" t="s">
        <v>1</v>
      </c>
    </row>
    <row r="187" spans="1:28" x14ac:dyDescent="0.25">
      <c r="A187" s="7">
        <v>46202.5</v>
      </c>
      <c r="B187" t="s">
        <v>1055</v>
      </c>
      <c r="C187" t="s">
        <v>1</v>
      </c>
      <c r="D187" s="8" t="s">
        <v>1056</v>
      </c>
      <c r="E187" t="s">
        <v>72</v>
      </c>
      <c r="F187">
        <v>1</v>
      </c>
      <c r="G187" s="3">
        <v>165</v>
      </c>
      <c r="H187" s="3">
        <v>221.1</v>
      </c>
      <c r="I187" s="3">
        <f>H187-G187</f>
      </c>
      <c r="J187" s="3">
        <f>I187*16.67%</f>
      </c>
      <c r="K187" s="3">
        <f>H187/100*11</f>
      </c>
      <c r="L187" s="3">
        <v>8.99</v>
      </c>
      <c r="M187" s="3">
        <v>0</v>
      </c>
      <c r="N187" s="3">
        <f>M187*20%</f>
      </c>
      <c r="O187" s="3">
        <v>1</v>
      </c>
      <c r="P187" s="3">
        <f>I187-J187-K187-L187-M187-N187-O187</f>
      </c>
      <c r="Q187" s="3">
        <f>(P187-Y187)/G187*100</f>
      </c>
      <c r="R187" s="3">
        <f>J187-N187</f>
      </c>
      <c r="S187" t="s">
        <v>1</v>
      </c>
      <c r="T187" t="s">
        <v>233</v>
      </c>
      <c r="Z187" s="3">
        <f>P187-Y187</f>
      </c>
      <c r="AA187" t="s">
        <v>65</v>
      </c>
      <c r="AB187" t="s">
        <v>60</v>
      </c>
    </row>
    <row r="188" spans="1:28" x14ac:dyDescent="0.25">
      <c r="A188" s="7">
        <v>46202.5</v>
      </c>
      <c r="B188" t="s">
        <v>1057</v>
      </c>
      <c r="C188" t="s">
        <v>1</v>
      </c>
      <c r="D188" s="8" t="s">
        <v>1058</v>
      </c>
      <c r="E188" t="s">
        <v>72</v>
      </c>
      <c r="F188">
        <v>1</v>
      </c>
      <c r="G188" s="3">
        <v>338</v>
      </c>
      <c r="H188" s="3">
        <v>392.08</v>
      </c>
      <c r="I188" s="3">
        <f>H188-G188</f>
      </c>
      <c r="J188" s="3">
        <f>I188*16.67%</f>
      </c>
      <c r="K188" s="3">
        <f>H188/100*11</f>
      </c>
      <c r="L188" s="3">
        <v>8.99</v>
      </c>
      <c r="M188" s="3">
        <v>0</v>
      </c>
      <c r="N188" s="3">
        <f>M188*20%</f>
      </c>
      <c r="O188" s="3">
        <v>1</v>
      </c>
      <c r="P188" s="3">
        <f>I188-J188-K188-L188-M188-N188-O188</f>
      </c>
      <c r="Q188" s="3">
        <f>(P188-Y188)/G188*100</f>
      </c>
      <c r="R188" s="3">
        <f>J188-N188</f>
      </c>
      <c r="S188" t="s">
        <v>1</v>
      </c>
      <c r="T188" t="s">
        <v>130</v>
      </c>
      <c r="Z188" s="3">
        <f>P188-Y188</f>
      </c>
      <c r="AA188" t="s">
        <v>65</v>
      </c>
      <c r="AB188" t="s">
        <v>87</v>
      </c>
    </row>
    <row r="189" spans="1:28" x14ac:dyDescent="0.25">
      <c r="A189" s="7">
        <v>46202.5</v>
      </c>
      <c r="B189" t="s">
        <v>1059</v>
      </c>
      <c r="C189" t="s">
        <v>184</v>
      </c>
      <c r="D189" s="8" t="s">
        <v>1</v>
      </c>
      <c r="E189" t="s">
        <v>101</v>
      </c>
      <c r="F189">
        <v>4</v>
      </c>
      <c r="G189" s="3">
        <v>4.8</v>
      </c>
      <c r="H189" s="3">
        <v>6.86</v>
      </c>
      <c r="I189" s="3">
        <f>H189-G189</f>
      </c>
      <c r="J189" s="3">
        <f>I189*16.67%</f>
      </c>
      <c r="K189" s="3">
        <f>H189/100*11</f>
      </c>
      <c r="L189" s="3">
        <v>8.99</v>
      </c>
      <c r="M189" s="3">
        <v>0</v>
      </c>
      <c r="N189" s="3">
        <f>M189*20%</f>
      </c>
      <c r="O189" s="3">
        <v>1</v>
      </c>
      <c r="P189" s="3">
        <f>I189-J189-K189-L189-M189-N189-O189</f>
      </c>
      <c r="Q189" s="3">
        <f>(P189-Y189)/G189*100</f>
      </c>
      <c r="R189" s="3">
        <f>J189-N189</f>
      </c>
      <c r="S189" t="s">
        <v>1</v>
      </c>
      <c r="T189" t="s">
        <v>184</v>
      </c>
      <c r="Z189" s="3">
        <f>P189-Y189</f>
      </c>
      <c r="AA189" t="s">
        <v>1</v>
      </c>
      <c r="AB189" t="s">
        <v>1</v>
      </c>
    </row>
    <row r="190" spans="1:28" x14ac:dyDescent="0.25">
      <c r="A190" s="7">
        <v>46201.5</v>
      </c>
      <c r="B190" t="s">
        <v>1060</v>
      </c>
      <c r="C190" t="s">
        <v>1</v>
      </c>
      <c r="D190" s="8" t="s">
        <v>1061</v>
      </c>
      <c r="E190" t="s">
        <v>57</v>
      </c>
      <c r="F190">
        <v>1</v>
      </c>
      <c r="G190" s="3">
        <v>377</v>
      </c>
      <c r="H190" s="3">
        <v>501.41</v>
      </c>
      <c r="I190" s="3">
        <f>H190-G190</f>
      </c>
      <c r="J190" s="3">
        <f>I190*16.67%</f>
      </c>
      <c r="K190" s="3">
        <f>H190/100*11</f>
      </c>
      <c r="L190" s="3">
        <v>8.99</v>
      </c>
      <c r="M190" s="3">
        <v>0</v>
      </c>
      <c r="N190" s="3">
        <f>M190*20%</f>
      </c>
      <c r="O190" s="3">
        <v>1</v>
      </c>
      <c r="P190" s="3">
        <f>I190-J190-K190-L190-M190-N190-O190</f>
      </c>
      <c r="Q190" s="3">
        <f>(P190-Y190)/G190*100</f>
      </c>
      <c r="R190" s="3">
        <f>J190-N190</f>
      </c>
      <c r="S190" t="s">
        <v>1</v>
      </c>
      <c r="T190" t="s">
        <v>138</v>
      </c>
      <c r="Z190" s="3">
        <f>P190-Y190</f>
      </c>
      <c r="AA190" t="s">
        <v>65</v>
      </c>
      <c r="AB190" t="s">
        <v>104</v>
      </c>
    </row>
    <row r="191" spans="1:28" x14ac:dyDescent="0.25">
      <c r="A191" s="7">
        <v>46201.5</v>
      </c>
      <c r="B191" t="s">
        <v>1062</v>
      </c>
      <c r="C191" t="s">
        <v>1</v>
      </c>
      <c r="D191" s="8" t="s">
        <v>1063</v>
      </c>
      <c r="E191" t="s">
        <v>101</v>
      </c>
      <c r="F191">
        <v>1</v>
      </c>
      <c r="G191" s="3">
        <v>210</v>
      </c>
      <c r="H191" s="3">
        <v>283.5</v>
      </c>
      <c r="I191" s="3">
        <f>H191-G191</f>
      </c>
      <c r="J191" s="3">
        <f>I191*16.67%</f>
      </c>
      <c r="K191" s="3">
        <f>H191/100*11</f>
      </c>
      <c r="L191" s="3">
        <v>8.99</v>
      </c>
      <c r="M191" s="3">
        <v>0</v>
      </c>
      <c r="N191" s="3">
        <f>M191*20%</f>
      </c>
      <c r="O191" s="3">
        <v>1</v>
      </c>
      <c r="P191" s="3">
        <f>I191-J191-K191-L191-M191-N191-O191</f>
      </c>
      <c r="Q191" s="3">
        <f>(P191-Y191)/G191*100</f>
      </c>
      <c r="R191" s="3">
        <f>J191-N191</f>
      </c>
      <c r="S191" t="s">
        <v>1</v>
      </c>
      <c r="T191" t="s">
        <v>291</v>
      </c>
      <c r="Z191" s="3">
        <f>P191-Y191</f>
      </c>
      <c r="AA191" t="s">
        <v>125</v>
      </c>
      <c r="AB191" t="s">
        <v>87</v>
      </c>
    </row>
    <row r="192" spans="1:28" x14ac:dyDescent="0.25">
      <c r="A192" s="7">
        <v>46201.5</v>
      </c>
      <c r="B192" t="s">
        <v>1064</v>
      </c>
      <c r="C192" t="s">
        <v>1</v>
      </c>
      <c r="D192" s="8" t="s">
        <v>1065</v>
      </c>
      <c r="E192" t="s">
        <v>72</v>
      </c>
      <c r="F192">
        <v>1</v>
      </c>
      <c r="G192" s="3">
        <v>124</v>
      </c>
      <c r="H192" s="3">
        <v>163.68</v>
      </c>
      <c r="I192" s="3">
        <f>H192-G192</f>
      </c>
      <c r="J192" s="3">
        <f>I192*16.67%</f>
      </c>
      <c r="K192" s="3">
        <f>H192/100*11</f>
      </c>
      <c r="L192" s="3">
        <v>8.99</v>
      </c>
      <c r="M192" s="3">
        <v>0</v>
      </c>
      <c r="N192" s="3">
        <f>M192*20%</f>
      </c>
      <c r="O192" s="3">
        <v>1</v>
      </c>
      <c r="P192" s="3">
        <f>I192-J192-K192-L192-M192-N192-O192</f>
      </c>
      <c r="Q192" s="3">
        <f>(P192-Y192)/G192*100</f>
      </c>
      <c r="R192" s="3">
        <f>J192-N192</f>
      </c>
      <c r="S192" t="s">
        <v>1</v>
      </c>
      <c r="T192" t="s">
        <v>90</v>
      </c>
      <c r="Z192" s="3">
        <f>P192-Y192</f>
      </c>
      <c r="AA192" t="s">
        <v>65</v>
      </c>
      <c r="AB192" t="s">
        <v>98</v>
      </c>
    </row>
    <row r="193" spans="1:28" x14ac:dyDescent="0.25">
      <c r="A193" s="7">
        <v>46201.5</v>
      </c>
      <c r="B193" t="s">
        <v>1066</v>
      </c>
      <c r="C193" t="s">
        <v>253</v>
      </c>
      <c r="D193" s="8" t="s">
        <v>1</v>
      </c>
      <c r="E193" t="s">
        <v>57</v>
      </c>
      <c r="F193">
        <v>4</v>
      </c>
      <c r="G193" s="3">
        <v>3.2</v>
      </c>
      <c r="H193" s="3">
        <v>4</v>
      </c>
      <c r="I193" s="3">
        <f>H193-G193</f>
      </c>
      <c r="J193" s="3">
        <f>I193*16.67%</f>
      </c>
      <c r="K193" s="3">
        <f>H193/100*11</f>
      </c>
      <c r="L193" s="3">
        <v>8.99</v>
      </c>
      <c r="M193" s="3">
        <v>0</v>
      </c>
      <c r="N193" s="3">
        <f>M193*20%</f>
      </c>
      <c r="O193" s="3">
        <v>1</v>
      </c>
      <c r="P193" s="3">
        <f>I193-J193-K193-L193-M193-N193-O193</f>
      </c>
      <c r="Q193" s="3">
        <f>(P193-Y193)/G193*100</f>
      </c>
      <c r="R193" s="3">
        <f>J193-N193</f>
      </c>
      <c r="S193" t="s">
        <v>1</v>
      </c>
      <c r="T193" t="s">
        <v>253</v>
      </c>
      <c r="Z193" s="3">
        <f>P193-Y193</f>
      </c>
      <c r="AA193" t="s">
        <v>1</v>
      </c>
      <c r="AB193" t="s">
        <v>1</v>
      </c>
    </row>
    <row r="194" spans="1:28" x14ac:dyDescent="0.25">
      <c r="A194" s="7">
        <v>46201.5</v>
      </c>
      <c r="B194" t="s">
        <v>1067</v>
      </c>
      <c r="C194" t="s">
        <v>1</v>
      </c>
      <c r="D194" s="8" t="s">
        <v>1</v>
      </c>
      <c r="E194" t="s">
        <v>72</v>
      </c>
      <c r="F194">
        <v>1</v>
      </c>
      <c r="G194" s="3">
        <v>180</v>
      </c>
      <c r="H194" s="3">
        <v>244.8</v>
      </c>
      <c r="I194" s="3">
        <f>H194-G194</f>
      </c>
      <c r="J194" s="3">
        <f>I194*16.67%</f>
      </c>
      <c r="K194" s="3">
        <f>H194/100*11</f>
      </c>
      <c r="L194" s="3">
        <v>8.99</v>
      </c>
      <c r="M194" s="3">
        <v>0</v>
      </c>
      <c r="N194" s="3">
        <f>M194*20%</f>
      </c>
      <c r="O194" s="3">
        <v>1</v>
      </c>
      <c r="P194" s="3">
        <f>I194-J194-K194-L194-M194-N194-O194</f>
      </c>
      <c r="Q194" s="3">
        <f>(P194-Y194)/G194*100</f>
      </c>
      <c r="R194" s="3">
        <f>J194-N194</f>
      </c>
      <c r="S194" t="s">
        <v>1</v>
      </c>
      <c r="T194" t="s">
        <v>1</v>
      </c>
      <c r="Z194" s="3">
        <f>P194-Y194</f>
      </c>
      <c r="AA194" t="s">
        <v>1</v>
      </c>
      <c r="AB194" t="s">
        <v>1</v>
      </c>
    </row>
    <row r="195" spans="1:28" x14ac:dyDescent="0.25">
      <c r="A195" s="7">
        <v>46200.5</v>
      </c>
      <c r="B195" t="s">
        <v>1068</v>
      </c>
      <c r="C195" t="s">
        <v>1</v>
      </c>
      <c r="D195" s="8" t="s">
        <v>1069</v>
      </c>
      <c r="E195" t="s">
        <v>72</v>
      </c>
      <c r="F195">
        <v>1</v>
      </c>
      <c r="G195" s="3">
        <v>255</v>
      </c>
      <c r="H195" s="3">
        <v>313.65</v>
      </c>
      <c r="I195" s="3">
        <f>H195-G195</f>
      </c>
      <c r="J195" s="3">
        <f>I195*16.67%</f>
      </c>
      <c r="K195" s="3">
        <f>H195/100*11</f>
      </c>
      <c r="L195" s="3">
        <v>8.99</v>
      </c>
      <c r="M195" s="3">
        <v>0</v>
      </c>
      <c r="N195" s="3">
        <f>M195*20%</f>
      </c>
      <c r="O195" s="3">
        <v>1</v>
      </c>
      <c r="P195" s="3">
        <f>I195-J195-K195-L195-M195-N195-O195</f>
      </c>
      <c r="Q195" s="3">
        <f>(P195-Y195)/G195*100</f>
      </c>
      <c r="R195" s="3">
        <f>J195-N195</f>
      </c>
      <c r="S195" t="s">
        <v>1</v>
      </c>
      <c r="T195" t="s">
        <v>64</v>
      </c>
      <c r="Z195" s="3">
        <f>P195-Y195</f>
      </c>
      <c r="AA195" t="s">
        <v>65</v>
      </c>
      <c r="AB195" t="s">
        <v>60</v>
      </c>
    </row>
    <row r="196" spans="1:28" x14ac:dyDescent="0.25">
      <c r="A196" s="7">
        <v>46200.5</v>
      </c>
      <c r="B196" t="s">
        <v>1070</v>
      </c>
      <c r="C196" t="s">
        <v>1</v>
      </c>
      <c r="D196" s="8" t="s">
        <v>1071</v>
      </c>
      <c r="E196" t="s">
        <v>101</v>
      </c>
      <c r="F196">
        <v>1</v>
      </c>
      <c r="G196" s="3">
        <v>321</v>
      </c>
      <c r="H196" s="3">
        <v>439.77</v>
      </c>
      <c r="I196" s="3">
        <f>H196-G196</f>
      </c>
      <c r="J196" s="3">
        <f>I196*16.67%</f>
      </c>
      <c r="K196" s="3">
        <f>H196/100*11</f>
      </c>
      <c r="L196" s="3">
        <v>8.99</v>
      </c>
      <c r="M196" s="3">
        <v>0</v>
      </c>
      <c r="N196" s="3">
        <f>M196*20%</f>
      </c>
      <c r="O196" s="3">
        <v>1</v>
      </c>
      <c r="P196" s="3">
        <f>I196-J196-K196-L196-M196-N196-O196</f>
      </c>
      <c r="Q196" s="3">
        <f>(P196-Y196)/G196*100</f>
      </c>
      <c r="R196" s="3">
        <f>J196-N196</f>
      </c>
      <c r="S196" t="s">
        <v>1</v>
      </c>
      <c r="T196" t="s">
        <v>97</v>
      </c>
      <c r="Z196" s="3">
        <f>P196-Y196</f>
      </c>
      <c r="AA196" t="s">
        <v>65</v>
      </c>
      <c r="AB196" t="s">
        <v>98</v>
      </c>
    </row>
    <row r="197" spans="1:28" x14ac:dyDescent="0.25">
      <c r="A197" s="7">
        <v>46200.5</v>
      </c>
      <c r="B197" t="s">
        <v>1072</v>
      </c>
      <c r="C197" t="s">
        <v>1</v>
      </c>
      <c r="D197" s="8" t="s">
        <v>1073</v>
      </c>
      <c r="E197" t="s">
        <v>101</v>
      </c>
      <c r="F197">
        <v>1</v>
      </c>
      <c r="G197" s="3">
        <v>163</v>
      </c>
      <c r="H197" s="3">
        <v>233.09</v>
      </c>
      <c r="I197" s="3">
        <f>H197-G197</f>
      </c>
      <c r="J197" s="3">
        <f>I197*16.67%</f>
      </c>
      <c r="K197" s="3">
        <f>H197/100*11</f>
      </c>
      <c r="L197" s="3">
        <v>8.99</v>
      </c>
      <c r="M197" s="3">
        <v>0</v>
      </c>
      <c r="N197" s="3">
        <f>M197*20%</f>
      </c>
      <c r="O197" s="3">
        <v>1</v>
      </c>
      <c r="P197" s="3">
        <f>I197-J197-K197-L197-M197-N197-O197</f>
      </c>
      <c r="Q197" s="3">
        <f>(P197-Y197)/G197*100</f>
      </c>
      <c r="R197" s="3">
        <f>J197-N197</f>
      </c>
      <c r="S197" t="s">
        <v>1</v>
      </c>
      <c r="T197" t="s">
        <v>233</v>
      </c>
      <c r="Z197" s="3">
        <f>P197-Y197</f>
      </c>
      <c r="AA197" t="s">
        <v>65</v>
      </c>
      <c r="AB197" t="s">
        <v>84</v>
      </c>
    </row>
    <row r="198" spans="1:28" x14ac:dyDescent="0.25">
      <c r="A198" s="7">
        <v>46200.5</v>
      </c>
      <c r="B198" t="s">
        <v>1074</v>
      </c>
      <c r="C198" t="s">
        <v>1</v>
      </c>
      <c r="D198" s="8" t="s">
        <v>1075</v>
      </c>
      <c r="E198" t="s">
        <v>72</v>
      </c>
      <c r="F198">
        <v>1</v>
      </c>
      <c r="G198" s="3">
        <v>122</v>
      </c>
      <c r="H198" s="3">
        <v>146.4</v>
      </c>
      <c r="I198" s="3">
        <f>H198-G198</f>
      </c>
      <c r="J198" s="3">
        <f>I198*16.67%</f>
      </c>
      <c r="K198" s="3">
        <f>H198/100*11</f>
      </c>
      <c r="L198" s="3">
        <v>8.99</v>
      </c>
      <c r="M198" s="3">
        <v>0</v>
      </c>
      <c r="N198" s="3">
        <f>M198*20%</f>
      </c>
      <c r="O198" s="3">
        <v>1</v>
      </c>
      <c r="P198" s="3">
        <f>I198-J198-K198-L198-M198-N198-O198</f>
      </c>
      <c r="Q198" s="3">
        <f>(P198-Y198)/G198*100</f>
      </c>
      <c r="R198" s="3">
        <f>J198-N198</f>
      </c>
      <c r="S198" t="s">
        <v>1</v>
      </c>
      <c r="T198" t="s">
        <v>133</v>
      </c>
      <c r="Z198" s="3">
        <f>P198-Y198</f>
      </c>
      <c r="AA198" t="s">
        <v>65</v>
      </c>
      <c r="AB198" t="s">
        <v>98</v>
      </c>
    </row>
    <row r="199" spans="1:28" x14ac:dyDescent="0.25">
      <c r="A199" s="7">
        <v>46199.5</v>
      </c>
      <c r="B199" t="s">
        <v>1076</v>
      </c>
      <c r="C199" t="s">
        <v>1</v>
      </c>
      <c r="D199" s="8" t="s">
        <v>1077</v>
      </c>
      <c r="E199" t="s">
        <v>72</v>
      </c>
      <c r="F199">
        <v>1</v>
      </c>
      <c r="G199" s="3">
        <v>100</v>
      </c>
      <c r="H199" s="3">
        <v>125</v>
      </c>
      <c r="I199" s="3">
        <f>H199-G199</f>
      </c>
      <c r="J199" s="3">
        <f>I199*16.67%</f>
      </c>
      <c r="K199" s="3">
        <f>H199/100*11</f>
      </c>
      <c r="L199" s="3">
        <v>8.99</v>
      </c>
      <c r="M199" s="3">
        <v>0</v>
      </c>
      <c r="N199" s="3">
        <f>M199*20%</f>
      </c>
      <c r="O199" s="3">
        <v>1</v>
      </c>
      <c r="P199" s="3">
        <f>I199-J199-K199-L199-M199-N199-O199</f>
      </c>
      <c r="Q199" s="3">
        <f>(P199-Y199)/G199*100</f>
      </c>
      <c r="R199" s="3">
        <f>J199-N199</f>
      </c>
      <c r="S199" t="s">
        <v>1</v>
      </c>
      <c r="T199" t="s">
        <v>133</v>
      </c>
      <c r="Z199" s="3">
        <f>P199-Y199</f>
      </c>
      <c r="AA199" t="s">
        <v>94</v>
      </c>
      <c r="AB199" t="s">
        <v>104</v>
      </c>
    </row>
    <row r="200" spans="1:28" x14ac:dyDescent="0.25">
      <c r="A200" s="7">
        <v>46199.5</v>
      </c>
      <c r="B200" t="s">
        <v>1078</v>
      </c>
      <c r="C200" t="s">
        <v>1</v>
      </c>
      <c r="D200" s="8" t="s">
        <v>1079</v>
      </c>
      <c r="E200" t="s">
        <v>101</v>
      </c>
      <c r="F200">
        <v>1</v>
      </c>
      <c r="G200" s="3">
        <v>140</v>
      </c>
      <c r="H200" s="3">
        <v>162.4</v>
      </c>
      <c r="I200" s="3">
        <f>H200-G200</f>
      </c>
      <c r="J200" s="3">
        <f>I200*16.67%</f>
      </c>
      <c r="K200" s="3">
        <f>H200/100*11</f>
      </c>
      <c r="L200" s="3">
        <v>8.99</v>
      </c>
      <c r="M200" s="3">
        <v>0</v>
      </c>
      <c r="N200" s="3">
        <f>M200*20%</f>
      </c>
      <c r="O200" s="3">
        <v>1</v>
      </c>
      <c r="P200" s="3">
        <f>I200-J200-K200-L200-M200-N200-O200</f>
      </c>
      <c r="Q200" s="3">
        <f>(P200-Y200)/G200*100</f>
      </c>
      <c r="R200" s="3">
        <f>J200-N200</f>
      </c>
      <c r="S200" t="s">
        <v>1</v>
      </c>
      <c r="T200" t="s">
        <v>171</v>
      </c>
      <c r="Z200" s="3">
        <f>P200-Y200</f>
      </c>
      <c r="AA200" t="s">
        <v>65</v>
      </c>
      <c r="AB200" t="s">
        <v>98</v>
      </c>
    </row>
    <row r="201" spans="1:28" x14ac:dyDescent="0.25">
      <c r="A201" s="7">
        <v>46199.5</v>
      </c>
      <c r="B201" t="s">
        <v>1080</v>
      </c>
      <c r="C201" t="s">
        <v>1</v>
      </c>
      <c r="D201" s="8" t="s">
        <v>1081</v>
      </c>
      <c r="E201" t="s">
        <v>57</v>
      </c>
      <c r="F201">
        <v>1</v>
      </c>
      <c r="G201" s="3">
        <v>348</v>
      </c>
      <c r="H201" s="3">
        <v>428.04</v>
      </c>
      <c r="I201" s="3">
        <f>H201-G201</f>
      </c>
      <c r="J201" s="3">
        <f>I201*16.67%</f>
      </c>
      <c r="K201" s="3">
        <f>H201/100*11</f>
      </c>
      <c r="L201" s="3">
        <v>8.99</v>
      </c>
      <c r="M201" s="3">
        <v>0</v>
      </c>
      <c r="N201" s="3">
        <f>M201*20%</f>
      </c>
      <c r="O201" s="3">
        <v>1</v>
      </c>
      <c r="P201" s="3">
        <f>I201-J201-K201-L201-M201-N201-O201</f>
      </c>
      <c r="Q201" s="3">
        <f>(P201-Y201)/G201*100</f>
      </c>
      <c r="R201" s="3">
        <f>J201-N201</f>
      </c>
      <c r="S201" t="s">
        <v>1</v>
      </c>
      <c r="T201" t="s">
        <v>138</v>
      </c>
      <c r="Z201" s="3">
        <f>P201-Y201</f>
      </c>
      <c r="AA201" t="s">
        <v>65</v>
      </c>
      <c r="AB201" t="s">
        <v>104</v>
      </c>
    </row>
    <row r="202" spans="1:28" x14ac:dyDescent="0.25">
      <c r="A202" s="7">
        <v>46199.5</v>
      </c>
      <c r="B202" t="s">
        <v>1082</v>
      </c>
      <c r="C202" t="s">
        <v>1</v>
      </c>
      <c r="D202" s="8" t="s">
        <v>1083</v>
      </c>
      <c r="E202" t="s">
        <v>57</v>
      </c>
      <c r="F202">
        <v>1</v>
      </c>
      <c r="G202" s="3">
        <v>134</v>
      </c>
      <c r="H202" s="3">
        <v>175.54</v>
      </c>
      <c r="I202" s="3">
        <f>H202-G202</f>
      </c>
      <c r="J202" s="3">
        <f>I202*16.67%</f>
      </c>
      <c r="K202" s="3">
        <f>H202/100*11</f>
      </c>
      <c r="L202" s="3">
        <v>8.99</v>
      </c>
      <c r="M202" s="3">
        <v>0</v>
      </c>
      <c r="N202" s="3">
        <f>M202*20%</f>
      </c>
      <c r="O202" s="3">
        <v>1</v>
      </c>
      <c r="P202" s="3">
        <f>I202-J202-K202-L202-M202-N202-O202</f>
      </c>
      <c r="Q202" s="3">
        <f>(P202-Y202)/G202*100</f>
      </c>
      <c r="R202" s="3">
        <f>J202-N202</f>
      </c>
      <c r="S202" t="s">
        <v>1</v>
      </c>
      <c r="T202" t="s">
        <v>90</v>
      </c>
      <c r="Z202" s="3">
        <f>P202-Y202</f>
      </c>
      <c r="AA202" t="s">
        <v>65</v>
      </c>
      <c r="AB202" t="s">
        <v>87</v>
      </c>
    </row>
    <row r="203" spans="1:28" x14ac:dyDescent="0.25">
      <c r="A203" s="7">
        <v>46199.5</v>
      </c>
      <c r="B203" t="s">
        <v>1084</v>
      </c>
      <c r="C203" t="s">
        <v>1</v>
      </c>
      <c r="D203" s="8" t="s">
        <v>1085</v>
      </c>
      <c r="E203" t="s">
        <v>72</v>
      </c>
      <c r="F203">
        <v>1</v>
      </c>
      <c r="G203" s="3">
        <v>201</v>
      </c>
      <c r="H203" s="3">
        <v>273.36</v>
      </c>
      <c r="I203" s="3">
        <f>H203-G203</f>
      </c>
      <c r="J203" s="3">
        <f>I203*16.67%</f>
      </c>
      <c r="K203" s="3">
        <f>H203/100*11</f>
      </c>
      <c r="L203" s="3">
        <v>8.99</v>
      </c>
      <c r="M203" s="3">
        <v>0</v>
      </c>
      <c r="N203" s="3">
        <f>M203*20%</f>
      </c>
      <c r="O203" s="3">
        <v>1</v>
      </c>
      <c r="P203" s="3">
        <f>I203-J203-K203-L203-M203-N203-O203</f>
      </c>
      <c r="Q203" s="3">
        <f>(P203-Y203)/G203*100</f>
      </c>
      <c r="R203" s="3">
        <f>J203-N203</f>
      </c>
      <c r="S203" t="s">
        <v>1</v>
      </c>
      <c r="T203" t="s">
        <v>291</v>
      </c>
      <c r="Z203" s="3">
        <f>P203-Y203</f>
      </c>
      <c r="AA203" t="s">
        <v>125</v>
      </c>
      <c r="AB203" t="s">
        <v>74</v>
      </c>
    </row>
    <row r="204" spans="1:28" x14ac:dyDescent="0.25">
      <c r="A204" s="7">
        <v>46198.5</v>
      </c>
      <c r="B204" t="s">
        <v>1086</v>
      </c>
      <c r="C204" t="s">
        <v>1</v>
      </c>
      <c r="D204" s="8" t="s">
        <v>1087</v>
      </c>
      <c r="E204" t="s">
        <v>101</v>
      </c>
      <c r="F204">
        <v>1</v>
      </c>
      <c r="G204" s="3">
        <v>210</v>
      </c>
      <c r="H204" s="3">
        <v>249.9</v>
      </c>
      <c r="I204" s="3">
        <f>H204-G204</f>
      </c>
      <c r="J204" s="3">
        <f>I204*16.67%</f>
      </c>
      <c r="K204" s="3">
        <f>H204/100*11</f>
      </c>
      <c r="L204" s="3">
        <v>8.99</v>
      </c>
      <c r="M204" s="3">
        <v>0</v>
      </c>
      <c r="N204" s="3">
        <f>M204*20%</f>
      </c>
      <c r="O204" s="3">
        <v>1</v>
      </c>
      <c r="P204" s="3">
        <f>I204-J204-K204-L204-M204-N204-O204</f>
      </c>
      <c r="Q204" s="3">
        <f>(P204-Y204)/G204*100</f>
      </c>
      <c r="R204" s="3">
        <f>J204-N204</f>
      </c>
      <c r="S204" t="s">
        <v>1</v>
      </c>
      <c r="T204" t="s">
        <v>291</v>
      </c>
      <c r="Z204" s="3">
        <f>P204-Y204</f>
      </c>
      <c r="AA204" t="s">
        <v>125</v>
      </c>
      <c r="AB204" t="s">
        <v>84</v>
      </c>
    </row>
    <row r="205" spans="1:28" x14ac:dyDescent="0.25">
      <c r="A205" s="7">
        <v>46198.5</v>
      </c>
      <c r="B205" t="s">
        <v>1088</v>
      </c>
      <c r="C205" t="s">
        <v>176</v>
      </c>
      <c r="D205" s="8" t="s">
        <v>1</v>
      </c>
      <c r="E205" t="s">
        <v>77</v>
      </c>
      <c r="F205">
        <v>4</v>
      </c>
      <c r="G205" s="3">
        <v>0.6</v>
      </c>
      <c r="H205" s="3">
        <v>0.73</v>
      </c>
      <c r="I205" s="3">
        <f>H205-G205</f>
      </c>
      <c r="J205" s="3">
        <f>I205*16.67%</f>
      </c>
      <c r="K205" s="3">
        <f>H205/100*11</f>
      </c>
      <c r="L205" s="3">
        <v>8.99</v>
      </c>
      <c r="M205" s="3">
        <v>0</v>
      </c>
      <c r="N205" s="3">
        <f>M205*20%</f>
      </c>
      <c r="O205" s="3">
        <v>1</v>
      </c>
      <c r="P205" s="3">
        <f>I205-J205-K205-L205-M205-N205-O205</f>
      </c>
      <c r="Q205" s="3">
        <f>(P205-Y205)/G205*100</f>
      </c>
      <c r="R205" s="3">
        <f>J205-N205</f>
      </c>
      <c r="S205" t="s">
        <v>1</v>
      </c>
      <c r="T205" t="s">
        <v>176</v>
      </c>
      <c r="Z205" s="3">
        <f>P205-Y205</f>
      </c>
      <c r="AA205" t="s">
        <v>1</v>
      </c>
      <c r="AB205" t="s">
        <v>1</v>
      </c>
    </row>
    <row r="206" spans="1:28" x14ac:dyDescent="0.25">
      <c r="A206" s="7">
        <v>46198.5</v>
      </c>
      <c r="B206" t="s">
        <v>1089</v>
      </c>
      <c r="C206" t="s">
        <v>184</v>
      </c>
      <c r="D206" s="8" t="s">
        <v>1</v>
      </c>
      <c r="E206" t="s">
        <v>101</v>
      </c>
      <c r="F206">
        <v>1</v>
      </c>
      <c r="G206" s="3">
        <v>1.2</v>
      </c>
      <c r="H206" s="3">
        <v>1.55</v>
      </c>
      <c r="I206" s="3">
        <f>H206-G206</f>
      </c>
      <c r="J206" s="3">
        <f>I206*16.67%</f>
      </c>
      <c r="K206" s="3">
        <f>H206/100*11</f>
      </c>
      <c r="L206" s="3">
        <v>8.99</v>
      </c>
      <c r="M206" s="3">
        <v>0</v>
      </c>
      <c r="N206" s="3">
        <f>M206*20%</f>
      </c>
      <c r="O206" s="3">
        <v>1</v>
      </c>
      <c r="P206" s="3">
        <f>I206-J206-K206-L206-M206-N206-O206</f>
      </c>
      <c r="Q206" s="3">
        <f>(P206-Y206)/G206*100</f>
      </c>
      <c r="R206" s="3">
        <f>J206-N206</f>
      </c>
      <c r="S206" t="s">
        <v>1</v>
      </c>
      <c r="T206" t="s">
        <v>184</v>
      </c>
      <c r="Z206" s="3">
        <f>P206-Y206</f>
      </c>
      <c r="AA206" t="s">
        <v>1</v>
      </c>
      <c r="AB206" t="s">
        <v>1</v>
      </c>
    </row>
    <row r="207" spans="1:28" x14ac:dyDescent="0.25">
      <c r="A207" s="7">
        <v>46197.5</v>
      </c>
      <c r="B207" t="s">
        <v>1090</v>
      </c>
      <c r="C207" t="s">
        <v>1</v>
      </c>
      <c r="D207" s="8" t="s">
        <v>1091</v>
      </c>
      <c r="E207" t="s">
        <v>63</v>
      </c>
      <c r="F207">
        <v>1</v>
      </c>
      <c r="G207" s="3">
        <v>356</v>
      </c>
      <c r="H207" s="3">
        <v>452.12</v>
      </c>
      <c r="I207" s="3">
        <f>H207-G207</f>
      </c>
      <c r="J207" s="3">
        <f>I207*16.67%</f>
      </c>
      <c r="K207" s="3">
        <f>H207/100*11</f>
      </c>
      <c r="L207" s="3">
        <v>8.99</v>
      </c>
      <c r="M207" s="3">
        <v>0</v>
      </c>
      <c r="N207" s="3">
        <f>M207*20%</f>
      </c>
      <c r="O207" s="3">
        <v>1</v>
      </c>
      <c r="P207" s="3">
        <f>I207-J207-K207-L207-M207-N207-O207</f>
      </c>
      <c r="Q207" s="3">
        <f>(P207-Y207)/G207*100</f>
      </c>
      <c r="R207" s="3">
        <f>J207-N207</f>
      </c>
      <c r="S207" t="s">
        <v>1</v>
      </c>
      <c r="T207" t="s">
        <v>138</v>
      </c>
      <c r="Z207" s="3">
        <f>P207-Y207</f>
      </c>
      <c r="AA207" t="s">
        <v>65</v>
      </c>
      <c r="AB207" t="s">
        <v>74</v>
      </c>
    </row>
    <row r="208" spans="1:28" x14ac:dyDescent="0.25">
      <c r="A208" s="7">
        <v>46197.5</v>
      </c>
      <c r="B208" t="s">
        <v>1092</v>
      </c>
      <c r="C208" t="s">
        <v>1</v>
      </c>
      <c r="D208" s="8" t="s">
        <v>1093</v>
      </c>
      <c r="E208" t="s">
        <v>57</v>
      </c>
      <c r="F208">
        <v>1</v>
      </c>
      <c r="G208" s="3">
        <v>531</v>
      </c>
      <c r="H208" s="3">
        <v>674.37</v>
      </c>
      <c r="I208" s="3">
        <f>H208-G208</f>
      </c>
      <c r="J208" s="3">
        <f>I208*16.67%</f>
      </c>
      <c r="K208" s="3">
        <f>H208/100*11</f>
      </c>
      <c r="L208" s="3">
        <v>8.99</v>
      </c>
      <c r="M208" s="3">
        <v>0</v>
      </c>
      <c r="N208" s="3">
        <f>M208*20%</f>
      </c>
      <c r="O208" s="3">
        <v>1</v>
      </c>
      <c r="P208" s="3">
        <f>I208-J208-K208-L208-M208-N208-O208</f>
      </c>
      <c r="Q208" s="3">
        <f>(P208-Y208)/G208*100</f>
      </c>
      <c r="R208" s="3">
        <f>J208-N208</f>
      </c>
      <c r="S208" t="s">
        <v>1</v>
      </c>
      <c r="T208" t="s">
        <v>80</v>
      </c>
      <c r="Z208" s="3">
        <f>P208-Y208</f>
      </c>
      <c r="AA208" t="s">
        <v>59</v>
      </c>
      <c r="AB208" t="s">
        <v>60</v>
      </c>
    </row>
    <row r="209" spans="1:28" x14ac:dyDescent="0.25">
      <c r="A209" s="7">
        <v>46197.5</v>
      </c>
      <c r="B209" t="s">
        <v>1094</v>
      </c>
      <c r="C209" t="s">
        <v>184</v>
      </c>
      <c r="D209" s="8" t="s">
        <v>1</v>
      </c>
      <c r="E209" t="s">
        <v>101</v>
      </c>
      <c r="F209">
        <v>4</v>
      </c>
      <c r="G209" s="3">
        <v>4.8</v>
      </c>
      <c r="H209" s="3">
        <v>6</v>
      </c>
      <c r="I209" s="3">
        <f>H209-G209</f>
      </c>
      <c r="J209" s="3">
        <f>I209*16.67%</f>
      </c>
      <c r="K209" s="3">
        <f>H209/100*11</f>
      </c>
      <c r="L209" s="3">
        <v>8.99</v>
      </c>
      <c r="M209" s="3">
        <v>0</v>
      </c>
      <c r="N209" s="3">
        <f>M209*20%</f>
      </c>
      <c r="O209" s="3">
        <v>1</v>
      </c>
      <c r="P209" s="3">
        <f>I209-J209-K209-L209-M209-N209-O209</f>
      </c>
      <c r="Q209" s="3">
        <f>(P209-Y209)/G209*100</f>
      </c>
      <c r="R209" s="3">
        <f>J209-N209</f>
      </c>
      <c r="S209" t="s">
        <v>1</v>
      </c>
      <c r="T209" t="s">
        <v>184</v>
      </c>
      <c r="Z209" s="3">
        <f>P209-Y209</f>
      </c>
      <c r="AA209" t="s">
        <v>1</v>
      </c>
      <c r="AB209" t="s">
        <v>1</v>
      </c>
    </row>
    <row r="210" spans="1:28" x14ac:dyDescent="0.25">
      <c r="A210" s="7">
        <v>46196.5</v>
      </c>
      <c r="B210" t="s">
        <v>1095</v>
      </c>
      <c r="C210" t="s">
        <v>1</v>
      </c>
      <c r="D210" s="8" t="s">
        <v>1096</v>
      </c>
      <c r="E210" t="s">
        <v>72</v>
      </c>
      <c r="F210">
        <v>1</v>
      </c>
      <c r="G210" s="3">
        <v>336</v>
      </c>
      <c r="H210" s="3">
        <v>416.64</v>
      </c>
      <c r="I210" s="3">
        <f>H210-G210</f>
      </c>
      <c r="J210" s="3">
        <f>I210*16.67%</f>
      </c>
      <c r="K210" s="3">
        <f>H210/100*11</f>
      </c>
      <c r="L210" s="3">
        <v>8.99</v>
      </c>
      <c r="M210" s="3">
        <v>0</v>
      </c>
      <c r="N210" s="3">
        <f>M210*20%</f>
      </c>
      <c r="O210" s="3">
        <v>1</v>
      </c>
      <c r="P210" s="3">
        <f>I210-J210-K210-L210-M210-N210-O210</f>
      </c>
      <c r="Q210" s="3">
        <f>(P210-Y210)/G210*100</f>
      </c>
      <c r="R210" s="3">
        <f>J210-N210</f>
      </c>
      <c r="S210" t="s">
        <v>1</v>
      </c>
      <c r="T210" t="s">
        <v>138</v>
      </c>
      <c r="Z210" s="3">
        <f>P210-Y210</f>
      </c>
      <c r="AA210" t="s">
        <v>59</v>
      </c>
      <c r="AB210" t="s">
        <v>104</v>
      </c>
    </row>
    <row r="211" spans="1:28" x14ac:dyDescent="0.25">
      <c r="A211" s="7">
        <v>46196.5</v>
      </c>
      <c r="B211" t="s">
        <v>1097</v>
      </c>
      <c r="C211" t="s">
        <v>188</v>
      </c>
      <c r="D211" s="8" t="s">
        <v>1</v>
      </c>
      <c r="E211" t="s">
        <v>63</v>
      </c>
      <c r="F211">
        <v>1</v>
      </c>
      <c r="G211" s="3">
        <v>3.5</v>
      </c>
      <c r="H211" s="3">
        <v>4.62</v>
      </c>
      <c r="I211" s="3">
        <f>H211-G211</f>
      </c>
      <c r="J211" s="3">
        <f>I211*16.67%</f>
      </c>
      <c r="K211" s="3">
        <f>H211/100*11</f>
      </c>
      <c r="L211" s="3">
        <v>8.99</v>
      </c>
      <c r="M211" s="3">
        <v>0</v>
      </c>
      <c r="N211" s="3">
        <f>M211*20%</f>
      </c>
      <c r="O211" s="3">
        <v>1</v>
      </c>
      <c r="P211" s="3">
        <f>I211-J211-K211-L211-M211-N211-O211</f>
      </c>
      <c r="Q211" s="3">
        <f>(P211-Y211)/G211*100</f>
      </c>
      <c r="R211" s="3">
        <f>J211-N211</f>
      </c>
      <c r="S211" t="s">
        <v>1</v>
      </c>
      <c r="T211" t="s">
        <v>188</v>
      </c>
      <c r="Z211" s="3">
        <f>P211-Y211</f>
      </c>
      <c r="AA211" t="s">
        <v>1</v>
      </c>
      <c r="AB211" t="s">
        <v>1</v>
      </c>
    </row>
    <row r="212" spans="1:28" x14ac:dyDescent="0.25">
      <c r="A212" s="7">
        <v>46196.5</v>
      </c>
      <c r="B212" t="s">
        <v>1098</v>
      </c>
      <c r="C212" t="s">
        <v>173</v>
      </c>
      <c r="D212" s="8" t="s">
        <v>1</v>
      </c>
      <c r="E212" t="s">
        <v>63</v>
      </c>
      <c r="F212">
        <v>3</v>
      </c>
      <c r="G212" s="3">
        <v>12.75</v>
      </c>
      <c r="H212" s="3">
        <v>16.57</v>
      </c>
      <c r="I212" s="3">
        <f>H212-G212</f>
      </c>
      <c r="J212" s="3">
        <f>I212*16.67%</f>
      </c>
      <c r="K212" s="3">
        <f>H212/100*11</f>
      </c>
      <c r="L212" s="3">
        <v>8.99</v>
      </c>
      <c r="M212" s="3">
        <v>0</v>
      </c>
      <c r="N212" s="3">
        <f>M212*20%</f>
      </c>
      <c r="O212" s="3">
        <v>1</v>
      </c>
      <c r="P212" s="3">
        <f>I212-J212-K212-L212-M212-N212-O212</f>
      </c>
      <c r="Q212" s="3">
        <f>(P212-Y212)/G212*100</f>
      </c>
      <c r="R212" s="3">
        <f>J212-N212</f>
      </c>
      <c r="S212" t="s">
        <v>1</v>
      </c>
      <c r="T212" t="s">
        <v>173</v>
      </c>
      <c r="Z212" s="3">
        <f>P212-Y212</f>
      </c>
      <c r="AA212" t="s">
        <v>1</v>
      </c>
      <c r="AB212" t="s">
        <v>1</v>
      </c>
    </row>
    <row r="213" spans="1:28" x14ac:dyDescent="0.25">
      <c r="A213" s="7">
        <v>46196.5</v>
      </c>
      <c r="B213" t="s">
        <v>1099</v>
      </c>
      <c r="C213" t="s">
        <v>1</v>
      </c>
      <c r="D213" s="8" t="s">
        <v>1</v>
      </c>
      <c r="E213" t="s">
        <v>63</v>
      </c>
      <c r="F213">
        <v>1</v>
      </c>
      <c r="G213" s="3">
        <v>139</v>
      </c>
      <c r="H213" s="3">
        <v>179.31</v>
      </c>
      <c r="I213" s="3">
        <f>H213-G213</f>
      </c>
      <c r="J213" s="3">
        <f>I213*16.67%</f>
      </c>
      <c r="K213" s="3">
        <f>H213/100*11</f>
      </c>
      <c r="L213" s="3">
        <v>8.99</v>
      </c>
      <c r="M213" s="3">
        <v>0</v>
      </c>
      <c r="N213" s="3">
        <f>M213*20%</f>
      </c>
      <c r="O213" s="3">
        <v>1</v>
      </c>
      <c r="P213" s="3">
        <f>I213-J213-K213-L213-M213-N213-O213</f>
      </c>
      <c r="Q213" s="3">
        <f>(P213-Y213)/G213*100</f>
      </c>
      <c r="R213" s="3">
        <f>J213-N213</f>
      </c>
      <c r="S213" t="s">
        <v>1</v>
      </c>
      <c r="T213" t="s">
        <v>1</v>
      </c>
      <c r="Z213" s="3">
        <f>P213-Y213</f>
      </c>
      <c r="AA213" t="s">
        <v>1</v>
      </c>
      <c r="AB213" t="s">
        <v>1</v>
      </c>
    </row>
    <row r="214" spans="1:28" x14ac:dyDescent="0.25">
      <c r="A214" s="7">
        <v>46195.5</v>
      </c>
      <c r="B214" t="s">
        <v>1100</v>
      </c>
      <c r="C214" t="s">
        <v>1</v>
      </c>
      <c r="D214" s="8" t="s">
        <v>1101</v>
      </c>
      <c r="E214" t="s">
        <v>63</v>
      </c>
      <c r="F214">
        <v>1</v>
      </c>
      <c r="G214" s="3">
        <v>119</v>
      </c>
      <c r="H214" s="3">
        <v>140.42</v>
      </c>
      <c r="I214" s="3">
        <f>H214-G214</f>
      </c>
      <c r="J214" s="3">
        <f>I214*16.67%</f>
      </c>
      <c r="K214" s="3">
        <f>H214/100*11</f>
      </c>
      <c r="L214" s="3">
        <v>8.99</v>
      </c>
      <c r="M214" s="3">
        <v>0</v>
      </c>
      <c r="N214" s="3">
        <f>M214*20%</f>
      </c>
      <c r="O214" s="3">
        <v>1</v>
      </c>
      <c r="P214" s="3">
        <f>I214-J214-K214-L214-M214-N214-O214</f>
      </c>
      <c r="Q214" s="3">
        <f>(P214-Y214)/G214*100</f>
      </c>
      <c r="R214" s="3">
        <f>J214-N214</f>
      </c>
      <c r="S214" t="s">
        <v>1</v>
      </c>
      <c r="T214" t="s">
        <v>133</v>
      </c>
      <c r="Z214" s="3">
        <f>P214-Y214</f>
      </c>
      <c r="AA214" t="s">
        <v>94</v>
      </c>
      <c r="AB214" t="s">
        <v>84</v>
      </c>
    </row>
    <row r="215" spans="1:28" x14ac:dyDescent="0.25">
      <c r="A215" s="7">
        <v>46195.5</v>
      </c>
      <c r="B215" t="s">
        <v>1102</v>
      </c>
      <c r="C215" t="s">
        <v>1</v>
      </c>
      <c r="D215" s="8" t="s">
        <v>1103</v>
      </c>
      <c r="E215" t="s">
        <v>57</v>
      </c>
      <c r="F215">
        <v>1</v>
      </c>
      <c r="G215" s="3">
        <v>178</v>
      </c>
      <c r="H215" s="3">
        <v>211.82</v>
      </c>
      <c r="I215" s="3">
        <f>H215-G215</f>
      </c>
      <c r="J215" s="3">
        <f>I215*16.67%</f>
      </c>
      <c r="K215" s="3">
        <f>H215/100*11</f>
      </c>
      <c r="L215" s="3">
        <v>8.99</v>
      </c>
      <c r="M215" s="3">
        <v>0</v>
      </c>
      <c r="N215" s="3">
        <f>M215*20%</f>
      </c>
      <c r="O215" s="3">
        <v>1</v>
      </c>
      <c r="P215" s="3">
        <f>I215-J215-K215-L215-M215-N215-O215</f>
      </c>
      <c r="Q215" s="3">
        <f>(P215-Y215)/G215*100</f>
      </c>
      <c r="R215" s="3">
        <f>J215-N215</f>
      </c>
      <c r="S215" t="s">
        <v>1</v>
      </c>
      <c r="T215" t="s">
        <v>171</v>
      </c>
      <c r="Z215" s="3">
        <f>P215-Y215</f>
      </c>
      <c r="AA215" t="s">
        <v>65</v>
      </c>
      <c r="AB215" t="s">
        <v>74</v>
      </c>
    </row>
    <row r="216" spans="1:28" x14ac:dyDescent="0.25">
      <c r="A216" s="7">
        <v>46195.5</v>
      </c>
      <c r="B216" t="s">
        <v>1104</v>
      </c>
      <c r="C216" t="s">
        <v>1</v>
      </c>
      <c r="D216" s="8" t="s">
        <v>1105</v>
      </c>
      <c r="E216" t="s">
        <v>57</v>
      </c>
      <c r="F216">
        <v>1</v>
      </c>
      <c r="G216" s="3">
        <v>777</v>
      </c>
      <c r="H216" s="3">
        <v>1002.33</v>
      </c>
      <c r="I216" s="3">
        <f>H216-G216</f>
      </c>
      <c r="J216" s="3">
        <f>I216*16.67%</f>
      </c>
      <c r="K216" s="3">
        <f>H216/100*11</f>
      </c>
      <c r="L216" s="3">
        <v>8.99</v>
      </c>
      <c r="M216" s="3">
        <v>0</v>
      </c>
      <c r="N216" s="3">
        <f>M216*20%</f>
      </c>
      <c r="O216" s="3">
        <v>1</v>
      </c>
      <c r="P216" s="3">
        <f>I216-J216-K216-L216-M216-N216-O216</f>
      </c>
      <c r="Q216" s="3">
        <f>(P216-Y216)/G216*100</f>
      </c>
      <c r="R216" s="3">
        <f>J216-N216</f>
      </c>
      <c r="S216" t="s">
        <v>1</v>
      </c>
      <c r="T216" t="s">
        <v>83</v>
      </c>
      <c r="Z216" s="3">
        <f>P216-Y216</f>
      </c>
      <c r="AA216" t="s">
        <v>59</v>
      </c>
      <c r="AB216" t="s">
        <v>69</v>
      </c>
    </row>
    <row r="217" spans="1:28" x14ac:dyDescent="0.25">
      <c r="A217" s="7">
        <v>46194.5</v>
      </c>
      <c r="B217" t="s">
        <v>1106</v>
      </c>
      <c r="C217" t="s">
        <v>1</v>
      </c>
      <c r="D217" s="8" t="s">
        <v>1107</v>
      </c>
      <c r="E217" t="s">
        <v>101</v>
      </c>
      <c r="F217">
        <v>1</v>
      </c>
      <c r="G217" s="3">
        <v>255</v>
      </c>
      <c r="H217" s="3">
        <v>354.45</v>
      </c>
      <c r="I217" s="3">
        <f>H217-G217</f>
      </c>
      <c r="J217" s="3">
        <f>I217*16.67%</f>
      </c>
      <c r="K217" s="3">
        <f>H217/100*11</f>
      </c>
      <c r="L217" s="3">
        <v>8.99</v>
      </c>
      <c r="M217" s="3">
        <v>0</v>
      </c>
      <c r="N217" s="3">
        <f>M217*20%</f>
      </c>
      <c r="O217" s="3">
        <v>1</v>
      </c>
      <c r="P217" s="3">
        <f>I217-J217-K217-L217-M217-N217-O217</f>
      </c>
      <c r="Q217" s="3">
        <f>(P217-Y217)/G217*100</f>
      </c>
      <c r="R217" s="3">
        <f>J217-N217</f>
      </c>
      <c r="S217" t="s">
        <v>1</v>
      </c>
      <c r="T217" t="s">
        <v>124</v>
      </c>
      <c r="Z217" s="3">
        <f>P217-Y217</f>
      </c>
      <c r="AA217" t="s">
        <v>125</v>
      </c>
      <c r="AB217" t="s">
        <v>84</v>
      </c>
    </row>
    <row r="218" spans="1:28" x14ac:dyDescent="0.25">
      <c r="A218" s="7">
        <v>46194.5</v>
      </c>
      <c r="B218" t="s">
        <v>1108</v>
      </c>
      <c r="C218" t="s">
        <v>1</v>
      </c>
      <c r="D218" s="8" t="s">
        <v>1109</v>
      </c>
      <c r="E218" t="s">
        <v>57</v>
      </c>
      <c r="F218">
        <v>1</v>
      </c>
      <c r="G218" s="3">
        <v>469</v>
      </c>
      <c r="H218" s="3">
        <v>595.63</v>
      </c>
      <c r="I218" s="3">
        <f>H218-G218</f>
      </c>
      <c r="J218" s="3">
        <f>I218*16.67%</f>
      </c>
      <c r="K218" s="3">
        <f>H218/100*11</f>
      </c>
      <c r="L218" s="3">
        <v>8.99</v>
      </c>
      <c r="M218" s="3">
        <v>0</v>
      </c>
      <c r="N218" s="3">
        <f>M218*20%</f>
      </c>
      <c r="O218" s="3">
        <v>1</v>
      </c>
      <c r="P218" s="3">
        <f>I218-J218-K218-L218-M218-N218-O218</f>
      </c>
      <c r="Q218" s="3">
        <f>(P218-Y218)/G218*100</f>
      </c>
      <c r="R218" s="3">
        <f>J218-N218</f>
      </c>
      <c r="S218" t="s">
        <v>1</v>
      </c>
      <c r="T218" t="s">
        <v>58</v>
      </c>
      <c r="Z218" s="3">
        <f>P218-Y218</f>
      </c>
      <c r="AA218" t="s">
        <v>59</v>
      </c>
      <c r="AB218" t="s">
        <v>69</v>
      </c>
    </row>
    <row r="219" spans="1:28" x14ac:dyDescent="0.25">
      <c r="A219" s="7">
        <v>46194.5</v>
      </c>
      <c r="B219" t="s">
        <v>1110</v>
      </c>
      <c r="C219" t="s">
        <v>1</v>
      </c>
      <c r="D219" s="8" t="s">
        <v>1111</v>
      </c>
      <c r="E219" t="s">
        <v>101</v>
      </c>
      <c r="F219">
        <v>1</v>
      </c>
      <c r="G219" s="3">
        <v>231</v>
      </c>
      <c r="H219" s="3">
        <v>302.61</v>
      </c>
      <c r="I219" s="3">
        <f>H219-G219</f>
      </c>
      <c r="J219" s="3">
        <f>I219*16.67%</f>
      </c>
      <c r="K219" s="3">
        <f>H219/100*11</f>
      </c>
      <c r="L219" s="3">
        <v>8.99</v>
      </c>
      <c r="M219" s="3">
        <v>0</v>
      </c>
      <c r="N219" s="3">
        <f>M219*20%</f>
      </c>
      <c r="O219" s="3">
        <v>1</v>
      </c>
      <c r="P219" s="3">
        <f>I219-J219-K219-L219-M219-N219-O219</f>
      </c>
      <c r="Q219" s="3">
        <f>(P219-Y219)/G219*100</f>
      </c>
      <c r="R219" s="3">
        <f>J219-N219</f>
      </c>
      <c r="S219" t="s">
        <v>1</v>
      </c>
      <c r="T219" t="s">
        <v>64</v>
      </c>
      <c r="Z219" s="3">
        <f>P219-Y219</f>
      </c>
      <c r="AA219" t="s">
        <v>65</v>
      </c>
      <c r="AB219" t="s">
        <v>87</v>
      </c>
    </row>
    <row r="220" spans="1:28" x14ac:dyDescent="0.25">
      <c r="A220" s="7">
        <v>46194.5</v>
      </c>
      <c r="B220" t="s">
        <v>1112</v>
      </c>
      <c r="C220" t="s">
        <v>1</v>
      </c>
      <c r="D220" s="8" t="s">
        <v>1113</v>
      </c>
      <c r="E220" t="s">
        <v>77</v>
      </c>
      <c r="F220">
        <v>1</v>
      </c>
      <c r="G220" s="3">
        <v>336</v>
      </c>
      <c r="H220" s="3">
        <v>487.2</v>
      </c>
      <c r="I220" s="3">
        <f>H220-G220</f>
      </c>
      <c r="J220" s="3">
        <f>I220*16.67%</f>
      </c>
      <c r="K220" s="3">
        <f>H220/100*11</f>
      </c>
      <c r="L220" s="3">
        <v>8.99</v>
      </c>
      <c r="M220" s="3">
        <v>0</v>
      </c>
      <c r="N220" s="3">
        <f>M220*20%</f>
      </c>
      <c r="O220" s="3">
        <v>1</v>
      </c>
      <c r="P220" s="3">
        <f>I220-J220-K220-L220-M220-N220-O220</f>
      </c>
      <c r="Q220" s="3">
        <f>(P220-Y220)/G220*100</f>
      </c>
      <c r="R220" s="3">
        <f>J220-N220</f>
      </c>
      <c r="S220" t="s">
        <v>1</v>
      </c>
      <c r="T220" t="s">
        <v>130</v>
      </c>
      <c r="Z220" s="3">
        <f>P220-Y220</f>
      </c>
      <c r="AA220" t="s">
        <v>65</v>
      </c>
      <c r="AB220" t="s">
        <v>69</v>
      </c>
    </row>
    <row r="221" spans="1:28" x14ac:dyDescent="0.25">
      <c r="A221" s="7">
        <v>46194.5</v>
      </c>
      <c r="B221" t="s">
        <v>1114</v>
      </c>
      <c r="C221" t="s">
        <v>1</v>
      </c>
      <c r="D221" s="8" t="s">
        <v>1115</v>
      </c>
      <c r="E221" t="s">
        <v>57</v>
      </c>
      <c r="F221">
        <v>1</v>
      </c>
      <c r="G221" s="3">
        <v>181</v>
      </c>
      <c r="H221" s="3">
        <v>224.44</v>
      </c>
      <c r="I221" s="3">
        <f>H221-G221</f>
      </c>
      <c r="J221" s="3">
        <f>I221*16.67%</f>
      </c>
      <c r="K221" s="3">
        <f>H221/100*11</f>
      </c>
      <c r="L221" s="3">
        <v>8.99</v>
      </c>
      <c r="M221" s="3">
        <v>0</v>
      </c>
      <c r="N221" s="3">
        <f>M221*20%</f>
      </c>
      <c r="O221" s="3">
        <v>1</v>
      </c>
      <c r="P221" s="3">
        <f>I221-J221-K221-L221-M221-N221-O221</f>
      </c>
      <c r="Q221" s="3">
        <f>(P221-Y221)/G221*100</f>
      </c>
      <c r="R221" s="3">
        <f>J221-N221</f>
      </c>
      <c r="S221" t="s">
        <v>1</v>
      </c>
      <c r="T221" t="s">
        <v>113</v>
      </c>
      <c r="Z221" s="3">
        <f>P221-Y221</f>
      </c>
      <c r="AA221" t="s">
        <v>94</v>
      </c>
      <c r="AB221" t="s">
        <v>60</v>
      </c>
    </row>
    <row r="222" spans="1:28" x14ac:dyDescent="0.25">
      <c r="A222" s="7">
        <v>46193.5</v>
      </c>
      <c r="B222" t="s">
        <v>1116</v>
      </c>
      <c r="C222" t="s">
        <v>1</v>
      </c>
      <c r="D222" s="8" t="s">
        <v>1117</v>
      </c>
      <c r="E222" t="s">
        <v>77</v>
      </c>
      <c r="F222">
        <v>1</v>
      </c>
      <c r="G222" s="3">
        <v>449</v>
      </c>
      <c r="H222" s="3">
        <v>525.33</v>
      </c>
      <c r="I222" s="3">
        <f>H222-G222</f>
      </c>
      <c r="J222" s="3">
        <f>I222*16.67%</f>
      </c>
      <c r="K222" s="3">
        <f>H222/100*11</f>
      </c>
      <c r="L222" s="3">
        <v>8.99</v>
      </c>
      <c r="M222" s="3">
        <v>0</v>
      </c>
      <c r="N222" s="3">
        <f>M222*20%</f>
      </c>
      <c r="O222" s="3">
        <v>1</v>
      </c>
      <c r="P222" s="3">
        <f>I222-J222-K222-L222-M222-N222-O222</f>
      </c>
      <c r="Q222" s="3">
        <f>(P222-Y222)/G222*100</f>
      </c>
      <c r="R222" s="3">
        <f>J222-N222</f>
      </c>
      <c r="S222" t="s">
        <v>1</v>
      </c>
      <c r="T222" t="s">
        <v>58</v>
      </c>
      <c r="Z222" s="3">
        <f>P222-Y222</f>
      </c>
      <c r="AA222" t="s">
        <v>59</v>
      </c>
      <c r="AB222" t="s">
        <v>98</v>
      </c>
    </row>
    <row r="223" spans="1:28" x14ac:dyDescent="0.25">
      <c r="A223" s="7">
        <v>46193.5</v>
      </c>
      <c r="B223" t="s">
        <v>1118</v>
      </c>
      <c r="C223" t="s">
        <v>181</v>
      </c>
      <c r="D223" s="8" t="s">
        <v>1</v>
      </c>
      <c r="E223" t="s">
        <v>72</v>
      </c>
      <c r="F223">
        <v>2</v>
      </c>
      <c r="G223" s="3">
        <v>3.8</v>
      </c>
      <c r="H223" s="3">
        <v>5.43</v>
      </c>
      <c r="I223" s="3">
        <f>H223-G223</f>
      </c>
      <c r="J223" s="3">
        <f>I223*16.67%</f>
      </c>
      <c r="K223" s="3">
        <f>H223/100*11</f>
      </c>
      <c r="L223" s="3">
        <v>8.99</v>
      </c>
      <c r="M223" s="3">
        <v>0</v>
      </c>
      <c r="N223" s="3">
        <f>M223*20%</f>
      </c>
      <c r="O223" s="3">
        <v>1</v>
      </c>
      <c r="P223" s="3">
        <f>I223-J223-K223-L223-M223-N223-O223</f>
      </c>
      <c r="Q223" s="3">
        <f>(P223-Y223)/G223*100</f>
      </c>
      <c r="R223" s="3">
        <f>J223-N223</f>
      </c>
      <c r="S223" t="s">
        <v>1</v>
      </c>
      <c r="T223" t="s">
        <v>181</v>
      </c>
      <c r="Z223" s="3">
        <f>P223-Y223</f>
      </c>
      <c r="AA223" t="s">
        <v>1</v>
      </c>
      <c r="AB223" t="s">
        <v>1</v>
      </c>
    </row>
    <row r="224" spans="1:28" x14ac:dyDescent="0.25">
      <c r="A224" s="7">
        <v>46193.5</v>
      </c>
      <c r="B224" t="s">
        <v>1119</v>
      </c>
      <c r="C224" t="s">
        <v>253</v>
      </c>
      <c r="D224" s="8" t="s">
        <v>1</v>
      </c>
      <c r="E224" t="s">
        <v>57</v>
      </c>
      <c r="F224">
        <v>3</v>
      </c>
      <c r="G224" s="3">
        <v>2.4</v>
      </c>
      <c r="H224" s="3">
        <v>3.46</v>
      </c>
      <c r="I224" s="3">
        <f>H224-G224</f>
      </c>
      <c r="J224" s="3">
        <f>I224*16.67%</f>
      </c>
      <c r="K224" s="3">
        <f>H224/100*11</f>
      </c>
      <c r="L224" s="3">
        <v>8.99</v>
      </c>
      <c r="M224" s="3">
        <v>0</v>
      </c>
      <c r="N224" s="3">
        <f>M224*20%</f>
      </c>
      <c r="O224" s="3">
        <v>1</v>
      </c>
      <c r="P224" s="3">
        <f>I224-J224-K224-L224-M224-N224-O224</f>
      </c>
      <c r="Q224" s="3">
        <f>(P224-Y224)/G224*100</f>
      </c>
      <c r="R224" s="3">
        <f>J224-N224</f>
      </c>
      <c r="S224" t="s">
        <v>1</v>
      </c>
      <c r="T224" t="s">
        <v>253</v>
      </c>
      <c r="Z224" s="3">
        <f>P224-Y224</f>
      </c>
      <c r="AA224" t="s">
        <v>1</v>
      </c>
      <c r="AB224" t="s">
        <v>1</v>
      </c>
    </row>
    <row r="225" spans="1:28" x14ac:dyDescent="0.25">
      <c r="A225" s="7">
        <v>46193.5</v>
      </c>
      <c r="B225" t="s">
        <v>1120</v>
      </c>
      <c r="C225" t="s">
        <v>1</v>
      </c>
      <c r="D225" s="8" t="s">
        <v>1</v>
      </c>
      <c r="E225" t="s">
        <v>72</v>
      </c>
      <c r="F225">
        <v>1</v>
      </c>
      <c r="G225" s="3">
        <v>182</v>
      </c>
      <c r="H225" s="3">
        <v>258.44</v>
      </c>
      <c r="I225" s="3">
        <f>H225-G225</f>
      </c>
      <c r="J225" s="3">
        <f>I225*16.67%</f>
      </c>
      <c r="K225" s="3">
        <f>H225/100*11</f>
      </c>
      <c r="L225" s="3">
        <v>8.99</v>
      </c>
      <c r="M225" s="3">
        <v>0</v>
      </c>
      <c r="N225" s="3">
        <f>M225*20%</f>
      </c>
      <c r="O225" s="3">
        <v>1</v>
      </c>
      <c r="P225" s="3">
        <f>I225-J225-K225-L225-M225-N225-O225</f>
      </c>
      <c r="Q225" s="3">
        <f>(P225-Y225)/G225*100</f>
      </c>
      <c r="R225" s="3">
        <f>J225-N225</f>
      </c>
      <c r="S225" t="s">
        <v>1</v>
      </c>
      <c r="T225" t="s">
        <v>1</v>
      </c>
      <c r="Z225" s="3">
        <f>P225-Y225</f>
      </c>
      <c r="AA225" t="s">
        <v>1</v>
      </c>
      <c r="AB225" t="s">
        <v>1</v>
      </c>
    </row>
    <row r="226" spans="1:28" x14ac:dyDescent="0.25">
      <c r="A226" s="7">
        <v>46192.5</v>
      </c>
      <c r="B226" t="s">
        <v>1121</v>
      </c>
      <c r="C226" t="s">
        <v>1</v>
      </c>
      <c r="D226" s="8" t="s">
        <v>1122</v>
      </c>
      <c r="E226" t="s">
        <v>101</v>
      </c>
      <c r="F226">
        <v>1</v>
      </c>
      <c r="G226" s="3">
        <v>166</v>
      </c>
      <c r="H226" s="3">
        <v>235.72</v>
      </c>
      <c r="I226" s="3">
        <f>H226-G226</f>
      </c>
      <c r="J226" s="3">
        <f>I226*16.67%</f>
      </c>
      <c r="K226" s="3">
        <f>H226/100*11</f>
      </c>
      <c r="L226" s="3">
        <v>8.99</v>
      </c>
      <c r="M226" s="3">
        <v>0</v>
      </c>
      <c r="N226" s="3">
        <f>M226*20%</f>
      </c>
      <c r="O226" s="3">
        <v>1</v>
      </c>
      <c r="P226" s="3">
        <f>I226-J226-K226-L226-M226-N226-O226</f>
      </c>
      <c r="Q226" s="3">
        <f>(P226-Y226)/G226*100</f>
      </c>
      <c r="R226" s="3">
        <f>J226-N226</f>
      </c>
      <c r="S226" t="s">
        <v>1</v>
      </c>
      <c r="T226" t="s">
        <v>171</v>
      </c>
      <c r="Z226" s="3">
        <f>P226-Y226</f>
      </c>
      <c r="AA226" t="s">
        <v>65</v>
      </c>
      <c r="AB226" t="s">
        <v>84</v>
      </c>
    </row>
    <row r="227" spans="1:28" x14ac:dyDescent="0.25">
      <c r="A227" s="7">
        <v>46192.5</v>
      </c>
      <c r="B227" t="s">
        <v>1123</v>
      </c>
      <c r="C227" t="s">
        <v>1</v>
      </c>
      <c r="D227" s="8" t="s">
        <v>1124</v>
      </c>
      <c r="E227" t="s">
        <v>72</v>
      </c>
      <c r="F227">
        <v>1</v>
      </c>
      <c r="G227" s="3">
        <v>608</v>
      </c>
      <c r="H227" s="3">
        <v>760</v>
      </c>
      <c r="I227" s="3">
        <f>H227-G227</f>
      </c>
      <c r="J227" s="3">
        <f>I227*16.67%</f>
      </c>
      <c r="K227" s="3">
        <f>H227/100*11</f>
      </c>
      <c r="L227" s="3">
        <v>8.99</v>
      </c>
      <c r="M227" s="3">
        <v>0</v>
      </c>
      <c r="N227" s="3">
        <f>M227*20%</f>
      </c>
      <c r="O227" s="3">
        <v>1</v>
      </c>
      <c r="P227" s="3">
        <f>I227-J227-K227-L227-M227-N227-O227</f>
      </c>
      <c r="Q227" s="3">
        <f>(P227-Y227)/G227*100</f>
      </c>
      <c r="R227" s="3">
        <f>J227-N227</f>
      </c>
      <c r="S227" t="s">
        <v>1</v>
      </c>
      <c r="T227" t="s">
        <v>80</v>
      </c>
      <c r="Z227" s="3">
        <f>P227-Y227</f>
      </c>
      <c r="AA227" t="s">
        <v>59</v>
      </c>
      <c r="AB227" t="s">
        <v>74</v>
      </c>
    </row>
    <row r="228" spans="1:28" x14ac:dyDescent="0.25">
      <c r="A228" s="7">
        <v>46192.5</v>
      </c>
      <c r="B228" t="s">
        <v>1125</v>
      </c>
      <c r="C228" t="s">
        <v>1</v>
      </c>
      <c r="D228" s="8" t="s">
        <v>1126</v>
      </c>
      <c r="E228" t="s">
        <v>57</v>
      </c>
      <c r="F228">
        <v>1</v>
      </c>
      <c r="G228" s="3">
        <v>533</v>
      </c>
      <c r="H228" s="3">
        <v>767.52</v>
      </c>
      <c r="I228" s="3">
        <f>H228-G228</f>
      </c>
      <c r="J228" s="3">
        <f>I228*16.67%</f>
      </c>
      <c r="K228" s="3">
        <f>H228/100*11</f>
      </c>
      <c r="L228" s="3">
        <v>8.99</v>
      </c>
      <c r="M228" s="3">
        <v>0</v>
      </c>
      <c r="N228" s="3">
        <f>M228*20%</f>
      </c>
      <c r="O228" s="3">
        <v>1</v>
      </c>
      <c r="P228" s="3">
        <f>I228-J228-K228-L228-M228-N228-O228</f>
      </c>
      <c r="Q228" s="3">
        <f>(P228-Y228)/G228*100</f>
      </c>
      <c r="R228" s="3">
        <f>J228-N228</f>
      </c>
      <c r="S228" t="s">
        <v>1</v>
      </c>
      <c r="T228" t="s">
        <v>68</v>
      </c>
      <c r="Z228" s="3">
        <f>P228-Y228</f>
      </c>
      <c r="AA228" t="s">
        <v>59</v>
      </c>
      <c r="AB228" t="s">
        <v>84</v>
      </c>
    </row>
    <row r="229" spans="1:28" x14ac:dyDescent="0.25">
      <c r="A229" s="7">
        <v>46192.5</v>
      </c>
      <c r="B229" t="s">
        <v>1127</v>
      </c>
      <c r="C229" t="s">
        <v>1</v>
      </c>
      <c r="D229" s="8" t="s">
        <v>1128</v>
      </c>
      <c r="E229" t="s">
        <v>72</v>
      </c>
      <c r="F229">
        <v>1</v>
      </c>
      <c r="G229" s="3">
        <v>182</v>
      </c>
      <c r="H229" s="3">
        <v>222.04</v>
      </c>
      <c r="I229" s="3">
        <f>H229-G229</f>
      </c>
      <c r="J229" s="3">
        <f>I229*16.67%</f>
      </c>
      <c r="K229" s="3">
        <f>H229/100*11</f>
      </c>
      <c r="L229" s="3">
        <v>8.99</v>
      </c>
      <c r="M229" s="3">
        <v>0</v>
      </c>
      <c r="N229" s="3">
        <f>M229*20%</f>
      </c>
      <c r="O229" s="3">
        <v>1</v>
      </c>
      <c r="P229" s="3">
        <f>I229-J229-K229-L229-M229-N229-O229</f>
      </c>
      <c r="Q229" s="3">
        <f>(P229-Y229)/G229*100</f>
      </c>
      <c r="R229" s="3">
        <f>J229-N229</f>
      </c>
      <c r="S229" t="s">
        <v>1</v>
      </c>
      <c r="T229" t="s">
        <v>291</v>
      </c>
      <c r="Z229" s="3">
        <f>P229-Y229</f>
      </c>
      <c r="AA229" t="s">
        <v>125</v>
      </c>
      <c r="AB229" t="s">
        <v>74</v>
      </c>
    </row>
    <row r="230" spans="1:28" x14ac:dyDescent="0.25">
      <c r="A230" s="7">
        <v>46192.5</v>
      </c>
      <c r="B230" t="s">
        <v>1129</v>
      </c>
      <c r="C230" t="s">
        <v>1</v>
      </c>
      <c r="D230" s="8" t="s">
        <v>1130</v>
      </c>
      <c r="E230" t="s">
        <v>77</v>
      </c>
      <c r="F230">
        <v>1</v>
      </c>
      <c r="G230" s="3">
        <v>155</v>
      </c>
      <c r="H230" s="3">
        <v>199.95</v>
      </c>
      <c r="I230" s="3">
        <f>H230-G230</f>
      </c>
      <c r="J230" s="3">
        <f>I230*16.67%</f>
      </c>
      <c r="K230" s="3">
        <f>H230/100*11</f>
      </c>
      <c r="L230" s="3">
        <v>8.99</v>
      </c>
      <c r="M230" s="3">
        <v>0</v>
      </c>
      <c r="N230" s="3">
        <f>M230*20%</f>
      </c>
      <c r="O230" s="3">
        <v>1</v>
      </c>
      <c r="P230" s="3">
        <f>I230-J230-K230-L230-M230-N230-O230</f>
      </c>
      <c r="Q230" s="3">
        <f>(P230-Y230)/G230*100</f>
      </c>
      <c r="R230" s="3">
        <f>J230-N230</f>
      </c>
      <c r="S230" t="s">
        <v>1</v>
      </c>
      <c r="T230" t="s">
        <v>171</v>
      </c>
      <c r="Z230" s="3">
        <f>P230-Y230</f>
      </c>
      <c r="AA230" t="s">
        <v>65</v>
      </c>
      <c r="AB230" t="s">
        <v>98</v>
      </c>
    </row>
    <row r="231" spans="1:28" x14ac:dyDescent="0.25">
      <c r="A231" s="7">
        <v>46192.5</v>
      </c>
      <c r="B231" t="s">
        <v>1131</v>
      </c>
      <c r="C231" t="s">
        <v>1</v>
      </c>
      <c r="D231" s="8" t="s">
        <v>1132</v>
      </c>
      <c r="E231" t="s">
        <v>77</v>
      </c>
      <c r="F231">
        <v>1</v>
      </c>
      <c r="G231" s="3">
        <v>589</v>
      </c>
      <c r="H231" s="3">
        <v>724.47</v>
      </c>
      <c r="I231" s="3">
        <f>H231-G231</f>
      </c>
      <c r="J231" s="3">
        <f>I231*16.67%</f>
      </c>
      <c r="K231" s="3">
        <f>H231/100*11</f>
      </c>
      <c r="L231" s="3">
        <v>8.99</v>
      </c>
      <c r="M231" s="3">
        <v>0</v>
      </c>
      <c r="N231" s="3">
        <f>M231*20%</f>
      </c>
      <c r="O231" s="3">
        <v>1</v>
      </c>
      <c r="P231" s="3">
        <f>I231-J231-K231-L231-M231-N231-O231</f>
      </c>
      <c r="Q231" s="3">
        <f>(P231-Y231)/G231*100</f>
      </c>
      <c r="R231" s="3">
        <f>J231-N231</f>
      </c>
      <c r="S231" t="s">
        <v>1</v>
      </c>
      <c r="T231" t="s">
        <v>80</v>
      </c>
      <c r="Z231" s="3">
        <f>P231-Y231</f>
      </c>
      <c r="AA231" t="s">
        <v>59</v>
      </c>
      <c r="AB231" t="s">
        <v>84</v>
      </c>
    </row>
    <row r="232" spans="1:28" x14ac:dyDescent="0.25">
      <c r="A232" s="7">
        <v>46192.5</v>
      </c>
      <c r="B232" t="s">
        <v>1133</v>
      </c>
      <c r="C232" t="s">
        <v>1</v>
      </c>
      <c r="D232" s="8" t="s">
        <v>1134</v>
      </c>
      <c r="E232" t="s">
        <v>77</v>
      </c>
      <c r="F232">
        <v>1</v>
      </c>
      <c r="G232" s="3">
        <v>103</v>
      </c>
      <c r="H232" s="3">
        <v>123.6</v>
      </c>
      <c r="I232" s="3">
        <f>H232-G232</f>
      </c>
      <c r="J232" s="3">
        <f>I232*16.67%</f>
      </c>
      <c r="K232" s="3">
        <f>H232/100*11</f>
      </c>
      <c r="L232" s="3">
        <v>8.99</v>
      </c>
      <c r="M232" s="3">
        <v>0</v>
      </c>
      <c r="N232" s="3">
        <f>M232*20%</f>
      </c>
      <c r="O232" s="3">
        <v>1</v>
      </c>
      <c r="P232" s="3">
        <f>I232-J232-K232-L232-M232-N232-O232</f>
      </c>
      <c r="Q232" s="3">
        <f>(P232-Y232)/G232*100</f>
      </c>
      <c r="R232" s="3">
        <f>J232-N232</f>
      </c>
      <c r="S232" t="s">
        <v>1</v>
      </c>
      <c r="T232" t="s">
        <v>90</v>
      </c>
      <c r="Z232" s="3">
        <f>P232-Y232</f>
      </c>
      <c r="AA232" t="s">
        <v>65</v>
      </c>
      <c r="AB232" t="s">
        <v>104</v>
      </c>
    </row>
    <row r="233" spans="1:28" x14ac:dyDescent="0.25">
      <c r="A233" s="7">
        <v>46192.5</v>
      </c>
      <c r="B233" t="s">
        <v>1135</v>
      </c>
      <c r="C233" t="s">
        <v>1</v>
      </c>
      <c r="D233" s="8" t="s">
        <v>1136</v>
      </c>
      <c r="E233" t="s">
        <v>63</v>
      </c>
      <c r="F233">
        <v>1</v>
      </c>
      <c r="G233" s="3">
        <v>247</v>
      </c>
      <c r="H233" s="3">
        <v>345.8</v>
      </c>
      <c r="I233" s="3">
        <f>H233-G233</f>
      </c>
      <c r="J233" s="3">
        <f>I233*16.67%</f>
      </c>
      <c r="K233" s="3">
        <f>H233/100*11</f>
      </c>
      <c r="L233" s="3">
        <v>8.99</v>
      </c>
      <c r="M233" s="3">
        <v>0</v>
      </c>
      <c r="N233" s="3">
        <f>M233*20%</f>
      </c>
      <c r="O233" s="3">
        <v>1</v>
      </c>
      <c r="P233" s="3">
        <f>I233-J233-K233-L233-M233-N233-O233</f>
      </c>
      <c r="Q233" s="3">
        <f>(P233-Y233)/G233*100</f>
      </c>
      <c r="R233" s="3">
        <f>J233-N233</f>
      </c>
      <c r="S233" t="s">
        <v>1</v>
      </c>
      <c r="T233" t="s">
        <v>124</v>
      </c>
      <c r="Z233" s="3">
        <f>P233-Y233</f>
      </c>
      <c r="AA233" t="s">
        <v>125</v>
      </c>
      <c r="AB233" t="s">
        <v>98</v>
      </c>
    </row>
    <row r="234" spans="1:28" x14ac:dyDescent="0.25">
      <c r="A234" s="7">
        <v>46192.5</v>
      </c>
      <c r="B234" t="s">
        <v>1137</v>
      </c>
      <c r="C234" t="s">
        <v>1</v>
      </c>
      <c r="D234" s="8" t="s">
        <v>1138</v>
      </c>
      <c r="E234" t="s">
        <v>77</v>
      </c>
      <c r="F234">
        <v>1</v>
      </c>
      <c r="G234" s="3">
        <v>358</v>
      </c>
      <c r="H234" s="3">
        <v>436.76</v>
      </c>
      <c r="I234" s="3">
        <f>H234-G234</f>
      </c>
      <c r="J234" s="3">
        <f>I234*16.67%</f>
      </c>
      <c r="K234" s="3">
        <f>H234/100*11</f>
      </c>
      <c r="L234" s="3">
        <v>8.99</v>
      </c>
      <c r="M234" s="3">
        <v>0</v>
      </c>
      <c r="N234" s="3">
        <f>M234*20%</f>
      </c>
      <c r="O234" s="3">
        <v>1</v>
      </c>
      <c r="P234" s="3">
        <f>I234-J234-K234-L234-M234-N234-O234</f>
      </c>
      <c r="Q234" s="3">
        <f>(P234-Y234)/G234*100</f>
      </c>
      <c r="R234" s="3">
        <f>J234-N234</f>
      </c>
      <c r="S234" t="s">
        <v>1</v>
      </c>
      <c r="T234" t="s">
        <v>73</v>
      </c>
      <c r="Z234" s="3">
        <f>P234-Y234</f>
      </c>
      <c r="AA234" t="s">
        <v>59</v>
      </c>
      <c r="AB234" t="s">
        <v>69</v>
      </c>
    </row>
    <row r="235" spans="1:28" x14ac:dyDescent="0.25">
      <c r="A235" s="7">
        <v>46191.5</v>
      </c>
      <c r="B235" t="s">
        <v>1139</v>
      </c>
      <c r="C235" t="s">
        <v>1</v>
      </c>
      <c r="D235" s="8" t="s">
        <v>1140</v>
      </c>
      <c r="E235" t="s">
        <v>101</v>
      </c>
      <c r="F235">
        <v>1</v>
      </c>
      <c r="G235" s="3">
        <v>139</v>
      </c>
      <c r="H235" s="3">
        <v>176.53</v>
      </c>
      <c r="I235" s="3">
        <f>H235-G235</f>
      </c>
      <c r="J235" s="3">
        <f>I235*16.67%</f>
      </c>
      <c r="K235" s="3">
        <f>H235/100*11</f>
      </c>
      <c r="L235" s="3">
        <v>8.99</v>
      </c>
      <c r="M235" s="3">
        <v>0</v>
      </c>
      <c r="N235" s="3">
        <f>M235*20%</f>
      </c>
      <c r="O235" s="3">
        <v>1</v>
      </c>
      <c r="P235" s="3">
        <f>I235-J235-K235-L235-M235-N235-O235</f>
      </c>
      <c r="Q235" s="3">
        <f>(P235-Y235)/G235*100</f>
      </c>
      <c r="R235" s="3">
        <f>J235-N235</f>
      </c>
      <c r="S235" t="s">
        <v>1</v>
      </c>
      <c r="T235" t="s">
        <v>90</v>
      </c>
      <c r="Z235" s="3">
        <f>P235-Y235</f>
      </c>
      <c r="AA235" t="s">
        <v>65</v>
      </c>
      <c r="AB235" t="s">
        <v>98</v>
      </c>
    </row>
    <row r="236" spans="1:28" x14ac:dyDescent="0.25">
      <c r="A236" s="7">
        <v>46191.5</v>
      </c>
      <c r="B236" t="s">
        <v>1141</v>
      </c>
      <c r="C236" t="s">
        <v>1</v>
      </c>
      <c r="D236" s="8" t="s">
        <v>1142</v>
      </c>
      <c r="E236" t="s">
        <v>63</v>
      </c>
      <c r="F236">
        <v>1</v>
      </c>
      <c r="G236" s="3">
        <v>596</v>
      </c>
      <c r="H236" s="3">
        <v>768.84</v>
      </c>
      <c r="I236" s="3">
        <f>H236-G236</f>
      </c>
      <c r="J236" s="3">
        <f>I236*16.67%</f>
      </c>
      <c r="K236" s="3">
        <f>H236/100*11</f>
      </c>
      <c r="L236" s="3">
        <v>8.99</v>
      </c>
      <c r="M236" s="3">
        <v>0</v>
      </c>
      <c r="N236" s="3">
        <f>M236*20%</f>
      </c>
      <c r="O236" s="3">
        <v>1</v>
      </c>
      <c r="P236" s="3">
        <f>I236-J236-K236-L236-M236-N236-O236</f>
      </c>
      <c r="Q236" s="3">
        <f>(P236-Y236)/G236*100</f>
      </c>
      <c r="R236" s="3">
        <f>J236-N236</f>
      </c>
      <c r="S236" t="s">
        <v>1</v>
      </c>
      <c r="T236" t="s">
        <v>80</v>
      </c>
      <c r="Z236" s="3">
        <f>P236-Y236</f>
      </c>
      <c r="AA236" t="s">
        <v>59</v>
      </c>
      <c r="AB236" t="s">
        <v>104</v>
      </c>
    </row>
    <row r="237" spans="1:28" x14ac:dyDescent="0.25">
      <c r="A237" s="7">
        <v>46191.5</v>
      </c>
      <c r="B237" t="s">
        <v>1143</v>
      </c>
      <c r="C237" t="s">
        <v>253</v>
      </c>
      <c r="D237" s="8" t="s">
        <v>1</v>
      </c>
      <c r="E237" t="s">
        <v>57</v>
      </c>
      <c r="F237">
        <v>1</v>
      </c>
      <c r="G237" s="3">
        <v>0.8</v>
      </c>
      <c r="H237" s="3">
        <v>1.1</v>
      </c>
      <c r="I237" s="3">
        <f>H237-G237</f>
      </c>
      <c r="J237" s="3">
        <f>I237*16.67%</f>
      </c>
      <c r="K237" s="3">
        <f>H237/100*11</f>
      </c>
      <c r="L237" s="3">
        <v>8.99</v>
      </c>
      <c r="M237" s="3">
        <v>0</v>
      </c>
      <c r="N237" s="3">
        <f>M237*20%</f>
      </c>
      <c r="O237" s="3">
        <v>1</v>
      </c>
      <c r="P237" s="3">
        <f>I237-J237-K237-L237-M237-N237-O237</f>
      </c>
      <c r="Q237" s="3">
        <f>(P237-Y237)/G237*100</f>
      </c>
      <c r="R237" s="3">
        <f>J237-N237</f>
      </c>
      <c r="S237" t="s">
        <v>1</v>
      </c>
      <c r="T237" t="s">
        <v>253</v>
      </c>
      <c r="Z237" s="3">
        <f>P237-Y237</f>
      </c>
      <c r="AA237" t="s">
        <v>1</v>
      </c>
      <c r="AB237" t="s">
        <v>1</v>
      </c>
    </row>
    <row r="238" spans="1:28" x14ac:dyDescent="0.25">
      <c r="A238" s="7">
        <v>46190.5</v>
      </c>
      <c r="B238" t="s">
        <v>1144</v>
      </c>
      <c r="C238" t="s">
        <v>1</v>
      </c>
      <c r="D238" s="8" t="s">
        <v>1145</v>
      </c>
      <c r="E238" t="s">
        <v>77</v>
      </c>
      <c r="F238">
        <v>1</v>
      </c>
      <c r="G238" s="3">
        <v>311</v>
      </c>
      <c r="H238" s="3">
        <v>376.31</v>
      </c>
      <c r="I238" s="3">
        <f>H238-G238</f>
      </c>
      <c r="J238" s="3">
        <f>I238*16.67%</f>
      </c>
      <c r="K238" s="3">
        <f>H238/100*11</f>
      </c>
      <c r="L238" s="3">
        <v>8.99</v>
      </c>
      <c r="M238" s="3">
        <v>0</v>
      </c>
      <c r="N238" s="3">
        <f>M238*20%</f>
      </c>
      <c r="O238" s="3">
        <v>1</v>
      </c>
      <c r="P238" s="3">
        <f>I238-J238-K238-L238-M238-N238-O238</f>
      </c>
      <c r="Q238" s="3">
        <f>(P238-Y238)/G238*100</f>
      </c>
      <c r="R238" s="3">
        <f>J238-N238</f>
      </c>
      <c r="S238" t="s">
        <v>1</v>
      </c>
      <c r="T238" t="s">
        <v>97</v>
      </c>
      <c r="Z238" s="3">
        <f>P238-Y238</f>
      </c>
      <c r="AA238" t="s">
        <v>59</v>
      </c>
      <c r="AB238" t="s">
        <v>98</v>
      </c>
    </row>
    <row r="239" spans="1:28" x14ac:dyDescent="0.25">
      <c r="A239" s="7">
        <v>46190.5</v>
      </c>
      <c r="B239" t="s">
        <v>1146</v>
      </c>
      <c r="C239" t="s">
        <v>1</v>
      </c>
      <c r="D239" s="8" t="s">
        <v>1147</v>
      </c>
      <c r="E239" t="s">
        <v>77</v>
      </c>
      <c r="F239">
        <v>1</v>
      </c>
      <c r="G239" s="3">
        <v>265</v>
      </c>
      <c r="H239" s="3">
        <v>331.25</v>
      </c>
      <c r="I239" s="3">
        <f>H239-G239</f>
      </c>
      <c r="J239" s="3">
        <f>I239*16.67%</f>
      </c>
      <c r="K239" s="3">
        <f>H239/100*11</f>
      </c>
      <c r="L239" s="3">
        <v>8.99</v>
      </c>
      <c r="M239" s="3">
        <v>0</v>
      </c>
      <c r="N239" s="3">
        <f>M239*20%</f>
      </c>
      <c r="O239" s="3">
        <v>1</v>
      </c>
      <c r="P239" s="3">
        <f>I239-J239-K239-L239-M239-N239-O239</f>
      </c>
      <c r="Q239" s="3">
        <f>(P239-Y239)/G239*100</f>
      </c>
      <c r="R239" s="3">
        <f>J239-N239</f>
      </c>
      <c r="S239" t="s">
        <v>1</v>
      </c>
      <c r="T239" t="s">
        <v>130</v>
      </c>
      <c r="Z239" s="3">
        <f>P239-Y239</f>
      </c>
      <c r="AA239" t="s">
        <v>59</v>
      </c>
      <c r="AB239" t="s">
        <v>104</v>
      </c>
    </row>
    <row r="240" spans="1:28" x14ac:dyDescent="0.25">
      <c r="A240" s="7">
        <v>46190.5</v>
      </c>
      <c r="B240" t="s">
        <v>1148</v>
      </c>
      <c r="C240" t="s">
        <v>1</v>
      </c>
      <c r="D240" s="8" t="s">
        <v>1149</v>
      </c>
      <c r="E240" t="s">
        <v>57</v>
      </c>
      <c r="F240">
        <v>1</v>
      </c>
      <c r="G240" s="3">
        <v>256</v>
      </c>
      <c r="H240" s="3">
        <v>360.96</v>
      </c>
      <c r="I240" s="3">
        <f>H240-G240</f>
      </c>
      <c r="J240" s="3">
        <f>I240*16.67%</f>
      </c>
      <c r="K240" s="3">
        <f>H240/100*11</f>
      </c>
      <c r="L240" s="3">
        <v>8.99</v>
      </c>
      <c r="M240" s="3">
        <v>0</v>
      </c>
      <c r="N240" s="3">
        <f>M240*20%</f>
      </c>
      <c r="O240" s="3">
        <v>1</v>
      </c>
      <c r="P240" s="3">
        <f>I240-J240-K240-L240-M240-N240-O240</f>
      </c>
      <c r="Q240" s="3">
        <f>(P240-Y240)/G240*100</f>
      </c>
      <c r="R240" s="3">
        <f>J240-N240</f>
      </c>
      <c r="S240" t="s">
        <v>1</v>
      </c>
      <c r="T240" t="s">
        <v>64</v>
      </c>
      <c r="Z240" s="3">
        <f>P240-Y240</f>
      </c>
      <c r="AA240" t="s">
        <v>65</v>
      </c>
      <c r="AB240" t="s">
        <v>98</v>
      </c>
    </row>
    <row r="241" spans="1:28" x14ac:dyDescent="0.25">
      <c r="A241" s="7">
        <v>46190.5</v>
      </c>
      <c r="B241" t="s">
        <v>1150</v>
      </c>
      <c r="C241" t="s">
        <v>1</v>
      </c>
      <c r="D241" s="8" t="s">
        <v>1151</v>
      </c>
      <c r="E241" t="s">
        <v>63</v>
      </c>
      <c r="F241">
        <v>1</v>
      </c>
      <c r="G241" s="3">
        <v>460</v>
      </c>
      <c r="H241" s="3">
        <v>593.4</v>
      </c>
      <c r="I241" s="3">
        <f>H241-G241</f>
      </c>
      <c r="J241" s="3">
        <f>I241*16.67%</f>
      </c>
      <c r="K241" s="3">
        <f>H241/100*11</f>
      </c>
      <c r="L241" s="3">
        <v>8.99</v>
      </c>
      <c r="M241" s="3">
        <v>0</v>
      </c>
      <c r="N241" s="3">
        <f>M241*20%</f>
      </c>
      <c r="O241" s="3">
        <v>1</v>
      </c>
      <c r="P241" s="3">
        <f>I241-J241-K241-L241-M241-N241-O241</f>
      </c>
      <c r="Q241" s="3">
        <f>(P241-Y241)/G241*100</f>
      </c>
      <c r="R241" s="3">
        <f>J241-N241</f>
      </c>
      <c r="S241" t="s">
        <v>1</v>
      </c>
      <c r="T241" t="s">
        <v>58</v>
      </c>
      <c r="Z241" s="3">
        <f>P241-Y241</f>
      </c>
      <c r="AA241" t="s">
        <v>59</v>
      </c>
      <c r="AB241" t="s">
        <v>60</v>
      </c>
    </row>
    <row r="242" spans="1:28" x14ac:dyDescent="0.25">
      <c r="A242" s="7">
        <v>46189.5</v>
      </c>
      <c r="B242" t="s">
        <v>1152</v>
      </c>
      <c r="C242" t="s">
        <v>1</v>
      </c>
      <c r="D242" s="8" t="s">
        <v>1153</v>
      </c>
      <c r="E242" t="s">
        <v>63</v>
      </c>
      <c r="F242">
        <v>1</v>
      </c>
      <c r="G242" s="3">
        <v>501</v>
      </c>
      <c r="H242" s="3">
        <v>696.39</v>
      </c>
      <c r="I242" s="3">
        <f>H242-G242</f>
      </c>
      <c r="J242" s="3">
        <f>I242*16.67%</f>
      </c>
      <c r="K242" s="3">
        <f>H242/100*11</f>
      </c>
      <c r="L242" s="3">
        <v>8.99</v>
      </c>
      <c r="M242" s="3">
        <v>0</v>
      </c>
      <c r="N242" s="3">
        <f>M242*20%</f>
      </c>
      <c r="O242" s="3">
        <v>1</v>
      </c>
      <c r="P242" s="3">
        <f>I242-J242-K242-L242-M242-N242-O242</f>
      </c>
      <c r="Q242" s="3">
        <f>(P242-Y242)/G242*100</f>
      </c>
      <c r="R242" s="3">
        <f>J242-N242</f>
      </c>
      <c r="S242" t="s">
        <v>1</v>
      </c>
      <c r="T242" t="s">
        <v>68</v>
      </c>
      <c r="Z242" s="3">
        <f>P242-Y242</f>
      </c>
      <c r="AA242" t="s">
        <v>59</v>
      </c>
      <c r="AB242" t="s">
        <v>87</v>
      </c>
    </row>
    <row r="243" spans="1:28" x14ac:dyDescent="0.25">
      <c r="A243" s="7">
        <v>46189.5</v>
      </c>
      <c r="B243" t="s">
        <v>1154</v>
      </c>
      <c r="C243" t="s">
        <v>1</v>
      </c>
      <c r="D243" s="8" t="s">
        <v>1155</v>
      </c>
      <c r="E243" t="s">
        <v>101</v>
      </c>
      <c r="F243">
        <v>1</v>
      </c>
      <c r="G243" s="3">
        <v>64</v>
      </c>
      <c r="H243" s="3">
        <v>74.24</v>
      </c>
      <c r="I243" s="3">
        <f>H243-G243</f>
      </c>
      <c r="J243" s="3">
        <f>I243*16.67%</f>
      </c>
      <c r="K243" s="3">
        <f>H243/100*11</f>
      </c>
      <c r="L243" s="3">
        <v>8.99</v>
      </c>
      <c r="M243" s="3">
        <v>0</v>
      </c>
      <c r="N243" s="3">
        <f>M243*20%</f>
      </c>
      <c r="O243" s="3">
        <v>1</v>
      </c>
      <c r="P243" s="3">
        <f>I243-J243-K243-L243-M243-N243-O243</f>
      </c>
      <c r="Q243" s="3">
        <f>(P243-Y243)/G243*100</f>
      </c>
      <c r="R243" s="3">
        <f>J243-N243</f>
      </c>
      <c r="S243" t="s">
        <v>1</v>
      </c>
      <c r="T243" t="s">
        <v>93</v>
      </c>
      <c r="Z243" s="3">
        <f>P243-Y243</f>
      </c>
      <c r="AA243" t="s">
        <v>94</v>
      </c>
      <c r="AB243" t="s">
        <v>84</v>
      </c>
    </row>
    <row r="244" spans="1:28" x14ac:dyDescent="0.25">
      <c r="A244" s="7">
        <v>46189.5</v>
      </c>
      <c r="B244" t="s">
        <v>1156</v>
      </c>
      <c r="C244" t="s">
        <v>1</v>
      </c>
      <c r="D244" s="8" t="s">
        <v>1157</v>
      </c>
      <c r="E244" t="s">
        <v>77</v>
      </c>
      <c r="F244">
        <v>1</v>
      </c>
      <c r="G244" s="3">
        <v>360</v>
      </c>
      <c r="H244" s="3">
        <v>482.4</v>
      </c>
      <c r="I244" s="3">
        <f>H244-G244</f>
      </c>
      <c r="J244" s="3">
        <f>I244*16.67%</f>
      </c>
      <c r="K244" s="3">
        <f>H244/100*11</f>
      </c>
      <c r="L244" s="3">
        <v>8.99</v>
      </c>
      <c r="M244" s="3">
        <v>0</v>
      </c>
      <c r="N244" s="3">
        <f>M244*20%</f>
      </c>
      <c r="O244" s="3">
        <v>1</v>
      </c>
      <c r="P244" s="3">
        <f>I244-J244-K244-L244-M244-N244-O244</f>
      </c>
      <c r="Q244" s="3">
        <f>(P244-Y244)/G244*100</f>
      </c>
      <c r="R244" s="3">
        <f>J244-N244</f>
      </c>
      <c r="S244" t="s">
        <v>1</v>
      </c>
      <c r="T244" t="s">
        <v>138</v>
      </c>
      <c r="Z244" s="3">
        <f>P244-Y244</f>
      </c>
      <c r="AA244" t="s">
        <v>65</v>
      </c>
      <c r="AB244" t="s">
        <v>74</v>
      </c>
    </row>
    <row r="245" spans="1:28" x14ac:dyDescent="0.25">
      <c r="A245" s="7">
        <v>46189.5</v>
      </c>
      <c r="B245" t="s">
        <v>1158</v>
      </c>
      <c r="C245" t="s">
        <v>1</v>
      </c>
      <c r="D245" s="8" t="s">
        <v>1159</v>
      </c>
      <c r="E245" t="s">
        <v>63</v>
      </c>
      <c r="F245">
        <v>1</v>
      </c>
      <c r="G245" s="3">
        <v>294</v>
      </c>
      <c r="H245" s="3">
        <v>423.36</v>
      </c>
      <c r="I245" s="3">
        <f>H245-G245</f>
      </c>
      <c r="J245" s="3">
        <f>I245*16.67%</f>
      </c>
      <c r="K245" s="3">
        <f>H245/100*11</f>
      </c>
      <c r="L245" s="3">
        <v>8.99</v>
      </c>
      <c r="M245" s="3">
        <v>0</v>
      </c>
      <c r="N245" s="3">
        <f>M245*20%</f>
      </c>
      <c r="O245" s="3">
        <v>1</v>
      </c>
      <c r="P245" s="3">
        <f>I245-J245-K245-L245-M245-N245-O245</f>
      </c>
      <c r="Q245" s="3">
        <f>(P245-Y245)/G245*100</f>
      </c>
      <c r="R245" s="3">
        <f>J245-N245</f>
      </c>
      <c r="S245" t="s">
        <v>1</v>
      </c>
      <c r="T245" t="s">
        <v>130</v>
      </c>
      <c r="Z245" s="3">
        <f>P245-Y245</f>
      </c>
      <c r="AA245" t="s">
        <v>59</v>
      </c>
      <c r="AB245" t="s">
        <v>69</v>
      </c>
    </row>
    <row r="246" spans="1:28" x14ac:dyDescent="0.25">
      <c r="A246" s="7">
        <v>46189.5</v>
      </c>
      <c r="B246" t="s">
        <v>1160</v>
      </c>
      <c r="C246" t="s">
        <v>1</v>
      </c>
      <c r="D246" s="8" t="s">
        <v>1161</v>
      </c>
      <c r="E246" t="s">
        <v>101</v>
      </c>
      <c r="F246">
        <v>1</v>
      </c>
      <c r="G246" s="3">
        <v>511</v>
      </c>
      <c r="H246" s="3">
        <v>638.75</v>
      </c>
      <c r="I246" s="3">
        <f>H246-G246</f>
      </c>
      <c r="J246" s="3">
        <f>I246*16.67%</f>
      </c>
      <c r="K246" s="3">
        <f>H246/100*11</f>
      </c>
      <c r="L246" s="3">
        <v>8.99</v>
      </c>
      <c r="M246" s="3">
        <v>0</v>
      </c>
      <c r="N246" s="3">
        <f>M246*20%</f>
      </c>
      <c r="O246" s="3">
        <v>1</v>
      </c>
      <c r="P246" s="3">
        <f>I246-J246-K246-L246-M246-N246-O246</f>
      </c>
      <c r="Q246" s="3">
        <f>(P246-Y246)/G246*100</f>
      </c>
      <c r="R246" s="3">
        <f>J246-N246</f>
      </c>
      <c r="S246" t="s">
        <v>1</v>
      </c>
      <c r="T246" t="s">
        <v>68</v>
      </c>
      <c r="Z246" s="3">
        <f>P246-Y246</f>
      </c>
      <c r="AA246" t="s">
        <v>59</v>
      </c>
      <c r="AB246" t="s">
        <v>69</v>
      </c>
    </row>
    <row r="247" spans="1:28" x14ac:dyDescent="0.25">
      <c r="A247" s="7">
        <v>46189.5</v>
      </c>
      <c r="B247" t="s">
        <v>1162</v>
      </c>
      <c r="C247" t="s">
        <v>181</v>
      </c>
      <c r="D247" s="8" t="s">
        <v>1</v>
      </c>
      <c r="E247" t="s">
        <v>72</v>
      </c>
      <c r="F247">
        <v>2</v>
      </c>
      <c r="G247" s="3">
        <v>3.8</v>
      </c>
      <c r="H247" s="3">
        <v>4.64</v>
      </c>
      <c r="I247" s="3">
        <f>H247-G247</f>
      </c>
      <c r="J247" s="3">
        <f>I247*16.67%</f>
      </c>
      <c r="K247" s="3">
        <f>H247/100*11</f>
      </c>
      <c r="L247" s="3">
        <v>8.99</v>
      </c>
      <c r="M247" s="3">
        <v>0</v>
      </c>
      <c r="N247" s="3">
        <f>M247*20%</f>
      </c>
      <c r="O247" s="3">
        <v>1</v>
      </c>
      <c r="P247" s="3">
        <f>I247-J247-K247-L247-M247-N247-O247</f>
      </c>
      <c r="Q247" s="3">
        <f>(P247-Y247)/G247*100</f>
      </c>
      <c r="R247" s="3">
        <f>J247-N247</f>
      </c>
      <c r="S247" t="s">
        <v>1</v>
      </c>
      <c r="T247" t="s">
        <v>181</v>
      </c>
      <c r="Z247" s="3">
        <f>P247-Y247</f>
      </c>
      <c r="AA247" t="s">
        <v>1</v>
      </c>
      <c r="AB247" t="s">
        <v>1</v>
      </c>
    </row>
    <row r="248" spans="1:28" x14ac:dyDescent="0.25">
      <c r="A248" s="7">
        <v>46189.5</v>
      </c>
      <c r="B248" t="s">
        <v>1163</v>
      </c>
      <c r="C248" t="s">
        <v>181</v>
      </c>
      <c r="D248" s="8" t="s">
        <v>1</v>
      </c>
      <c r="E248" t="s">
        <v>72</v>
      </c>
      <c r="F248">
        <v>2</v>
      </c>
      <c r="G248" s="3">
        <v>3.8</v>
      </c>
      <c r="H248" s="3">
        <v>4.41</v>
      </c>
      <c r="I248" s="3">
        <f>H248-G248</f>
      </c>
      <c r="J248" s="3">
        <f>I248*16.67%</f>
      </c>
      <c r="K248" s="3">
        <f>H248/100*11</f>
      </c>
      <c r="L248" s="3">
        <v>8.99</v>
      </c>
      <c r="M248" s="3">
        <v>0</v>
      </c>
      <c r="N248" s="3">
        <f>M248*20%</f>
      </c>
      <c r="O248" s="3">
        <v>1</v>
      </c>
      <c r="P248" s="3">
        <f>I248-J248-K248-L248-M248-N248-O248</f>
      </c>
      <c r="Q248" s="3">
        <f>(P248-Y248)/G248*100</f>
      </c>
      <c r="R248" s="3">
        <f>J248-N248</f>
      </c>
      <c r="S248" t="s">
        <v>1</v>
      </c>
      <c r="T248" t="s">
        <v>181</v>
      </c>
      <c r="Z248" s="3">
        <f>P248-Y248</f>
      </c>
      <c r="AA248" t="s">
        <v>1</v>
      </c>
      <c r="AB248" t="s">
        <v>1</v>
      </c>
    </row>
    <row r="249" spans="1:28" x14ac:dyDescent="0.25">
      <c r="A249" s="7">
        <v>46189.5</v>
      </c>
      <c r="B249" t="s">
        <v>1164</v>
      </c>
      <c r="C249" t="s">
        <v>184</v>
      </c>
      <c r="D249" s="8" t="s">
        <v>1</v>
      </c>
      <c r="E249" t="s">
        <v>101</v>
      </c>
      <c r="F249">
        <v>4</v>
      </c>
      <c r="G249" s="3">
        <v>4.8</v>
      </c>
      <c r="H249" s="3">
        <v>6.58</v>
      </c>
      <c r="I249" s="3">
        <f>H249-G249</f>
      </c>
      <c r="J249" s="3">
        <f>I249*16.67%</f>
      </c>
      <c r="K249" s="3">
        <f>H249/100*11</f>
      </c>
      <c r="L249" s="3">
        <v>8.99</v>
      </c>
      <c r="M249" s="3">
        <v>0</v>
      </c>
      <c r="N249" s="3">
        <f>M249*20%</f>
      </c>
      <c r="O249" s="3">
        <v>1</v>
      </c>
      <c r="P249" s="3">
        <f>I249-J249-K249-L249-M249-N249-O249</f>
      </c>
      <c r="Q249" s="3">
        <f>(P249-Y249)/G249*100</f>
      </c>
      <c r="R249" s="3">
        <f>J249-N249</f>
      </c>
      <c r="S249" t="s">
        <v>1</v>
      </c>
      <c r="T249" t="s">
        <v>184</v>
      </c>
      <c r="Z249" s="3">
        <f>P249-Y249</f>
      </c>
      <c r="AA249" t="s">
        <v>1</v>
      </c>
      <c r="AB249" t="s">
        <v>1</v>
      </c>
    </row>
    <row r="250" spans="1:28" x14ac:dyDescent="0.25">
      <c r="A250" s="7">
        <v>46189.5</v>
      </c>
      <c r="B250" t="s">
        <v>1165</v>
      </c>
      <c r="C250" t="s">
        <v>188</v>
      </c>
      <c r="D250" s="8" t="s">
        <v>1</v>
      </c>
      <c r="E250" t="s">
        <v>63</v>
      </c>
      <c r="F250">
        <v>1</v>
      </c>
      <c r="G250" s="3">
        <v>3.5</v>
      </c>
      <c r="H250" s="3">
        <v>4.2</v>
      </c>
      <c r="I250" s="3">
        <f>H250-G250</f>
      </c>
      <c r="J250" s="3">
        <f>I250*16.67%</f>
      </c>
      <c r="K250" s="3">
        <f>H250/100*11</f>
      </c>
      <c r="L250" s="3">
        <v>8.99</v>
      </c>
      <c r="M250" s="3">
        <v>0</v>
      </c>
      <c r="N250" s="3">
        <f>M250*20%</f>
      </c>
      <c r="O250" s="3">
        <v>1</v>
      </c>
      <c r="P250" s="3">
        <f>I250-J250-K250-L250-M250-N250-O250</f>
      </c>
      <c r="Q250" s="3">
        <f>(P250-Y250)/G250*100</f>
      </c>
      <c r="R250" s="3">
        <f>J250-N250</f>
      </c>
      <c r="S250" t="s">
        <v>1</v>
      </c>
      <c r="T250" t="s">
        <v>188</v>
      </c>
      <c r="Z250" s="3">
        <f>P250-Y250</f>
      </c>
      <c r="AA250" t="s">
        <v>1</v>
      </c>
      <c r="AB250" t="s">
        <v>1</v>
      </c>
    </row>
    <row r="251" spans="1:28" x14ac:dyDescent="0.25">
      <c r="A251" s="7">
        <v>46189.5</v>
      </c>
      <c r="B251" t="s">
        <v>1166</v>
      </c>
      <c r="C251" t="s">
        <v>173</v>
      </c>
      <c r="D251" s="8" t="s">
        <v>1</v>
      </c>
      <c r="E251" t="s">
        <v>63</v>
      </c>
      <c r="F251">
        <v>4</v>
      </c>
      <c r="G251" s="3">
        <v>17</v>
      </c>
      <c r="H251" s="3">
        <v>19.55</v>
      </c>
      <c r="I251" s="3">
        <f>H251-G251</f>
      </c>
      <c r="J251" s="3">
        <f>I251*16.67%</f>
      </c>
      <c r="K251" s="3">
        <f>H251/100*11</f>
      </c>
      <c r="L251" s="3">
        <v>8.99</v>
      </c>
      <c r="M251" s="3">
        <v>0</v>
      </c>
      <c r="N251" s="3">
        <f>M251*20%</f>
      </c>
      <c r="O251" s="3">
        <v>1</v>
      </c>
      <c r="P251" s="3">
        <f>I251-J251-K251-L251-M251-N251-O251</f>
      </c>
      <c r="Q251" s="3">
        <f>(P251-Y251)/G251*100</f>
      </c>
      <c r="R251" s="3">
        <f>J251-N251</f>
      </c>
      <c r="S251" t="s">
        <v>1</v>
      </c>
      <c r="T251" t="s">
        <v>173</v>
      </c>
      <c r="Z251" s="3">
        <f>P251-Y251</f>
      </c>
      <c r="AA251" t="s">
        <v>1</v>
      </c>
      <c r="AB251" t="s">
        <v>1</v>
      </c>
    </row>
    <row r="252" spans="1:28" x14ac:dyDescent="0.25">
      <c r="A252" s="7">
        <v>46188.5</v>
      </c>
      <c r="B252" t="s">
        <v>1167</v>
      </c>
      <c r="C252" t="s">
        <v>1</v>
      </c>
      <c r="D252" s="8" t="s">
        <v>1168</v>
      </c>
      <c r="E252" t="s">
        <v>57</v>
      </c>
      <c r="F252">
        <v>1</v>
      </c>
      <c r="G252" s="3">
        <v>139</v>
      </c>
      <c r="H252" s="3">
        <v>191.82</v>
      </c>
      <c r="I252" s="3">
        <f>H252-G252</f>
      </c>
      <c r="J252" s="3">
        <f>I252*16.67%</f>
      </c>
      <c r="K252" s="3">
        <f>H252/100*11</f>
      </c>
      <c r="L252" s="3">
        <v>8.99</v>
      </c>
      <c r="M252" s="3">
        <v>0</v>
      </c>
      <c r="N252" s="3">
        <f>M252*20%</f>
      </c>
      <c r="O252" s="3">
        <v>1</v>
      </c>
      <c r="P252" s="3">
        <f>I252-J252-K252-L252-M252-N252-O252</f>
      </c>
      <c r="Q252" s="3">
        <f>(P252-Y252)/G252*100</f>
      </c>
      <c r="R252" s="3">
        <f>J252-N252</f>
      </c>
      <c r="S252" t="s">
        <v>1</v>
      </c>
      <c r="T252" t="s">
        <v>90</v>
      </c>
      <c r="Z252" s="3">
        <f>P252-Y252</f>
      </c>
      <c r="AA252" t="s">
        <v>65</v>
      </c>
      <c r="AB252" t="s">
        <v>104</v>
      </c>
    </row>
    <row r="253" spans="1:28" x14ac:dyDescent="0.25">
      <c r="A253" s="7">
        <v>46188.5</v>
      </c>
      <c r="B253" t="s">
        <v>1169</v>
      </c>
      <c r="C253" t="s">
        <v>1</v>
      </c>
      <c r="D253" s="8" t="s">
        <v>1170</v>
      </c>
      <c r="E253" t="s">
        <v>101</v>
      </c>
      <c r="F253">
        <v>1</v>
      </c>
      <c r="G253" s="3">
        <v>370</v>
      </c>
      <c r="H253" s="3">
        <v>488.4</v>
      </c>
      <c r="I253" s="3">
        <f>H253-G253</f>
      </c>
      <c r="J253" s="3">
        <f>I253*16.67%</f>
      </c>
      <c r="K253" s="3">
        <f>H253/100*11</f>
      </c>
      <c r="L253" s="3">
        <v>8.99</v>
      </c>
      <c r="M253" s="3">
        <v>0</v>
      </c>
      <c r="N253" s="3">
        <f>M253*20%</f>
      </c>
      <c r="O253" s="3">
        <v>1</v>
      </c>
      <c r="P253" s="3">
        <f>I253-J253-K253-L253-M253-N253-O253</f>
      </c>
      <c r="Q253" s="3">
        <f>(P253-Y253)/G253*100</f>
      </c>
      <c r="R253" s="3">
        <f>J253-N253</f>
      </c>
      <c r="S253" t="s">
        <v>1</v>
      </c>
      <c r="T253" t="s">
        <v>73</v>
      </c>
      <c r="Z253" s="3">
        <f>P253-Y253</f>
      </c>
      <c r="AA253" t="s">
        <v>59</v>
      </c>
      <c r="AB253" t="s">
        <v>60</v>
      </c>
    </row>
    <row r="254" spans="1:28" x14ac:dyDescent="0.25">
      <c r="A254" s="7">
        <v>46188.5</v>
      </c>
      <c r="B254" t="s">
        <v>1171</v>
      </c>
      <c r="C254" t="s">
        <v>1</v>
      </c>
      <c r="D254" s="8" t="s">
        <v>1172</v>
      </c>
      <c r="E254" t="s">
        <v>57</v>
      </c>
      <c r="F254">
        <v>1</v>
      </c>
      <c r="G254" s="3">
        <v>297</v>
      </c>
      <c r="H254" s="3">
        <v>397.98</v>
      </c>
      <c r="I254" s="3">
        <f>H254-G254</f>
      </c>
      <c r="J254" s="3">
        <f>I254*16.67%</f>
      </c>
      <c r="K254" s="3">
        <f>H254/100*11</f>
      </c>
      <c r="L254" s="3">
        <v>8.99</v>
      </c>
      <c r="M254" s="3">
        <v>0</v>
      </c>
      <c r="N254" s="3">
        <f>M254*20%</f>
      </c>
      <c r="O254" s="3">
        <v>1</v>
      </c>
      <c r="P254" s="3">
        <f>I254-J254-K254-L254-M254-N254-O254</f>
      </c>
      <c r="Q254" s="3">
        <f>(P254-Y254)/G254*100</f>
      </c>
      <c r="R254" s="3">
        <f>J254-N254</f>
      </c>
      <c r="S254" t="s">
        <v>1</v>
      </c>
      <c r="T254" t="s">
        <v>97</v>
      </c>
      <c r="Z254" s="3">
        <f>P254-Y254</f>
      </c>
      <c r="AA254" t="s">
        <v>65</v>
      </c>
      <c r="AB254" t="s">
        <v>87</v>
      </c>
    </row>
    <row r="255" spans="1:28" x14ac:dyDescent="0.25">
      <c r="A255" s="7">
        <v>46188.5</v>
      </c>
      <c r="B255" t="s">
        <v>1173</v>
      </c>
      <c r="C255" t="s">
        <v>1</v>
      </c>
      <c r="D255" s="8" t="s">
        <v>1174</v>
      </c>
      <c r="E255" t="s">
        <v>77</v>
      </c>
      <c r="F255">
        <v>1</v>
      </c>
      <c r="G255" s="3">
        <v>186</v>
      </c>
      <c r="H255" s="3">
        <v>260.4</v>
      </c>
      <c r="I255" s="3">
        <f>H255-G255</f>
      </c>
      <c r="J255" s="3">
        <f>I255*16.67%</f>
      </c>
      <c r="K255" s="3">
        <f>H255/100*11</f>
      </c>
      <c r="L255" s="3">
        <v>8.99</v>
      </c>
      <c r="M255" s="3">
        <v>0</v>
      </c>
      <c r="N255" s="3">
        <f>M255*20%</f>
      </c>
      <c r="O255" s="3">
        <v>1</v>
      </c>
      <c r="P255" s="3">
        <f>I255-J255-K255-L255-M255-N255-O255</f>
      </c>
      <c r="Q255" s="3">
        <f>(P255-Y255)/G255*100</f>
      </c>
      <c r="R255" s="3">
        <f>J255-N255</f>
      </c>
      <c r="S255" t="s">
        <v>1</v>
      </c>
      <c r="T255" t="s">
        <v>113</v>
      </c>
      <c r="Z255" s="3">
        <f>P255-Y255</f>
      </c>
      <c r="AA255" t="s">
        <v>94</v>
      </c>
      <c r="AB255" t="s">
        <v>69</v>
      </c>
    </row>
    <row r="256" spans="1:28" x14ac:dyDescent="0.25">
      <c r="A256" s="7">
        <v>46188.5</v>
      </c>
      <c r="B256" t="s">
        <v>1175</v>
      </c>
      <c r="C256" t="s">
        <v>188</v>
      </c>
      <c r="D256" s="8" t="s">
        <v>1</v>
      </c>
      <c r="E256" t="s">
        <v>63</v>
      </c>
      <c r="F256">
        <v>3</v>
      </c>
      <c r="G256" s="3">
        <v>10.5</v>
      </c>
      <c r="H256" s="3">
        <v>13.86</v>
      </c>
      <c r="I256" s="3">
        <f>H256-G256</f>
      </c>
      <c r="J256" s="3">
        <f>I256*16.67%</f>
      </c>
      <c r="K256" s="3">
        <f>H256/100*11</f>
      </c>
      <c r="L256" s="3">
        <v>8.99</v>
      </c>
      <c r="M256" s="3">
        <v>0</v>
      </c>
      <c r="N256" s="3">
        <f>M256*20%</f>
      </c>
      <c r="O256" s="3">
        <v>1</v>
      </c>
      <c r="P256" s="3">
        <f>I256-J256-K256-L256-M256-N256-O256</f>
      </c>
      <c r="Q256" s="3">
        <f>(P256-Y256)/G256*100</f>
      </c>
      <c r="R256" s="3">
        <f>J256-N256</f>
      </c>
      <c r="S256" t="s">
        <v>1</v>
      </c>
      <c r="T256" t="s">
        <v>188</v>
      </c>
      <c r="Z256" s="3">
        <f>P256-Y256</f>
      </c>
      <c r="AA256" t="s">
        <v>1</v>
      </c>
      <c r="AB256" t="s">
        <v>1</v>
      </c>
    </row>
    <row r="257" spans="1:28" x14ac:dyDescent="0.25">
      <c r="A257" s="7">
        <v>46188.5</v>
      </c>
      <c r="B257" t="s">
        <v>1176</v>
      </c>
      <c r="C257" t="s">
        <v>173</v>
      </c>
      <c r="D257" s="8" t="s">
        <v>1</v>
      </c>
      <c r="E257" t="s">
        <v>63</v>
      </c>
      <c r="F257">
        <v>2</v>
      </c>
      <c r="G257" s="3">
        <v>8.5</v>
      </c>
      <c r="H257" s="3">
        <v>11.98</v>
      </c>
      <c r="I257" s="3">
        <f>H257-G257</f>
      </c>
      <c r="J257" s="3">
        <f>I257*16.67%</f>
      </c>
      <c r="K257" s="3">
        <f>H257/100*11</f>
      </c>
      <c r="L257" s="3">
        <v>8.99</v>
      </c>
      <c r="M257" s="3">
        <v>0</v>
      </c>
      <c r="N257" s="3">
        <f>M257*20%</f>
      </c>
      <c r="O257" s="3">
        <v>1</v>
      </c>
      <c r="P257" s="3">
        <f>I257-J257-K257-L257-M257-N257-O257</f>
      </c>
      <c r="Q257" s="3">
        <f>(P257-Y257)/G257*100</f>
      </c>
      <c r="R257" s="3">
        <f>J257-N257</f>
      </c>
      <c r="S257" t="s">
        <v>1</v>
      </c>
      <c r="T257" t="s">
        <v>173</v>
      </c>
      <c r="Z257" s="3">
        <f>P257-Y257</f>
      </c>
      <c r="AA257" t="s">
        <v>1</v>
      </c>
      <c r="AB257" t="s">
        <v>1</v>
      </c>
    </row>
    <row r="258" spans="1:28" x14ac:dyDescent="0.25">
      <c r="A258" s="7">
        <v>46188.5</v>
      </c>
      <c r="B258" t="s">
        <v>1177</v>
      </c>
      <c r="C258" t="s">
        <v>1</v>
      </c>
      <c r="D258" s="8" t="s">
        <v>1</v>
      </c>
      <c r="E258" t="s">
        <v>63</v>
      </c>
      <c r="F258">
        <v>1</v>
      </c>
      <c r="G258" s="3">
        <v>98</v>
      </c>
      <c r="H258" s="3">
        <v>138.18</v>
      </c>
      <c r="I258" s="3">
        <f>H258-G258</f>
      </c>
      <c r="J258" s="3">
        <f>I258*16.67%</f>
      </c>
      <c r="K258" s="3">
        <f>H258/100*11</f>
      </c>
      <c r="L258" s="3">
        <v>8.99</v>
      </c>
      <c r="M258" s="3">
        <v>0</v>
      </c>
      <c r="N258" s="3">
        <f>M258*20%</f>
      </c>
      <c r="O258" s="3">
        <v>1</v>
      </c>
      <c r="P258" s="3">
        <f>I258-J258-K258-L258-M258-N258-O258</f>
      </c>
      <c r="Q258" s="3">
        <f>(P258-Y258)/G258*100</f>
      </c>
      <c r="R258" s="3">
        <f>J258-N258</f>
      </c>
      <c r="S258" t="s">
        <v>1</v>
      </c>
      <c r="T258" t="s">
        <v>1</v>
      </c>
      <c r="Z258" s="3">
        <f>P258-Y258</f>
      </c>
      <c r="AA258" t="s">
        <v>1</v>
      </c>
      <c r="AB258" t="s">
        <v>1</v>
      </c>
    </row>
    <row r="259" spans="1:28" x14ac:dyDescent="0.25">
      <c r="A259" s="7">
        <v>46187.5</v>
      </c>
      <c r="B259" t="s">
        <v>1178</v>
      </c>
      <c r="C259" t="s">
        <v>1</v>
      </c>
      <c r="D259" s="8" t="s">
        <v>1179</v>
      </c>
      <c r="E259" t="s">
        <v>57</v>
      </c>
      <c r="F259">
        <v>1</v>
      </c>
      <c r="G259" s="3">
        <v>162</v>
      </c>
      <c r="H259" s="3">
        <v>231.66</v>
      </c>
      <c r="I259" s="3">
        <f>H259-G259</f>
      </c>
      <c r="J259" s="3">
        <f>I259*16.67%</f>
      </c>
      <c r="K259" s="3">
        <f>H259/100*11</f>
      </c>
      <c r="L259" s="3">
        <v>8.99</v>
      </c>
      <c r="M259" s="3">
        <v>0</v>
      </c>
      <c r="N259" s="3">
        <f>M259*20%</f>
      </c>
      <c r="O259" s="3">
        <v>1</v>
      </c>
      <c r="P259" s="3">
        <f>I259-J259-K259-L259-M259-N259-O259</f>
      </c>
      <c r="Q259" s="3">
        <f>(P259-Y259)/G259*100</f>
      </c>
      <c r="R259" s="3">
        <f>J259-N259</f>
      </c>
      <c r="S259" t="s">
        <v>1</v>
      </c>
      <c r="T259" t="s">
        <v>171</v>
      </c>
      <c r="Z259" s="3">
        <f>P259-Y259</f>
      </c>
      <c r="AA259" t="s">
        <v>65</v>
      </c>
      <c r="AB259" t="s">
        <v>74</v>
      </c>
    </row>
    <row r="260" spans="1:28" x14ac:dyDescent="0.25">
      <c r="A260" s="7">
        <v>46187.5</v>
      </c>
      <c r="B260" t="s">
        <v>1180</v>
      </c>
      <c r="C260" t="s">
        <v>1</v>
      </c>
      <c r="D260" s="8" t="s">
        <v>1181</v>
      </c>
      <c r="E260" t="s">
        <v>101</v>
      </c>
      <c r="F260">
        <v>1</v>
      </c>
      <c r="G260" s="3">
        <v>230</v>
      </c>
      <c r="H260" s="3">
        <v>287.5</v>
      </c>
      <c r="I260" s="3">
        <f>H260-G260</f>
      </c>
      <c r="J260" s="3">
        <f>I260*16.67%</f>
      </c>
      <c r="K260" s="3">
        <f>H260/100*11</f>
      </c>
      <c r="L260" s="3">
        <v>8.99</v>
      </c>
      <c r="M260" s="3">
        <v>0</v>
      </c>
      <c r="N260" s="3">
        <f>M260*20%</f>
      </c>
      <c r="O260" s="3">
        <v>1</v>
      </c>
      <c r="P260" s="3">
        <f>I260-J260-K260-L260-M260-N260-O260</f>
      </c>
      <c r="Q260" s="3">
        <f>(P260-Y260)/G260*100</f>
      </c>
      <c r="R260" s="3">
        <f>J260-N260</f>
      </c>
      <c r="S260" t="s">
        <v>1</v>
      </c>
      <c r="T260" t="s">
        <v>124</v>
      </c>
      <c r="Z260" s="3">
        <f>P260-Y260</f>
      </c>
      <c r="AA260" t="s">
        <v>125</v>
      </c>
      <c r="AB260" t="s">
        <v>98</v>
      </c>
    </row>
    <row r="261" spans="1:28" x14ac:dyDescent="0.25">
      <c r="A261" s="7">
        <v>46187.5</v>
      </c>
      <c r="B261" t="s">
        <v>1182</v>
      </c>
      <c r="C261" t="s">
        <v>176</v>
      </c>
      <c r="D261" s="8" t="s">
        <v>1</v>
      </c>
      <c r="E261" t="s">
        <v>77</v>
      </c>
      <c r="F261">
        <v>1</v>
      </c>
      <c r="G261" s="3">
        <v>0.15</v>
      </c>
      <c r="H261" s="3">
        <v>0.2</v>
      </c>
      <c r="I261" s="3">
        <f>H261-G261</f>
      </c>
      <c r="J261" s="3">
        <f>I261*16.67%</f>
      </c>
      <c r="K261" s="3">
        <f>H261/100*11</f>
      </c>
      <c r="L261" s="3">
        <v>8.99</v>
      </c>
      <c r="M261" s="3">
        <v>0</v>
      </c>
      <c r="N261" s="3">
        <f>M261*20%</f>
      </c>
      <c r="O261" s="3">
        <v>1</v>
      </c>
      <c r="P261" s="3">
        <f>I261-J261-K261-L261-M261-N261-O261</f>
      </c>
      <c r="Q261" s="3">
        <f>(P261-Y261)/G261*100</f>
      </c>
      <c r="R261" s="3">
        <f>J261-N261</f>
      </c>
      <c r="S261" t="s">
        <v>1</v>
      </c>
      <c r="T261" t="s">
        <v>176</v>
      </c>
      <c r="Z261" s="3">
        <f>P261-Y261</f>
      </c>
      <c r="AA261" t="s">
        <v>1</v>
      </c>
      <c r="AB261" t="s">
        <v>1</v>
      </c>
    </row>
    <row r="262" spans="1:28" x14ac:dyDescent="0.25">
      <c r="A262" s="7">
        <v>46186.5</v>
      </c>
      <c r="B262" t="s">
        <v>1183</v>
      </c>
      <c r="C262" t="s">
        <v>1</v>
      </c>
      <c r="D262" s="8" t="s">
        <v>1184</v>
      </c>
      <c r="E262" t="s">
        <v>63</v>
      </c>
      <c r="F262">
        <v>1</v>
      </c>
      <c r="G262" s="3">
        <v>290</v>
      </c>
      <c r="H262" s="3">
        <v>394.4</v>
      </c>
      <c r="I262" s="3">
        <f>H262-G262</f>
      </c>
      <c r="J262" s="3">
        <f>I262*16.67%</f>
      </c>
      <c r="K262" s="3">
        <f>H262/100*11</f>
      </c>
      <c r="L262" s="3">
        <v>8.99</v>
      </c>
      <c r="M262" s="3">
        <v>0</v>
      </c>
      <c r="N262" s="3">
        <f>M262*20%</f>
      </c>
      <c r="O262" s="3">
        <v>1</v>
      </c>
      <c r="P262" s="3">
        <f>I262-J262-K262-L262-M262-N262-O262</f>
      </c>
      <c r="Q262" s="3">
        <f>(P262-Y262)/G262*100</f>
      </c>
      <c r="R262" s="3">
        <f>J262-N262</f>
      </c>
      <c r="S262" t="s">
        <v>1</v>
      </c>
      <c r="T262" t="s">
        <v>124</v>
      </c>
      <c r="Z262" s="3">
        <f>P262-Y262</f>
      </c>
      <c r="AA262" t="s">
        <v>125</v>
      </c>
      <c r="AB262" t="s">
        <v>74</v>
      </c>
    </row>
    <row r="263" spans="1:28" x14ac:dyDescent="0.25">
      <c r="A263" s="7">
        <v>46186.5</v>
      </c>
      <c r="B263" t="s">
        <v>1185</v>
      </c>
      <c r="C263" t="s">
        <v>1</v>
      </c>
      <c r="D263" s="8" t="s">
        <v>1186</v>
      </c>
      <c r="E263" t="s">
        <v>63</v>
      </c>
      <c r="F263">
        <v>1</v>
      </c>
      <c r="G263" s="3">
        <v>63</v>
      </c>
      <c r="H263" s="3">
        <v>83.16</v>
      </c>
      <c r="I263" s="3">
        <f>H263-G263</f>
      </c>
      <c r="J263" s="3">
        <f>I263*16.67%</f>
      </c>
      <c r="K263" s="3">
        <f>H263/100*11</f>
      </c>
      <c r="L263" s="3">
        <v>8.99</v>
      </c>
      <c r="M263" s="3">
        <v>0</v>
      </c>
      <c r="N263" s="3">
        <f>M263*20%</f>
      </c>
      <c r="O263" s="3">
        <v>1</v>
      </c>
      <c r="P263" s="3">
        <f>I263-J263-K263-L263-M263-N263-O263</f>
      </c>
      <c r="Q263" s="3">
        <f>(P263-Y263)/G263*100</f>
      </c>
      <c r="R263" s="3">
        <f>J263-N263</f>
      </c>
      <c r="S263" t="s">
        <v>1</v>
      </c>
      <c r="T263" t="s">
        <v>93</v>
      </c>
      <c r="Z263" s="3">
        <f>P263-Y263</f>
      </c>
      <c r="AA263" t="s">
        <v>94</v>
      </c>
      <c r="AB263" t="s">
        <v>84</v>
      </c>
    </row>
    <row r="264" spans="1:28" x14ac:dyDescent="0.25">
      <c r="A264" s="7">
        <v>46186.5</v>
      </c>
      <c r="B264" t="s">
        <v>1187</v>
      </c>
      <c r="C264" t="s">
        <v>1</v>
      </c>
      <c r="D264" s="8" t="s">
        <v>1188</v>
      </c>
      <c r="E264" t="s">
        <v>77</v>
      </c>
      <c r="F264">
        <v>1</v>
      </c>
      <c r="G264" s="3">
        <v>257</v>
      </c>
      <c r="H264" s="3">
        <v>372.65</v>
      </c>
      <c r="I264" s="3">
        <f>H264-G264</f>
      </c>
      <c r="J264" s="3">
        <f>I264*16.67%</f>
      </c>
      <c r="K264" s="3">
        <f>H264/100*11</f>
      </c>
      <c r="L264" s="3">
        <v>8.99</v>
      </c>
      <c r="M264" s="3">
        <v>0</v>
      </c>
      <c r="N264" s="3">
        <f>M264*20%</f>
      </c>
      <c r="O264" s="3">
        <v>1</v>
      </c>
      <c r="P264" s="3">
        <f>I264-J264-K264-L264-M264-N264-O264</f>
      </c>
      <c r="Q264" s="3">
        <f>(P264-Y264)/G264*100</f>
      </c>
      <c r="R264" s="3">
        <f>J264-N264</f>
      </c>
      <c r="S264" t="s">
        <v>1</v>
      </c>
      <c r="T264" t="s">
        <v>64</v>
      </c>
      <c r="Z264" s="3">
        <f>P264-Y264</f>
      </c>
      <c r="AA264" t="s">
        <v>65</v>
      </c>
      <c r="AB264" t="s">
        <v>69</v>
      </c>
    </row>
    <row r="265" spans="1:28" x14ac:dyDescent="0.25">
      <c r="A265" s="7">
        <v>46186.5</v>
      </c>
      <c r="B265" t="s">
        <v>1189</v>
      </c>
      <c r="C265" t="s">
        <v>1</v>
      </c>
      <c r="D265" s="8" t="s">
        <v>1190</v>
      </c>
      <c r="E265" t="s">
        <v>72</v>
      </c>
      <c r="F265">
        <v>1</v>
      </c>
      <c r="G265" s="3">
        <v>267</v>
      </c>
      <c r="H265" s="3">
        <v>363.12</v>
      </c>
      <c r="I265" s="3">
        <f>H265-G265</f>
      </c>
      <c r="J265" s="3">
        <f>I265*16.67%</f>
      </c>
      <c r="K265" s="3">
        <f>H265/100*11</f>
      </c>
      <c r="L265" s="3">
        <v>8.99</v>
      </c>
      <c r="M265" s="3">
        <v>0</v>
      </c>
      <c r="N265" s="3">
        <f>M265*20%</f>
      </c>
      <c r="O265" s="3">
        <v>1</v>
      </c>
      <c r="P265" s="3">
        <f>I265-J265-K265-L265-M265-N265-O265</f>
      </c>
      <c r="Q265" s="3">
        <f>(P265-Y265)/G265*100</f>
      </c>
      <c r="R265" s="3">
        <f>J265-N265</f>
      </c>
      <c r="S265" t="s">
        <v>1</v>
      </c>
      <c r="T265" t="s">
        <v>130</v>
      </c>
      <c r="Z265" s="3">
        <f>P265-Y265</f>
      </c>
      <c r="AA265" t="s">
        <v>65</v>
      </c>
      <c r="AB265" t="s">
        <v>98</v>
      </c>
    </row>
    <row r="266" spans="1:28" x14ac:dyDescent="0.25">
      <c r="A266" s="7">
        <v>46186.5</v>
      </c>
      <c r="B266" t="s">
        <v>1191</v>
      </c>
      <c r="C266" t="s">
        <v>188</v>
      </c>
      <c r="D266" s="8" t="s">
        <v>1</v>
      </c>
      <c r="E266" t="s">
        <v>63</v>
      </c>
      <c r="F266">
        <v>2</v>
      </c>
      <c r="G266" s="3">
        <v>7</v>
      </c>
      <c r="H266" s="3">
        <v>9.66</v>
      </c>
      <c r="I266" s="3">
        <f>H266-G266</f>
      </c>
      <c r="J266" s="3">
        <f>I266*16.67%</f>
      </c>
      <c r="K266" s="3">
        <f>H266/100*11</f>
      </c>
      <c r="L266" s="3">
        <v>8.99</v>
      </c>
      <c r="M266" s="3">
        <v>0</v>
      </c>
      <c r="N266" s="3">
        <f>M266*20%</f>
      </c>
      <c r="O266" s="3">
        <v>1</v>
      </c>
      <c r="P266" s="3">
        <f>I266-J266-K266-L266-M266-N266-O266</f>
      </c>
      <c r="Q266" s="3">
        <f>(P266-Y266)/G266*100</f>
      </c>
      <c r="R266" s="3">
        <f>J266-N266</f>
      </c>
      <c r="S266" t="s">
        <v>1</v>
      </c>
      <c r="T266" t="s">
        <v>188</v>
      </c>
      <c r="Z266" s="3">
        <f>P266-Y266</f>
      </c>
      <c r="AA266" t="s">
        <v>1</v>
      </c>
      <c r="AB266" t="s">
        <v>1</v>
      </c>
    </row>
    <row r="267" spans="1:28" x14ac:dyDescent="0.25">
      <c r="A267" s="7">
        <v>46185.5</v>
      </c>
      <c r="B267" t="s">
        <v>1192</v>
      </c>
      <c r="C267" t="s">
        <v>1</v>
      </c>
      <c r="D267" s="8" t="s">
        <v>1193</v>
      </c>
      <c r="E267" t="s">
        <v>101</v>
      </c>
      <c r="F267">
        <v>1</v>
      </c>
      <c r="G267" s="3">
        <v>238</v>
      </c>
      <c r="H267" s="3">
        <v>337.96</v>
      </c>
      <c r="I267" s="3">
        <f>H267-G267</f>
      </c>
      <c r="J267" s="3">
        <f>I267*16.67%</f>
      </c>
      <c r="K267" s="3">
        <f>H267/100*11</f>
      </c>
      <c r="L267" s="3">
        <v>8.99</v>
      </c>
      <c r="M267" s="3">
        <v>0</v>
      </c>
      <c r="N267" s="3">
        <f>M267*20%</f>
      </c>
      <c r="O267" s="3">
        <v>1</v>
      </c>
      <c r="P267" s="3">
        <f>I267-J267-K267-L267-M267-N267-O267</f>
      </c>
      <c r="Q267" s="3">
        <f>(P267-Y267)/G267*100</f>
      </c>
      <c r="R267" s="3">
        <f>J267-N267</f>
      </c>
      <c r="S267" t="s">
        <v>1</v>
      </c>
      <c r="T267" t="s">
        <v>64</v>
      </c>
      <c r="Z267" s="3">
        <f>P267-Y267</f>
      </c>
      <c r="AA267" t="s">
        <v>65</v>
      </c>
      <c r="AB267" t="s">
        <v>69</v>
      </c>
    </row>
    <row r="268" spans="1:28" x14ac:dyDescent="0.25">
      <c r="A268" s="7">
        <v>46185.5</v>
      </c>
      <c r="B268" t="s">
        <v>1194</v>
      </c>
      <c r="C268" t="s">
        <v>1</v>
      </c>
      <c r="D268" s="8" t="s">
        <v>1195</v>
      </c>
      <c r="E268" t="s">
        <v>57</v>
      </c>
      <c r="F268">
        <v>1</v>
      </c>
      <c r="G268" s="3">
        <v>243</v>
      </c>
      <c r="H268" s="3">
        <v>311.04</v>
      </c>
      <c r="I268" s="3">
        <f>H268-G268</f>
      </c>
      <c r="J268" s="3">
        <f>I268*16.67%</f>
      </c>
      <c r="K268" s="3">
        <f>H268/100*11</f>
      </c>
      <c r="L268" s="3">
        <v>8.99</v>
      </c>
      <c r="M268" s="3">
        <v>0</v>
      </c>
      <c r="N268" s="3">
        <f>M268*20%</f>
      </c>
      <c r="O268" s="3">
        <v>1</v>
      </c>
      <c r="P268" s="3">
        <f>I268-J268-K268-L268-M268-N268-O268</f>
      </c>
      <c r="Q268" s="3">
        <f>(P268-Y268)/G268*100</f>
      </c>
      <c r="R268" s="3">
        <f>J268-N268</f>
      </c>
      <c r="S268" t="s">
        <v>1</v>
      </c>
      <c r="T268" t="s">
        <v>113</v>
      </c>
      <c r="Z268" s="3">
        <f>P268-Y268</f>
      </c>
      <c r="AA268" t="s">
        <v>94</v>
      </c>
      <c r="AB268" t="s">
        <v>74</v>
      </c>
    </row>
    <row r="269" spans="1:28" x14ac:dyDescent="0.25">
      <c r="A269" s="7">
        <v>46185.5</v>
      </c>
      <c r="B269" t="s">
        <v>1196</v>
      </c>
      <c r="C269" t="s">
        <v>1</v>
      </c>
      <c r="D269" s="8" t="s">
        <v>1197</v>
      </c>
      <c r="E269" t="s">
        <v>101</v>
      </c>
      <c r="F269">
        <v>1</v>
      </c>
      <c r="G269" s="3">
        <v>236</v>
      </c>
      <c r="H269" s="3">
        <v>323.32</v>
      </c>
      <c r="I269" s="3">
        <f>H269-G269</f>
      </c>
      <c r="J269" s="3">
        <f>I269*16.67%</f>
      </c>
      <c r="K269" s="3">
        <f>H269/100*11</f>
      </c>
      <c r="L269" s="3">
        <v>8.99</v>
      </c>
      <c r="M269" s="3">
        <v>0</v>
      </c>
      <c r="N269" s="3">
        <f>M269*20%</f>
      </c>
      <c r="O269" s="3">
        <v>1</v>
      </c>
      <c r="P269" s="3">
        <f>I269-J269-K269-L269-M269-N269-O269</f>
      </c>
      <c r="Q269" s="3">
        <f>(P269-Y269)/G269*100</f>
      </c>
      <c r="R269" s="3">
        <f>J269-N269</f>
      </c>
      <c r="S269" t="s">
        <v>1</v>
      </c>
      <c r="T269" t="s">
        <v>124</v>
      </c>
      <c r="Z269" s="3">
        <f>P269-Y269</f>
      </c>
      <c r="AA269" t="s">
        <v>125</v>
      </c>
      <c r="AB269" t="s">
        <v>98</v>
      </c>
    </row>
    <row r="270" spans="1:28" x14ac:dyDescent="0.25">
      <c r="A270" s="7">
        <v>46185.5</v>
      </c>
      <c r="B270" t="s">
        <v>1198</v>
      </c>
      <c r="C270" t="s">
        <v>1</v>
      </c>
      <c r="D270" s="8" t="s">
        <v>1199</v>
      </c>
      <c r="E270" t="s">
        <v>101</v>
      </c>
      <c r="F270">
        <v>1</v>
      </c>
      <c r="G270" s="3">
        <v>249</v>
      </c>
      <c r="H270" s="3">
        <v>293.82</v>
      </c>
      <c r="I270" s="3">
        <f>H270-G270</f>
      </c>
      <c r="J270" s="3">
        <f>I270*16.67%</f>
      </c>
      <c r="K270" s="3">
        <f>H270/100*11</f>
      </c>
      <c r="L270" s="3">
        <v>8.99</v>
      </c>
      <c r="M270" s="3">
        <v>0</v>
      </c>
      <c r="N270" s="3">
        <f>M270*20%</f>
      </c>
      <c r="O270" s="3">
        <v>1</v>
      </c>
      <c r="P270" s="3">
        <f>I270-J270-K270-L270-M270-N270-O270</f>
      </c>
      <c r="Q270" s="3">
        <f>(P270-Y270)/G270*100</f>
      </c>
      <c r="R270" s="3">
        <f>J270-N270</f>
      </c>
      <c r="S270" t="s">
        <v>1</v>
      </c>
      <c r="T270" t="s">
        <v>64</v>
      </c>
      <c r="Z270" s="3">
        <f>P270-Y270</f>
      </c>
      <c r="AA270" t="s">
        <v>65</v>
      </c>
      <c r="AB270" t="s">
        <v>69</v>
      </c>
    </row>
    <row r="271" spans="1:28" x14ac:dyDescent="0.25">
      <c r="A271" s="7">
        <v>46185.5</v>
      </c>
      <c r="B271" t="s">
        <v>1200</v>
      </c>
      <c r="C271" t="s">
        <v>173</v>
      </c>
      <c r="D271" s="8" t="s">
        <v>1</v>
      </c>
      <c r="E271" t="s">
        <v>63</v>
      </c>
      <c r="F271">
        <v>3</v>
      </c>
      <c r="G271" s="3">
        <v>12.75</v>
      </c>
      <c r="H271" s="3">
        <v>17.72</v>
      </c>
      <c r="I271" s="3">
        <f>H271-G271</f>
      </c>
      <c r="J271" s="3">
        <f>I271*16.67%</f>
      </c>
      <c r="K271" s="3">
        <f>H271/100*11</f>
      </c>
      <c r="L271" s="3">
        <v>8.99</v>
      </c>
      <c r="M271" s="3">
        <v>0</v>
      </c>
      <c r="N271" s="3">
        <f>M271*20%</f>
      </c>
      <c r="O271" s="3">
        <v>1</v>
      </c>
      <c r="P271" s="3">
        <f>I271-J271-K271-L271-M271-N271-O271</f>
      </c>
      <c r="Q271" s="3">
        <f>(P271-Y271)/G271*100</f>
      </c>
      <c r="R271" s="3">
        <f>J271-N271</f>
      </c>
      <c r="S271" t="s">
        <v>1</v>
      </c>
      <c r="T271" t="s">
        <v>173</v>
      </c>
      <c r="Z271" s="3">
        <f>P271-Y271</f>
      </c>
      <c r="AA271" t="s">
        <v>1</v>
      </c>
      <c r="AB271" t="s">
        <v>1</v>
      </c>
    </row>
    <row r="272" spans="1:28" x14ac:dyDescent="0.25">
      <c r="A272" s="7">
        <v>46185.5</v>
      </c>
      <c r="B272" t="s">
        <v>1201</v>
      </c>
      <c r="C272" t="s">
        <v>173</v>
      </c>
      <c r="D272" s="8" t="s">
        <v>1</v>
      </c>
      <c r="E272" t="s">
        <v>63</v>
      </c>
      <c r="F272">
        <v>4</v>
      </c>
      <c r="G272" s="3">
        <v>17</v>
      </c>
      <c r="H272" s="3">
        <v>19.72</v>
      </c>
      <c r="I272" s="3">
        <f>H272-G272</f>
      </c>
      <c r="J272" s="3">
        <f>I272*16.67%</f>
      </c>
      <c r="K272" s="3">
        <f>H272/100*11</f>
      </c>
      <c r="L272" s="3">
        <v>8.99</v>
      </c>
      <c r="M272" s="3">
        <v>0</v>
      </c>
      <c r="N272" s="3">
        <f>M272*20%</f>
      </c>
      <c r="O272" s="3">
        <v>1</v>
      </c>
      <c r="P272" s="3">
        <f>I272-J272-K272-L272-M272-N272-O272</f>
      </c>
      <c r="Q272" s="3">
        <f>(P272-Y272)/G272*100</f>
      </c>
      <c r="R272" s="3">
        <f>J272-N272</f>
      </c>
      <c r="S272" t="s">
        <v>1</v>
      </c>
      <c r="T272" t="s">
        <v>173</v>
      </c>
      <c r="Z272" s="3">
        <f>P272-Y272</f>
      </c>
      <c r="AA272" t="s">
        <v>1</v>
      </c>
      <c r="AB272" t="s">
        <v>1</v>
      </c>
    </row>
    <row r="273" spans="1:28" x14ac:dyDescent="0.25">
      <c r="A273" s="7">
        <v>46184.5</v>
      </c>
      <c r="B273" t="s">
        <v>1202</v>
      </c>
      <c r="C273" t="s">
        <v>1</v>
      </c>
      <c r="D273" s="8" t="s">
        <v>1203</v>
      </c>
      <c r="E273" t="s">
        <v>72</v>
      </c>
      <c r="F273">
        <v>1</v>
      </c>
      <c r="G273" s="3">
        <v>534</v>
      </c>
      <c r="H273" s="3">
        <v>656.82</v>
      </c>
      <c r="I273" s="3">
        <f>H273-G273</f>
      </c>
      <c r="J273" s="3">
        <f>I273*16.67%</f>
      </c>
      <c r="K273" s="3">
        <f>H273/100*11</f>
      </c>
      <c r="L273" s="3">
        <v>8.99</v>
      </c>
      <c r="M273" s="3">
        <v>0</v>
      </c>
      <c r="N273" s="3">
        <f>M273*20%</f>
      </c>
      <c r="O273" s="3">
        <v>1</v>
      </c>
      <c r="P273" s="3">
        <f>I273-J273-K273-L273-M273-N273-O273</f>
      </c>
      <c r="Q273" s="3">
        <f>(P273-Y273)/G273*100</f>
      </c>
      <c r="R273" s="3">
        <f>J273-N273</f>
      </c>
      <c r="S273" t="s">
        <v>1</v>
      </c>
      <c r="T273" t="s">
        <v>68</v>
      </c>
      <c r="Z273" s="3">
        <f>P273-Y273</f>
      </c>
      <c r="AA273" t="s">
        <v>59</v>
      </c>
      <c r="AB273" t="s">
        <v>60</v>
      </c>
    </row>
    <row r="274" spans="1:28" x14ac:dyDescent="0.25">
      <c r="A274" s="7">
        <v>46184.5</v>
      </c>
      <c r="B274" t="s">
        <v>1204</v>
      </c>
      <c r="C274" t="s">
        <v>1</v>
      </c>
      <c r="D274" s="8" t="s">
        <v>1205</v>
      </c>
      <c r="E274" t="s">
        <v>57</v>
      </c>
      <c r="F274">
        <v>1</v>
      </c>
      <c r="G274" s="3">
        <v>174</v>
      </c>
      <c r="H274" s="3">
        <v>220.98</v>
      </c>
      <c r="I274" s="3">
        <f>H274-G274</f>
      </c>
      <c r="J274" s="3">
        <f>I274*16.67%</f>
      </c>
      <c r="K274" s="3">
        <f>H274/100*11</f>
      </c>
      <c r="L274" s="3">
        <v>8.99</v>
      </c>
      <c r="M274" s="3">
        <v>0</v>
      </c>
      <c r="N274" s="3">
        <f>M274*20%</f>
      </c>
      <c r="O274" s="3">
        <v>1</v>
      </c>
      <c r="P274" s="3">
        <f>I274-J274-K274-L274-M274-N274-O274</f>
      </c>
      <c r="Q274" s="3">
        <f>(P274-Y274)/G274*100</f>
      </c>
      <c r="R274" s="3">
        <f>J274-N274</f>
      </c>
      <c r="S274" t="s">
        <v>1</v>
      </c>
      <c r="T274" t="s">
        <v>233</v>
      </c>
      <c r="Z274" s="3">
        <f>P274-Y274</f>
      </c>
      <c r="AA274" t="s">
        <v>65</v>
      </c>
      <c r="AB274" t="s">
        <v>98</v>
      </c>
    </row>
    <row r="275" spans="1:28" x14ac:dyDescent="0.25">
      <c r="A275" s="7">
        <v>46184.5</v>
      </c>
      <c r="B275" t="s">
        <v>1206</v>
      </c>
      <c r="C275" t="s">
        <v>181</v>
      </c>
      <c r="D275" s="8" t="s">
        <v>1</v>
      </c>
      <c r="E275" t="s">
        <v>72</v>
      </c>
      <c r="F275">
        <v>2</v>
      </c>
      <c r="G275" s="3">
        <v>3.8</v>
      </c>
      <c r="H275" s="3">
        <v>5.24</v>
      </c>
      <c r="I275" s="3">
        <f>H275-G275</f>
      </c>
      <c r="J275" s="3">
        <f>I275*16.67%</f>
      </c>
      <c r="K275" s="3">
        <f>H275/100*11</f>
      </c>
      <c r="L275" s="3">
        <v>8.99</v>
      </c>
      <c r="M275" s="3">
        <v>0</v>
      </c>
      <c r="N275" s="3">
        <f>M275*20%</f>
      </c>
      <c r="O275" s="3">
        <v>1</v>
      </c>
      <c r="P275" s="3">
        <f>I275-J275-K275-L275-M275-N275-O275</f>
      </c>
      <c r="Q275" s="3">
        <f>(P275-Y275)/G275*100</f>
      </c>
      <c r="R275" s="3">
        <f>J275-N275</f>
      </c>
      <c r="S275" t="s">
        <v>1</v>
      </c>
      <c r="T275" t="s">
        <v>181</v>
      </c>
      <c r="Z275" s="3">
        <f>P275-Y275</f>
      </c>
      <c r="AA275" t="s">
        <v>1</v>
      </c>
      <c r="AB275" t="s">
        <v>1</v>
      </c>
    </row>
    <row r="276" spans="1:28" x14ac:dyDescent="0.25">
      <c r="A276" s="7">
        <v>46184.5</v>
      </c>
      <c r="B276" t="s">
        <v>1207</v>
      </c>
      <c r="C276" t="s">
        <v>1</v>
      </c>
      <c r="D276" s="8" t="s">
        <v>1</v>
      </c>
      <c r="E276" t="s">
        <v>77</v>
      </c>
      <c r="F276">
        <v>1</v>
      </c>
      <c r="G276" s="3">
        <v>543</v>
      </c>
      <c r="H276" s="3">
        <v>749.34</v>
      </c>
      <c r="I276" s="3">
        <f>H276-G276</f>
      </c>
      <c r="J276" s="3">
        <f>I276*16.67%</f>
      </c>
      <c r="K276" s="3">
        <f>H276/100*11</f>
      </c>
      <c r="L276" s="3">
        <v>8.99</v>
      </c>
      <c r="M276" s="3">
        <v>0</v>
      </c>
      <c r="N276" s="3">
        <f>M276*20%</f>
      </c>
      <c r="O276" s="3">
        <v>1</v>
      </c>
      <c r="P276" s="3">
        <f>I276-J276-K276-L276-M276-N276-O276</f>
      </c>
      <c r="Q276" s="3">
        <f>(P276-Y276)/G276*100</f>
      </c>
      <c r="R276" s="3">
        <f>J276-N276</f>
      </c>
      <c r="S276" t="s">
        <v>1</v>
      </c>
      <c r="T276" t="s">
        <v>1</v>
      </c>
      <c r="Z276" s="3">
        <f>P276-Y276</f>
      </c>
      <c r="AA276" t="s">
        <v>1</v>
      </c>
      <c r="AB276" t="s">
        <v>1</v>
      </c>
    </row>
    <row r="277" spans="1:28" x14ac:dyDescent="0.25">
      <c r="A277" s="7">
        <v>46183.5</v>
      </c>
      <c r="B277" t="s">
        <v>1208</v>
      </c>
      <c r="C277" t="s">
        <v>1</v>
      </c>
      <c r="D277" s="8" t="s">
        <v>1209</v>
      </c>
      <c r="E277" t="s">
        <v>63</v>
      </c>
      <c r="F277">
        <v>1</v>
      </c>
      <c r="G277" s="3">
        <v>229</v>
      </c>
      <c r="H277" s="3">
        <v>270.22</v>
      </c>
      <c r="I277" s="3">
        <f>H277-G277</f>
      </c>
      <c r="J277" s="3">
        <f>I277*16.67%</f>
      </c>
      <c r="K277" s="3">
        <f>H277/100*11</f>
      </c>
      <c r="L277" s="3">
        <v>8.99</v>
      </c>
      <c r="M277" s="3">
        <v>0</v>
      </c>
      <c r="N277" s="3">
        <f>M277*20%</f>
      </c>
      <c r="O277" s="3">
        <v>1</v>
      </c>
      <c r="P277" s="3">
        <f>I277-J277-K277-L277-M277-N277-O277</f>
      </c>
      <c r="Q277" s="3">
        <f>(P277-Y277)/G277*100</f>
      </c>
      <c r="R277" s="3">
        <f>J277-N277</f>
      </c>
      <c r="S277" t="s">
        <v>1</v>
      </c>
      <c r="T277" t="s">
        <v>64</v>
      </c>
      <c r="Z277" s="3">
        <f>P277-Y277</f>
      </c>
      <c r="AA277" t="s">
        <v>65</v>
      </c>
      <c r="AB277" t="s">
        <v>60</v>
      </c>
    </row>
    <row r="278" spans="1:28" x14ac:dyDescent="0.25">
      <c r="A278" s="7">
        <v>46183.5</v>
      </c>
      <c r="B278" t="s">
        <v>1210</v>
      </c>
      <c r="C278" t="s">
        <v>1</v>
      </c>
      <c r="D278" s="8" t="s">
        <v>1211</v>
      </c>
      <c r="E278" t="s">
        <v>63</v>
      </c>
      <c r="F278">
        <v>1</v>
      </c>
      <c r="G278" s="3">
        <v>246</v>
      </c>
      <c r="H278" s="3">
        <v>346.86</v>
      </c>
      <c r="I278" s="3">
        <f>H278-G278</f>
      </c>
      <c r="J278" s="3">
        <f>I278*16.67%</f>
      </c>
      <c r="K278" s="3">
        <f>H278/100*11</f>
      </c>
      <c r="L278" s="3">
        <v>8.99</v>
      </c>
      <c r="M278" s="3">
        <v>0</v>
      </c>
      <c r="N278" s="3">
        <f>M278*20%</f>
      </c>
      <c r="O278" s="3">
        <v>1</v>
      </c>
      <c r="P278" s="3">
        <f>I278-J278-K278-L278-M278-N278-O278</f>
      </c>
      <c r="Q278" s="3">
        <f>(P278-Y278)/G278*100</f>
      </c>
      <c r="R278" s="3">
        <f>J278-N278</f>
      </c>
      <c r="S278" t="s">
        <v>1</v>
      </c>
      <c r="T278" t="s">
        <v>64</v>
      </c>
      <c r="Z278" s="3">
        <f>P278-Y278</f>
      </c>
      <c r="AA278" t="s">
        <v>65</v>
      </c>
      <c r="AB278" t="s">
        <v>69</v>
      </c>
    </row>
    <row r="279" spans="1:28" x14ac:dyDescent="0.25">
      <c r="A279" s="7">
        <v>46183.5</v>
      </c>
      <c r="B279" t="s">
        <v>1212</v>
      </c>
      <c r="C279" t="s">
        <v>1</v>
      </c>
      <c r="D279" s="8" t="s">
        <v>1213</v>
      </c>
      <c r="E279" t="s">
        <v>63</v>
      </c>
      <c r="F279">
        <v>1</v>
      </c>
      <c r="G279" s="3">
        <v>259</v>
      </c>
      <c r="H279" s="3">
        <v>303.03</v>
      </c>
      <c r="I279" s="3">
        <f>H279-G279</f>
      </c>
      <c r="J279" s="3">
        <f>I279*16.67%</f>
      </c>
      <c r="K279" s="3">
        <f>H279/100*11</f>
      </c>
      <c r="L279" s="3">
        <v>8.99</v>
      </c>
      <c r="M279" s="3">
        <v>0</v>
      </c>
      <c r="N279" s="3">
        <f>M279*20%</f>
      </c>
      <c r="O279" s="3">
        <v>1</v>
      </c>
      <c r="P279" s="3">
        <f>I279-J279-K279-L279-M279-N279-O279</f>
      </c>
      <c r="Q279" s="3">
        <f>(P279-Y279)/G279*100</f>
      </c>
      <c r="R279" s="3">
        <f>J279-N279</f>
      </c>
      <c r="S279" t="s">
        <v>1</v>
      </c>
      <c r="T279" t="s">
        <v>113</v>
      </c>
      <c r="Z279" s="3">
        <f>P279-Y279</f>
      </c>
      <c r="AA279" t="s">
        <v>59</v>
      </c>
      <c r="AB279" t="s">
        <v>87</v>
      </c>
    </row>
    <row r="280" spans="1:28" x14ac:dyDescent="0.25">
      <c r="A280" s="7">
        <v>46183.5</v>
      </c>
      <c r="B280" t="s">
        <v>1214</v>
      </c>
      <c r="C280" t="s">
        <v>1</v>
      </c>
      <c r="D280" s="8" t="s">
        <v>1215</v>
      </c>
      <c r="E280" t="s">
        <v>72</v>
      </c>
      <c r="F280">
        <v>1</v>
      </c>
      <c r="G280" s="3">
        <v>359</v>
      </c>
      <c r="H280" s="3">
        <v>473.88</v>
      </c>
      <c r="I280" s="3">
        <f>H280-G280</f>
      </c>
      <c r="J280" s="3">
        <f>I280*16.67%</f>
      </c>
      <c r="K280" s="3">
        <f>H280/100*11</f>
      </c>
      <c r="L280" s="3">
        <v>8.99</v>
      </c>
      <c r="M280" s="3">
        <v>0</v>
      </c>
      <c r="N280" s="3">
        <f>M280*20%</f>
      </c>
      <c r="O280" s="3">
        <v>1</v>
      </c>
      <c r="P280" s="3">
        <f>I280-J280-K280-L280-M280-N280-O280</f>
      </c>
      <c r="Q280" s="3">
        <f>(P280-Y280)/G280*100</f>
      </c>
      <c r="R280" s="3">
        <f>J280-N280</f>
      </c>
      <c r="S280" t="s">
        <v>1</v>
      </c>
      <c r="T280" t="s">
        <v>73</v>
      </c>
      <c r="Z280" s="3">
        <f>P280-Y280</f>
      </c>
      <c r="AA280" t="s">
        <v>59</v>
      </c>
      <c r="AB280" t="s">
        <v>60</v>
      </c>
    </row>
    <row r="281" spans="1:28" x14ac:dyDescent="0.25">
      <c r="A281" s="7">
        <v>46183.5</v>
      </c>
      <c r="B281" t="s">
        <v>1216</v>
      </c>
      <c r="C281" t="s">
        <v>1</v>
      </c>
      <c r="D281" s="8" t="s">
        <v>1217</v>
      </c>
      <c r="E281" t="s">
        <v>101</v>
      </c>
      <c r="F281">
        <v>1</v>
      </c>
      <c r="G281" s="3">
        <v>341</v>
      </c>
      <c r="H281" s="3">
        <v>477.4</v>
      </c>
      <c r="I281" s="3">
        <f>H281-G281</f>
      </c>
      <c r="J281" s="3">
        <f>I281*16.67%</f>
      </c>
      <c r="K281" s="3">
        <f>H281/100*11</f>
      </c>
      <c r="L281" s="3">
        <v>8.99</v>
      </c>
      <c r="M281" s="3">
        <v>0</v>
      </c>
      <c r="N281" s="3">
        <f>M281*20%</f>
      </c>
      <c r="O281" s="3">
        <v>1</v>
      </c>
      <c r="P281" s="3">
        <f>I281-J281-K281-L281-M281-N281-O281</f>
      </c>
      <c r="Q281" s="3">
        <f>(P281-Y281)/G281*100</f>
      </c>
      <c r="R281" s="3">
        <f>J281-N281</f>
      </c>
      <c r="S281" t="s">
        <v>1</v>
      </c>
      <c r="T281" t="s">
        <v>138</v>
      </c>
      <c r="Z281" s="3">
        <f>P281-Y281</f>
      </c>
      <c r="AA281" t="s">
        <v>65</v>
      </c>
      <c r="AB281" t="s">
        <v>98</v>
      </c>
    </row>
    <row r="282" spans="1:28" x14ac:dyDescent="0.25">
      <c r="A282" s="7">
        <v>46183.5</v>
      </c>
      <c r="B282" t="s">
        <v>1218</v>
      </c>
      <c r="C282" t="s">
        <v>1</v>
      </c>
      <c r="D282" s="8" t="s">
        <v>1219</v>
      </c>
      <c r="E282" t="s">
        <v>101</v>
      </c>
      <c r="F282">
        <v>1</v>
      </c>
      <c r="G282" s="3">
        <v>115</v>
      </c>
      <c r="H282" s="3">
        <v>149.5</v>
      </c>
      <c r="I282" s="3">
        <f>H282-G282</f>
      </c>
      <c r="J282" s="3">
        <f>I282*16.67%</f>
      </c>
      <c r="K282" s="3">
        <f>H282/100*11</f>
      </c>
      <c r="L282" s="3">
        <v>8.99</v>
      </c>
      <c r="M282" s="3">
        <v>0</v>
      </c>
      <c r="N282" s="3">
        <f>M282*20%</f>
      </c>
      <c r="O282" s="3">
        <v>1</v>
      </c>
      <c r="P282" s="3">
        <f>I282-J282-K282-L282-M282-N282-O282</f>
      </c>
      <c r="Q282" s="3">
        <f>(P282-Y282)/G282*100</f>
      </c>
      <c r="R282" s="3">
        <f>J282-N282</f>
      </c>
      <c r="S282" t="s">
        <v>1</v>
      </c>
      <c r="T282" t="s">
        <v>90</v>
      </c>
      <c r="Z282" s="3">
        <f>P282-Y282</f>
      </c>
      <c r="AA282" t="s">
        <v>94</v>
      </c>
      <c r="AB282" t="s">
        <v>69</v>
      </c>
    </row>
    <row r="283" spans="1:28" x14ac:dyDescent="0.25">
      <c r="A283" s="7">
        <v>46183.5</v>
      </c>
      <c r="B283" t="s">
        <v>1220</v>
      </c>
      <c r="C283" t="s">
        <v>1</v>
      </c>
      <c r="D283" s="8" t="s">
        <v>1221</v>
      </c>
      <c r="E283" t="s">
        <v>72</v>
      </c>
      <c r="F283">
        <v>1</v>
      </c>
      <c r="G283" s="3">
        <v>233</v>
      </c>
      <c r="H283" s="3">
        <v>302.9</v>
      </c>
      <c r="I283" s="3">
        <f>H283-G283</f>
      </c>
      <c r="J283" s="3">
        <f>I283*16.67%</f>
      </c>
      <c r="K283" s="3">
        <f>H283/100*11</f>
      </c>
      <c r="L283" s="3">
        <v>8.99</v>
      </c>
      <c r="M283" s="3">
        <v>0</v>
      </c>
      <c r="N283" s="3">
        <f>M283*20%</f>
      </c>
      <c r="O283" s="3">
        <v>1</v>
      </c>
      <c r="P283" s="3">
        <f>I283-J283-K283-L283-M283-N283-O283</f>
      </c>
      <c r="Q283" s="3">
        <f>(P283-Y283)/G283*100</f>
      </c>
      <c r="R283" s="3">
        <f>J283-N283</f>
      </c>
      <c r="S283" t="s">
        <v>1</v>
      </c>
      <c r="T283" t="s">
        <v>124</v>
      </c>
      <c r="Z283" s="3">
        <f>P283-Y283</f>
      </c>
      <c r="AA283" t="s">
        <v>125</v>
      </c>
      <c r="AB283" t="s">
        <v>69</v>
      </c>
    </row>
    <row r="284" spans="1:28" x14ac:dyDescent="0.25">
      <c r="A284" s="7">
        <v>46183.5</v>
      </c>
      <c r="B284" t="s">
        <v>1222</v>
      </c>
      <c r="C284" t="s">
        <v>188</v>
      </c>
      <c r="D284" s="8" t="s">
        <v>1</v>
      </c>
      <c r="E284" t="s">
        <v>63</v>
      </c>
      <c r="F284">
        <v>2</v>
      </c>
      <c r="G284" s="3">
        <v>7</v>
      </c>
      <c r="H284" s="3">
        <v>10.15</v>
      </c>
      <c r="I284" s="3">
        <f>H284-G284</f>
      </c>
      <c r="J284" s="3">
        <f>I284*16.67%</f>
      </c>
      <c r="K284" s="3">
        <f>H284/100*11</f>
      </c>
      <c r="L284" s="3">
        <v>8.99</v>
      </c>
      <c r="M284" s="3">
        <v>0</v>
      </c>
      <c r="N284" s="3">
        <f>M284*20%</f>
      </c>
      <c r="O284" s="3">
        <v>1</v>
      </c>
      <c r="P284" s="3">
        <f>I284-J284-K284-L284-M284-N284-O284</f>
      </c>
      <c r="Q284" s="3">
        <f>(P284-Y284)/G284*100</f>
      </c>
      <c r="R284" s="3">
        <f>J284-N284</f>
      </c>
      <c r="S284" t="s">
        <v>1</v>
      </c>
      <c r="T284" t="s">
        <v>188</v>
      </c>
      <c r="Z284" s="3">
        <f>P284-Y284</f>
      </c>
      <c r="AA284" t="s">
        <v>1</v>
      </c>
      <c r="AB284" t="s">
        <v>1</v>
      </c>
    </row>
    <row r="285" spans="1:28" x14ac:dyDescent="0.25">
      <c r="A285" s="7">
        <v>46183.5</v>
      </c>
      <c r="B285" t="s">
        <v>1223</v>
      </c>
      <c r="C285" t="s">
        <v>184</v>
      </c>
      <c r="D285" s="8" t="s">
        <v>1</v>
      </c>
      <c r="E285" t="s">
        <v>101</v>
      </c>
      <c r="F285">
        <v>1</v>
      </c>
      <c r="G285" s="3">
        <v>1.2</v>
      </c>
      <c r="H285" s="3">
        <v>1.66</v>
      </c>
      <c r="I285" s="3">
        <f>H285-G285</f>
      </c>
      <c r="J285" s="3">
        <f>I285*16.67%</f>
      </c>
      <c r="K285" s="3">
        <f>H285/100*11</f>
      </c>
      <c r="L285" s="3">
        <v>8.99</v>
      </c>
      <c r="M285" s="3">
        <v>0</v>
      </c>
      <c r="N285" s="3">
        <f>M285*20%</f>
      </c>
      <c r="O285" s="3">
        <v>1</v>
      </c>
      <c r="P285" s="3">
        <f>I285-J285-K285-L285-M285-N285-O285</f>
      </c>
      <c r="Q285" s="3">
        <f>(P285-Y285)/G285*100</f>
      </c>
      <c r="R285" s="3">
        <f>J285-N285</f>
      </c>
      <c r="S285" t="s">
        <v>1</v>
      </c>
      <c r="T285" t="s">
        <v>184</v>
      </c>
      <c r="Z285" s="3">
        <f>P285-Y285</f>
      </c>
      <c r="AA285" t="s">
        <v>1</v>
      </c>
      <c r="AB285" t="s">
        <v>1</v>
      </c>
    </row>
    <row r="286" spans="1:28" x14ac:dyDescent="0.25">
      <c r="A286" s="7">
        <v>46182.5</v>
      </c>
      <c r="B286" t="s">
        <v>1224</v>
      </c>
      <c r="C286" t="s">
        <v>1</v>
      </c>
      <c r="D286" s="8" t="s">
        <v>1225</v>
      </c>
      <c r="E286" t="s">
        <v>77</v>
      </c>
      <c r="F286">
        <v>1</v>
      </c>
      <c r="G286" s="3">
        <v>78</v>
      </c>
      <c r="H286" s="3">
        <v>109.2</v>
      </c>
      <c r="I286" s="3">
        <f>H286-G286</f>
      </c>
      <c r="J286" s="3">
        <f>I286*16.67%</f>
      </c>
      <c r="K286" s="3">
        <f>H286/100*11</f>
      </c>
      <c r="L286" s="3">
        <v>8.99</v>
      </c>
      <c r="M286" s="3">
        <v>0</v>
      </c>
      <c r="N286" s="3">
        <f>M286*20%</f>
      </c>
      <c r="O286" s="3">
        <v>1</v>
      </c>
      <c r="P286" s="3">
        <f>I286-J286-K286-L286-M286-N286-O286</f>
      </c>
      <c r="Q286" s="3">
        <f>(P286-Y286)/G286*100</f>
      </c>
      <c r="R286" s="3">
        <f>J286-N286</f>
      </c>
      <c r="S286" t="s">
        <v>1</v>
      </c>
      <c r="T286" t="s">
        <v>93</v>
      </c>
      <c r="Z286" s="3">
        <f>P286-Y286</f>
      </c>
      <c r="AA286" t="s">
        <v>94</v>
      </c>
      <c r="AB286" t="s">
        <v>98</v>
      </c>
    </row>
    <row r="287" spans="1:28" x14ac:dyDescent="0.25">
      <c r="A287" s="7">
        <v>46182.5</v>
      </c>
      <c r="B287" t="s">
        <v>1226</v>
      </c>
      <c r="C287" t="s">
        <v>1</v>
      </c>
      <c r="D287" s="8" t="s">
        <v>1227</v>
      </c>
      <c r="E287" t="s">
        <v>63</v>
      </c>
      <c r="F287">
        <v>1</v>
      </c>
      <c r="G287" s="3">
        <v>339</v>
      </c>
      <c r="H287" s="3">
        <v>474.6</v>
      </c>
      <c r="I287" s="3">
        <f>H287-G287</f>
      </c>
      <c r="J287" s="3">
        <f>I287*16.67%</f>
      </c>
      <c r="K287" s="3">
        <f>H287/100*11</f>
      </c>
      <c r="L287" s="3">
        <v>8.99</v>
      </c>
      <c r="M287" s="3">
        <v>0</v>
      </c>
      <c r="N287" s="3">
        <f>M287*20%</f>
      </c>
      <c r="O287" s="3">
        <v>1</v>
      </c>
      <c r="P287" s="3">
        <f>I287-J287-K287-L287-M287-N287-O287</f>
      </c>
      <c r="Q287" s="3">
        <f>(P287-Y287)/G287*100</f>
      </c>
      <c r="R287" s="3">
        <f>J287-N287</f>
      </c>
      <c r="S287" t="s">
        <v>1</v>
      </c>
      <c r="T287" t="s">
        <v>97</v>
      </c>
      <c r="Z287" s="3">
        <f>P287-Y287</f>
      </c>
      <c r="AA287" t="s">
        <v>65</v>
      </c>
      <c r="AB287" t="s">
        <v>87</v>
      </c>
    </row>
    <row r="288" spans="1:28" x14ac:dyDescent="0.25">
      <c r="A288" s="7">
        <v>46182.5</v>
      </c>
      <c r="B288" t="s">
        <v>1228</v>
      </c>
      <c r="C288" t="s">
        <v>1</v>
      </c>
      <c r="D288" s="8" t="s">
        <v>1229</v>
      </c>
      <c r="E288" t="s">
        <v>101</v>
      </c>
      <c r="F288">
        <v>1</v>
      </c>
      <c r="G288" s="3">
        <v>125</v>
      </c>
      <c r="H288" s="3">
        <v>176.25</v>
      </c>
      <c r="I288" s="3">
        <f>H288-G288</f>
      </c>
      <c r="J288" s="3">
        <f>I288*16.67%</f>
      </c>
      <c r="K288" s="3">
        <f>H288/100*11</f>
      </c>
      <c r="L288" s="3">
        <v>8.99</v>
      </c>
      <c r="M288" s="3">
        <v>0</v>
      </c>
      <c r="N288" s="3">
        <f>M288*20%</f>
      </c>
      <c r="O288" s="3">
        <v>1</v>
      </c>
      <c r="P288" s="3">
        <f>I288-J288-K288-L288-M288-N288-O288</f>
      </c>
      <c r="Q288" s="3">
        <f>(P288-Y288)/G288*100</f>
      </c>
      <c r="R288" s="3">
        <f>J288-N288</f>
      </c>
      <c r="S288" t="s">
        <v>1</v>
      </c>
      <c r="T288" t="s">
        <v>133</v>
      </c>
      <c r="Z288" s="3">
        <f>P288-Y288</f>
      </c>
      <c r="AA288" t="s">
        <v>65</v>
      </c>
      <c r="AB288" t="s">
        <v>104</v>
      </c>
    </row>
    <row r="289" spans="1:28" x14ac:dyDescent="0.25">
      <c r="A289" s="7">
        <v>46182.5</v>
      </c>
      <c r="B289" t="s">
        <v>1230</v>
      </c>
      <c r="C289" t="s">
        <v>1</v>
      </c>
      <c r="D289" s="8" t="s">
        <v>1231</v>
      </c>
      <c r="E289" t="s">
        <v>57</v>
      </c>
      <c r="F289">
        <v>1</v>
      </c>
      <c r="G289" s="3">
        <v>620</v>
      </c>
      <c r="H289" s="3">
        <v>855.6</v>
      </c>
      <c r="I289" s="3">
        <f>H289-G289</f>
      </c>
      <c r="J289" s="3">
        <f>I289*16.67%</f>
      </c>
      <c r="K289" s="3">
        <f>H289/100*11</f>
      </c>
      <c r="L289" s="3">
        <v>8.99</v>
      </c>
      <c r="M289" s="3">
        <v>0</v>
      </c>
      <c r="N289" s="3">
        <f>M289*20%</f>
      </c>
      <c r="O289" s="3">
        <v>1</v>
      </c>
      <c r="P289" s="3">
        <f>I289-J289-K289-L289-M289-N289-O289</f>
      </c>
      <c r="Q289" s="3">
        <f>(P289-Y289)/G289*100</f>
      </c>
      <c r="R289" s="3">
        <f>J289-N289</f>
      </c>
      <c r="S289" t="s">
        <v>1</v>
      </c>
      <c r="T289" t="s">
        <v>80</v>
      </c>
      <c r="Z289" s="3">
        <f>P289-Y289</f>
      </c>
      <c r="AA289" t="s">
        <v>59</v>
      </c>
      <c r="AB289" t="s">
        <v>74</v>
      </c>
    </row>
    <row r="290" spans="1:28" x14ac:dyDescent="0.25">
      <c r="A290" s="7">
        <v>46182.5</v>
      </c>
      <c r="B290" t="s">
        <v>1232</v>
      </c>
      <c r="C290" t="s">
        <v>1</v>
      </c>
      <c r="D290" s="8" t="s">
        <v>1233</v>
      </c>
      <c r="E290" t="s">
        <v>63</v>
      </c>
      <c r="F290">
        <v>1</v>
      </c>
      <c r="G290" s="3">
        <v>116</v>
      </c>
      <c r="H290" s="3">
        <v>145</v>
      </c>
      <c r="I290" s="3">
        <f>H290-G290</f>
      </c>
      <c r="J290" s="3">
        <f>I290*16.67%</f>
      </c>
      <c r="K290" s="3">
        <f>H290/100*11</f>
      </c>
      <c r="L290" s="3">
        <v>8.99</v>
      </c>
      <c r="M290" s="3">
        <v>0</v>
      </c>
      <c r="N290" s="3">
        <f>M290*20%</f>
      </c>
      <c r="O290" s="3">
        <v>1</v>
      </c>
      <c r="P290" s="3">
        <f>I290-J290-K290-L290-M290-N290-O290</f>
      </c>
      <c r="Q290" s="3">
        <f>(P290-Y290)/G290*100</f>
      </c>
      <c r="R290" s="3">
        <f>J290-N290</f>
      </c>
      <c r="S290" t="s">
        <v>1</v>
      </c>
      <c r="T290" t="s">
        <v>133</v>
      </c>
      <c r="Z290" s="3">
        <f>P290-Y290</f>
      </c>
      <c r="AA290" t="s">
        <v>94</v>
      </c>
      <c r="AB290" t="s">
        <v>69</v>
      </c>
    </row>
    <row r="291" spans="1:28" x14ac:dyDescent="0.25">
      <c r="A291" s="7">
        <v>46182.5</v>
      </c>
      <c r="B291" t="s">
        <v>1234</v>
      </c>
      <c r="C291" t="s">
        <v>176</v>
      </c>
      <c r="D291" s="8" t="s">
        <v>1</v>
      </c>
      <c r="E291" t="s">
        <v>77</v>
      </c>
      <c r="F291">
        <v>1</v>
      </c>
      <c r="G291" s="3">
        <v>0.15</v>
      </c>
      <c r="H291" s="3">
        <v>0.17</v>
      </c>
      <c r="I291" s="3">
        <f>H291-G291</f>
      </c>
      <c r="J291" s="3">
        <f>I291*16.67%</f>
      </c>
      <c r="K291" s="3">
        <f>H291/100*11</f>
      </c>
      <c r="L291" s="3">
        <v>8.99</v>
      </c>
      <c r="M291" s="3">
        <v>0</v>
      </c>
      <c r="N291" s="3">
        <f>M291*20%</f>
      </c>
      <c r="O291" s="3">
        <v>1</v>
      </c>
      <c r="P291" s="3">
        <f>I291-J291-K291-L291-M291-N291-O291</f>
      </c>
      <c r="Q291" s="3">
        <f>(P291-Y291)/G291*100</f>
      </c>
      <c r="R291" s="3">
        <f>J291-N291</f>
      </c>
      <c r="S291" t="s">
        <v>1</v>
      </c>
      <c r="T291" t="s">
        <v>176</v>
      </c>
      <c r="Z291" s="3">
        <f>P291-Y291</f>
      </c>
      <c r="AA291" t="s">
        <v>1</v>
      </c>
      <c r="AB291" t="s">
        <v>1</v>
      </c>
    </row>
    <row r="292" spans="1:28" x14ac:dyDescent="0.25">
      <c r="A292" s="7">
        <v>46182.5</v>
      </c>
      <c r="B292" t="s">
        <v>1235</v>
      </c>
      <c r="C292" t="s">
        <v>176</v>
      </c>
      <c r="D292" s="8" t="s">
        <v>1</v>
      </c>
      <c r="E292" t="s">
        <v>77</v>
      </c>
      <c r="F292">
        <v>4</v>
      </c>
      <c r="G292" s="3">
        <v>0.6</v>
      </c>
      <c r="H292" s="3">
        <v>0.8</v>
      </c>
      <c r="I292" s="3">
        <f>H292-G292</f>
      </c>
      <c r="J292" s="3">
        <f>I292*16.67%</f>
      </c>
      <c r="K292" s="3">
        <f>H292/100*11</f>
      </c>
      <c r="L292" s="3">
        <v>8.99</v>
      </c>
      <c r="M292" s="3">
        <v>0</v>
      </c>
      <c r="N292" s="3">
        <f>M292*20%</f>
      </c>
      <c r="O292" s="3">
        <v>1</v>
      </c>
      <c r="P292" s="3">
        <f>I292-J292-K292-L292-M292-N292-O292</f>
      </c>
      <c r="Q292" s="3">
        <f>(P292-Y292)/G292*100</f>
      </c>
      <c r="R292" s="3">
        <f>J292-N292</f>
      </c>
      <c r="S292" t="s">
        <v>1</v>
      </c>
      <c r="T292" t="s">
        <v>176</v>
      </c>
      <c r="Z292" s="3">
        <f>P292-Y292</f>
      </c>
      <c r="AA292" t="s">
        <v>1</v>
      </c>
      <c r="AB292" t="s">
        <v>1</v>
      </c>
    </row>
    <row r="293" spans="1:28" x14ac:dyDescent="0.25">
      <c r="A293" s="7">
        <v>46181.5</v>
      </c>
      <c r="B293" t="s">
        <v>1236</v>
      </c>
      <c r="C293" t="s">
        <v>1</v>
      </c>
      <c r="D293" s="8" t="s">
        <v>1237</v>
      </c>
      <c r="E293" t="s">
        <v>72</v>
      </c>
      <c r="F293">
        <v>1</v>
      </c>
      <c r="G293" s="3">
        <v>671</v>
      </c>
      <c r="H293" s="3">
        <v>852.17</v>
      </c>
      <c r="I293" s="3">
        <f>H293-G293</f>
      </c>
      <c r="J293" s="3">
        <f>I293*16.67%</f>
      </c>
      <c r="K293" s="3">
        <f>H293/100*11</f>
      </c>
      <c r="L293" s="3">
        <v>8.99</v>
      </c>
      <c r="M293" s="3">
        <v>0</v>
      </c>
      <c r="N293" s="3">
        <f>M293*20%</f>
      </c>
      <c r="O293" s="3">
        <v>1</v>
      </c>
      <c r="P293" s="3">
        <f>I293-J293-K293-L293-M293-N293-O293</f>
      </c>
      <c r="Q293" s="3">
        <f>(P293-Y293)/G293*100</f>
      </c>
      <c r="R293" s="3">
        <f>J293-N293</f>
      </c>
      <c r="S293" t="s">
        <v>1</v>
      </c>
      <c r="T293" t="s">
        <v>83</v>
      </c>
      <c r="Z293" s="3">
        <f>P293-Y293</f>
      </c>
      <c r="AA293" t="s">
        <v>59</v>
      </c>
      <c r="AB293" t="s">
        <v>87</v>
      </c>
    </row>
    <row r="294" spans="1:28" x14ac:dyDescent="0.25">
      <c r="A294" s="7">
        <v>46181.5</v>
      </c>
      <c r="B294" t="s">
        <v>1238</v>
      </c>
      <c r="C294" t="s">
        <v>1</v>
      </c>
      <c r="D294" s="8" t="s">
        <v>1239</v>
      </c>
      <c r="E294" t="s">
        <v>57</v>
      </c>
      <c r="F294">
        <v>1</v>
      </c>
      <c r="G294" s="3">
        <v>226</v>
      </c>
      <c r="H294" s="3">
        <v>305.1</v>
      </c>
      <c r="I294" s="3">
        <f>H294-G294</f>
      </c>
      <c r="J294" s="3">
        <f>I294*16.67%</f>
      </c>
      <c r="K294" s="3">
        <f>H294/100*11</f>
      </c>
      <c r="L294" s="3">
        <v>8.99</v>
      </c>
      <c r="M294" s="3">
        <v>0</v>
      </c>
      <c r="N294" s="3">
        <f>M294*20%</f>
      </c>
      <c r="O294" s="3">
        <v>1</v>
      </c>
      <c r="P294" s="3">
        <f>I294-J294-K294-L294-M294-N294-O294</f>
      </c>
      <c r="Q294" s="3">
        <f>(P294-Y294)/G294*100</f>
      </c>
      <c r="R294" s="3">
        <f>J294-N294</f>
      </c>
      <c r="S294" t="s">
        <v>1</v>
      </c>
      <c r="T294" t="s">
        <v>113</v>
      </c>
      <c r="Z294" s="3">
        <f>P294-Y294</f>
      </c>
      <c r="AA294" t="s">
        <v>94</v>
      </c>
      <c r="AB294" t="s">
        <v>84</v>
      </c>
    </row>
    <row r="295" spans="1:28" x14ac:dyDescent="0.25">
      <c r="A295" s="7">
        <v>46181.5</v>
      </c>
      <c r="B295" t="s">
        <v>1240</v>
      </c>
      <c r="C295" t="s">
        <v>1</v>
      </c>
      <c r="D295" s="8" t="s">
        <v>1241</v>
      </c>
      <c r="E295" t="s">
        <v>77</v>
      </c>
      <c r="F295">
        <v>1</v>
      </c>
      <c r="G295" s="3">
        <v>292</v>
      </c>
      <c r="H295" s="3">
        <v>417.56</v>
      </c>
      <c r="I295" s="3">
        <f>H295-G295</f>
      </c>
      <c r="J295" s="3">
        <f>I295*16.67%</f>
      </c>
      <c r="K295" s="3">
        <f>H295/100*11</f>
      </c>
      <c r="L295" s="3">
        <v>8.99</v>
      </c>
      <c r="M295" s="3">
        <v>0</v>
      </c>
      <c r="N295" s="3">
        <f>M295*20%</f>
      </c>
      <c r="O295" s="3">
        <v>1</v>
      </c>
      <c r="P295" s="3">
        <f>I295-J295-K295-L295-M295-N295-O295</f>
      </c>
      <c r="Q295" s="3">
        <f>(P295-Y295)/G295*100</f>
      </c>
      <c r="R295" s="3">
        <f>J295-N295</f>
      </c>
      <c r="S295" t="s">
        <v>1</v>
      </c>
      <c r="T295" t="s">
        <v>124</v>
      </c>
      <c r="Z295" s="3">
        <f>P295-Y295</f>
      </c>
      <c r="AA295" t="s">
        <v>125</v>
      </c>
      <c r="AB295" t="s">
        <v>84</v>
      </c>
    </row>
    <row r="296" spans="1:28" x14ac:dyDescent="0.25">
      <c r="A296" s="7">
        <v>46181.5</v>
      </c>
      <c r="B296" t="s">
        <v>1242</v>
      </c>
      <c r="C296" t="s">
        <v>1</v>
      </c>
      <c r="D296" s="8" t="s">
        <v>1243</v>
      </c>
      <c r="E296" t="s">
        <v>57</v>
      </c>
      <c r="F296">
        <v>1</v>
      </c>
      <c r="G296" s="3">
        <v>259</v>
      </c>
      <c r="H296" s="3">
        <v>313.39</v>
      </c>
      <c r="I296" s="3">
        <f>H296-G296</f>
      </c>
      <c r="J296" s="3">
        <f>I296*16.67%</f>
      </c>
      <c r="K296" s="3">
        <f>H296/100*11</f>
      </c>
      <c r="L296" s="3">
        <v>8.99</v>
      </c>
      <c r="M296" s="3">
        <v>0</v>
      </c>
      <c r="N296" s="3">
        <f>M296*20%</f>
      </c>
      <c r="O296" s="3">
        <v>1</v>
      </c>
      <c r="P296" s="3">
        <f>I296-J296-K296-L296-M296-N296-O296</f>
      </c>
      <c r="Q296" s="3">
        <f>(P296-Y296)/G296*100</f>
      </c>
      <c r="R296" s="3">
        <f>J296-N296</f>
      </c>
      <c r="S296" t="s">
        <v>1</v>
      </c>
      <c r="T296" t="s">
        <v>64</v>
      </c>
      <c r="Z296" s="3">
        <f>P296-Y296</f>
      </c>
      <c r="AA296" t="s">
        <v>65</v>
      </c>
      <c r="AB296" t="s">
        <v>104</v>
      </c>
    </row>
    <row r="297" spans="1:28" x14ac:dyDescent="0.25">
      <c r="A297" s="7">
        <v>46181.5</v>
      </c>
      <c r="B297" t="s">
        <v>1244</v>
      </c>
      <c r="C297" t="s">
        <v>1</v>
      </c>
      <c r="D297" s="8" t="s">
        <v>1245</v>
      </c>
      <c r="E297" t="s">
        <v>72</v>
      </c>
      <c r="F297">
        <v>1</v>
      </c>
      <c r="G297" s="3">
        <v>517</v>
      </c>
      <c r="H297" s="3">
        <v>610.06</v>
      </c>
      <c r="I297" s="3">
        <f>H297-G297</f>
      </c>
      <c r="J297" s="3">
        <f>I297*16.67%</f>
      </c>
      <c r="K297" s="3">
        <f>H297/100*11</f>
      </c>
      <c r="L297" s="3">
        <v>8.99</v>
      </c>
      <c r="M297" s="3">
        <v>0</v>
      </c>
      <c r="N297" s="3">
        <f>M297*20%</f>
      </c>
      <c r="O297" s="3">
        <v>1</v>
      </c>
      <c r="P297" s="3">
        <f>I297-J297-K297-L297-M297-N297-O297</f>
      </c>
      <c r="Q297" s="3">
        <f>(P297-Y297)/G297*100</f>
      </c>
      <c r="R297" s="3">
        <f>J297-N297</f>
      </c>
      <c r="S297" t="s">
        <v>1</v>
      </c>
      <c r="T297" t="s">
        <v>68</v>
      </c>
      <c r="Z297" s="3">
        <f>P297-Y297</f>
      </c>
      <c r="AA297" t="s">
        <v>59</v>
      </c>
      <c r="AB297" t="s">
        <v>69</v>
      </c>
    </row>
    <row r="298" spans="1:28" x14ac:dyDescent="0.25">
      <c r="A298" s="7">
        <v>46181.5</v>
      </c>
      <c r="B298" t="s">
        <v>1246</v>
      </c>
      <c r="C298" t="s">
        <v>1</v>
      </c>
      <c r="D298" s="8" t="s">
        <v>1247</v>
      </c>
      <c r="E298" t="s">
        <v>72</v>
      </c>
      <c r="F298">
        <v>1</v>
      </c>
      <c r="G298" s="3">
        <v>187</v>
      </c>
      <c r="H298" s="3">
        <v>239.36</v>
      </c>
      <c r="I298" s="3">
        <f>H298-G298</f>
      </c>
      <c r="J298" s="3">
        <f>I298*16.67%</f>
      </c>
      <c r="K298" s="3">
        <f>H298/100*11</f>
      </c>
      <c r="L298" s="3">
        <v>8.99</v>
      </c>
      <c r="M298" s="3">
        <v>0</v>
      </c>
      <c r="N298" s="3">
        <f>M298*20%</f>
      </c>
      <c r="O298" s="3">
        <v>1</v>
      </c>
      <c r="P298" s="3">
        <f>I298-J298-K298-L298-M298-N298-O298</f>
      </c>
      <c r="Q298" s="3">
        <f>(P298-Y298)/G298*100</f>
      </c>
      <c r="R298" s="3">
        <f>J298-N298</f>
      </c>
      <c r="S298" t="s">
        <v>1</v>
      </c>
      <c r="T298" t="s">
        <v>233</v>
      </c>
      <c r="Z298" s="3">
        <f>P298-Y298</f>
      </c>
      <c r="AA298" t="s">
        <v>65</v>
      </c>
      <c r="AB298" t="s">
        <v>69</v>
      </c>
    </row>
    <row r="299" spans="1:28" x14ac:dyDescent="0.25">
      <c r="A299" s="7">
        <v>46181.5</v>
      </c>
      <c r="B299" t="s">
        <v>1248</v>
      </c>
      <c r="C299" t="s">
        <v>253</v>
      </c>
      <c r="D299" s="8" t="s">
        <v>1</v>
      </c>
      <c r="E299" t="s">
        <v>57</v>
      </c>
      <c r="F299">
        <v>2</v>
      </c>
      <c r="G299" s="3">
        <v>1.6</v>
      </c>
      <c r="H299" s="3">
        <v>2.13</v>
      </c>
      <c r="I299" s="3">
        <f>H299-G299</f>
      </c>
      <c r="J299" s="3">
        <f>I299*16.67%</f>
      </c>
      <c r="K299" s="3">
        <f>H299/100*11</f>
      </c>
      <c r="L299" s="3">
        <v>8.99</v>
      </c>
      <c r="M299" s="3">
        <v>0</v>
      </c>
      <c r="N299" s="3">
        <f>M299*20%</f>
      </c>
      <c r="O299" s="3">
        <v>1</v>
      </c>
      <c r="P299" s="3">
        <f>I299-J299-K299-L299-M299-N299-O299</f>
      </c>
      <c r="Q299" s="3">
        <f>(P299-Y299)/G299*100</f>
      </c>
      <c r="R299" s="3">
        <f>J299-N299</f>
      </c>
      <c r="S299" t="s">
        <v>1</v>
      </c>
      <c r="T299" t="s">
        <v>253</v>
      </c>
      <c r="Z299" s="3">
        <f>P299-Y299</f>
      </c>
      <c r="AA299" t="s">
        <v>1</v>
      </c>
      <c r="AB299" t="s">
        <v>1</v>
      </c>
    </row>
    <row r="300" spans="1:28" x14ac:dyDescent="0.25">
      <c r="A300" s="7">
        <v>46181.5</v>
      </c>
      <c r="B300" t="s">
        <v>1249</v>
      </c>
      <c r="C300" t="s">
        <v>1</v>
      </c>
      <c r="D300" s="8" t="s">
        <v>1</v>
      </c>
      <c r="E300" t="s">
        <v>72</v>
      </c>
      <c r="F300">
        <v>1</v>
      </c>
      <c r="G300" s="3">
        <v>290</v>
      </c>
      <c r="H300" s="3">
        <v>397.3</v>
      </c>
      <c r="I300" s="3">
        <f>H300-G300</f>
      </c>
      <c r="J300" s="3">
        <f>I300*16.67%</f>
      </c>
      <c r="K300" s="3">
        <f>H300/100*11</f>
      </c>
      <c r="L300" s="3">
        <v>8.99</v>
      </c>
      <c r="M300" s="3">
        <v>0</v>
      </c>
      <c r="N300" s="3">
        <f>M300*20%</f>
      </c>
      <c r="O300" s="3">
        <v>1</v>
      </c>
      <c r="P300" s="3">
        <f>I300-J300-K300-L300-M300-N300-O300</f>
      </c>
      <c r="Q300" s="3">
        <f>(P300-Y300)/G300*100</f>
      </c>
      <c r="R300" s="3">
        <f>J300-N300</f>
      </c>
      <c r="S300" t="s">
        <v>1</v>
      </c>
      <c r="T300" t="s">
        <v>1</v>
      </c>
      <c r="Z300" s="3">
        <f>P300-Y300</f>
      </c>
      <c r="AA300" t="s">
        <v>1</v>
      </c>
      <c r="AB300" t="s">
        <v>1</v>
      </c>
    </row>
    <row r="301" spans="1:28" x14ac:dyDescent="0.25">
      <c r="A301" s="7">
        <v>46180.5</v>
      </c>
      <c r="B301" t="s">
        <v>1250</v>
      </c>
      <c r="C301" t="s">
        <v>1</v>
      </c>
      <c r="D301" s="8" t="s">
        <v>1251</v>
      </c>
      <c r="E301" t="s">
        <v>57</v>
      </c>
      <c r="F301">
        <v>1</v>
      </c>
      <c r="G301" s="3">
        <v>517</v>
      </c>
      <c r="H301" s="3">
        <v>599.72</v>
      </c>
      <c r="I301" s="3">
        <f>H301-G301</f>
      </c>
      <c r="J301" s="3">
        <f>I301*16.67%</f>
      </c>
      <c r="K301" s="3">
        <f>H301/100*11</f>
      </c>
      <c r="L301" s="3">
        <v>8.99</v>
      </c>
      <c r="M301" s="3">
        <v>0</v>
      </c>
      <c r="N301" s="3">
        <f>M301*20%</f>
      </c>
      <c r="O301" s="3">
        <v>1</v>
      </c>
      <c r="P301" s="3">
        <f>I301-J301-K301-L301-M301-N301-O301</f>
      </c>
      <c r="Q301" s="3">
        <f>(P301-Y301)/G301*100</f>
      </c>
      <c r="R301" s="3">
        <f>J301-N301</f>
      </c>
      <c r="S301" t="s">
        <v>1</v>
      </c>
      <c r="T301" t="s">
        <v>68</v>
      </c>
      <c r="Z301" s="3">
        <f>P301-Y301</f>
      </c>
      <c r="AA301" t="s">
        <v>59</v>
      </c>
      <c r="AB301" t="s">
        <v>104</v>
      </c>
    </row>
    <row r="302" spans="1:28" x14ac:dyDescent="0.25">
      <c r="A302" s="7">
        <v>46180.5</v>
      </c>
      <c r="B302" t="s">
        <v>1252</v>
      </c>
      <c r="C302" t="s">
        <v>1</v>
      </c>
      <c r="D302" s="8" t="s">
        <v>1253</v>
      </c>
      <c r="E302" t="s">
        <v>57</v>
      </c>
      <c r="F302">
        <v>1</v>
      </c>
      <c r="G302" s="3">
        <v>348</v>
      </c>
      <c r="H302" s="3">
        <v>504.6</v>
      </c>
      <c r="I302" s="3">
        <f>H302-G302</f>
      </c>
      <c r="J302" s="3">
        <f>I302*16.67%</f>
      </c>
      <c r="K302" s="3">
        <f>H302/100*11</f>
      </c>
      <c r="L302" s="3">
        <v>8.99</v>
      </c>
      <c r="M302" s="3">
        <v>0</v>
      </c>
      <c r="N302" s="3">
        <f>M302*20%</f>
      </c>
      <c r="O302" s="3">
        <v>1</v>
      </c>
      <c r="P302" s="3">
        <f>I302-J302-K302-L302-M302-N302-O302</f>
      </c>
      <c r="Q302" s="3">
        <f>(P302-Y302)/G302*100</f>
      </c>
      <c r="R302" s="3">
        <f>J302-N302</f>
      </c>
      <c r="S302" t="s">
        <v>1</v>
      </c>
      <c r="T302" t="s">
        <v>73</v>
      </c>
      <c r="Z302" s="3">
        <f>P302-Y302</f>
      </c>
      <c r="AA302" t="s">
        <v>59</v>
      </c>
      <c r="AB302" t="s">
        <v>87</v>
      </c>
    </row>
    <row r="303" spans="1:28" x14ac:dyDescent="0.25">
      <c r="A303" s="7">
        <v>46180.5</v>
      </c>
      <c r="B303" t="s">
        <v>1254</v>
      </c>
      <c r="C303" t="s">
        <v>1</v>
      </c>
      <c r="D303" s="8" t="s">
        <v>1255</v>
      </c>
      <c r="E303" t="s">
        <v>57</v>
      </c>
      <c r="F303">
        <v>1</v>
      </c>
      <c r="G303" s="3">
        <v>294</v>
      </c>
      <c r="H303" s="3">
        <v>355.74</v>
      </c>
      <c r="I303" s="3">
        <f>H303-G303</f>
      </c>
      <c r="J303" s="3">
        <f>I303*16.67%</f>
      </c>
      <c r="K303" s="3">
        <f>H303/100*11</f>
      </c>
      <c r="L303" s="3">
        <v>8.99</v>
      </c>
      <c r="M303" s="3">
        <v>0</v>
      </c>
      <c r="N303" s="3">
        <f>M303*20%</f>
      </c>
      <c r="O303" s="3">
        <v>1</v>
      </c>
      <c r="P303" s="3">
        <f>I303-J303-K303-L303-M303-N303-O303</f>
      </c>
      <c r="Q303" s="3">
        <f>(P303-Y303)/G303*100</f>
      </c>
      <c r="R303" s="3">
        <f>J303-N303</f>
      </c>
      <c r="S303" t="s">
        <v>1</v>
      </c>
      <c r="T303" t="s">
        <v>97</v>
      </c>
      <c r="Z303" s="3">
        <f>P303-Y303</f>
      </c>
      <c r="AA303" t="s">
        <v>65</v>
      </c>
      <c r="AB303" t="s">
        <v>74</v>
      </c>
    </row>
    <row r="304" spans="1:28" x14ac:dyDescent="0.25">
      <c r="A304" s="7">
        <v>46180.5</v>
      </c>
      <c r="B304" t="s">
        <v>1256</v>
      </c>
      <c r="C304" t="s">
        <v>1</v>
      </c>
      <c r="D304" s="8" t="s">
        <v>1257</v>
      </c>
      <c r="E304" t="s">
        <v>63</v>
      </c>
      <c r="F304">
        <v>1</v>
      </c>
      <c r="G304" s="3">
        <v>144</v>
      </c>
      <c r="H304" s="3">
        <v>203.04</v>
      </c>
      <c r="I304" s="3">
        <f>H304-G304</f>
      </c>
      <c r="J304" s="3">
        <f>I304*16.67%</f>
      </c>
      <c r="K304" s="3">
        <f>H304/100*11</f>
      </c>
      <c r="L304" s="3">
        <v>8.99</v>
      </c>
      <c r="M304" s="3">
        <v>0</v>
      </c>
      <c r="N304" s="3">
        <f>M304*20%</f>
      </c>
      <c r="O304" s="3">
        <v>1</v>
      </c>
      <c r="P304" s="3">
        <f>I304-J304-K304-L304-M304-N304-O304</f>
      </c>
      <c r="Q304" s="3">
        <f>(P304-Y304)/G304*100</f>
      </c>
      <c r="R304" s="3">
        <f>J304-N304</f>
      </c>
      <c r="S304" t="s">
        <v>1</v>
      </c>
      <c r="T304" t="s">
        <v>171</v>
      </c>
      <c r="Z304" s="3">
        <f>P304-Y304</f>
      </c>
      <c r="AA304" t="s">
        <v>65</v>
      </c>
      <c r="AB304" t="s">
        <v>87</v>
      </c>
    </row>
    <row r="305" spans="1:28" x14ac:dyDescent="0.25">
      <c r="A305" s="7">
        <v>46180.5</v>
      </c>
      <c r="B305" t="s">
        <v>1258</v>
      </c>
      <c r="C305" t="s">
        <v>253</v>
      </c>
      <c r="D305" s="8" t="s">
        <v>1</v>
      </c>
      <c r="E305" t="s">
        <v>57</v>
      </c>
      <c r="F305">
        <v>2</v>
      </c>
      <c r="G305" s="3">
        <v>1.6</v>
      </c>
      <c r="H305" s="3">
        <v>1.92</v>
      </c>
      <c r="I305" s="3">
        <f>H305-G305</f>
      </c>
      <c r="J305" s="3">
        <f>I305*16.67%</f>
      </c>
      <c r="K305" s="3">
        <f>H305/100*11</f>
      </c>
      <c r="L305" s="3">
        <v>8.99</v>
      </c>
      <c r="M305" s="3">
        <v>0</v>
      </c>
      <c r="N305" s="3">
        <f>M305*20%</f>
      </c>
      <c r="O305" s="3">
        <v>1</v>
      </c>
      <c r="P305" s="3">
        <f>I305-J305-K305-L305-M305-N305-O305</f>
      </c>
      <c r="Q305" s="3">
        <f>(P305-Y305)/G305*100</f>
      </c>
      <c r="R305" s="3">
        <f>J305-N305</f>
      </c>
      <c r="S305" t="s">
        <v>1</v>
      </c>
      <c r="T305" t="s">
        <v>253</v>
      </c>
      <c r="Z305" s="3">
        <f>P305-Y305</f>
      </c>
      <c r="AA305" t="s">
        <v>1</v>
      </c>
      <c r="AB305" t="s">
        <v>1</v>
      </c>
    </row>
    <row r="306" spans="1:28" x14ac:dyDescent="0.25">
      <c r="A306" s="7">
        <v>46180.5</v>
      </c>
      <c r="B306" t="s">
        <v>1259</v>
      </c>
      <c r="C306" t="s">
        <v>181</v>
      </c>
      <c r="D306" s="8" t="s">
        <v>1</v>
      </c>
      <c r="E306" t="s">
        <v>72</v>
      </c>
      <c r="F306">
        <v>4</v>
      </c>
      <c r="G306" s="3">
        <v>7.6</v>
      </c>
      <c r="H306" s="3">
        <v>8.97</v>
      </c>
      <c r="I306" s="3">
        <f>H306-G306</f>
      </c>
      <c r="J306" s="3">
        <f>I306*16.67%</f>
      </c>
      <c r="K306" s="3">
        <f>H306/100*11</f>
      </c>
      <c r="L306" s="3">
        <v>8.99</v>
      </c>
      <c r="M306" s="3">
        <v>0</v>
      </c>
      <c r="N306" s="3">
        <f>M306*20%</f>
      </c>
      <c r="O306" s="3">
        <v>1</v>
      </c>
      <c r="P306" s="3">
        <f>I306-J306-K306-L306-M306-N306-O306</f>
      </c>
      <c r="Q306" s="3">
        <f>(P306-Y306)/G306*100</f>
      </c>
      <c r="R306" s="3">
        <f>J306-N306</f>
      </c>
      <c r="S306" t="s">
        <v>1</v>
      </c>
      <c r="T306" t="s">
        <v>181</v>
      </c>
      <c r="Z306" s="3">
        <f>P306-Y306</f>
      </c>
      <c r="AA306" t="s">
        <v>1</v>
      </c>
      <c r="AB306" t="s">
        <v>1</v>
      </c>
    </row>
    <row r="307" spans="1:28" x14ac:dyDescent="0.25">
      <c r="A307" s="7">
        <v>46180.5</v>
      </c>
      <c r="B307" t="s">
        <v>1260</v>
      </c>
      <c r="C307" t="s">
        <v>184</v>
      </c>
      <c r="D307" s="8" t="s">
        <v>1</v>
      </c>
      <c r="E307" t="s">
        <v>101</v>
      </c>
      <c r="F307">
        <v>3</v>
      </c>
      <c r="G307" s="3">
        <v>3.6</v>
      </c>
      <c r="H307" s="3">
        <v>5.08</v>
      </c>
      <c r="I307" s="3">
        <f>H307-G307</f>
      </c>
      <c r="J307" s="3">
        <f>I307*16.67%</f>
      </c>
      <c r="K307" s="3">
        <f>H307/100*11</f>
      </c>
      <c r="L307" s="3">
        <v>8.99</v>
      </c>
      <c r="M307" s="3">
        <v>0</v>
      </c>
      <c r="N307" s="3">
        <f>M307*20%</f>
      </c>
      <c r="O307" s="3">
        <v>1</v>
      </c>
      <c r="P307" s="3">
        <f>I307-J307-K307-L307-M307-N307-O307</f>
      </c>
      <c r="Q307" s="3">
        <f>(P307-Y307)/G307*100</f>
      </c>
      <c r="R307" s="3">
        <f>J307-N307</f>
      </c>
      <c r="S307" t="s">
        <v>1</v>
      </c>
      <c r="T307" t="s">
        <v>184</v>
      </c>
      <c r="Z307" s="3">
        <f>P307-Y307</f>
      </c>
      <c r="AA307" t="s">
        <v>1</v>
      </c>
      <c r="AB307" t="s">
        <v>1</v>
      </c>
    </row>
    <row r="308" spans="1:28" x14ac:dyDescent="0.25">
      <c r="A308" s="7">
        <v>46179.5</v>
      </c>
      <c r="B308" t="s">
        <v>1261</v>
      </c>
      <c r="C308" t="s">
        <v>1</v>
      </c>
      <c r="D308" s="8" t="s">
        <v>1262</v>
      </c>
      <c r="E308" t="s">
        <v>63</v>
      </c>
      <c r="F308">
        <v>1</v>
      </c>
      <c r="G308" s="3">
        <v>256</v>
      </c>
      <c r="H308" s="3">
        <v>320</v>
      </c>
      <c r="I308" s="3">
        <f>H308-G308</f>
      </c>
      <c r="J308" s="3">
        <f>I308*16.67%</f>
      </c>
      <c r="K308" s="3">
        <f>H308/100*11</f>
      </c>
      <c r="L308" s="3">
        <v>8.99</v>
      </c>
      <c r="M308" s="3">
        <v>0</v>
      </c>
      <c r="N308" s="3">
        <f>M308*20%</f>
      </c>
      <c r="O308" s="3">
        <v>1</v>
      </c>
      <c r="P308" s="3">
        <f>I308-J308-K308-L308-M308-N308-O308</f>
      </c>
      <c r="Q308" s="3">
        <f>(P308-Y308)/G308*100</f>
      </c>
      <c r="R308" s="3">
        <f>J308-N308</f>
      </c>
      <c r="S308" t="s">
        <v>1</v>
      </c>
      <c r="T308" t="s">
        <v>113</v>
      </c>
      <c r="Z308" s="3">
        <f>P308-Y308</f>
      </c>
      <c r="AA308" t="s">
        <v>59</v>
      </c>
      <c r="AB308" t="s">
        <v>74</v>
      </c>
    </row>
    <row r="309" spans="1:28" x14ac:dyDescent="0.25">
      <c r="A309" s="7">
        <v>46179.5</v>
      </c>
      <c r="B309" t="s">
        <v>1263</v>
      </c>
      <c r="C309" t="s">
        <v>1</v>
      </c>
      <c r="D309" s="8" t="s">
        <v>1264</v>
      </c>
      <c r="E309" t="s">
        <v>101</v>
      </c>
      <c r="F309">
        <v>1</v>
      </c>
      <c r="G309" s="3">
        <v>278</v>
      </c>
      <c r="H309" s="3">
        <v>336.38</v>
      </c>
      <c r="I309" s="3">
        <f>H309-G309</f>
      </c>
      <c r="J309" s="3">
        <f>I309*16.67%</f>
      </c>
      <c r="K309" s="3">
        <f>H309/100*11</f>
      </c>
      <c r="L309" s="3">
        <v>8.99</v>
      </c>
      <c r="M309" s="3">
        <v>0</v>
      </c>
      <c r="N309" s="3">
        <f>M309*20%</f>
      </c>
      <c r="O309" s="3">
        <v>1</v>
      </c>
      <c r="P309" s="3">
        <f>I309-J309-K309-L309-M309-N309-O309</f>
      </c>
      <c r="Q309" s="3">
        <f>(P309-Y309)/G309*100</f>
      </c>
      <c r="R309" s="3">
        <f>J309-N309</f>
      </c>
      <c r="S309" t="s">
        <v>1</v>
      </c>
      <c r="T309" t="s">
        <v>130</v>
      </c>
      <c r="Z309" s="3">
        <f>P309-Y309</f>
      </c>
      <c r="AA309" t="s">
        <v>59</v>
      </c>
      <c r="AB309" t="s">
        <v>74</v>
      </c>
    </row>
    <row r="310" spans="1:28" x14ac:dyDescent="0.25">
      <c r="A310" s="7">
        <v>46179.5</v>
      </c>
      <c r="B310" t="s">
        <v>1265</v>
      </c>
      <c r="C310" t="s">
        <v>1</v>
      </c>
      <c r="D310" s="8" t="s">
        <v>1266</v>
      </c>
      <c r="E310" t="s">
        <v>57</v>
      </c>
      <c r="F310">
        <v>1</v>
      </c>
      <c r="G310" s="3">
        <v>716</v>
      </c>
      <c r="H310" s="3">
        <v>995.24</v>
      </c>
      <c r="I310" s="3">
        <f>H310-G310</f>
      </c>
      <c r="J310" s="3">
        <f>I310*16.67%</f>
      </c>
      <c r="K310" s="3">
        <f>H310/100*11</f>
      </c>
      <c r="L310" s="3">
        <v>8.99</v>
      </c>
      <c r="M310" s="3">
        <v>0</v>
      </c>
      <c r="N310" s="3">
        <f>M310*20%</f>
      </c>
      <c r="O310" s="3">
        <v>1</v>
      </c>
      <c r="P310" s="3">
        <f>I310-J310-K310-L310-M310-N310-O310</f>
      </c>
      <c r="Q310" s="3">
        <f>(P310-Y310)/G310*100</f>
      </c>
      <c r="R310" s="3">
        <f>J310-N310</f>
      </c>
      <c r="S310" t="s">
        <v>1</v>
      </c>
      <c r="T310" t="s">
        <v>83</v>
      </c>
      <c r="Z310" s="3">
        <f>P310-Y310</f>
      </c>
      <c r="AA310" t="s">
        <v>59</v>
      </c>
      <c r="AB310" t="s">
        <v>104</v>
      </c>
    </row>
    <row r="311" spans="1:28" x14ac:dyDescent="0.25">
      <c r="A311" s="7">
        <v>46179.5</v>
      </c>
      <c r="B311" t="s">
        <v>1267</v>
      </c>
      <c r="C311" t="s">
        <v>173</v>
      </c>
      <c r="D311" s="8" t="s">
        <v>1</v>
      </c>
      <c r="E311" t="s">
        <v>63</v>
      </c>
      <c r="F311">
        <v>4</v>
      </c>
      <c r="G311" s="3">
        <v>17</v>
      </c>
      <c r="H311" s="3">
        <v>22.78</v>
      </c>
      <c r="I311" s="3">
        <f>H311-G311</f>
      </c>
      <c r="J311" s="3">
        <f>I311*16.67%</f>
      </c>
      <c r="K311" s="3">
        <f>H311/100*11</f>
      </c>
      <c r="L311" s="3">
        <v>8.99</v>
      </c>
      <c r="M311" s="3">
        <v>0</v>
      </c>
      <c r="N311" s="3">
        <f>M311*20%</f>
      </c>
      <c r="O311" s="3">
        <v>1</v>
      </c>
      <c r="P311" s="3">
        <f>I311-J311-K311-L311-M311-N311-O311</f>
      </c>
      <c r="Q311" s="3">
        <f>(P311-Y311)/G311*100</f>
      </c>
      <c r="R311" s="3">
        <f>J311-N311</f>
      </c>
      <c r="S311" t="s">
        <v>1</v>
      </c>
      <c r="T311" t="s">
        <v>173</v>
      </c>
      <c r="Z311" s="3">
        <f>P311-Y311</f>
      </c>
      <c r="AA311" t="s">
        <v>1</v>
      </c>
      <c r="AB311" t="s">
        <v>1</v>
      </c>
    </row>
    <row r="312" spans="1:28" x14ac:dyDescent="0.25">
      <c r="A312" s="7">
        <v>46178.5</v>
      </c>
      <c r="B312" t="s">
        <v>1268</v>
      </c>
      <c r="C312" t="s">
        <v>188</v>
      </c>
      <c r="D312" s="8" t="s">
        <v>1</v>
      </c>
      <c r="E312" t="s">
        <v>63</v>
      </c>
      <c r="F312">
        <v>1</v>
      </c>
      <c r="G312" s="3">
        <v>3.5</v>
      </c>
      <c r="H312" s="3">
        <v>4.2</v>
      </c>
      <c r="I312" s="3">
        <f>H312-G312</f>
      </c>
      <c r="J312" s="3">
        <f>I312*16.67%</f>
      </c>
      <c r="K312" s="3">
        <f>H312/100*11</f>
      </c>
      <c r="L312" s="3">
        <v>8.99</v>
      </c>
      <c r="M312" s="3">
        <v>0</v>
      </c>
      <c r="N312" s="3">
        <f>M312*20%</f>
      </c>
      <c r="O312" s="3">
        <v>1</v>
      </c>
      <c r="P312" s="3">
        <f>I312-J312-K312-L312-M312-N312-O312</f>
      </c>
      <c r="Q312" s="3">
        <f>(P312-Y312)/G312*100</f>
      </c>
      <c r="R312" s="3">
        <f>J312-N312</f>
      </c>
      <c r="S312" t="s">
        <v>1</v>
      </c>
      <c r="T312" t="s">
        <v>188</v>
      </c>
      <c r="Z312" s="3">
        <f>P312-Y312</f>
      </c>
      <c r="AA312" t="s">
        <v>1</v>
      </c>
      <c r="AB312" t="s">
        <v>1</v>
      </c>
    </row>
    <row r="313" spans="1:28" x14ac:dyDescent="0.25">
      <c r="A313" s="7">
        <v>46177.5</v>
      </c>
      <c r="B313" t="s">
        <v>1269</v>
      </c>
      <c r="C313" t="s">
        <v>1</v>
      </c>
      <c r="D313" s="8" t="s">
        <v>1270</v>
      </c>
      <c r="E313" t="s">
        <v>101</v>
      </c>
      <c r="F313">
        <v>1</v>
      </c>
      <c r="G313" s="3">
        <v>254</v>
      </c>
      <c r="H313" s="3">
        <v>340.36</v>
      </c>
      <c r="I313" s="3">
        <f>H313-G313</f>
      </c>
      <c r="J313" s="3">
        <f>I313*16.67%</f>
      </c>
      <c r="K313" s="3">
        <f>H313/100*11</f>
      </c>
      <c r="L313" s="3">
        <v>8.99</v>
      </c>
      <c r="M313" s="3">
        <v>0</v>
      </c>
      <c r="N313" s="3">
        <f>M313*20%</f>
      </c>
      <c r="O313" s="3">
        <v>1</v>
      </c>
      <c r="P313" s="3">
        <f>I313-J313-K313-L313-M313-N313-O313</f>
      </c>
      <c r="Q313" s="3">
        <f>(P313-Y313)/G313*100</f>
      </c>
      <c r="R313" s="3">
        <f>J313-N313</f>
      </c>
      <c r="S313" t="s">
        <v>1</v>
      </c>
      <c r="T313" t="s">
        <v>124</v>
      </c>
      <c r="Z313" s="3">
        <f>P313-Y313</f>
      </c>
      <c r="AA313" t="s">
        <v>125</v>
      </c>
      <c r="AB313" t="s">
        <v>74</v>
      </c>
    </row>
    <row r="314" spans="1:28" x14ac:dyDescent="0.25">
      <c r="A314" s="7">
        <v>46177.5</v>
      </c>
      <c r="B314" t="s">
        <v>1271</v>
      </c>
      <c r="C314" t="s">
        <v>1</v>
      </c>
      <c r="D314" s="8" t="s">
        <v>1272</v>
      </c>
      <c r="E314" t="s">
        <v>57</v>
      </c>
      <c r="F314">
        <v>1</v>
      </c>
      <c r="G314" s="3">
        <v>175</v>
      </c>
      <c r="H314" s="3">
        <v>227.5</v>
      </c>
      <c r="I314" s="3">
        <f>H314-G314</f>
      </c>
      <c r="J314" s="3">
        <f>I314*16.67%</f>
      </c>
      <c r="K314" s="3">
        <f>H314/100*11</f>
      </c>
      <c r="L314" s="3">
        <v>8.99</v>
      </c>
      <c r="M314" s="3">
        <v>0</v>
      </c>
      <c r="N314" s="3">
        <f>M314*20%</f>
      </c>
      <c r="O314" s="3">
        <v>1</v>
      </c>
      <c r="P314" s="3">
        <f>I314-J314-K314-L314-M314-N314-O314</f>
      </c>
      <c r="Q314" s="3">
        <f>(P314-Y314)/G314*100</f>
      </c>
      <c r="R314" s="3">
        <f>J314-N314</f>
      </c>
      <c r="S314" t="s">
        <v>1</v>
      </c>
      <c r="T314" t="s">
        <v>233</v>
      </c>
      <c r="Z314" s="3">
        <f>P314-Y314</f>
      </c>
      <c r="AA314" t="s">
        <v>65</v>
      </c>
      <c r="AB314" t="s">
        <v>69</v>
      </c>
    </row>
    <row r="315" spans="1:28" x14ac:dyDescent="0.25">
      <c r="A315" s="7">
        <v>46177.5</v>
      </c>
      <c r="B315" t="s">
        <v>1273</v>
      </c>
      <c r="C315" t="s">
        <v>1</v>
      </c>
      <c r="D315" s="8" t="s">
        <v>1274</v>
      </c>
      <c r="E315" t="s">
        <v>101</v>
      </c>
      <c r="F315">
        <v>1</v>
      </c>
      <c r="G315" s="3">
        <v>76</v>
      </c>
      <c r="H315" s="3">
        <v>88.16</v>
      </c>
      <c r="I315" s="3">
        <f>H315-G315</f>
      </c>
      <c r="J315" s="3">
        <f>I315*16.67%</f>
      </c>
      <c r="K315" s="3">
        <f>H315/100*11</f>
      </c>
      <c r="L315" s="3">
        <v>8.99</v>
      </c>
      <c r="M315" s="3">
        <v>0</v>
      </c>
      <c r="N315" s="3">
        <f>M315*20%</f>
      </c>
      <c r="O315" s="3">
        <v>1</v>
      </c>
      <c r="P315" s="3">
        <f>I315-J315-K315-L315-M315-N315-O315</f>
      </c>
      <c r="Q315" s="3">
        <f>(P315-Y315)/G315*100</f>
      </c>
      <c r="R315" s="3">
        <f>J315-N315</f>
      </c>
      <c r="S315" t="s">
        <v>1</v>
      </c>
      <c r="T315" t="s">
        <v>93</v>
      </c>
      <c r="Z315" s="3">
        <f>P315-Y315</f>
      </c>
      <c r="AA315" t="s">
        <v>94</v>
      </c>
      <c r="AB315" t="s">
        <v>60</v>
      </c>
    </row>
    <row r="316" spans="1:28" x14ac:dyDescent="0.25">
      <c r="A316" s="7">
        <v>46177.5</v>
      </c>
      <c r="B316" t="s">
        <v>1275</v>
      </c>
      <c r="C316" t="s">
        <v>176</v>
      </c>
      <c r="D316" s="8" t="s">
        <v>1</v>
      </c>
      <c r="E316" t="s">
        <v>77</v>
      </c>
      <c r="F316">
        <v>4</v>
      </c>
      <c r="G316" s="3">
        <v>0.6</v>
      </c>
      <c r="H316" s="3">
        <v>0.7</v>
      </c>
      <c r="I316" s="3">
        <f>H316-G316</f>
      </c>
      <c r="J316" s="3">
        <f>I316*16.67%</f>
      </c>
      <c r="K316" s="3">
        <f>H316/100*11</f>
      </c>
      <c r="L316" s="3">
        <v>8.99</v>
      </c>
      <c r="M316" s="3">
        <v>0</v>
      </c>
      <c r="N316" s="3">
        <f>M316*20%</f>
      </c>
      <c r="O316" s="3">
        <v>1</v>
      </c>
      <c r="P316" s="3">
        <f>I316-J316-K316-L316-M316-N316-O316</f>
      </c>
      <c r="Q316" s="3">
        <f>(P316-Y316)/G316*100</f>
      </c>
      <c r="R316" s="3">
        <f>J316-N316</f>
      </c>
      <c r="S316" t="s">
        <v>1</v>
      </c>
      <c r="T316" t="s">
        <v>176</v>
      </c>
      <c r="Z316" s="3">
        <f>P316-Y316</f>
      </c>
      <c r="AA316" t="s">
        <v>1</v>
      </c>
      <c r="AB316" t="s">
        <v>1</v>
      </c>
    </row>
    <row r="317" spans="1:28" x14ac:dyDescent="0.25">
      <c r="A317" s="7">
        <v>46177.5</v>
      </c>
      <c r="B317" t="s">
        <v>1276</v>
      </c>
      <c r="C317" t="s">
        <v>181</v>
      </c>
      <c r="D317" s="8" t="s">
        <v>1</v>
      </c>
      <c r="E317" t="s">
        <v>72</v>
      </c>
      <c r="F317">
        <v>4</v>
      </c>
      <c r="G317" s="3">
        <v>7.6</v>
      </c>
      <c r="H317" s="3">
        <v>8.82</v>
      </c>
      <c r="I317" s="3">
        <f>H317-G317</f>
      </c>
      <c r="J317" s="3">
        <f>I317*16.67%</f>
      </c>
      <c r="K317" s="3">
        <f>H317/100*11</f>
      </c>
      <c r="L317" s="3">
        <v>8.99</v>
      </c>
      <c r="M317" s="3">
        <v>0</v>
      </c>
      <c r="N317" s="3">
        <f>M317*20%</f>
      </c>
      <c r="O317" s="3">
        <v>1</v>
      </c>
      <c r="P317" s="3">
        <f>I317-J317-K317-L317-M317-N317-O317</f>
      </c>
      <c r="Q317" s="3">
        <f>(P317-Y317)/G317*100</f>
      </c>
      <c r="R317" s="3">
        <f>J317-N317</f>
      </c>
      <c r="S317" t="s">
        <v>1</v>
      </c>
      <c r="T317" t="s">
        <v>181</v>
      </c>
      <c r="Z317" s="3">
        <f>P317-Y317</f>
      </c>
      <c r="AA317" t="s">
        <v>1</v>
      </c>
      <c r="AB317" t="s">
        <v>1</v>
      </c>
    </row>
    <row r="318" spans="1:28" x14ac:dyDescent="0.25">
      <c r="A318" s="7">
        <v>46176.5</v>
      </c>
      <c r="B318" t="s">
        <v>1277</v>
      </c>
      <c r="C318" t="s">
        <v>1</v>
      </c>
      <c r="D318" s="8" t="s">
        <v>1278</v>
      </c>
      <c r="E318" t="s">
        <v>101</v>
      </c>
      <c r="F318">
        <v>1</v>
      </c>
      <c r="G318" s="3">
        <v>316</v>
      </c>
      <c r="H318" s="3">
        <v>420.28</v>
      </c>
      <c r="I318" s="3">
        <f>H318-G318</f>
      </c>
      <c r="J318" s="3">
        <f>I318*16.67%</f>
      </c>
      <c r="K318" s="3">
        <f>H318/100*11</f>
      </c>
      <c r="L318" s="3">
        <v>8.99</v>
      </c>
      <c r="M318" s="3">
        <v>0</v>
      </c>
      <c r="N318" s="3">
        <f>M318*20%</f>
      </c>
      <c r="O318" s="3">
        <v>1</v>
      </c>
      <c r="P318" s="3">
        <f>I318-J318-K318-L318-M318-N318-O318</f>
      </c>
      <c r="Q318" s="3">
        <f>(P318-Y318)/G318*100</f>
      </c>
      <c r="R318" s="3">
        <f>J318-N318</f>
      </c>
      <c r="S318" t="s">
        <v>1</v>
      </c>
      <c r="T318" t="s">
        <v>138</v>
      </c>
      <c r="Z318" s="3">
        <f>P318-Y318</f>
      </c>
      <c r="AA318" t="s">
        <v>65</v>
      </c>
      <c r="AB318" t="s">
        <v>98</v>
      </c>
    </row>
    <row r="319" spans="1:28" x14ac:dyDescent="0.25">
      <c r="A319" s="7">
        <v>46176.5</v>
      </c>
      <c r="B319" t="s">
        <v>1279</v>
      </c>
      <c r="C319" t="s">
        <v>1</v>
      </c>
      <c r="D319" s="8" t="s">
        <v>1280</v>
      </c>
      <c r="E319" t="s">
        <v>101</v>
      </c>
      <c r="F319">
        <v>1</v>
      </c>
      <c r="G319" s="3">
        <v>106</v>
      </c>
      <c r="H319" s="3">
        <v>139.92</v>
      </c>
      <c r="I319" s="3">
        <f>H319-G319</f>
      </c>
      <c r="J319" s="3">
        <f>I319*16.67%</f>
      </c>
      <c r="K319" s="3">
        <f>H319/100*11</f>
      </c>
      <c r="L319" s="3">
        <v>8.99</v>
      </c>
      <c r="M319" s="3">
        <v>0</v>
      </c>
      <c r="N319" s="3">
        <f>M319*20%</f>
      </c>
      <c r="O319" s="3">
        <v>1</v>
      </c>
      <c r="P319" s="3">
        <f>I319-J319-K319-L319-M319-N319-O319</f>
      </c>
      <c r="Q319" s="3">
        <f>(P319-Y319)/G319*100</f>
      </c>
      <c r="R319" s="3">
        <f>J319-N319</f>
      </c>
      <c r="S319" t="s">
        <v>1</v>
      </c>
      <c r="T319" t="s">
        <v>133</v>
      </c>
      <c r="Z319" s="3">
        <f>P319-Y319</f>
      </c>
      <c r="AA319" t="s">
        <v>65</v>
      </c>
      <c r="AB319" t="s">
        <v>98</v>
      </c>
    </row>
    <row r="320" spans="1:28" x14ac:dyDescent="0.25">
      <c r="A320" s="7">
        <v>46176.5</v>
      </c>
      <c r="B320" t="s">
        <v>1281</v>
      </c>
      <c r="C320" t="s">
        <v>1</v>
      </c>
      <c r="D320" s="8" t="s">
        <v>1282</v>
      </c>
      <c r="E320" t="s">
        <v>77</v>
      </c>
      <c r="F320">
        <v>1</v>
      </c>
      <c r="G320" s="3">
        <v>604</v>
      </c>
      <c r="H320" s="3">
        <v>742.92</v>
      </c>
      <c r="I320" s="3">
        <f>H320-G320</f>
      </c>
      <c r="J320" s="3">
        <f>I320*16.67%</f>
      </c>
      <c r="K320" s="3">
        <f>H320/100*11</f>
      </c>
      <c r="L320" s="3">
        <v>8.99</v>
      </c>
      <c r="M320" s="3">
        <v>0</v>
      </c>
      <c r="N320" s="3">
        <f>M320*20%</f>
      </c>
      <c r="O320" s="3">
        <v>1</v>
      </c>
      <c r="P320" s="3">
        <f>I320-J320-K320-L320-M320-N320-O320</f>
      </c>
      <c r="Q320" s="3">
        <f>(P320-Y320)/G320*100</f>
      </c>
      <c r="R320" s="3">
        <f>J320-N320</f>
      </c>
      <c r="S320" t="s">
        <v>1</v>
      </c>
      <c r="T320" t="s">
        <v>80</v>
      </c>
      <c r="Z320" s="3">
        <f>P320-Y320</f>
      </c>
      <c r="AA320" t="s">
        <v>65</v>
      </c>
      <c r="AB320" t="s">
        <v>69</v>
      </c>
    </row>
    <row r="321" spans="1:28" x14ac:dyDescent="0.25">
      <c r="A321" s="7">
        <v>46176.5</v>
      </c>
      <c r="B321" t="s">
        <v>1283</v>
      </c>
      <c r="C321" t="s">
        <v>1</v>
      </c>
      <c r="D321" s="8" t="s">
        <v>1284</v>
      </c>
      <c r="E321" t="s">
        <v>63</v>
      </c>
      <c r="F321">
        <v>1</v>
      </c>
      <c r="G321" s="3">
        <v>524</v>
      </c>
      <c r="H321" s="3">
        <v>660.24</v>
      </c>
      <c r="I321" s="3">
        <f>H321-G321</f>
      </c>
      <c r="J321" s="3">
        <f>I321*16.67%</f>
      </c>
      <c r="K321" s="3">
        <f>H321/100*11</f>
      </c>
      <c r="L321" s="3">
        <v>8.99</v>
      </c>
      <c r="M321" s="3">
        <v>0</v>
      </c>
      <c r="N321" s="3">
        <f>M321*20%</f>
      </c>
      <c r="O321" s="3">
        <v>1</v>
      </c>
      <c r="P321" s="3">
        <f>I321-J321-K321-L321-M321-N321-O321</f>
      </c>
      <c r="Q321" s="3">
        <f>(P321-Y321)/G321*100</f>
      </c>
      <c r="R321" s="3">
        <f>J321-N321</f>
      </c>
      <c r="S321" t="s">
        <v>1</v>
      </c>
      <c r="T321" t="s">
        <v>68</v>
      </c>
      <c r="Z321" s="3">
        <f>P321-Y321</f>
      </c>
      <c r="AA321" t="s">
        <v>59</v>
      </c>
      <c r="AB321" t="s">
        <v>60</v>
      </c>
    </row>
    <row r="322" spans="1:28" x14ac:dyDescent="0.25">
      <c r="A322" s="7">
        <v>46175.5</v>
      </c>
      <c r="B322" t="s">
        <v>1285</v>
      </c>
      <c r="C322" t="s">
        <v>1</v>
      </c>
      <c r="D322" s="8" t="s">
        <v>1286</v>
      </c>
      <c r="E322" t="s">
        <v>63</v>
      </c>
      <c r="F322">
        <v>1</v>
      </c>
      <c r="G322" s="3">
        <v>335</v>
      </c>
      <c r="H322" s="3">
        <v>442.2</v>
      </c>
      <c r="I322" s="3">
        <f>H322-G322</f>
      </c>
      <c r="J322" s="3">
        <f>I322*16.67%</f>
      </c>
      <c r="K322" s="3">
        <f>H322/100*11</f>
      </c>
      <c r="L322" s="3">
        <v>8.99</v>
      </c>
      <c r="M322" s="3">
        <v>0</v>
      </c>
      <c r="N322" s="3">
        <f>M322*20%</f>
      </c>
      <c r="O322" s="3">
        <v>1</v>
      </c>
      <c r="P322" s="3">
        <f>I322-J322-K322-L322-M322-N322-O322</f>
      </c>
      <c r="Q322" s="3">
        <f>(P322-Y322)/G322*100</f>
      </c>
      <c r="R322" s="3">
        <f>J322-N322</f>
      </c>
      <c r="S322" t="s">
        <v>1</v>
      </c>
      <c r="T322" t="s">
        <v>138</v>
      </c>
      <c r="Z322" s="3">
        <f>P322-Y322</f>
      </c>
      <c r="AA322" t="s">
        <v>59</v>
      </c>
      <c r="AB322" t="s">
        <v>104</v>
      </c>
    </row>
    <row r="323" spans="1:28" x14ac:dyDescent="0.25">
      <c r="A323" s="7">
        <v>46175.5</v>
      </c>
      <c r="B323" t="s">
        <v>1287</v>
      </c>
      <c r="C323" t="s">
        <v>1</v>
      </c>
      <c r="D323" s="8" t="s">
        <v>1288</v>
      </c>
      <c r="E323" t="s">
        <v>63</v>
      </c>
      <c r="F323">
        <v>1</v>
      </c>
      <c r="G323" s="3">
        <v>544</v>
      </c>
      <c r="H323" s="3">
        <v>756.16</v>
      </c>
      <c r="I323" s="3">
        <f>H323-G323</f>
      </c>
      <c r="J323" s="3">
        <f>I323*16.67%</f>
      </c>
      <c r="K323" s="3">
        <f>H323/100*11</f>
      </c>
      <c r="L323" s="3">
        <v>8.99</v>
      </c>
      <c r="M323" s="3">
        <v>0</v>
      </c>
      <c r="N323" s="3">
        <f>M323*20%</f>
      </c>
      <c r="O323" s="3">
        <v>1</v>
      </c>
      <c r="P323" s="3">
        <f>I323-J323-K323-L323-M323-N323-O323</f>
      </c>
      <c r="Q323" s="3">
        <f>(P323-Y323)/G323*100</f>
      </c>
      <c r="R323" s="3">
        <f>J323-N323</f>
      </c>
      <c r="S323" t="s">
        <v>1</v>
      </c>
      <c r="T323" t="s">
        <v>80</v>
      </c>
      <c r="Z323" s="3">
        <f>P323-Y323</f>
      </c>
      <c r="AA323" t="s">
        <v>65</v>
      </c>
      <c r="AB323" t="s">
        <v>60</v>
      </c>
    </row>
    <row r="324" spans="1:28" x14ac:dyDescent="0.25">
      <c r="A324" s="7">
        <v>46175.5</v>
      </c>
      <c r="B324" t="s">
        <v>1289</v>
      </c>
      <c r="C324" t="s">
        <v>1</v>
      </c>
      <c r="D324" s="8" t="s">
        <v>1290</v>
      </c>
      <c r="E324" t="s">
        <v>63</v>
      </c>
      <c r="F324">
        <v>1</v>
      </c>
      <c r="G324" s="3">
        <v>292</v>
      </c>
      <c r="H324" s="3">
        <v>414.64</v>
      </c>
      <c r="I324" s="3">
        <f>H324-G324</f>
      </c>
      <c r="J324" s="3">
        <f>I324*16.67%</f>
      </c>
      <c r="K324" s="3">
        <f>H324/100*11</f>
      </c>
      <c r="L324" s="3">
        <v>8.99</v>
      </c>
      <c r="M324" s="3">
        <v>0</v>
      </c>
      <c r="N324" s="3">
        <f>M324*20%</f>
      </c>
      <c r="O324" s="3">
        <v>1</v>
      </c>
      <c r="P324" s="3">
        <f>I324-J324-K324-L324-M324-N324-O324</f>
      </c>
      <c r="Q324" s="3">
        <f>(P324-Y324)/G324*100</f>
      </c>
      <c r="R324" s="3">
        <f>J324-N324</f>
      </c>
      <c r="S324" t="s">
        <v>1</v>
      </c>
      <c r="T324" t="s">
        <v>97</v>
      </c>
      <c r="Z324" s="3">
        <f>P324-Y324</f>
      </c>
      <c r="AA324" t="s">
        <v>65</v>
      </c>
      <c r="AB324" t="s">
        <v>60</v>
      </c>
    </row>
    <row r="325" spans="1:28" x14ac:dyDescent="0.25">
      <c r="A325" s="7">
        <v>46175.5</v>
      </c>
      <c r="B325" t="s">
        <v>1291</v>
      </c>
      <c r="C325" t="s">
        <v>1</v>
      </c>
      <c r="D325" s="8" t="s">
        <v>1292</v>
      </c>
      <c r="E325" t="s">
        <v>72</v>
      </c>
      <c r="F325">
        <v>1</v>
      </c>
      <c r="G325" s="3">
        <v>284</v>
      </c>
      <c r="H325" s="3">
        <v>397.6</v>
      </c>
      <c r="I325" s="3">
        <f>H325-G325</f>
      </c>
      <c r="J325" s="3">
        <f>I325*16.67%</f>
      </c>
      <c r="K325" s="3">
        <f>H325/100*11</f>
      </c>
      <c r="L325" s="3">
        <v>8.99</v>
      </c>
      <c r="M325" s="3">
        <v>0</v>
      </c>
      <c r="N325" s="3">
        <f>M325*20%</f>
      </c>
      <c r="O325" s="3">
        <v>1</v>
      </c>
      <c r="P325" s="3">
        <f>I325-J325-K325-L325-M325-N325-O325</f>
      </c>
      <c r="Q325" s="3">
        <f>(P325-Y325)/G325*100</f>
      </c>
      <c r="R325" s="3">
        <f>J325-N325</f>
      </c>
      <c r="S325" t="s">
        <v>1</v>
      </c>
      <c r="T325" t="s">
        <v>97</v>
      </c>
      <c r="Z325" s="3">
        <f>P325-Y325</f>
      </c>
      <c r="AA325" t="s">
        <v>59</v>
      </c>
      <c r="AB325" t="s">
        <v>69</v>
      </c>
    </row>
    <row r="326" spans="1:28" x14ac:dyDescent="0.25">
      <c r="A326" s="7">
        <v>46175.5</v>
      </c>
      <c r="B326" t="s">
        <v>1293</v>
      </c>
      <c r="C326" t="s">
        <v>1</v>
      </c>
      <c r="D326" s="8" t="s">
        <v>1294</v>
      </c>
      <c r="E326" t="s">
        <v>101</v>
      </c>
      <c r="F326">
        <v>1</v>
      </c>
      <c r="G326" s="3">
        <v>180</v>
      </c>
      <c r="H326" s="3">
        <v>241.2</v>
      </c>
      <c r="I326" s="3">
        <f>H326-G326</f>
      </c>
      <c r="J326" s="3">
        <f>I326*16.67%</f>
      </c>
      <c r="K326" s="3">
        <f>H326/100*11</f>
      </c>
      <c r="L326" s="3">
        <v>8.99</v>
      </c>
      <c r="M326" s="3">
        <v>0</v>
      </c>
      <c r="N326" s="3">
        <f>M326*20%</f>
      </c>
      <c r="O326" s="3">
        <v>1</v>
      </c>
      <c r="P326" s="3">
        <f>I326-J326-K326-L326-M326-N326-O326</f>
      </c>
      <c r="Q326" s="3">
        <f>(P326-Y326)/G326*100</f>
      </c>
      <c r="R326" s="3">
        <f>J326-N326</f>
      </c>
      <c r="S326" t="s">
        <v>1</v>
      </c>
      <c r="T326" t="s">
        <v>233</v>
      </c>
      <c r="Z326" s="3">
        <f>P326-Y326</f>
      </c>
      <c r="AA326" t="s">
        <v>65</v>
      </c>
      <c r="AB326" t="s">
        <v>84</v>
      </c>
    </row>
    <row r="327" spans="1:28" x14ac:dyDescent="0.25">
      <c r="A327" s="7">
        <v>46174.5</v>
      </c>
      <c r="B327" t="s">
        <v>1295</v>
      </c>
      <c r="C327" t="s">
        <v>1</v>
      </c>
      <c r="D327" s="8" t="s">
        <v>1296</v>
      </c>
      <c r="E327" t="s">
        <v>77</v>
      </c>
      <c r="F327">
        <v>1</v>
      </c>
      <c r="G327" s="3">
        <v>119</v>
      </c>
      <c r="H327" s="3">
        <v>155.89</v>
      </c>
      <c r="I327" s="3">
        <f>H327-G327</f>
      </c>
      <c r="J327" s="3">
        <f>I327*16.67%</f>
      </c>
      <c r="K327" s="3">
        <f>H327/100*11</f>
      </c>
      <c r="L327" s="3">
        <v>8.99</v>
      </c>
      <c r="M327" s="3">
        <v>0</v>
      </c>
      <c r="N327" s="3">
        <f>M327*20%</f>
      </c>
      <c r="O327" s="3">
        <v>1</v>
      </c>
      <c r="P327" s="3">
        <f>I327-J327-K327-L327-M327-N327-O327</f>
      </c>
      <c r="Q327" s="3">
        <f>(P327-Y327)/G327*100</f>
      </c>
      <c r="R327" s="3">
        <f>J327-N327</f>
      </c>
      <c r="S327" t="s">
        <v>1</v>
      </c>
      <c r="T327" t="s">
        <v>133</v>
      </c>
      <c r="Z327" s="3">
        <f>P327-Y327</f>
      </c>
      <c r="AA327" t="s">
        <v>94</v>
      </c>
      <c r="AB327" t="s">
        <v>104</v>
      </c>
    </row>
    <row r="328" spans="1:28" x14ac:dyDescent="0.25">
      <c r="A328" s="7">
        <v>46174.5</v>
      </c>
      <c r="B328" t="s">
        <v>1297</v>
      </c>
      <c r="C328" t="s">
        <v>1</v>
      </c>
      <c r="D328" s="8" t="s">
        <v>1298</v>
      </c>
      <c r="E328" t="s">
        <v>63</v>
      </c>
      <c r="F328">
        <v>1</v>
      </c>
      <c r="G328" s="3">
        <v>78</v>
      </c>
      <c r="H328" s="3">
        <v>104.52</v>
      </c>
      <c r="I328" s="3">
        <f>H328-G328</f>
      </c>
      <c r="J328" s="3">
        <f>I328*16.67%</f>
      </c>
      <c r="K328" s="3">
        <f>H328/100*11</f>
      </c>
      <c r="L328" s="3">
        <v>8.99</v>
      </c>
      <c r="M328" s="3">
        <v>0</v>
      </c>
      <c r="N328" s="3">
        <f>M328*20%</f>
      </c>
      <c r="O328" s="3">
        <v>1</v>
      </c>
      <c r="P328" s="3">
        <f>I328-J328-K328-L328-M328-N328-O328</f>
      </c>
      <c r="Q328" s="3">
        <f>(P328-Y328)/G328*100</f>
      </c>
      <c r="R328" s="3">
        <f>J328-N328</f>
      </c>
      <c r="S328" t="s">
        <v>1</v>
      </c>
      <c r="T328" t="s">
        <v>93</v>
      </c>
      <c r="Z328" s="3">
        <f>P328-Y328</f>
      </c>
      <c r="AA328" t="s">
        <v>94</v>
      </c>
      <c r="AB328" t="s">
        <v>98</v>
      </c>
    </row>
    <row r="329" spans="1:28" x14ac:dyDescent="0.25">
      <c r="A329" s="7">
        <v>46174.5</v>
      </c>
      <c r="B329" t="s">
        <v>1299</v>
      </c>
      <c r="C329" t="s">
        <v>1</v>
      </c>
      <c r="D329" s="8" t="s">
        <v>1300</v>
      </c>
      <c r="E329" t="s">
        <v>72</v>
      </c>
      <c r="F329">
        <v>1</v>
      </c>
      <c r="G329" s="3">
        <v>88</v>
      </c>
      <c r="H329" s="3">
        <v>108.24</v>
      </c>
      <c r="I329" s="3">
        <f>H329-G329</f>
      </c>
      <c r="J329" s="3">
        <f>I329*16.67%</f>
      </c>
      <c r="K329" s="3">
        <f>H329/100*11</f>
      </c>
      <c r="L329" s="3">
        <v>8.99</v>
      </c>
      <c r="M329" s="3">
        <v>0</v>
      </c>
      <c r="N329" s="3">
        <f>M329*20%</f>
      </c>
      <c r="O329" s="3">
        <v>1</v>
      </c>
      <c r="P329" s="3">
        <f>I329-J329-K329-L329-M329-N329-O329</f>
      </c>
      <c r="Q329" s="3">
        <f>(P329-Y329)/G329*100</f>
      </c>
      <c r="R329" s="3">
        <f>J329-N329</f>
      </c>
      <c r="S329" t="s">
        <v>1</v>
      </c>
      <c r="T329" t="s">
        <v>93</v>
      </c>
      <c r="Z329" s="3">
        <f>P329-Y329</f>
      </c>
      <c r="AA329" t="s">
        <v>94</v>
      </c>
      <c r="AB329" t="s">
        <v>60</v>
      </c>
    </row>
    <row r="330" spans="1:28" x14ac:dyDescent="0.25">
      <c r="A330" s="7">
        <v>46174.5</v>
      </c>
      <c r="B330" t="s">
        <v>1301</v>
      </c>
      <c r="C330" t="s">
        <v>1</v>
      </c>
      <c r="D330" s="8" t="s">
        <v>1302</v>
      </c>
      <c r="E330" t="s">
        <v>77</v>
      </c>
      <c r="F330">
        <v>1</v>
      </c>
      <c r="G330" s="3">
        <v>751</v>
      </c>
      <c r="H330" s="3">
        <v>961.28</v>
      </c>
      <c r="I330" s="3">
        <f>H330-G330</f>
      </c>
      <c r="J330" s="3">
        <f>I330*16.67%</f>
      </c>
      <c r="K330" s="3">
        <f>H330/100*11</f>
      </c>
      <c r="L330" s="3">
        <v>8.99</v>
      </c>
      <c r="M330" s="3">
        <v>0</v>
      </c>
      <c r="N330" s="3">
        <f>M330*20%</f>
      </c>
      <c r="O330" s="3">
        <v>1</v>
      </c>
      <c r="P330" s="3">
        <f>I330-J330-K330-L330-M330-N330-O330</f>
      </c>
      <c r="Q330" s="3">
        <f>(P330-Y330)/G330*100</f>
      </c>
      <c r="R330" s="3">
        <f>J330-N330</f>
      </c>
      <c r="S330" t="s">
        <v>1</v>
      </c>
      <c r="T330" t="s">
        <v>83</v>
      </c>
      <c r="Z330" s="3">
        <f>P330-Y330</f>
      </c>
      <c r="AA330" t="s">
        <v>59</v>
      </c>
      <c r="AB330" t="s">
        <v>84</v>
      </c>
    </row>
    <row r="331" spans="1:28" x14ac:dyDescent="0.25">
      <c r="A331" s="7">
        <v>46174.5</v>
      </c>
      <c r="B331" t="s">
        <v>1303</v>
      </c>
      <c r="C331" t="s">
        <v>181</v>
      </c>
      <c r="D331" s="8" t="s">
        <v>1</v>
      </c>
      <c r="E331" t="s">
        <v>72</v>
      </c>
      <c r="F331">
        <v>1</v>
      </c>
      <c r="G331" s="3">
        <v>1.9</v>
      </c>
      <c r="H331" s="3">
        <v>2.41</v>
      </c>
      <c r="I331" s="3">
        <f>H331-G331</f>
      </c>
      <c r="J331" s="3">
        <f>I331*16.67%</f>
      </c>
      <c r="K331" s="3">
        <f>H331/100*11</f>
      </c>
      <c r="L331" s="3">
        <v>8.99</v>
      </c>
      <c r="M331" s="3">
        <v>0</v>
      </c>
      <c r="N331" s="3">
        <f>M331*20%</f>
      </c>
      <c r="O331" s="3">
        <v>1</v>
      </c>
      <c r="P331" s="3">
        <f>I331-J331-K331-L331-M331-N331-O331</f>
      </c>
      <c r="Q331" s="3">
        <f>(P331-Y331)/G331*100</f>
      </c>
      <c r="R331" s="3">
        <f>J331-N331</f>
      </c>
      <c r="S331" t="s">
        <v>1</v>
      </c>
      <c r="T331" t="s">
        <v>181</v>
      </c>
      <c r="Z331" s="3">
        <f>P331-Y331</f>
      </c>
      <c r="AA331" t="s">
        <v>1</v>
      </c>
      <c r="AB331" t="s">
        <v>1</v>
      </c>
    </row>
    <row r="332" spans="1:28" x14ac:dyDescent="0.25">
      <c r="A332" s="7">
        <v>46173.5</v>
      </c>
      <c r="B332" t="s">
        <v>1304</v>
      </c>
      <c r="C332" t="s">
        <v>1</v>
      </c>
      <c r="D332" s="8" t="s">
        <v>1305</v>
      </c>
      <c r="E332" t="s">
        <v>72</v>
      </c>
      <c r="F332">
        <v>1</v>
      </c>
      <c r="G332" s="3">
        <v>143</v>
      </c>
      <c r="H332" s="3">
        <v>178.75</v>
      </c>
      <c r="I332" s="3">
        <f>H332-G332</f>
      </c>
      <c r="J332" s="3">
        <f>I332*16.67%</f>
      </c>
      <c r="K332" s="3">
        <f>H332/100*11</f>
      </c>
      <c r="L332" s="3">
        <v>8.99</v>
      </c>
      <c r="M332" s="3">
        <v>0</v>
      </c>
      <c r="N332" s="3">
        <f>M332*20%</f>
      </c>
      <c r="O332" s="3">
        <v>1</v>
      </c>
      <c r="P332" s="3">
        <f>I332-J332-K332-L332-M332-N332-O332</f>
      </c>
      <c r="Q332" s="3">
        <f>(P332-Y332)/G332*100</f>
      </c>
      <c r="R332" s="3">
        <f>J332-N332</f>
      </c>
      <c r="S332" t="s">
        <v>1</v>
      </c>
      <c r="T332" t="s">
        <v>171</v>
      </c>
      <c r="Z332" s="3">
        <f>P332-Y332</f>
      </c>
      <c r="AA332" t="s">
        <v>65</v>
      </c>
      <c r="AB332" t="s">
        <v>84</v>
      </c>
    </row>
    <row r="333" spans="1:28" x14ac:dyDescent="0.25">
      <c r="A333" s="7">
        <v>46173.5</v>
      </c>
      <c r="B333" t="s">
        <v>1306</v>
      </c>
      <c r="C333" t="s">
        <v>1</v>
      </c>
      <c r="D333" s="8" t="s">
        <v>1307</v>
      </c>
      <c r="E333" t="s">
        <v>63</v>
      </c>
      <c r="F333">
        <v>1</v>
      </c>
      <c r="G333" s="3">
        <v>333</v>
      </c>
      <c r="H333" s="3">
        <v>382.95</v>
      </c>
      <c r="I333" s="3">
        <f>H333-G333</f>
      </c>
      <c r="J333" s="3">
        <f>I333*16.67%</f>
      </c>
      <c r="K333" s="3">
        <f>H333/100*11</f>
      </c>
      <c r="L333" s="3">
        <v>8.99</v>
      </c>
      <c r="M333" s="3">
        <v>0</v>
      </c>
      <c r="N333" s="3">
        <f>M333*20%</f>
      </c>
      <c r="O333" s="3">
        <v>1</v>
      </c>
      <c r="P333" s="3">
        <f>I333-J333-K333-L333-M333-N333-O333</f>
      </c>
      <c r="Q333" s="3">
        <f>(P333-Y333)/G333*100</f>
      </c>
      <c r="R333" s="3">
        <f>J333-N333</f>
      </c>
      <c r="S333" t="s">
        <v>1</v>
      </c>
      <c r="T333" t="s">
        <v>138</v>
      </c>
      <c r="Z333" s="3">
        <f>P333-Y333</f>
      </c>
      <c r="AA333" t="s">
        <v>59</v>
      </c>
      <c r="AB333" t="s">
        <v>60</v>
      </c>
    </row>
    <row r="334" spans="1:28" x14ac:dyDescent="0.25">
      <c r="A334" s="7">
        <v>46173.5</v>
      </c>
      <c r="B334" t="s">
        <v>1308</v>
      </c>
      <c r="C334" t="s">
        <v>184</v>
      </c>
      <c r="D334" s="8" t="s">
        <v>1</v>
      </c>
      <c r="E334" t="s">
        <v>101</v>
      </c>
      <c r="F334">
        <v>1</v>
      </c>
      <c r="G334" s="3">
        <v>1.2</v>
      </c>
      <c r="H334" s="3">
        <v>1.66</v>
      </c>
      <c r="I334" s="3">
        <f>H334-G334</f>
      </c>
      <c r="J334" s="3">
        <f>I334*16.67%</f>
      </c>
      <c r="K334" s="3">
        <f>H334/100*11</f>
      </c>
      <c r="L334" s="3">
        <v>8.99</v>
      </c>
      <c r="M334" s="3">
        <v>0</v>
      </c>
      <c r="N334" s="3">
        <f>M334*20%</f>
      </c>
      <c r="O334" s="3">
        <v>1</v>
      </c>
      <c r="P334" s="3">
        <f>I334-J334-K334-L334-M334-N334-O334</f>
      </c>
      <c r="Q334" s="3">
        <f>(P334-Y334)/G334*100</f>
      </c>
      <c r="R334" s="3">
        <f>J334-N334</f>
      </c>
      <c r="S334" t="s">
        <v>1</v>
      </c>
      <c r="T334" t="s">
        <v>184</v>
      </c>
      <c r="Z334" s="3">
        <f>P334-Y334</f>
      </c>
      <c r="AA334" t="s">
        <v>1</v>
      </c>
      <c r="AB334" t="s">
        <v>1</v>
      </c>
    </row>
    <row r="335" spans="1:28" x14ac:dyDescent="0.25">
      <c r="A335" s="7">
        <v>46172.5</v>
      </c>
      <c r="B335" t="s">
        <v>1309</v>
      </c>
      <c r="C335" t="s">
        <v>1</v>
      </c>
      <c r="D335" s="8" t="s">
        <v>1310</v>
      </c>
      <c r="E335" t="s">
        <v>57</v>
      </c>
      <c r="F335">
        <v>1</v>
      </c>
      <c r="G335" s="3">
        <v>150</v>
      </c>
      <c r="H335" s="3">
        <v>181.5</v>
      </c>
      <c r="I335" s="3">
        <f>H335-G335</f>
      </c>
      <c r="J335" s="3">
        <f>I335*16.67%</f>
      </c>
      <c r="K335" s="3">
        <f>H335/100*11</f>
      </c>
      <c r="L335" s="3">
        <v>8.99</v>
      </c>
      <c r="M335" s="3">
        <v>0</v>
      </c>
      <c r="N335" s="3">
        <f>M335*20%</f>
      </c>
      <c r="O335" s="3">
        <v>1</v>
      </c>
      <c r="P335" s="3">
        <f>I335-J335-K335-L335-M335-N335-O335</f>
      </c>
      <c r="Q335" s="3">
        <f>(P335-Y335)/G335*100</f>
      </c>
      <c r="R335" s="3">
        <f>J335-N335</f>
      </c>
      <c r="S335" t="s">
        <v>1</v>
      </c>
      <c r="T335" t="s">
        <v>171</v>
      </c>
      <c r="Z335" s="3">
        <f>P335-Y335</f>
      </c>
      <c r="AA335" t="s">
        <v>65</v>
      </c>
      <c r="AB335" t="s">
        <v>84</v>
      </c>
    </row>
    <row r="336" spans="1:28" x14ac:dyDescent="0.25">
      <c r="A336" s="7">
        <v>46172.5</v>
      </c>
      <c r="B336" t="s">
        <v>1311</v>
      </c>
      <c r="C336" t="s">
        <v>1</v>
      </c>
      <c r="D336" s="8" t="s">
        <v>1312</v>
      </c>
      <c r="E336" t="s">
        <v>57</v>
      </c>
      <c r="F336">
        <v>1</v>
      </c>
      <c r="G336" s="3">
        <v>162</v>
      </c>
      <c r="H336" s="3">
        <v>221.94</v>
      </c>
      <c r="I336" s="3">
        <f>H336-G336</f>
      </c>
      <c r="J336" s="3">
        <f>I336*16.67%</f>
      </c>
      <c r="K336" s="3">
        <f>H336/100*11</f>
      </c>
      <c r="L336" s="3">
        <v>8.99</v>
      </c>
      <c r="M336" s="3">
        <v>0</v>
      </c>
      <c r="N336" s="3">
        <f>M336*20%</f>
      </c>
      <c r="O336" s="3">
        <v>1</v>
      </c>
      <c r="P336" s="3">
        <f>I336-J336-K336-L336-M336-N336-O336</f>
      </c>
      <c r="Q336" s="3">
        <f>(P336-Y336)/G336*100</f>
      </c>
      <c r="R336" s="3">
        <f>J336-N336</f>
      </c>
      <c r="S336" t="s">
        <v>1</v>
      </c>
      <c r="T336" t="s">
        <v>233</v>
      </c>
      <c r="Z336" s="3">
        <f>P336-Y336</f>
      </c>
      <c r="AA336" t="s">
        <v>65</v>
      </c>
      <c r="AB336" t="s">
        <v>98</v>
      </c>
    </row>
    <row r="337" spans="1:28" x14ac:dyDescent="0.25">
      <c r="A337" s="7">
        <v>46172.5</v>
      </c>
      <c r="B337" t="s">
        <v>1313</v>
      </c>
      <c r="C337" t="s">
        <v>1</v>
      </c>
      <c r="D337" s="8" t="s">
        <v>1314</v>
      </c>
      <c r="E337" t="s">
        <v>63</v>
      </c>
      <c r="F337">
        <v>1</v>
      </c>
      <c r="G337" s="3">
        <v>510</v>
      </c>
      <c r="H337" s="3">
        <v>601.8</v>
      </c>
      <c r="I337" s="3">
        <f>H337-G337</f>
      </c>
      <c r="J337" s="3">
        <f>I337*16.67%</f>
      </c>
      <c r="K337" s="3">
        <f>H337/100*11</f>
      </c>
      <c r="L337" s="3">
        <v>8.99</v>
      </c>
      <c r="M337" s="3">
        <v>0</v>
      </c>
      <c r="N337" s="3">
        <f>M337*20%</f>
      </c>
      <c r="O337" s="3">
        <v>1</v>
      </c>
      <c r="P337" s="3">
        <f>I337-J337-K337-L337-M337-N337-O337</f>
      </c>
      <c r="Q337" s="3">
        <f>(P337-Y337)/G337*100</f>
      </c>
      <c r="R337" s="3">
        <f>J337-N337</f>
      </c>
      <c r="S337" t="s">
        <v>1</v>
      </c>
      <c r="T337" t="s">
        <v>68</v>
      </c>
      <c r="Z337" s="3">
        <f>P337-Y337</f>
      </c>
      <c r="AA337" t="s">
        <v>59</v>
      </c>
      <c r="AB337" t="s">
        <v>87</v>
      </c>
    </row>
    <row r="338" spans="1:28" x14ac:dyDescent="0.25">
      <c r="A338" s="7">
        <v>46171.5</v>
      </c>
      <c r="B338" t="s">
        <v>1315</v>
      </c>
      <c r="C338" t="s">
        <v>1</v>
      </c>
      <c r="D338" s="8" t="s">
        <v>1316</v>
      </c>
      <c r="E338" t="s">
        <v>77</v>
      </c>
      <c r="F338">
        <v>1</v>
      </c>
      <c r="G338" s="3">
        <v>68</v>
      </c>
      <c r="H338" s="3">
        <v>84.32</v>
      </c>
      <c r="I338" s="3">
        <f>H338-G338</f>
      </c>
      <c r="J338" s="3">
        <f>I338*16.67%</f>
      </c>
      <c r="K338" s="3">
        <f>H338/100*11</f>
      </c>
      <c r="L338" s="3">
        <v>8.99</v>
      </c>
      <c r="M338" s="3">
        <v>0</v>
      </c>
      <c r="N338" s="3">
        <f>M338*20%</f>
      </c>
      <c r="O338" s="3">
        <v>1</v>
      </c>
      <c r="P338" s="3">
        <f>I338-J338-K338-L338-M338-N338-O338</f>
      </c>
      <c r="Q338" s="3">
        <f>(P338-Y338)/G338*100</f>
      </c>
      <c r="R338" s="3">
        <f>J338-N338</f>
      </c>
      <c r="S338" t="s">
        <v>1</v>
      </c>
      <c r="T338" t="s">
        <v>93</v>
      </c>
      <c r="Z338" s="3">
        <f>P338-Y338</f>
      </c>
      <c r="AA338" t="s">
        <v>94</v>
      </c>
      <c r="AB338" t="s">
        <v>69</v>
      </c>
    </row>
    <row r="339" spans="1:28" x14ac:dyDescent="0.25">
      <c r="A339" s="7">
        <v>46171.5</v>
      </c>
      <c r="B339" t="s">
        <v>1317</v>
      </c>
      <c r="C339" t="s">
        <v>1</v>
      </c>
      <c r="D339" s="8" t="s">
        <v>1318</v>
      </c>
      <c r="E339" t="s">
        <v>72</v>
      </c>
      <c r="F339">
        <v>1</v>
      </c>
      <c r="G339" s="3">
        <v>247</v>
      </c>
      <c r="H339" s="3">
        <v>353.21</v>
      </c>
      <c r="I339" s="3">
        <f>H339-G339</f>
      </c>
      <c r="J339" s="3">
        <f>I339*16.67%</f>
      </c>
      <c r="K339" s="3">
        <f>H339/100*11</f>
      </c>
      <c r="L339" s="3">
        <v>8.99</v>
      </c>
      <c r="M339" s="3">
        <v>0</v>
      </c>
      <c r="N339" s="3">
        <f>M339*20%</f>
      </c>
      <c r="O339" s="3">
        <v>1</v>
      </c>
      <c r="P339" s="3">
        <f>I339-J339-K339-L339-M339-N339-O339</f>
      </c>
      <c r="Q339" s="3">
        <f>(P339-Y339)/G339*100</f>
      </c>
      <c r="R339" s="3">
        <f>J339-N339</f>
      </c>
      <c r="S339" t="s">
        <v>1</v>
      </c>
      <c r="T339" t="s">
        <v>124</v>
      </c>
      <c r="Z339" s="3">
        <f>P339-Y339</f>
      </c>
      <c r="AA339" t="s">
        <v>125</v>
      </c>
      <c r="AB339" t="s">
        <v>84</v>
      </c>
    </row>
    <row r="340" spans="1:28" x14ac:dyDescent="0.25">
      <c r="A340" s="7">
        <v>46171.5</v>
      </c>
      <c r="B340" t="s">
        <v>1319</v>
      </c>
      <c r="C340" t="s">
        <v>1</v>
      </c>
      <c r="D340" s="8" t="s">
        <v>1320</v>
      </c>
      <c r="E340" t="s">
        <v>77</v>
      </c>
      <c r="F340">
        <v>1</v>
      </c>
      <c r="G340" s="3">
        <v>613</v>
      </c>
      <c r="H340" s="3">
        <v>809.16</v>
      </c>
      <c r="I340" s="3">
        <f>H340-G340</f>
      </c>
      <c r="J340" s="3">
        <f>I340*16.67%</f>
      </c>
      <c r="K340" s="3">
        <f>H340/100*11</f>
      </c>
      <c r="L340" s="3">
        <v>8.99</v>
      </c>
      <c r="M340" s="3">
        <v>0</v>
      </c>
      <c r="N340" s="3">
        <f>M340*20%</f>
      </c>
      <c r="O340" s="3">
        <v>1</v>
      </c>
      <c r="P340" s="3">
        <f>I340-J340-K340-L340-M340-N340-O340</f>
      </c>
      <c r="Q340" s="3">
        <f>(P340-Y340)/G340*100</f>
      </c>
      <c r="R340" s="3">
        <f>J340-N340</f>
      </c>
      <c r="S340" t="s">
        <v>1</v>
      </c>
      <c r="T340" t="s">
        <v>80</v>
      </c>
      <c r="Z340" s="3">
        <f>P340-Y340</f>
      </c>
      <c r="AA340" t="s">
        <v>65</v>
      </c>
      <c r="AB340" t="s">
        <v>60</v>
      </c>
    </row>
    <row r="341" spans="1:28" x14ac:dyDescent="0.25">
      <c r="A341" s="7">
        <v>46171.5</v>
      </c>
      <c r="B341" t="s">
        <v>1321</v>
      </c>
      <c r="C341" t="s">
        <v>1</v>
      </c>
      <c r="D341" s="8" t="s">
        <v>1322</v>
      </c>
      <c r="E341" t="s">
        <v>57</v>
      </c>
      <c r="F341">
        <v>1</v>
      </c>
      <c r="G341" s="3">
        <v>322</v>
      </c>
      <c r="H341" s="3">
        <v>392.84</v>
      </c>
      <c r="I341" s="3">
        <f>H341-G341</f>
      </c>
      <c r="J341" s="3">
        <f>I341*16.67%</f>
      </c>
      <c r="K341" s="3">
        <f>H341/100*11</f>
      </c>
      <c r="L341" s="3">
        <v>8.99</v>
      </c>
      <c r="M341" s="3">
        <v>0</v>
      </c>
      <c r="N341" s="3">
        <f>M341*20%</f>
      </c>
      <c r="O341" s="3">
        <v>1</v>
      </c>
      <c r="P341" s="3">
        <f>I341-J341-K341-L341-M341-N341-O341</f>
      </c>
      <c r="Q341" s="3">
        <f>(P341-Y341)/G341*100</f>
      </c>
      <c r="R341" s="3">
        <f>J341-N341</f>
      </c>
      <c r="S341" t="s">
        <v>1</v>
      </c>
      <c r="T341" t="s">
        <v>73</v>
      </c>
      <c r="Z341" s="3">
        <f>P341-Y341</f>
      </c>
      <c r="AA341" t="s">
        <v>59</v>
      </c>
      <c r="AB341" t="s">
        <v>87</v>
      </c>
    </row>
    <row r="342" spans="1:28" x14ac:dyDescent="0.25">
      <c r="A342" s="7">
        <v>46171.5</v>
      </c>
      <c r="B342" t="s">
        <v>1323</v>
      </c>
      <c r="C342" t="s">
        <v>1</v>
      </c>
      <c r="D342" s="8" t="s">
        <v>1324</v>
      </c>
      <c r="E342" t="s">
        <v>72</v>
      </c>
      <c r="F342">
        <v>1</v>
      </c>
      <c r="G342" s="3">
        <v>722</v>
      </c>
      <c r="H342" s="3">
        <v>938.6</v>
      </c>
      <c r="I342" s="3">
        <f>H342-G342</f>
      </c>
      <c r="J342" s="3">
        <f>I342*16.67%</f>
      </c>
      <c r="K342" s="3">
        <f>H342/100*11</f>
      </c>
      <c r="L342" s="3">
        <v>8.99</v>
      </c>
      <c r="M342" s="3">
        <v>0</v>
      </c>
      <c r="N342" s="3">
        <f>M342*20%</f>
      </c>
      <c r="O342" s="3">
        <v>1</v>
      </c>
      <c r="P342" s="3">
        <f>I342-J342-K342-L342-M342-N342-O342</f>
      </c>
      <c r="Q342" s="3">
        <f>(P342-Y342)/G342*100</f>
      </c>
      <c r="R342" s="3">
        <f>J342-N342</f>
      </c>
      <c r="S342" t="s">
        <v>1</v>
      </c>
      <c r="T342" t="s">
        <v>83</v>
      </c>
      <c r="Z342" s="3">
        <f>P342-Y342</f>
      </c>
      <c r="AA342" t="s">
        <v>59</v>
      </c>
      <c r="AB342" t="s">
        <v>84</v>
      </c>
    </row>
    <row r="343" spans="1:28" x14ac:dyDescent="0.25">
      <c r="A343" s="7">
        <v>46171.5</v>
      </c>
      <c r="B343" t="s">
        <v>1325</v>
      </c>
      <c r="C343" t="s">
        <v>1</v>
      </c>
      <c r="D343" s="8" t="s">
        <v>1326</v>
      </c>
      <c r="E343" t="s">
        <v>77</v>
      </c>
      <c r="F343">
        <v>1</v>
      </c>
      <c r="G343" s="3">
        <v>550</v>
      </c>
      <c r="H343" s="3">
        <v>737</v>
      </c>
      <c r="I343" s="3">
        <f>H343-G343</f>
      </c>
      <c r="J343" s="3">
        <f>I343*16.67%</f>
      </c>
      <c r="K343" s="3">
        <f>H343/100*11</f>
      </c>
      <c r="L343" s="3">
        <v>8.99</v>
      </c>
      <c r="M343" s="3">
        <v>0</v>
      </c>
      <c r="N343" s="3">
        <f>M343*20%</f>
      </c>
      <c r="O343" s="3">
        <v>1</v>
      </c>
      <c r="P343" s="3">
        <f>I343-J343-K343-L343-M343-N343-O343</f>
      </c>
      <c r="Q343" s="3">
        <f>(P343-Y343)/G343*100</f>
      </c>
      <c r="R343" s="3">
        <f>J343-N343</f>
      </c>
      <c r="S343" t="s">
        <v>1</v>
      </c>
      <c r="T343" t="s">
        <v>80</v>
      </c>
      <c r="Z343" s="3">
        <f>P343-Y343</f>
      </c>
      <c r="AA343" t="s">
        <v>59</v>
      </c>
      <c r="AB343" t="s">
        <v>87</v>
      </c>
    </row>
    <row r="344" spans="1:28" x14ac:dyDescent="0.25">
      <c r="A344" s="7">
        <v>46171.5</v>
      </c>
      <c r="B344" t="s">
        <v>1327</v>
      </c>
      <c r="C344" t="s">
        <v>1</v>
      </c>
      <c r="D344" s="8" t="s">
        <v>1328</v>
      </c>
      <c r="E344" t="s">
        <v>101</v>
      </c>
      <c r="F344">
        <v>1</v>
      </c>
      <c r="G344" s="3">
        <v>204</v>
      </c>
      <c r="H344" s="3">
        <v>295.8</v>
      </c>
      <c r="I344" s="3">
        <f>H344-G344</f>
      </c>
      <c r="J344" s="3">
        <f>I344*16.67%</f>
      </c>
      <c r="K344" s="3">
        <f>H344/100*11</f>
      </c>
      <c r="L344" s="3">
        <v>8.99</v>
      </c>
      <c r="M344" s="3">
        <v>0</v>
      </c>
      <c r="N344" s="3">
        <f>M344*20%</f>
      </c>
      <c r="O344" s="3">
        <v>1</v>
      </c>
      <c r="P344" s="3">
        <f>I344-J344-K344-L344-M344-N344-O344</f>
      </c>
      <c r="Q344" s="3">
        <f>(P344-Y344)/G344*100</f>
      </c>
      <c r="R344" s="3">
        <f>J344-N344</f>
      </c>
      <c r="S344" t="s">
        <v>1</v>
      </c>
      <c r="T344" t="s">
        <v>291</v>
      </c>
      <c r="Z344" s="3">
        <f>P344-Y344</f>
      </c>
      <c r="AA344" t="s">
        <v>125</v>
      </c>
      <c r="AB344" t="s">
        <v>74</v>
      </c>
    </row>
    <row r="345" spans="1:28" x14ac:dyDescent="0.25">
      <c r="A345" s="7">
        <v>46171.5</v>
      </c>
      <c r="B345" t="s">
        <v>1329</v>
      </c>
      <c r="C345" t="s">
        <v>1</v>
      </c>
      <c r="D345" s="8" t="s">
        <v>1330</v>
      </c>
      <c r="E345" t="s">
        <v>63</v>
      </c>
      <c r="F345">
        <v>1</v>
      </c>
      <c r="G345" s="3">
        <v>223</v>
      </c>
      <c r="H345" s="3">
        <v>318.89</v>
      </c>
      <c r="I345" s="3">
        <f>H345-G345</f>
      </c>
      <c r="J345" s="3">
        <f>I345*16.67%</f>
      </c>
      <c r="K345" s="3">
        <f>H345/100*11</f>
      </c>
      <c r="L345" s="3">
        <v>8.99</v>
      </c>
      <c r="M345" s="3">
        <v>0</v>
      </c>
      <c r="N345" s="3">
        <f>M345*20%</f>
      </c>
      <c r="O345" s="3">
        <v>1</v>
      </c>
      <c r="P345" s="3">
        <f>I345-J345-K345-L345-M345-N345-O345</f>
      </c>
      <c r="Q345" s="3">
        <f>(P345-Y345)/G345*100</f>
      </c>
      <c r="R345" s="3">
        <f>J345-N345</f>
      </c>
      <c r="S345" t="s">
        <v>1</v>
      </c>
      <c r="T345" t="s">
        <v>113</v>
      </c>
      <c r="Z345" s="3">
        <f>P345-Y345</f>
      </c>
      <c r="AA345" t="s">
        <v>94</v>
      </c>
      <c r="AB345" t="s">
        <v>98</v>
      </c>
    </row>
    <row r="346" spans="1:28" x14ac:dyDescent="0.25">
      <c r="A346" s="7">
        <v>46171.5</v>
      </c>
      <c r="B346" t="s">
        <v>1331</v>
      </c>
      <c r="C346" t="s">
        <v>253</v>
      </c>
      <c r="D346" s="8" t="s">
        <v>1</v>
      </c>
      <c r="E346" t="s">
        <v>57</v>
      </c>
      <c r="F346">
        <v>3</v>
      </c>
      <c r="G346" s="3">
        <v>2.4</v>
      </c>
      <c r="H346" s="3">
        <v>3.46</v>
      </c>
      <c r="I346" s="3">
        <f>H346-G346</f>
      </c>
      <c r="J346" s="3">
        <f>I346*16.67%</f>
      </c>
      <c r="K346" s="3">
        <f>H346/100*11</f>
      </c>
      <c r="L346" s="3">
        <v>8.99</v>
      </c>
      <c r="M346" s="3">
        <v>0</v>
      </c>
      <c r="N346" s="3">
        <f>M346*20%</f>
      </c>
      <c r="O346" s="3">
        <v>1</v>
      </c>
      <c r="P346" s="3">
        <f>I346-J346-K346-L346-M346-N346-O346</f>
      </c>
      <c r="Q346" s="3">
        <f>(P346-Y346)/G346*100</f>
      </c>
      <c r="R346" s="3">
        <f>J346-N346</f>
      </c>
      <c r="S346" t="s">
        <v>1</v>
      </c>
      <c r="T346" t="s">
        <v>253</v>
      </c>
      <c r="Z346" s="3">
        <f>P346-Y346</f>
      </c>
      <c r="AA346" t="s">
        <v>1</v>
      </c>
      <c r="AB346" t="s">
        <v>1</v>
      </c>
    </row>
    <row r="347" spans="1:28" x14ac:dyDescent="0.25">
      <c r="A347" s="7">
        <v>46171.5</v>
      </c>
      <c r="B347" t="s">
        <v>1332</v>
      </c>
      <c r="C347" t="s">
        <v>1</v>
      </c>
      <c r="D347" s="8" t="s">
        <v>1</v>
      </c>
      <c r="E347" t="s">
        <v>72</v>
      </c>
      <c r="F347">
        <v>1</v>
      </c>
      <c r="G347" s="3">
        <v>573</v>
      </c>
      <c r="H347" s="3">
        <v>739.17</v>
      </c>
      <c r="I347" s="3">
        <f>H347-G347</f>
      </c>
      <c r="J347" s="3">
        <f>I347*16.67%</f>
      </c>
      <c r="K347" s="3">
        <f>H347/100*11</f>
      </c>
      <c r="L347" s="3">
        <v>8.99</v>
      </c>
      <c r="M347" s="3">
        <v>0</v>
      </c>
      <c r="N347" s="3">
        <f>M347*20%</f>
      </c>
      <c r="O347" s="3">
        <v>1</v>
      </c>
      <c r="P347" s="3">
        <f>I347-J347-K347-L347-M347-N347-O347</f>
      </c>
      <c r="Q347" s="3">
        <f>(P347-Y347)/G347*100</f>
      </c>
      <c r="R347" s="3">
        <f>J347-N347</f>
      </c>
      <c r="S347" t="s">
        <v>1</v>
      </c>
      <c r="T347" t="s">
        <v>1</v>
      </c>
      <c r="Z347" s="3">
        <f>P347-Y347</f>
      </c>
      <c r="AA347" t="s">
        <v>1</v>
      </c>
      <c r="AB347" t="s">
        <v>1</v>
      </c>
    </row>
    <row r="348" spans="1:28" x14ac:dyDescent="0.25">
      <c r="A348" s="7">
        <v>46171.5</v>
      </c>
      <c r="B348" t="s">
        <v>1333</v>
      </c>
      <c r="C348" t="s">
        <v>1</v>
      </c>
      <c r="D348" s="8" t="s">
        <v>1</v>
      </c>
      <c r="E348" t="s">
        <v>77</v>
      </c>
      <c r="F348">
        <v>1</v>
      </c>
      <c r="G348" s="3">
        <v>102</v>
      </c>
      <c r="H348" s="3">
        <v>135.66</v>
      </c>
      <c r="I348" s="3">
        <f>H348-G348</f>
      </c>
      <c r="J348" s="3">
        <f>I348*16.67%</f>
      </c>
      <c r="K348" s="3">
        <f>H348/100*11</f>
      </c>
      <c r="L348" s="3">
        <v>8.99</v>
      </c>
      <c r="M348" s="3">
        <v>0</v>
      </c>
      <c r="N348" s="3">
        <f>M348*20%</f>
      </c>
      <c r="O348" s="3">
        <v>1</v>
      </c>
      <c r="P348" s="3">
        <f>I348-J348-K348-L348-M348-N348-O348</f>
      </c>
      <c r="Q348" s="3">
        <f>(P348-Y348)/G348*100</f>
      </c>
      <c r="R348" s="3">
        <f>J348-N348</f>
      </c>
      <c r="S348" t="s">
        <v>1</v>
      </c>
      <c r="T348" t="s">
        <v>1</v>
      </c>
      <c r="Z348" s="3">
        <f>P348-Y348</f>
      </c>
      <c r="AA348" t="s">
        <v>1</v>
      </c>
      <c r="AB348" t="s">
        <v>1</v>
      </c>
    </row>
    <row r="349" spans="1:28" x14ac:dyDescent="0.25">
      <c r="A349" s="7">
        <v>46170.5</v>
      </c>
      <c r="B349" t="s">
        <v>1334</v>
      </c>
      <c r="C349" t="s">
        <v>1</v>
      </c>
      <c r="D349" s="8" t="s">
        <v>1335</v>
      </c>
      <c r="E349" t="s">
        <v>77</v>
      </c>
      <c r="F349">
        <v>1</v>
      </c>
      <c r="G349" s="3">
        <v>229</v>
      </c>
      <c r="H349" s="3">
        <v>320.6</v>
      </c>
      <c r="I349" s="3">
        <f>H349-G349</f>
      </c>
      <c r="J349" s="3">
        <f>I349*16.67%</f>
      </c>
      <c r="K349" s="3">
        <f>H349/100*11</f>
      </c>
      <c r="L349" s="3">
        <v>8.99</v>
      </c>
      <c r="M349" s="3">
        <v>0</v>
      </c>
      <c r="N349" s="3">
        <f>M349*20%</f>
      </c>
      <c r="O349" s="3">
        <v>1</v>
      </c>
      <c r="P349" s="3">
        <f>I349-J349-K349-L349-M349-N349-O349</f>
      </c>
      <c r="Q349" s="3">
        <f>(P349-Y349)/G349*100</f>
      </c>
      <c r="R349" s="3">
        <f>J349-N349</f>
      </c>
      <c r="S349" t="s">
        <v>1</v>
      </c>
      <c r="T349" t="s">
        <v>64</v>
      </c>
      <c r="Z349" s="3">
        <f>P349-Y349</f>
      </c>
      <c r="AA349" t="s">
        <v>65</v>
      </c>
      <c r="AB349" t="s">
        <v>87</v>
      </c>
    </row>
    <row r="350" spans="1:28" x14ac:dyDescent="0.25">
      <c r="A350" s="7">
        <v>46170.5</v>
      </c>
      <c r="B350" t="s">
        <v>1336</v>
      </c>
      <c r="C350" t="s">
        <v>1</v>
      </c>
      <c r="D350" s="8" t="s">
        <v>1337</v>
      </c>
      <c r="E350" t="s">
        <v>63</v>
      </c>
      <c r="F350">
        <v>1</v>
      </c>
      <c r="G350" s="3">
        <v>521</v>
      </c>
      <c r="H350" s="3">
        <v>646.04</v>
      </c>
      <c r="I350" s="3">
        <f>H350-G350</f>
      </c>
      <c r="J350" s="3">
        <f>I350*16.67%</f>
      </c>
      <c r="K350" s="3">
        <f>H350/100*11</f>
      </c>
      <c r="L350" s="3">
        <v>8.99</v>
      </c>
      <c r="M350" s="3">
        <v>0</v>
      </c>
      <c r="N350" s="3">
        <f>M350*20%</f>
      </c>
      <c r="O350" s="3">
        <v>1</v>
      </c>
      <c r="P350" s="3">
        <f>I350-J350-K350-L350-M350-N350-O350</f>
      </c>
      <c r="Q350" s="3">
        <f>(P350-Y350)/G350*100</f>
      </c>
      <c r="R350" s="3">
        <f>J350-N350</f>
      </c>
      <c r="S350" t="s">
        <v>1</v>
      </c>
      <c r="T350" t="s">
        <v>80</v>
      </c>
      <c r="Z350" s="3">
        <f>P350-Y350</f>
      </c>
      <c r="AA350" t="s">
        <v>65</v>
      </c>
      <c r="AB350" t="s">
        <v>87</v>
      </c>
    </row>
    <row r="351" spans="1:28" x14ac:dyDescent="0.25">
      <c r="A351" s="7">
        <v>46170.5</v>
      </c>
      <c r="B351" t="s">
        <v>1338</v>
      </c>
      <c r="C351" t="s">
        <v>1</v>
      </c>
      <c r="D351" s="8" t="s">
        <v>1339</v>
      </c>
      <c r="E351" t="s">
        <v>101</v>
      </c>
      <c r="F351">
        <v>1</v>
      </c>
      <c r="G351" s="3">
        <v>251</v>
      </c>
      <c r="H351" s="3">
        <v>321.28</v>
      </c>
      <c r="I351" s="3">
        <f>H351-G351</f>
      </c>
      <c r="J351" s="3">
        <f>I351*16.67%</f>
      </c>
      <c r="K351" s="3">
        <f>H351/100*11</f>
      </c>
      <c r="L351" s="3">
        <v>8.99</v>
      </c>
      <c r="M351" s="3">
        <v>0</v>
      </c>
      <c r="N351" s="3">
        <f>M351*20%</f>
      </c>
      <c r="O351" s="3">
        <v>1</v>
      </c>
      <c r="P351" s="3">
        <f>I351-J351-K351-L351-M351-N351-O351</f>
      </c>
      <c r="Q351" s="3">
        <f>(P351-Y351)/G351*100</f>
      </c>
      <c r="R351" s="3">
        <f>J351-N351</f>
      </c>
      <c r="S351" t="s">
        <v>1</v>
      </c>
      <c r="T351" t="s">
        <v>124</v>
      </c>
      <c r="Z351" s="3">
        <f>P351-Y351</f>
      </c>
      <c r="AA351" t="s">
        <v>125</v>
      </c>
      <c r="AB351" t="s">
        <v>104</v>
      </c>
    </row>
    <row r="352" spans="1:28" x14ac:dyDescent="0.25">
      <c r="A352" s="7">
        <v>46170.5</v>
      </c>
      <c r="B352" t="s">
        <v>1340</v>
      </c>
      <c r="C352" t="s">
        <v>1</v>
      </c>
      <c r="D352" s="8" t="s">
        <v>1341</v>
      </c>
      <c r="E352" t="s">
        <v>72</v>
      </c>
      <c r="F352">
        <v>1</v>
      </c>
      <c r="G352" s="3">
        <v>64</v>
      </c>
      <c r="H352" s="3">
        <v>82.56</v>
      </c>
      <c r="I352" s="3">
        <f>H352-G352</f>
      </c>
      <c r="J352" s="3">
        <f>I352*16.67%</f>
      </c>
      <c r="K352" s="3">
        <f>H352/100*11</f>
      </c>
      <c r="L352" s="3">
        <v>8.99</v>
      </c>
      <c r="M352" s="3">
        <v>0</v>
      </c>
      <c r="N352" s="3">
        <f>M352*20%</f>
      </c>
      <c r="O352" s="3">
        <v>1</v>
      </c>
      <c r="P352" s="3">
        <f>I352-J352-K352-L352-M352-N352-O352</f>
      </c>
      <c r="Q352" s="3">
        <f>(P352-Y352)/G352*100</f>
      </c>
      <c r="R352" s="3">
        <f>J352-N352</f>
      </c>
      <c r="S352" t="s">
        <v>1</v>
      </c>
      <c r="T352" t="s">
        <v>93</v>
      </c>
      <c r="Z352" s="3">
        <f>P352-Y352</f>
      </c>
      <c r="AA352" t="s">
        <v>94</v>
      </c>
      <c r="AB352" t="s">
        <v>74</v>
      </c>
    </row>
    <row r="353" spans="1:28" x14ac:dyDescent="0.25">
      <c r="A353" s="7">
        <v>46170.5</v>
      </c>
      <c r="B353" t="s">
        <v>1342</v>
      </c>
      <c r="C353" t="s">
        <v>1</v>
      </c>
      <c r="D353" s="8" t="s">
        <v>1343</v>
      </c>
      <c r="E353" t="s">
        <v>63</v>
      </c>
      <c r="F353">
        <v>1</v>
      </c>
      <c r="G353" s="3">
        <v>139</v>
      </c>
      <c r="H353" s="3">
        <v>197.38</v>
      </c>
      <c r="I353" s="3">
        <f>H353-G353</f>
      </c>
      <c r="J353" s="3">
        <f>I353*16.67%</f>
      </c>
      <c r="K353" s="3">
        <f>H353/100*11</f>
      </c>
      <c r="L353" s="3">
        <v>8.99</v>
      </c>
      <c r="M353" s="3">
        <v>0</v>
      </c>
      <c r="N353" s="3">
        <f>M353*20%</f>
      </c>
      <c r="O353" s="3">
        <v>1</v>
      </c>
      <c r="P353" s="3">
        <f>I353-J353-K353-L353-M353-N353-O353</f>
      </c>
      <c r="Q353" s="3">
        <f>(P353-Y353)/G353*100</f>
      </c>
      <c r="R353" s="3">
        <f>J353-N353</f>
      </c>
      <c r="S353" t="s">
        <v>1</v>
      </c>
      <c r="T353" t="s">
        <v>133</v>
      </c>
      <c r="Z353" s="3">
        <f>P353-Y353</f>
      </c>
      <c r="AA353" t="s">
        <v>94</v>
      </c>
      <c r="AB353" t="s">
        <v>84</v>
      </c>
    </row>
    <row r="354" spans="1:28" x14ac:dyDescent="0.25">
      <c r="A354" s="7">
        <v>46170.5</v>
      </c>
      <c r="B354" t="s">
        <v>1344</v>
      </c>
      <c r="C354" t="s">
        <v>188</v>
      </c>
      <c r="D354" s="8" t="s">
        <v>1</v>
      </c>
      <c r="E354" t="s">
        <v>63</v>
      </c>
      <c r="F354">
        <v>3</v>
      </c>
      <c r="G354" s="3">
        <v>10.5</v>
      </c>
      <c r="H354" s="3">
        <v>13.34</v>
      </c>
      <c r="I354" s="3">
        <f>H354-G354</f>
      </c>
      <c r="J354" s="3">
        <f>I354*16.67%</f>
      </c>
      <c r="K354" s="3">
        <f>H354/100*11</f>
      </c>
      <c r="L354" s="3">
        <v>8.99</v>
      </c>
      <c r="M354" s="3">
        <v>0</v>
      </c>
      <c r="N354" s="3">
        <f>M354*20%</f>
      </c>
      <c r="O354" s="3">
        <v>1</v>
      </c>
      <c r="P354" s="3">
        <f>I354-J354-K354-L354-M354-N354-O354</f>
      </c>
      <c r="Q354" s="3">
        <f>(P354-Y354)/G354*100</f>
      </c>
      <c r="R354" s="3">
        <f>J354-N354</f>
      </c>
      <c r="S354" t="s">
        <v>1</v>
      </c>
      <c r="T354" t="s">
        <v>188</v>
      </c>
      <c r="Z354" s="3">
        <f>P354-Y354</f>
      </c>
      <c r="AA354" t="s">
        <v>1</v>
      </c>
      <c r="AB354" t="s">
        <v>1</v>
      </c>
    </row>
    <row r="355" spans="1:28" x14ac:dyDescent="0.25">
      <c r="A355" s="7">
        <v>46170.5</v>
      </c>
      <c r="B355" t="s">
        <v>1345</v>
      </c>
      <c r="C355" t="s">
        <v>173</v>
      </c>
      <c r="D355" s="8" t="s">
        <v>1</v>
      </c>
      <c r="E355" t="s">
        <v>63</v>
      </c>
      <c r="F355">
        <v>1</v>
      </c>
      <c r="G355" s="3">
        <v>4.25</v>
      </c>
      <c r="H355" s="3">
        <v>5.86</v>
      </c>
      <c r="I355" s="3">
        <f>H355-G355</f>
      </c>
      <c r="J355" s="3">
        <f>I355*16.67%</f>
      </c>
      <c r="K355" s="3">
        <f>H355/100*11</f>
      </c>
      <c r="L355" s="3">
        <v>8.99</v>
      </c>
      <c r="M355" s="3">
        <v>0</v>
      </c>
      <c r="N355" s="3">
        <f>M355*20%</f>
      </c>
      <c r="O355" s="3">
        <v>1</v>
      </c>
      <c r="P355" s="3">
        <f>I355-J355-K355-L355-M355-N355-O355</f>
      </c>
      <c r="Q355" s="3">
        <f>(P355-Y355)/G355*100</f>
      </c>
      <c r="R355" s="3">
        <f>J355-N355</f>
      </c>
      <c r="S355" t="s">
        <v>1</v>
      </c>
      <c r="T355" t="s">
        <v>173</v>
      </c>
      <c r="Z355" s="3">
        <f>P355-Y355</f>
      </c>
      <c r="AA355" t="s">
        <v>1</v>
      </c>
      <c r="AB355" t="s">
        <v>1</v>
      </c>
    </row>
    <row r="356" spans="1:28" x14ac:dyDescent="0.25">
      <c r="A356" s="7">
        <v>46169.5</v>
      </c>
      <c r="B356" t="s">
        <v>1346</v>
      </c>
      <c r="C356" t="s">
        <v>1</v>
      </c>
      <c r="D356" s="8" t="s">
        <v>1347</v>
      </c>
      <c r="E356" t="s">
        <v>101</v>
      </c>
      <c r="F356">
        <v>1</v>
      </c>
      <c r="G356" s="3">
        <v>378</v>
      </c>
      <c r="H356" s="3">
        <v>446.04</v>
      </c>
      <c r="I356" s="3">
        <f>H356-G356</f>
      </c>
      <c r="J356" s="3">
        <f>I356*16.67%</f>
      </c>
      <c r="K356" s="3">
        <f>H356/100*11</f>
      </c>
      <c r="L356" s="3">
        <v>8.99</v>
      </c>
      <c r="M356" s="3">
        <v>0</v>
      </c>
      <c r="N356" s="3">
        <f>M356*20%</f>
      </c>
      <c r="O356" s="3">
        <v>1</v>
      </c>
      <c r="P356" s="3">
        <f>I356-J356-K356-L356-M356-N356-O356</f>
      </c>
      <c r="Q356" s="3">
        <f>(P356-Y356)/G356*100</f>
      </c>
      <c r="R356" s="3">
        <f>J356-N356</f>
      </c>
      <c r="S356" t="s">
        <v>1</v>
      </c>
      <c r="T356" t="s">
        <v>73</v>
      </c>
      <c r="Z356" s="3">
        <f>P356-Y356</f>
      </c>
      <c r="AA356" t="s">
        <v>59</v>
      </c>
      <c r="AB356" t="s">
        <v>74</v>
      </c>
    </row>
    <row r="357" spans="1:28" x14ac:dyDescent="0.25">
      <c r="A357" s="7">
        <v>46169.5</v>
      </c>
      <c r="B357" t="s">
        <v>1348</v>
      </c>
      <c r="C357" t="s">
        <v>1</v>
      </c>
      <c r="D357" s="8" t="s">
        <v>1349</v>
      </c>
      <c r="E357" t="s">
        <v>63</v>
      </c>
      <c r="F357">
        <v>1</v>
      </c>
      <c r="G357" s="3">
        <v>232</v>
      </c>
      <c r="H357" s="3">
        <v>296.96</v>
      </c>
      <c r="I357" s="3">
        <f>H357-G357</f>
      </c>
      <c r="J357" s="3">
        <f>I357*16.67%</f>
      </c>
      <c r="K357" s="3">
        <f>H357/100*11</f>
      </c>
      <c r="L357" s="3">
        <v>8.99</v>
      </c>
      <c r="M357" s="3">
        <v>0</v>
      </c>
      <c r="N357" s="3">
        <f>M357*20%</f>
      </c>
      <c r="O357" s="3">
        <v>1</v>
      </c>
      <c r="P357" s="3">
        <f>I357-J357-K357-L357-M357-N357-O357</f>
      </c>
      <c r="Q357" s="3">
        <f>(P357-Y357)/G357*100</f>
      </c>
      <c r="R357" s="3">
        <f>J357-N357</f>
      </c>
      <c r="S357" t="s">
        <v>1</v>
      </c>
      <c r="T357" t="s">
        <v>113</v>
      </c>
      <c r="Z357" s="3">
        <f>P357-Y357</f>
      </c>
      <c r="AA357" t="s">
        <v>94</v>
      </c>
      <c r="AB357" t="s">
        <v>87</v>
      </c>
    </row>
    <row r="358" spans="1:28" x14ac:dyDescent="0.25">
      <c r="A358" s="7">
        <v>46169.5</v>
      </c>
      <c r="B358" t="s">
        <v>1350</v>
      </c>
      <c r="C358" t="s">
        <v>188</v>
      </c>
      <c r="D358" s="8" t="s">
        <v>1</v>
      </c>
      <c r="E358" t="s">
        <v>63</v>
      </c>
      <c r="F358">
        <v>1</v>
      </c>
      <c r="G358" s="3">
        <v>3.5</v>
      </c>
      <c r="H358" s="3">
        <v>4.09</v>
      </c>
      <c r="I358" s="3">
        <f>H358-G358</f>
      </c>
      <c r="J358" s="3">
        <f>I358*16.67%</f>
      </c>
      <c r="K358" s="3">
        <f>H358/100*11</f>
      </c>
      <c r="L358" s="3">
        <v>8.99</v>
      </c>
      <c r="M358" s="3">
        <v>0</v>
      </c>
      <c r="N358" s="3">
        <f>M358*20%</f>
      </c>
      <c r="O358" s="3">
        <v>1</v>
      </c>
      <c r="P358" s="3">
        <f>I358-J358-K358-L358-M358-N358-O358</f>
      </c>
      <c r="Q358" s="3">
        <f>(P358-Y358)/G358*100</f>
      </c>
      <c r="R358" s="3">
        <f>J358-N358</f>
      </c>
      <c r="S358" t="s">
        <v>1</v>
      </c>
      <c r="T358" t="s">
        <v>188</v>
      </c>
      <c r="Z358" s="3">
        <f>P358-Y358</f>
      </c>
      <c r="AA358" t="s">
        <v>1</v>
      </c>
      <c r="AB358" t="s">
        <v>1</v>
      </c>
    </row>
    <row r="359" spans="1:28" x14ac:dyDescent="0.25">
      <c r="A359" s="7">
        <v>46169.5</v>
      </c>
      <c r="B359" t="s">
        <v>1351</v>
      </c>
      <c r="C359" t="s">
        <v>1</v>
      </c>
      <c r="D359" s="8" t="s">
        <v>1</v>
      </c>
      <c r="E359" t="s">
        <v>72</v>
      </c>
      <c r="F359">
        <v>1</v>
      </c>
      <c r="G359" s="3">
        <v>285</v>
      </c>
      <c r="H359" s="3">
        <v>373.35</v>
      </c>
      <c r="I359" s="3">
        <f>H359-G359</f>
      </c>
      <c r="J359" s="3">
        <f>I359*16.67%</f>
      </c>
      <c r="K359" s="3">
        <f>H359/100*11</f>
      </c>
      <c r="L359" s="3">
        <v>8.99</v>
      </c>
      <c r="M359" s="3">
        <v>0</v>
      </c>
      <c r="N359" s="3">
        <f>M359*20%</f>
      </c>
      <c r="O359" s="3">
        <v>1</v>
      </c>
      <c r="P359" s="3">
        <f>I359-J359-K359-L359-M359-N359-O359</f>
      </c>
      <c r="Q359" s="3">
        <f>(P359-Y359)/G359*100</f>
      </c>
      <c r="R359" s="3">
        <f>J359-N359</f>
      </c>
      <c r="S359" t="s">
        <v>1</v>
      </c>
      <c r="T359" t="s">
        <v>1</v>
      </c>
      <c r="Z359" s="3">
        <f>P359-Y359</f>
      </c>
      <c r="AA359" t="s">
        <v>1</v>
      </c>
      <c r="AB359" t="s">
        <v>1</v>
      </c>
    </row>
    <row r="360" spans="1:28" x14ac:dyDescent="0.25">
      <c r="A360" s="7">
        <v>46168.5</v>
      </c>
      <c r="B360" t="s">
        <v>1352</v>
      </c>
      <c r="C360" t="s">
        <v>1</v>
      </c>
      <c r="D360" s="8" t="s">
        <v>1</v>
      </c>
      <c r="E360" t="s">
        <v>101</v>
      </c>
      <c r="F360">
        <v>1</v>
      </c>
      <c r="G360" s="3">
        <v>248</v>
      </c>
      <c r="H360" s="3">
        <v>327.36</v>
      </c>
      <c r="I360" s="3">
        <f>H360-G360</f>
      </c>
      <c r="J360" s="3">
        <f>I360*16.67%</f>
      </c>
      <c r="K360" s="3">
        <f>H360/100*11</f>
      </c>
      <c r="L360" s="3">
        <v>8.99</v>
      </c>
      <c r="M360" s="3">
        <v>0</v>
      </c>
      <c r="N360" s="3">
        <f>M360*20%</f>
      </c>
      <c r="O360" s="3">
        <v>1</v>
      </c>
      <c r="P360" s="3">
        <f>I360-J360-K360-L360-M360-N360-O360</f>
      </c>
      <c r="Q360" s="3">
        <f>(P360-Y360)/G360*100</f>
      </c>
      <c r="R360" s="3">
        <f>J360-N360</f>
      </c>
      <c r="S360" t="s">
        <v>1</v>
      </c>
      <c r="T360" t="s">
        <v>1</v>
      </c>
      <c r="Z360" s="3">
        <f>P360-Y360</f>
      </c>
      <c r="AA360" t="s">
        <v>1</v>
      </c>
      <c r="AB360" t="s">
        <v>1</v>
      </c>
    </row>
    <row r="361" spans="1:28" x14ac:dyDescent="0.25">
      <c r="A361" s="7">
        <v>46167.5</v>
      </c>
      <c r="B361" t="s">
        <v>1353</v>
      </c>
      <c r="C361" t="s">
        <v>1</v>
      </c>
      <c r="D361" s="8" t="s">
        <v>1354</v>
      </c>
      <c r="E361" t="s">
        <v>72</v>
      </c>
      <c r="F361">
        <v>1</v>
      </c>
      <c r="G361" s="3">
        <v>379</v>
      </c>
      <c r="H361" s="3">
        <v>504.07</v>
      </c>
      <c r="I361" s="3">
        <f>H361-G361</f>
      </c>
      <c r="J361" s="3">
        <f>I361*16.67%</f>
      </c>
      <c r="K361" s="3">
        <f>H361/100*11</f>
      </c>
      <c r="L361" s="3">
        <v>8.99</v>
      </c>
      <c r="M361" s="3">
        <v>0</v>
      </c>
      <c r="N361" s="3">
        <f>M361*20%</f>
      </c>
      <c r="O361" s="3">
        <v>1</v>
      </c>
      <c r="P361" s="3">
        <f>I361-J361-K361-L361-M361-N361-O361</f>
      </c>
      <c r="Q361" s="3">
        <f>(P361-Y361)/G361*100</f>
      </c>
      <c r="R361" s="3">
        <f>J361-N361</f>
      </c>
      <c r="S361" t="s">
        <v>1</v>
      </c>
      <c r="T361" t="s">
        <v>73</v>
      </c>
      <c r="Z361" s="3">
        <f>P361-Y361</f>
      </c>
      <c r="AA361" t="s">
        <v>59</v>
      </c>
      <c r="AB361" t="s">
        <v>87</v>
      </c>
    </row>
    <row r="362" spans="1:28" x14ac:dyDescent="0.25">
      <c r="A362" s="7">
        <v>46167.5</v>
      </c>
      <c r="B362" t="s">
        <v>1355</v>
      </c>
      <c r="C362" t="s">
        <v>1</v>
      </c>
      <c r="D362" s="8" t="s">
        <v>1356</v>
      </c>
      <c r="E362" t="s">
        <v>72</v>
      </c>
      <c r="F362">
        <v>1</v>
      </c>
      <c r="G362" s="3">
        <v>157</v>
      </c>
      <c r="H362" s="3">
        <v>197.82</v>
      </c>
      <c r="I362" s="3">
        <f>H362-G362</f>
      </c>
      <c r="J362" s="3">
        <f>I362*16.67%</f>
      </c>
      <c r="K362" s="3">
        <f>H362/100*11</f>
      </c>
      <c r="L362" s="3">
        <v>8.99</v>
      </c>
      <c r="M362" s="3">
        <v>0</v>
      </c>
      <c r="N362" s="3">
        <f>M362*20%</f>
      </c>
      <c r="O362" s="3">
        <v>1</v>
      </c>
      <c r="P362" s="3">
        <f>I362-J362-K362-L362-M362-N362-O362</f>
      </c>
      <c r="Q362" s="3">
        <f>(P362-Y362)/G362*100</f>
      </c>
      <c r="R362" s="3">
        <f>J362-N362</f>
      </c>
      <c r="S362" t="s">
        <v>1</v>
      </c>
      <c r="T362" t="s">
        <v>171</v>
      </c>
      <c r="Z362" s="3">
        <f>P362-Y362</f>
      </c>
      <c r="AA362" t="s">
        <v>65</v>
      </c>
      <c r="AB362" t="s">
        <v>87</v>
      </c>
    </row>
    <row r="363" spans="1:28" x14ac:dyDescent="0.25">
      <c r="A363" s="7">
        <v>46167.5</v>
      </c>
      <c r="B363" t="s">
        <v>1357</v>
      </c>
      <c r="C363" t="s">
        <v>1</v>
      </c>
      <c r="D363" s="8" t="s">
        <v>1358</v>
      </c>
      <c r="E363" t="s">
        <v>101</v>
      </c>
      <c r="F363">
        <v>1</v>
      </c>
      <c r="G363" s="3">
        <v>180</v>
      </c>
      <c r="H363" s="3">
        <v>261</v>
      </c>
      <c r="I363" s="3">
        <f>H363-G363</f>
      </c>
      <c r="J363" s="3">
        <f>I363*16.67%</f>
      </c>
      <c r="K363" s="3">
        <f>H363/100*11</f>
      </c>
      <c r="L363" s="3">
        <v>8.99</v>
      </c>
      <c r="M363" s="3">
        <v>0</v>
      </c>
      <c r="N363" s="3">
        <f>M363*20%</f>
      </c>
      <c r="O363" s="3">
        <v>1</v>
      </c>
      <c r="P363" s="3">
        <f>I363-J363-K363-L363-M363-N363-O363</f>
      </c>
      <c r="Q363" s="3">
        <f>(P363-Y363)/G363*100</f>
      </c>
      <c r="R363" s="3">
        <f>J363-N363</f>
      </c>
      <c r="S363" t="s">
        <v>1</v>
      </c>
      <c r="T363" t="s">
        <v>171</v>
      </c>
      <c r="Z363" s="3">
        <f>P363-Y363</f>
      </c>
      <c r="AA363" t="s">
        <v>65</v>
      </c>
      <c r="AB363" t="s">
        <v>98</v>
      </c>
    </row>
    <row r="364" spans="1:28" x14ac:dyDescent="0.25">
      <c r="A364" s="7">
        <v>46167.5</v>
      </c>
      <c r="B364" t="s">
        <v>1359</v>
      </c>
      <c r="C364" t="s">
        <v>173</v>
      </c>
      <c r="D364" s="8" t="s">
        <v>1</v>
      </c>
      <c r="E364" t="s">
        <v>63</v>
      </c>
      <c r="F364">
        <v>1</v>
      </c>
      <c r="G364" s="3">
        <v>4.25</v>
      </c>
      <c r="H364" s="3">
        <v>4.97</v>
      </c>
      <c r="I364" s="3">
        <f>H364-G364</f>
      </c>
      <c r="J364" s="3">
        <f>I364*16.67%</f>
      </c>
      <c r="K364" s="3">
        <f>H364/100*11</f>
      </c>
      <c r="L364" s="3">
        <v>8.99</v>
      </c>
      <c r="M364" s="3">
        <v>0</v>
      </c>
      <c r="N364" s="3">
        <f>M364*20%</f>
      </c>
      <c r="O364" s="3">
        <v>1</v>
      </c>
      <c r="P364" s="3">
        <f>I364-J364-K364-L364-M364-N364-O364</f>
      </c>
      <c r="Q364" s="3">
        <f>(P364-Y364)/G364*100</f>
      </c>
      <c r="R364" s="3">
        <f>J364-N364</f>
      </c>
      <c r="S364" t="s">
        <v>1</v>
      </c>
      <c r="T364" t="s">
        <v>173</v>
      </c>
      <c r="Z364" s="3">
        <f>P364-Y364</f>
      </c>
      <c r="AA364" t="s">
        <v>1</v>
      </c>
      <c r="AB364" t="s">
        <v>1</v>
      </c>
    </row>
    <row r="365" spans="1:28" x14ac:dyDescent="0.25">
      <c r="A365" s="7">
        <v>46167.5</v>
      </c>
      <c r="B365" t="s">
        <v>1360</v>
      </c>
      <c r="C365" t="s">
        <v>253</v>
      </c>
      <c r="D365" s="8" t="s">
        <v>1</v>
      </c>
      <c r="E365" t="s">
        <v>57</v>
      </c>
      <c r="F365">
        <v>3</v>
      </c>
      <c r="G365" s="3">
        <v>2.4</v>
      </c>
      <c r="H365" s="3">
        <v>3.26</v>
      </c>
      <c r="I365" s="3">
        <f>H365-G365</f>
      </c>
      <c r="J365" s="3">
        <f>I365*16.67%</f>
      </c>
      <c r="K365" s="3">
        <f>H365/100*11</f>
      </c>
      <c r="L365" s="3">
        <v>8.99</v>
      </c>
      <c r="M365" s="3">
        <v>0</v>
      </c>
      <c r="N365" s="3">
        <f>M365*20%</f>
      </c>
      <c r="O365" s="3">
        <v>1</v>
      </c>
      <c r="P365" s="3">
        <f>I365-J365-K365-L365-M365-N365-O365</f>
      </c>
      <c r="Q365" s="3">
        <f>(P365-Y365)/G365*100</f>
      </c>
      <c r="R365" s="3">
        <f>J365-N365</f>
      </c>
      <c r="S365" t="s">
        <v>1</v>
      </c>
      <c r="T365" t="s">
        <v>253</v>
      </c>
      <c r="Z365" s="3">
        <f>P365-Y365</f>
      </c>
      <c r="AA365" t="s">
        <v>1</v>
      </c>
      <c r="AB365" t="s">
        <v>1</v>
      </c>
    </row>
    <row r="366" spans="1:28" x14ac:dyDescent="0.25">
      <c r="A366" s="7">
        <v>46166.5</v>
      </c>
      <c r="B366" t="s">
        <v>1361</v>
      </c>
      <c r="C366" t="s">
        <v>1</v>
      </c>
      <c r="D366" s="8" t="s">
        <v>1362</v>
      </c>
      <c r="E366" t="s">
        <v>57</v>
      </c>
      <c r="F366">
        <v>1</v>
      </c>
      <c r="G366" s="3">
        <v>127</v>
      </c>
      <c r="H366" s="3">
        <v>167.64</v>
      </c>
      <c r="I366" s="3">
        <f>H366-G366</f>
      </c>
      <c r="J366" s="3">
        <f>I366*16.67%</f>
      </c>
      <c r="K366" s="3">
        <f>H366/100*11</f>
      </c>
      <c r="L366" s="3">
        <v>8.99</v>
      </c>
      <c r="M366" s="3">
        <v>0</v>
      </c>
      <c r="N366" s="3">
        <f>M366*20%</f>
      </c>
      <c r="O366" s="3">
        <v>1</v>
      </c>
      <c r="P366" s="3">
        <f>I366-J366-K366-L366-M366-N366-O366</f>
      </c>
      <c r="Q366" s="3">
        <f>(P366-Y366)/G366*100</f>
      </c>
      <c r="R366" s="3">
        <f>J366-N366</f>
      </c>
      <c r="S366" t="s">
        <v>1</v>
      </c>
      <c r="T366" t="s">
        <v>133</v>
      </c>
      <c r="Z366" s="3">
        <f>P366-Y366</f>
      </c>
      <c r="AA366" t="s">
        <v>94</v>
      </c>
      <c r="AB366" t="s">
        <v>69</v>
      </c>
    </row>
    <row r="367" spans="1:28" x14ac:dyDescent="0.25">
      <c r="A367" s="7">
        <v>46165.5</v>
      </c>
      <c r="B367" t="s">
        <v>1363</v>
      </c>
      <c r="C367" t="s">
        <v>1</v>
      </c>
      <c r="D367" s="8" t="s">
        <v>1364</v>
      </c>
      <c r="E367" t="s">
        <v>77</v>
      </c>
      <c r="F367">
        <v>1</v>
      </c>
      <c r="G367" s="3">
        <v>529</v>
      </c>
      <c r="H367" s="3">
        <v>650.67</v>
      </c>
      <c r="I367" s="3">
        <f>H367-G367</f>
      </c>
      <c r="J367" s="3">
        <f>I367*16.67%</f>
      </c>
      <c r="K367" s="3">
        <f>H367/100*11</f>
      </c>
      <c r="L367" s="3">
        <v>8.99</v>
      </c>
      <c r="M367" s="3">
        <v>0</v>
      </c>
      <c r="N367" s="3">
        <f>M367*20%</f>
      </c>
      <c r="O367" s="3">
        <v>1</v>
      </c>
      <c r="P367" s="3">
        <f>I367-J367-K367-L367-M367-N367-O367</f>
      </c>
      <c r="Q367" s="3">
        <f>(P367-Y367)/G367*100</f>
      </c>
      <c r="R367" s="3">
        <f>J367-N367</f>
      </c>
      <c r="S367" t="s">
        <v>1</v>
      </c>
      <c r="T367" t="s">
        <v>68</v>
      </c>
      <c r="Z367" s="3">
        <f>P367-Y367</f>
      </c>
      <c r="AA367" t="s">
        <v>59</v>
      </c>
      <c r="AB367" t="s">
        <v>84</v>
      </c>
    </row>
    <row r="368" spans="1:28" x14ac:dyDescent="0.25">
      <c r="A368" s="7">
        <v>46165.5</v>
      </c>
      <c r="B368" t="s">
        <v>1365</v>
      </c>
      <c r="C368" t="s">
        <v>1</v>
      </c>
      <c r="D368" s="8" t="s">
        <v>1366</v>
      </c>
      <c r="E368" t="s">
        <v>101</v>
      </c>
      <c r="F368">
        <v>1</v>
      </c>
      <c r="G368" s="3">
        <v>568</v>
      </c>
      <c r="H368" s="3">
        <v>738.4</v>
      </c>
      <c r="I368" s="3">
        <f>H368-G368</f>
      </c>
      <c r="J368" s="3">
        <f>I368*16.67%</f>
      </c>
      <c r="K368" s="3">
        <f>H368/100*11</f>
      </c>
      <c r="L368" s="3">
        <v>8.99</v>
      </c>
      <c r="M368" s="3">
        <v>0</v>
      </c>
      <c r="N368" s="3">
        <f>M368*20%</f>
      </c>
      <c r="O368" s="3">
        <v>1</v>
      </c>
      <c r="P368" s="3">
        <f>I368-J368-K368-L368-M368-N368-O368</f>
      </c>
      <c r="Q368" s="3">
        <f>(P368-Y368)/G368*100</f>
      </c>
      <c r="R368" s="3">
        <f>J368-N368</f>
      </c>
      <c r="S368" t="s">
        <v>1</v>
      </c>
      <c r="T368" t="s">
        <v>80</v>
      </c>
      <c r="Z368" s="3">
        <f>P368-Y368</f>
      </c>
      <c r="AA368" t="s">
        <v>65</v>
      </c>
      <c r="AB368" t="s">
        <v>74</v>
      </c>
    </row>
    <row r="369" spans="1:28" x14ac:dyDescent="0.25">
      <c r="A369" s="7">
        <v>46165.5</v>
      </c>
      <c r="B369" t="s">
        <v>1367</v>
      </c>
      <c r="C369" t="s">
        <v>1</v>
      </c>
      <c r="D369" s="8" t="s">
        <v>1368</v>
      </c>
      <c r="E369" t="s">
        <v>77</v>
      </c>
      <c r="F369">
        <v>1</v>
      </c>
      <c r="G369" s="3">
        <v>685</v>
      </c>
      <c r="H369" s="3">
        <v>801.45</v>
      </c>
      <c r="I369" s="3">
        <f>H369-G369</f>
      </c>
      <c r="J369" s="3">
        <f>I369*16.67%</f>
      </c>
      <c r="K369" s="3">
        <f>H369/100*11</f>
      </c>
      <c r="L369" s="3">
        <v>8.99</v>
      </c>
      <c r="M369" s="3">
        <v>0</v>
      </c>
      <c r="N369" s="3">
        <f>M369*20%</f>
      </c>
      <c r="O369" s="3">
        <v>1</v>
      </c>
      <c r="P369" s="3">
        <f>I369-J369-K369-L369-M369-N369-O369</f>
      </c>
      <c r="Q369" s="3">
        <f>(P369-Y369)/G369*100</f>
      </c>
      <c r="R369" s="3">
        <f>J369-N369</f>
      </c>
      <c r="S369" t="s">
        <v>1</v>
      </c>
      <c r="T369" t="s">
        <v>83</v>
      </c>
      <c r="Z369" s="3">
        <f>P369-Y369</f>
      </c>
      <c r="AA369" t="s">
        <v>59</v>
      </c>
      <c r="AB369" t="s">
        <v>84</v>
      </c>
    </row>
    <row r="370" spans="1:28" x14ac:dyDescent="0.25">
      <c r="A370" s="7">
        <v>46165.5</v>
      </c>
      <c r="B370" t="s">
        <v>1369</v>
      </c>
      <c r="C370" t="s">
        <v>176</v>
      </c>
      <c r="D370" s="8" t="s">
        <v>1</v>
      </c>
      <c r="E370" t="s">
        <v>77</v>
      </c>
      <c r="F370">
        <v>3</v>
      </c>
      <c r="G370" s="3">
        <v>0.45</v>
      </c>
      <c r="H370" s="3">
        <v>0.57</v>
      </c>
      <c r="I370" s="3">
        <f>H370-G370</f>
      </c>
      <c r="J370" s="3">
        <f>I370*16.67%</f>
      </c>
      <c r="K370" s="3">
        <f>H370/100*11</f>
      </c>
      <c r="L370" s="3">
        <v>8.99</v>
      </c>
      <c r="M370" s="3">
        <v>0</v>
      </c>
      <c r="N370" s="3">
        <f>M370*20%</f>
      </c>
      <c r="O370" s="3">
        <v>1</v>
      </c>
      <c r="P370" s="3">
        <f>I370-J370-K370-L370-M370-N370-O370</f>
      </c>
      <c r="Q370" s="3">
        <f>(P370-Y370)/G370*100</f>
      </c>
      <c r="R370" s="3">
        <f>J370-N370</f>
      </c>
      <c r="S370" t="s">
        <v>1</v>
      </c>
      <c r="T370" t="s">
        <v>176</v>
      </c>
      <c r="Z370" s="3">
        <f>P370-Y370</f>
      </c>
      <c r="AA370" t="s">
        <v>1</v>
      </c>
      <c r="AB370" t="s">
        <v>1</v>
      </c>
    </row>
    <row r="371" spans="1:28" x14ac:dyDescent="0.25">
      <c r="A371" s="7">
        <v>46165.5</v>
      </c>
      <c r="B371" t="s">
        <v>1370</v>
      </c>
      <c r="C371" t="s">
        <v>253</v>
      </c>
      <c r="D371" s="8" t="s">
        <v>1</v>
      </c>
      <c r="E371" t="s">
        <v>57</v>
      </c>
      <c r="F371">
        <v>4</v>
      </c>
      <c r="G371" s="3">
        <v>3.2</v>
      </c>
      <c r="H371" s="3">
        <v>4.13</v>
      </c>
      <c r="I371" s="3">
        <f>H371-G371</f>
      </c>
      <c r="J371" s="3">
        <f>I371*16.67%</f>
      </c>
      <c r="K371" s="3">
        <f>H371/100*11</f>
      </c>
      <c r="L371" s="3">
        <v>8.99</v>
      </c>
      <c r="M371" s="3">
        <v>0</v>
      </c>
      <c r="N371" s="3">
        <f>M371*20%</f>
      </c>
      <c r="O371" s="3">
        <v>1</v>
      </c>
      <c r="P371" s="3">
        <f>I371-J371-K371-L371-M371-N371-O371</f>
      </c>
      <c r="Q371" s="3">
        <f>(P371-Y371)/G371*100</f>
      </c>
      <c r="R371" s="3">
        <f>J371-N371</f>
      </c>
      <c r="S371" t="s">
        <v>1</v>
      </c>
      <c r="T371" t="s">
        <v>253</v>
      </c>
      <c r="Z371" s="3">
        <f>P371-Y371</f>
      </c>
      <c r="AA371" t="s">
        <v>1</v>
      </c>
      <c r="AB371" t="s">
        <v>1</v>
      </c>
    </row>
    <row r="372" spans="1:28" x14ac:dyDescent="0.25">
      <c r="A372" s="7">
        <v>46165.5</v>
      </c>
      <c r="B372" t="s">
        <v>1371</v>
      </c>
      <c r="C372" t="s">
        <v>184</v>
      </c>
      <c r="D372" s="8" t="s">
        <v>1</v>
      </c>
      <c r="E372" t="s">
        <v>101</v>
      </c>
      <c r="F372">
        <v>3</v>
      </c>
      <c r="G372" s="3">
        <v>3.6</v>
      </c>
      <c r="H372" s="3">
        <v>4.61</v>
      </c>
      <c r="I372" s="3">
        <f>H372-G372</f>
      </c>
      <c r="J372" s="3">
        <f>I372*16.67%</f>
      </c>
      <c r="K372" s="3">
        <f>H372/100*11</f>
      </c>
      <c r="L372" s="3">
        <v>8.99</v>
      </c>
      <c r="M372" s="3">
        <v>0</v>
      </c>
      <c r="N372" s="3">
        <f>M372*20%</f>
      </c>
      <c r="O372" s="3">
        <v>1</v>
      </c>
      <c r="P372" s="3">
        <f>I372-J372-K372-L372-M372-N372-O372</f>
      </c>
      <c r="Q372" s="3">
        <f>(P372-Y372)/G372*100</f>
      </c>
      <c r="R372" s="3">
        <f>J372-N372</f>
      </c>
      <c r="S372" t="s">
        <v>1</v>
      </c>
      <c r="T372" t="s">
        <v>184</v>
      </c>
      <c r="Z372" s="3">
        <f>P372-Y372</f>
      </c>
      <c r="AA372" t="s">
        <v>1</v>
      </c>
      <c r="AB372" t="s">
        <v>1</v>
      </c>
    </row>
    <row r="373" spans="1:28" x14ac:dyDescent="0.25">
      <c r="A373" s="7">
        <v>46164.5</v>
      </c>
      <c r="B373" t="s">
        <v>1372</v>
      </c>
      <c r="C373" t="s">
        <v>1</v>
      </c>
      <c r="D373" s="8" t="s">
        <v>1373</v>
      </c>
      <c r="E373" t="s">
        <v>77</v>
      </c>
      <c r="F373">
        <v>1</v>
      </c>
      <c r="G373" s="3">
        <v>667</v>
      </c>
      <c r="H373" s="3">
        <v>840.42</v>
      </c>
      <c r="I373" s="3">
        <f>H373-G373</f>
      </c>
      <c r="J373" s="3">
        <f>I373*16.67%</f>
      </c>
      <c r="K373" s="3">
        <f>H373/100*11</f>
      </c>
      <c r="L373" s="3">
        <v>8.99</v>
      </c>
      <c r="M373" s="3">
        <v>0</v>
      </c>
      <c r="N373" s="3">
        <f>M373*20%</f>
      </c>
      <c r="O373" s="3">
        <v>1</v>
      </c>
      <c r="P373" s="3">
        <f>I373-J373-K373-L373-M373-N373-O373</f>
      </c>
      <c r="Q373" s="3">
        <f>(P373-Y373)/G373*100</f>
      </c>
      <c r="R373" s="3">
        <f>J373-N373</f>
      </c>
      <c r="S373" t="s">
        <v>1</v>
      </c>
      <c r="T373" t="s">
        <v>83</v>
      </c>
      <c r="Z373" s="3">
        <f>P373-Y373</f>
      </c>
      <c r="AA373" t="s">
        <v>59</v>
      </c>
      <c r="AB373" t="s">
        <v>69</v>
      </c>
    </row>
    <row r="374" spans="1:28" x14ac:dyDescent="0.25">
      <c r="A374" s="7">
        <v>46164.5</v>
      </c>
      <c r="B374" t="s">
        <v>1374</v>
      </c>
      <c r="C374" t="s">
        <v>1</v>
      </c>
      <c r="D374" s="8" t="s">
        <v>1375</v>
      </c>
      <c r="E374" t="s">
        <v>72</v>
      </c>
      <c r="F374">
        <v>1</v>
      </c>
      <c r="G374" s="3">
        <v>330</v>
      </c>
      <c r="H374" s="3">
        <v>465.3</v>
      </c>
      <c r="I374" s="3">
        <f>H374-G374</f>
      </c>
      <c r="J374" s="3">
        <f>I374*16.67%</f>
      </c>
      <c r="K374" s="3">
        <f>H374/100*11</f>
      </c>
      <c r="L374" s="3">
        <v>8.99</v>
      </c>
      <c r="M374" s="3">
        <v>0</v>
      </c>
      <c r="N374" s="3">
        <f>M374*20%</f>
      </c>
      <c r="O374" s="3">
        <v>1</v>
      </c>
      <c r="P374" s="3">
        <f>I374-J374-K374-L374-M374-N374-O374</f>
      </c>
      <c r="Q374" s="3">
        <f>(P374-Y374)/G374*100</f>
      </c>
      <c r="R374" s="3">
        <f>J374-N374</f>
      </c>
      <c r="S374" t="s">
        <v>1</v>
      </c>
      <c r="T374" t="s">
        <v>73</v>
      </c>
      <c r="Z374" s="3">
        <f>P374-Y374</f>
      </c>
      <c r="AA374" t="s">
        <v>59</v>
      </c>
      <c r="AB374" t="s">
        <v>74</v>
      </c>
    </row>
    <row r="375" spans="1:28" x14ac:dyDescent="0.25">
      <c r="A375" s="7">
        <v>46164.5</v>
      </c>
      <c r="B375" t="s">
        <v>1376</v>
      </c>
      <c r="C375" t="s">
        <v>1</v>
      </c>
      <c r="D375" s="8" t="s">
        <v>1377</v>
      </c>
      <c r="E375" t="s">
        <v>72</v>
      </c>
      <c r="F375">
        <v>1</v>
      </c>
      <c r="G375" s="3">
        <v>155</v>
      </c>
      <c r="H375" s="3">
        <v>195.3</v>
      </c>
      <c r="I375" s="3">
        <f>H375-G375</f>
      </c>
      <c r="J375" s="3">
        <f>I375*16.67%</f>
      </c>
      <c r="K375" s="3">
        <f>H375/100*11</f>
      </c>
      <c r="L375" s="3">
        <v>8.99</v>
      </c>
      <c r="M375" s="3">
        <v>0</v>
      </c>
      <c r="N375" s="3">
        <f>M375*20%</f>
      </c>
      <c r="O375" s="3">
        <v>1</v>
      </c>
      <c r="P375" s="3">
        <f>I375-J375-K375-L375-M375-N375-O375</f>
      </c>
      <c r="Q375" s="3">
        <f>(P375-Y375)/G375*100</f>
      </c>
      <c r="R375" s="3">
        <f>J375-N375</f>
      </c>
      <c r="S375" t="s">
        <v>1</v>
      </c>
      <c r="T375" t="s">
        <v>291</v>
      </c>
      <c r="Z375" s="3">
        <f>P375-Y375</f>
      </c>
      <c r="AA375" t="s">
        <v>125</v>
      </c>
      <c r="AB375" t="s">
        <v>74</v>
      </c>
    </row>
    <row r="376" spans="1:28" x14ac:dyDescent="0.25">
      <c r="A376" s="7">
        <v>46164.5</v>
      </c>
      <c r="B376" t="s">
        <v>1378</v>
      </c>
      <c r="C376" t="s">
        <v>1</v>
      </c>
      <c r="D376" s="8" t="s">
        <v>1379</v>
      </c>
      <c r="E376" t="s">
        <v>63</v>
      </c>
      <c r="F376">
        <v>1</v>
      </c>
      <c r="G376" s="3">
        <v>126</v>
      </c>
      <c r="H376" s="3">
        <v>161.28</v>
      </c>
      <c r="I376" s="3">
        <f>H376-G376</f>
      </c>
      <c r="J376" s="3">
        <f>I376*16.67%</f>
      </c>
      <c r="K376" s="3">
        <f>H376/100*11</f>
      </c>
      <c r="L376" s="3">
        <v>8.99</v>
      </c>
      <c r="M376" s="3">
        <v>0</v>
      </c>
      <c r="N376" s="3">
        <f>M376*20%</f>
      </c>
      <c r="O376" s="3">
        <v>1</v>
      </c>
      <c r="P376" s="3">
        <f>I376-J376-K376-L376-M376-N376-O376</f>
      </c>
      <c r="Q376" s="3">
        <f>(P376-Y376)/G376*100</f>
      </c>
      <c r="R376" s="3">
        <f>J376-N376</f>
      </c>
      <c r="S376" t="s">
        <v>1</v>
      </c>
      <c r="T376" t="s">
        <v>90</v>
      </c>
      <c r="Z376" s="3">
        <f>P376-Y376</f>
      </c>
      <c r="AA376" t="s">
        <v>94</v>
      </c>
      <c r="AB376" t="s">
        <v>74</v>
      </c>
    </row>
    <row r="377" spans="1:28" x14ac:dyDescent="0.25">
      <c r="A377" s="7">
        <v>46164.5</v>
      </c>
      <c r="B377" t="s">
        <v>1380</v>
      </c>
      <c r="C377" t="s">
        <v>1</v>
      </c>
      <c r="D377" s="8" t="s">
        <v>1381</v>
      </c>
      <c r="E377" t="s">
        <v>63</v>
      </c>
      <c r="F377">
        <v>1</v>
      </c>
      <c r="G377" s="3">
        <v>367</v>
      </c>
      <c r="H377" s="3">
        <v>462.42</v>
      </c>
      <c r="I377" s="3">
        <f>H377-G377</f>
      </c>
      <c r="J377" s="3">
        <f>I377*16.67%</f>
      </c>
      <c r="K377" s="3">
        <f>H377/100*11</f>
      </c>
      <c r="L377" s="3">
        <v>8.99</v>
      </c>
      <c r="M377" s="3">
        <v>0</v>
      </c>
      <c r="N377" s="3">
        <f>M377*20%</f>
      </c>
      <c r="O377" s="3">
        <v>1</v>
      </c>
      <c r="P377" s="3">
        <f>I377-J377-K377-L377-M377-N377-O377</f>
      </c>
      <c r="Q377" s="3">
        <f>(P377-Y377)/G377*100</f>
      </c>
      <c r="R377" s="3">
        <f>J377-N377</f>
      </c>
      <c r="S377" t="s">
        <v>1</v>
      </c>
      <c r="T377" t="s">
        <v>138</v>
      </c>
      <c r="Z377" s="3">
        <f>P377-Y377</f>
      </c>
      <c r="AA377" t="s">
        <v>59</v>
      </c>
      <c r="AB377" t="s">
        <v>60</v>
      </c>
    </row>
    <row r="378" spans="1:28" x14ac:dyDescent="0.25">
      <c r="A378" s="7">
        <v>46163.5</v>
      </c>
      <c r="B378" t="s">
        <v>1382</v>
      </c>
      <c r="C378" t="s">
        <v>1</v>
      </c>
      <c r="D378" s="8" t="s">
        <v>1383</v>
      </c>
      <c r="E378" t="s">
        <v>72</v>
      </c>
      <c r="F378">
        <v>1</v>
      </c>
      <c r="G378" s="3">
        <v>429</v>
      </c>
      <c r="H378" s="3">
        <v>613.47</v>
      </c>
      <c r="I378" s="3">
        <f>H378-G378</f>
      </c>
      <c r="J378" s="3">
        <f>I378*16.67%</f>
      </c>
      <c r="K378" s="3">
        <f>H378/100*11</f>
      </c>
      <c r="L378" s="3">
        <v>8.99</v>
      </c>
      <c r="M378" s="3">
        <v>0</v>
      </c>
      <c r="N378" s="3">
        <f>M378*20%</f>
      </c>
      <c r="O378" s="3">
        <v>1</v>
      </c>
      <c r="P378" s="3">
        <f>I378-J378-K378-L378-M378-N378-O378</f>
      </c>
      <c r="Q378" s="3">
        <f>(P378-Y378)/G378*100</f>
      </c>
      <c r="R378" s="3">
        <f>J378-N378</f>
      </c>
      <c r="S378" t="s">
        <v>1</v>
      </c>
      <c r="T378" t="s">
        <v>58</v>
      </c>
      <c r="Z378" s="3">
        <f>P378-Y378</f>
      </c>
      <c r="AA378" t="s">
        <v>59</v>
      </c>
      <c r="AB378" t="s">
        <v>98</v>
      </c>
    </row>
    <row r="379" spans="1:28" x14ac:dyDescent="0.25">
      <c r="A379" s="7">
        <v>46163.5</v>
      </c>
      <c r="B379" t="s">
        <v>1384</v>
      </c>
      <c r="C379" t="s">
        <v>1</v>
      </c>
      <c r="D379" s="8" t="s">
        <v>1385</v>
      </c>
      <c r="E379" t="s">
        <v>101</v>
      </c>
      <c r="F379">
        <v>1</v>
      </c>
      <c r="G379" s="3">
        <v>244</v>
      </c>
      <c r="H379" s="3">
        <v>341.6</v>
      </c>
      <c r="I379" s="3">
        <f>H379-G379</f>
      </c>
      <c r="J379" s="3">
        <f>I379*16.67%</f>
      </c>
      <c r="K379" s="3">
        <f>H379/100*11</f>
      </c>
      <c r="L379" s="3">
        <v>8.99</v>
      </c>
      <c r="M379" s="3">
        <v>0</v>
      </c>
      <c r="N379" s="3">
        <f>M379*20%</f>
      </c>
      <c r="O379" s="3">
        <v>1</v>
      </c>
      <c r="P379" s="3">
        <f>I379-J379-K379-L379-M379-N379-O379</f>
      </c>
      <c r="Q379" s="3">
        <f>(P379-Y379)/G379*100</f>
      </c>
      <c r="R379" s="3">
        <f>J379-N379</f>
      </c>
      <c r="S379" t="s">
        <v>1</v>
      </c>
      <c r="T379" t="s">
        <v>113</v>
      </c>
      <c r="Z379" s="3">
        <f>P379-Y379</f>
      </c>
      <c r="AA379" t="s">
        <v>59</v>
      </c>
      <c r="AB379" t="s">
        <v>60</v>
      </c>
    </row>
    <row r="380" spans="1:28" x14ac:dyDescent="0.25">
      <c r="A380" s="7">
        <v>46163.5</v>
      </c>
      <c r="B380" t="s">
        <v>1386</v>
      </c>
      <c r="C380" t="s">
        <v>1</v>
      </c>
      <c r="D380" s="8" t="s">
        <v>1387</v>
      </c>
      <c r="E380" t="s">
        <v>77</v>
      </c>
      <c r="F380">
        <v>1</v>
      </c>
      <c r="G380" s="3">
        <v>229</v>
      </c>
      <c r="H380" s="3">
        <v>277.09</v>
      </c>
      <c r="I380" s="3">
        <f>H380-G380</f>
      </c>
      <c r="J380" s="3">
        <f>I380*16.67%</f>
      </c>
      <c r="K380" s="3">
        <f>H380/100*11</f>
      </c>
      <c r="L380" s="3">
        <v>8.99</v>
      </c>
      <c r="M380" s="3">
        <v>0</v>
      </c>
      <c r="N380" s="3">
        <f>M380*20%</f>
      </c>
      <c r="O380" s="3">
        <v>1</v>
      </c>
      <c r="P380" s="3">
        <f>I380-J380-K380-L380-M380-N380-O380</f>
      </c>
      <c r="Q380" s="3">
        <f>(P380-Y380)/G380*100</f>
      </c>
      <c r="R380" s="3">
        <f>J380-N380</f>
      </c>
      <c r="S380" t="s">
        <v>1</v>
      </c>
      <c r="T380" t="s">
        <v>64</v>
      </c>
      <c r="Z380" s="3">
        <f>P380-Y380</f>
      </c>
      <c r="AA380" t="s">
        <v>65</v>
      </c>
      <c r="AB380" t="s">
        <v>84</v>
      </c>
    </row>
    <row r="381" spans="1:28" x14ac:dyDescent="0.25">
      <c r="A381" s="7">
        <v>46163.5</v>
      </c>
      <c r="B381" t="s">
        <v>1388</v>
      </c>
      <c r="C381" t="s">
        <v>1</v>
      </c>
      <c r="D381" s="8" t="s">
        <v>1389</v>
      </c>
      <c r="E381" t="s">
        <v>63</v>
      </c>
      <c r="F381">
        <v>1</v>
      </c>
      <c r="G381" s="3">
        <v>195</v>
      </c>
      <c r="H381" s="3">
        <v>237.9</v>
      </c>
      <c r="I381" s="3">
        <f>H381-G381</f>
      </c>
      <c r="J381" s="3">
        <f>I381*16.67%</f>
      </c>
      <c r="K381" s="3">
        <f>H381/100*11</f>
      </c>
      <c r="L381" s="3">
        <v>8.99</v>
      </c>
      <c r="M381" s="3">
        <v>0</v>
      </c>
      <c r="N381" s="3">
        <f>M381*20%</f>
      </c>
      <c r="O381" s="3">
        <v>1</v>
      </c>
      <c r="P381" s="3">
        <f>I381-J381-K381-L381-M381-N381-O381</f>
      </c>
      <c r="Q381" s="3">
        <f>(P381-Y381)/G381*100</f>
      </c>
      <c r="R381" s="3">
        <f>J381-N381</f>
      </c>
      <c r="S381" t="s">
        <v>1</v>
      </c>
      <c r="T381" t="s">
        <v>291</v>
      </c>
      <c r="Z381" s="3">
        <f>P381-Y381</f>
      </c>
      <c r="AA381" t="s">
        <v>125</v>
      </c>
      <c r="AB381" t="s">
        <v>60</v>
      </c>
    </row>
    <row r="382" spans="1:28" x14ac:dyDescent="0.25">
      <c r="A382" s="7">
        <v>46163.5</v>
      </c>
      <c r="B382" t="s">
        <v>1390</v>
      </c>
      <c r="C382" t="s">
        <v>1</v>
      </c>
      <c r="D382" s="8" t="s">
        <v>1391</v>
      </c>
      <c r="E382" t="s">
        <v>63</v>
      </c>
      <c r="F382">
        <v>1</v>
      </c>
      <c r="G382" s="3">
        <v>208</v>
      </c>
      <c r="H382" s="3">
        <v>260</v>
      </c>
      <c r="I382" s="3">
        <f>H382-G382</f>
      </c>
      <c r="J382" s="3">
        <f>I382*16.67%</f>
      </c>
      <c r="K382" s="3">
        <f>H382/100*11</f>
      </c>
      <c r="L382" s="3">
        <v>8.99</v>
      </c>
      <c r="M382" s="3">
        <v>0</v>
      </c>
      <c r="N382" s="3">
        <f>M382*20%</f>
      </c>
      <c r="O382" s="3">
        <v>1</v>
      </c>
      <c r="P382" s="3">
        <f>I382-J382-K382-L382-M382-N382-O382</f>
      </c>
      <c r="Q382" s="3">
        <f>(P382-Y382)/G382*100</f>
      </c>
      <c r="R382" s="3">
        <f>J382-N382</f>
      </c>
      <c r="S382" t="s">
        <v>1</v>
      </c>
      <c r="T382" t="s">
        <v>291</v>
      </c>
      <c r="Z382" s="3">
        <f>P382-Y382</f>
      </c>
      <c r="AA382" t="s">
        <v>125</v>
      </c>
      <c r="AB382" t="s">
        <v>84</v>
      </c>
    </row>
    <row r="383" spans="1:28" x14ac:dyDescent="0.25">
      <c r="A383" s="9">
        <v>46163.5</v>
      </c>
      <c r="B383" s="10" t="s">
        <v>1392</v>
      </c>
      <c r="C383" s="10" t="s">
        <v>1</v>
      </c>
      <c r="D383" s="11" t="s">
        <v>1393</v>
      </c>
      <c r="E383" s="10" t="s">
        <v>63</v>
      </c>
      <c r="F383" s="10">
        <v>1</v>
      </c>
      <c r="G383" s="12">
        <v>347</v>
      </c>
      <c r="H383" s="12">
        <v>423.34</v>
      </c>
      <c r="I383" s="12">
        <f>H383-G383</f>
      </c>
      <c r="J383" s="12">
        <f>I383*16.67%</f>
      </c>
      <c r="K383" s="12">
        <f>H383/100*11</f>
      </c>
      <c r="L383" s="12">
        <v>8.99</v>
      </c>
      <c r="M383" s="12">
        <v>0</v>
      </c>
      <c r="N383" s="12">
        <f>M383*20%</f>
      </c>
      <c r="O383" s="12">
        <v>1</v>
      </c>
      <c r="P383" s="12">
        <f>I383-J383-K383-L383-M383-N383-O383</f>
      </c>
      <c r="Q383" s="12">
        <f>(P383-Y383)/G383*100</f>
      </c>
      <c r="R383" s="12">
        <f>J383-N383</f>
      </c>
      <c r="S383" s="10" t="s">
        <v>1</v>
      </c>
      <c r="T383" s="10" t="s">
        <v>73</v>
      </c>
      <c r="U383" s="9">
        <v>46237.5</v>
      </c>
      <c r="V383" s="10" t="s">
        <v>669</v>
      </c>
      <c r="W383" s="10" t="s">
        <v>670</v>
      </c>
      <c r="X383" s="10">
        <v>2</v>
      </c>
      <c r="Y383" s="10"/>
      <c r="Z383" s="12">
        <f>P383-Y383</f>
      </c>
      <c r="AA383" s="10" t="s">
        <v>59</v>
      </c>
      <c r="AB383" s="10" t="s">
        <v>74</v>
      </c>
    </row>
    <row r="384" spans="1:28" x14ac:dyDescent="0.25">
      <c r="A384" s="7">
        <v>46163.5</v>
      </c>
      <c r="B384" t="s">
        <v>1394</v>
      </c>
      <c r="C384" t="s">
        <v>253</v>
      </c>
      <c r="D384" s="8" t="s">
        <v>1</v>
      </c>
      <c r="E384" t="s">
        <v>57</v>
      </c>
      <c r="F384">
        <v>3</v>
      </c>
      <c r="G384" s="3">
        <v>2.4</v>
      </c>
      <c r="H384" s="3">
        <v>3.17</v>
      </c>
      <c r="I384" s="3">
        <f>H384-G384</f>
      </c>
      <c r="J384" s="3">
        <f>I384*16.67%</f>
      </c>
      <c r="K384" s="3">
        <f>H384/100*11</f>
      </c>
      <c r="L384" s="3">
        <v>8.99</v>
      </c>
      <c r="M384" s="3">
        <v>0</v>
      </c>
      <c r="N384" s="3">
        <f>M384*20%</f>
      </c>
      <c r="O384" s="3">
        <v>1</v>
      </c>
      <c r="P384" s="3">
        <f>I384-J384-K384-L384-M384-N384-O384</f>
      </c>
      <c r="Q384" s="3">
        <f>(P384-Y384)/G384*100</f>
      </c>
      <c r="R384" s="3">
        <f>J384-N384</f>
      </c>
      <c r="S384" t="s">
        <v>1</v>
      </c>
      <c r="T384" t="s">
        <v>253</v>
      </c>
      <c r="Z384" s="3">
        <f>P384-Y384</f>
      </c>
      <c r="AA384" t="s">
        <v>1</v>
      </c>
      <c r="AB384" t="s">
        <v>1</v>
      </c>
    </row>
    <row r="385" spans="1:28" x14ac:dyDescent="0.25">
      <c r="A385" s="7">
        <v>46162.5</v>
      </c>
      <c r="B385" t="s">
        <v>1395</v>
      </c>
      <c r="C385" t="s">
        <v>253</v>
      </c>
      <c r="D385" s="8" t="s">
        <v>1</v>
      </c>
      <c r="E385" t="s">
        <v>57</v>
      </c>
      <c r="F385">
        <v>2</v>
      </c>
      <c r="G385" s="3">
        <v>1.6</v>
      </c>
      <c r="H385" s="3">
        <v>1.89</v>
      </c>
      <c r="I385" s="3">
        <f>H385-G385</f>
      </c>
      <c r="J385" s="3">
        <f>I385*16.67%</f>
      </c>
      <c r="K385" s="3">
        <f>H385/100*11</f>
      </c>
      <c r="L385" s="3">
        <v>8.99</v>
      </c>
      <c r="M385" s="3">
        <v>0</v>
      </c>
      <c r="N385" s="3">
        <f>M385*20%</f>
      </c>
      <c r="O385" s="3">
        <v>1</v>
      </c>
      <c r="P385" s="3">
        <f>I385-J385-K385-L385-M385-N385-O385</f>
      </c>
      <c r="Q385" s="3">
        <f>(P385-Y385)/G385*100</f>
      </c>
      <c r="R385" s="3">
        <f>J385-N385</f>
      </c>
      <c r="S385" t="s">
        <v>1</v>
      </c>
      <c r="T385" t="s">
        <v>253</v>
      </c>
      <c r="Z385" s="3">
        <f>P385-Y385</f>
      </c>
      <c r="AA385" t="s">
        <v>1</v>
      </c>
      <c r="AB385" t="s">
        <v>1</v>
      </c>
    </row>
    <row r="386" spans="1:28" x14ac:dyDescent="0.25">
      <c r="A386" s="7">
        <v>46162.5</v>
      </c>
      <c r="B386" t="s">
        <v>1396</v>
      </c>
      <c r="C386" t="s">
        <v>181</v>
      </c>
      <c r="D386" s="8" t="s">
        <v>1</v>
      </c>
      <c r="E386" t="s">
        <v>72</v>
      </c>
      <c r="F386">
        <v>3</v>
      </c>
      <c r="G386" s="3">
        <v>5.7</v>
      </c>
      <c r="H386" s="3">
        <v>6.67</v>
      </c>
      <c r="I386" s="3">
        <f>H386-G386</f>
      </c>
      <c r="J386" s="3">
        <f>I386*16.67%</f>
      </c>
      <c r="K386" s="3">
        <f>H386/100*11</f>
      </c>
      <c r="L386" s="3">
        <v>8.99</v>
      </c>
      <c r="M386" s="3">
        <v>0</v>
      </c>
      <c r="N386" s="3">
        <f>M386*20%</f>
      </c>
      <c r="O386" s="3">
        <v>1</v>
      </c>
      <c r="P386" s="3">
        <f>I386-J386-K386-L386-M386-N386-O386</f>
      </c>
      <c r="Q386" s="3">
        <f>(P386-Y386)/G386*100</f>
      </c>
      <c r="R386" s="3">
        <f>J386-N386</f>
      </c>
      <c r="S386" t="s">
        <v>1</v>
      </c>
      <c r="T386" t="s">
        <v>181</v>
      </c>
      <c r="Z386" s="3">
        <f>P386-Y386</f>
      </c>
      <c r="AA386" t="s">
        <v>1</v>
      </c>
      <c r="AB386" t="s">
        <v>1</v>
      </c>
    </row>
    <row r="387" spans="1:28" x14ac:dyDescent="0.25">
      <c r="A387" s="7">
        <v>46162.5</v>
      </c>
      <c r="B387" t="s">
        <v>1397</v>
      </c>
      <c r="C387" t="s">
        <v>184</v>
      </c>
      <c r="D387" s="8" t="s">
        <v>1</v>
      </c>
      <c r="E387" t="s">
        <v>101</v>
      </c>
      <c r="F387">
        <v>1</v>
      </c>
      <c r="G387" s="3">
        <v>1.2</v>
      </c>
      <c r="H387" s="3">
        <v>1.4</v>
      </c>
      <c r="I387" s="3">
        <f>H387-G387</f>
      </c>
      <c r="J387" s="3">
        <f>I387*16.67%</f>
      </c>
      <c r="K387" s="3">
        <f>H387/100*11</f>
      </c>
      <c r="L387" s="3">
        <v>8.99</v>
      </c>
      <c r="M387" s="3">
        <v>0</v>
      </c>
      <c r="N387" s="3">
        <f>M387*20%</f>
      </c>
      <c r="O387" s="3">
        <v>1</v>
      </c>
      <c r="P387" s="3">
        <f>I387-J387-K387-L387-M387-N387-O387</f>
      </c>
      <c r="Q387" s="3">
        <f>(P387-Y387)/G387*100</f>
      </c>
      <c r="R387" s="3">
        <f>J387-N387</f>
      </c>
      <c r="S387" t="s">
        <v>1</v>
      </c>
      <c r="T387" t="s">
        <v>184</v>
      </c>
      <c r="Z387" s="3">
        <f>P387-Y387</f>
      </c>
      <c r="AA387" t="s">
        <v>1</v>
      </c>
      <c r="AB387" t="s">
        <v>1</v>
      </c>
    </row>
    <row r="388" spans="1:28" x14ac:dyDescent="0.25">
      <c r="A388" s="7">
        <v>46161.5</v>
      </c>
      <c r="B388" t="s">
        <v>1398</v>
      </c>
      <c r="C388" t="s">
        <v>1</v>
      </c>
      <c r="D388" s="8" t="s">
        <v>1399</v>
      </c>
      <c r="E388" t="s">
        <v>63</v>
      </c>
      <c r="F388">
        <v>1</v>
      </c>
      <c r="G388" s="3">
        <v>255</v>
      </c>
      <c r="H388" s="3">
        <v>318.75</v>
      </c>
      <c r="I388" s="3">
        <f>H388-G388</f>
      </c>
      <c r="J388" s="3">
        <f>I388*16.67%</f>
      </c>
      <c r="K388" s="3">
        <f>H388/100*11</f>
      </c>
      <c r="L388" s="3">
        <v>8.99</v>
      </c>
      <c r="M388" s="3">
        <v>0</v>
      </c>
      <c r="N388" s="3">
        <f>M388*20%</f>
      </c>
      <c r="O388" s="3">
        <v>1</v>
      </c>
      <c r="P388" s="3">
        <f>I388-J388-K388-L388-M388-N388-O388</f>
      </c>
      <c r="Q388" s="3">
        <f>(P388-Y388)/G388*100</f>
      </c>
      <c r="R388" s="3">
        <f>J388-N388</f>
      </c>
      <c r="S388" t="s">
        <v>1</v>
      </c>
      <c r="T388" t="s">
        <v>113</v>
      </c>
      <c r="Z388" s="3">
        <f>P388-Y388</f>
      </c>
      <c r="AA388" t="s">
        <v>94</v>
      </c>
      <c r="AB388" t="s">
        <v>60</v>
      </c>
    </row>
    <row r="389" spans="1:28" x14ac:dyDescent="0.25">
      <c r="A389" s="7">
        <v>46161.5</v>
      </c>
      <c r="B389" t="s">
        <v>1400</v>
      </c>
      <c r="C389" t="s">
        <v>1</v>
      </c>
      <c r="D389" s="8" t="s">
        <v>1401</v>
      </c>
      <c r="E389" t="s">
        <v>72</v>
      </c>
      <c r="F389">
        <v>1</v>
      </c>
      <c r="G389" s="3">
        <v>105</v>
      </c>
      <c r="H389" s="3">
        <v>147</v>
      </c>
      <c r="I389" s="3">
        <f>H389-G389</f>
      </c>
      <c r="J389" s="3">
        <f>I389*16.67%</f>
      </c>
      <c r="K389" s="3">
        <f>H389/100*11</f>
      </c>
      <c r="L389" s="3">
        <v>8.99</v>
      </c>
      <c r="M389" s="3">
        <v>0</v>
      </c>
      <c r="N389" s="3">
        <f>M389*20%</f>
      </c>
      <c r="O389" s="3">
        <v>1</v>
      </c>
      <c r="P389" s="3">
        <f>I389-J389-K389-L389-M389-N389-O389</f>
      </c>
      <c r="Q389" s="3">
        <f>(P389-Y389)/G389*100</f>
      </c>
      <c r="R389" s="3">
        <f>J389-N389</f>
      </c>
      <c r="S389" t="s">
        <v>1</v>
      </c>
      <c r="T389" t="s">
        <v>90</v>
      </c>
      <c r="Z389" s="3">
        <f>P389-Y389</f>
      </c>
      <c r="AA389" t="s">
        <v>65</v>
      </c>
      <c r="AB389" t="s">
        <v>60</v>
      </c>
    </row>
    <row r="390" spans="1:28" x14ac:dyDescent="0.25">
      <c r="A390" s="7">
        <v>46160.5</v>
      </c>
      <c r="B390" t="s">
        <v>1402</v>
      </c>
      <c r="C390" t="s">
        <v>1</v>
      </c>
      <c r="D390" s="8" t="s">
        <v>1403</v>
      </c>
      <c r="E390" t="s">
        <v>101</v>
      </c>
      <c r="F390">
        <v>1</v>
      </c>
      <c r="G390" s="3">
        <v>206</v>
      </c>
      <c r="H390" s="3">
        <v>238.96</v>
      </c>
      <c r="I390" s="3">
        <f>H390-G390</f>
      </c>
      <c r="J390" s="3">
        <f>I390*16.67%</f>
      </c>
      <c r="K390" s="3">
        <f>H390/100*11</f>
      </c>
      <c r="L390" s="3">
        <v>8.99</v>
      </c>
      <c r="M390" s="3">
        <v>0</v>
      </c>
      <c r="N390" s="3">
        <f>M390*20%</f>
      </c>
      <c r="O390" s="3">
        <v>1</v>
      </c>
      <c r="P390" s="3">
        <f>I390-J390-K390-L390-M390-N390-O390</f>
      </c>
      <c r="Q390" s="3">
        <f>(P390-Y390)/G390*100</f>
      </c>
      <c r="R390" s="3">
        <f>J390-N390</f>
      </c>
      <c r="S390" t="s">
        <v>1</v>
      </c>
      <c r="T390" t="s">
        <v>113</v>
      </c>
      <c r="Z390" s="3">
        <f>P390-Y390</f>
      </c>
      <c r="AA390" t="s">
        <v>94</v>
      </c>
      <c r="AB390" t="s">
        <v>74</v>
      </c>
    </row>
    <row r="391" spans="1:28" x14ac:dyDescent="0.25">
      <c r="A391" s="7">
        <v>46160.5</v>
      </c>
      <c r="B391" t="s">
        <v>1404</v>
      </c>
      <c r="C391" t="s">
        <v>1</v>
      </c>
      <c r="D391" s="8" t="s">
        <v>1405</v>
      </c>
      <c r="E391" t="s">
        <v>57</v>
      </c>
      <c r="F391">
        <v>1</v>
      </c>
      <c r="G391" s="3">
        <v>222</v>
      </c>
      <c r="H391" s="3">
        <v>281.94</v>
      </c>
      <c r="I391" s="3">
        <f>H391-G391</f>
      </c>
      <c r="J391" s="3">
        <f>I391*16.67%</f>
      </c>
      <c r="K391" s="3">
        <f>H391/100*11</f>
      </c>
      <c r="L391" s="3">
        <v>8.99</v>
      </c>
      <c r="M391" s="3">
        <v>0</v>
      </c>
      <c r="N391" s="3">
        <f>M391*20%</f>
      </c>
      <c r="O391" s="3">
        <v>1</v>
      </c>
      <c r="P391" s="3">
        <f>I391-J391-K391-L391-M391-N391-O391</f>
      </c>
      <c r="Q391" s="3">
        <f>(P391-Y391)/G391*100</f>
      </c>
      <c r="R391" s="3">
        <f>J391-N391</f>
      </c>
      <c r="S391" t="s">
        <v>1</v>
      </c>
      <c r="T391" t="s">
        <v>113</v>
      </c>
      <c r="Z391" s="3">
        <f>P391-Y391</f>
      </c>
      <c r="AA391" t="s">
        <v>59</v>
      </c>
      <c r="AB391" t="s">
        <v>87</v>
      </c>
    </row>
    <row r="392" spans="1:28" x14ac:dyDescent="0.25">
      <c r="A392" s="7">
        <v>46160.5</v>
      </c>
      <c r="B392" t="s">
        <v>1406</v>
      </c>
      <c r="C392" t="s">
        <v>184</v>
      </c>
      <c r="D392" s="8" t="s">
        <v>1</v>
      </c>
      <c r="E392" t="s">
        <v>101</v>
      </c>
      <c r="F392">
        <v>3</v>
      </c>
      <c r="G392" s="3">
        <v>3.6</v>
      </c>
      <c r="H392" s="3">
        <v>4.32</v>
      </c>
      <c r="I392" s="3">
        <f>H392-G392</f>
      </c>
      <c r="J392" s="3">
        <f>I392*16.67%</f>
      </c>
      <c r="K392" s="3">
        <f>H392/100*11</f>
      </c>
      <c r="L392" s="3">
        <v>8.99</v>
      </c>
      <c r="M392" s="3">
        <v>0</v>
      </c>
      <c r="N392" s="3">
        <f>M392*20%</f>
      </c>
      <c r="O392" s="3">
        <v>1</v>
      </c>
      <c r="P392" s="3">
        <f>I392-J392-K392-L392-M392-N392-O392</f>
      </c>
      <c r="Q392" s="3">
        <f>(P392-Y392)/G392*100</f>
      </c>
      <c r="R392" s="3">
        <f>J392-N392</f>
      </c>
      <c r="S392" t="s">
        <v>1</v>
      </c>
      <c r="T392" t="s">
        <v>184</v>
      </c>
      <c r="Z392" s="3">
        <f>P392-Y392</f>
      </c>
      <c r="AA392" t="s">
        <v>1</v>
      </c>
      <c r="AB392" t="s">
        <v>1</v>
      </c>
    </row>
    <row r="393" spans="1:28" x14ac:dyDescent="0.25">
      <c r="A393" s="7">
        <v>46159.5</v>
      </c>
      <c r="B393" t="s">
        <v>1407</v>
      </c>
      <c r="C393" t="s">
        <v>1</v>
      </c>
      <c r="D393" s="8" t="s">
        <v>1408</v>
      </c>
      <c r="E393" t="s">
        <v>63</v>
      </c>
      <c r="F393">
        <v>1</v>
      </c>
      <c r="G393" s="3">
        <v>554</v>
      </c>
      <c r="H393" s="3">
        <v>653.72</v>
      </c>
      <c r="I393" s="3">
        <f>H393-G393</f>
      </c>
      <c r="J393" s="3">
        <f>I393*16.67%</f>
      </c>
      <c r="K393" s="3">
        <f>H393/100*11</f>
      </c>
      <c r="L393" s="3">
        <v>8.99</v>
      </c>
      <c r="M393" s="3">
        <v>0</v>
      </c>
      <c r="N393" s="3">
        <f>M393*20%</f>
      </c>
      <c r="O393" s="3">
        <v>1</v>
      </c>
      <c r="P393" s="3">
        <f>I393-J393-K393-L393-M393-N393-O393</f>
      </c>
      <c r="Q393" s="3">
        <f>(P393-Y393)/G393*100</f>
      </c>
      <c r="R393" s="3">
        <f>J393-N393</f>
      </c>
      <c r="S393" t="s">
        <v>1</v>
      </c>
      <c r="T393" t="s">
        <v>68</v>
      </c>
      <c r="Z393" s="3">
        <f>P393-Y393</f>
      </c>
      <c r="AA393" t="s">
        <v>59</v>
      </c>
      <c r="AB393" t="s">
        <v>60</v>
      </c>
    </row>
    <row r="394" spans="1:28" x14ac:dyDescent="0.25">
      <c r="A394" s="7">
        <v>46159.5</v>
      </c>
      <c r="B394" t="s">
        <v>1409</v>
      </c>
      <c r="C394" t="s">
        <v>1</v>
      </c>
      <c r="D394" s="8" t="s">
        <v>1410</v>
      </c>
      <c r="E394" t="s">
        <v>63</v>
      </c>
      <c r="F394">
        <v>1</v>
      </c>
      <c r="G394" s="3">
        <v>300</v>
      </c>
      <c r="H394" s="3">
        <v>420</v>
      </c>
      <c r="I394" s="3">
        <f>H394-G394</f>
      </c>
      <c r="J394" s="3">
        <f>I394*16.67%</f>
      </c>
      <c r="K394" s="3">
        <f>H394/100*11</f>
      </c>
      <c r="L394" s="3">
        <v>8.99</v>
      </c>
      <c r="M394" s="3">
        <v>0</v>
      </c>
      <c r="N394" s="3">
        <f>M394*20%</f>
      </c>
      <c r="O394" s="3">
        <v>1</v>
      </c>
      <c r="P394" s="3">
        <f>I394-J394-K394-L394-M394-N394-O394</f>
      </c>
      <c r="Q394" s="3">
        <f>(P394-Y394)/G394*100</f>
      </c>
      <c r="R394" s="3">
        <f>J394-N394</f>
      </c>
      <c r="S394" t="s">
        <v>1</v>
      </c>
      <c r="T394" t="s">
        <v>97</v>
      </c>
      <c r="Z394" s="3">
        <f>P394-Y394</f>
      </c>
      <c r="AA394" t="s">
        <v>59</v>
      </c>
      <c r="AB394" t="s">
        <v>104</v>
      </c>
    </row>
    <row r="395" spans="1:28" x14ac:dyDescent="0.25">
      <c r="A395" s="7">
        <v>46159.5</v>
      </c>
      <c r="B395" t="s">
        <v>1411</v>
      </c>
      <c r="C395" t="s">
        <v>1</v>
      </c>
      <c r="D395" s="8" t="s">
        <v>1412</v>
      </c>
      <c r="E395" t="s">
        <v>72</v>
      </c>
      <c r="F395">
        <v>1</v>
      </c>
      <c r="G395" s="3">
        <v>186</v>
      </c>
      <c r="H395" s="3">
        <v>245.52</v>
      </c>
      <c r="I395" s="3">
        <f>H395-G395</f>
      </c>
      <c r="J395" s="3">
        <f>I395*16.67%</f>
      </c>
      <c r="K395" s="3">
        <f>H395/100*11</f>
      </c>
      <c r="L395" s="3">
        <v>8.99</v>
      </c>
      <c r="M395" s="3">
        <v>0</v>
      </c>
      <c r="N395" s="3">
        <f>M395*20%</f>
      </c>
      <c r="O395" s="3">
        <v>1</v>
      </c>
      <c r="P395" s="3">
        <f>I395-J395-K395-L395-M395-N395-O395</f>
      </c>
      <c r="Q395" s="3">
        <f>(P395-Y395)/G395*100</f>
      </c>
      <c r="R395" s="3">
        <f>J395-N395</f>
      </c>
      <c r="S395" t="s">
        <v>1</v>
      </c>
      <c r="T395" t="s">
        <v>233</v>
      </c>
      <c r="Z395" s="3">
        <f>P395-Y395</f>
      </c>
      <c r="AA395" t="s">
        <v>65</v>
      </c>
      <c r="AB395" t="s">
        <v>104</v>
      </c>
    </row>
    <row r="396" spans="1:28" x14ac:dyDescent="0.25">
      <c r="A396" s="7">
        <v>46159.5</v>
      </c>
      <c r="B396" t="s">
        <v>1413</v>
      </c>
      <c r="C396" t="s">
        <v>1</v>
      </c>
      <c r="D396" s="8" t="s">
        <v>1414</v>
      </c>
      <c r="E396" t="s">
        <v>101</v>
      </c>
      <c r="F396">
        <v>1</v>
      </c>
      <c r="G396" s="3">
        <v>289</v>
      </c>
      <c r="H396" s="3">
        <v>407.49</v>
      </c>
      <c r="I396" s="3">
        <f>H396-G396</f>
      </c>
      <c r="J396" s="3">
        <f>I396*16.67%</f>
      </c>
      <c r="K396" s="3">
        <f>H396/100*11</f>
      </c>
      <c r="L396" s="3">
        <v>8.99</v>
      </c>
      <c r="M396" s="3">
        <v>0</v>
      </c>
      <c r="N396" s="3">
        <f>M396*20%</f>
      </c>
      <c r="O396" s="3">
        <v>1</v>
      </c>
      <c r="P396" s="3">
        <f>I396-J396-K396-L396-M396-N396-O396</f>
      </c>
      <c r="Q396" s="3">
        <f>(P396-Y396)/G396*100</f>
      </c>
      <c r="R396" s="3">
        <f>J396-N396</f>
      </c>
      <c r="S396" t="s">
        <v>1</v>
      </c>
      <c r="T396" t="s">
        <v>97</v>
      </c>
      <c r="Z396" s="3">
        <f>P396-Y396</f>
      </c>
      <c r="AA396" t="s">
        <v>59</v>
      </c>
      <c r="AB396" t="s">
        <v>104</v>
      </c>
    </row>
    <row r="397" spans="1:28" x14ac:dyDescent="0.25">
      <c r="A397" s="7">
        <v>46159.5</v>
      </c>
      <c r="B397" t="s">
        <v>1415</v>
      </c>
      <c r="C397" t="s">
        <v>1</v>
      </c>
      <c r="D397" s="8" t="s">
        <v>1416</v>
      </c>
      <c r="E397" t="s">
        <v>57</v>
      </c>
      <c r="F397">
        <v>1</v>
      </c>
      <c r="G397" s="3">
        <v>79</v>
      </c>
      <c r="H397" s="3">
        <v>91.64</v>
      </c>
      <c r="I397" s="3">
        <f>H397-G397</f>
      </c>
      <c r="J397" s="3">
        <f>I397*16.67%</f>
      </c>
      <c r="K397" s="3">
        <f>H397/100*11</f>
      </c>
      <c r="L397" s="3">
        <v>8.99</v>
      </c>
      <c r="M397" s="3">
        <v>0</v>
      </c>
      <c r="N397" s="3">
        <f>M397*20%</f>
      </c>
      <c r="O397" s="3">
        <v>1</v>
      </c>
      <c r="P397" s="3">
        <f>I397-J397-K397-L397-M397-N397-O397</f>
      </c>
      <c r="Q397" s="3">
        <f>(P397-Y397)/G397*100</f>
      </c>
      <c r="R397" s="3">
        <f>J397-N397</f>
      </c>
      <c r="S397" t="s">
        <v>1</v>
      </c>
      <c r="T397" t="s">
        <v>93</v>
      </c>
      <c r="Z397" s="3">
        <f>P397-Y397</f>
      </c>
      <c r="AA397" t="s">
        <v>94</v>
      </c>
      <c r="AB397" t="s">
        <v>87</v>
      </c>
    </row>
    <row r="398" spans="1:28" x14ac:dyDescent="0.25">
      <c r="A398" s="7">
        <v>46159.5</v>
      </c>
      <c r="B398" t="s">
        <v>1417</v>
      </c>
      <c r="C398" t="s">
        <v>1</v>
      </c>
      <c r="D398" s="8" t="s">
        <v>1418</v>
      </c>
      <c r="E398" t="s">
        <v>77</v>
      </c>
      <c r="F398">
        <v>1</v>
      </c>
      <c r="G398" s="3">
        <v>340</v>
      </c>
      <c r="H398" s="3">
        <v>455.6</v>
      </c>
      <c r="I398" s="3">
        <f>H398-G398</f>
      </c>
      <c r="J398" s="3">
        <f>I398*16.67%</f>
      </c>
      <c r="K398" s="3">
        <f>H398/100*11</f>
      </c>
      <c r="L398" s="3">
        <v>8.99</v>
      </c>
      <c r="M398" s="3">
        <v>0</v>
      </c>
      <c r="N398" s="3">
        <f>M398*20%</f>
      </c>
      <c r="O398" s="3">
        <v>1</v>
      </c>
      <c r="P398" s="3">
        <f>I398-J398-K398-L398-M398-N398-O398</f>
      </c>
      <c r="Q398" s="3">
        <f>(P398-Y398)/G398*100</f>
      </c>
      <c r="R398" s="3">
        <f>J398-N398</f>
      </c>
      <c r="S398" t="s">
        <v>1</v>
      </c>
      <c r="T398" t="s">
        <v>73</v>
      </c>
      <c r="Z398" s="3">
        <f>P398-Y398</f>
      </c>
      <c r="AA398" t="s">
        <v>59</v>
      </c>
      <c r="AB398" t="s">
        <v>74</v>
      </c>
    </row>
    <row r="399" spans="1:28" x14ac:dyDescent="0.25">
      <c r="A399" s="7">
        <v>46159.5</v>
      </c>
      <c r="B399" t="s">
        <v>1419</v>
      </c>
      <c r="C399" t="s">
        <v>173</v>
      </c>
      <c r="D399" s="8" t="s">
        <v>1</v>
      </c>
      <c r="E399" t="s">
        <v>63</v>
      </c>
      <c r="F399">
        <v>1</v>
      </c>
      <c r="G399" s="3">
        <v>4.25</v>
      </c>
      <c r="H399" s="3">
        <v>5.48</v>
      </c>
      <c r="I399" s="3">
        <f>H399-G399</f>
      </c>
      <c r="J399" s="3">
        <f>I399*16.67%</f>
      </c>
      <c r="K399" s="3">
        <f>H399/100*11</f>
      </c>
      <c r="L399" s="3">
        <v>8.99</v>
      </c>
      <c r="M399" s="3">
        <v>0</v>
      </c>
      <c r="N399" s="3">
        <f>M399*20%</f>
      </c>
      <c r="O399" s="3">
        <v>1</v>
      </c>
      <c r="P399" s="3">
        <f>I399-J399-K399-L399-M399-N399-O399</f>
      </c>
      <c r="Q399" s="3">
        <f>(P399-Y399)/G399*100</f>
      </c>
      <c r="R399" s="3">
        <f>J399-N399</f>
      </c>
      <c r="S399" t="s">
        <v>1</v>
      </c>
      <c r="T399" t="s">
        <v>173</v>
      </c>
      <c r="Z399" s="3">
        <f>P399-Y399</f>
      </c>
      <c r="AA399" t="s">
        <v>1</v>
      </c>
      <c r="AB399" t="s">
        <v>1</v>
      </c>
    </row>
    <row r="400" spans="1:28" x14ac:dyDescent="0.25">
      <c r="A400" s="7">
        <v>46158.5</v>
      </c>
      <c r="B400" t="s">
        <v>1420</v>
      </c>
      <c r="C400" t="s">
        <v>1</v>
      </c>
      <c r="D400" s="8" t="s">
        <v>1421</v>
      </c>
      <c r="E400" t="s">
        <v>57</v>
      </c>
      <c r="F400">
        <v>1</v>
      </c>
      <c r="G400" s="3">
        <v>71</v>
      </c>
      <c r="H400" s="3">
        <v>91.59</v>
      </c>
      <c r="I400" s="3">
        <f>H400-G400</f>
      </c>
      <c r="J400" s="3">
        <f>I400*16.67%</f>
      </c>
      <c r="K400" s="3">
        <f>H400/100*11</f>
      </c>
      <c r="L400" s="3">
        <v>8.99</v>
      </c>
      <c r="M400" s="3">
        <v>0</v>
      </c>
      <c r="N400" s="3">
        <f>M400*20%</f>
      </c>
      <c r="O400" s="3">
        <v>1</v>
      </c>
      <c r="P400" s="3">
        <f>I400-J400-K400-L400-M400-N400-O400</f>
      </c>
      <c r="Q400" s="3">
        <f>(P400-Y400)/G400*100</f>
      </c>
      <c r="R400" s="3">
        <f>J400-N400</f>
      </c>
      <c r="S400" t="s">
        <v>1</v>
      </c>
      <c r="T400" t="s">
        <v>93</v>
      </c>
      <c r="Z400" s="3">
        <f>P400-Y400</f>
      </c>
      <c r="AA400" t="s">
        <v>94</v>
      </c>
      <c r="AB400" t="s">
        <v>74</v>
      </c>
    </row>
    <row r="401" spans="1:28" x14ac:dyDescent="0.25">
      <c r="A401" s="7">
        <v>46158.5</v>
      </c>
      <c r="B401" t="s">
        <v>1422</v>
      </c>
      <c r="C401" t="s">
        <v>1</v>
      </c>
      <c r="D401" s="8" t="s">
        <v>1423</v>
      </c>
      <c r="E401" t="s">
        <v>63</v>
      </c>
      <c r="F401">
        <v>1</v>
      </c>
      <c r="G401" s="3">
        <v>249</v>
      </c>
      <c r="H401" s="3">
        <v>293.82</v>
      </c>
      <c r="I401" s="3">
        <f>H401-G401</f>
      </c>
      <c r="J401" s="3">
        <f>I401*16.67%</f>
      </c>
      <c r="K401" s="3">
        <f>H401/100*11</f>
      </c>
      <c r="L401" s="3">
        <v>8.99</v>
      </c>
      <c r="M401" s="3">
        <v>0</v>
      </c>
      <c r="N401" s="3">
        <f>M401*20%</f>
      </c>
      <c r="O401" s="3">
        <v>1</v>
      </c>
      <c r="P401" s="3">
        <f>I401-J401-K401-L401-M401-N401-O401</f>
      </c>
      <c r="Q401" s="3">
        <f>(P401-Y401)/G401*100</f>
      </c>
      <c r="R401" s="3">
        <f>J401-N401</f>
      </c>
      <c r="S401" t="s">
        <v>1</v>
      </c>
      <c r="T401" t="s">
        <v>64</v>
      </c>
      <c r="Z401" s="3">
        <f>P401-Y401</f>
      </c>
      <c r="AA401" t="s">
        <v>65</v>
      </c>
      <c r="AB401" t="s">
        <v>69</v>
      </c>
    </row>
    <row r="402" spans="1:28" x14ac:dyDescent="0.25">
      <c r="A402" s="7">
        <v>46158.5</v>
      </c>
      <c r="B402" t="s">
        <v>1424</v>
      </c>
      <c r="C402" t="s">
        <v>1</v>
      </c>
      <c r="D402" s="8" t="s">
        <v>1425</v>
      </c>
      <c r="E402" t="s">
        <v>77</v>
      </c>
      <c r="F402">
        <v>1</v>
      </c>
      <c r="G402" s="3">
        <v>203</v>
      </c>
      <c r="H402" s="3">
        <v>235.48</v>
      </c>
      <c r="I402" s="3">
        <f>H402-G402</f>
      </c>
      <c r="J402" s="3">
        <f>I402*16.67%</f>
      </c>
      <c r="K402" s="3">
        <f>H402/100*11</f>
      </c>
      <c r="L402" s="3">
        <v>8.99</v>
      </c>
      <c r="M402" s="3">
        <v>0</v>
      </c>
      <c r="N402" s="3">
        <f>M402*20%</f>
      </c>
      <c r="O402" s="3">
        <v>1</v>
      </c>
      <c r="P402" s="3">
        <f>I402-J402-K402-L402-M402-N402-O402</f>
      </c>
      <c r="Q402" s="3">
        <f>(P402-Y402)/G402*100</f>
      </c>
      <c r="R402" s="3">
        <f>J402-N402</f>
      </c>
      <c r="S402" t="s">
        <v>1</v>
      </c>
      <c r="T402" t="s">
        <v>113</v>
      </c>
      <c r="Z402" s="3">
        <f>P402-Y402</f>
      </c>
      <c r="AA402" t="s">
        <v>59</v>
      </c>
      <c r="AB402" t="s">
        <v>74</v>
      </c>
    </row>
    <row r="403" spans="1:28" x14ac:dyDescent="0.25">
      <c r="A403" s="7">
        <v>46158.5</v>
      </c>
      <c r="B403" t="s">
        <v>1426</v>
      </c>
      <c r="C403" t="s">
        <v>184</v>
      </c>
      <c r="D403" s="8" t="s">
        <v>1</v>
      </c>
      <c r="E403" t="s">
        <v>101</v>
      </c>
      <c r="F403">
        <v>4</v>
      </c>
      <c r="G403" s="3">
        <v>4.8</v>
      </c>
      <c r="H403" s="3">
        <v>5.86</v>
      </c>
      <c r="I403" s="3">
        <f>H403-G403</f>
      </c>
      <c r="J403" s="3">
        <f>I403*16.67%</f>
      </c>
      <c r="K403" s="3">
        <f>H403/100*11</f>
      </c>
      <c r="L403" s="3">
        <v>8.99</v>
      </c>
      <c r="M403" s="3">
        <v>0</v>
      </c>
      <c r="N403" s="3">
        <f>M403*20%</f>
      </c>
      <c r="O403" s="3">
        <v>1</v>
      </c>
      <c r="P403" s="3">
        <f>I403-J403-K403-L403-M403-N403-O403</f>
      </c>
      <c r="Q403" s="3">
        <f>(P403-Y403)/G403*100</f>
      </c>
      <c r="R403" s="3">
        <f>J403-N403</f>
      </c>
      <c r="S403" t="s">
        <v>1</v>
      </c>
      <c r="T403" t="s">
        <v>184</v>
      </c>
      <c r="Z403" s="3">
        <f>P403-Y403</f>
      </c>
      <c r="AA403" t="s">
        <v>1</v>
      </c>
      <c r="AB403" t="s">
        <v>1</v>
      </c>
    </row>
    <row r="404" spans="1:28" x14ac:dyDescent="0.25">
      <c r="A404" s="7">
        <v>46157.5</v>
      </c>
      <c r="B404" t="s">
        <v>1427</v>
      </c>
      <c r="C404" t="s">
        <v>1</v>
      </c>
      <c r="D404" s="8" t="s">
        <v>1428</v>
      </c>
      <c r="E404" t="s">
        <v>57</v>
      </c>
      <c r="F404">
        <v>1</v>
      </c>
      <c r="G404" s="3">
        <v>76</v>
      </c>
      <c r="H404" s="3">
        <v>108.68</v>
      </c>
      <c r="I404" s="3">
        <f>H404-G404</f>
      </c>
      <c r="J404" s="3">
        <f>I404*16.67%</f>
      </c>
      <c r="K404" s="3">
        <f>H404/100*11</f>
      </c>
      <c r="L404" s="3">
        <v>8.99</v>
      </c>
      <c r="M404" s="3">
        <v>0</v>
      </c>
      <c r="N404" s="3">
        <f>M404*20%</f>
      </c>
      <c r="O404" s="3">
        <v>1</v>
      </c>
      <c r="P404" s="3">
        <f>I404-J404-K404-L404-M404-N404-O404</f>
      </c>
      <c r="Q404" s="3">
        <f>(P404-Y404)/G404*100</f>
      </c>
      <c r="R404" s="3">
        <f>J404-N404</f>
      </c>
      <c r="S404" t="s">
        <v>1</v>
      </c>
      <c r="T404" t="s">
        <v>93</v>
      </c>
      <c r="Z404" s="3">
        <f>P404-Y404</f>
      </c>
      <c r="AA404" t="s">
        <v>94</v>
      </c>
      <c r="AB404" t="s">
        <v>69</v>
      </c>
    </row>
    <row r="405" spans="1:28" x14ac:dyDescent="0.25">
      <c r="A405" s="7">
        <v>46157.5</v>
      </c>
      <c r="B405" t="s">
        <v>1429</v>
      </c>
      <c r="C405" t="s">
        <v>1</v>
      </c>
      <c r="D405" s="8" t="s">
        <v>1430</v>
      </c>
      <c r="E405" t="s">
        <v>63</v>
      </c>
      <c r="F405">
        <v>1</v>
      </c>
      <c r="G405" s="3">
        <v>166</v>
      </c>
      <c r="H405" s="3">
        <v>194.22</v>
      </c>
      <c r="I405" s="3">
        <f>H405-G405</f>
      </c>
      <c r="J405" s="3">
        <f>I405*16.67%</f>
      </c>
      <c r="K405" s="3">
        <f>H405/100*11</f>
      </c>
      <c r="L405" s="3">
        <v>8.99</v>
      </c>
      <c r="M405" s="3">
        <v>0</v>
      </c>
      <c r="N405" s="3">
        <f>M405*20%</f>
      </c>
      <c r="O405" s="3">
        <v>1</v>
      </c>
      <c r="P405" s="3">
        <f>I405-J405-K405-L405-M405-N405-O405</f>
      </c>
      <c r="Q405" s="3">
        <f>(P405-Y405)/G405*100</f>
      </c>
      <c r="R405" s="3">
        <f>J405-N405</f>
      </c>
      <c r="S405" t="s">
        <v>1</v>
      </c>
      <c r="T405" t="s">
        <v>233</v>
      </c>
      <c r="Z405" s="3">
        <f>P405-Y405</f>
      </c>
      <c r="AA405" t="s">
        <v>65</v>
      </c>
      <c r="AB405" t="s">
        <v>98</v>
      </c>
    </row>
    <row r="406" spans="1:28" x14ac:dyDescent="0.25">
      <c r="A406" s="7">
        <v>46157.5</v>
      </c>
      <c r="B406" t="s">
        <v>1431</v>
      </c>
      <c r="C406" t="s">
        <v>1</v>
      </c>
      <c r="D406" s="8" t="s">
        <v>1432</v>
      </c>
      <c r="E406" t="s">
        <v>57</v>
      </c>
      <c r="F406">
        <v>1</v>
      </c>
      <c r="G406" s="3">
        <v>218</v>
      </c>
      <c r="H406" s="3">
        <v>252.88</v>
      </c>
      <c r="I406" s="3">
        <f>H406-G406</f>
      </c>
      <c r="J406" s="3">
        <f>I406*16.67%</f>
      </c>
      <c r="K406" s="3">
        <f>H406/100*11</f>
      </c>
      <c r="L406" s="3">
        <v>8.99</v>
      </c>
      <c r="M406" s="3">
        <v>0</v>
      </c>
      <c r="N406" s="3">
        <f>M406*20%</f>
      </c>
      <c r="O406" s="3">
        <v>1</v>
      </c>
      <c r="P406" s="3">
        <f>I406-J406-K406-L406-M406-N406-O406</f>
      </c>
      <c r="Q406" s="3">
        <f>(P406-Y406)/G406*100</f>
      </c>
      <c r="R406" s="3">
        <f>J406-N406</f>
      </c>
      <c r="S406" t="s">
        <v>1</v>
      </c>
      <c r="T406" t="s">
        <v>113</v>
      </c>
      <c r="Z406" s="3">
        <f>P406-Y406</f>
      </c>
      <c r="AA406" t="s">
        <v>94</v>
      </c>
      <c r="AB406" t="s">
        <v>87</v>
      </c>
    </row>
    <row r="407" spans="1:28" x14ac:dyDescent="0.25">
      <c r="A407" s="7">
        <v>46157.5</v>
      </c>
      <c r="B407" t="s">
        <v>1433</v>
      </c>
      <c r="C407" t="s">
        <v>1</v>
      </c>
      <c r="D407" s="8" t="s">
        <v>1434</v>
      </c>
      <c r="E407" t="s">
        <v>63</v>
      </c>
      <c r="F407">
        <v>1</v>
      </c>
      <c r="G407" s="3">
        <v>524</v>
      </c>
      <c r="H407" s="3">
        <v>717.88</v>
      </c>
      <c r="I407" s="3">
        <f>H407-G407</f>
      </c>
      <c r="J407" s="3">
        <f>I407*16.67%</f>
      </c>
      <c r="K407" s="3">
        <f>H407/100*11</f>
      </c>
      <c r="L407" s="3">
        <v>8.99</v>
      </c>
      <c r="M407" s="3">
        <v>0</v>
      </c>
      <c r="N407" s="3">
        <f>M407*20%</f>
      </c>
      <c r="O407" s="3">
        <v>1</v>
      </c>
      <c r="P407" s="3">
        <f>I407-J407-K407-L407-M407-N407-O407</f>
      </c>
      <c r="Q407" s="3">
        <f>(P407-Y407)/G407*100</f>
      </c>
      <c r="R407" s="3">
        <f>J407-N407</f>
      </c>
      <c r="S407" t="s">
        <v>1</v>
      </c>
      <c r="T407" t="s">
        <v>68</v>
      </c>
      <c r="Z407" s="3">
        <f>P407-Y407</f>
      </c>
      <c r="AA407" t="s">
        <v>59</v>
      </c>
      <c r="AB407" t="s">
        <v>87</v>
      </c>
    </row>
    <row r="408" spans="1:28" x14ac:dyDescent="0.25">
      <c r="A408" s="7">
        <v>46157.5</v>
      </c>
      <c r="B408" t="s">
        <v>1435</v>
      </c>
      <c r="C408" t="s">
        <v>1</v>
      </c>
      <c r="D408" s="8" t="s">
        <v>1436</v>
      </c>
      <c r="E408" t="s">
        <v>57</v>
      </c>
      <c r="F408">
        <v>1</v>
      </c>
      <c r="G408" s="3">
        <v>74</v>
      </c>
      <c r="H408" s="3">
        <v>85.1</v>
      </c>
      <c r="I408" s="3">
        <f>H408-G408</f>
      </c>
      <c r="J408" s="3">
        <f>I408*16.67%</f>
      </c>
      <c r="K408" s="3">
        <f>H408/100*11</f>
      </c>
      <c r="L408" s="3">
        <v>8.99</v>
      </c>
      <c r="M408" s="3">
        <v>0</v>
      </c>
      <c r="N408" s="3">
        <f>M408*20%</f>
      </c>
      <c r="O408" s="3">
        <v>1</v>
      </c>
      <c r="P408" s="3">
        <f>I408-J408-K408-L408-M408-N408-O408</f>
      </c>
      <c r="Q408" s="3">
        <f>(P408-Y408)/G408*100</f>
      </c>
      <c r="R408" s="3">
        <f>J408-N408</f>
      </c>
      <c r="S408" t="s">
        <v>1</v>
      </c>
      <c r="T408" t="s">
        <v>93</v>
      </c>
      <c r="Z408" s="3">
        <f>P408-Y408</f>
      </c>
      <c r="AA408" t="s">
        <v>94</v>
      </c>
      <c r="AB408" t="s">
        <v>87</v>
      </c>
    </row>
    <row r="409" spans="1:28" x14ac:dyDescent="0.25">
      <c r="A409" s="7">
        <v>46157.5</v>
      </c>
      <c r="B409" t="s">
        <v>1437</v>
      </c>
      <c r="C409" t="s">
        <v>184</v>
      </c>
      <c r="D409" s="8" t="s">
        <v>1</v>
      </c>
      <c r="E409" t="s">
        <v>101</v>
      </c>
      <c r="F409">
        <v>2</v>
      </c>
      <c r="G409" s="3">
        <v>2.4</v>
      </c>
      <c r="H409" s="3">
        <v>2.76</v>
      </c>
      <c r="I409" s="3">
        <f>H409-G409</f>
      </c>
      <c r="J409" s="3">
        <f>I409*16.67%</f>
      </c>
      <c r="K409" s="3">
        <f>H409/100*11</f>
      </c>
      <c r="L409" s="3">
        <v>8.99</v>
      </c>
      <c r="M409" s="3">
        <v>0</v>
      </c>
      <c r="N409" s="3">
        <f>M409*20%</f>
      </c>
      <c r="O409" s="3">
        <v>1</v>
      </c>
      <c r="P409" s="3">
        <f>I409-J409-K409-L409-M409-N409-O409</f>
      </c>
      <c r="Q409" s="3">
        <f>(P409-Y409)/G409*100</f>
      </c>
      <c r="R409" s="3">
        <f>J409-N409</f>
      </c>
      <c r="S409" t="s">
        <v>1</v>
      </c>
      <c r="T409" t="s">
        <v>184</v>
      </c>
      <c r="Z409" s="3">
        <f>P409-Y409</f>
      </c>
      <c r="AA409" t="s">
        <v>1</v>
      </c>
      <c r="AB409" t="s">
        <v>1</v>
      </c>
    </row>
    <row r="410" spans="1:28" x14ac:dyDescent="0.25">
      <c r="A410" s="7">
        <v>46156.5</v>
      </c>
      <c r="B410" t="s">
        <v>1438</v>
      </c>
      <c r="C410" t="s">
        <v>1</v>
      </c>
      <c r="D410" s="8" t="s">
        <v>1439</v>
      </c>
      <c r="E410" t="s">
        <v>57</v>
      </c>
      <c r="F410">
        <v>1</v>
      </c>
      <c r="G410" s="3">
        <v>583</v>
      </c>
      <c r="H410" s="3">
        <v>775.39</v>
      </c>
      <c r="I410" s="3">
        <f>H410-G410</f>
      </c>
      <c r="J410" s="3">
        <f>I410*16.67%</f>
      </c>
      <c r="K410" s="3">
        <f>H410/100*11</f>
      </c>
      <c r="L410" s="3">
        <v>8.99</v>
      </c>
      <c r="M410" s="3">
        <v>0</v>
      </c>
      <c r="N410" s="3">
        <f>M410*20%</f>
      </c>
      <c r="O410" s="3">
        <v>1</v>
      </c>
      <c r="P410" s="3">
        <f>I410-J410-K410-L410-M410-N410-O410</f>
      </c>
      <c r="Q410" s="3">
        <f>(P410-Y410)/G410*100</f>
      </c>
      <c r="R410" s="3">
        <f>J410-N410</f>
      </c>
      <c r="S410" t="s">
        <v>1</v>
      </c>
      <c r="T410" t="s">
        <v>80</v>
      </c>
      <c r="Z410" s="3">
        <f>P410-Y410</f>
      </c>
      <c r="AA410" t="s">
        <v>59</v>
      </c>
      <c r="AB410" t="s">
        <v>104</v>
      </c>
    </row>
    <row r="411" spans="1:28" x14ac:dyDescent="0.25">
      <c r="A411" s="7">
        <v>46156.5</v>
      </c>
      <c r="B411" t="s">
        <v>1440</v>
      </c>
      <c r="C411" t="s">
        <v>1</v>
      </c>
      <c r="D411" s="8" t="s">
        <v>1441</v>
      </c>
      <c r="E411" t="s">
        <v>63</v>
      </c>
      <c r="F411">
        <v>1</v>
      </c>
      <c r="G411" s="3">
        <v>119</v>
      </c>
      <c r="H411" s="3">
        <v>140.42</v>
      </c>
      <c r="I411" s="3">
        <f>H411-G411</f>
      </c>
      <c r="J411" s="3">
        <f>I411*16.67%</f>
      </c>
      <c r="K411" s="3">
        <f>H411/100*11</f>
      </c>
      <c r="L411" s="3">
        <v>8.99</v>
      </c>
      <c r="M411" s="3">
        <v>0</v>
      </c>
      <c r="N411" s="3">
        <f>M411*20%</f>
      </c>
      <c r="O411" s="3">
        <v>1</v>
      </c>
      <c r="P411" s="3">
        <f>I411-J411-K411-L411-M411-N411-O411</f>
      </c>
      <c r="Q411" s="3">
        <f>(P411-Y411)/G411*100</f>
      </c>
      <c r="R411" s="3">
        <f>J411-N411</f>
      </c>
      <c r="S411" t="s">
        <v>1</v>
      </c>
      <c r="T411" t="s">
        <v>90</v>
      </c>
      <c r="Z411" s="3">
        <f>P411-Y411</f>
      </c>
      <c r="AA411" t="s">
        <v>94</v>
      </c>
      <c r="AB411" t="s">
        <v>60</v>
      </c>
    </row>
    <row r="412" spans="1:28" x14ac:dyDescent="0.25">
      <c r="A412" s="7">
        <v>46156.5</v>
      </c>
      <c r="B412" t="s">
        <v>1442</v>
      </c>
      <c r="C412" t="s">
        <v>188</v>
      </c>
      <c r="D412" s="8" t="s">
        <v>1</v>
      </c>
      <c r="E412" t="s">
        <v>63</v>
      </c>
      <c r="F412">
        <v>1</v>
      </c>
      <c r="G412" s="3">
        <v>3.5</v>
      </c>
      <c r="H412" s="3">
        <v>4.38</v>
      </c>
      <c r="I412" s="3">
        <f>H412-G412</f>
      </c>
      <c r="J412" s="3">
        <f>I412*16.67%</f>
      </c>
      <c r="K412" s="3">
        <f>H412/100*11</f>
      </c>
      <c r="L412" s="3">
        <v>8.99</v>
      </c>
      <c r="M412" s="3">
        <v>0</v>
      </c>
      <c r="N412" s="3">
        <f>M412*20%</f>
      </c>
      <c r="O412" s="3">
        <v>1</v>
      </c>
      <c r="P412" s="3">
        <f>I412-J412-K412-L412-M412-N412-O412</f>
      </c>
      <c r="Q412" s="3">
        <f>(P412-Y412)/G412*100</f>
      </c>
      <c r="R412" s="3">
        <f>J412-N412</f>
      </c>
      <c r="S412" t="s">
        <v>1</v>
      </c>
      <c r="T412" t="s">
        <v>188</v>
      </c>
      <c r="Z412" s="3">
        <f>P412-Y412</f>
      </c>
      <c r="AA412" t="s">
        <v>1</v>
      </c>
      <c r="AB412" t="s">
        <v>1</v>
      </c>
    </row>
    <row r="413" spans="1:28" x14ac:dyDescent="0.25">
      <c r="A413" s="7">
        <v>46156.5</v>
      </c>
      <c r="B413" t="s">
        <v>1443</v>
      </c>
      <c r="C413" t="s">
        <v>253</v>
      </c>
      <c r="D413" s="8" t="s">
        <v>1</v>
      </c>
      <c r="E413" t="s">
        <v>57</v>
      </c>
      <c r="F413">
        <v>2</v>
      </c>
      <c r="G413" s="3">
        <v>1.6</v>
      </c>
      <c r="H413" s="3">
        <v>1.84</v>
      </c>
      <c r="I413" s="3">
        <f>H413-G413</f>
      </c>
      <c r="J413" s="3">
        <f>I413*16.67%</f>
      </c>
      <c r="K413" s="3">
        <f>H413/100*11</f>
      </c>
      <c r="L413" s="3">
        <v>8.99</v>
      </c>
      <c r="M413" s="3">
        <v>0</v>
      </c>
      <c r="N413" s="3">
        <f>M413*20%</f>
      </c>
      <c r="O413" s="3">
        <v>1</v>
      </c>
      <c r="P413" s="3">
        <f>I413-J413-K413-L413-M413-N413-O413</f>
      </c>
      <c r="Q413" s="3">
        <f>(P413-Y413)/G413*100</f>
      </c>
      <c r="R413" s="3">
        <f>J413-N413</f>
      </c>
      <c r="S413" t="s">
        <v>1</v>
      </c>
      <c r="T413" t="s">
        <v>253</v>
      </c>
      <c r="Z413" s="3">
        <f>P413-Y413</f>
      </c>
      <c r="AA413" t="s">
        <v>1</v>
      </c>
      <c r="AB413" t="s">
        <v>1</v>
      </c>
    </row>
    <row r="414" spans="1:28" x14ac:dyDescent="0.25">
      <c r="A414" s="7">
        <v>46156.5</v>
      </c>
      <c r="B414" t="s">
        <v>1444</v>
      </c>
      <c r="C414" t="s">
        <v>181</v>
      </c>
      <c r="D414" s="8" t="s">
        <v>1</v>
      </c>
      <c r="E414" t="s">
        <v>72</v>
      </c>
      <c r="F414">
        <v>2</v>
      </c>
      <c r="G414" s="3">
        <v>3.8</v>
      </c>
      <c r="H414" s="3">
        <v>4.56</v>
      </c>
      <c r="I414" s="3">
        <f>H414-G414</f>
      </c>
      <c r="J414" s="3">
        <f>I414*16.67%</f>
      </c>
      <c r="K414" s="3">
        <f>H414/100*11</f>
      </c>
      <c r="L414" s="3">
        <v>8.99</v>
      </c>
      <c r="M414" s="3">
        <v>0</v>
      </c>
      <c r="N414" s="3">
        <f>M414*20%</f>
      </c>
      <c r="O414" s="3">
        <v>1</v>
      </c>
      <c r="P414" s="3">
        <f>I414-J414-K414-L414-M414-N414-O414</f>
      </c>
      <c r="Q414" s="3">
        <f>(P414-Y414)/G414*100</f>
      </c>
      <c r="R414" s="3">
        <f>J414-N414</f>
      </c>
      <c r="S414" t="s">
        <v>1</v>
      </c>
      <c r="T414" t="s">
        <v>181</v>
      </c>
      <c r="Z414" s="3">
        <f>P414-Y414</f>
      </c>
      <c r="AA414" t="s">
        <v>1</v>
      </c>
      <c r="AB414" t="s">
        <v>1</v>
      </c>
    </row>
    <row r="415" spans="1:28" x14ac:dyDescent="0.25">
      <c r="A415" s="7">
        <v>46155.5</v>
      </c>
      <c r="B415" t="s">
        <v>1445</v>
      </c>
      <c r="C415" t="s">
        <v>1</v>
      </c>
      <c r="D415" s="8" t="s">
        <v>1446</v>
      </c>
      <c r="E415" t="s">
        <v>57</v>
      </c>
      <c r="F415">
        <v>1</v>
      </c>
      <c r="G415" s="3">
        <v>336</v>
      </c>
      <c r="H415" s="3">
        <v>467.04</v>
      </c>
      <c r="I415" s="3">
        <f>H415-G415</f>
      </c>
      <c r="J415" s="3">
        <f>I415*16.67%</f>
      </c>
      <c r="K415" s="3">
        <f>H415/100*11</f>
      </c>
      <c r="L415" s="3">
        <v>8.99</v>
      </c>
      <c r="M415" s="3">
        <v>0</v>
      </c>
      <c r="N415" s="3">
        <f>M415*20%</f>
      </c>
      <c r="O415" s="3">
        <v>1</v>
      </c>
      <c r="P415" s="3">
        <f>I415-J415-K415-L415-M415-N415-O415</f>
      </c>
      <c r="Q415" s="3">
        <f>(P415-Y415)/G415*100</f>
      </c>
      <c r="R415" s="3">
        <f>J415-N415</f>
      </c>
      <c r="S415" t="s">
        <v>1</v>
      </c>
      <c r="T415" t="s">
        <v>130</v>
      </c>
      <c r="Z415" s="3">
        <f>P415-Y415</f>
      </c>
      <c r="AA415" t="s">
        <v>65</v>
      </c>
      <c r="AB415" t="s">
        <v>74</v>
      </c>
    </row>
    <row r="416" spans="1:28" x14ac:dyDescent="0.25">
      <c r="A416" s="7">
        <v>46155.5</v>
      </c>
      <c r="B416" t="s">
        <v>1447</v>
      </c>
      <c r="C416" t="s">
        <v>253</v>
      </c>
      <c r="D416" s="8" t="s">
        <v>1</v>
      </c>
      <c r="E416" t="s">
        <v>57</v>
      </c>
      <c r="F416">
        <v>4</v>
      </c>
      <c r="G416" s="3">
        <v>3.2</v>
      </c>
      <c r="H416" s="3">
        <v>4.19</v>
      </c>
      <c r="I416" s="3">
        <f>H416-G416</f>
      </c>
      <c r="J416" s="3">
        <f>I416*16.67%</f>
      </c>
      <c r="K416" s="3">
        <f>H416/100*11</f>
      </c>
      <c r="L416" s="3">
        <v>8.99</v>
      </c>
      <c r="M416" s="3">
        <v>0</v>
      </c>
      <c r="N416" s="3">
        <f>M416*20%</f>
      </c>
      <c r="O416" s="3">
        <v>1</v>
      </c>
      <c r="P416" s="3">
        <f>I416-J416-K416-L416-M416-N416-O416</f>
      </c>
      <c r="Q416" s="3">
        <f>(P416-Y416)/G416*100</f>
      </c>
      <c r="R416" s="3">
        <f>J416-N416</f>
      </c>
      <c r="S416" t="s">
        <v>1</v>
      </c>
      <c r="T416" t="s">
        <v>253</v>
      </c>
      <c r="Z416" s="3">
        <f>P416-Y416</f>
      </c>
      <c r="AA416" t="s">
        <v>1</v>
      </c>
      <c r="AB416" t="s">
        <v>1</v>
      </c>
    </row>
    <row r="417" spans="1:28" x14ac:dyDescent="0.25">
      <c r="A417" s="7">
        <v>46154.5</v>
      </c>
      <c r="B417" t="s">
        <v>1448</v>
      </c>
      <c r="C417" t="s">
        <v>1</v>
      </c>
      <c r="D417" s="8" t="s">
        <v>1449</v>
      </c>
      <c r="E417" t="s">
        <v>72</v>
      </c>
      <c r="F417">
        <v>1</v>
      </c>
      <c r="G417" s="3">
        <v>477</v>
      </c>
      <c r="H417" s="3">
        <v>567.63</v>
      </c>
      <c r="I417" s="3">
        <f>H417-G417</f>
      </c>
      <c r="J417" s="3">
        <f>I417*16.67%</f>
      </c>
      <c r="K417" s="3">
        <f>H417/100*11</f>
      </c>
      <c r="L417" s="3">
        <v>8.99</v>
      </c>
      <c r="M417" s="3">
        <v>0</v>
      </c>
      <c r="N417" s="3">
        <f>M417*20%</f>
      </c>
      <c r="O417" s="3">
        <v>1</v>
      </c>
      <c r="P417" s="3">
        <f>I417-J417-K417-L417-M417-N417-O417</f>
      </c>
      <c r="Q417" s="3">
        <f>(P417-Y417)/G417*100</f>
      </c>
      <c r="R417" s="3">
        <f>J417-N417</f>
      </c>
      <c r="S417" t="s">
        <v>1</v>
      </c>
      <c r="T417" t="s">
        <v>58</v>
      </c>
      <c r="Z417" s="3">
        <f>P417-Y417</f>
      </c>
      <c r="AA417" t="s">
        <v>59</v>
      </c>
      <c r="AB417" t="s">
        <v>104</v>
      </c>
    </row>
    <row r="418" spans="1:28" x14ac:dyDescent="0.25">
      <c r="A418" s="7">
        <v>46154.5</v>
      </c>
      <c r="B418" t="s">
        <v>1450</v>
      </c>
      <c r="C418" t="s">
        <v>1</v>
      </c>
      <c r="D418" s="8" t="s">
        <v>1451</v>
      </c>
      <c r="E418" t="s">
        <v>77</v>
      </c>
      <c r="F418">
        <v>1</v>
      </c>
      <c r="G418" s="3">
        <v>132</v>
      </c>
      <c r="H418" s="3">
        <v>161.04</v>
      </c>
      <c r="I418" s="3">
        <f>H418-G418</f>
      </c>
      <c r="J418" s="3">
        <f>I418*16.67%</f>
      </c>
      <c r="K418" s="3">
        <f>H418/100*11</f>
      </c>
      <c r="L418" s="3">
        <v>8.99</v>
      </c>
      <c r="M418" s="3">
        <v>0</v>
      </c>
      <c r="N418" s="3">
        <f>M418*20%</f>
      </c>
      <c r="O418" s="3">
        <v>1</v>
      </c>
      <c r="P418" s="3">
        <f>I418-J418-K418-L418-M418-N418-O418</f>
      </c>
      <c r="Q418" s="3">
        <f>(P418-Y418)/G418*100</f>
      </c>
      <c r="R418" s="3">
        <f>J418-N418</f>
      </c>
      <c r="S418" t="s">
        <v>1</v>
      </c>
      <c r="T418" t="s">
        <v>90</v>
      </c>
      <c r="Z418" s="3">
        <f>P418-Y418</f>
      </c>
      <c r="AA418" t="s">
        <v>65</v>
      </c>
      <c r="AB418" t="s">
        <v>98</v>
      </c>
    </row>
    <row r="419" spans="1:28" x14ac:dyDescent="0.25">
      <c r="A419" s="7">
        <v>46153.5</v>
      </c>
      <c r="B419" t="s">
        <v>1452</v>
      </c>
      <c r="C419" t="s">
        <v>1</v>
      </c>
      <c r="D419" s="8" t="s">
        <v>1453</v>
      </c>
      <c r="E419" t="s">
        <v>63</v>
      </c>
      <c r="F419">
        <v>1</v>
      </c>
      <c r="G419" s="3">
        <v>331</v>
      </c>
      <c r="H419" s="3">
        <v>446.85</v>
      </c>
      <c r="I419" s="3">
        <f>H419-G419</f>
      </c>
      <c r="J419" s="3">
        <f>I419*16.67%</f>
      </c>
      <c r="K419" s="3">
        <f>H419/100*11</f>
      </c>
      <c r="L419" s="3">
        <v>8.99</v>
      </c>
      <c r="M419" s="3">
        <v>0</v>
      </c>
      <c r="N419" s="3">
        <f>M419*20%</f>
      </c>
      <c r="O419" s="3">
        <v>1</v>
      </c>
      <c r="P419" s="3">
        <f>I419-J419-K419-L419-M419-N419-O419</f>
      </c>
      <c r="Q419" s="3">
        <f>(P419-Y419)/G419*100</f>
      </c>
      <c r="R419" s="3">
        <f>J419-N419</f>
      </c>
      <c r="S419" t="s">
        <v>1</v>
      </c>
      <c r="T419" t="s">
        <v>130</v>
      </c>
      <c r="Z419" s="3">
        <f>P419-Y419</f>
      </c>
      <c r="AA419" t="s">
        <v>65</v>
      </c>
      <c r="AB419" t="s">
        <v>87</v>
      </c>
    </row>
    <row r="420" spans="1:28" x14ac:dyDescent="0.25">
      <c r="A420" s="7">
        <v>46153.5</v>
      </c>
      <c r="B420" t="s">
        <v>1454</v>
      </c>
      <c r="C420" t="s">
        <v>1</v>
      </c>
      <c r="D420" s="8" t="s">
        <v>1455</v>
      </c>
      <c r="E420" t="s">
        <v>57</v>
      </c>
      <c r="F420">
        <v>1</v>
      </c>
      <c r="G420" s="3">
        <v>241</v>
      </c>
      <c r="H420" s="3">
        <v>308.48</v>
      </c>
      <c r="I420" s="3">
        <f>H420-G420</f>
      </c>
      <c r="J420" s="3">
        <f>I420*16.67%</f>
      </c>
      <c r="K420" s="3">
        <f>H420/100*11</f>
      </c>
      <c r="L420" s="3">
        <v>8.99</v>
      </c>
      <c r="M420" s="3">
        <v>0</v>
      </c>
      <c r="N420" s="3">
        <f>M420*20%</f>
      </c>
      <c r="O420" s="3">
        <v>1</v>
      </c>
      <c r="P420" s="3">
        <f>I420-J420-K420-L420-M420-N420-O420</f>
      </c>
      <c r="Q420" s="3">
        <f>(P420-Y420)/G420*100</f>
      </c>
      <c r="R420" s="3">
        <f>J420-N420</f>
      </c>
      <c r="S420" t="s">
        <v>1</v>
      </c>
      <c r="T420" t="s">
        <v>64</v>
      </c>
      <c r="Z420" s="3">
        <f>P420-Y420</f>
      </c>
      <c r="AA420" t="s">
        <v>65</v>
      </c>
      <c r="AB420" t="s">
        <v>60</v>
      </c>
    </row>
    <row r="421" spans="1:28" x14ac:dyDescent="0.25">
      <c r="A421" s="7">
        <v>46153.5</v>
      </c>
      <c r="B421" t="s">
        <v>1456</v>
      </c>
      <c r="C421" t="s">
        <v>173</v>
      </c>
      <c r="D421" s="8" t="s">
        <v>1</v>
      </c>
      <c r="E421" t="s">
        <v>63</v>
      </c>
      <c r="F421">
        <v>1</v>
      </c>
      <c r="G421" s="3">
        <v>4.25</v>
      </c>
      <c r="H421" s="3">
        <v>4.93</v>
      </c>
      <c r="I421" s="3">
        <f>H421-G421</f>
      </c>
      <c r="J421" s="3">
        <f>I421*16.67%</f>
      </c>
      <c r="K421" s="3">
        <f>H421/100*11</f>
      </c>
      <c r="L421" s="3">
        <v>8.99</v>
      </c>
      <c r="M421" s="3">
        <v>0</v>
      </c>
      <c r="N421" s="3">
        <f>M421*20%</f>
      </c>
      <c r="O421" s="3">
        <v>1</v>
      </c>
      <c r="P421" s="3">
        <f>I421-J421-K421-L421-M421-N421-O421</f>
      </c>
      <c r="Q421" s="3">
        <f>(P421-Y421)/G421*100</f>
      </c>
      <c r="R421" s="3">
        <f>J421-N421</f>
      </c>
      <c r="S421" t="s">
        <v>1</v>
      </c>
      <c r="T421" t="s">
        <v>173</v>
      </c>
      <c r="Z421" s="3">
        <f>P421-Y421</f>
      </c>
      <c r="AA421" t="s">
        <v>1</v>
      </c>
      <c r="AB421" t="s">
        <v>1</v>
      </c>
    </row>
    <row r="422" spans="1:28" x14ac:dyDescent="0.25">
      <c r="A422" s="7">
        <v>46152.5</v>
      </c>
      <c r="B422" t="s">
        <v>1457</v>
      </c>
      <c r="C422" t="s">
        <v>1</v>
      </c>
      <c r="D422" s="8" t="s">
        <v>1458</v>
      </c>
      <c r="E422" t="s">
        <v>72</v>
      </c>
      <c r="F422">
        <v>1</v>
      </c>
      <c r="G422" s="3">
        <v>133</v>
      </c>
      <c r="H422" s="3">
        <v>160.93</v>
      </c>
      <c r="I422" s="3">
        <f>H422-G422</f>
      </c>
      <c r="J422" s="3">
        <f>I422*16.67%</f>
      </c>
      <c r="K422" s="3">
        <f>H422/100*11</f>
      </c>
      <c r="L422" s="3">
        <v>8.99</v>
      </c>
      <c r="M422" s="3">
        <v>0</v>
      </c>
      <c r="N422" s="3">
        <f>M422*20%</f>
      </c>
      <c r="O422" s="3">
        <v>1</v>
      </c>
      <c r="P422" s="3">
        <f>I422-J422-K422-L422-M422-N422-O422</f>
      </c>
      <c r="Q422" s="3">
        <f>(P422-Y422)/G422*100</f>
      </c>
      <c r="R422" s="3">
        <f>J422-N422</f>
      </c>
      <c r="S422" t="s">
        <v>1</v>
      </c>
      <c r="T422" t="s">
        <v>90</v>
      </c>
      <c r="Z422" s="3">
        <f>P422-Y422</f>
      </c>
      <c r="AA422" t="s">
        <v>65</v>
      </c>
      <c r="AB422" t="s">
        <v>104</v>
      </c>
    </row>
    <row r="423" spans="1:28" x14ac:dyDescent="0.25">
      <c r="A423" s="7">
        <v>46152.5</v>
      </c>
      <c r="B423" t="s">
        <v>1459</v>
      </c>
      <c r="C423" t="s">
        <v>253</v>
      </c>
      <c r="D423" s="8" t="s">
        <v>1</v>
      </c>
      <c r="E423" t="s">
        <v>57</v>
      </c>
      <c r="F423">
        <v>1</v>
      </c>
      <c r="G423" s="3">
        <v>0.8</v>
      </c>
      <c r="H423" s="3">
        <v>1.09</v>
      </c>
      <c r="I423" s="3">
        <f>H423-G423</f>
      </c>
      <c r="J423" s="3">
        <f>I423*16.67%</f>
      </c>
      <c r="K423" s="3">
        <f>H423/100*11</f>
      </c>
      <c r="L423" s="3">
        <v>8.99</v>
      </c>
      <c r="M423" s="3">
        <v>0</v>
      </c>
      <c r="N423" s="3">
        <f>M423*20%</f>
      </c>
      <c r="O423" s="3">
        <v>1</v>
      </c>
      <c r="P423" s="3">
        <f>I423-J423-K423-L423-M423-N423-O423</f>
      </c>
      <c r="Q423" s="3">
        <f>(P423-Y423)/G423*100</f>
      </c>
      <c r="R423" s="3">
        <f>J423-N423</f>
      </c>
      <c r="S423" t="s">
        <v>1</v>
      </c>
      <c r="T423" t="s">
        <v>253</v>
      </c>
      <c r="Z423" s="3">
        <f>P423-Y423</f>
      </c>
      <c r="AA423" t="s">
        <v>1</v>
      </c>
      <c r="AB423" t="s">
        <v>1</v>
      </c>
    </row>
    <row r="424" spans="1:28" x14ac:dyDescent="0.25">
      <c r="A424" s="7">
        <v>46151.5</v>
      </c>
      <c r="B424" t="s">
        <v>1460</v>
      </c>
      <c r="C424" t="s">
        <v>1</v>
      </c>
      <c r="D424" s="8" t="s">
        <v>1461</v>
      </c>
      <c r="E424" t="s">
        <v>72</v>
      </c>
      <c r="F424">
        <v>1</v>
      </c>
      <c r="G424" s="3">
        <v>765</v>
      </c>
      <c r="H424" s="3">
        <v>1055.7</v>
      </c>
      <c r="I424" s="3">
        <f>H424-G424</f>
      </c>
      <c r="J424" s="3">
        <f>I424*16.67%</f>
      </c>
      <c r="K424" s="3">
        <f>H424/100*11</f>
      </c>
      <c r="L424" s="3">
        <v>8.99</v>
      </c>
      <c r="M424" s="3">
        <v>0</v>
      </c>
      <c r="N424" s="3">
        <f>M424*20%</f>
      </c>
      <c r="O424" s="3">
        <v>1</v>
      </c>
      <c r="P424" s="3">
        <f>I424-J424-K424-L424-M424-N424-O424</f>
      </c>
      <c r="Q424" s="3">
        <f>(P424-Y424)/G424*100</f>
      </c>
      <c r="R424" s="3">
        <f>J424-N424</f>
      </c>
      <c r="S424" t="s">
        <v>1</v>
      </c>
      <c r="T424" t="s">
        <v>83</v>
      </c>
      <c r="Z424" s="3">
        <f>P424-Y424</f>
      </c>
      <c r="AA424" t="s">
        <v>59</v>
      </c>
      <c r="AB424" t="s">
        <v>98</v>
      </c>
    </row>
    <row r="425" spans="1:28" x14ac:dyDescent="0.25">
      <c r="A425" s="7">
        <v>46151.5</v>
      </c>
      <c r="B425" t="s">
        <v>1462</v>
      </c>
      <c r="C425" t="s">
        <v>188</v>
      </c>
      <c r="D425" s="8" t="s">
        <v>1</v>
      </c>
      <c r="E425" t="s">
        <v>63</v>
      </c>
      <c r="F425">
        <v>1</v>
      </c>
      <c r="G425" s="3">
        <v>3.5</v>
      </c>
      <c r="H425" s="3">
        <v>4.97</v>
      </c>
      <c r="I425" s="3">
        <f>H425-G425</f>
      </c>
      <c r="J425" s="3">
        <f>I425*16.67%</f>
      </c>
      <c r="K425" s="3">
        <f>H425/100*11</f>
      </c>
      <c r="L425" s="3">
        <v>8.99</v>
      </c>
      <c r="M425" s="3">
        <v>0</v>
      </c>
      <c r="N425" s="3">
        <f>M425*20%</f>
      </c>
      <c r="O425" s="3">
        <v>1</v>
      </c>
      <c r="P425" s="3">
        <f>I425-J425-K425-L425-M425-N425-O425</f>
      </c>
      <c r="Q425" s="3">
        <f>(P425-Y425)/G425*100</f>
      </c>
      <c r="R425" s="3">
        <f>J425-N425</f>
      </c>
      <c r="S425" t="s">
        <v>1</v>
      </c>
      <c r="T425" t="s">
        <v>188</v>
      </c>
      <c r="Z425" s="3">
        <f>P425-Y425</f>
      </c>
      <c r="AA425" t="s">
        <v>1</v>
      </c>
      <c r="AB425" t="s">
        <v>1</v>
      </c>
    </row>
    <row r="426" spans="1:28" x14ac:dyDescent="0.25">
      <c r="A426" s="7">
        <v>46151.5</v>
      </c>
      <c r="B426" t="s">
        <v>1463</v>
      </c>
      <c r="C426" t="s">
        <v>188</v>
      </c>
      <c r="D426" s="8" t="s">
        <v>1</v>
      </c>
      <c r="E426" t="s">
        <v>63</v>
      </c>
      <c r="F426">
        <v>2</v>
      </c>
      <c r="G426" s="3">
        <v>7</v>
      </c>
      <c r="H426" s="3">
        <v>9.87</v>
      </c>
      <c r="I426" s="3">
        <f>H426-G426</f>
      </c>
      <c r="J426" s="3">
        <f>I426*16.67%</f>
      </c>
      <c r="K426" s="3">
        <f>H426/100*11</f>
      </c>
      <c r="L426" s="3">
        <v>8.99</v>
      </c>
      <c r="M426" s="3">
        <v>0</v>
      </c>
      <c r="N426" s="3">
        <f>M426*20%</f>
      </c>
      <c r="O426" s="3">
        <v>1</v>
      </c>
      <c r="P426" s="3">
        <f>I426-J426-K426-L426-M426-N426-O426</f>
      </c>
      <c r="Q426" s="3">
        <f>(P426-Y426)/G426*100</f>
      </c>
      <c r="R426" s="3">
        <f>J426-N426</f>
      </c>
      <c r="S426" t="s">
        <v>1</v>
      </c>
      <c r="T426" t="s">
        <v>188</v>
      </c>
      <c r="Z426" s="3">
        <f>P426-Y426</f>
      </c>
      <c r="AA426" t="s">
        <v>1</v>
      </c>
      <c r="AB426" t="s">
        <v>1</v>
      </c>
    </row>
    <row r="427" spans="1:28" x14ac:dyDescent="0.25">
      <c r="A427" s="7">
        <v>46151.5</v>
      </c>
      <c r="B427" t="s">
        <v>1464</v>
      </c>
      <c r="C427" t="s">
        <v>181</v>
      </c>
      <c r="D427" s="8" t="s">
        <v>1</v>
      </c>
      <c r="E427" t="s">
        <v>72</v>
      </c>
      <c r="F427">
        <v>4</v>
      </c>
      <c r="G427" s="3">
        <v>7.6</v>
      </c>
      <c r="H427" s="3">
        <v>9.8</v>
      </c>
      <c r="I427" s="3">
        <f>H427-G427</f>
      </c>
      <c r="J427" s="3">
        <f>I427*16.67%</f>
      </c>
      <c r="K427" s="3">
        <f>H427/100*11</f>
      </c>
      <c r="L427" s="3">
        <v>8.99</v>
      </c>
      <c r="M427" s="3">
        <v>0</v>
      </c>
      <c r="N427" s="3">
        <f>M427*20%</f>
      </c>
      <c r="O427" s="3">
        <v>1</v>
      </c>
      <c r="P427" s="3">
        <f>I427-J427-K427-L427-M427-N427-O427</f>
      </c>
      <c r="Q427" s="3">
        <f>(P427-Y427)/G427*100</f>
      </c>
      <c r="R427" s="3">
        <f>J427-N427</f>
      </c>
      <c r="S427" t="s">
        <v>1</v>
      </c>
      <c r="T427" t="s">
        <v>181</v>
      </c>
      <c r="Z427" s="3">
        <f>P427-Y427</f>
      </c>
      <c r="AA427" t="s">
        <v>1</v>
      </c>
      <c r="AB427" t="s">
        <v>1</v>
      </c>
    </row>
    <row r="428" spans="1:28" x14ac:dyDescent="0.25">
      <c r="A428" s="7">
        <v>46151.5</v>
      </c>
      <c r="B428" t="s">
        <v>1465</v>
      </c>
      <c r="C428" t="s">
        <v>184</v>
      </c>
      <c r="D428" s="8" t="s">
        <v>1</v>
      </c>
      <c r="E428" t="s">
        <v>101</v>
      </c>
      <c r="F428">
        <v>1</v>
      </c>
      <c r="G428" s="3">
        <v>1.2</v>
      </c>
      <c r="H428" s="3">
        <v>1.58</v>
      </c>
      <c r="I428" s="3">
        <f>H428-G428</f>
      </c>
      <c r="J428" s="3">
        <f>I428*16.67%</f>
      </c>
      <c r="K428" s="3">
        <f>H428/100*11</f>
      </c>
      <c r="L428" s="3">
        <v>8.99</v>
      </c>
      <c r="M428" s="3">
        <v>0</v>
      </c>
      <c r="N428" s="3">
        <f>M428*20%</f>
      </c>
      <c r="O428" s="3">
        <v>1</v>
      </c>
      <c r="P428" s="3">
        <f>I428-J428-K428-L428-M428-N428-O428</f>
      </c>
      <c r="Q428" s="3">
        <f>(P428-Y428)/G428*100</f>
      </c>
      <c r="R428" s="3">
        <f>J428-N428</f>
      </c>
      <c r="S428" t="s">
        <v>1</v>
      </c>
      <c r="T428" t="s">
        <v>184</v>
      </c>
      <c r="Z428" s="3">
        <f>P428-Y428</f>
      </c>
      <c r="AA428" t="s">
        <v>1</v>
      </c>
      <c r="AB428" t="s">
        <v>1</v>
      </c>
    </row>
    <row r="429" spans="1:28" x14ac:dyDescent="0.25">
      <c r="A429" s="7">
        <v>46150.5</v>
      </c>
      <c r="B429" t="s">
        <v>1466</v>
      </c>
      <c r="C429" t="s">
        <v>1</v>
      </c>
      <c r="D429" s="8" t="s">
        <v>1467</v>
      </c>
      <c r="E429" t="s">
        <v>77</v>
      </c>
      <c r="F429">
        <v>1</v>
      </c>
      <c r="G429" s="3">
        <v>299</v>
      </c>
      <c r="H429" s="3">
        <v>394.68</v>
      </c>
      <c r="I429" s="3">
        <f>H429-G429</f>
      </c>
      <c r="J429" s="3">
        <f>I429*16.67%</f>
      </c>
      <c r="K429" s="3">
        <f>H429/100*11</f>
      </c>
      <c r="L429" s="3">
        <v>8.99</v>
      </c>
      <c r="M429" s="3">
        <v>0</v>
      </c>
      <c r="N429" s="3">
        <f>M429*20%</f>
      </c>
      <c r="O429" s="3">
        <v>1</v>
      </c>
      <c r="P429" s="3">
        <f>I429-J429-K429-L429-M429-N429-O429</f>
      </c>
      <c r="Q429" s="3">
        <f>(P429-Y429)/G429*100</f>
      </c>
      <c r="R429" s="3">
        <f>J429-N429</f>
      </c>
      <c r="S429" t="s">
        <v>1</v>
      </c>
      <c r="T429" t="s">
        <v>97</v>
      </c>
      <c r="Z429" s="3">
        <f>P429-Y429</f>
      </c>
      <c r="AA429" t="s">
        <v>59</v>
      </c>
      <c r="AB429" t="s">
        <v>69</v>
      </c>
    </row>
    <row r="430" spans="1:28" x14ac:dyDescent="0.25">
      <c r="A430" s="7">
        <v>46149.5</v>
      </c>
      <c r="B430" t="s">
        <v>1468</v>
      </c>
      <c r="C430" t="s">
        <v>184</v>
      </c>
      <c r="D430" s="8" t="s">
        <v>1</v>
      </c>
      <c r="E430" t="s">
        <v>101</v>
      </c>
      <c r="F430">
        <v>2</v>
      </c>
      <c r="G430" s="3">
        <v>2.4</v>
      </c>
      <c r="H430" s="3">
        <v>3</v>
      </c>
      <c r="I430" s="3">
        <f>H430-G430</f>
      </c>
      <c r="J430" s="3">
        <f>I430*16.67%</f>
      </c>
      <c r="K430" s="3">
        <f>H430/100*11</f>
      </c>
      <c r="L430" s="3">
        <v>8.99</v>
      </c>
      <c r="M430" s="3">
        <v>0</v>
      </c>
      <c r="N430" s="3">
        <f>M430*20%</f>
      </c>
      <c r="O430" s="3">
        <v>1</v>
      </c>
      <c r="P430" s="3">
        <f>I430-J430-K430-L430-M430-N430-O430</f>
      </c>
      <c r="Q430" s="3">
        <f>(P430-Y430)/G430*100</f>
      </c>
      <c r="R430" s="3">
        <f>J430-N430</f>
      </c>
      <c r="S430" t="s">
        <v>1</v>
      </c>
      <c r="T430" t="s">
        <v>184</v>
      </c>
      <c r="Z430" s="3">
        <f>P430-Y430</f>
      </c>
      <c r="AA430" t="s">
        <v>1</v>
      </c>
      <c r="AB430" t="s">
        <v>1</v>
      </c>
    </row>
    <row r="431" spans="1:28" x14ac:dyDescent="0.25">
      <c r="A431" s="7">
        <v>46148.5</v>
      </c>
      <c r="B431" t="s">
        <v>1469</v>
      </c>
      <c r="C431" t="s">
        <v>184</v>
      </c>
      <c r="D431" s="8" t="s">
        <v>1</v>
      </c>
      <c r="E431" t="s">
        <v>101</v>
      </c>
      <c r="F431">
        <v>1</v>
      </c>
      <c r="G431" s="3">
        <v>1.2</v>
      </c>
      <c r="H431" s="3">
        <v>1.73</v>
      </c>
      <c r="I431" s="3">
        <f>H431-G431</f>
      </c>
      <c r="J431" s="3">
        <f>I431*16.67%</f>
      </c>
      <c r="K431" s="3">
        <f>H431/100*11</f>
      </c>
      <c r="L431" s="3">
        <v>8.99</v>
      </c>
      <c r="M431" s="3">
        <v>0</v>
      </c>
      <c r="N431" s="3">
        <f>M431*20%</f>
      </c>
      <c r="O431" s="3">
        <v>1</v>
      </c>
      <c r="P431" s="3">
        <f>I431-J431-K431-L431-M431-N431-O431</f>
      </c>
      <c r="Q431" s="3">
        <f>(P431-Y431)/G431*100</f>
      </c>
      <c r="R431" s="3">
        <f>J431-N431</f>
      </c>
      <c r="S431" t="s">
        <v>1</v>
      </c>
      <c r="T431" t="s">
        <v>184</v>
      </c>
      <c r="Z431" s="3">
        <f>P431-Y431</f>
      </c>
      <c r="AA431" t="s">
        <v>1</v>
      </c>
      <c r="AB431" t="s">
        <v>1</v>
      </c>
    </row>
    <row r="432" spans="1:28" x14ac:dyDescent="0.25">
      <c r="A432" s="7">
        <v>46148.5</v>
      </c>
      <c r="B432" t="s">
        <v>1470</v>
      </c>
      <c r="C432" t="s">
        <v>184</v>
      </c>
      <c r="D432" s="8" t="s">
        <v>1</v>
      </c>
      <c r="E432" t="s">
        <v>101</v>
      </c>
      <c r="F432">
        <v>1</v>
      </c>
      <c r="G432" s="3">
        <v>1.2</v>
      </c>
      <c r="H432" s="3">
        <v>1.74</v>
      </c>
      <c r="I432" s="3">
        <f>H432-G432</f>
      </c>
      <c r="J432" s="3">
        <f>I432*16.67%</f>
      </c>
      <c r="K432" s="3">
        <f>H432/100*11</f>
      </c>
      <c r="L432" s="3">
        <v>8.99</v>
      </c>
      <c r="M432" s="3">
        <v>0</v>
      </c>
      <c r="N432" s="3">
        <f>M432*20%</f>
      </c>
      <c r="O432" s="3">
        <v>1</v>
      </c>
      <c r="P432" s="3">
        <f>I432-J432-K432-L432-M432-N432-O432</f>
      </c>
      <c r="Q432" s="3">
        <f>(P432-Y432)/G432*100</f>
      </c>
      <c r="R432" s="3">
        <f>J432-N432</f>
      </c>
      <c r="S432" t="s">
        <v>1</v>
      </c>
      <c r="T432" t="s">
        <v>184</v>
      </c>
      <c r="Z432" s="3">
        <f>P432-Y432</f>
      </c>
      <c r="AA432" t="s">
        <v>1</v>
      </c>
      <c r="AB432" t="s">
        <v>1</v>
      </c>
    </row>
    <row r="433" spans="1:28" x14ac:dyDescent="0.25">
      <c r="A433" s="7">
        <v>46148.5</v>
      </c>
      <c r="B433" t="s">
        <v>1471</v>
      </c>
      <c r="C433" t="s">
        <v>184</v>
      </c>
      <c r="D433" s="8" t="s">
        <v>1</v>
      </c>
      <c r="E433" t="s">
        <v>101</v>
      </c>
      <c r="F433">
        <v>1</v>
      </c>
      <c r="G433" s="3">
        <v>1.2</v>
      </c>
      <c r="H433" s="3">
        <v>1.48</v>
      </c>
      <c r="I433" s="3">
        <f>H433-G433</f>
      </c>
      <c r="J433" s="3">
        <f>I433*16.67%</f>
      </c>
      <c r="K433" s="3">
        <f>H433/100*11</f>
      </c>
      <c r="L433" s="3">
        <v>8.99</v>
      </c>
      <c r="M433" s="3">
        <v>0</v>
      </c>
      <c r="N433" s="3">
        <f>M433*20%</f>
      </c>
      <c r="O433" s="3">
        <v>1</v>
      </c>
      <c r="P433" s="3">
        <f>I433-J433-K433-L433-M433-N433-O433</f>
      </c>
      <c r="Q433" s="3">
        <f>(P433-Y433)/G433*100</f>
      </c>
      <c r="R433" s="3">
        <f>J433-N433</f>
      </c>
      <c r="S433" t="s">
        <v>1</v>
      </c>
      <c r="T433" t="s">
        <v>184</v>
      </c>
      <c r="Z433" s="3">
        <f>P433-Y433</f>
      </c>
      <c r="AA433" t="s">
        <v>1</v>
      </c>
      <c r="AB433" t="s">
        <v>1</v>
      </c>
    </row>
    <row r="434" spans="1:28" x14ac:dyDescent="0.25">
      <c r="A434" s="7">
        <v>46147.5</v>
      </c>
      <c r="B434" t="s">
        <v>1472</v>
      </c>
      <c r="C434" t="s">
        <v>188</v>
      </c>
      <c r="D434" s="8" t="s">
        <v>1</v>
      </c>
      <c r="E434" t="s">
        <v>63</v>
      </c>
      <c r="F434">
        <v>3</v>
      </c>
      <c r="G434" s="3">
        <v>10.5</v>
      </c>
      <c r="H434" s="3">
        <v>12.91</v>
      </c>
      <c r="I434" s="3">
        <f>H434-G434</f>
      </c>
      <c r="J434" s="3">
        <f>I434*16.67%</f>
      </c>
      <c r="K434" s="3">
        <f>H434/100*11</f>
      </c>
      <c r="L434" s="3">
        <v>8.99</v>
      </c>
      <c r="M434" s="3">
        <v>0</v>
      </c>
      <c r="N434" s="3">
        <f>M434*20%</f>
      </c>
      <c r="O434" s="3">
        <v>1</v>
      </c>
      <c r="P434" s="3">
        <f>I434-J434-K434-L434-M434-N434-O434</f>
      </c>
      <c r="Q434" s="3">
        <f>(P434-Y434)/G434*100</f>
      </c>
      <c r="R434" s="3">
        <f>J434-N434</f>
      </c>
      <c r="S434" t="s">
        <v>1</v>
      </c>
      <c r="T434" t="s">
        <v>188</v>
      </c>
      <c r="Z434" s="3">
        <f>P434-Y434</f>
      </c>
      <c r="AA434" t="s">
        <v>1</v>
      </c>
      <c r="AB434" t="s">
        <v>1</v>
      </c>
    </row>
    <row r="435" spans="1:28" x14ac:dyDescent="0.25">
      <c r="A435" s="7">
        <v>46146.5</v>
      </c>
      <c r="B435" t="s">
        <v>1473</v>
      </c>
      <c r="C435" t="s">
        <v>1</v>
      </c>
      <c r="D435" s="8" t="s">
        <v>1474</v>
      </c>
      <c r="E435" t="s">
        <v>72</v>
      </c>
      <c r="F435">
        <v>1</v>
      </c>
      <c r="G435" s="3">
        <v>769</v>
      </c>
      <c r="H435" s="3">
        <v>1030.46</v>
      </c>
      <c r="I435" s="3">
        <f>H435-G435</f>
      </c>
      <c r="J435" s="3">
        <f>I435*16.67%</f>
      </c>
      <c r="K435" s="3">
        <f>H435/100*11</f>
      </c>
      <c r="L435" s="3">
        <v>8.99</v>
      </c>
      <c r="M435" s="3">
        <v>0</v>
      </c>
      <c r="N435" s="3">
        <f>M435*20%</f>
      </c>
      <c r="O435" s="3">
        <v>1</v>
      </c>
      <c r="P435" s="3">
        <f>I435-J435-K435-L435-M435-N435-O435</f>
      </c>
      <c r="Q435" s="3">
        <f>(P435-Y435)/G435*100</f>
      </c>
      <c r="R435" s="3">
        <f>J435-N435</f>
      </c>
      <c r="S435" t="s">
        <v>1</v>
      </c>
      <c r="T435" t="s">
        <v>83</v>
      </c>
      <c r="Z435" s="3">
        <f>P435-Y435</f>
      </c>
      <c r="AA435" t="s">
        <v>59</v>
      </c>
      <c r="AB435" t="s">
        <v>104</v>
      </c>
    </row>
    <row r="436" spans="1:28" x14ac:dyDescent="0.25">
      <c r="A436" s="7">
        <v>46146.5</v>
      </c>
      <c r="B436" t="s">
        <v>1475</v>
      </c>
      <c r="C436" t="s">
        <v>1</v>
      </c>
      <c r="D436" s="8" t="s">
        <v>1476</v>
      </c>
      <c r="E436" t="s">
        <v>57</v>
      </c>
      <c r="F436">
        <v>1</v>
      </c>
      <c r="G436" s="3">
        <v>472</v>
      </c>
      <c r="H436" s="3">
        <v>594.72</v>
      </c>
      <c r="I436" s="3">
        <f>H436-G436</f>
      </c>
      <c r="J436" s="3">
        <f>I436*16.67%</f>
      </c>
      <c r="K436" s="3">
        <f>H436/100*11</f>
      </c>
      <c r="L436" s="3">
        <v>8.99</v>
      </c>
      <c r="M436" s="3">
        <v>0</v>
      </c>
      <c r="N436" s="3">
        <f>M436*20%</f>
      </c>
      <c r="O436" s="3">
        <v>1</v>
      </c>
      <c r="P436" s="3">
        <f>I436-J436-K436-L436-M436-N436-O436</f>
      </c>
      <c r="Q436" s="3">
        <f>(P436-Y436)/G436*100</f>
      </c>
      <c r="R436" s="3">
        <f>J436-N436</f>
      </c>
      <c r="S436" t="s">
        <v>1</v>
      </c>
      <c r="T436" t="s">
        <v>58</v>
      </c>
      <c r="Z436" s="3">
        <f>P436-Y436</f>
      </c>
      <c r="AA436" t="s">
        <v>59</v>
      </c>
      <c r="AB436" t="s">
        <v>69</v>
      </c>
    </row>
    <row r="437" spans="1:28" x14ac:dyDescent="0.25">
      <c r="A437" s="7">
        <v>46145.5</v>
      </c>
      <c r="B437" t="s">
        <v>1477</v>
      </c>
      <c r="C437" t="s">
        <v>176</v>
      </c>
      <c r="D437" s="8" t="s">
        <v>1</v>
      </c>
      <c r="E437" t="s">
        <v>77</v>
      </c>
      <c r="F437">
        <v>1</v>
      </c>
      <c r="G437" s="3">
        <v>0.15</v>
      </c>
      <c r="H437" s="3">
        <v>0.2</v>
      </c>
      <c r="I437" s="3">
        <f>H437-G437</f>
      </c>
      <c r="J437" s="3">
        <f>I437*16.67%</f>
      </c>
      <c r="K437" s="3">
        <f>H437/100*11</f>
      </c>
      <c r="L437" s="3">
        <v>8.99</v>
      </c>
      <c r="M437" s="3">
        <v>0</v>
      </c>
      <c r="N437" s="3">
        <f>M437*20%</f>
      </c>
      <c r="O437" s="3">
        <v>1</v>
      </c>
      <c r="P437" s="3">
        <f>I437-J437-K437-L437-M437-N437-O437</f>
      </c>
      <c r="Q437" s="3">
        <f>(P437-Y437)/G437*100</f>
      </c>
      <c r="R437" s="3">
        <f>J437-N437</f>
      </c>
      <c r="S437" t="s">
        <v>1</v>
      </c>
      <c r="T437" t="s">
        <v>176</v>
      </c>
      <c r="Z437" s="3">
        <f>P437-Y437</f>
      </c>
      <c r="AA437" t="s">
        <v>1</v>
      </c>
      <c r="AB437" t="s">
        <v>1</v>
      </c>
    </row>
    <row r="438" spans="1:28" x14ac:dyDescent="0.25">
      <c r="A438" s="7">
        <v>46145.5</v>
      </c>
      <c r="B438" t="s">
        <v>1478</v>
      </c>
      <c r="C438" t="s">
        <v>176</v>
      </c>
      <c r="D438" s="8" t="s">
        <v>1</v>
      </c>
      <c r="E438" t="s">
        <v>77</v>
      </c>
      <c r="F438">
        <v>4</v>
      </c>
      <c r="G438" s="3">
        <v>0.6</v>
      </c>
      <c r="H438" s="3">
        <v>0.76</v>
      </c>
      <c r="I438" s="3">
        <f>H438-G438</f>
      </c>
      <c r="J438" s="3">
        <f>I438*16.67%</f>
      </c>
      <c r="K438" s="3">
        <f>H438/100*11</f>
      </c>
      <c r="L438" s="3">
        <v>8.99</v>
      </c>
      <c r="M438" s="3">
        <v>0</v>
      </c>
      <c r="N438" s="3">
        <f>M438*20%</f>
      </c>
      <c r="O438" s="3">
        <v>1</v>
      </c>
      <c r="P438" s="3">
        <f>I438-J438-K438-L438-M438-N438-O438</f>
      </c>
      <c r="Q438" s="3">
        <f>(P438-Y438)/G438*100</f>
      </c>
      <c r="R438" s="3">
        <f>J438-N438</f>
      </c>
      <c r="S438" t="s">
        <v>1</v>
      </c>
      <c r="T438" t="s">
        <v>176</v>
      </c>
      <c r="Z438" s="3">
        <f>P438-Y438</f>
      </c>
      <c r="AA438" t="s">
        <v>1</v>
      </c>
      <c r="AB438" t="s">
        <v>1</v>
      </c>
    </row>
    <row r="439" spans="1:28" x14ac:dyDescent="0.25">
      <c r="A439" s="7">
        <v>46144.5</v>
      </c>
      <c r="B439" t="s">
        <v>1479</v>
      </c>
      <c r="C439" t="s">
        <v>1</v>
      </c>
      <c r="D439" s="8" t="s">
        <v>1480</v>
      </c>
      <c r="E439" t="s">
        <v>63</v>
      </c>
      <c r="F439">
        <v>1</v>
      </c>
      <c r="G439" s="3">
        <v>313</v>
      </c>
      <c r="H439" s="3">
        <v>363.08</v>
      </c>
      <c r="I439" s="3">
        <f>H439-G439</f>
      </c>
      <c r="J439" s="3">
        <f>I439*16.67%</f>
      </c>
      <c r="K439" s="3">
        <f>H439/100*11</f>
      </c>
      <c r="L439" s="3">
        <v>8.99</v>
      </c>
      <c r="M439" s="3">
        <v>0</v>
      </c>
      <c r="N439" s="3">
        <f>M439*20%</f>
      </c>
      <c r="O439" s="3">
        <v>1</v>
      </c>
      <c r="P439" s="3">
        <f>I439-J439-K439-L439-M439-N439-O439</f>
      </c>
      <c r="Q439" s="3">
        <f>(P439-Y439)/G439*100</f>
      </c>
      <c r="R439" s="3">
        <f>J439-N439</f>
      </c>
      <c r="S439" t="s">
        <v>1</v>
      </c>
      <c r="T439" t="s">
        <v>138</v>
      </c>
      <c r="Z439" s="3">
        <f>P439-Y439</f>
      </c>
      <c r="AA439" t="s">
        <v>65</v>
      </c>
      <c r="AB439" t="s">
        <v>104</v>
      </c>
    </row>
    <row r="440" spans="1:28" x14ac:dyDescent="0.25">
      <c r="A440" s="7">
        <v>46144.5</v>
      </c>
      <c r="B440" t="s">
        <v>1481</v>
      </c>
      <c r="C440" t="s">
        <v>173</v>
      </c>
      <c r="D440" s="8" t="s">
        <v>1</v>
      </c>
      <c r="E440" t="s">
        <v>63</v>
      </c>
      <c r="F440">
        <v>2</v>
      </c>
      <c r="G440" s="3">
        <v>8.5</v>
      </c>
      <c r="H440" s="3">
        <v>9.77</v>
      </c>
      <c r="I440" s="3">
        <f>H440-G440</f>
      </c>
      <c r="J440" s="3">
        <f>I440*16.67%</f>
      </c>
      <c r="K440" s="3">
        <f>H440/100*11</f>
      </c>
      <c r="L440" s="3">
        <v>8.99</v>
      </c>
      <c r="M440" s="3">
        <v>0</v>
      </c>
      <c r="N440" s="3">
        <f>M440*20%</f>
      </c>
      <c r="O440" s="3">
        <v>1</v>
      </c>
      <c r="P440" s="3">
        <f>I440-J440-K440-L440-M440-N440-O440</f>
      </c>
      <c r="Q440" s="3">
        <f>(P440-Y440)/G440*100</f>
      </c>
      <c r="R440" s="3">
        <f>J440-N440</f>
      </c>
      <c r="S440" t="s">
        <v>1</v>
      </c>
      <c r="T440" t="s">
        <v>173</v>
      </c>
      <c r="Z440" s="3">
        <f>P440-Y440</f>
      </c>
      <c r="AA440" t="s">
        <v>1</v>
      </c>
      <c r="AB440" t="s">
        <v>1</v>
      </c>
    </row>
    <row r="441" spans="1:28" x14ac:dyDescent="0.25">
      <c r="A441" s="7">
        <v>46144.5</v>
      </c>
      <c r="B441" t="s">
        <v>1482</v>
      </c>
      <c r="C441" t="s">
        <v>181</v>
      </c>
      <c r="D441" s="8" t="s">
        <v>1</v>
      </c>
      <c r="E441" t="s">
        <v>72</v>
      </c>
      <c r="F441">
        <v>2</v>
      </c>
      <c r="G441" s="3">
        <v>3.8</v>
      </c>
      <c r="H441" s="3">
        <v>4.98</v>
      </c>
      <c r="I441" s="3">
        <f>H441-G441</f>
      </c>
      <c r="J441" s="3">
        <f>I441*16.67%</f>
      </c>
      <c r="K441" s="3">
        <f>H441/100*11</f>
      </c>
      <c r="L441" s="3">
        <v>8.99</v>
      </c>
      <c r="M441" s="3">
        <v>0</v>
      </c>
      <c r="N441" s="3">
        <f>M441*20%</f>
      </c>
      <c r="O441" s="3">
        <v>1</v>
      </c>
      <c r="P441" s="3">
        <f>I441-J441-K441-L441-M441-N441-O441</f>
      </c>
      <c r="Q441" s="3">
        <f>(P441-Y441)/G441*100</f>
      </c>
      <c r="R441" s="3">
        <f>J441-N441</f>
      </c>
      <c r="S441" t="s">
        <v>1</v>
      </c>
      <c r="T441" t="s">
        <v>181</v>
      </c>
      <c r="Z441" s="3">
        <f>P441-Y441</f>
      </c>
      <c r="AA441" t="s">
        <v>1</v>
      </c>
      <c r="AB441" t="s">
        <v>1</v>
      </c>
    </row>
    <row r="442" spans="1:28" x14ac:dyDescent="0.25">
      <c r="A442" s="7">
        <v>46143.5</v>
      </c>
      <c r="B442" t="s">
        <v>1483</v>
      </c>
      <c r="C442" t="s">
        <v>1</v>
      </c>
      <c r="D442" s="8" t="s">
        <v>1484</v>
      </c>
      <c r="E442" t="s">
        <v>77</v>
      </c>
      <c r="F442">
        <v>1</v>
      </c>
      <c r="G442" s="3">
        <v>221</v>
      </c>
      <c r="H442" s="3">
        <v>274.04</v>
      </c>
      <c r="I442" s="3">
        <f>H442-G442</f>
      </c>
      <c r="J442" s="3">
        <f>I442*16.67%</f>
      </c>
      <c r="K442" s="3">
        <f>H442/100*11</f>
      </c>
      <c r="L442" s="3">
        <v>8.99</v>
      </c>
      <c r="M442" s="3">
        <v>0</v>
      </c>
      <c r="N442" s="3">
        <f>M442*20%</f>
      </c>
      <c r="O442" s="3">
        <v>1</v>
      </c>
      <c r="P442" s="3">
        <f>I442-J442-K442-L442-M442-N442-O442</f>
      </c>
      <c r="Q442" s="3">
        <f>(P442-Y442)/G442*100</f>
      </c>
      <c r="R442" s="3">
        <f>J442-N442</f>
      </c>
      <c r="S442" t="s">
        <v>1</v>
      </c>
      <c r="T442" t="s">
        <v>113</v>
      </c>
      <c r="Z442" s="3">
        <f>P442-Y442</f>
      </c>
      <c r="AA442" t="s">
        <v>59</v>
      </c>
      <c r="AB442" t="s">
        <v>60</v>
      </c>
    </row>
    <row r="443" spans="1:28" x14ac:dyDescent="0.25">
      <c r="A443" s="7">
        <v>46143.5</v>
      </c>
      <c r="B443" t="s">
        <v>1485</v>
      </c>
      <c r="C443" t="s">
        <v>253</v>
      </c>
      <c r="D443" s="8" t="s">
        <v>1</v>
      </c>
      <c r="E443" t="s">
        <v>57</v>
      </c>
      <c r="F443">
        <v>1</v>
      </c>
      <c r="G443" s="3">
        <v>0.8</v>
      </c>
      <c r="H443" s="3">
        <v>1.03</v>
      </c>
      <c r="I443" s="3">
        <f>H443-G443</f>
      </c>
      <c r="J443" s="3">
        <f>I443*16.67%</f>
      </c>
      <c r="K443" s="3">
        <f>H443/100*11</f>
      </c>
      <c r="L443" s="3">
        <v>8.99</v>
      </c>
      <c r="M443" s="3">
        <v>0</v>
      </c>
      <c r="N443" s="3">
        <f>M443*20%</f>
      </c>
      <c r="O443" s="3">
        <v>1</v>
      </c>
      <c r="P443" s="3">
        <f>I443-J443-K443-L443-M443-N443-O443</f>
      </c>
      <c r="Q443" s="3">
        <f>(P443-Y443)/G443*100</f>
      </c>
      <c r="R443" s="3">
        <f>J443-N443</f>
      </c>
      <c r="S443" t="s">
        <v>1</v>
      </c>
      <c r="T443" t="s">
        <v>253</v>
      </c>
      <c r="Z443" s="3">
        <f>P443-Y443</f>
      </c>
      <c r="AA443" t="s">
        <v>1</v>
      </c>
      <c r="AB443" t="s">
        <v>1</v>
      </c>
    </row>
    <row r="444" spans="1:28" x14ac:dyDescent="0.25">
      <c r="A444" s="7">
        <v>46142.5</v>
      </c>
      <c r="B444" t="s">
        <v>1486</v>
      </c>
      <c r="C444" t="s">
        <v>253</v>
      </c>
      <c r="D444" s="8" t="s">
        <v>1</v>
      </c>
      <c r="E444" t="s">
        <v>57</v>
      </c>
      <c r="F444">
        <v>4</v>
      </c>
      <c r="G444" s="3">
        <v>3.2</v>
      </c>
      <c r="H444" s="3">
        <v>3.97</v>
      </c>
      <c r="I444" s="3">
        <f>H444-G444</f>
      </c>
      <c r="J444" s="3">
        <f>I444*16.67%</f>
      </c>
      <c r="K444" s="3">
        <f>H444/100*11</f>
      </c>
      <c r="L444" s="3">
        <v>8.99</v>
      </c>
      <c r="M444" s="3">
        <v>0</v>
      </c>
      <c r="N444" s="3">
        <f>M444*20%</f>
      </c>
      <c r="O444" s="3">
        <v>1</v>
      </c>
      <c r="P444" s="3">
        <f>I444-J444-K444-L444-M444-N444-O444</f>
      </c>
      <c r="Q444" s="3">
        <f>(P444-Y444)/G444*100</f>
      </c>
      <c r="R444" s="3">
        <f>J444-N444</f>
      </c>
      <c r="S444" t="s">
        <v>1</v>
      </c>
      <c r="T444" t="s">
        <v>253</v>
      </c>
      <c r="Z444" s="3">
        <f>P444-Y444</f>
      </c>
      <c r="AA444" t="s">
        <v>1</v>
      </c>
      <c r="AB444" t="s">
        <v>1</v>
      </c>
    </row>
    <row r="445" spans="1:28" s="6" customFormat="1" x14ac:dyDescent="0.25">
      <c r="A445" s="2" t="s">
        <v>17</v>
      </c>
      <c r="B445" s="6"/>
      <c r="C445" s="6"/>
      <c r="D445" s="6"/>
      <c r="E445" s="6"/>
      <c r="F445" s="13">
        <f>SUM(F2:F444)</f>
      </c>
      <c r="G445" s="13">
        <f>SUM(G2:G444)</f>
      </c>
      <c r="H445" s="13">
        <f>SUM(H2:H444)</f>
      </c>
      <c r="I445" s="13">
        <f>SUM(I2:I444)</f>
      </c>
      <c r="J445" s="13">
        <f>SUM(J2:J444)</f>
      </c>
      <c r="K445" s="13">
        <f>SUM(K2:K444)</f>
      </c>
      <c r="L445" s="13">
        <f>SUM(L2:L444)</f>
      </c>
      <c r="M445" s="13">
        <f>SUM(M2:M444)</f>
      </c>
      <c r="N445" s="13">
        <f>SUM(N2:N444)</f>
      </c>
      <c r="O445" s="13">
        <f>SUM(O2:O444)</f>
      </c>
      <c r="P445" s="13">
        <f>SUM(P2:P444)</f>
      </c>
      <c r="Q445" s="13">
        <f>IFERROR((P445-Y445)/G445*100,0)</f>
      </c>
      <c r="R445" s="13">
        <f>SUM(R2:R444)</f>
      </c>
      <c r="S445" s="6"/>
      <c r="T445" s="6"/>
      <c r="U445" s="6"/>
      <c r="V445" s="6"/>
      <c r="W445" s="6"/>
      <c r="X445" s="6"/>
      <c r="Y445" s="13">
        <f>SUM(Y2:Y444)</f>
      </c>
      <c r="Z445" s="13">
        <f>SUM(Z2:Z444)</f>
      </c>
      <c r="AA445" s="6"/>
      <c r="AB44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9"/>
  <sheetFormatPr defaultRowHeight="15" outlineLevelRow="0" outlineLevelCol="0" x14ac:dyDescent="55"/>
  <sheetData>
    <row r="1" spans="1:34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1487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1488</v>
      </c>
      <c r="M1" t="s">
        <v>1489</v>
      </c>
      <c r="N1" t="s">
        <v>1490</v>
      </c>
      <c r="O1" t="s">
        <v>1491</v>
      </c>
      <c r="P1" t="s">
        <v>39</v>
      </c>
      <c r="Q1" t="s">
        <v>40</v>
      </c>
      <c r="R1" t="s">
        <v>1492</v>
      </c>
      <c r="S1" t="s">
        <v>1493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10</v>
      </c>
      <c r="AG1" t="s">
        <v>53</v>
      </c>
      <c r="AH1" t="s">
        <v>54</v>
      </c>
    </row>
    <row r="2" spans="1:34" x14ac:dyDescent="0.25">
      <c r="A2" s="7">
        <v>46237.5</v>
      </c>
      <c r="B2" t="s">
        <v>1494</v>
      </c>
      <c r="C2" t="s">
        <v>188</v>
      </c>
      <c r="D2" s="8" t="s">
        <v>1</v>
      </c>
      <c r="E2" t="s">
        <v>63</v>
      </c>
      <c r="F2">
        <v>1</v>
      </c>
      <c r="G2" s="3">
        <v>3.5</v>
      </c>
      <c r="H2" s="3">
        <v>9.99</v>
      </c>
      <c r="I2" s="3">
        <f>H2-G2</f>
      </c>
      <c r="J2" s="3">
        <f>I2*16.67%</f>
      </c>
      <c r="K2" s="3">
        <f>(H2*6.9%)-(H2*6.9%)*10%</f>
      </c>
      <c r="L2" s="3">
        <f>H2*0.35%</f>
      </c>
      <c r="M2" s="3">
        <v>0.4</v>
      </c>
      <c r="N2" s="3">
        <f>(K2+L2+M2)*20%</f>
      </c>
      <c r="O2" s="3">
        <f>K2+L2+M2+N2</f>
      </c>
      <c r="P2" s="3">
        <v>0</v>
      </c>
      <c r="Q2" s="3">
        <v>0</v>
      </c>
      <c r="R2" s="3">
        <v>0</v>
      </c>
      <c r="S2" s="3">
        <f>R2*20%</f>
      </c>
      <c r="T2" s="3">
        <v>1</v>
      </c>
      <c r="U2" s="3">
        <f>N2+Q2+S2</f>
      </c>
      <c r="V2" s="3">
        <f>I2-J2-O2-P2-Q2-R2-S2-T2</f>
      </c>
      <c r="W2" s="3">
        <f>(V2-AE2)/H2*100</f>
      </c>
      <c r="X2" s="3">
        <f>J2-U2</f>
      </c>
      <c r="Y2" t="s">
        <v>1</v>
      </c>
      <c r="Z2" t="s">
        <v>188</v>
      </c>
      <c r="AF2" s="3">
        <f>V2-AE2</f>
      </c>
      <c r="AG2" t="s">
        <v>1</v>
      </c>
      <c r="AH2" t="s">
        <v>1</v>
      </c>
    </row>
    <row r="3" spans="1:34" x14ac:dyDescent="0.25">
      <c r="A3" s="7">
        <v>46231.5</v>
      </c>
      <c r="B3" t="s">
        <v>1495</v>
      </c>
      <c r="C3" t="s">
        <v>1</v>
      </c>
      <c r="D3" s="8" t="s">
        <v>1496</v>
      </c>
      <c r="E3" t="s">
        <v>57</v>
      </c>
      <c r="F3">
        <v>1</v>
      </c>
      <c r="G3" s="3">
        <v>356</v>
      </c>
      <c r="H3" s="3">
        <v>455.68</v>
      </c>
      <c r="I3" s="3">
        <f>H3-G3</f>
      </c>
      <c r="J3" s="3">
        <f>I3*16.67%</f>
      </c>
      <c r="K3" s="3">
        <f>(H3*6.9%)-(H3*6.9%)*10%</f>
      </c>
      <c r="L3" s="3">
        <f>H3*0.35%</f>
      </c>
      <c r="M3" s="3">
        <v>0.4</v>
      </c>
      <c r="N3" s="3">
        <f>(K3+L3+M3)*20%</f>
      </c>
      <c r="O3" s="3">
        <f>K3+L3+M3+N3</f>
      </c>
      <c r="P3" s="3">
        <v>0</v>
      </c>
      <c r="Q3" s="3">
        <v>0</v>
      </c>
      <c r="R3" s="3">
        <v>0</v>
      </c>
      <c r="S3" s="3">
        <f>R3*20%</f>
      </c>
      <c r="T3" s="3">
        <v>1</v>
      </c>
      <c r="U3" s="3">
        <f>N3+Q3+S3</f>
      </c>
      <c r="V3" s="3">
        <f>I3-J3-O3-P3-Q3-R3-S3-T3</f>
      </c>
      <c r="W3" s="3">
        <f>(V3-AE3)/H3*100</f>
      </c>
      <c r="X3" s="3">
        <f>J3-U3</f>
      </c>
      <c r="Y3" t="s">
        <v>1</v>
      </c>
      <c r="Z3" t="s">
        <v>138</v>
      </c>
      <c r="AF3" s="3">
        <f>V3-AE3</f>
      </c>
      <c r="AG3" t="s">
        <v>65</v>
      </c>
      <c r="AH3" t="s">
        <v>60</v>
      </c>
    </row>
    <row r="4" spans="1:34" x14ac:dyDescent="0.25">
      <c r="A4" s="7">
        <v>46231.5</v>
      </c>
      <c r="B4" t="s">
        <v>1497</v>
      </c>
      <c r="C4" t="s">
        <v>1</v>
      </c>
      <c r="D4" s="8" t="s">
        <v>1498</v>
      </c>
      <c r="E4" t="s">
        <v>101</v>
      </c>
      <c r="F4">
        <v>1</v>
      </c>
      <c r="G4" s="3">
        <v>88</v>
      </c>
      <c r="H4" s="3">
        <v>114.4</v>
      </c>
      <c r="I4" s="3">
        <f>H4-G4</f>
      </c>
      <c r="J4" s="3">
        <f>I4*16.67%</f>
      </c>
      <c r="K4" s="3">
        <f>(H4*6.9%)-(H4*6.9%)*10%</f>
      </c>
      <c r="L4" s="3">
        <f>H4*0.35%</f>
      </c>
      <c r="M4" s="3">
        <v>0.4</v>
      </c>
      <c r="N4" s="3">
        <f>(K4+L4+M4)*20%</f>
      </c>
      <c r="O4" s="3">
        <f>K4+L4+M4+N4</f>
      </c>
      <c r="P4" s="3">
        <v>0</v>
      </c>
      <c r="Q4" s="3">
        <v>0</v>
      </c>
      <c r="R4" s="3">
        <v>0</v>
      </c>
      <c r="S4" s="3">
        <f>R4*20%</f>
      </c>
      <c r="T4" s="3">
        <v>1</v>
      </c>
      <c r="U4" s="3">
        <f>N4+Q4+S4</f>
      </c>
      <c r="V4" s="3">
        <f>I4-J4-O4-P4-Q4-R4-S4-T4</f>
      </c>
      <c r="W4" s="3">
        <f>(V4-AE4)/H4*100</f>
      </c>
      <c r="X4" s="3">
        <f>J4-U4</f>
      </c>
      <c r="Y4" t="s">
        <v>1</v>
      </c>
      <c r="Z4" t="s">
        <v>93</v>
      </c>
      <c r="AF4" s="3">
        <f>V4-AE4</f>
      </c>
      <c r="AG4" t="s">
        <v>94</v>
      </c>
      <c r="AH4" t="s">
        <v>104</v>
      </c>
    </row>
    <row r="5" spans="1:34" x14ac:dyDescent="0.25">
      <c r="A5" s="7">
        <v>46231.5</v>
      </c>
      <c r="B5" t="s">
        <v>1499</v>
      </c>
      <c r="C5" t="s">
        <v>1</v>
      </c>
      <c r="D5" s="8" t="s">
        <v>1500</v>
      </c>
      <c r="E5" t="s">
        <v>63</v>
      </c>
      <c r="F5">
        <v>1</v>
      </c>
      <c r="G5" s="3">
        <v>188</v>
      </c>
      <c r="H5" s="3">
        <v>265.08</v>
      </c>
      <c r="I5" s="3">
        <f>H5-G5</f>
      </c>
      <c r="J5" s="3">
        <f>I5*16.67%</f>
      </c>
      <c r="K5" s="3">
        <f>(H5*6.9%)-(H5*6.9%)*10%</f>
      </c>
      <c r="L5" s="3">
        <f>H5*0.35%</f>
      </c>
      <c r="M5" s="3">
        <v>0.4</v>
      </c>
      <c r="N5" s="3">
        <f>(K5+L5+M5)*20%</f>
      </c>
      <c r="O5" s="3">
        <f>K5+L5+M5+N5</f>
      </c>
      <c r="P5" s="3">
        <v>0</v>
      </c>
      <c r="Q5" s="3">
        <v>0</v>
      </c>
      <c r="R5" s="3">
        <v>0</v>
      </c>
      <c r="S5" s="3">
        <f>R5*20%</f>
      </c>
      <c r="T5" s="3">
        <v>1</v>
      </c>
      <c r="U5" s="3">
        <f>N5+Q5+S5</f>
      </c>
      <c r="V5" s="3">
        <f>I5-J5-O5-P5-Q5-R5-S5-T5</f>
      </c>
      <c r="W5" s="3">
        <f>(V5-AE5)/H5*100</f>
      </c>
      <c r="X5" s="3">
        <f>J5-U5</f>
      </c>
      <c r="Y5" t="s">
        <v>1</v>
      </c>
      <c r="Z5" t="s">
        <v>113</v>
      </c>
      <c r="AF5" s="3">
        <f>V5-AE5</f>
      </c>
      <c r="AG5" t="s">
        <v>59</v>
      </c>
      <c r="AH5" t="s">
        <v>98</v>
      </c>
    </row>
    <row r="6" spans="1:34" x14ac:dyDescent="0.25">
      <c r="A6" s="7">
        <v>46231.5</v>
      </c>
      <c r="B6" t="s">
        <v>1501</v>
      </c>
      <c r="C6" t="s">
        <v>1</v>
      </c>
      <c r="D6" s="8" t="s">
        <v>1502</v>
      </c>
      <c r="E6" t="s">
        <v>101</v>
      </c>
      <c r="F6">
        <v>1</v>
      </c>
      <c r="G6" s="3">
        <v>69</v>
      </c>
      <c r="H6" s="3">
        <v>93.84</v>
      </c>
      <c r="I6" s="3">
        <f>H6-G6</f>
      </c>
      <c r="J6" s="3">
        <f>I6*16.67%</f>
      </c>
      <c r="K6" s="3">
        <f>(H6*6.9%)-(H6*6.9%)*10%</f>
      </c>
      <c r="L6" s="3">
        <f>H6*0.35%</f>
      </c>
      <c r="M6" s="3">
        <v>0.4</v>
      </c>
      <c r="N6" s="3">
        <f>(K6+L6+M6)*20%</f>
      </c>
      <c r="O6" s="3">
        <f>K6+L6+M6+N6</f>
      </c>
      <c r="P6" s="3">
        <v>0</v>
      </c>
      <c r="Q6" s="3">
        <v>0</v>
      </c>
      <c r="R6" s="3">
        <v>0</v>
      </c>
      <c r="S6" s="3">
        <f>R6*20%</f>
      </c>
      <c r="T6" s="3">
        <v>1</v>
      </c>
      <c r="U6" s="3">
        <f>N6+Q6+S6</f>
      </c>
      <c r="V6" s="3">
        <f>I6-J6-O6-P6-Q6-R6-S6-T6</f>
      </c>
      <c r="W6" s="3">
        <f>(V6-AE6)/H6*100</f>
      </c>
      <c r="X6" s="3">
        <f>J6-U6</f>
      </c>
      <c r="Y6" t="s">
        <v>1</v>
      </c>
      <c r="Z6" t="s">
        <v>93</v>
      </c>
      <c r="AF6" s="3">
        <f>V6-AE6</f>
      </c>
      <c r="AG6" t="s">
        <v>94</v>
      </c>
      <c r="AH6" t="s">
        <v>98</v>
      </c>
    </row>
    <row r="7" spans="1:34" x14ac:dyDescent="0.25">
      <c r="A7" s="7">
        <v>46231.5</v>
      </c>
      <c r="B7" t="s">
        <v>1503</v>
      </c>
      <c r="C7" t="s">
        <v>1</v>
      </c>
      <c r="D7" s="8" t="s">
        <v>1504</v>
      </c>
      <c r="E7" t="s">
        <v>72</v>
      </c>
      <c r="F7">
        <v>1</v>
      </c>
      <c r="G7" s="3">
        <v>114</v>
      </c>
      <c r="H7" s="3">
        <v>152.76</v>
      </c>
      <c r="I7" s="3">
        <f>H7-G7</f>
      </c>
      <c r="J7" s="3">
        <f>I7*16.67%</f>
      </c>
      <c r="K7" s="3">
        <f>(H7*6.9%)-(H7*6.9%)*10%</f>
      </c>
      <c r="L7" s="3">
        <f>H7*0.35%</f>
      </c>
      <c r="M7" s="3">
        <v>0.4</v>
      </c>
      <c r="N7" s="3">
        <f>(K7+L7+M7)*20%</f>
      </c>
      <c r="O7" s="3">
        <f>K7+L7+M7+N7</f>
      </c>
      <c r="P7" s="3">
        <v>0</v>
      </c>
      <c r="Q7" s="3">
        <v>0</v>
      </c>
      <c r="R7" s="3">
        <v>0</v>
      </c>
      <c r="S7" s="3">
        <f>R7*20%</f>
      </c>
      <c r="T7" s="3">
        <v>1</v>
      </c>
      <c r="U7" s="3">
        <f>N7+Q7+S7</f>
      </c>
      <c r="V7" s="3">
        <f>I7-J7-O7-P7-Q7-R7-S7-T7</f>
      </c>
      <c r="W7" s="3">
        <f>(V7-AE7)/H7*100</f>
      </c>
      <c r="X7" s="3">
        <f>J7-U7</f>
      </c>
      <c r="Y7" t="s">
        <v>1</v>
      </c>
      <c r="Z7" t="s">
        <v>90</v>
      </c>
      <c r="AF7" s="3">
        <f>V7-AE7</f>
      </c>
      <c r="AG7" t="s">
        <v>65</v>
      </c>
      <c r="AH7" t="s">
        <v>98</v>
      </c>
    </row>
    <row r="8" spans="1:34" x14ac:dyDescent="0.25">
      <c r="A8" s="7">
        <v>46231.5</v>
      </c>
      <c r="B8" t="s">
        <v>1505</v>
      </c>
      <c r="C8" t="s">
        <v>1</v>
      </c>
      <c r="D8" s="8" t="s">
        <v>1506</v>
      </c>
      <c r="E8" t="s">
        <v>57</v>
      </c>
      <c r="F8">
        <v>1</v>
      </c>
      <c r="G8" s="3">
        <v>124</v>
      </c>
      <c r="H8" s="3">
        <v>161.2</v>
      </c>
      <c r="I8" s="3">
        <f>H8-G8</f>
      </c>
      <c r="J8" s="3">
        <f>I8*16.67%</f>
      </c>
      <c r="K8" s="3">
        <f>(H8*6.9%)-(H8*6.9%)*10%</f>
      </c>
      <c r="L8" s="3">
        <f>H8*0.35%</f>
      </c>
      <c r="M8" s="3">
        <v>0.4</v>
      </c>
      <c r="N8" s="3">
        <f>(K8+L8+M8)*20%</f>
      </c>
      <c r="O8" s="3">
        <f>K8+L8+M8+N8</f>
      </c>
      <c r="P8" s="3">
        <v>0</v>
      </c>
      <c r="Q8" s="3">
        <v>0</v>
      </c>
      <c r="R8" s="3">
        <v>0</v>
      </c>
      <c r="S8" s="3">
        <f>R8*20%</f>
      </c>
      <c r="T8" s="3">
        <v>1</v>
      </c>
      <c r="U8" s="3">
        <f>N8+Q8+S8</f>
      </c>
      <c r="V8" s="3">
        <f>I8-J8-O8-P8-Q8-R8-S8-T8</f>
      </c>
      <c r="W8" s="3">
        <f>(V8-AE8)/H8*100</f>
      </c>
      <c r="X8" s="3">
        <f>J8-U8</f>
      </c>
      <c r="Y8" t="s">
        <v>1</v>
      </c>
      <c r="Z8" t="s">
        <v>90</v>
      </c>
      <c r="AF8" s="3">
        <f>V8-AE8</f>
      </c>
      <c r="AG8" t="s">
        <v>94</v>
      </c>
      <c r="AH8" t="s">
        <v>74</v>
      </c>
    </row>
    <row r="9" spans="1:34" x14ac:dyDescent="0.25">
      <c r="A9" s="7">
        <v>46231.5</v>
      </c>
      <c r="B9" t="s">
        <v>1507</v>
      </c>
      <c r="C9" t="s">
        <v>1</v>
      </c>
      <c r="D9" s="8" t="s">
        <v>1508</v>
      </c>
      <c r="E9" t="s">
        <v>101</v>
      </c>
      <c r="F9">
        <v>1</v>
      </c>
      <c r="G9" s="3">
        <v>137</v>
      </c>
      <c r="H9" s="3">
        <v>187.69</v>
      </c>
      <c r="I9" s="3">
        <f>H9-G9</f>
      </c>
      <c r="J9" s="3">
        <f>I9*16.67%</f>
      </c>
      <c r="K9" s="3">
        <f>(H9*6.9%)-(H9*6.9%)*10%</f>
      </c>
      <c r="L9" s="3">
        <f>H9*0.35%</f>
      </c>
      <c r="M9" s="3">
        <v>0.4</v>
      </c>
      <c r="N9" s="3">
        <f>(K9+L9+M9)*20%</f>
      </c>
      <c r="O9" s="3">
        <f>K9+L9+M9+N9</f>
      </c>
      <c r="P9" s="3">
        <v>0</v>
      </c>
      <c r="Q9" s="3">
        <v>0</v>
      </c>
      <c r="R9" s="3">
        <v>0</v>
      </c>
      <c r="S9" s="3">
        <f>R9*20%</f>
      </c>
      <c r="T9" s="3">
        <v>1</v>
      </c>
      <c r="U9" s="3">
        <f>N9+Q9+S9</f>
      </c>
      <c r="V9" s="3">
        <f>I9-J9-O9-P9-Q9-R9-S9-T9</f>
      </c>
      <c r="W9" s="3">
        <f>(V9-AE9)/H9*100</f>
      </c>
      <c r="X9" s="3">
        <f>J9-U9</f>
      </c>
      <c r="Y9" t="s">
        <v>1</v>
      </c>
      <c r="Z9" t="s">
        <v>90</v>
      </c>
      <c r="AF9" s="3">
        <f>V9-AE9</f>
      </c>
      <c r="AG9" t="s">
        <v>65</v>
      </c>
      <c r="AH9" t="s">
        <v>74</v>
      </c>
    </row>
    <row r="10" spans="1:34" x14ac:dyDescent="0.25">
      <c r="A10" s="7">
        <v>46231.5</v>
      </c>
      <c r="B10" t="s">
        <v>1509</v>
      </c>
      <c r="C10" t="s">
        <v>1</v>
      </c>
      <c r="D10" s="8" t="s">
        <v>1510</v>
      </c>
      <c r="E10" t="s">
        <v>101</v>
      </c>
      <c r="F10">
        <v>1</v>
      </c>
      <c r="G10" s="3">
        <v>230</v>
      </c>
      <c r="H10" s="3">
        <v>322</v>
      </c>
      <c r="I10" s="3">
        <f>H10-G10</f>
      </c>
      <c r="J10" s="3">
        <f>I10*16.67%</f>
      </c>
      <c r="K10" s="3">
        <f>(H10*6.9%)-(H10*6.9%)*10%</f>
      </c>
      <c r="L10" s="3">
        <f>H10*0.35%</f>
      </c>
      <c r="M10" s="3">
        <v>0.4</v>
      </c>
      <c r="N10" s="3">
        <f>(K10+L10+M10)*20%</f>
      </c>
      <c r="O10" s="3">
        <f>K10+L10+M10+N10</f>
      </c>
      <c r="P10" s="3">
        <v>0</v>
      </c>
      <c r="Q10" s="3">
        <v>0</v>
      </c>
      <c r="R10" s="3">
        <v>0</v>
      </c>
      <c r="S10" s="3">
        <f>R10*20%</f>
      </c>
      <c r="T10" s="3">
        <v>1</v>
      </c>
      <c r="U10" s="3">
        <f>N10+Q10+S10</f>
      </c>
      <c r="V10" s="3">
        <f>I10-J10-O10-P10-Q10-R10-S10-T10</f>
      </c>
      <c r="W10" s="3">
        <f>(V10-AE10)/H10*100</f>
      </c>
      <c r="X10" s="3">
        <f>J10-U10</f>
      </c>
      <c r="Y10" t="s">
        <v>1</v>
      </c>
      <c r="Z10" t="s">
        <v>64</v>
      </c>
      <c r="AF10" s="3">
        <f>V10-AE10</f>
      </c>
      <c r="AG10" t="s">
        <v>65</v>
      </c>
      <c r="AH10" t="s">
        <v>87</v>
      </c>
    </row>
    <row r="11" spans="1:34" x14ac:dyDescent="0.25">
      <c r="A11" s="7">
        <v>46231.5</v>
      </c>
      <c r="B11" t="s">
        <v>1511</v>
      </c>
      <c r="C11" t="s">
        <v>1</v>
      </c>
      <c r="D11" s="8" t="s">
        <v>1512</v>
      </c>
      <c r="E11" t="s">
        <v>57</v>
      </c>
      <c r="F11">
        <v>1</v>
      </c>
      <c r="G11" s="3">
        <v>433</v>
      </c>
      <c r="H11" s="3">
        <v>584.55</v>
      </c>
      <c r="I11" s="3">
        <f>H11-G11</f>
      </c>
      <c r="J11" s="3">
        <f>I11*16.67%</f>
      </c>
      <c r="K11" s="3">
        <f>(H11*6.9%)-(H11*6.9%)*10%</f>
      </c>
      <c r="L11" s="3">
        <f>H11*0.35%</f>
      </c>
      <c r="M11" s="3">
        <v>0.4</v>
      </c>
      <c r="N11" s="3">
        <f>(K11+L11+M11)*20%</f>
      </c>
      <c r="O11" s="3">
        <f>K11+L11+M11+N11</f>
      </c>
      <c r="P11" s="3">
        <v>0</v>
      </c>
      <c r="Q11" s="3">
        <v>0</v>
      </c>
      <c r="R11" s="3">
        <v>0</v>
      </c>
      <c r="S11" s="3">
        <f>R11*20%</f>
      </c>
      <c r="T11" s="3">
        <v>1</v>
      </c>
      <c r="U11" s="3">
        <f>N11+Q11+S11</f>
      </c>
      <c r="V11" s="3">
        <f>I11-J11-O11-P11-Q11-R11-S11-T11</f>
      </c>
      <c r="W11" s="3">
        <f>(V11-AE11)/H11*100</f>
      </c>
      <c r="X11" s="3">
        <f>J11-U11</f>
      </c>
      <c r="Y11" t="s">
        <v>1</v>
      </c>
      <c r="Z11" t="s">
        <v>58</v>
      </c>
      <c r="AF11" s="3">
        <f>V11-AE11</f>
      </c>
      <c r="AG11" t="s">
        <v>59</v>
      </c>
      <c r="AH11" t="s">
        <v>84</v>
      </c>
    </row>
    <row r="12" spans="1:34" x14ac:dyDescent="0.25">
      <c r="A12" s="7">
        <v>46231.5</v>
      </c>
      <c r="B12" t="s">
        <v>1513</v>
      </c>
      <c r="C12" t="s">
        <v>1</v>
      </c>
      <c r="D12" s="8" t="s">
        <v>1514</v>
      </c>
      <c r="E12" t="s">
        <v>77</v>
      </c>
      <c r="F12">
        <v>1</v>
      </c>
      <c r="G12" s="3">
        <v>244</v>
      </c>
      <c r="H12" s="3">
        <v>344.04</v>
      </c>
      <c r="I12" s="3">
        <f>H12-G12</f>
      </c>
      <c r="J12" s="3">
        <f>I12*16.67%</f>
      </c>
      <c r="K12" s="3">
        <f>(H12*6.9%)-(H12*6.9%)*10%</f>
      </c>
      <c r="L12" s="3">
        <f>H12*0.35%</f>
      </c>
      <c r="M12" s="3">
        <v>0.4</v>
      </c>
      <c r="N12" s="3">
        <f>(K12+L12+M12)*20%</f>
      </c>
      <c r="O12" s="3">
        <f>K12+L12+M12+N12</f>
      </c>
      <c r="P12" s="3">
        <v>0</v>
      </c>
      <c r="Q12" s="3">
        <v>0</v>
      </c>
      <c r="R12" s="3">
        <v>0</v>
      </c>
      <c r="S12" s="3">
        <f>R12*20%</f>
      </c>
      <c r="T12" s="3">
        <v>1</v>
      </c>
      <c r="U12" s="3">
        <f>N12+Q12+S12</f>
      </c>
      <c r="V12" s="3">
        <f>I12-J12-O12-P12-Q12-R12-S12-T12</f>
      </c>
      <c r="W12" s="3">
        <f>(V12-AE12)/H12*100</f>
      </c>
      <c r="X12" s="3">
        <f>J12-U12</f>
      </c>
      <c r="Y12" t="s">
        <v>1</v>
      </c>
      <c r="Z12" t="s">
        <v>113</v>
      </c>
      <c r="AF12" s="3">
        <f>V12-AE12</f>
      </c>
      <c r="AG12" t="s">
        <v>59</v>
      </c>
      <c r="AH12" t="s">
        <v>98</v>
      </c>
    </row>
    <row r="13" spans="1:34" x14ac:dyDescent="0.25">
      <c r="A13" s="7">
        <v>46231.5</v>
      </c>
      <c r="B13" t="s">
        <v>1515</v>
      </c>
      <c r="C13" t="s">
        <v>1</v>
      </c>
      <c r="D13" s="8" t="s">
        <v>1516</v>
      </c>
      <c r="E13" t="s">
        <v>77</v>
      </c>
      <c r="F13">
        <v>1</v>
      </c>
      <c r="G13" s="3">
        <v>118</v>
      </c>
      <c r="H13" s="3">
        <v>139.24</v>
      </c>
      <c r="I13" s="3">
        <f>H13-G13</f>
      </c>
      <c r="J13" s="3">
        <f>I13*16.67%</f>
      </c>
      <c r="K13" s="3">
        <f>(H13*6.9%)-(H13*6.9%)*10%</f>
      </c>
      <c r="L13" s="3">
        <f>H13*0.35%</f>
      </c>
      <c r="M13" s="3">
        <v>0.4</v>
      </c>
      <c r="N13" s="3">
        <f>(K13+L13+M13)*20%</f>
      </c>
      <c r="O13" s="3">
        <f>K13+L13+M13+N13</f>
      </c>
      <c r="P13" s="3">
        <v>0</v>
      </c>
      <c r="Q13" s="3">
        <v>0</v>
      </c>
      <c r="R13" s="3">
        <v>0</v>
      </c>
      <c r="S13" s="3">
        <f>R13*20%</f>
      </c>
      <c r="T13" s="3">
        <v>1</v>
      </c>
      <c r="U13" s="3">
        <f>N13+Q13+S13</f>
      </c>
      <c r="V13" s="3">
        <f>I13-J13-O13-P13-Q13-R13-S13-T13</f>
      </c>
      <c r="W13" s="3">
        <f>(V13-AE13)/H13*100</f>
      </c>
      <c r="X13" s="3">
        <f>J13-U13</f>
      </c>
      <c r="Y13" t="s">
        <v>1</v>
      </c>
      <c r="Z13" t="s">
        <v>90</v>
      </c>
      <c r="AF13" s="3">
        <f>V13-AE13</f>
      </c>
      <c r="AG13" t="s">
        <v>65</v>
      </c>
      <c r="AH13" t="s">
        <v>69</v>
      </c>
    </row>
    <row r="14" spans="1:34" x14ac:dyDescent="0.25">
      <c r="A14" s="7">
        <v>46231.5</v>
      </c>
      <c r="B14" t="s">
        <v>1517</v>
      </c>
      <c r="C14" t="s">
        <v>1</v>
      </c>
      <c r="D14" s="8" t="s">
        <v>1518</v>
      </c>
      <c r="E14" t="s">
        <v>72</v>
      </c>
      <c r="F14">
        <v>1</v>
      </c>
      <c r="G14" s="3">
        <v>272</v>
      </c>
      <c r="H14" s="3">
        <v>394.4</v>
      </c>
      <c r="I14" s="3">
        <f>H14-G14</f>
      </c>
      <c r="J14" s="3">
        <f>I14*16.67%</f>
      </c>
      <c r="K14" s="3">
        <f>(H14*6.9%)-(H14*6.9%)*10%</f>
      </c>
      <c r="L14" s="3">
        <f>H14*0.35%</f>
      </c>
      <c r="M14" s="3">
        <v>0.4</v>
      </c>
      <c r="N14" s="3">
        <f>(K14+L14+M14)*20%</f>
      </c>
      <c r="O14" s="3">
        <f>K14+L14+M14+N14</f>
      </c>
      <c r="P14" s="3">
        <v>0</v>
      </c>
      <c r="Q14" s="3">
        <v>0</v>
      </c>
      <c r="R14" s="3">
        <v>0</v>
      </c>
      <c r="S14" s="3">
        <f>R14*20%</f>
      </c>
      <c r="T14" s="3">
        <v>1</v>
      </c>
      <c r="U14" s="3">
        <f>N14+Q14+S14</f>
      </c>
      <c r="V14" s="3">
        <f>I14-J14-O14-P14-Q14-R14-S14-T14</f>
      </c>
      <c r="W14" s="3">
        <f>(V14-AE14)/H14*100</f>
      </c>
      <c r="X14" s="3">
        <f>J14-U14</f>
      </c>
      <c r="Y14" t="s">
        <v>1</v>
      </c>
      <c r="Z14" t="s">
        <v>124</v>
      </c>
      <c r="AF14" s="3">
        <f>V14-AE14</f>
      </c>
      <c r="AG14" t="s">
        <v>125</v>
      </c>
      <c r="AH14" t="s">
        <v>74</v>
      </c>
    </row>
    <row r="15" spans="1:34" x14ac:dyDescent="0.25">
      <c r="A15" s="7">
        <v>46231.5</v>
      </c>
      <c r="B15" t="s">
        <v>1519</v>
      </c>
      <c r="C15" t="s">
        <v>1</v>
      </c>
      <c r="D15" s="8" t="s">
        <v>1520</v>
      </c>
      <c r="E15" t="s">
        <v>63</v>
      </c>
      <c r="F15">
        <v>1</v>
      </c>
      <c r="G15" s="3">
        <v>114</v>
      </c>
      <c r="H15" s="3">
        <v>160.74</v>
      </c>
      <c r="I15" s="3">
        <f>H15-G15</f>
      </c>
      <c r="J15" s="3">
        <f>I15*16.67%</f>
      </c>
      <c r="K15" s="3">
        <f>(H15*6.9%)-(H15*6.9%)*10%</f>
      </c>
      <c r="L15" s="3">
        <f>H15*0.35%</f>
      </c>
      <c r="M15" s="3">
        <v>0.4</v>
      </c>
      <c r="N15" s="3">
        <f>(K15+L15+M15)*20%</f>
      </c>
      <c r="O15" s="3">
        <f>K15+L15+M15+N15</f>
      </c>
      <c r="P15" s="3">
        <v>0</v>
      </c>
      <c r="Q15" s="3">
        <v>0</v>
      </c>
      <c r="R15" s="3">
        <v>0</v>
      </c>
      <c r="S15" s="3">
        <f>R15*20%</f>
      </c>
      <c r="T15" s="3">
        <v>1</v>
      </c>
      <c r="U15" s="3">
        <f>N15+Q15+S15</f>
      </c>
      <c r="V15" s="3">
        <f>I15-J15-O15-P15-Q15-R15-S15-T15</f>
      </c>
      <c r="W15" s="3">
        <f>(V15-AE15)/H15*100</f>
      </c>
      <c r="X15" s="3">
        <f>J15-U15</f>
      </c>
      <c r="Y15" t="s">
        <v>1</v>
      </c>
      <c r="Z15" t="s">
        <v>90</v>
      </c>
      <c r="AF15" s="3">
        <f>V15-AE15</f>
      </c>
      <c r="AG15" t="s">
        <v>94</v>
      </c>
      <c r="AH15" t="s">
        <v>74</v>
      </c>
    </row>
    <row r="16" spans="1:34" x14ac:dyDescent="0.25">
      <c r="A16" s="7">
        <v>46231.5</v>
      </c>
      <c r="B16" t="s">
        <v>1521</v>
      </c>
      <c r="C16" t="s">
        <v>1</v>
      </c>
      <c r="D16" s="8" t="s">
        <v>1522</v>
      </c>
      <c r="E16" t="s">
        <v>77</v>
      </c>
      <c r="F16">
        <v>1</v>
      </c>
      <c r="G16" s="3">
        <v>114</v>
      </c>
      <c r="H16" s="3">
        <v>135.66</v>
      </c>
      <c r="I16" s="3">
        <f>H16-G16</f>
      </c>
      <c r="J16" s="3">
        <f>I16*16.67%</f>
      </c>
      <c r="K16" s="3">
        <f>(H16*6.9%)-(H16*6.9%)*10%</f>
      </c>
      <c r="L16" s="3">
        <f>H16*0.35%</f>
      </c>
      <c r="M16" s="3">
        <v>0.4</v>
      </c>
      <c r="N16" s="3">
        <f>(K16+L16+M16)*20%</f>
      </c>
      <c r="O16" s="3">
        <f>K16+L16+M16+N16</f>
      </c>
      <c r="P16" s="3">
        <v>0</v>
      </c>
      <c r="Q16" s="3">
        <v>0</v>
      </c>
      <c r="R16" s="3">
        <v>0</v>
      </c>
      <c r="S16" s="3">
        <f>R16*20%</f>
      </c>
      <c r="T16" s="3">
        <v>1</v>
      </c>
      <c r="U16" s="3">
        <f>N16+Q16+S16</f>
      </c>
      <c r="V16" s="3">
        <f>I16-J16-O16-P16-Q16-R16-S16-T16</f>
      </c>
      <c r="W16" s="3">
        <f>(V16-AE16)/H16*100</f>
      </c>
      <c r="X16" s="3">
        <f>J16-U16</f>
      </c>
      <c r="Y16" t="s">
        <v>1</v>
      </c>
      <c r="Z16" t="s">
        <v>90</v>
      </c>
      <c r="AF16" s="3">
        <f>V16-AE16</f>
      </c>
      <c r="AG16" t="s">
        <v>94</v>
      </c>
      <c r="AH16" t="s">
        <v>87</v>
      </c>
    </row>
    <row r="17" spans="1:34" x14ac:dyDescent="0.25">
      <c r="A17" s="7">
        <v>46231.5</v>
      </c>
      <c r="B17" t="s">
        <v>1523</v>
      </c>
      <c r="C17" t="s">
        <v>1</v>
      </c>
      <c r="D17" s="8" t="s">
        <v>1524</v>
      </c>
      <c r="E17" t="s">
        <v>77</v>
      </c>
      <c r="F17">
        <v>1</v>
      </c>
      <c r="G17" s="3">
        <v>295</v>
      </c>
      <c r="H17" s="3">
        <v>380.55</v>
      </c>
      <c r="I17" s="3">
        <f>H17-G17</f>
      </c>
      <c r="J17" s="3">
        <f>I17*16.67%</f>
      </c>
      <c r="K17" s="3">
        <f>(H17*6.9%)-(H17*6.9%)*10%</f>
      </c>
      <c r="L17" s="3">
        <f>H17*0.35%</f>
      </c>
      <c r="M17" s="3">
        <v>0.4</v>
      </c>
      <c r="N17" s="3">
        <f>(K17+L17+M17)*20%</f>
      </c>
      <c r="O17" s="3">
        <f>K17+L17+M17+N17</f>
      </c>
      <c r="P17" s="3">
        <v>0</v>
      </c>
      <c r="Q17" s="3">
        <v>0</v>
      </c>
      <c r="R17" s="3">
        <v>0</v>
      </c>
      <c r="S17" s="3">
        <f>R17*20%</f>
      </c>
      <c r="T17" s="3">
        <v>1</v>
      </c>
      <c r="U17" s="3">
        <f>N17+Q17+S17</f>
      </c>
      <c r="V17" s="3">
        <f>I17-J17-O17-P17-Q17-R17-S17-T17</f>
      </c>
      <c r="W17" s="3">
        <f>(V17-AE17)/H17*100</f>
      </c>
      <c r="X17" s="3">
        <f>J17-U17</f>
      </c>
      <c r="Y17" t="s">
        <v>1</v>
      </c>
      <c r="Z17" t="s">
        <v>130</v>
      </c>
      <c r="AF17" s="3">
        <f>V17-AE17</f>
      </c>
      <c r="AG17" t="s">
        <v>65</v>
      </c>
      <c r="AH17" t="s">
        <v>104</v>
      </c>
    </row>
    <row r="18" spans="1:34" x14ac:dyDescent="0.25">
      <c r="A18" s="7">
        <v>46231.5</v>
      </c>
      <c r="B18" t="s">
        <v>1525</v>
      </c>
      <c r="C18" t="s">
        <v>1</v>
      </c>
      <c r="D18" s="8" t="s">
        <v>1526</v>
      </c>
      <c r="E18" t="s">
        <v>101</v>
      </c>
      <c r="F18">
        <v>1</v>
      </c>
      <c r="G18" s="3">
        <v>514</v>
      </c>
      <c r="H18" s="3">
        <v>663.06</v>
      </c>
      <c r="I18" s="3">
        <f>H18-G18</f>
      </c>
      <c r="J18" s="3">
        <f>I18*16.67%</f>
      </c>
      <c r="K18" s="3">
        <f>(H18*6.9%)-(H18*6.9%)*10%</f>
      </c>
      <c r="L18" s="3">
        <f>H18*0.35%</f>
      </c>
      <c r="M18" s="3">
        <v>0.4</v>
      </c>
      <c r="N18" s="3">
        <f>(K18+L18+M18)*20%</f>
      </c>
      <c r="O18" s="3">
        <f>K18+L18+M18+N18</f>
      </c>
      <c r="P18" s="3">
        <v>0</v>
      </c>
      <c r="Q18" s="3">
        <v>0</v>
      </c>
      <c r="R18" s="3">
        <v>0</v>
      </c>
      <c r="S18" s="3">
        <f>R18*20%</f>
      </c>
      <c r="T18" s="3">
        <v>1</v>
      </c>
      <c r="U18" s="3">
        <f>N18+Q18+S18</f>
      </c>
      <c r="V18" s="3">
        <f>I18-J18-O18-P18-Q18-R18-S18-T18</f>
      </c>
      <c r="W18" s="3">
        <f>(V18-AE18)/H18*100</f>
      </c>
      <c r="X18" s="3">
        <f>J18-U18</f>
      </c>
      <c r="Y18" t="s">
        <v>1</v>
      </c>
      <c r="Z18" t="s">
        <v>68</v>
      </c>
      <c r="AF18" s="3">
        <f>V18-AE18</f>
      </c>
      <c r="AG18" t="s">
        <v>59</v>
      </c>
      <c r="AH18" t="s">
        <v>60</v>
      </c>
    </row>
    <row r="19" spans="1:34" x14ac:dyDescent="0.25">
      <c r="A19" s="7">
        <v>46231.5</v>
      </c>
      <c r="B19" t="s">
        <v>1527</v>
      </c>
      <c r="C19" t="s">
        <v>1</v>
      </c>
      <c r="D19" s="8" t="s">
        <v>1528</v>
      </c>
      <c r="E19" t="s">
        <v>57</v>
      </c>
      <c r="F19">
        <v>1</v>
      </c>
      <c r="G19" s="3">
        <v>343</v>
      </c>
      <c r="H19" s="3">
        <v>476.77</v>
      </c>
      <c r="I19" s="3">
        <f>H19-G19</f>
      </c>
      <c r="J19" s="3">
        <f>I19*16.67%</f>
      </c>
      <c r="K19" s="3">
        <f>(H19*6.9%)-(H19*6.9%)*10%</f>
      </c>
      <c r="L19" s="3">
        <f>H19*0.35%</f>
      </c>
      <c r="M19" s="3">
        <v>0.4</v>
      </c>
      <c r="N19" s="3">
        <f>(K19+L19+M19)*20%</f>
      </c>
      <c r="O19" s="3">
        <f>K19+L19+M19+N19</f>
      </c>
      <c r="P19" s="3">
        <v>0</v>
      </c>
      <c r="Q19" s="3">
        <v>0</v>
      </c>
      <c r="R19" s="3">
        <v>0</v>
      </c>
      <c r="S19" s="3">
        <f>R19*20%</f>
      </c>
      <c r="T19" s="3">
        <v>1</v>
      </c>
      <c r="U19" s="3">
        <f>N19+Q19+S19</f>
      </c>
      <c r="V19" s="3">
        <f>I19-J19-O19-P19-Q19-R19-S19-T19</f>
      </c>
      <c r="W19" s="3">
        <f>(V19-AE19)/H19*100</f>
      </c>
      <c r="X19" s="3">
        <f>J19-U19</f>
      </c>
      <c r="Y19" t="s">
        <v>1</v>
      </c>
      <c r="Z19" t="s">
        <v>138</v>
      </c>
      <c r="AF19" s="3">
        <f>V19-AE19</f>
      </c>
      <c r="AG19" t="s">
        <v>65</v>
      </c>
      <c r="AH19" t="s">
        <v>74</v>
      </c>
    </row>
    <row r="20" spans="1:34" x14ac:dyDescent="0.25">
      <c r="A20" s="7">
        <v>46231.5</v>
      </c>
      <c r="B20" t="s">
        <v>1529</v>
      </c>
      <c r="C20" t="s">
        <v>1</v>
      </c>
      <c r="D20" s="8" t="s">
        <v>1530</v>
      </c>
      <c r="E20" t="s">
        <v>77</v>
      </c>
      <c r="F20">
        <v>1</v>
      </c>
      <c r="G20" s="3">
        <v>260</v>
      </c>
      <c r="H20" s="3">
        <v>317.2</v>
      </c>
      <c r="I20" s="3">
        <f>H20-G20</f>
      </c>
      <c r="J20" s="3">
        <f>I20*16.67%</f>
      </c>
      <c r="K20" s="3">
        <f>(H20*6.9%)-(H20*6.9%)*10%</f>
      </c>
      <c r="L20" s="3">
        <f>H20*0.35%</f>
      </c>
      <c r="M20" s="3">
        <v>0.4</v>
      </c>
      <c r="N20" s="3">
        <f>(K20+L20+M20)*20%</f>
      </c>
      <c r="O20" s="3">
        <f>K20+L20+M20+N20</f>
      </c>
      <c r="P20" s="3">
        <v>0</v>
      </c>
      <c r="Q20" s="3">
        <v>0</v>
      </c>
      <c r="R20" s="3">
        <v>0</v>
      </c>
      <c r="S20" s="3">
        <f>R20*20%</f>
      </c>
      <c r="T20" s="3">
        <v>1</v>
      </c>
      <c r="U20" s="3">
        <f>N20+Q20+S20</f>
      </c>
      <c r="V20" s="3">
        <f>I20-J20-O20-P20-Q20-R20-S20-T20</f>
      </c>
      <c r="W20" s="3">
        <f>(V20-AE20)/H20*100</f>
      </c>
      <c r="X20" s="3">
        <f>J20-U20</f>
      </c>
      <c r="Y20" t="s">
        <v>1</v>
      </c>
      <c r="Z20" t="s">
        <v>64</v>
      </c>
      <c r="AF20" s="3">
        <f>V20-AE20</f>
      </c>
      <c r="AG20" t="s">
        <v>65</v>
      </c>
      <c r="AH20" t="s">
        <v>84</v>
      </c>
    </row>
    <row r="21" spans="1:34" x14ac:dyDescent="0.25">
      <c r="A21" s="7">
        <v>46231.5</v>
      </c>
      <c r="B21" t="s">
        <v>1531</v>
      </c>
      <c r="C21" t="s">
        <v>1</v>
      </c>
      <c r="D21" s="8" t="s">
        <v>1532</v>
      </c>
      <c r="E21" t="s">
        <v>101</v>
      </c>
      <c r="F21">
        <v>1</v>
      </c>
      <c r="G21" s="3">
        <v>433</v>
      </c>
      <c r="H21" s="3">
        <v>497.95</v>
      </c>
      <c r="I21" s="3">
        <f>H21-G21</f>
      </c>
      <c r="J21" s="3">
        <f>I21*16.67%</f>
      </c>
      <c r="K21" s="3">
        <f>(H21*6.9%)-(H21*6.9%)*10%</f>
      </c>
      <c r="L21" s="3">
        <f>H21*0.35%</f>
      </c>
      <c r="M21" s="3">
        <v>0.4</v>
      </c>
      <c r="N21" s="3">
        <f>(K21+L21+M21)*20%</f>
      </c>
      <c r="O21" s="3">
        <f>K21+L21+M21+N21</f>
      </c>
      <c r="P21" s="3">
        <v>0</v>
      </c>
      <c r="Q21" s="3">
        <v>0</v>
      </c>
      <c r="R21" s="3">
        <v>0</v>
      </c>
      <c r="S21" s="3">
        <f>R21*20%</f>
      </c>
      <c r="T21" s="3">
        <v>1</v>
      </c>
      <c r="U21" s="3">
        <f>N21+Q21+S21</f>
      </c>
      <c r="V21" s="3">
        <f>I21-J21-O21-P21-Q21-R21-S21-T21</f>
      </c>
      <c r="W21" s="3">
        <f>(V21-AE21)/H21*100</f>
      </c>
      <c r="X21" s="3">
        <f>J21-U21</f>
      </c>
      <c r="Y21" t="s">
        <v>1</v>
      </c>
      <c r="Z21" t="s">
        <v>58</v>
      </c>
      <c r="AF21" s="3">
        <f>V21-AE21</f>
      </c>
      <c r="AG21" t="s">
        <v>59</v>
      </c>
      <c r="AH21" t="s">
        <v>74</v>
      </c>
    </row>
    <row r="22" spans="1:34" x14ac:dyDescent="0.25">
      <c r="A22" s="7">
        <v>46231.5</v>
      </c>
      <c r="B22" t="s">
        <v>1533</v>
      </c>
      <c r="C22" t="s">
        <v>1</v>
      </c>
      <c r="D22" s="8" t="s">
        <v>1534</v>
      </c>
      <c r="E22" t="s">
        <v>63</v>
      </c>
      <c r="F22">
        <v>1</v>
      </c>
      <c r="G22" s="3">
        <v>368</v>
      </c>
      <c r="H22" s="3">
        <v>467.36</v>
      </c>
      <c r="I22" s="3">
        <f>H22-G22</f>
      </c>
      <c r="J22" s="3">
        <f>I22*16.67%</f>
      </c>
      <c r="K22" s="3">
        <f>(H22*6.9%)-(H22*6.9%)*10%</f>
      </c>
      <c r="L22" s="3">
        <f>H22*0.35%</f>
      </c>
      <c r="M22" s="3">
        <v>0.4</v>
      </c>
      <c r="N22" s="3">
        <f>(K22+L22+M22)*20%</f>
      </c>
      <c r="O22" s="3">
        <f>K22+L22+M22+N22</f>
      </c>
      <c r="P22" s="3">
        <v>0</v>
      </c>
      <c r="Q22" s="3">
        <v>0</v>
      </c>
      <c r="R22" s="3">
        <v>0</v>
      </c>
      <c r="S22" s="3">
        <f>R22*20%</f>
      </c>
      <c r="T22" s="3">
        <v>1</v>
      </c>
      <c r="U22" s="3">
        <f>N22+Q22+S22</f>
      </c>
      <c r="V22" s="3">
        <f>I22-J22-O22-P22-Q22-R22-S22-T22</f>
      </c>
      <c r="W22" s="3">
        <f>(V22-AE22)/H22*100</f>
      </c>
      <c r="X22" s="3">
        <f>J22-U22</f>
      </c>
      <c r="Y22" t="s">
        <v>1</v>
      </c>
      <c r="Z22" t="s">
        <v>73</v>
      </c>
      <c r="AF22" s="3">
        <f>V22-AE22</f>
      </c>
      <c r="AG22" t="s">
        <v>59</v>
      </c>
      <c r="AH22" t="s">
        <v>104</v>
      </c>
    </row>
    <row r="23" spans="1:34" x14ac:dyDescent="0.25">
      <c r="A23" s="7">
        <v>46231.5</v>
      </c>
      <c r="B23" t="s">
        <v>1535</v>
      </c>
      <c r="C23" t="s">
        <v>1</v>
      </c>
      <c r="D23" s="8" t="s">
        <v>1536</v>
      </c>
      <c r="E23" t="s">
        <v>77</v>
      </c>
      <c r="F23">
        <v>1</v>
      </c>
      <c r="G23" s="3">
        <v>324</v>
      </c>
      <c r="H23" s="3">
        <v>430.92</v>
      </c>
      <c r="I23" s="3">
        <f>H23-G23</f>
      </c>
      <c r="J23" s="3">
        <f>I23*16.67%</f>
      </c>
      <c r="K23" s="3">
        <f>(H23*6.9%)-(H23*6.9%)*10%</f>
      </c>
      <c r="L23" s="3">
        <f>H23*0.35%</f>
      </c>
      <c r="M23" s="3">
        <v>0.4</v>
      </c>
      <c r="N23" s="3">
        <f>(K23+L23+M23)*20%</f>
      </c>
      <c r="O23" s="3">
        <f>K23+L23+M23+N23</f>
      </c>
      <c r="P23" s="3">
        <v>0</v>
      </c>
      <c r="Q23" s="3">
        <v>0</v>
      </c>
      <c r="R23" s="3">
        <v>0</v>
      </c>
      <c r="S23" s="3">
        <f>R23*20%</f>
      </c>
      <c r="T23" s="3">
        <v>1</v>
      </c>
      <c r="U23" s="3">
        <f>N23+Q23+S23</f>
      </c>
      <c r="V23" s="3">
        <f>I23-J23-O23-P23-Q23-R23-S23-T23</f>
      </c>
      <c r="W23" s="3">
        <f>(V23-AE23)/H23*100</f>
      </c>
      <c r="X23" s="3">
        <f>J23-U23</f>
      </c>
      <c r="Y23" t="s">
        <v>1</v>
      </c>
      <c r="Z23" t="s">
        <v>130</v>
      </c>
      <c r="AF23" s="3">
        <f>V23-AE23</f>
      </c>
      <c r="AG23" t="s">
        <v>65</v>
      </c>
      <c r="AH23" t="s">
        <v>84</v>
      </c>
    </row>
    <row r="24" spans="1:34" x14ac:dyDescent="0.25">
      <c r="A24" s="7">
        <v>46231.5</v>
      </c>
      <c r="B24" t="s">
        <v>1537</v>
      </c>
      <c r="C24" t="s">
        <v>1</v>
      </c>
      <c r="D24" s="8" t="s">
        <v>1538</v>
      </c>
      <c r="E24" t="s">
        <v>72</v>
      </c>
      <c r="F24">
        <v>1</v>
      </c>
      <c r="G24" s="3">
        <v>504</v>
      </c>
      <c r="H24" s="3">
        <v>609.84</v>
      </c>
      <c r="I24" s="3">
        <f>H24-G24</f>
      </c>
      <c r="J24" s="3">
        <f>I24*16.67%</f>
      </c>
      <c r="K24" s="3">
        <f>(H24*6.9%)-(H24*6.9%)*10%</f>
      </c>
      <c r="L24" s="3">
        <f>H24*0.35%</f>
      </c>
      <c r="M24" s="3">
        <v>0.4</v>
      </c>
      <c r="N24" s="3">
        <f>(K24+L24+M24)*20%</f>
      </c>
      <c r="O24" s="3">
        <f>K24+L24+M24+N24</f>
      </c>
      <c r="P24" s="3">
        <v>0</v>
      </c>
      <c r="Q24" s="3">
        <v>0</v>
      </c>
      <c r="R24" s="3">
        <v>0</v>
      </c>
      <c r="S24" s="3">
        <f>R24*20%</f>
      </c>
      <c r="T24" s="3">
        <v>1</v>
      </c>
      <c r="U24" s="3">
        <f>N24+Q24+S24</f>
      </c>
      <c r="V24" s="3">
        <f>I24-J24-O24-P24-Q24-R24-S24-T24</f>
      </c>
      <c r="W24" s="3">
        <f>(V24-AE24)/H24*100</f>
      </c>
      <c r="X24" s="3">
        <f>J24-U24</f>
      </c>
      <c r="Y24" t="s">
        <v>1</v>
      </c>
      <c r="Z24" t="s">
        <v>68</v>
      </c>
      <c r="AF24" s="3">
        <f>V24-AE24</f>
      </c>
      <c r="AG24" t="s">
        <v>59</v>
      </c>
      <c r="AH24" t="s">
        <v>69</v>
      </c>
    </row>
    <row r="25" spans="1:34" x14ac:dyDescent="0.25">
      <c r="A25" s="7">
        <v>46231.5</v>
      </c>
      <c r="B25" t="s">
        <v>1539</v>
      </c>
      <c r="C25" t="s">
        <v>1</v>
      </c>
      <c r="D25" s="8" t="s">
        <v>1540</v>
      </c>
      <c r="E25" t="s">
        <v>57</v>
      </c>
      <c r="F25">
        <v>1</v>
      </c>
      <c r="G25" s="3">
        <v>337</v>
      </c>
      <c r="H25" s="3">
        <v>481.91</v>
      </c>
      <c r="I25" s="3">
        <f>H25-G25</f>
      </c>
      <c r="J25" s="3">
        <f>I25*16.67%</f>
      </c>
      <c r="K25" s="3">
        <f>(H25*6.9%)-(H25*6.9%)*10%</f>
      </c>
      <c r="L25" s="3">
        <f>H25*0.35%</f>
      </c>
      <c r="M25" s="3">
        <v>0.4</v>
      </c>
      <c r="N25" s="3">
        <f>(K25+L25+M25)*20%</f>
      </c>
      <c r="O25" s="3">
        <f>K25+L25+M25+N25</f>
      </c>
      <c r="P25" s="3">
        <v>0</v>
      </c>
      <c r="Q25" s="3">
        <v>0</v>
      </c>
      <c r="R25" s="3">
        <v>0</v>
      </c>
      <c r="S25" s="3">
        <f>R25*20%</f>
      </c>
      <c r="T25" s="3">
        <v>1</v>
      </c>
      <c r="U25" s="3">
        <f>N25+Q25+S25</f>
      </c>
      <c r="V25" s="3">
        <f>I25-J25-O25-P25-Q25-R25-S25-T25</f>
      </c>
      <c r="W25" s="3">
        <f>(V25-AE25)/H25*100</f>
      </c>
      <c r="X25" s="3">
        <f>J25-U25</f>
      </c>
      <c r="Y25" t="s">
        <v>1</v>
      </c>
      <c r="Z25" t="s">
        <v>138</v>
      </c>
      <c r="AF25" s="3">
        <f>V25-AE25</f>
      </c>
      <c r="AG25" t="s">
        <v>65</v>
      </c>
      <c r="AH25" t="s">
        <v>104</v>
      </c>
    </row>
    <row r="26" spans="1:34" x14ac:dyDescent="0.25">
      <c r="A26" s="7">
        <v>46231.5</v>
      </c>
      <c r="B26" t="s">
        <v>1541</v>
      </c>
      <c r="C26" t="s">
        <v>1</v>
      </c>
      <c r="D26" s="8" t="s">
        <v>1542</v>
      </c>
      <c r="E26" t="s">
        <v>72</v>
      </c>
      <c r="F26">
        <v>1</v>
      </c>
      <c r="G26" s="3">
        <v>369</v>
      </c>
      <c r="H26" s="3">
        <v>435.42</v>
      </c>
      <c r="I26" s="3">
        <f>H26-G26</f>
      </c>
      <c r="J26" s="3">
        <f>I26*16.67%</f>
      </c>
      <c r="K26" s="3">
        <f>(H26*6.9%)-(H26*6.9%)*10%</f>
      </c>
      <c r="L26" s="3">
        <f>H26*0.35%</f>
      </c>
      <c r="M26" s="3">
        <v>0.4</v>
      </c>
      <c r="N26" s="3">
        <f>(K26+L26+M26)*20%</f>
      </c>
      <c r="O26" s="3">
        <f>K26+L26+M26+N26</f>
      </c>
      <c r="P26" s="3">
        <v>0</v>
      </c>
      <c r="Q26" s="3">
        <v>0</v>
      </c>
      <c r="R26" s="3">
        <v>0</v>
      </c>
      <c r="S26" s="3">
        <f>R26*20%</f>
      </c>
      <c r="T26" s="3">
        <v>1</v>
      </c>
      <c r="U26" s="3">
        <f>N26+Q26+S26</f>
      </c>
      <c r="V26" s="3">
        <f>I26-J26-O26-P26-Q26-R26-S26-T26</f>
      </c>
      <c r="W26" s="3">
        <f>(V26-AE26)/H26*100</f>
      </c>
      <c r="X26" s="3">
        <f>J26-U26</f>
      </c>
      <c r="Y26" t="s">
        <v>1</v>
      </c>
      <c r="Z26" t="s">
        <v>73</v>
      </c>
      <c r="AF26" s="3">
        <f>V26-AE26</f>
      </c>
      <c r="AG26" t="s">
        <v>59</v>
      </c>
      <c r="AH26" t="s">
        <v>98</v>
      </c>
    </row>
    <row r="27" spans="1:34" x14ac:dyDescent="0.25">
      <c r="A27" s="7">
        <v>46231.5</v>
      </c>
      <c r="B27" t="s">
        <v>1543</v>
      </c>
      <c r="C27" t="s">
        <v>1</v>
      </c>
      <c r="D27" s="8" t="s">
        <v>1544</v>
      </c>
      <c r="E27" t="s">
        <v>72</v>
      </c>
      <c r="F27">
        <v>1</v>
      </c>
      <c r="G27" s="3">
        <v>306</v>
      </c>
      <c r="H27" s="3">
        <v>397.8</v>
      </c>
      <c r="I27" s="3">
        <f>H27-G27</f>
      </c>
      <c r="J27" s="3">
        <f>I27*16.67%</f>
      </c>
      <c r="K27" s="3">
        <f>(H27*6.9%)-(H27*6.9%)*10%</f>
      </c>
      <c r="L27" s="3">
        <f>H27*0.35%</f>
      </c>
      <c r="M27" s="3">
        <v>0.4</v>
      </c>
      <c r="N27" s="3">
        <f>(K27+L27+M27)*20%</f>
      </c>
      <c r="O27" s="3">
        <f>K27+L27+M27+N27</f>
      </c>
      <c r="P27" s="3">
        <v>0</v>
      </c>
      <c r="Q27" s="3">
        <v>0</v>
      </c>
      <c r="R27" s="3">
        <v>0</v>
      </c>
      <c r="S27" s="3">
        <f>R27*20%</f>
      </c>
      <c r="T27" s="3">
        <v>1</v>
      </c>
      <c r="U27" s="3">
        <f>N27+Q27+S27</f>
      </c>
      <c r="V27" s="3">
        <f>I27-J27-O27-P27-Q27-R27-S27-T27</f>
      </c>
      <c r="W27" s="3">
        <f>(V27-AE27)/H27*100</f>
      </c>
      <c r="X27" s="3">
        <f>J27-U27</f>
      </c>
      <c r="Y27" t="s">
        <v>1</v>
      </c>
      <c r="Z27" t="s">
        <v>138</v>
      </c>
      <c r="AF27" s="3">
        <f>V27-AE27</f>
      </c>
      <c r="AG27" t="s">
        <v>65</v>
      </c>
      <c r="AH27" t="s">
        <v>98</v>
      </c>
    </row>
    <row r="28" spans="1:34" x14ac:dyDescent="0.25">
      <c r="A28" s="7">
        <v>46231.5</v>
      </c>
      <c r="B28" t="s">
        <v>1545</v>
      </c>
      <c r="C28" t="s">
        <v>1</v>
      </c>
      <c r="D28" s="8" t="s">
        <v>1546</v>
      </c>
      <c r="E28" t="s">
        <v>101</v>
      </c>
      <c r="F28">
        <v>1</v>
      </c>
      <c r="G28" s="3">
        <v>330</v>
      </c>
      <c r="H28" s="3">
        <v>389.4</v>
      </c>
      <c r="I28" s="3">
        <f>H28-G28</f>
      </c>
      <c r="J28" s="3">
        <f>I28*16.67%</f>
      </c>
      <c r="K28" s="3">
        <f>(H28*6.9%)-(H28*6.9%)*10%</f>
      </c>
      <c r="L28" s="3">
        <f>H28*0.35%</f>
      </c>
      <c r="M28" s="3">
        <v>0.4</v>
      </c>
      <c r="N28" s="3">
        <f>(K28+L28+M28)*20%</f>
      </c>
      <c r="O28" s="3">
        <f>K28+L28+M28+N28</f>
      </c>
      <c r="P28" s="3">
        <v>0</v>
      </c>
      <c r="Q28" s="3">
        <v>0</v>
      </c>
      <c r="R28" s="3">
        <v>0</v>
      </c>
      <c r="S28" s="3">
        <f>R28*20%</f>
      </c>
      <c r="T28" s="3">
        <v>1</v>
      </c>
      <c r="U28" s="3">
        <f>N28+Q28+S28</f>
      </c>
      <c r="V28" s="3">
        <f>I28-J28-O28-P28-Q28-R28-S28-T28</f>
      </c>
      <c r="W28" s="3">
        <f>(V28-AE28)/H28*100</f>
      </c>
      <c r="X28" s="3">
        <f>J28-U28</f>
      </c>
      <c r="Y28" t="s">
        <v>1</v>
      </c>
      <c r="Z28" t="s">
        <v>73</v>
      </c>
      <c r="AF28" s="3">
        <f>V28-AE28</f>
      </c>
      <c r="AG28" t="s">
        <v>59</v>
      </c>
      <c r="AH28" t="s">
        <v>84</v>
      </c>
    </row>
    <row r="29" spans="1:34" x14ac:dyDescent="0.25">
      <c r="A29" s="7">
        <v>46231.5</v>
      </c>
      <c r="B29" t="s">
        <v>1547</v>
      </c>
      <c r="C29" t="s">
        <v>1</v>
      </c>
      <c r="D29" s="8" t="s">
        <v>1548</v>
      </c>
      <c r="E29" t="s">
        <v>101</v>
      </c>
      <c r="F29">
        <v>1</v>
      </c>
      <c r="G29" s="3">
        <v>455</v>
      </c>
      <c r="H29" s="3">
        <v>523.25</v>
      </c>
      <c r="I29" s="3">
        <f>H29-G29</f>
      </c>
      <c r="J29" s="3">
        <f>I29*16.67%</f>
      </c>
      <c r="K29" s="3">
        <f>(H29*6.9%)-(H29*6.9%)*10%</f>
      </c>
      <c r="L29" s="3">
        <f>H29*0.35%</f>
      </c>
      <c r="M29" s="3">
        <v>0.4</v>
      </c>
      <c r="N29" s="3">
        <f>(K29+L29+M29)*20%</f>
      </c>
      <c r="O29" s="3">
        <f>K29+L29+M29+N29</f>
      </c>
      <c r="P29" s="3">
        <v>0</v>
      </c>
      <c r="Q29" s="3">
        <v>0</v>
      </c>
      <c r="R29" s="3">
        <v>0</v>
      </c>
      <c r="S29" s="3">
        <f>R29*20%</f>
      </c>
      <c r="T29" s="3">
        <v>1</v>
      </c>
      <c r="U29" s="3">
        <f>N29+Q29+S29</f>
      </c>
      <c r="V29" s="3">
        <f>I29-J29-O29-P29-Q29-R29-S29-T29</f>
      </c>
      <c r="W29" s="3">
        <f>(V29-AE29)/H29*100</f>
      </c>
      <c r="X29" s="3">
        <f>J29-U29</f>
      </c>
      <c r="Y29" t="s">
        <v>1</v>
      </c>
      <c r="Z29" t="s">
        <v>58</v>
      </c>
      <c r="AF29" s="3">
        <f>V29-AE29</f>
      </c>
      <c r="AG29" t="s">
        <v>59</v>
      </c>
      <c r="AH29" t="s">
        <v>60</v>
      </c>
    </row>
    <row r="30" spans="1:34" x14ac:dyDescent="0.25">
      <c r="A30" s="7">
        <v>46231.5</v>
      </c>
      <c r="B30" t="s">
        <v>1549</v>
      </c>
      <c r="C30" t="s">
        <v>1</v>
      </c>
      <c r="D30" s="8" t="s">
        <v>1550</v>
      </c>
      <c r="E30" t="s">
        <v>77</v>
      </c>
      <c r="F30">
        <v>1</v>
      </c>
      <c r="G30" s="3">
        <v>437</v>
      </c>
      <c r="H30" s="3">
        <v>594.32</v>
      </c>
      <c r="I30" s="3">
        <f>H30-G30</f>
      </c>
      <c r="J30" s="3">
        <f>I30*16.67%</f>
      </c>
      <c r="K30" s="3">
        <f>(H30*6.9%)-(H30*6.9%)*10%</f>
      </c>
      <c r="L30" s="3">
        <f>H30*0.35%</f>
      </c>
      <c r="M30" s="3">
        <v>0.4</v>
      </c>
      <c r="N30" s="3">
        <f>(K30+L30+M30)*20%</f>
      </c>
      <c r="O30" s="3">
        <f>K30+L30+M30+N30</f>
      </c>
      <c r="P30" s="3">
        <v>0</v>
      </c>
      <c r="Q30" s="3">
        <v>0</v>
      </c>
      <c r="R30" s="3">
        <v>0</v>
      </c>
      <c r="S30" s="3">
        <f>R30*20%</f>
      </c>
      <c r="T30" s="3">
        <v>1</v>
      </c>
      <c r="U30" s="3">
        <f>N30+Q30+S30</f>
      </c>
      <c r="V30" s="3">
        <f>I30-J30-O30-P30-Q30-R30-S30-T30</f>
      </c>
      <c r="W30" s="3">
        <f>(V30-AE30)/H30*100</f>
      </c>
      <c r="X30" s="3">
        <f>J30-U30</f>
      </c>
      <c r="Y30" t="s">
        <v>1</v>
      </c>
      <c r="Z30" t="s">
        <v>58</v>
      </c>
      <c r="AF30" s="3">
        <f>V30-AE30</f>
      </c>
      <c r="AG30" t="s">
        <v>59</v>
      </c>
      <c r="AH30" t="s">
        <v>69</v>
      </c>
    </row>
    <row r="31" spans="1:34" x14ac:dyDescent="0.25">
      <c r="A31" s="7">
        <v>46231.5</v>
      </c>
      <c r="B31" t="s">
        <v>1551</v>
      </c>
      <c r="C31" t="s">
        <v>1</v>
      </c>
      <c r="D31" s="8" t="s">
        <v>1552</v>
      </c>
      <c r="E31" t="s">
        <v>101</v>
      </c>
      <c r="F31">
        <v>1</v>
      </c>
      <c r="G31" s="3">
        <v>326</v>
      </c>
      <c r="H31" s="3">
        <v>443.36</v>
      </c>
      <c r="I31" s="3">
        <f>H31-G31</f>
      </c>
      <c r="J31" s="3">
        <f>I31*16.67%</f>
      </c>
      <c r="K31" s="3">
        <f>(H31*6.9%)-(H31*6.9%)*10%</f>
      </c>
      <c r="L31" s="3">
        <f>H31*0.35%</f>
      </c>
      <c r="M31" s="3">
        <v>0.4</v>
      </c>
      <c r="N31" s="3">
        <f>(K31+L31+M31)*20%</f>
      </c>
      <c r="O31" s="3">
        <f>K31+L31+M31+N31</f>
      </c>
      <c r="P31" s="3">
        <v>0</v>
      </c>
      <c r="Q31" s="3">
        <v>0</v>
      </c>
      <c r="R31" s="3">
        <v>0</v>
      </c>
      <c r="S31" s="3">
        <f>R31*20%</f>
      </c>
      <c r="T31" s="3">
        <v>1</v>
      </c>
      <c r="U31" s="3">
        <f>N31+Q31+S31</f>
      </c>
      <c r="V31" s="3">
        <f>I31-J31-O31-P31-Q31-R31-S31-T31</f>
      </c>
      <c r="W31" s="3">
        <f>(V31-AE31)/H31*100</f>
      </c>
      <c r="X31" s="3">
        <f>J31-U31</f>
      </c>
      <c r="Y31" t="s">
        <v>1</v>
      </c>
      <c r="Z31" t="s">
        <v>73</v>
      </c>
      <c r="AF31" s="3">
        <f>V31-AE31</f>
      </c>
      <c r="AG31" t="s">
        <v>59</v>
      </c>
      <c r="AH31" t="s">
        <v>98</v>
      </c>
    </row>
    <row r="32" spans="1:34" x14ac:dyDescent="0.25">
      <c r="A32" s="7">
        <v>46231.5</v>
      </c>
      <c r="B32" t="s">
        <v>1553</v>
      </c>
      <c r="C32" t="s">
        <v>1</v>
      </c>
      <c r="D32" s="8" t="s">
        <v>1554</v>
      </c>
      <c r="E32" t="s">
        <v>57</v>
      </c>
      <c r="F32">
        <v>1</v>
      </c>
      <c r="G32" s="3">
        <v>169</v>
      </c>
      <c r="H32" s="3">
        <v>199.42</v>
      </c>
      <c r="I32" s="3">
        <f>H32-G32</f>
      </c>
      <c r="J32" s="3">
        <f>I32*16.67%</f>
      </c>
      <c r="K32" s="3">
        <f>(H32*6.9%)-(H32*6.9%)*10%</f>
      </c>
      <c r="L32" s="3">
        <f>H32*0.35%</f>
      </c>
      <c r="M32" s="3">
        <v>0.4</v>
      </c>
      <c r="N32" s="3">
        <f>(K32+L32+M32)*20%</f>
      </c>
      <c r="O32" s="3">
        <f>K32+L32+M32+N32</f>
      </c>
      <c r="P32" s="3">
        <v>0</v>
      </c>
      <c r="Q32" s="3">
        <v>0</v>
      </c>
      <c r="R32" s="3">
        <v>0</v>
      </c>
      <c r="S32" s="3">
        <f>R32*20%</f>
      </c>
      <c r="T32" s="3">
        <v>1</v>
      </c>
      <c r="U32" s="3">
        <f>N32+Q32+S32</f>
      </c>
      <c r="V32" s="3">
        <f>I32-J32-O32-P32-Q32-R32-S32-T32</f>
      </c>
      <c r="W32" s="3">
        <f>(V32-AE32)/H32*100</f>
      </c>
      <c r="X32" s="3">
        <f>J32-U32</f>
      </c>
      <c r="Y32" t="s">
        <v>1</v>
      </c>
      <c r="Z32" t="s">
        <v>291</v>
      </c>
      <c r="AF32" s="3">
        <f>V32-AE32</f>
      </c>
      <c r="AG32" t="s">
        <v>125</v>
      </c>
      <c r="AH32" t="s">
        <v>74</v>
      </c>
    </row>
    <row r="33" spans="1:34" x14ac:dyDescent="0.25">
      <c r="A33" s="7">
        <v>46231.5</v>
      </c>
      <c r="B33" t="s">
        <v>1555</v>
      </c>
      <c r="C33" t="s">
        <v>1</v>
      </c>
      <c r="D33" s="8" t="s">
        <v>1556</v>
      </c>
      <c r="E33" t="s">
        <v>101</v>
      </c>
      <c r="F33">
        <v>1</v>
      </c>
      <c r="G33" s="3">
        <v>121</v>
      </c>
      <c r="H33" s="3">
        <v>158.51</v>
      </c>
      <c r="I33" s="3">
        <f>H33-G33</f>
      </c>
      <c r="J33" s="3">
        <f>I33*16.67%</f>
      </c>
      <c r="K33" s="3">
        <f>(H33*6.9%)-(H33*6.9%)*10%</f>
      </c>
      <c r="L33" s="3">
        <f>H33*0.35%</f>
      </c>
      <c r="M33" s="3">
        <v>0.4</v>
      </c>
      <c r="N33" s="3">
        <f>(K33+L33+M33)*20%</f>
      </c>
      <c r="O33" s="3">
        <f>K33+L33+M33+N33</f>
      </c>
      <c r="P33" s="3">
        <v>0</v>
      </c>
      <c r="Q33" s="3">
        <v>0</v>
      </c>
      <c r="R33" s="3">
        <v>0</v>
      </c>
      <c r="S33" s="3">
        <f>R33*20%</f>
      </c>
      <c r="T33" s="3">
        <v>1</v>
      </c>
      <c r="U33" s="3">
        <f>N33+Q33+S33</f>
      </c>
      <c r="V33" s="3">
        <f>I33-J33-O33-P33-Q33-R33-S33-T33</f>
      </c>
      <c r="W33" s="3">
        <f>(V33-AE33)/H33*100</f>
      </c>
      <c r="X33" s="3">
        <f>J33-U33</f>
      </c>
      <c r="Y33" t="s">
        <v>1</v>
      </c>
      <c r="Z33" t="s">
        <v>90</v>
      </c>
      <c r="AF33" s="3">
        <f>V33-AE33</f>
      </c>
      <c r="AG33" t="s">
        <v>94</v>
      </c>
      <c r="AH33" t="s">
        <v>84</v>
      </c>
    </row>
    <row r="34" spans="1:34" x14ac:dyDescent="0.25">
      <c r="A34" s="7">
        <v>46231.5</v>
      </c>
      <c r="B34" t="s">
        <v>1557</v>
      </c>
      <c r="C34" t="s">
        <v>1</v>
      </c>
      <c r="D34" s="8" t="s">
        <v>1558</v>
      </c>
      <c r="E34" t="s">
        <v>72</v>
      </c>
      <c r="F34">
        <v>1</v>
      </c>
      <c r="G34" s="3">
        <v>250</v>
      </c>
      <c r="H34" s="3">
        <v>307.5</v>
      </c>
      <c r="I34" s="3">
        <f>H34-G34</f>
      </c>
      <c r="J34" s="3">
        <f>I34*16.67%</f>
      </c>
      <c r="K34" s="3">
        <f>(H34*6.9%)-(H34*6.9%)*10%</f>
      </c>
      <c r="L34" s="3">
        <f>H34*0.35%</f>
      </c>
      <c r="M34" s="3">
        <v>0.4</v>
      </c>
      <c r="N34" s="3">
        <f>(K34+L34+M34)*20%</f>
      </c>
      <c r="O34" s="3">
        <f>K34+L34+M34+N34</f>
      </c>
      <c r="P34" s="3">
        <v>0</v>
      </c>
      <c r="Q34" s="3">
        <v>0</v>
      </c>
      <c r="R34" s="3">
        <v>0</v>
      </c>
      <c r="S34" s="3">
        <f>R34*20%</f>
      </c>
      <c r="T34" s="3">
        <v>1</v>
      </c>
      <c r="U34" s="3">
        <f>N34+Q34+S34</f>
      </c>
      <c r="V34" s="3">
        <f>I34-J34-O34-P34-Q34-R34-S34-T34</f>
      </c>
      <c r="W34" s="3">
        <f>(V34-AE34)/H34*100</f>
      </c>
      <c r="X34" s="3">
        <f>J34-U34</f>
      </c>
      <c r="Y34" t="s">
        <v>1</v>
      </c>
      <c r="Z34" t="s">
        <v>64</v>
      </c>
      <c r="AF34" s="3">
        <f>V34-AE34</f>
      </c>
      <c r="AG34" t="s">
        <v>65</v>
      </c>
      <c r="AH34" t="s">
        <v>60</v>
      </c>
    </row>
    <row r="35" spans="1:34" x14ac:dyDescent="0.25">
      <c r="A35" s="7">
        <v>46231.5</v>
      </c>
      <c r="B35" t="s">
        <v>1559</v>
      </c>
      <c r="C35" t="s">
        <v>1</v>
      </c>
      <c r="D35" s="8" t="s">
        <v>1560</v>
      </c>
      <c r="E35" t="s">
        <v>101</v>
      </c>
      <c r="F35">
        <v>1</v>
      </c>
      <c r="G35" s="3">
        <v>518</v>
      </c>
      <c r="H35" s="3">
        <v>600.88</v>
      </c>
      <c r="I35" s="3">
        <f>H35-G35</f>
      </c>
      <c r="J35" s="3">
        <f>I35*16.67%</f>
      </c>
      <c r="K35" s="3">
        <f>(H35*6.9%)-(H35*6.9%)*10%</f>
      </c>
      <c r="L35" s="3">
        <f>H35*0.35%</f>
      </c>
      <c r="M35" s="3">
        <v>0.4</v>
      </c>
      <c r="N35" s="3">
        <f>(K35+L35+M35)*20%</f>
      </c>
      <c r="O35" s="3">
        <f>K35+L35+M35+N35</f>
      </c>
      <c r="P35" s="3">
        <v>0</v>
      </c>
      <c r="Q35" s="3">
        <v>0</v>
      </c>
      <c r="R35" s="3">
        <v>0</v>
      </c>
      <c r="S35" s="3">
        <f>R35*20%</f>
      </c>
      <c r="T35" s="3">
        <v>1</v>
      </c>
      <c r="U35" s="3">
        <f>N35+Q35+S35</f>
      </c>
      <c r="V35" s="3">
        <f>I35-J35-O35-P35-Q35-R35-S35-T35</f>
      </c>
      <c r="W35" s="3">
        <f>(V35-AE35)/H35*100</f>
      </c>
      <c r="X35" s="3">
        <f>J35-U35</f>
      </c>
      <c r="Y35" t="s">
        <v>1</v>
      </c>
      <c r="Z35" t="s">
        <v>68</v>
      </c>
      <c r="AF35" s="3">
        <f>V35-AE35</f>
      </c>
      <c r="AG35" t="s">
        <v>59</v>
      </c>
      <c r="AH35" t="s">
        <v>87</v>
      </c>
    </row>
    <row r="36" spans="1:34" x14ac:dyDescent="0.25">
      <c r="A36" s="7">
        <v>46231.5</v>
      </c>
      <c r="B36" t="s">
        <v>1561</v>
      </c>
      <c r="C36" t="s">
        <v>1</v>
      </c>
      <c r="D36" s="8" t="s">
        <v>1562</v>
      </c>
      <c r="E36" t="s">
        <v>57</v>
      </c>
      <c r="F36">
        <v>1</v>
      </c>
      <c r="G36" s="3">
        <v>350</v>
      </c>
      <c r="H36" s="3">
        <v>483</v>
      </c>
      <c r="I36" s="3">
        <f>H36-G36</f>
      </c>
      <c r="J36" s="3">
        <f>I36*16.67%</f>
      </c>
      <c r="K36" s="3">
        <f>(H36*6.9%)-(H36*6.9%)*10%</f>
      </c>
      <c r="L36" s="3">
        <f>H36*0.35%</f>
      </c>
      <c r="M36" s="3">
        <v>0.4</v>
      </c>
      <c r="N36" s="3">
        <f>(K36+L36+M36)*20%</f>
      </c>
      <c r="O36" s="3">
        <f>K36+L36+M36+N36</f>
      </c>
      <c r="P36" s="3">
        <v>0</v>
      </c>
      <c r="Q36" s="3">
        <v>0</v>
      </c>
      <c r="R36" s="3">
        <v>0</v>
      </c>
      <c r="S36" s="3">
        <f>R36*20%</f>
      </c>
      <c r="T36" s="3">
        <v>1</v>
      </c>
      <c r="U36" s="3">
        <f>N36+Q36+S36</f>
      </c>
      <c r="V36" s="3">
        <f>I36-J36-O36-P36-Q36-R36-S36-T36</f>
      </c>
      <c r="W36" s="3">
        <f>(V36-AE36)/H36*100</f>
      </c>
      <c r="X36" s="3">
        <f>J36-U36</f>
      </c>
      <c r="Y36" t="s">
        <v>1</v>
      </c>
      <c r="Z36" t="s">
        <v>73</v>
      </c>
      <c r="AF36" s="3">
        <f>V36-AE36</f>
      </c>
      <c r="AG36" t="s">
        <v>59</v>
      </c>
      <c r="AH36" t="s">
        <v>87</v>
      </c>
    </row>
    <row r="37" spans="1:34" x14ac:dyDescent="0.25">
      <c r="A37" s="7">
        <v>46231.5</v>
      </c>
      <c r="B37" t="s">
        <v>1563</v>
      </c>
      <c r="C37" t="s">
        <v>1</v>
      </c>
      <c r="D37" s="8" t="s">
        <v>1564</v>
      </c>
      <c r="E37" t="s">
        <v>101</v>
      </c>
      <c r="F37">
        <v>1</v>
      </c>
      <c r="G37" s="3">
        <v>559</v>
      </c>
      <c r="H37" s="3">
        <v>777.01</v>
      </c>
      <c r="I37" s="3">
        <f>H37-G37</f>
      </c>
      <c r="J37" s="3">
        <f>I37*16.67%</f>
      </c>
      <c r="K37" s="3">
        <f>(H37*6.9%)-(H37*6.9%)*10%</f>
      </c>
      <c r="L37" s="3">
        <f>H37*0.35%</f>
      </c>
      <c r="M37" s="3">
        <v>0.4</v>
      </c>
      <c r="N37" s="3">
        <f>(K37+L37+M37)*20%</f>
      </c>
      <c r="O37" s="3">
        <f>K37+L37+M37+N37</f>
      </c>
      <c r="P37" s="3">
        <v>0</v>
      </c>
      <c r="Q37" s="3">
        <v>0</v>
      </c>
      <c r="R37" s="3">
        <v>0</v>
      </c>
      <c r="S37" s="3">
        <f>R37*20%</f>
      </c>
      <c r="T37" s="3">
        <v>1</v>
      </c>
      <c r="U37" s="3">
        <f>N37+Q37+S37</f>
      </c>
      <c r="V37" s="3">
        <f>I37-J37-O37-P37-Q37-R37-S37-T37</f>
      </c>
      <c r="W37" s="3">
        <f>(V37-AE37)/H37*100</f>
      </c>
      <c r="X37" s="3">
        <f>J37-U37</f>
      </c>
      <c r="Y37" t="s">
        <v>1</v>
      </c>
      <c r="Z37" t="s">
        <v>80</v>
      </c>
      <c r="AF37" s="3">
        <f>V37-AE37</f>
      </c>
      <c r="AG37" t="s">
        <v>65</v>
      </c>
      <c r="AH37" t="s">
        <v>84</v>
      </c>
    </row>
    <row r="38" spans="1:34" x14ac:dyDescent="0.25">
      <c r="A38" s="7">
        <v>46231.5</v>
      </c>
      <c r="B38" t="s">
        <v>1565</v>
      </c>
      <c r="C38" t="s">
        <v>1</v>
      </c>
      <c r="D38" s="8" t="s">
        <v>1566</v>
      </c>
      <c r="E38" t="s">
        <v>72</v>
      </c>
      <c r="F38">
        <v>1</v>
      </c>
      <c r="G38" s="3">
        <v>140</v>
      </c>
      <c r="H38" s="3">
        <v>172.2</v>
      </c>
      <c r="I38" s="3">
        <f>H38-G38</f>
      </c>
      <c r="J38" s="3">
        <f>I38*16.67%</f>
      </c>
      <c r="K38" s="3">
        <f>(H38*6.9%)-(H38*6.9%)*10%</f>
      </c>
      <c r="L38" s="3">
        <f>H38*0.35%</f>
      </c>
      <c r="M38" s="3">
        <v>0.4</v>
      </c>
      <c r="N38" s="3">
        <f>(K38+L38+M38)*20%</f>
      </c>
      <c r="O38" s="3">
        <f>K38+L38+M38+N38</f>
      </c>
      <c r="P38" s="3">
        <v>0</v>
      </c>
      <c r="Q38" s="3">
        <v>0</v>
      </c>
      <c r="R38" s="3">
        <v>0</v>
      </c>
      <c r="S38" s="3">
        <f>R38*20%</f>
      </c>
      <c r="T38" s="3">
        <v>1</v>
      </c>
      <c r="U38" s="3">
        <f>N38+Q38+S38</f>
      </c>
      <c r="V38" s="3">
        <f>I38-J38-O38-P38-Q38-R38-S38-T38</f>
      </c>
      <c r="W38" s="3">
        <f>(V38-AE38)/H38*100</f>
      </c>
      <c r="X38" s="3">
        <f>J38-U38</f>
      </c>
      <c r="Y38" t="s">
        <v>1</v>
      </c>
      <c r="Z38" t="s">
        <v>90</v>
      </c>
      <c r="AF38" s="3">
        <f>V38-AE38</f>
      </c>
      <c r="AG38" t="s">
        <v>94</v>
      </c>
      <c r="AH38" t="s">
        <v>98</v>
      </c>
    </row>
    <row r="39" spans="1:34" x14ac:dyDescent="0.25">
      <c r="A39" s="7">
        <v>46231.5</v>
      </c>
      <c r="B39" t="s">
        <v>1567</v>
      </c>
      <c r="C39" t="s">
        <v>1</v>
      </c>
      <c r="D39" s="8" t="s">
        <v>1568</v>
      </c>
      <c r="E39" t="s">
        <v>72</v>
      </c>
      <c r="F39">
        <v>1</v>
      </c>
      <c r="G39" s="3">
        <v>716</v>
      </c>
      <c r="H39" s="3">
        <v>1009.56</v>
      </c>
      <c r="I39" s="3">
        <f>H39-G39</f>
      </c>
      <c r="J39" s="3">
        <f>I39*16.67%</f>
      </c>
      <c r="K39" s="3">
        <f>(H39*6.9%)-(H39*6.9%)*10%</f>
      </c>
      <c r="L39" s="3">
        <f>H39*0.35%</f>
      </c>
      <c r="M39" s="3">
        <v>0.4</v>
      </c>
      <c r="N39" s="3">
        <f>(K39+L39+M39)*20%</f>
      </c>
      <c r="O39" s="3">
        <f>K39+L39+M39+N39</f>
      </c>
      <c r="P39" s="3">
        <v>0</v>
      </c>
      <c r="Q39" s="3">
        <v>0</v>
      </c>
      <c r="R39" s="3">
        <v>0</v>
      </c>
      <c r="S39" s="3">
        <f>R39*20%</f>
      </c>
      <c r="T39" s="3">
        <v>1</v>
      </c>
      <c r="U39" s="3">
        <f>N39+Q39+S39</f>
      </c>
      <c r="V39" s="3">
        <f>I39-J39-O39-P39-Q39-R39-S39-T39</f>
      </c>
      <c r="W39" s="3">
        <f>(V39-AE39)/H39*100</f>
      </c>
      <c r="X39" s="3">
        <f>J39-U39</f>
      </c>
      <c r="Y39" t="s">
        <v>1</v>
      </c>
      <c r="Z39" t="s">
        <v>83</v>
      </c>
      <c r="AF39" s="3">
        <f>V39-AE39</f>
      </c>
      <c r="AG39" t="s">
        <v>59</v>
      </c>
      <c r="AH39" t="s">
        <v>60</v>
      </c>
    </row>
    <row r="40" spans="1:34" x14ac:dyDescent="0.25">
      <c r="A40" s="7">
        <v>46231.5</v>
      </c>
      <c r="B40" t="s">
        <v>1569</v>
      </c>
      <c r="C40" t="s">
        <v>1</v>
      </c>
      <c r="D40" s="8" t="s">
        <v>1570</v>
      </c>
      <c r="E40" t="s">
        <v>63</v>
      </c>
      <c r="F40">
        <v>1</v>
      </c>
      <c r="G40" s="3">
        <v>611</v>
      </c>
      <c r="H40" s="3">
        <v>885.95</v>
      </c>
      <c r="I40" s="3">
        <f>H40-G40</f>
      </c>
      <c r="J40" s="3">
        <f>I40*16.67%</f>
      </c>
      <c r="K40" s="3">
        <f>(H40*6.9%)-(H40*6.9%)*10%</f>
      </c>
      <c r="L40" s="3">
        <f>H40*0.35%</f>
      </c>
      <c r="M40" s="3">
        <v>0.4</v>
      </c>
      <c r="N40" s="3">
        <f>(K40+L40+M40)*20%</f>
      </c>
      <c r="O40" s="3">
        <f>K40+L40+M40+N40</f>
      </c>
      <c r="P40" s="3">
        <v>0</v>
      </c>
      <c r="Q40" s="3">
        <v>0</v>
      </c>
      <c r="R40" s="3">
        <v>0</v>
      </c>
      <c r="S40" s="3">
        <f>R40*20%</f>
      </c>
      <c r="T40" s="3">
        <v>1</v>
      </c>
      <c r="U40" s="3">
        <f>N40+Q40+S40</f>
      </c>
      <c r="V40" s="3">
        <f>I40-J40-O40-P40-Q40-R40-S40-T40</f>
      </c>
      <c r="W40" s="3">
        <f>(V40-AE40)/H40*100</f>
      </c>
      <c r="X40" s="3">
        <f>J40-U40</f>
      </c>
      <c r="Y40" t="s">
        <v>1</v>
      </c>
      <c r="Z40" t="s">
        <v>80</v>
      </c>
      <c r="AF40" s="3">
        <f>V40-AE40</f>
      </c>
      <c r="AG40" t="s">
        <v>65</v>
      </c>
      <c r="AH40" t="s">
        <v>84</v>
      </c>
    </row>
    <row r="41" spans="1:34" x14ac:dyDescent="0.25">
      <c r="A41" s="7">
        <v>46231.5</v>
      </c>
      <c r="B41" t="s">
        <v>1571</v>
      </c>
      <c r="C41" t="s">
        <v>1</v>
      </c>
      <c r="D41" s="8" t="s">
        <v>1572</v>
      </c>
      <c r="E41" t="s">
        <v>63</v>
      </c>
      <c r="F41">
        <v>1</v>
      </c>
      <c r="G41" s="3">
        <v>330</v>
      </c>
      <c r="H41" s="3">
        <v>402.6</v>
      </c>
      <c r="I41" s="3">
        <f>H41-G41</f>
      </c>
      <c r="J41" s="3">
        <f>I41*16.67%</f>
      </c>
      <c r="K41" s="3">
        <f>(H41*6.9%)-(H41*6.9%)*10%</f>
      </c>
      <c r="L41" s="3">
        <f>H41*0.35%</f>
      </c>
      <c r="M41" s="3">
        <v>0.4</v>
      </c>
      <c r="N41" s="3">
        <f>(K41+L41+M41)*20%</f>
      </c>
      <c r="O41" s="3">
        <f>K41+L41+M41+N41</f>
      </c>
      <c r="P41" s="3">
        <v>0</v>
      </c>
      <c r="Q41" s="3">
        <v>0</v>
      </c>
      <c r="R41" s="3">
        <v>0</v>
      </c>
      <c r="S41" s="3">
        <f>R41*20%</f>
      </c>
      <c r="T41" s="3">
        <v>1</v>
      </c>
      <c r="U41" s="3">
        <f>N41+Q41+S41</f>
      </c>
      <c r="V41" s="3">
        <f>I41-J41-O41-P41-Q41-R41-S41-T41</f>
      </c>
      <c r="W41" s="3">
        <f>(V41-AE41)/H41*100</f>
      </c>
      <c r="X41" s="3">
        <f>J41-U41</f>
      </c>
      <c r="Y41" t="s">
        <v>1</v>
      </c>
      <c r="Z41" t="s">
        <v>97</v>
      </c>
      <c r="AF41" s="3">
        <f>V41-AE41</f>
      </c>
      <c r="AG41" t="s">
        <v>65</v>
      </c>
      <c r="AH41" t="s">
        <v>60</v>
      </c>
    </row>
    <row r="42" spans="1:34" x14ac:dyDescent="0.25">
      <c r="A42" s="7">
        <v>46231.5</v>
      </c>
      <c r="B42" t="s">
        <v>1573</v>
      </c>
      <c r="C42" t="s">
        <v>1</v>
      </c>
      <c r="D42" s="8" t="s">
        <v>1574</v>
      </c>
      <c r="E42" t="s">
        <v>57</v>
      </c>
      <c r="F42">
        <v>1</v>
      </c>
      <c r="G42" s="3">
        <v>243</v>
      </c>
      <c r="H42" s="3">
        <v>318.33</v>
      </c>
      <c r="I42" s="3">
        <f>H42-G42</f>
      </c>
      <c r="J42" s="3">
        <f>I42*16.67%</f>
      </c>
      <c r="K42" s="3">
        <f>(H42*6.9%)-(H42*6.9%)*10%</f>
      </c>
      <c r="L42" s="3">
        <f>H42*0.35%</f>
      </c>
      <c r="M42" s="3">
        <v>0.4</v>
      </c>
      <c r="N42" s="3">
        <f>(K42+L42+M42)*20%</f>
      </c>
      <c r="O42" s="3">
        <f>K42+L42+M42+N42</f>
      </c>
      <c r="P42" s="3">
        <v>0</v>
      </c>
      <c r="Q42" s="3">
        <v>0</v>
      </c>
      <c r="R42" s="3">
        <v>0</v>
      </c>
      <c r="S42" s="3">
        <f>R42*20%</f>
      </c>
      <c r="T42" s="3">
        <v>1</v>
      </c>
      <c r="U42" s="3">
        <f>N42+Q42+S42</f>
      </c>
      <c r="V42" s="3">
        <f>I42-J42-O42-P42-Q42-R42-S42-T42</f>
      </c>
      <c r="W42" s="3">
        <f>(V42-AE42)/H42*100</f>
      </c>
      <c r="X42" s="3">
        <f>J42-U42</f>
      </c>
      <c r="Y42" t="s">
        <v>1</v>
      </c>
      <c r="Z42" t="s">
        <v>64</v>
      </c>
      <c r="AF42" s="3">
        <f>V42-AE42</f>
      </c>
      <c r="AG42" t="s">
        <v>65</v>
      </c>
      <c r="AH42" t="s">
        <v>60</v>
      </c>
    </row>
    <row r="43" spans="1:34" x14ac:dyDescent="0.25">
      <c r="A43" s="7">
        <v>46231.5</v>
      </c>
      <c r="B43" t="s">
        <v>1575</v>
      </c>
      <c r="C43" t="s">
        <v>1</v>
      </c>
      <c r="D43" s="8" t="s">
        <v>1576</v>
      </c>
      <c r="E43" t="s">
        <v>63</v>
      </c>
      <c r="F43">
        <v>1</v>
      </c>
      <c r="G43" s="3">
        <v>464</v>
      </c>
      <c r="H43" s="3">
        <v>556.8</v>
      </c>
      <c r="I43" s="3">
        <f>H43-G43</f>
      </c>
      <c r="J43" s="3">
        <f>I43*16.67%</f>
      </c>
      <c r="K43" s="3">
        <f>(H43*6.9%)-(H43*6.9%)*10%</f>
      </c>
      <c r="L43" s="3">
        <f>H43*0.35%</f>
      </c>
      <c r="M43" s="3">
        <v>0.4</v>
      </c>
      <c r="N43" s="3">
        <f>(K43+L43+M43)*20%</f>
      </c>
      <c r="O43" s="3">
        <f>K43+L43+M43+N43</f>
      </c>
      <c r="P43" s="3">
        <v>0</v>
      </c>
      <c r="Q43" s="3">
        <v>0</v>
      </c>
      <c r="R43" s="3">
        <v>0</v>
      </c>
      <c r="S43" s="3">
        <f>R43*20%</f>
      </c>
      <c r="T43" s="3">
        <v>1</v>
      </c>
      <c r="U43" s="3">
        <f>N43+Q43+S43</f>
      </c>
      <c r="V43" s="3">
        <f>I43-J43-O43-P43-Q43-R43-S43-T43</f>
      </c>
      <c r="W43" s="3">
        <f>(V43-AE43)/H43*100</f>
      </c>
      <c r="X43" s="3">
        <f>J43-U43</f>
      </c>
      <c r="Y43" t="s">
        <v>1</v>
      </c>
      <c r="Z43" t="s">
        <v>58</v>
      </c>
      <c r="AF43" s="3">
        <f>V43-AE43</f>
      </c>
      <c r="AG43" t="s">
        <v>59</v>
      </c>
      <c r="AH43" t="s">
        <v>74</v>
      </c>
    </row>
    <row r="44" spans="1:34" x14ac:dyDescent="0.25">
      <c r="A44" s="7">
        <v>46231.5</v>
      </c>
      <c r="B44" t="s">
        <v>1577</v>
      </c>
      <c r="C44" t="s">
        <v>1</v>
      </c>
      <c r="D44" s="8" t="s">
        <v>1578</v>
      </c>
      <c r="E44" t="s">
        <v>101</v>
      </c>
      <c r="F44">
        <v>1</v>
      </c>
      <c r="G44" s="3">
        <v>481</v>
      </c>
      <c r="H44" s="3">
        <v>606.06</v>
      </c>
      <c r="I44" s="3">
        <f>H44-G44</f>
      </c>
      <c r="J44" s="3">
        <f>I44*16.67%</f>
      </c>
      <c r="K44" s="3">
        <f>(H44*6.9%)-(H44*6.9%)*10%</f>
      </c>
      <c r="L44" s="3">
        <f>H44*0.35%</f>
      </c>
      <c r="M44" s="3">
        <v>0.4</v>
      </c>
      <c r="N44" s="3">
        <f>(K44+L44+M44)*20%</f>
      </c>
      <c r="O44" s="3">
        <f>K44+L44+M44+N44</f>
      </c>
      <c r="P44" s="3">
        <v>0</v>
      </c>
      <c r="Q44" s="3">
        <v>0</v>
      </c>
      <c r="R44" s="3">
        <v>0</v>
      </c>
      <c r="S44" s="3">
        <f>R44*20%</f>
      </c>
      <c r="T44" s="3">
        <v>1</v>
      </c>
      <c r="U44" s="3">
        <f>N44+Q44+S44</f>
      </c>
      <c r="V44" s="3">
        <f>I44-J44-O44-P44-Q44-R44-S44-T44</f>
      </c>
      <c r="W44" s="3">
        <f>(V44-AE44)/H44*100</f>
      </c>
      <c r="X44" s="3">
        <f>J44-U44</f>
      </c>
      <c r="Y44" t="s">
        <v>1</v>
      </c>
      <c r="Z44" t="s">
        <v>68</v>
      </c>
      <c r="AF44" s="3">
        <f>V44-AE44</f>
      </c>
      <c r="AG44" t="s">
        <v>59</v>
      </c>
      <c r="AH44" t="s">
        <v>74</v>
      </c>
    </row>
    <row r="45" spans="1:34" x14ac:dyDescent="0.25">
      <c r="A45" s="7">
        <v>46231.5</v>
      </c>
      <c r="B45" t="s">
        <v>1579</v>
      </c>
      <c r="C45" t="s">
        <v>1</v>
      </c>
      <c r="D45" s="8" t="s">
        <v>1580</v>
      </c>
      <c r="E45" t="s">
        <v>101</v>
      </c>
      <c r="F45">
        <v>1</v>
      </c>
      <c r="G45" s="3">
        <v>335</v>
      </c>
      <c r="H45" s="3">
        <v>422.1</v>
      </c>
      <c r="I45" s="3">
        <f>H45-G45</f>
      </c>
      <c r="J45" s="3">
        <f>I45*16.67%</f>
      </c>
      <c r="K45" s="3">
        <f>(H45*6.9%)-(H45*6.9%)*10%</f>
      </c>
      <c r="L45" s="3">
        <f>H45*0.35%</f>
      </c>
      <c r="M45" s="3">
        <v>0.4</v>
      </c>
      <c r="N45" s="3">
        <f>(K45+L45+M45)*20%</f>
      </c>
      <c r="O45" s="3">
        <f>K45+L45+M45+N45</f>
      </c>
      <c r="P45" s="3">
        <v>0</v>
      </c>
      <c r="Q45" s="3">
        <v>0</v>
      </c>
      <c r="R45" s="3">
        <v>0</v>
      </c>
      <c r="S45" s="3">
        <f>R45*20%</f>
      </c>
      <c r="T45" s="3">
        <v>1</v>
      </c>
      <c r="U45" s="3">
        <f>N45+Q45+S45</f>
      </c>
      <c r="V45" s="3">
        <f>I45-J45-O45-P45-Q45-R45-S45-T45</f>
      </c>
      <c r="W45" s="3">
        <f>(V45-AE45)/H45*100</f>
      </c>
      <c r="X45" s="3">
        <f>J45-U45</f>
      </c>
      <c r="Y45" t="s">
        <v>1</v>
      </c>
      <c r="Z45" t="s">
        <v>130</v>
      </c>
      <c r="AF45" s="3">
        <f>V45-AE45</f>
      </c>
      <c r="AG45" t="s">
        <v>65</v>
      </c>
      <c r="AH45" t="s">
        <v>69</v>
      </c>
    </row>
    <row r="46" spans="1:34" x14ac:dyDescent="0.25">
      <c r="A46" s="7">
        <v>46231.5</v>
      </c>
      <c r="B46" t="s">
        <v>1581</v>
      </c>
      <c r="C46" t="s">
        <v>1</v>
      </c>
      <c r="D46" s="8" t="s">
        <v>1582</v>
      </c>
      <c r="E46" t="s">
        <v>72</v>
      </c>
      <c r="F46">
        <v>1</v>
      </c>
      <c r="G46" s="3">
        <v>217</v>
      </c>
      <c r="H46" s="3">
        <v>290.78</v>
      </c>
      <c r="I46" s="3">
        <f>H46-G46</f>
      </c>
      <c r="J46" s="3">
        <f>I46*16.67%</f>
      </c>
      <c r="K46" s="3">
        <f>(H46*6.9%)-(H46*6.9%)*10%</f>
      </c>
      <c r="L46" s="3">
        <f>H46*0.35%</f>
      </c>
      <c r="M46" s="3">
        <v>0.4</v>
      </c>
      <c r="N46" s="3">
        <f>(K46+L46+M46)*20%</f>
      </c>
      <c r="O46" s="3">
        <f>K46+L46+M46+N46</f>
      </c>
      <c r="P46" s="3">
        <v>0</v>
      </c>
      <c r="Q46" s="3">
        <v>0</v>
      </c>
      <c r="R46" s="3">
        <v>0</v>
      </c>
      <c r="S46" s="3">
        <f>R46*20%</f>
      </c>
      <c r="T46" s="3">
        <v>1</v>
      </c>
      <c r="U46" s="3">
        <f>N46+Q46+S46</f>
      </c>
      <c r="V46" s="3">
        <f>I46-J46-O46-P46-Q46-R46-S46-T46</f>
      </c>
      <c r="W46" s="3">
        <f>(V46-AE46)/H46*100</f>
      </c>
      <c r="X46" s="3">
        <f>J46-U46</f>
      </c>
      <c r="Y46" t="s">
        <v>1</v>
      </c>
      <c r="Z46" t="s">
        <v>113</v>
      </c>
      <c r="AF46" s="3">
        <f>V46-AE46</f>
      </c>
      <c r="AG46" t="s">
        <v>94</v>
      </c>
      <c r="AH46" t="s">
        <v>104</v>
      </c>
    </row>
    <row r="47" spans="1:34" x14ac:dyDescent="0.25">
      <c r="A47" s="7">
        <v>46231.5</v>
      </c>
      <c r="B47" t="s">
        <v>1583</v>
      </c>
      <c r="C47" t="s">
        <v>1</v>
      </c>
      <c r="D47" s="8" t="s">
        <v>1584</v>
      </c>
      <c r="E47" t="s">
        <v>63</v>
      </c>
      <c r="F47">
        <v>1</v>
      </c>
      <c r="G47" s="3">
        <v>236</v>
      </c>
      <c r="H47" s="3">
        <v>306.8</v>
      </c>
      <c r="I47" s="3">
        <f>H47-G47</f>
      </c>
      <c r="J47" s="3">
        <f>I47*16.67%</f>
      </c>
      <c r="K47" s="3">
        <f>(H47*6.9%)-(H47*6.9%)*10%</f>
      </c>
      <c r="L47" s="3">
        <f>H47*0.35%</f>
      </c>
      <c r="M47" s="3">
        <v>0.4</v>
      </c>
      <c r="N47" s="3">
        <f>(K47+L47+M47)*20%</f>
      </c>
      <c r="O47" s="3">
        <f>K47+L47+M47+N47</f>
      </c>
      <c r="P47" s="3">
        <v>0</v>
      </c>
      <c r="Q47" s="3">
        <v>0</v>
      </c>
      <c r="R47" s="3">
        <v>0</v>
      </c>
      <c r="S47" s="3">
        <f>R47*20%</f>
      </c>
      <c r="T47" s="3">
        <v>1</v>
      </c>
      <c r="U47" s="3">
        <f>N47+Q47+S47</f>
      </c>
      <c r="V47" s="3">
        <f>I47-J47-O47-P47-Q47-R47-S47-T47</f>
      </c>
      <c r="W47" s="3">
        <f>(V47-AE47)/H47*100</f>
      </c>
      <c r="X47" s="3">
        <f>J47-U47</f>
      </c>
      <c r="Y47" t="s">
        <v>1</v>
      </c>
      <c r="Z47" t="s">
        <v>124</v>
      </c>
      <c r="AF47" s="3">
        <f>V47-AE47</f>
      </c>
      <c r="AG47" t="s">
        <v>125</v>
      </c>
      <c r="AH47" t="s">
        <v>60</v>
      </c>
    </row>
    <row r="48" spans="1:34" x14ac:dyDescent="0.25">
      <c r="A48" s="7">
        <v>46231.5</v>
      </c>
      <c r="B48" t="s">
        <v>1585</v>
      </c>
      <c r="C48" t="s">
        <v>1</v>
      </c>
      <c r="D48" s="8" t="s">
        <v>1586</v>
      </c>
      <c r="E48" t="s">
        <v>77</v>
      </c>
      <c r="F48">
        <v>1</v>
      </c>
      <c r="G48" s="3">
        <v>151</v>
      </c>
      <c r="H48" s="3">
        <v>215.93</v>
      </c>
      <c r="I48" s="3">
        <f>H48-G48</f>
      </c>
      <c r="J48" s="3">
        <f>I48*16.67%</f>
      </c>
      <c r="K48" s="3">
        <f>(H48*6.9%)-(H48*6.9%)*10%</f>
      </c>
      <c r="L48" s="3">
        <f>H48*0.35%</f>
      </c>
      <c r="M48" s="3">
        <v>0.4</v>
      </c>
      <c r="N48" s="3">
        <f>(K48+L48+M48)*20%</f>
      </c>
      <c r="O48" s="3">
        <f>K48+L48+M48+N48</f>
      </c>
      <c r="P48" s="3">
        <v>0</v>
      </c>
      <c r="Q48" s="3">
        <v>0</v>
      </c>
      <c r="R48" s="3">
        <v>0</v>
      </c>
      <c r="S48" s="3">
        <f>R48*20%</f>
      </c>
      <c r="T48" s="3">
        <v>1</v>
      </c>
      <c r="U48" s="3">
        <f>N48+Q48+S48</f>
      </c>
      <c r="V48" s="3">
        <f>I48-J48-O48-P48-Q48-R48-S48-T48</f>
      </c>
      <c r="W48" s="3">
        <f>(V48-AE48)/H48*100</f>
      </c>
      <c r="X48" s="3">
        <f>J48-U48</f>
      </c>
      <c r="Y48" t="s">
        <v>1</v>
      </c>
      <c r="Z48" t="s">
        <v>233</v>
      </c>
      <c r="AF48" s="3">
        <f>V48-AE48</f>
      </c>
      <c r="AG48" t="s">
        <v>65</v>
      </c>
      <c r="AH48" t="s">
        <v>69</v>
      </c>
    </row>
    <row r="49" spans="1:34" x14ac:dyDescent="0.25">
      <c r="A49" s="7">
        <v>46231.5</v>
      </c>
      <c r="B49" t="s">
        <v>1587</v>
      </c>
      <c r="C49" t="s">
        <v>184</v>
      </c>
      <c r="D49" s="8" t="s">
        <v>1</v>
      </c>
      <c r="E49" t="s">
        <v>101</v>
      </c>
      <c r="F49">
        <v>4</v>
      </c>
      <c r="G49" s="3">
        <v>4.8</v>
      </c>
      <c r="H49" s="3">
        <v>6.1</v>
      </c>
      <c r="I49" s="3">
        <f>H49-G49</f>
      </c>
      <c r="J49" s="3">
        <f>I49*16.67%</f>
      </c>
      <c r="K49" s="3">
        <f>(H49*6.9%)-(H49*6.9%)*10%</f>
      </c>
      <c r="L49" s="3">
        <f>H49*0.35%</f>
      </c>
      <c r="M49" s="3">
        <v>0.4</v>
      </c>
      <c r="N49" s="3">
        <f>(K49+L49+M49)*20%</f>
      </c>
      <c r="O49" s="3">
        <f>K49+L49+M49+N49</f>
      </c>
      <c r="P49" s="3">
        <v>0</v>
      </c>
      <c r="Q49" s="3">
        <v>0</v>
      </c>
      <c r="R49" s="3">
        <v>0</v>
      </c>
      <c r="S49" s="3">
        <f>R49*20%</f>
      </c>
      <c r="T49" s="3">
        <v>1</v>
      </c>
      <c r="U49" s="3">
        <f>N49+Q49+S49</f>
      </c>
      <c r="V49" s="3">
        <f>I49-J49-O49-P49-Q49-R49-S49-T49</f>
      </c>
      <c r="W49" s="3">
        <f>(V49-AE49)/H49*100</f>
      </c>
      <c r="X49" s="3">
        <f>J49-U49</f>
      </c>
      <c r="Y49" t="s">
        <v>1</v>
      </c>
      <c r="Z49" t="s">
        <v>184</v>
      </c>
      <c r="AF49" s="3">
        <f>V49-AE49</f>
      </c>
      <c r="AG49" t="s">
        <v>1</v>
      </c>
      <c r="AH49" t="s">
        <v>1</v>
      </c>
    </row>
    <row r="50" spans="1:34" x14ac:dyDescent="0.25">
      <c r="A50" s="7">
        <v>46231.5</v>
      </c>
      <c r="B50" t="s">
        <v>1588</v>
      </c>
      <c r="C50" t="s">
        <v>184</v>
      </c>
      <c r="D50" s="8" t="s">
        <v>1</v>
      </c>
      <c r="E50" t="s">
        <v>101</v>
      </c>
      <c r="F50">
        <v>3</v>
      </c>
      <c r="G50" s="3">
        <v>3.6</v>
      </c>
      <c r="H50" s="3">
        <v>4.61</v>
      </c>
      <c r="I50" s="3">
        <f>H50-G50</f>
      </c>
      <c r="J50" s="3">
        <f>I50*16.67%</f>
      </c>
      <c r="K50" s="3">
        <f>(H50*6.9%)-(H50*6.9%)*10%</f>
      </c>
      <c r="L50" s="3">
        <f>H50*0.35%</f>
      </c>
      <c r="M50" s="3">
        <v>0.4</v>
      </c>
      <c r="N50" s="3">
        <f>(K50+L50+M50)*20%</f>
      </c>
      <c r="O50" s="3">
        <f>K50+L50+M50+N50</f>
      </c>
      <c r="P50" s="3">
        <v>0</v>
      </c>
      <c r="Q50" s="3">
        <v>0</v>
      </c>
      <c r="R50" s="3">
        <v>0</v>
      </c>
      <c r="S50" s="3">
        <f>R50*20%</f>
      </c>
      <c r="T50" s="3">
        <v>1</v>
      </c>
      <c r="U50" s="3">
        <f>N50+Q50+S50</f>
      </c>
      <c r="V50" s="3">
        <f>I50-J50-O50-P50-Q50-R50-S50-T50</f>
      </c>
      <c r="W50" s="3">
        <f>(V50-AE50)/H50*100</f>
      </c>
      <c r="X50" s="3">
        <f>J50-U50</f>
      </c>
      <c r="Y50" t="s">
        <v>1</v>
      </c>
      <c r="Z50" t="s">
        <v>184</v>
      </c>
      <c r="AF50" s="3">
        <f>V50-AE50</f>
      </c>
      <c r="AG50" t="s">
        <v>1</v>
      </c>
      <c r="AH50" t="s">
        <v>1</v>
      </c>
    </row>
    <row r="51" spans="1:34" x14ac:dyDescent="0.25">
      <c r="A51" s="7">
        <v>46231.5</v>
      </c>
      <c r="B51" t="s">
        <v>1589</v>
      </c>
      <c r="C51" t="s">
        <v>188</v>
      </c>
      <c r="D51" s="8" t="s">
        <v>1</v>
      </c>
      <c r="E51" t="s">
        <v>63</v>
      </c>
      <c r="F51">
        <v>2</v>
      </c>
      <c r="G51" s="3">
        <v>7</v>
      </c>
      <c r="H51" s="3">
        <v>9.8</v>
      </c>
      <c r="I51" s="3">
        <f>H51-G51</f>
      </c>
      <c r="J51" s="3">
        <f>I51*16.67%</f>
      </c>
      <c r="K51" s="3">
        <f>(H51*6.9%)-(H51*6.9%)*10%</f>
      </c>
      <c r="L51" s="3">
        <f>H51*0.35%</f>
      </c>
      <c r="M51" s="3">
        <v>0.4</v>
      </c>
      <c r="N51" s="3">
        <f>(K51+L51+M51)*20%</f>
      </c>
      <c r="O51" s="3">
        <f>K51+L51+M51+N51</f>
      </c>
      <c r="P51" s="3">
        <v>0</v>
      </c>
      <c r="Q51" s="3">
        <v>0</v>
      </c>
      <c r="R51" s="3">
        <v>0</v>
      </c>
      <c r="S51" s="3">
        <f>R51*20%</f>
      </c>
      <c r="T51" s="3">
        <v>1</v>
      </c>
      <c r="U51" s="3">
        <f>N51+Q51+S51</f>
      </c>
      <c r="V51" s="3">
        <f>I51-J51-O51-P51-Q51-R51-S51-T51</f>
      </c>
      <c r="W51" s="3">
        <f>(V51-AE51)/H51*100</f>
      </c>
      <c r="X51" s="3">
        <f>J51-U51</f>
      </c>
      <c r="Y51" t="s">
        <v>1</v>
      </c>
      <c r="Z51" t="s">
        <v>188</v>
      </c>
      <c r="AF51" s="3">
        <f>V51-AE51</f>
      </c>
      <c r="AG51" t="s">
        <v>1</v>
      </c>
      <c r="AH51" t="s">
        <v>1</v>
      </c>
    </row>
    <row r="52" spans="1:34" x14ac:dyDescent="0.25">
      <c r="A52" s="7">
        <v>46231.5</v>
      </c>
      <c r="B52" t="s">
        <v>1590</v>
      </c>
      <c r="C52" t="s">
        <v>188</v>
      </c>
      <c r="D52" s="8" t="s">
        <v>1</v>
      </c>
      <c r="E52" t="s">
        <v>63</v>
      </c>
      <c r="F52">
        <v>3</v>
      </c>
      <c r="G52" s="3">
        <v>10.5</v>
      </c>
      <c r="H52" s="3">
        <v>15.12</v>
      </c>
      <c r="I52" s="3">
        <f>H52-G52</f>
      </c>
      <c r="J52" s="3">
        <f>I52*16.67%</f>
      </c>
      <c r="K52" s="3">
        <f>(H52*6.9%)-(H52*6.9%)*10%</f>
      </c>
      <c r="L52" s="3">
        <f>H52*0.35%</f>
      </c>
      <c r="M52" s="3">
        <v>0.4</v>
      </c>
      <c r="N52" s="3">
        <f>(K52+L52+M52)*20%</f>
      </c>
      <c r="O52" s="3">
        <f>K52+L52+M52+N52</f>
      </c>
      <c r="P52" s="3">
        <v>0</v>
      </c>
      <c r="Q52" s="3">
        <v>0</v>
      </c>
      <c r="R52" s="3">
        <v>0</v>
      </c>
      <c r="S52" s="3">
        <f>R52*20%</f>
      </c>
      <c r="T52" s="3">
        <v>1</v>
      </c>
      <c r="U52" s="3">
        <f>N52+Q52+S52</f>
      </c>
      <c r="V52" s="3">
        <f>I52-J52-O52-P52-Q52-R52-S52-T52</f>
      </c>
      <c r="W52" s="3">
        <f>(V52-AE52)/H52*100</f>
      </c>
      <c r="X52" s="3">
        <f>J52-U52</f>
      </c>
      <c r="Y52" t="s">
        <v>1</v>
      </c>
      <c r="Z52" t="s">
        <v>188</v>
      </c>
      <c r="AF52" s="3">
        <f>V52-AE52</f>
      </c>
      <c r="AG52" t="s">
        <v>1</v>
      </c>
      <c r="AH52" t="s">
        <v>1</v>
      </c>
    </row>
    <row r="53" spans="1:34" x14ac:dyDescent="0.25">
      <c r="A53" s="7">
        <v>46231.5</v>
      </c>
      <c r="B53" t="s">
        <v>1591</v>
      </c>
      <c r="C53" t="s">
        <v>176</v>
      </c>
      <c r="D53" s="8" t="s">
        <v>1</v>
      </c>
      <c r="E53" t="s">
        <v>77</v>
      </c>
      <c r="F53">
        <v>2</v>
      </c>
      <c r="G53" s="3">
        <v>0.3</v>
      </c>
      <c r="H53" s="3">
        <v>0.37</v>
      </c>
      <c r="I53" s="3">
        <f>H53-G53</f>
      </c>
      <c r="J53" s="3">
        <f>I53*16.67%</f>
      </c>
      <c r="K53" s="3">
        <f>(H53*6.9%)-(H53*6.9%)*10%</f>
      </c>
      <c r="L53" s="3">
        <f>H53*0.35%</f>
      </c>
      <c r="M53" s="3">
        <v>0.4</v>
      </c>
      <c r="N53" s="3">
        <f>(K53+L53+M53)*20%</f>
      </c>
      <c r="O53" s="3">
        <f>K53+L53+M53+N53</f>
      </c>
      <c r="P53" s="3">
        <v>0</v>
      </c>
      <c r="Q53" s="3">
        <v>0</v>
      </c>
      <c r="R53" s="3">
        <v>0</v>
      </c>
      <c r="S53" s="3">
        <f>R53*20%</f>
      </c>
      <c r="T53" s="3">
        <v>1</v>
      </c>
      <c r="U53" s="3">
        <f>N53+Q53+S53</f>
      </c>
      <c r="V53" s="3">
        <f>I53-J53-O53-P53-Q53-R53-S53-T53</f>
      </c>
      <c r="W53" s="3">
        <f>(V53-AE53)/H53*100</f>
      </c>
      <c r="X53" s="3">
        <f>J53-U53</f>
      </c>
      <c r="Y53" t="s">
        <v>1</v>
      </c>
      <c r="Z53" t="s">
        <v>176</v>
      </c>
      <c r="AF53" s="3">
        <f>V53-AE53</f>
      </c>
      <c r="AG53" t="s">
        <v>1</v>
      </c>
      <c r="AH53" t="s">
        <v>1</v>
      </c>
    </row>
    <row r="54" spans="1:34" x14ac:dyDescent="0.25">
      <c r="A54" s="7">
        <v>46231.5</v>
      </c>
      <c r="B54" t="s">
        <v>1592</v>
      </c>
      <c r="C54" t="s">
        <v>253</v>
      </c>
      <c r="D54" s="8" t="s">
        <v>1</v>
      </c>
      <c r="E54" t="s">
        <v>57</v>
      </c>
      <c r="F54">
        <v>3</v>
      </c>
      <c r="G54" s="3">
        <v>2.4</v>
      </c>
      <c r="H54" s="3">
        <v>3.48</v>
      </c>
      <c r="I54" s="3">
        <f>H54-G54</f>
      </c>
      <c r="J54" s="3">
        <f>I54*16.67%</f>
      </c>
      <c r="K54" s="3">
        <f>(H54*6.9%)-(H54*6.9%)*10%</f>
      </c>
      <c r="L54" s="3">
        <f>H54*0.35%</f>
      </c>
      <c r="M54" s="3">
        <v>0.4</v>
      </c>
      <c r="N54" s="3">
        <f>(K54+L54+M54)*20%</f>
      </c>
      <c r="O54" s="3">
        <f>K54+L54+M54+N54</f>
      </c>
      <c r="P54" s="3">
        <v>0</v>
      </c>
      <c r="Q54" s="3">
        <v>0</v>
      </c>
      <c r="R54" s="3">
        <v>0</v>
      </c>
      <c r="S54" s="3">
        <f>R54*20%</f>
      </c>
      <c r="T54" s="3">
        <v>1</v>
      </c>
      <c r="U54" s="3">
        <f>N54+Q54+S54</f>
      </c>
      <c r="V54" s="3">
        <f>I54-J54-O54-P54-Q54-R54-S54-T54</f>
      </c>
      <c r="W54" s="3">
        <f>(V54-AE54)/H54*100</f>
      </c>
      <c r="X54" s="3">
        <f>J54-U54</f>
      </c>
      <c r="Y54" t="s">
        <v>1</v>
      </c>
      <c r="Z54" t="s">
        <v>253</v>
      </c>
      <c r="AF54" s="3">
        <f>V54-AE54</f>
      </c>
      <c r="AG54" t="s">
        <v>1</v>
      </c>
      <c r="AH54" t="s">
        <v>1</v>
      </c>
    </row>
    <row r="55" spans="1:34" x14ac:dyDescent="0.25">
      <c r="A55" s="7">
        <v>46231.5</v>
      </c>
      <c r="B55" t="s">
        <v>1593</v>
      </c>
      <c r="C55" t="s">
        <v>253</v>
      </c>
      <c r="D55" s="8" t="s">
        <v>1</v>
      </c>
      <c r="E55" t="s">
        <v>57</v>
      </c>
      <c r="F55">
        <v>3</v>
      </c>
      <c r="G55" s="3">
        <v>2.4</v>
      </c>
      <c r="H55" s="3">
        <v>3.31</v>
      </c>
      <c r="I55" s="3">
        <f>H55-G55</f>
      </c>
      <c r="J55" s="3">
        <f>I55*16.67%</f>
      </c>
      <c r="K55" s="3">
        <f>(H55*6.9%)-(H55*6.9%)*10%</f>
      </c>
      <c r="L55" s="3">
        <f>H55*0.35%</f>
      </c>
      <c r="M55" s="3">
        <v>0.4</v>
      </c>
      <c r="N55" s="3">
        <f>(K55+L55+M55)*20%</f>
      </c>
      <c r="O55" s="3">
        <f>K55+L55+M55+N55</f>
      </c>
      <c r="P55" s="3">
        <v>0</v>
      </c>
      <c r="Q55" s="3">
        <v>0</v>
      </c>
      <c r="R55" s="3">
        <v>0</v>
      </c>
      <c r="S55" s="3">
        <f>R55*20%</f>
      </c>
      <c r="T55" s="3">
        <v>1</v>
      </c>
      <c r="U55" s="3">
        <f>N55+Q55+S55</f>
      </c>
      <c r="V55" s="3">
        <f>I55-J55-O55-P55-Q55-R55-S55-T55</f>
      </c>
      <c r="W55" s="3">
        <f>(V55-AE55)/H55*100</f>
      </c>
      <c r="X55" s="3">
        <f>J55-U55</f>
      </c>
      <c r="Y55" t="s">
        <v>1</v>
      </c>
      <c r="Z55" t="s">
        <v>253</v>
      </c>
      <c r="AF55" s="3">
        <f>V55-AE55</f>
      </c>
      <c r="AG55" t="s">
        <v>1</v>
      </c>
      <c r="AH55" t="s">
        <v>1</v>
      </c>
    </row>
    <row r="56" spans="1:34" x14ac:dyDescent="0.25">
      <c r="A56" s="7">
        <v>46231.5</v>
      </c>
      <c r="B56" t="s">
        <v>1594</v>
      </c>
      <c r="C56" t="s">
        <v>181</v>
      </c>
      <c r="D56" s="8" t="s">
        <v>1</v>
      </c>
      <c r="E56" t="s">
        <v>72</v>
      </c>
      <c r="F56">
        <v>2</v>
      </c>
      <c r="G56" s="3">
        <v>3.8</v>
      </c>
      <c r="H56" s="3">
        <v>4.52</v>
      </c>
      <c r="I56" s="3">
        <f>H56-G56</f>
      </c>
      <c r="J56" s="3">
        <f>I56*16.67%</f>
      </c>
      <c r="K56" s="3">
        <f>(H56*6.9%)-(H56*6.9%)*10%</f>
      </c>
      <c r="L56" s="3">
        <f>H56*0.35%</f>
      </c>
      <c r="M56" s="3">
        <v>0.4</v>
      </c>
      <c r="N56" s="3">
        <f>(K56+L56+M56)*20%</f>
      </c>
      <c r="O56" s="3">
        <f>K56+L56+M56+N56</f>
      </c>
      <c r="P56" s="3">
        <v>0</v>
      </c>
      <c r="Q56" s="3">
        <v>0</v>
      </c>
      <c r="R56" s="3">
        <v>0</v>
      </c>
      <c r="S56" s="3">
        <f>R56*20%</f>
      </c>
      <c r="T56" s="3">
        <v>1</v>
      </c>
      <c r="U56" s="3">
        <f>N56+Q56+S56</f>
      </c>
      <c r="V56" s="3">
        <f>I56-J56-O56-P56-Q56-R56-S56-T56</f>
      </c>
      <c r="W56" s="3">
        <f>(V56-AE56)/H56*100</f>
      </c>
      <c r="X56" s="3">
        <f>J56-U56</f>
      </c>
      <c r="Y56" t="s">
        <v>1</v>
      </c>
      <c r="Z56" t="s">
        <v>181</v>
      </c>
      <c r="AF56" s="3">
        <f>V56-AE56</f>
      </c>
      <c r="AG56" t="s">
        <v>1</v>
      </c>
      <c r="AH56" t="s">
        <v>1</v>
      </c>
    </row>
    <row r="57" spans="1:34" x14ac:dyDescent="0.25">
      <c r="A57" s="7">
        <v>46231.5</v>
      </c>
      <c r="B57" t="s">
        <v>1595</v>
      </c>
      <c r="C57" t="s">
        <v>181</v>
      </c>
      <c r="D57" s="8" t="s">
        <v>1</v>
      </c>
      <c r="E57" t="s">
        <v>72</v>
      </c>
      <c r="F57">
        <v>4</v>
      </c>
      <c r="G57" s="3">
        <v>7.6</v>
      </c>
      <c r="H57" s="3">
        <v>9.96</v>
      </c>
      <c r="I57" s="3">
        <f>H57-G57</f>
      </c>
      <c r="J57" s="3">
        <f>I57*16.67%</f>
      </c>
      <c r="K57" s="3">
        <f>(H57*6.9%)-(H57*6.9%)*10%</f>
      </c>
      <c r="L57" s="3">
        <f>H57*0.35%</f>
      </c>
      <c r="M57" s="3">
        <v>0.4</v>
      </c>
      <c r="N57" s="3">
        <f>(K57+L57+M57)*20%</f>
      </c>
      <c r="O57" s="3">
        <f>K57+L57+M57+N57</f>
      </c>
      <c r="P57" s="3">
        <v>0</v>
      </c>
      <c r="Q57" s="3">
        <v>0</v>
      </c>
      <c r="R57" s="3">
        <v>0</v>
      </c>
      <c r="S57" s="3">
        <f>R57*20%</f>
      </c>
      <c r="T57" s="3">
        <v>1</v>
      </c>
      <c r="U57" s="3">
        <f>N57+Q57+S57</f>
      </c>
      <c r="V57" s="3">
        <f>I57-J57-O57-P57-Q57-R57-S57-T57</f>
      </c>
      <c r="W57" s="3">
        <f>(V57-AE57)/H57*100</f>
      </c>
      <c r="X57" s="3">
        <f>J57-U57</f>
      </c>
      <c r="Y57" t="s">
        <v>1</v>
      </c>
      <c r="Z57" t="s">
        <v>181</v>
      </c>
      <c r="AF57" s="3">
        <f>V57-AE57</f>
      </c>
      <c r="AG57" t="s">
        <v>1</v>
      </c>
      <c r="AH57" t="s">
        <v>1</v>
      </c>
    </row>
    <row r="58" spans="1:34" x14ac:dyDescent="0.25">
      <c r="A58" s="7">
        <v>46231.5</v>
      </c>
      <c r="B58" t="s">
        <v>1596</v>
      </c>
      <c r="C58" t="s">
        <v>181</v>
      </c>
      <c r="D58" s="8" t="s">
        <v>1</v>
      </c>
      <c r="E58" t="s">
        <v>72</v>
      </c>
      <c r="F58">
        <v>1</v>
      </c>
      <c r="G58" s="3">
        <v>1.9</v>
      </c>
      <c r="H58" s="3">
        <v>2.49</v>
      </c>
      <c r="I58" s="3">
        <f>H58-G58</f>
      </c>
      <c r="J58" s="3">
        <f>I58*16.67%</f>
      </c>
      <c r="K58" s="3">
        <f>(H58*6.9%)-(H58*6.9%)*10%</f>
      </c>
      <c r="L58" s="3">
        <f>H58*0.35%</f>
      </c>
      <c r="M58" s="3">
        <v>0.4</v>
      </c>
      <c r="N58" s="3">
        <f>(K58+L58+M58)*20%</f>
      </c>
      <c r="O58" s="3">
        <f>K58+L58+M58+N58</f>
      </c>
      <c r="P58" s="3">
        <v>0</v>
      </c>
      <c r="Q58" s="3">
        <v>0</v>
      </c>
      <c r="R58" s="3">
        <v>0</v>
      </c>
      <c r="S58" s="3">
        <f>R58*20%</f>
      </c>
      <c r="T58" s="3">
        <v>1</v>
      </c>
      <c r="U58" s="3">
        <f>N58+Q58+S58</f>
      </c>
      <c r="V58" s="3">
        <f>I58-J58-O58-P58-Q58-R58-S58-T58</f>
      </c>
      <c r="W58" s="3">
        <f>(V58-AE58)/H58*100</f>
      </c>
      <c r="X58" s="3">
        <f>J58-U58</f>
      </c>
      <c r="Y58" t="s">
        <v>1</v>
      </c>
      <c r="Z58" t="s">
        <v>181</v>
      </c>
      <c r="AF58" s="3">
        <f>V58-AE58</f>
      </c>
      <c r="AG58" t="s">
        <v>1</v>
      </c>
      <c r="AH58" t="s">
        <v>1</v>
      </c>
    </row>
    <row r="59" spans="1:34" x14ac:dyDescent="0.25">
      <c r="A59" s="7">
        <v>46231.5</v>
      </c>
      <c r="B59" t="s">
        <v>1597</v>
      </c>
      <c r="C59" t="s">
        <v>181</v>
      </c>
      <c r="D59" s="8" t="s">
        <v>1</v>
      </c>
      <c r="E59" t="s">
        <v>72</v>
      </c>
      <c r="F59">
        <v>2</v>
      </c>
      <c r="G59" s="3">
        <v>3.8</v>
      </c>
      <c r="H59" s="3">
        <v>4.83</v>
      </c>
      <c r="I59" s="3">
        <f>H59-G59</f>
      </c>
      <c r="J59" s="3">
        <f>I59*16.67%</f>
      </c>
      <c r="K59" s="3">
        <f>(H59*6.9%)-(H59*6.9%)*10%</f>
      </c>
      <c r="L59" s="3">
        <f>H59*0.35%</f>
      </c>
      <c r="M59" s="3">
        <v>0.4</v>
      </c>
      <c r="N59" s="3">
        <f>(K59+L59+M59)*20%</f>
      </c>
      <c r="O59" s="3">
        <f>K59+L59+M59+N59</f>
      </c>
      <c r="P59" s="3">
        <v>0</v>
      </c>
      <c r="Q59" s="3">
        <v>0</v>
      </c>
      <c r="R59" s="3">
        <v>0</v>
      </c>
      <c r="S59" s="3">
        <f>R59*20%</f>
      </c>
      <c r="T59" s="3">
        <v>1</v>
      </c>
      <c r="U59" s="3">
        <f>N59+Q59+S59</f>
      </c>
      <c r="V59" s="3">
        <f>I59-J59-O59-P59-Q59-R59-S59-T59</f>
      </c>
      <c r="W59" s="3">
        <f>(V59-AE59)/H59*100</f>
      </c>
      <c r="X59" s="3">
        <f>J59-U59</f>
      </c>
      <c r="Y59" t="s">
        <v>1</v>
      </c>
      <c r="Z59" t="s">
        <v>181</v>
      </c>
      <c r="AF59" s="3">
        <f>V59-AE59</f>
      </c>
      <c r="AG59" t="s">
        <v>1</v>
      </c>
      <c r="AH59" t="s">
        <v>1</v>
      </c>
    </row>
    <row r="60" spans="1:34" x14ac:dyDescent="0.25">
      <c r="A60" s="7">
        <v>46231.5</v>
      </c>
      <c r="B60" t="s">
        <v>1598</v>
      </c>
      <c r="C60" t="s">
        <v>184</v>
      </c>
      <c r="D60" s="8" t="s">
        <v>1</v>
      </c>
      <c r="E60" t="s">
        <v>101</v>
      </c>
      <c r="F60">
        <v>3</v>
      </c>
      <c r="G60" s="3">
        <v>3.6</v>
      </c>
      <c r="H60" s="3">
        <v>4.46</v>
      </c>
      <c r="I60" s="3">
        <f>H60-G60</f>
      </c>
      <c r="J60" s="3">
        <f>I60*16.67%</f>
      </c>
      <c r="K60" s="3">
        <f>(H60*6.9%)-(H60*6.9%)*10%</f>
      </c>
      <c r="L60" s="3">
        <f>H60*0.35%</f>
      </c>
      <c r="M60" s="3">
        <v>0.4</v>
      </c>
      <c r="N60" s="3">
        <f>(K60+L60+M60)*20%</f>
      </c>
      <c r="O60" s="3">
        <f>K60+L60+M60+N60</f>
      </c>
      <c r="P60" s="3">
        <v>0</v>
      </c>
      <c r="Q60" s="3">
        <v>0</v>
      </c>
      <c r="R60" s="3">
        <v>0</v>
      </c>
      <c r="S60" s="3">
        <f>R60*20%</f>
      </c>
      <c r="T60" s="3">
        <v>1</v>
      </c>
      <c r="U60" s="3">
        <f>N60+Q60+S60</f>
      </c>
      <c r="V60" s="3">
        <f>I60-J60-O60-P60-Q60-R60-S60-T60</f>
      </c>
      <c r="W60" s="3">
        <f>(V60-AE60)/H60*100</f>
      </c>
      <c r="X60" s="3">
        <f>J60-U60</f>
      </c>
      <c r="Y60" t="s">
        <v>1</v>
      </c>
      <c r="Z60" t="s">
        <v>184</v>
      </c>
      <c r="AF60" s="3">
        <f>V60-AE60</f>
      </c>
      <c r="AG60" t="s">
        <v>1</v>
      </c>
      <c r="AH60" t="s">
        <v>1</v>
      </c>
    </row>
    <row r="61" spans="1:34" x14ac:dyDescent="0.25">
      <c r="A61" s="7">
        <v>46231.5</v>
      </c>
      <c r="B61" t="s">
        <v>1599</v>
      </c>
      <c r="C61" t="s">
        <v>184</v>
      </c>
      <c r="D61" s="8" t="s">
        <v>1</v>
      </c>
      <c r="E61" t="s">
        <v>101</v>
      </c>
      <c r="F61">
        <v>2</v>
      </c>
      <c r="G61" s="3">
        <v>2.4</v>
      </c>
      <c r="H61" s="3">
        <v>3.41</v>
      </c>
      <c r="I61" s="3">
        <f>H61-G61</f>
      </c>
      <c r="J61" s="3">
        <f>I61*16.67%</f>
      </c>
      <c r="K61" s="3">
        <f>(H61*6.9%)-(H61*6.9%)*10%</f>
      </c>
      <c r="L61" s="3">
        <f>H61*0.35%</f>
      </c>
      <c r="M61" s="3">
        <v>0.4</v>
      </c>
      <c r="N61" s="3">
        <f>(K61+L61+M61)*20%</f>
      </c>
      <c r="O61" s="3">
        <f>K61+L61+M61+N61</f>
      </c>
      <c r="P61" s="3">
        <v>0</v>
      </c>
      <c r="Q61" s="3">
        <v>0</v>
      </c>
      <c r="R61" s="3">
        <v>0</v>
      </c>
      <c r="S61" s="3">
        <f>R61*20%</f>
      </c>
      <c r="T61" s="3">
        <v>1</v>
      </c>
      <c r="U61" s="3">
        <f>N61+Q61+S61</f>
      </c>
      <c r="V61" s="3">
        <f>I61-J61-O61-P61-Q61-R61-S61-T61</f>
      </c>
      <c r="W61" s="3">
        <f>(V61-AE61)/H61*100</f>
      </c>
      <c r="X61" s="3">
        <f>J61-U61</f>
      </c>
      <c r="Y61" t="s">
        <v>1</v>
      </c>
      <c r="Z61" t="s">
        <v>184</v>
      </c>
      <c r="AF61" s="3">
        <f>V61-AE61</f>
      </c>
      <c r="AG61" t="s">
        <v>1</v>
      </c>
      <c r="AH61" t="s">
        <v>1</v>
      </c>
    </row>
    <row r="62" spans="1:34" x14ac:dyDescent="0.25">
      <c r="A62" s="7">
        <v>46231.5</v>
      </c>
      <c r="B62" t="s">
        <v>1600</v>
      </c>
      <c r="C62" t="s">
        <v>1</v>
      </c>
      <c r="D62" s="8" t="s">
        <v>1</v>
      </c>
      <c r="E62" t="s">
        <v>101</v>
      </c>
      <c r="F62">
        <v>1</v>
      </c>
      <c r="G62" s="3">
        <v>191</v>
      </c>
      <c r="H62" s="3">
        <v>255.94</v>
      </c>
      <c r="I62" s="3">
        <f>H62-G62</f>
      </c>
      <c r="J62" s="3">
        <f>I62*16.67%</f>
      </c>
      <c r="K62" s="3">
        <f>(H62*6.9%)-(H62*6.9%)*10%</f>
      </c>
      <c r="L62" s="3">
        <f>H62*0.35%</f>
      </c>
      <c r="M62" s="3">
        <v>0.4</v>
      </c>
      <c r="N62" s="3">
        <f>(K62+L62+M62)*20%</f>
      </c>
      <c r="O62" s="3">
        <f>K62+L62+M62+N62</f>
      </c>
      <c r="P62" s="3">
        <v>0</v>
      </c>
      <c r="Q62" s="3">
        <v>0</v>
      </c>
      <c r="R62" s="3">
        <v>0</v>
      </c>
      <c r="S62" s="3">
        <f>R62*20%</f>
      </c>
      <c r="T62" s="3">
        <v>1</v>
      </c>
      <c r="U62" s="3">
        <f>N62+Q62+S62</f>
      </c>
      <c r="V62" s="3">
        <f>I62-J62-O62-P62-Q62-R62-S62-T62</f>
      </c>
      <c r="W62" s="3">
        <f>(V62-AE62)/H62*100</f>
      </c>
      <c r="X62" s="3">
        <f>J62-U62</f>
      </c>
      <c r="Y62" t="s">
        <v>1</v>
      </c>
      <c r="Z62" t="s">
        <v>1</v>
      </c>
      <c r="AF62" s="3">
        <f>V62-AE62</f>
      </c>
      <c r="AG62" t="s">
        <v>1</v>
      </c>
      <c r="AH62" t="s">
        <v>1</v>
      </c>
    </row>
    <row r="63" spans="1:34" x14ac:dyDescent="0.25">
      <c r="A63" s="7">
        <v>46231.5</v>
      </c>
      <c r="B63" t="s">
        <v>1601</v>
      </c>
      <c r="C63" t="s">
        <v>1</v>
      </c>
      <c r="D63" s="8" t="s">
        <v>1</v>
      </c>
      <c r="E63" t="s">
        <v>57</v>
      </c>
      <c r="F63">
        <v>1</v>
      </c>
      <c r="G63" s="3">
        <v>180</v>
      </c>
      <c r="H63" s="3">
        <v>232.2</v>
      </c>
      <c r="I63" s="3">
        <f>H63-G63</f>
      </c>
      <c r="J63" s="3">
        <f>I63*16.67%</f>
      </c>
      <c r="K63" s="3">
        <f>(H63*6.9%)-(H63*6.9%)*10%</f>
      </c>
      <c r="L63" s="3">
        <f>H63*0.35%</f>
      </c>
      <c r="M63" s="3">
        <v>0.4</v>
      </c>
      <c r="N63" s="3">
        <f>(K63+L63+M63)*20%</f>
      </c>
      <c r="O63" s="3">
        <f>K63+L63+M63+N63</f>
      </c>
      <c r="P63" s="3">
        <v>0</v>
      </c>
      <c r="Q63" s="3">
        <v>0</v>
      </c>
      <c r="R63" s="3">
        <v>0</v>
      </c>
      <c r="S63" s="3">
        <f>R63*20%</f>
      </c>
      <c r="T63" s="3">
        <v>1</v>
      </c>
      <c r="U63" s="3">
        <f>N63+Q63+S63</f>
      </c>
      <c r="V63" s="3">
        <f>I63-J63-O63-P63-Q63-R63-S63-T63</f>
      </c>
      <c r="W63" s="3">
        <f>(V63-AE63)/H63*100</f>
      </c>
      <c r="X63" s="3">
        <f>J63-U63</f>
      </c>
      <c r="Y63" t="s">
        <v>1</v>
      </c>
      <c r="Z63" t="s">
        <v>1</v>
      </c>
      <c r="AF63" s="3">
        <f>V63-AE63</f>
      </c>
      <c r="AG63" t="s">
        <v>1</v>
      </c>
      <c r="AH63" t="s">
        <v>1</v>
      </c>
    </row>
    <row r="64" spans="1:34" x14ac:dyDescent="0.25">
      <c r="A64" s="7">
        <v>46231.5</v>
      </c>
      <c r="B64" t="s">
        <v>1602</v>
      </c>
      <c r="C64" t="s">
        <v>1</v>
      </c>
      <c r="D64" s="8" t="s">
        <v>1</v>
      </c>
      <c r="E64" t="s">
        <v>72</v>
      </c>
      <c r="F64">
        <v>1</v>
      </c>
      <c r="G64" s="3">
        <v>130</v>
      </c>
      <c r="H64" s="3">
        <v>167.7</v>
      </c>
      <c r="I64" s="3">
        <f>H64-G64</f>
      </c>
      <c r="J64" s="3">
        <f>I64*16.67%</f>
      </c>
      <c r="K64" s="3">
        <f>(H64*6.9%)-(H64*6.9%)*10%</f>
      </c>
      <c r="L64" s="3">
        <f>H64*0.35%</f>
      </c>
      <c r="M64" s="3">
        <v>0.4</v>
      </c>
      <c r="N64" s="3">
        <f>(K64+L64+M64)*20%</f>
      </c>
      <c r="O64" s="3">
        <f>K64+L64+M64+N64</f>
      </c>
      <c r="P64" s="3">
        <v>0</v>
      </c>
      <c r="Q64" s="3">
        <v>0</v>
      </c>
      <c r="R64" s="3">
        <v>0</v>
      </c>
      <c r="S64" s="3">
        <f>R64*20%</f>
      </c>
      <c r="T64" s="3">
        <v>1</v>
      </c>
      <c r="U64" s="3">
        <f>N64+Q64+S64</f>
      </c>
      <c r="V64" s="3">
        <f>I64-J64-O64-P64-Q64-R64-S64-T64</f>
      </c>
      <c r="W64" s="3">
        <f>(V64-AE64)/H64*100</f>
      </c>
      <c r="X64" s="3">
        <f>J64-U64</f>
      </c>
      <c r="Y64" t="s">
        <v>1</v>
      </c>
      <c r="Z64" t="s">
        <v>1</v>
      </c>
      <c r="AF64" s="3">
        <f>V64-AE64</f>
      </c>
      <c r="AG64" t="s">
        <v>1</v>
      </c>
      <c r="AH64" t="s">
        <v>1</v>
      </c>
    </row>
    <row r="65" spans="1:34" x14ac:dyDescent="0.25">
      <c r="A65" s="7">
        <v>46231.5</v>
      </c>
      <c r="B65" t="s">
        <v>1603</v>
      </c>
      <c r="C65" t="s">
        <v>1</v>
      </c>
      <c r="D65" s="8" t="s">
        <v>1</v>
      </c>
      <c r="E65" t="s">
        <v>77</v>
      </c>
      <c r="F65">
        <v>1</v>
      </c>
      <c r="G65" s="3">
        <v>105</v>
      </c>
      <c r="H65" s="3">
        <v>131.25</v>
      </c>
      <c r="I65" s="3">
        <f>H65-G65</f>
      </c>
      <c r="J65" s="3">
        <f>I65*16.67%</f>
      </c>
      <c r="K65" s="3">
        <f>(H65*6.9%)-(H65*6.9%)*10%</f>
      </c>
      <c r="L65" s="3">
        <f>H65*0.35%</f>
      </c>
      <c r="M65" s="3">
        <v>0.4</v>
      </c>
      <c r="N65" s="3">
        <f>(K65+L65+M65)*20%</f>
      </c>
      <c r="O65" s="3">
        <f>K65+L65+M65+N65</f>
      </c>
      <c r="P65" s="3">
        <v>0</v>
      </c>
      <c r="Q65" s="3">
        <v>0</v>
      </c>
      <c r="R65" s="3">
        <v>0</v>
      </c>
      <c r="S65" s="3">
        <f>R65*20%</f>
      </c>
      <c r="T65" s="3">
        <v>1</v>
      </c>
      <c r="U65" s="3">
        <f>N65+Q65+S65</f>
      </c>
      <c r="V65" s="3">
        <f>I65-J65-O65-P65-Q65-R65-S65-T65</f>
      </c>
      <c r="W65" s="3">
        <f>(V65-AE65)/H65*100</f>
      </c>
      <c r="X65" s="3">
        <f>J65-U65</f>
      </c>
      <c r="Y65" t="s">
        <v>1</v>
      </c>
      <c r="Z65" t="s">
        <v>1</v>
      </c>
      <c r="AF65" s="3">
        <f>V65-AE65</f>
      </c>
      <c r="AG65" t="s">
        <v>1</v>
      </c>
      <c r="AH65" t="s">
        <v>1</v>
      </c>
    </row>
    <row r="66" spans="1:34" x14ac:dyDescent="0.25">
      <c r="A66" s="7">
        <v>46231.5</v>
      </c>
      <c r="B66" t="s">
        <v>1604</v>
      </c>
      <c r="C66" t="s">
        <v>1</v>
      </c>
      <c r="D66" s="8" t="s">
        <v>1</v>
      </c>
      <c r="E66" t="s">
        <v>57</v>
      </c>
      <c r="F66">
        <v>1</v>
      </c>
      <c r="G66" s="3">
        <v>242</v>
      </c>
      <c r="H66" s="3">
        <v>326.7</v>
      </c>
      <c r="I66" s="3">
        <f>H66-G66</f>
      </c>
      <c r="J66" s="3">
        <f>I66*16.67%</f>
      </c>
      <c r="K66" s="3">
        <f>(H66*6.9%)-(H66*6.9%)*10%</f>
      </c>
      <c r="L66" s="3">
        <f>H66*0.35%</f>
      </c>
      <c r="M66" s="3">
        <v>0.4</v>
      </c>
      <c r="N66" s="3">
        <f>(K66+L66+M66)*20%</f>
      </c>
      <c r="O66" s="3">
        <f>K66+L66+M66+N66</f>
      </c>
      <c r="P66" s="3">
        <v>0</v>
      </c>
      <c r="Q66" s="3">
        <v>0</v>
      </c>
      <c r="R66" s="3">
        <v>0</v>
      </c>
      <c r="S66" s="3">
        <f>R66*20%</f>
      </c>
      <c r="T66" s="3">
        <v>1</v>
      </c>
      <c r="U66" s="3">
        <f>N66+Q66+S66</f>
      </c>
      <c r="V66" s="3">
        <f>I66-J66-O66-P66-Q66-R66-S66-T66</f>
      </c>
      <c r="W66" s="3">
        <f>(V66-AE66)/H66*100</f>
      </c>
      <c r="X66" s="3">
        <f>J66-U66</f>
      </c>
      <c r="Y66" t="s">
        <v>1</v>
      </c>
      <c r="Z66" t="s">
        <v>1</v>
      </c>
      <c r="AF66" s="3">
        <f>V66-AE66</f>
      </c>
      <c r="AG66" t="s">
        <v>1</v>
      </c>
      <c r="AH66" t="s">
        <v>1</v>
      </c>
    </row>
    <row r="67" spans="1:34" x14ac:dyDescent="0.25">
      <c r="A67" s="7">
        <v>46230.5</v>
      </c>
      <c r="B67" t="s">
        <v>1605</v>
      </c>
      <c r="C67" t="s">
        <v>1</v>
      </c>
      <c r="D67" s="8" t="s">
        <v>1606</v>
      </c>
      <c r="E67" t="s">
        <v>57</v>
      </c>
      <c r="F67">
        <v>1</v>
      </c>
      <c r="G67" s="3">
        <v>571</v>
      </c>
      <c r="H67" s="3">
        <v>730.88</v>
      </c>
      <c r="I67" s="3">
        <f>H67-G67</f>
      </c>
      <c r="J67" s="3">
        <f>I67*16.67%</f>
      </c>
      <c r="K67" s="3">
        <f>(H67*6.9%)-(H67*6.9%)*10%</f>
      </c>
      <c r="L67" s="3">
        <f>H67*0.35%</f>
      </c>
      <c r="M67" s="3">
        <v>0.4</v>
      </c>
      <c r="N67" s="3">
        <f>(K67+L67+M67)*20%</f>
      </c>
      <c r="O67" s="3">
        <f>K67+L67+M67+N67</f>
      </c>
      <c r="P67" s="3">
        <v>0</v>
      </c>
      <c r="Q67" s="3">
        <v>0</v>
      </c>
      <c r="R67" s="3">
        <v>0</v>
      </c>
      <c r="S67" s="3">
        <f>R67*20%</f>
      </c>
      <c r="T67" s="3">
        <v>1</v>
      </c>
      <c r="U67" s="3">
        <f>N67+Q67+S67</f>
      </c>
      <c r="V67" s="3">
        <f>I67-J67-O67-P67-Q67-R67-S67-T67</f>
      </c>
      <c r="W67" s="3">
        <f>(V67-AE67)/H67*100</f>
      </c>
      <c r="X67" s="3">
        <f>J67-U67</f>
      </c>
      <c r="Y67" t="s">
        <v>1</v>
      </c>
      <c r="Z67" t="s">
        <v>80</v>
      </c>
      <c r="AF67" s="3">
        <f>V67-AE67</f>
      </c>
      <c r="AG67" t="s">
        <v>65</v>
      </c>
      <c r="AH67" t="s">
        <v>87</v>
      </c>
    </row>
    <row r="68" spans="1:34" x14ac:dyDescent="0.25">
      <c r="A68" s="7">
        <v>46230.5</v>
      </c>
      <c r="B68" t="s">
        <v>1607</v>
      </c>
      <c r="C68" t="s">
        <v>1</v>
      </c>
      <c r="D68" s="8" t="s">
        <v>1608</v>
      </c>
      <c r="E68" t="s">
        <v>72</v>
      </c>
      <c r="F68">
        <v>1</v>
      </c>
      <c r="G68" s="3">
        <v>136</v>
      </c>
      <c r="H68" s="3">
        <v>159.12</v>
      </c>
      <c r="I68" s="3">
        <f>H68-G68</f>
      </c>
      <c r="J68" s="3">
        <f>I68*16.67%</f>
      </c>
      <c r="K68" s="3">
        <f>(H68*6.9%)-(H68*6.9%)*10%</f>
      </c>
      <c r="L68" s="3">
        <f>H68*0.35%</f>
      </c>
      <c r="M68" s="3">
        <v>0.4</v>
      </c>
      <c r="N68" s="3">
        <f>(K68+L68+M68)*20%</f>
      </c>
      <c r="O68" s="3">
        <f>K68+L68+M68+N68</f>
      </c>
      <c r="P68" s="3">
        <v>0</v>
      </c>
      <c r="Q68" s="3">
        <v>0</v>
      </c>
      <c r="R68" s="3">
        <v>0</v>
      </c>
      <c r="S68" s="3">
        <f>R68*20%</f>
      </c>
      <c r="T68" s="3">
        <v>1</v>
      </c>
      <c r="U68" s="3">
        <f>N68+Q68+S68</f>
      </c>
      <c r="V68" s="3">
        <f>I68-J68-O68-P68-Q68-R68-S68-T68</f>
      </c>
      <c r="W68" s="3">
        <f>(V68-AE68)/H68*100</f>
      </c>
      <c r="X68" s="3">
        <f>J68-U68</f>
      </c>
      <c r="Y68" t="s">
        <v>1</v>
      </c>
      <c r="Z68" t="s">
        <v>90</v>
      </c>
      <c r="AF68" s="3">
        <f>V68-AE68</f>
      </c>
      <c r="AG68" t="s">
        <v>65</v>
      </c>
      <c r="AH68" t="s">
        <v>84</v>
      </c>
    </row>
    <row r="69" spans="1:34" x14ac:dyDescent="0.25">
      <c r="A69" s="7">
        <v>46230.5</v>
      </c>
      <c r="B69" t="s">
        <v>1609</v>
      </c>
      <c r="C69" t="s">
        <v>1</v>
      </c>
      <c r="D69" s="8" t="s">
        <v>1610</v>
      </c>
      <c r="E69" t="s">
        <v>101</v>
      </c>
      <c r="F69">
        <v>1</v>
      </c>
      <c r="G69" s="3">
        <v>174</v>
      </c>
      <c r="H69" s="3">
        <v>236.64</v>
      </c>
      <c r="I69" s="3">
        <f>H69-G69</f>
      </c>
      <c r="J69" s="3">
        <f>I69*16.67%</f>
      </c>
      <c r="K69" s="3">
        <f>(H69*6.9%)-(H69*6.9%)*10%</f>
      </c>
      <c r="L69" s="3">
        <f>H69*0.35%</f>
      </c>
      <c r="M69" s="3">
        <v>0.4</v>
      </c>
      <c r="N69" s="3">
        <f>(K69+L69+M69)*20%</f>
      </c>
      <c r="O69" s="3">
        <f>K69+L69+M69+N69</f>
      </c>
      <c r="P69" s="3">
        <v>0</v>
      </c>
      <c r="Q69" s="3">
        <v>0</v>
      </c>
      <c r="R69" s="3">
        <v>0</v>
      </c>
      <c r="S69" s="3">
        <f>R69*20%</f>
      </c>
      <c r="T69" s="3">
        <v>1</v>
      </c>
      <c r="U69" s="3">
        <f>N69+Q69+S69</f>
      </c>
      <c r="V69" s="3">
        <f>I69-J69-O69-P69-Q69-R69-S69-T69</f>
      </c>
      <c r="W69" s="3">
        <f>(V69-AE69)/H69*100</f>
      </c>
      <c r="X69" s="3">
        <f>J69-U69</f>
      </c>
      <c r="Y69" t="s">
        <v>1</v>
      </c>
      <c r="Z69" t="s">
        <v>171</v>
      </c>
      <c r="AF69" s="3">
        <f>V69-AE69</f>
      </c>
      <c r="AG69" t="s">
        <v>65</v>
      </c>
      <c r="AH69" t="s">
        <v>104</v>
      </c>
    </row>
    <row r="70" spans="1:34" x14ac:dyDescent="0.25">
      <c r="A70" s="7">
        <v>46229.5</v>
      </c>
      <c r="B70" t="s">
        <v>1611</v>
      </c>
      <c r="C70" t="s">
        <v>173</v>
      </c>
      <c r="D70" s="8" t="s">
        <v>1</v>
      </c>
      <c r="E70" t="s">
        <v>63</v>
      </c>
      <c r="F70">
        <v>3</v>
      </c>
      <c r="G70" s="3">
        <v>12.75</v>
      </c>
      <c r="H70" s="3">
        <v>16.7</v>
      </c>
      <c r="I70" s="3">
        <f>H70-G70</f>
      </c>
      <c r="J70" s="3">
        <f>I70*16.67%</f>
      </c>
      <c r="K70" s="3">
        <f>(H70*6.9%)-(H70*6.9%)*10%</f>
      </c>
      <c r="L70" s="3">
        <f>H70*0.35%</f>
      </c>
      <c r="M70" s="3">
        <v>0.4</v>
      </c>
      <c r="N70" s="3">
        <f>(K70+L70+M70)*20%</f>
      </c>
      <c r="O70" s="3">
        <f>K70+L70+M70+N70</f>
      </c>
      <c r="P70" s="3">
        <v>0</v>
      </c>
      <c r="Q70" s="3">
        <v>0</v>
      </c>
      <c r="R70" s="3">
        <v>0</v>
      </c>
      <c r="S70" s="3">
        <f>R70*20%</f>
      </c>
      <c r="T70" s="3">
        <v>1</v>
      </c>
      <c r="U70" s="3">
        <f>N70+Q70+S70</f>
      </c>
      <c r="V70" s="3">
        <f>I70-J70-O70-P70-Q70-R70-S70-T70</f>
      </c>
      <c r="W70" s="3">
        <f>(V70-AE70)/H70*100</f>
      </c>
      <c r="X70" s="3">
        <f>J70-U70</f>
      </c>
      <c r="Y70" t="s">
        <v>1</v>
      </c>
      <c r="Z70" t="s">
        <v>173</v>
      </c>
      <c r="AF70" s="3">
        <f>V70-AE70</f>
      </c>
      <c r="AG70" t="s">
        <v>1</v>
      </c>
      <c r="AH70" t="s">
        <v>1</v>
      </c>
    </row>
    <row r="71" spans="1:34" x14ac:dyDescent="0.25">
      <c r="A71" s="7">
        <v>46229.5</v>
      </c>
      <c r="B71" t="s">
        <v>1612</v>
      </c>
      <c r="C71" t="s">
        <v>181</v>
      </c>
      <c r="D71" s="8" t="s">
        <v>1</v>
      </c>
      <c r="E71" t="s">
        <v>72</v>
      </c>
      <c r="F71">
        <v>4</v>
      </c>
      <c r="G71" s="3">
        <v>7.6</v>
      </c>
      <c r="H71" s="3">
        <v>8.82</v>
      </c>
      <c r="I71" s="3">
        <f>H71-G71</f>
      </c>
      <c r="J71" s="3">
        <f>I71*16.67%</f>
      </c>
      <c r="K71" s="3">
        <f>(H71*6.9%)-(H71*6.9%)*10%</f>
      </c>
      <c r="L71" s="3">
        <f>H71*0.35%</f>
      </c>
      <c r="M71" s="3">
        <v>0.4</v>
      </c>
      <c r="N71" s="3">
        <f>(K71+L71+M71)*20%</f>
      </c>
      <c r="O71" s="3">
        <f>K71+L71+M71+N71</f>
      </c>
      <c r="P71" s="3">
        <v>0</v>
      </c>
      <c r="Q71" s="3">
        <v>0</v>
      </c>
      <c r="R71" s="3">
        <v>0</v>
      </c>
      <c r="S71" s="3">
        <f>R71*20%</f>
      </c>
      <c r="T71" s="3">
        <v>1</v>
      </c>
      <c r="U71" s="3">
        <f>N71+Q71+S71</f>
      </c>
      <c r="V71" s="3">
        <f>I71-J71-O71-P71-Q71-R71-S71-T71</f>
      </c>
      <c r="W71" s="3">
        <f>(V71-AE71)/H71*100</f>
      </c>
      <c r="X71" s="3">
        <f>J71-U71</f>
      </c>
      <c r="Y71" t="s">
        <v>1</v>
      </c>
      <c r="Z71" t="s">
        <v>181</v>
      </c>
      <c r="AF71" s="3">
        <f>V71-AE71</f>
      </c>
      <c r="AG71" t="s">
        <v>1</v>
      </c>
      <c r="AH71" t="s">
        <v>1</v>
      </c>
    </row>
    <row r="72" spans="1:34" x14ac:dyDescent="0.25">
      <c r="A72" s="7">
        <v>46228.5</v>
      </c>
      <c r="B72" t="s">
        <v>1613</v>
      </c>
      <c r="C72" t="s">
        <v>1</v>
      </c>
      <c r="D72" s="8" t="s">
        <v>1614</v>
      </c>
      <c r="E72" t="s">
        <v>63</v>
      </c>
      <c r="F72">
        <v>1</v>
      </c>
      <c r="G72" s="3">
        <v>284</v>
      </c>
      <c r="H72" s="3">
        <v>383.4</v>
      </c>
      <c r="I72" s="3">
        <f>H72-G72</f>
      </c>
      <c r="J72" s="3">
        <f>I72*16.67%</f>
      </c>
      <c r="K72" s="3">
        <f>(H72*6.9%)-(H72*6.9%)*10%</f>
      </c>
      <c r="L72" s="3">
        <f>H72*0.35%</f>
      </c>
      <c r="M72" s="3">
        <v>0.4</v>
      </c>
      <c r="N72" s="3">
        <f>(K72+L72+M72)*20%</f>
      </c>
      <c r="O72" s="3">
        <f>K72+L72+M72+N72</f>
      </c>
      <c r="P72" s="3">
        <v>0</v>
      </c>
      <c r="Q72" s="3">
        <v>0</v>
      </c>
      <c r="R72" s="3">
        <v>0</v>
      </c>
      <c r="S72" s="3">
        <f>R72*20%</f>
      </c>
      <c r="T72" s="3">
        <v>1</v>
      </c>
      <c r="U72" s="3">
        <f>N72+Q72+S72</f>
      </c>
      <c r="V72" s="3">
        <f>I72-J72-O72-P72-Q72-R72-S72-T72</f>
      </c>
      <c r="W72" s="3">
        <f>(V72-AE72)/H72*100</f>
      </c>
      <c r="X72" s="3">
        <f>J72-U72</f>
      </c>
      <c r="Y72" t="s">
        <v>1</v>
      </c>
      <c r="Z72" t="s">
        <v>97</v>
      </c>
      <c r="AF72" s="3">
        <f>V72-AE72</f>
      </c>
      <c r="AG72" t="s">
        <v>59</v>
      </c>
      <c r="AH72" t="s">
        <v>87</v>
      </c>
    </row>
    <row r="73" spans="1:34" x14ac:dyDescent="0.25">
      <c r="A73" s="7">
        <v>46228.5</v>
      </c>
      <c r="B73" t="s">
        <v>1615</v>
      </c>
      <c r="C73" t="s">
        <v>1</v>
      </c>
      <c r="D73" s="8" t="s">
        <v>1616</v>
      </c>
      <c r="E73" t="s">
        <v>72</v>
      </c>
      <c r="F73">
        <v>1</v>
      </c>
      <c r="G73" s="3">
        <v>220</v>
      </c>
      <c r="H73" s="3">
        <v>275</v>
      </c>
      <c r="I73" s="3">
        <f>H73-G73</f>
      </c>
      <c r="J73" s="3">
        <f>I73*16.67%</f>
      </c>
      <c r="K73" s="3">
        <f>(H73*6.9%)-(H73*6.9%)*10%</f>
      </c>
      <c r="L73" s="3">
        <f>H73*0.35%</f>
      </c>
      <c r="M73" s="3">
        <v>0.4</v>
      </c>
      <c r="N73" s="3">
        <f>(K73+L73+M73)*20%</f>
      </c>
      <c r="O73" s="3">
        <f>K73+L73+M73+N73</f>
      </c>
      <c r="P73" s="3">
        <v>0</v>
      </c>
      <c r="Q73" s="3">
        <v>0</v>
      </c>
      <c r="R73" s="3">
        <v>0</v>
      </c>
      <c r="S73" s="3">
        <f>R73*20%</f>
      </c>
      <c r="T73" s="3">
        <v>1</v>
      </c>
      <c r="U73" s="3">
        <f>N73+Q73+S73</f>
      </c>
      <c r="V73" s="3">
        <f>I73-J73-O73-P73-Q73-R73-S73-T73</f>
      </c>
      <c r="W73" s="3">
        <f>(V73-AE73)/H73*100</f>
      </c>
      <c r="X73" s="3">
        <f>J73-U73</f>
      </c>
      <c r="Y73" t="s">
        <v>1</v>
      </c>
      <c r="Z73" t="s">
        <v>64</v>
      </c>
      <c r="AF73" s="3">
        <f>V73-AE73</f>
      </c>
      <c r="AG73" t="s">
        <v>65</v>
      </c>
      <c r="AH73" t="s">
        <v>84</v>
      </c>
    </row>
    <row r="74" spans="1:34" x14ac:dyDescent="0.25">
      <c r="A74" s="7">
        <v>46228.5</v>
      </c>
      <c r="B74" t="s">
        <v>1617</v>
      </c>
      <c r="C74" t="s">
        <v>1</v>
      </c>
      <c r="D74" s="8" t="s">
        <v>1618</v>
      </c>
      <c r="E74" t="s">
        <v>72</v>
      </c>
      <c r="F74">
        <v>1</v>
      </c>
      <c r="G74" s="3">
        <v>235</v>
      </c>
      <c r="H74" s="3">
        <v>284.35</v>
      </c>
      <c r="I74" s="3">
        <f>H74-G74</f>
      </c>
      <c r="J74" s="3">
        <f>I74*16.67%</f>
      </c>
      <c r="K74" s="3">
        <f>(H74*6.9%)-(H74*6.9%)*10%</f>
      </c>
      <c r="L74" s="3">
        <f>H74*0.35%</f>
      </c>
      <c r="M74" s="3">
        <v>0.4</v>
      </c>
      <c r="N74" s="3">
        <f>(K74+L74+M74)*20%</f>
      </c>
      <c r="O74" s="3">
        <f>K74+L74+M74+N74</f>
      </c>
      <c r="P74" s="3">
        <v>0</v>
      </c>
      <c r="Q74" s="3">
        <v>0</v>
      </c>
      <c r="R74" s="3">
        <v>0</v>
      </c>
      <c r="S74" s="3">
        <f>R74*20%</f>
      </c>
      <c r="T74" s="3">
        <v>1</v>
      </c>
      <c r="U74" s="3">
        <f>N74+Q74+S74</f>
      </c>
      <c r="V74" s="3">
        <f>I74-J74-O74-P74-Q74-R74-S74-T74</f>
      </c>
      <c r="W74" s="3">
        <f>(V74-AE74)/H74*100</f>
      </c>
      <c r="X74" s="3">
        <f>J74-U74</f>
      </c>
      <c r="Y74" t="s">
        <v>1</v>
      </c>
      <c r="Z74" t="s">
        <v>64</v>
      </c>
      <c r="AF74" s="3">
        <f>V74-AE74</f>
      </c>
      <c r="AG74" t="s">
        <v>65</v>
      </c>
      <c r="AH74" t="s">
        <v>104</v>
      </c>
    </row>
    <row r="75" spans="1:34" x14ac:dyDescent="0.25">
      <c r="A75" s="7">
        <v>46228.5</v>
      </c>
      <c r="B75" t="s">
        <v>1619</v>
      </c>
      <c r="C75" t="s">
        <v>1</v>
      </c>
      <c r="D75" s="8" t="s">
        <v>1620</v>
      </c>
      <c r="E75" t="s">
        <v>101</v>
      </c>
      <c r="F75">
        <v>1</v>
      </c>
      <c r="G75" s="3">
        <v>85</v>
      </c>
      <c r="H75" s="3">
        <v>114.75</v>
      </c>
      <c r="I75" s="3">
        <f>H75-G75</f>
      </c>
      <c r="J75" s="3">
        <f>I75*16.67%</f>
      </c>
      <c r="K75" s="3">
        <f>(H75*6.9%)-(H75*6.9%)*10%</f>
      </c>
      <c r="L75" s="3">
        <f>H75*0.35%</f>
      </c>
      <c r="M75" s="3">
        <v>0.4</v>
      </c>
      <c r="N75" s="3">
        <f>(K75+L75+M75)*20%</f>
      </c>
      <c r="O75" s="3">
        <f>K75+L75+M75+N75</f>
      </c>
      <c r="P75" s="3">
        <v>0</v>
      </c>
      <c r="Q75" s="3">
        <v>0</v>
      </c>
      <c r="R75" s="3">
        <v>0</v>
      </c>
      <c r="S75" s="3">
        <f>R75*20%</f>
      </c>
      <c r="T75" s="3">
        <v>1</v>
      </c>
      <c r="U75" s="3">
        <f>N75+Q75+S75</f>
      </c>
      <c r="V75" s="3">
        <f>I75-J75-O75-P75-Q75-R75-S75-T75</f>
      </c>
      <c r="W75" s="3">
        <f>(V75-AE75)/H75*100</f>
      </c>
      <c r="X75" s="3">
        <f>J75-U75</f>
      </c>
      <c r="Y75" t="s">
        <v>1</v>
      </c>
      <c r="Z75" t="s">
        <v>93</v>
      </c>
      <c r="AF75" s="3">
        <f>V75-AE75</f>
      </c>
      <c r="AG75" t="s">
        <v>94</v>
      </c>
      <c r="AH75" t="s">
        <v>84</v>
      </c>
    </row>
    <row r="76" spans="1:34" x14ac:dyDescent="0.25">
      <c r="A76" s="7">
        <v>46228.5</v>
      </c>
      <c r="B76" t="s">
        <v>1621</v>
      </c>
      <c r="C76" t="s">
        <v>184</v>
      </c>
      <c r="D76" s="8" t="s">
        <v>1</v>
      </c>
      <c r="E76" t="s">
        <v>101</v>
      </c>
      <c r="F76">
        <v>2</v>
      </c>
      <c r="G76" s="3">
        <v>2.4</v>
      </c>
      <c r="H76" s="3">
        <v>3.31</v>
      </c>
      <c r="I76" s="3">
        <f>H76-G76</f>
      </c>
      <c r="J76" s="3">
        <f>I76*16.67%</f>
      </c>
      <c r="K76" s="3">
        <f>(H76*6.9%)-(H76*6.9%)*10%</f>
      </c>
      <c r="L76" s="3">
        <f>H76*0.35%</f>
      </c>
      <c r="M76" s="3">
        <v>0.4</v>
      </c>
      <c r="N76" s="3">
        <f>(K76+L76+M76)*20%</f>
      </c>
      <c r="O76" s="3">
        <f>K76+L76+M76+N76</f>
      </c>
      <c r="P76" s="3">
        <v>0</v>
      </c>
      <c r="Q76" s="3">
        <v>0</v>
      </c>
      <c r="R76" s="3">
        <v>0</v>
      </c>
      <c r="S76" s="3">
        <f>R76*20%</f>
      </c>
      <c r="T76" s="3">
        <v>1</v>
      </c>
      <c r="U76" s="3">
        <f>N76+Q76+S76</f>
      </c>
      <c r="V76" s="3">
        <f>I76-J76-O76-P76-Q76-R76-S76-T76</f>
      </c>
      <c r="W76" s="3">
        <f>(V76-AE76)/H76*100</f>
      </c>
      <c r="X76" s="3">
        <f>J76-U76</f>
      </c>
      <c r="Y76" t="s">
        <v>1</v>
      </c>
      <c r="Z76" t="s">
        <v>184</v>
      </c>
      <c r="AF76" s="3">
        <f>V76-AE76</f>
      </c>
      <c r="AG76" t="s">
        <v>1</v>
      </c>
      <c r="AH76" t="s">
        <v>1</v>
      </c>
    </row>
    <row r="77" spans="1:34" x14ac:dyDescent="0.25">
      <c r="A77" s="7">
        <v>46228.5</v>
      </c>
      <c r="B77" t="s">
        <v>1622</v>
      </c>
      <c r="C77" t="s">
        <v>1</v>
      </c>
      <c r="D77" s="8" t="s">
        <v>1</v>
      </c>
      <c r="E77" t="s">
        <v>77</v>
      </c>
      <c r="F77">
        <v>1</v>
      </c>
      <c r="G77" s="3">
        <v>169</v>
      </c>
      <c r="H77" s="3">
        <v>216.32</v>
      </c>
      <c r="I77" s="3">
        <f>H77-G77</f>
      </c>
      <c r="J77" s="3">
        <f>I77*16.67%</f>
      </c>
      <c r="K77" s="3">
        <f>(H77*6.9%)-(H77*6.9%)*10%</f>
      </c>
      <c r="L77" s="3">
        <f>H77*0.35%</f>
      </c>
      <c r="M77" s="3">
        <v>0.4</v>
      </c>
      <c r="N77" s="3">
        <f>(K77+L77+M77)*20%</f>
      </c>
      <c r="O77" s="3">
        <f>K77+L77+M77+N77</f>
      </c>
      <c r="P77" s="3">
        <v>0</v>
      </c>
      <c r="Q77" s="3">
        <v>0</v>
      </c>
      <c r="R77" s="3">
        <v>0</v>
      </c>
      <c r="S77" s="3">
        <f>R77*20%</f>
      </c>
      <c r="T77" s="3">
        <v>1</v>
      </c>
      <c r="U77" s="3">
        <f>N77+Q77+S77</f>
      </c>
      <c r="V77" s="3">
        <f>I77-J77-O77-P77-Q77-R77-S77-T77</f>
      </c>
      <c r="W77" s="3">
        <f>(V77-AE77)/H77*100</f>
      </c>
      <c r="X77" s="3">
        <f>J77-U77</f>
      </c>
      <c r="Y77" t="s">
        <v>1</v>
      </c>
      <c r="Z77" t="s">
        <v>1</v>
      </c>
      <c r="AF77" s="3">
        <f>V77-AE77</f>
      </c>
      <c r="AG77" t="s">
        <v>1</v>
      </c>
      <c r="AH77" t="s">
        <v>1</v>
      </c>
    </row>
    <row r="78" spans="1:34" x14ac:dyDescent="0.25">
      <c r="A78" s="7">
        <v>46227.5</v>
      </c>
      <c r="B78" t="s">
        <v>1623</v>
      </c>
      <c r="C78" t="s">
        <v>1</v>
      </c>
      <c r="D78" s="8" t="s">
        <v>1624</v>
      </c>
      <c r="E78" t="s">
        <v>57</v>
      </c>
      <c r="F78">
        <v>1</v>
      </c>
      <c r="G78" s="3">
        <v>283</v>
      </c>
      <c r="H78" s="3">
        <v>331.11</v>
      </c>
      <c r="I78" s="3">
        <f>H78-G78</f>
      </c>
      <c r="J78" s="3">
        <f>I78*16.67%</f>
      </c>
      <c r="K78" s="3">
        <f>(H78*6.9%)-(H78*6.9%)*10%</f>
      </c>
      <c r="L78" s="3">
        <f>H78*0.35%</f>
      </c>
      <c r="M78" s="3">
        <v>0.4</v>
      </c>
      <c r="N78" s="3">
        <f>(K78+L78+M78)*20%</f>
      </c>
      <c r="O78" s="3">
        <f>K78+L78+M78+N78</f>
      </c>
      <c r="P78" s="3">
        <v>0</v>
      </c>
      <c r="Q78" s="3">
        <v>0</v>
      </c>
      <c r="R78" s="3">
        <v>0</v>
      </c>
      <c r="S78" s="3">
        <f>R78*20%</f>
      </c>
      <c r="T78" s="3">
        <v>1</v>
      </c>
      <c r="U78" s="3">
        <f>N78+Q78+S78</f>
      </c>
      <c r="V78" s="3">
        <f>I78-J78-O78-P78-Q78-R78-S78-T78</f>
      </c>
      <c r="W78" s="3">
        <f>(V78-AE78)/H78*100</f>
      </c>
      <c r="X78" s="3">
        <f>J78-U78</f>
      </c>
      <c r="Y78" t="s">
        <v>1</v>
      </c>
      <c r="Z78" t="s">
        <v>97</v>
      </c>
      <c r="AF78" s="3">
        <f>V78-AE78</f>
      </c>
      <c r="AG78" t="s">
        <v>59</v>
      </c>
      <c r="AH78" t="s">
        <v>87</v>
      </c>
    </row>
    <row r="79" spans="1:34" x14ac:dyDescent="0.25">
      <c r="A79" s="7">
        <v>46227.5</v>
      </c>
      <c r="B79" t="s">
        <v>1625</v>
      </c>
      <c r="C79" t="s">
        <v>1</v>
      </c>
      <c r="D79" s="8" t="s">
        <v>1626</v>
      </c>
      <c r="E79" t="s">
        <v>101</v>
      </c>
      <c r="F79">
        <v>1</v>
      </c>
      <c r="G79" s="3">
        <v>197</v>
      </c>
      <c r="H79" s="3">
        <v>265.95</v>
      </c>
      <c r="I79" s="3">
        <f>H79-G79</f>
      </c>
      <c r="J79" s="3">
        <f>I79*16.67%</f>
      </c>
      <c r="K79" s="3">
        <f>(H79*6.9%)-(H79*6.9%)*10%</f>
      </c>
      <c r="L79" s="3">
        <f>H79*0.35%</f>
      </c>
      <c r="M79" s="3">
        <v>0.4</v>
      </c>
      <c r="N79" s="3">
        <f>(K79+L79+M79)*20%</f>
      </c>
      <c r="O79" s="3">
        <f>K79+L79+M79+N79</f>
      </c>
      <c r="P79" s="3">
        <v>0</v>
      </c>
      <c r="Q79" s="3">
        <v>0</v>
      </c>
      <c r="R79" s="3">
        <v>0</v>
      </c>
      <c r="S79" s="3">
        <f>R79*20%</f>
      </c>
      <c r="T79" s="3">
        <v>1</v>
      </c>
      <c r="U79" s="3">
        <f>N79+Q79+S79</f>
      </c>
      <c r="V79" s="3">
        <f>I79-J79-O79-P79-Q79-R79-S79-T79</f>
      </c>
      <c r="W79" s="3">
        <f>(V79-AE79)/H79*100</f>
      </c>
      <c r="X79" s="3">
        <f>J79-U79</f>
      </c>
      <c r="Y79" t="s">
        <v>1</v>
      </c>
      <c r="Z79" t="s">
        <v>113</v>
      </c>
      <c r="AF79" s="3">
        <f>V79-AE79</f>
      </c>
      <c r="AG79" t="s">
        <v>94</v>
      </c>
      <c r="AH79" t="s">
        <v>87</v>
      </c>
    </row>
    <row r="80" spans="1:34" x14ac:dyDescent="0.25">
      <c r="A80" s="7">
        <v>46227.5</v>
      </c>
      <c r="B80" t="s">
        <v>1627</v>
      </c>
      <c r="C80" t="s">
        <v>1</v>
      </c>
      <c r="D80" s="8" t="s">
        <v>1628</v>
      </c>
      <c r="E80" t="s">
        <v>63</v>
      </c>
      <c r="F80">
        <v>1</v>
      </c>
      <c r="G80" s="3">
        <v>72</v>
      </c>
      <c r="H80" s="3">
        <v>102.96</v>
      </c>
      <c r="I80" s="3">
        <f>H80-G80</f>
      </c>
      <c r="J80" s="3">
        <f>I80*16.67%</f>
      </c>
      <c r="K80" s="3">
        <f>(H80*6.9%)-(H80*6.9%)*10%</f>
      </c>
      <c r="L80" s="3">
        <f>H80*0.35%</f>
      </c>
      <c r="M80" s="3">
        <v>0.4</v>
      </c>
      <c r="N80" s="3">
        <f>(K80+L80+M80)*20%</f>
      </c>
      <c r="O80" s="3">
        <f>K80+L80+M80+N80</f>
      </c>
      <c r="P80" s="3">
        <v>0</v>
      </c>
      <c r="Q80" s="3">
        <v>0</v>
      </c>
      <c r="R80" s="3">
        <v>0</v>
      </c>
      <c r="S80" s="3">
        <f>R80*20%</f>
      </c>
      <c r="T80" s="3">
        <v>1</v>
      </c>
      <c r="U80" s="3">
        <f>N80+Q80+S80</f>
      </c>
      <c r="V80" s="3">
        <f>I80-J80-O80-P80-Q80-R80-S80-T80</f>
      </c>
      <c r="W80" s="3">
        <f>(V80-AE80)/H80*100</f>
      </c>
      <c r="X80" s="3">
        <f>J80-U80</f>
      </c>
      <c r="Y80" t="s">
        <v>1</v>
      </c>
      <c r="Z80" t="s">
        <v>93</v>
      </c>
      <c r="AF80" s="3">
        <f>V80-AE80</f>
      </c>
      <c r="AG80" t="s">
        <v>94</v>
      </c>
      <c r="AH80" t="s">
        <v>87</v>
      </c>
    </row>
    <row r="81" spans="1:34" x14ac:dyDescent="0.25">
      <c r="A81" s="7">
        <v>46226.5</v>
      </c>
      <c r="B81" t="s">
        <v>1629</v>
      </c>
      <c r="C81" t="s">
        <v>1</v>
      </c>
      <c r="D81" s="8" t="s">
        <v>1630</v>
      </c>
      <c r="E81" t="s">
        <v>57</v>
      </c>
      <c r="F81">
        <v>1</v>
      </c>
      <c r="G81" s="3">
        <v>189</v>
      </c>
      <c r="H81" s="3">
        <v>253.26</v>
      </c>
      <c r="I81" s="3">
        <f>H81-G81</f>
      </c>
      <c r="J81" s="3">
        <f>I81*16.67%</f>
      </c>
      <c r="K81" s="3">
        <f>(H81*6.9%)-(H81*6.9%)*10%</f>
      </c>
      <c r="L81" s="3">
        <f>H81*0.35%</f>
      </c>
      <c r="M81" s="3">
        <v>0.4</v>
      </c>
      <c r="N81" s="3">
        <f>(K81+L81+M81)*20%</f>
      </c>
      <c r="O81" s="3">
        <f>K81+L81+M81+N81</f>
      </c>
      <c r="P81" s="3">
        <v>0</v>
      </c>
      <c r="Q81" s="3">
        <v>0</v>
      </c>
      <c r="R81" s="3">
        <v>0</v>
      </c>
      <c r="S81" s="3">
        <f>R81*20%</f>
      </c>
      <c r="T81" s="3">
        <v>1</v>
      </c>
      <c r="U81" s="3">
        <f>N81+Q81+S81</f>
      </c>
      <c r="V81" s="3">
        <f>I81-J81-O81-P81-Q81-R81-S81-T81</f>
      </c>
      <c r="W81" s="3">
        <f>(V81-AE81)/H81*100</f>
      </c>
      <c r="X81" s="3">
        <f>J81-U81</f>
      </c>
      <c r="Y81" t="s">
        <v>1</v>
      </c>
      <c r="Z81" t="s">
        <v>233</v>
      </c>
      <c r="AF81" s="3">
        <f>V81-AE81</f>
      </c>
      <c r="AG81" t="s">
        <v>65</v>
      </c>
      <c r="AH81" t="s">
        <v>60</v>
      </c>
    </row>
    <row r="82" spans="1:34" x14ac:dyDescent="0.25">
      <c r="A82" s="7">
        <v>46226.5</v>
      </c>
      <c r="B82" t="s">
        <v>1631</v>
      </c>
      <c r="C82" t="s">
        <v>1</v>
      </c>
      <c r="D82" s="8" t="s">
        <v>1632</v>
      </c>
      <c r="E82" t="s">
        <v>72</v>
      </c>
      <c r="F82">
        <v>1</v>
      </c>
      <c r="G82" s="3">
        <v>156</v>
      </c>
      <c r="H82" s="3">
        <v>209.04</v>
      </c>
      <c r="I82" s="3">
        <f>H82-G82</f>
      </c>
      <c r="J82" s="3">
        <f>I82*16.67%</f>
      </c>
      <c r="K82" s="3">
        <f>(H82*6.9%)-(H82*6.9%)*10%</f>
      </c>
      <c r="L82" s="3">
        <f>H82*0.35%</f>
      </c>
      <c r="M82" s="3">
        <v>0.4</v>
      </c>
      <c r="N82" s="3">
        <f>(K82+L82+M82)*20%</f>
      </c>
      <c r="O82" s="3">
        <f>K82+L82+M82+N82</f>
      </c>
      <c r="P82" s="3">
        <v>0</v>
      </c>
      <c r="Q82" s="3">
        <v>0</v>
      </c>
      <c r="R82" s="3">
        <v>0</v>
      </c>
      <c r="S82" s="3">
        <f>R82*20%</f>
      </c>
      <c r="T82" s="3">
        <v>1</v>
      </c>
      <c r="U82" s="3">
        <f>N82+Q82+S82</f>
      </c>
      <c r="V82" s="3">
        <f>I82-J82-O82-P82-Q82-R82-S82-T82</f>
      </c>
      <c r="W82" s="3">
        <f>(V82-AE82)/H82*100</f>
      </c>
      <c r="X82" s="3">
        <f>J82-U82</f>
      </c>
      <c r="Y82" t="s">
        <v>1</v>
      </c>
      <c r="Z82" t="s">
        <v>291</v>
      </c>
      <c r="AF82" s="3">
        <f>V82-AE82</f>
      </c>
      <c r="AG82" t="s">
        <v>125</v>
      </c>
      <c r="AH82" t="s">
        <v>87</v>
      </c>
    </row>
    <row r="83" spans="1:34" x14ac:dyDescent="0.25">
      <c r="A83" s="7">
        <v>46226.5</v>
      </c>
      <c r="B83" t="s">
        <v>1633</v>
      </c>
      <c r="C83" t="s">
        <v>1</v>
      </c>
      <c r="D83" s="8" t="s">
        <v>1634</v>
      </c>
      <c r="E83" t="s">
        <v>77</v>
      </c>
      <c r="F83">
        <v>1</v>
      </c>
      <c r="G83" s="3">
        <v>168</v>
      </c>
      <c r="H83" s="3">
        <v>220.08</v>
      </c>
      <c r="I83" s="3">
        <f>H83-G83</f>
      </c>
      <c r="J83" s="3">
        <f>I83*16.67%</f>
      </c>
      <c r="K83" s="3">
        <f>(H83*6.9%)-(H83*6.9%)*10%</f>
      </c>
      <c r="L83" s="3">
        <f>H83*0.35%</f>
      </c>
      <c r="M83" s="3">
        <v>0.4</v>
      </c>
      <c r="N83" s="3">
        <f>(K83+L83+M83)*20%</f>
      </c>
      <c r="O83" s="3">
        <f>K83+L83+M83+N83</f>
      </c>
      <c r="P83" s="3">
        <v>0</v>
      </c>
      <c r="Q83" s="3">
        <v>0</v>
      </c>
      <c r="R83" s="3">
        <v>0</v>
      </c>
      <c r="S83" s="3">
        <f>R83*20%</f>
      </c>
      <c r="T83" s="3">
        <v>1</v>
      </c>
      <c r="U83" s="3">
        <f>N83+Q83+S83</f>
      </c>
      <c r="V83" s="3">
        <f>I83-J83-O83-P83-Q83-R83-S83-T83</f>
      </c>
      <c r="W83" s="3">
        <f>(V83-AE83)/H83*100</f>
      </c>
      <c r="X83" s="3">
        <f>J83-U83</f>
      </c>
      <c r="Y83" t="s">
        <v>1</v>
      </c>
      <c r="Z83" t="s">
        <v>171</v>
      </c>
      <c r="AF83" s="3">
        <f>V83-AE83</f>
      </c>
      <c r="AG83" t="s">
        <v>65</v>
      </c>
      <c r="AH83" t="s">
        <v>84</v>
      </c>
    </row>
    <row r="84" spans="1:34" x14ac:dyDescent="0.25">
      <c r="A84" s="7">
        <v>46226.5</v>
      </c>
      <c r="B84" t="s">
        <v>1635</v>
      </c>
      <c r="C84" t="s">
        <v>184</v>
      </c>
      <c r="D84" s="8" t="s">
        <v>1</v>
      </c>
      <c r="E84" t="s">
        <v>101</v>
      </c>
      <c r="F84">
        <v>3</v>
      </c>
      <c r="G84" s="3">
        <v>3.6</v>
      </c>
      <c r="H84" s="3">
        <v>5.18</v>
      </c>
      <c r="I84" s="3">
        <f>H84-G84</f>
      </c>
      <c r="J84" s="3">
        <f>I84*16.67%</f>
      </c>
      <c r="K84" s="3">
        <f>(H84*6.9%)-(H84*6.9%)*10%</f>
      </c>
      <c r="L84" s="3">
        <f>H84*0.35%</f>
      </c>
      <c r="M84" s="3">
        <v>0.4</v>
      </c>
      <c r="N84" s="3">
        <f>(K84+L84+M84)*20%</f>
      </c>
      <c r="O84" s="3">
        <f>K84+L84+M84+N84</f>
      </c>
      <c r="P84" s="3">
        <v>0</v>
      </c>
      <c r="Q84" s="3">
        <v>0</v>
      </c>
      <c r="R84" s="3">
        <v>0</v>
      </c>
      <c r="S84" s="3">
        <f>R84*20%</f>
      </c>
      <c r="T84" s="3">
        <v>1</v>
      </c>
      <c r="U84" s="3">
        <f>N84+Q84+S84</f>
      </c>
      <c r="V84" s="3">
        <f>I84-J84-O84-P84-Q84-R84-S84-T84</f>
      </c>
      <c r="W84" s="3">
        <f>(V84-AE84)/H84*100</f>
      </c>
      <c r="X84" s="3">
        <f>J84-U84</f>
      </c>
      <c r="Y84" t="s">
        <v>1</v>
      </c>
      <c r="Z84" t="s">
        <v>184</v>
      </c>
      <c r="AF84" s="3">
        <f>V84-AE84</f>
      </c>
      <c r="AG84" t="s">
        <v>1</v>
      </c>
      <c r="AH84" t="s">
        <v>1</v>
      </c>
    </row>
    <row r="85" spans="1:34" x14ac:dyDescent="0.25">
      <c r="A85" s="7">
        <v>46226.5</v>
      </c>
      <c r="B85" t="s">
        <v>1636</v>
      </c>
      <c r="C85" t="s">
        <v>1</v>
      </c>
      <c r="D85" s="8" t="s">
        <v>1</v>
      </c>
      <c r="E85" t="s">
        <v>101</v>
      </c>
      <c r="F85">
        <v>1</v>
      </c>
      <c r="G85" s="3">
        <v>582</v>
      </c>
      <c r="H85" s="3">
        <v>832.26</v>
      </c>
      <c r="I85" s="3">
        <f>H85-G85</f>
      </c>
      <c r="J85" s="3">
        <f>I85*16.67%</f>
      </c>
      <c r="K85" s="3">
        <f>(H85*6.9%)-(H85*6.9%)*10%</f>
      </c>
      <c r="L85" s="3">
        <f>H85*0.35%</f>
      </c>
      <c r="M85" s="3">
        <v>0.4</v>
      </c>
      <c r="N85" s="3">
        <f>(K85+L85+M85)*20%</f>
      </c>
      <c r="O85" s="3">
        <f>K85+L85+M85+N85</f>
      </c>
      <c r="P85" s="3">
        <v>0</v>
      </c>
      <c r="Q85" s="3">
        <v>0</v>
      </c>
      <c r="R85" s="3">
        <v>0</v>
      </c>
      <c r="S85" s="3">
        <f>R85*20%</f>
      </c>
      <c r="T85" s="3">
        <v>1</v>
      </c>
      <c r="U85" s="3">
        <f>N85+Q85+S85</f>
      </c>
      <c r="V85" s="3">
        <f>I85-J85-O85-P85-Q85-R85-S85-T85</f>
      </c>
      <c r="W85" s="3">
        <f>(V85-AE85)/H85*100</f>
      </c>
      <c r="X85" s="3">
        <f>J85-U85</f>
      </c>
      <c r="Y85" t="s">
        <v>1</v>
      </c>
      <c r="Z85" t="s">
        <v>1</v>
      </c>
      <c r="AF85" s="3">
        <f>V85-AE85</f>
      </c>
      <c r="AG85" t="s">
        <v>1</v>
      </c>
      <c r="AH85" t="s">
        <v>1</v>
      </c>
    </row>
    <row r="86" spans="1:34" x14ac:dyDescent="0.25">
      <c r="A86" s="7">
        <v>46225.5</v>
      </c>
      <c r="B86" t="s">
        <v>1637</v>
      </c>
      <c r="C86" t="s">
        <v>1</v>
      </c>
      <c r="D86" s="8" t="s">
        <v>1638</v>
      </c>
      <c r="E86" t="s">
        <v>101</v>
      </c>
      <c r="F86">
        <v>1</v>
      </c>
      <c r="G86" s="3">
        <v>233</v>
      </c>
      <c r="H86" s="3">
        <v>291.25</v>
      </c>
      <c r="I86" s="3">
        <f>H86-G86</f>
      </c>
      <c r="J86" s="3">
        <f>I86*16.67%</f>
      </c>
      <c r="K86" s="3">
        <f>(H86*6.9%)-(H86*6.9%)*10%</f>
      </c>
      <c r="L86" s="3">
        <f>H86*0.35%</f>
      </c>
      <c r="M86" s="3">
        <v>0.4</v>
      </c>
      <c r="N86" s="3">
        <f>(K86+L86+M86)*20%</f>
      </c>
      <c r="O86" s="3">
        <f>K86+L86+M86+N86</f>
      </c>
      <c r="P86" s="3">
        <v>0</v>
      </c>
      <c r="Q86" s="3">
        <v>0</v>
      </c>
      <c r="R86" s="3">
        <v>0</v>
      </c>
      <c r="S86" s="3">
        <f>R86*20%</f>
      </c>
      <c r="T86" s="3">
        <v>1</v>
      </c>
      <c r="U86" s="3">
        <f>N86+Q86+S86</f>
      </c>
      <c r="V86" s="3">
        <f>I86-J86-O86-P86-Q86-R86-S86-T86</f>
      </c>
      <c r="W86" s="3">
        <f>(V86-AE86)/H86*100</f>
      </c>
      <c r="X86" s="3">
        <f>J86-U86</f>
      </c>
      <c r="Y86" t="s">
        <v>1</v>
      </c>
      <c r="Z86" t="s">
        <v>64</v>
      </c>
      <c r="AF86" s="3">
        <f>V86-AE86</f>
      </c>
      <c r="AG86" t="s">
        <v>65</v>
      </c>
      <c r="AH86" t="s">
        <v>60</v>
      </c>
    </row>
    <row r="87" spans="1:34" x14ac:dyDescent="0.25">
      <c r="A87" s="7">
        <v>46225.5</v>
      </c>
      <c r="B87" t="s">
        <v>1639</v>
      </c>
      <c r="C87" t="s">
        <v>1</v>
      </c>
      <c r="D87" s="8" t="s">
        <v>1640</v>
      </c>
      <c r="E87" t="s">
        <v>77</v>
      </c>
      <c r="F87">
        <v>1</v>
      </c>
      <c r="G87" s="3">
        <v>441</v>
      </c>
      <c r="H87" s="3">
        <v>564.48</v>
      </c>
      <c r="I87" s="3">
        <f>H87-G87</f>
      </c>
      <c r="J87" s="3">
        <f>I87*16.67%</f>
      </c>
      <c r="K87" s="3">
        <f>(H87*6.9%)-(H87*6.9%)*10%</f>
      </c>
      <c r="L87" s="3">
        <f>H87*0.35%</f>
      </c>
      <c r="M87" s="3">
        <v>0.4</v>
      </c>
      <c r="N87" s="3">
        <f>(K87+L87+M87)*20%</f>
      </c>
      <c r="O87" s="3">
        <f>K87+L87+M87+N87</f>
      </c>
      <c r="P87" s="3">
        <v>0</v>
      </c>
      <c r="Q87" s="3">
        <v>0</v>
      </c>
      <c r="R87" s="3">
        <v>0</v>
      </c>
      <c r="S87" s="3">
        <f>R87*20%</f>
      </c>
      <c r="T87" s="3">
        <v>1</v>
      </c>
      <c r="U87" s="3">
        <f>N87+Q87+S87</f>
      </c>
      <c r="V87" s="3">
        <f>I87-J87-O87-P87-Q87-R87-S87-T87</f>
      </c>
      <c r="W87" s="3">
        <f>(V87-AE87)/H87*100</f>
      </c>
      <c r="X87" s="3">
        <f>J87-U87</f>
      </c>
      <c r="Y87" t="s">
        <v>1</v>
      </c>
      <c r="Z87" t="s">
        <v>58</v>
      </c>
      <c r="AF87" s="3">
        <f>V87-AE87</f>
      </c>
      <c r="AG87" t="s">
        <v>59</v>
      </c>
      <c r="AH87" t="s">
        <v>104</v>
      </c>
    </row>
    <row r="88" spans="1:34" x14ac:dyDescent="0.25">
      <c r="A88" s="7">
        <v>46225.5</v>
      </c>
      <c r="B88" t="s">
        <v>1641</v>
      </c>
      <c r="C88" t="s">
        <v>1</v>
      </c>
      <c r="D88" s="8" t="s">
        <v>1642</v>
      </c>
      <c r="E88" t="s">
        <v>63</v>
      </c>
      <c r="F88">
        <v>1</v>
      </c>
      <c r="G88" s="3">
        <v>288</v>
      </c>
      <c r="H88" s="3">
        <v>377.28</v>
      </c>
      <c r="I88" s="3">
        <f>H88-G88</f>
      </c>
      <c r="J88" s="3">
        <f>I88*16.67%</f>
      </c>
      <c r="K88" s="3">
        <f>(H88*6.9%)-(H88*6.9%)*10%</f>
      </c>
      <c r="L88" s="3">
        <f>H88*0.35%</f>
      </c>
      <c r="M88" s="3">
        <v>0.4</v>
      </c>
      <c r="N88" s="3">
        <f>(K88+L88+M88)*20%</f>
      </c>
      <c r="O88" s="3">
        <f>K88+L88+M88+N88</f>
      </c>
      <c r="P88" s="3">
        <v>0</v>
      </c>
      <c r="Q88" s="3">
        <v>0</v>
      </c>
      <c r="R88" s="3">
        <v>0</v>
      </c>
      <c r="S88" s="3">
        <f>R88*20%</f>
      </c>
      <c r="T88" s="3">
        <v>1</v>
      </c>
      <c r="U88" s="3">
        <f>N88+Q88+S88</f>
      </c>
      <c r="V88" s="3">
        <f>I88-J88-O88-P88-Q88-R88-S88-T88</f>
      </c>
      <c r="W88" s="3">
        <f>(V88-AE88)/H88*100</f>
      </c>
      <c r="X88" s="3">
        <f>J88-U88</f>
      </c>
      <c r="Y88" t="s">
        <v>1</v>
      </c>
      <c r="Z88" t="s">
        <v>130</v>
      </c>
      <c r="AF88" s="3">
        <f>V88-AE88</f>
      </c>
      <c r="AG88" t="s">
        <v>59</v>
      </c>
      <c r="AH88" t="s">
        <v>84</v>
      </c>
    </row>
    <row r="89" spans="1:34" x14ac:dyDescent="0.25">
      <c r="A89" s="7">
        <v>46225.5</v>
      </c>
      <c r="B89" t="s">
        <v>1643</v>
      </c>
      <c r="C89" t="s">
        <v>1</v>
      </c>
      <c r="D89" s="8" t="s">
        <v>1644</v>
      </c>
      <c r="E89" t="s">
        <v>101</v>
      </c>
      <c r="F89">
        <v>1</v>
      </c>
      <c r="G89" s="3">
        <v>346</v>
      </c>
      <c r="H89" s="3">
        <v>442.88</v>
      </c>
      <c r="I89" s="3">
        <f>H89-G89</f>
      </c>
      <c r="J89" s="3">
        <f>I89*16.67%</f>
      </c>
      <c r="K89" s="3">
        <f>(H89*6.9%)-(H89*6.9%)*10%</f>
      </c>
      <c r="L89" s="3">
        <f>H89*0.35%</f>
      </c>
      <c r="M89" s="3">
        <v>0.4</v>
      </c>
      <c r="N89" s="3">
        <f>(K89+L89+M89)*20%</f>
      </c>
      <c r="O89" s="3">
        <f>K89+L89+M89+N89</f>
      </c>
      <c r="P89" s="3">
        <v>0</v>
      </c>
      <c r="Q89" s="3">
        <v>0</v>
      </c>
      <c r="R89" s="3">
        <v>0</v>
      </c>
      <c r="S89" s="3">
        <f>R89*20%</f>
      </c>
      <c r="T89" s="3">
        <v>1</v>
      </c>
      <c r="U89" s="3">
        <f>N89+Q89+S89</f>
      </c>
      <c r="V89" s="3">
        <f>I89-J89-O89-P89-Q89-R89-S89-T89</f>
      </c>
      <c r="W89" s="3">
        <f>(V89-AE89)/H89*100</f>
      </c>
      <c r="X89" s="3">
        <f>J89-U89</f>
      </c>
      <c r="Y89" t="s">
        <v>1</v>
      </c>
      <c r="Z89" t="s">
        <v>73</v>
      </c>
      <c r="AF89" s="3">
        <f>V89-AE89</f>
      </c>
      <c r="AG89" t="s">
        <v>59</v>
      </c>
      <c r="AH89" t="s">
        <v>69</v>
      </c>
    </row>
    <row r="90" spans="1:34" x14ac:dyDescent="0.25">
      <c r="A90" s="7">
        <v>46225.5</v>
      </c>
      <c r="B90" t="s">
        <v>1645</v>
      </c>
      <c r="C90" t="s">
        <v>1</v>
      </c>
      <c r="D90" s="8" t="s">
        <v>1646</v>
      </c>
      <c r="E90" t="s">
        <v>72</v>
      </c>
      <c r="F90">
        <v>1</v>
      </c>
      <c r="G90" s="3">
        <v>440</v>
      </c>
      <c r="H90" s="3">
        <v>585.2</v>
      </c>
      <c r="I90" s="3">
        <f>H90-G90</f>
      </c>
      <c r="J90" s="3">
        <f>I90*16.67%</f>
      </c>
      <c r="K90" s="3">
        <f>(H90*6.9%)-(H90*6.9%)*10%</f>
      </c>
      <c r="L90" s="3">
        <f>H90*0.35%</f>
      </c>
      <c r="M90" s="3">
        <v>0.4</v>
      </c>
      <c r="N90" s="3">
        <f>(K90+L90+M90)*20%</f>
      </c>
      <c r="O90" s="3">
        <f>K90+L90+M90+N90</f>
      </c>
      <c r="P90" s="3">
        <v>0</v>
      </c>
      <c r="Q90" s="3">
        <v>0</v>
      </c>
      <c r="R90" s="3">
        <v>0</v>
      </c>
      <c r="S90" s="3">
        <f>R90*20%</f>
      </c>
      <c r="T90" s="3">
        <v>1</v>
      </c>
      <c r="U90" s="3">
        <f>N90+Q90+S90</f>
      </c>
      <c r="V90" s="3">
        <f>I90-J90-O90-P90-Q90-R90-S90-T90</f>
      </c>
      <c r="W90" s="3">
        <f>(V90-AE90)/H90*100</f>
      </c>
      <c r="X90" s="3">
        <f>J90-U90</f>
      </c>
      <c r="Y90" t="s">
        <v>1</v>
      </c>
      <c r="Z90" t="s">
        <v>58</v>
      </c>
      <c r="AF90" s="3">
        <f>V90-AE90</f>
      </c>
      <c r="AG90" t="s">
        <v>59</v>
      </c>
      <c r="AH90" t="s">
        <v>69</v>
      </c>
    </row>
    <row r="91" spans="1:34" x14ac:dyDescent="0.25">
      <c r="A91" s="7">
        <v>46225.5</v>
      </c>
      <c r="B91" t="s">
        <v>1647</v>
      </c>
      <c r="C91" t="s">
        <v>1</v>
      </c>
      <c r="D91" s="8" t="s">
        <v>1648</v>
      </c>
      <c r="E91" t="s">
        <v>63</v>
      </c>
      <c r="F91">
        <v>1</v>
      </c>
      <c r="G91" s="3">
        <v>258</v>
      </c>
      <c r="H91" s="3">
        <v>371.52</v>
      </c>
      <c r="I91" s="3">
        <f>H91-G91</f>
      </c>
      <c r="J91" s="3">
        <f>I91*16.67%</f>
      </c>
      <c r="K91" s="3">
        <f>(H91*6.9%)-(H91*6.9%)*10%</f>
      </c>
      <c r="L91" s="3">
        <f>H91*0.35%</f>
      </c>
      <c r="M91" s="3">
        <v>0.4</v>
      </c>
      <c r="N91" s="3">
        <f>(K91+L91+M91)*20%</f>
      </c>
      <c r="O91" s="3">
        <f>K91+L91+M91+N91</f>
      </c>
      <c r="P91" s="3">
        <v>0</v>
      </c>
      <c r="Q91" s="3">
        <v>0</v>
      </c>
      <c r="R91" s="3">
        <v>0</v>
      </c>
      <c r="S91" s="3">
        <f>R91*20%</f>
      </c>
      <c r="T91" s="3">
        <v>1</v>
      </c>
      <c r="U91" s="3">
        <f>N91+Q91+S91</f>
      </c>
      <c r="V91" s="3">
        <f>I91-J91-O91-P91-Q91-R91-S91-T91</f>
      </c>
      <c r="W91" s="3">
        <f>(V91-AE91)/H91*100</f>
      </c>
      <c r="X91" s="3">
        <f>J91-U91</f>
      </c>
      <c r="Y91" t="s">
        <v>1</v>
      </c>
      <c r="Z91" t="s">
        <v>113</v>
      </c>
      <c r="AF91" s="3">
        <f>V91-AE91</f>
      </c>
      <c r="AG91" t="s">
        <v>94</v>
      </c>
      <c r="AH91" t="s">
        <v>60</v>
      </c>
    </row>
    <row r="92" spans="1:34" x14ac:dyDescent="0.25">
      <c r="A92" s="7">
        <v>46225.5</v>
      </c>
      <c r="B92" t="s">
        <v>1649</v>
      </c>
      <c r="C92" t="s">
        <v>1</v>
      </c>
      <c r="D92" s="8" t="s">
        <v>1650</v>
      </c>
      <c r="E92" t="s">
        <v>101</v>
      </c>
      <c r="F92">
        <v>1</v>
      </c>
      <c r="G92" s="3">
        <v>106</v>
      </c>
      <c r="H92" s="3">
        <v>147.34</v>
      </c>
      <c r="I92" s="3">
        <f>H92-G92</f>
      </c>
      <c r="J92" s="3">
        <f>I92*16.67%</f>
      </c>
      <c r="K92" s="3">
        <f>(H92*6.9%)-(H92*6.9%)*10%</f>
      </c>
      <c r="L92" s="3">
        <f>H92*0.35%</f>
      </c>
      <c r="M92" s="3">
        <v>0.4</v>
      </c>
      <c r="N92" s="3">
        <f>(K92+L92+M92)*20%</f>
      </c>
      <c r="O92" s="3">
        <f>K92+L92+M92+N92</f>
      </c>
      <c r="P92" s="3">
        <v>0</v>
      </c>
      <c r="Q92" s="3">
        <v>0</v>
      </c>
      <c r="R92" s="3">
        <v>0</v>
      </c>
      <c r="S92" s="3">
        <f>R92*20%</f>
      </c>
      <c r="T92" s="3">
        <v>1</v>
      </c>
      <c r="U92" s="3">
        <f>N92+Q92+S92</f>
      </c>
      <c r="V92" s="3">
        <f>I92-J92-O92-P92-Q92-R92-S92-T92</f>
      </c>
      <c r="W92" s="3">
        <f>(V92-AE92)/H92*100</f>
      </c>
      <c r="X92" s="3">
        <f>J92-U92</f>
      </c>
      <c r="Y92" t="s">
        <v>1</v>
      </c>
      <c r="Z92" t="s">
        <v>90</v>
      </c>
      <c r="AF92" s="3">
        <f>V92-AE92</f>
      </c>
      <c r="AG92" t="s">
        <v>94</v>
      </c>
      <c r="AH92" t="s">
        <v>87</v>
      </c>
    </row>
    <row r="93" spans="1:34" x14ac:dyDescent="0.25">
      <c r="A93" s="7">
        <v>46225.5</v>
      </c>
      <c r="B93" t="s">
        <v>1651</v>
      </c>
      <c r="C93" t="s">
        <v>173</v>
      </c>
      <c r="D93" s="8" t="s">
        <v>1</v>
      </c>
      <c r="E93" t="s">
        <v>63</v>
      </c>
      <c r="F93">
        <v>4</v>
      </c>
      <c r="G93" s="3">
        <v>17</v>
      </c>
      <c r="H93" s="3">
        <v>23.12</v>
      </c>
      <c r="I93" s="3">
        <f>H93-G93</f>
      </c>
      <c r="J93" s="3">
        <f>I93*16.67%</f>
      </c>
      <c r="K93" s="3">
        <f>(H93*6.9%)-(H93*6.9%)*10%</f>
      </c>
      <c r="L93" s="3">
        <f>H93*0.35%</f>
      </c>
      <c r="M93" s="3">
        <v>0.4</v>
      </c>
      <c r="N93" s="3">
        <f>(K93+L93+M93)*20%</f>
      </c>
      <c r="O93" s="3">
        <f>K93+L93+M93+N93</f>
      </c>
      <c r="P93" s="3">
        <v>0</v>
      </c>
      <c r="Q93" s="3">
        <v>0</v>
      </c>
      <c r="R93" s="3">
        <v>0</v>
      </c>
      <c r="S93" s="3">
        <f>R93*20%</f>
      </c>
      <c r="T93" s="3">
        <v>1</v>
      </c>
      <c r="U93" s="3">
        <f>N93+Q93+S93</f>
      </c>
      <c r="V93" s="3">
        <f>I93-J93-O93-P93-Q93-R93-S93-T93</f>
      </c>
      <c r="W93" s="3">
        <f>(V93-AE93)/H93*100</f>
      </c>
      <c r="X93" s="3">
        <f>J93-U93</f>
      </c>
      <c r="Y93" t="s">
        <v>1</v>
      </c>
      <c r="Z93" t="s">
        <v>173</v>
      </c>
      <c r="AF93" s="3">
        <f>V93-AE93</f>
      </c>
      <c r="AG93" t="s">
        <v>1</v>
      </c>
      <c r="AH93" t="s">
        <v>1</v>
      </c>
    </row>
    <row r="94" spans="1:34" x14ac:dyDescent="0.25">
      <c r="A94" s="7">
        <v>46224.5</v>
      </c>
      <c r="B94" t="s">
        <v>1652</v>
      </c>
      <c r="C94" t="s">
        <v>1</v>
      </c>
      <c r="D94" s="8" t="s">
        <v>1653</v>
      </c>
      <c r="E94" t="s">
        <v>63</v>
      </c>
      <c r="F94">
        <v>1</v>
      </c>
      <c r="G94" s="3">
        <v>568</v>
      </c>
      <c r="H94" s="3">
        <v>761.12</v>
      </c>
      <c r="I94" s="3">
        <f>H94-G94</f>
      </c>
      <c r="J94" s="3">
        <f>I94*16.67%</f>
      </c>
      <c r="K94" s="3">
        <f>(H94*6.9%)-(H94*6.9%)*10%</f>
      </c>
      <c r="L94" s="3">
        <f>H94*0.35%</f>
      </c>
      <c r="M94" s="3">
        <v>0.4</v>
      </c>
      <c r="N94" s="3">
        <f>(K94+L94+M94)*20%</f>
      </c>
      <c r="O94" s="3">
        <f>K94+L94+M94+N94</f>
      </c>
      <c r="P94" s="3">
        <v>0</v>
      </c>
      <c r="Q94" s="3">
        <v>0</v>
      </c>
      <c r="R94" s="3">
        <v>0</v>
      </c>
      <c r="S94" s="3">
        <f>R94*20%</f>
      </c>
      <c r="T94" s="3">
        <v>1</v>
      </c>
      <c r="U94" s="3">
        <f>N94+Q94+S94</f>
      </c>
      <c r="V94" s="3">
        <f>I94-J94-O94-P94-Q94-R94-S94-T94</f>
      </c>
      <c r="W94" s="3">
        <f>(V94-AE94)/H94*100</f>
      </c>
      <c r="X94" s="3">
        <f>J94-U94</f>
      </c>
      <c r="Y94" t="s">
        <v>1</v>
      </c>
      <c r="Z94" t="s">
        <v>80</v>
      </c>
      <c r="AF94" s="3">
        <f>V94-AE94</f>
      </c>
      <c r="AG94" t="s">
        <v>65</v>
      </c>
      <c r="AH94" t="s">
        <v>84</v>
      </c>
    </row>
    <row r="95" spans="1:34" x14ac:dyDescent="0.25">
      <c r="A95" s="7">
        <v>46224.5</v>
      </c>
      <c r="B95" t="s">
        <v>1654</v>
      </c>
      <c r="C95" t="s">
        <v>1</v>
      </c>
      <c r="D95" s="8" t="s">
        <v>1655</v>
      </c>
      <c r="E95" t="s">
        <v>57</v>
      </c>
      <c r="F95">
        <v>1</v>
      </c>
      <c r="G95" s="3">
        <v>225</v>
      </c>
      <c r="H95" s="3">
        <v>301.5</v>
      </c>
      <c r="I95" s="3">
        <f>H95-G95</f>
      </c>
      <c r="J95" s="3">
        <f>I95*16.67%</f>
      </c>
      <c r="K95" s="3">
        <f>(H95*6.9%)-(H95*6.9%)*10%</f>
      </c>
      <c r="L95" s="3">
        <f>H95*0.35%</f>
      </c>
      <c r="M95" s="3">
        <v>0.4</v>
      </c>
      <c r="N95" s="3">
        <f>(K95+L95+M95)*20%</f>
      </c>
      <c r="O95" s="3">
        <f>K95+L95+M95+N95</f>
      </c>
      <c r="P95" s="3">
        <v>0</v>
      </c>
      <c r="Q95" s="3">
        <v>0</v>
      </c>
      <c r="R95" s="3">
        <v>0</v>
      </c>
      <c r="S95" s="3">
        <f>R95*20%</f>
      </c>
      <c r="T95" s="3">
        <v>1</v>
      </c>
      <c r="U95" s="3">
        <f>N95+Q95+S95</f>
      </c>
      <c r="V95" s="3">
        <f>I95-J95-O95-P95-Q95-R95-S95-T95</f>
      </c>
      <c r="W95" s="3">
        <f>(V95-AE95)/H95*100</f>
      </c>
      <c r="X95" s="3">
        <f>J95-U95</f>
      </c>
      <c r="Y95" t="s">
        <v>1</v>
      </c>
      <c r="Z95" t="s">
        <v>113</v>
      </c>
      <c r="AF95" s="3">
        <f>V95-AE95</f>
      </c>
      <c r="AG95" t="s">
        <v>94</v>
      </c>
      <c r="AH95" t="s">
        <v>104</v>
      </c>
    </row>
    <row r="96" spans="1:34" x14ac:dyDescent="0.25">
      <c r="A96" s="7">
        <v>46224.5</v>
      </c>
      <c r="B96" t="s">
        <v>1656</v>
      </c>
      <c r="C96" t="s">
        <v>1</v>
      </c>
      <c r="D96" s="8" t="s">
        <v>1657</v>
      </c>
      <c r="E96" t="s">
        <v>57</v>
      </c>
      <c r="F96">
        <v>1</v>
      </c>
      <c r="G96" s="3">
        <v>110</v>
      </c>
      <c r="H96" s="3">
        <v>126.5</v>
      </c>
      <c r="I96" s="3">
        <f>H96-G96</f>
      </c>
      <c r="J96" s="3">
        <f>I96*16.67%</f>
      </c>
      <c r="K96" s="3">
        <f>(H96*6.9%)-(H96*6.9%)*10%</f>
      </c>
      <c r="L96" s="3">
        <f>H96*0.35%</f>
      </c>
      <c r="M96" s="3">
        <v>0.4</v>
      </c>
      <c r="N96" s="3">
        <f>(K96+L96+M96)*20%</f>
      </c>
      <c r="O96" s="3">
        <f>K96+L96+M96+N96</f>
      </c>
      <c r="P96" s="3">
        <v>0</v>
      </c>
      <c r="Q96" s="3">
        <v>0</v>
      </c>
      <c r="R96" s="3">
        <v>0</v>
      </c>
      <c r="S96" s="3">
        <f>R96*20%</f>
      </c>
      <c r="T96" s="3">
        <v>1</v>
      </c>
      <c r="U96" s="3">
        <f>N96+Q96+S96</f>
      </c>
      <c r="V96" s="3">
        <f>I96-J96-O96-P96-Q96-R96-S96-T96</f>
      </c>
      <c r="W96" s="3">
        <f>(V96-AE96)/H96*100</f>
      </c>
      <c r="X96" s="3">
        <f>J96-U96</f>
      </c>
      <c r="Y96" t="s">
        <v>1</v>
      </c>
      <c r="Z96" t="s">
        <v>90</v>
      </c>
      <c r="AF96" s="3">
        <f>V96-AE96</f>
      </c>
      <c r="AG96" t="s">
        <v>65</v>
      </c>
      <c r="AH96" t="s">
        <v>60</v>
      </c>
    </row>
    <row r="97" spans="1:34" x14ac:dyDescent="0.25">
      <c r="A97" s="7">
        <v>46223.5</v>
      </c>
      <c r="B97" t="s">
        <v>1658</v>
      </c>
      <c r="C97" t="s">
        <v>1</v>
      </c>
      <c r="D97" s="8" t="s">
        <v>1659</v>
      </c>
      <c r="E97" t="s">
        <v>57</v>
      </c>
      <c r="F97">
        <v>1</v>
      </c>
      <c r="G97" s="3">
        <v>307</v>
      </c>
      <c r="H97" s="3">
        <v>371.47</v>
      </c>
      <c r="I97" s="3">
        <f>H97-G97</f>
      </c>
      <c r="J97" s="3">
        <f>I97*16.67%</f>
      </c>
      <c r="K97" s="3">
        <f>(H97*6.9%)-(H97*6.9%)*10%</f>
      </c>
      <c r="L97" s="3">
        <f>H97*0.35%</f>
      </c>
      <c r="M97" s="3">
        <v>0.4</v>
      </c>
      <c r="N97" s="3">
        <f>(K97+L97+M97)*20%</f>
      </c>
      <c r="O97" s="3">
        <f>K97+L97+M97+N97</f>
      </c>
      <c r="P97" s="3">
        <v>0</v>
      </c>
      <c r="Q97" s="3">
        <v>0</v>
      </c>
      <c r="R97" s="3">
        <v>0</v>
      </c>
      <c r="S97" s="3">
        <f>R97*20%</f>
      </c>
      <c r="T97" s="3">
        <v>1</v>
      </c>
      <c r="U97" s="3">
        <f>N97+Q97+S97</f>
      </c>
      <c r="V97" s="3">
        <f>I97-J97-O97-P97-Q97-R97-S97-T97</f>
      </c>
      <c r="W97" s="3">
        <f>(V97-AE97)/H97*100</f>
      </c>
      <c r="X97" s="3">
        <f>J97-U97</f>
      </c>
      <c r="Y97" t="s">
        <v>1</v>
      </c>
      <c r="Z97" t="s">
        <v>97</v>
      </c>
      <c r="AF97" s="3">
        <f>V97-AE97</f>
      </c>
      <c r="AG97" t="s">
        <v>65</v>
      </c>
      <c r="AH97" t="s">
        <v>87</v>
      </c>
    </row>
    <row r="98" spans="1:34" x14ac:dyDescent="0.25">
      <c r="A98" s="7">
        <v>46223.5</v>
      </c>
      <c r="B98" t="s">
        <v>1660</v>
      </c>
      <c r="C98" t="s">
        <v>184</v>
      </c>
      <c r="D98" s="8" t="s">
        <v>1</v>
      </c>
      <c r="E98" t="s">
        <v>101</v>
      </c>
      <c r="F98">
        <v>1</v>
      </c>
      <c r="G98" s="3">
        <v>1.2</v>
      </c>
      <c r="H98" s="3">
        <v>1.61</v>
      </c>
      <c r="I98" s="3">
        <f>H98-G98</f>
      </c>
      <c r="J98" s="3">
        <f>I98*16.67%</f>
      </c>
      <c r="K98" s="3">
        <f>(H98*6.9%)-(H98*6.9%)*10%</f>
      </c>
      <c r="L98" s="3">
        <f>H98*0.35%</f>
      </c>
      <c r="M98" s="3">
        <v>0.4</v>
      </c>
      <c r="N98" s="3">
        <f>(K98+L98+M98)*20%</f>
      </c>
      <c r="O98" s="3">
        <f>K98+L98+M98+N98</f>
      </c>
      <c r="P98" s="3">
        <v>0</v>
      </c>
      <c r="Q98" s="3">
        <v>0</v>
      </c>
      <c r="R98" s="3">
        <v>0</v>
      </c>
      <c r="S98" s="3">
        <f>R98*20%</f>
      </c>
      <c r="T98" s="3">
        <v>1</v>
      </c>
      <c r="U98" s="3">
        <f>N98+Q98+S98</f>
      </c>
      <c r="V98" s="3">
        <f>I98-J98-O98-P98-Q98-R98-S98-T98</f>
      </c>
      <c r="W98" s="3">
        <f>(V98-AE98)/H98*100</f>
      </c>
      <c r="X98" s="3">
        <f>J98-U98</f>
      </c>
      <c r="Y98" t="s">
        <v>1</v>
      </c>
      <c r="Z98" t="s">
        <v>184</v>
      </c>
      <c r="AF98" s="3">
        <f>V98-AE98</f>
      </c>
      <c r="AG98" t="s">
        <v>1</v>
      </c>
      <c r="AH98" t="s">
        <v>1</v>
      </c>
    </row>
    <row r="99" spans="1:34" x14ac:dyDescent="0.25">
      <c r="A99" s="7">
        <v>46222.5</v>
      </c>
      <c r="B99" t="s">
        <v>1661</v>
      </c>
      <c r="C99" t="s">
        <v>1</v>
      </c>
      <c r="D99" s="8" t="s">
        <v>1662</v>
      </c>
      <c r="E99" t="s">
        <v>101</v>
      </c>
      <c r="F99">
        <v>1</v>
      </c>
      <c r="G99" s="3">
        <v>589</v>
      </c>
      <c r="H99" s="3">
        <v>718.58</v>
      </c>
      <c r="I99" s="3">
        <f>H99-G99</f>
      </c>
      <c r="J99" s="3">
        <f>I99*16.67%</f>
      </c>
      <c r="K99" s="3">
        <f>(H99*6.9%)-(H99*6.9%)*10%</f>
      </c>
      <c r="L99" s="3">
        <f>H99*0.35%</f>
      </c>
      <c r="M99" s="3">
        <v>0.4</v>
      </c>
      <c r="N99" s="3">
        <f>(K99+L99+M99)*20%</f>
      </c>
      <c r="O99" s="3">
        <f>K99+L99+M99+N99</f>
      </c>
      <c r="P99" s="3">
        <v>0</v>
      </c>
      <c r="Q99" s="3">
        <v>0</v>
      </c>
      <c r="R99" s="3">
        <v>0</v>
      </c>
      <c r="S99" s="3">
        <f>R99*20%</f>
      </c>
      <c r="T99" s="3">
        <v>1</v>
      </c>
      <c r="U99" s="3">
        <f>N99+Q99+S99</f>
      </c>
      <c r="V99" s="3">
        <f>I99-J99-O99-P99-Q99-R99-S99-T99</f>
      </c>
      <c r="W99" s="3">
        <f>(V99-AE99)/H99*100</f>
      </c>
      <c r="X99" s="3">
        <f>J99-U99</f>
      </c>
      <c r="Y99" t="s">
        <v>1</v>
      </c>
      <c r="Z99" t="s">
        <v>80</v>
      </c>
      <c r="AF99" s="3">
        <f>V99-AE99</f>
      </c>
      <c r="AG99" t="s">
        <v>65</v>
      </c>
      <c r="AH99" t="s">
        <v>69</v>
      </c>
    </row>
    <row r="100" spans="1:34" x14ac:dyDescent="0.25">
      <c r="A100" s="7">
        <v>46222.5</v>
      </c>
      <c r="B100" t="s">
        <v>1663</v>
      </c>
      <c r="C100" t="s">
        <v>1</v>
      </c>
      <c r="D100" s="8" t="s">
        <v>1664</v>
      </c>
      <c r="E100" t="s">
        <v>63</v>
      </c>
      <c r="F100">
        <v>1</v>
      </c>
      <c r="G100" s="3">
        <v>555</v>
      </c>
      <c r="H100" s="3">
        <v>677.1</v>
      </c>
      <c r="I100" s="3">
        <f>H100-G100</f>
      </c>
      <c r="J100" s="3">
        <f>I100*16.67%</f>
      </c>
      <c r="K100" s="3">
        <f>(H100*6.9%)-(H100*6.9%)*10%</f>
      </c>
      <c r="L100" s="3">
        <f>H100*0.35%</f>
      </c>
      <c r="M100" s="3">
        <v>0.4</v>
      </c>
      <c r="N100" s="3">
        <f>(K100+L100+M100)*20%</f>
      </c>
      <c r="O100" s="3">
        <f>K100+L100+M100+N100</f>
      </c>
      <c r="P100" s="3">
        <v>0</v>
      </c>
      <c r="Q100" s="3">
        <v>0</v>
      </c>
      <c r="R100" s="3">
        <v>0</v>
      </c>
      <c r="S100" s="3">
        <f>R100*20%</f>
      </c>
      <c r="T100" s="3">
        <v>1</v>
      </c>
      <c r="U100" s="3">
        <f>N100+Q100+S100</f>
      </c>
      <c r="V100" s="3">
        <f>I100-J100-O100-P100-Q100-R100-S100-T100</f>
      </c>
      <c r="W100" s="3">
        <f>(V100-AE100)/H100*100</f>
      </c>
      <c r="X100" s="3">
        <f>J100-U100</f>
      </c>
      <c r="Y100" t="s">
        <v>1</v>
      </c>
      <c r="Z100" t="s">
        <v>68</v>
      </c>
      <c r="AF100" s="3">
        <f>V100-AE100</f>
      </c>
      <c r="AG100" t="s">
        <v>59</v>
      </c>
      <c r="AH100" t="s">
        <v>104</v>
      </c>
    </row>
    <row r="101" spans="1:34" x14ac:dyDescent="0.25">
      <c r="A101" s="7">
        <v>46222.5</v>
      </c>
      <c r="B101" t="s">
        <v>1665</v>
      </c>
      <c r="C101" t="s">
        <v>1</v>
      </c>
      <c r="D101" s="8" t="s">
        <v>1666</v>
      </c>
      <c r="E101" t="s">
        <v>77</v>
      </c>
      <c r="F101">
        <v>1</v>
      </c>
      <c r="G101" s="3">
        <v>721</v>
      </c>
      <c r="H101" s="3">
        <v>850.78</v>
      </c>
      <c r="I101" s="3">
        <f>H101-G101</f>
      </c>
      <c r="J101" s="3">
        <f>I101*16.67%</f>
      </c>
      <c r="K101" s="3">
        <f>(H101*6.9%)-(H101*6.9%)*10%</f>
      </c>
      <c r="L101" s="3">
        <f>H101*0.35%</f>
      </c>
      <c r="M101" s="3">
        <v>0.4</v>
      </c>
      <c r="N101" s="3">
        <f>(K101+L101+M101)*20%</f>
      </c>
      <c r="O101" s="3">
        <f>K101+L101+M101+N101</f>
      </c>
      <c r="P101" s="3">
        <v>0</v>
      </c>
      <c r="Q101" s="3">
        <v>0</v>
      </c>
      <c r="R101" s="3">
        <v>0</v>
      </c>
      <c r="S101" s="3">
        <f>R101*20%</f>
      </c>
      <c r="T101" s="3">
        <v>1</v>
      </c>
      <c r="U101" s="3">
        <f>N101+Q101+S101</f>
      </c>
      <c r="V101" s="3">
        <f>I101-J101-O101-P101-Q101-R101-S101-T101</f>
      </c>
      <c r="W101" s="3">
        <f>(V101-AE101)/H101*100</f>
      </c>
      <c r="X101" s="3">
        <f>J101-U101</f>
      </c>
      <c r="Y101" t="s">
        <v>1</v>
      </c>
      <c r="Z101" t="s">
        <v>83</v>
      </c>
      <c r="AF101" s="3">
        <f>V101-AE101</f>
      </c>
      <c r="AG101" t="s">
        <v>59</v>
      </c>
      <c r="AH101" t="s">
        <v>84</v>
      </c>
    </row>
    <row r="102" spans="1:34" x14ac:dyDescent="0.25">
      <c r="A102" s="7">
        <v>46222.5</v>
      </c>
      <c r="B102" t="s">
        <v>1667</v>
      </c>
      <c r="C102" t="s">
        <v>184</v>
      </c>
      <c r="D102" s="8" t="s">
        <v>1</v>
      </c>
      <c r="E102" t="s">
        <v>101</v>
      </c>
      <c r="F102">
        <v>2</v>
      </c>
      <c r="G102" s="3">
        <v>2.4</v>
      </c>
      <c r="H102" s="3">
        <v>2.95</v>
      </c>
      <c r="I102" s="3">
        <f>H102-G102</f>
      </c>
      <c r="J102" s="3">
        <f>I102*16.67%</f>
      </c>
      <c r="K102" s="3">
        <f>(H102*6.9%)-(H102*6.9%)*10%</f>
      </c>
      <c r="L102" s="3">
        <f>H102*0.35%</f>
      </c>
      <c r="M102" s="3">
        <v>0.4</v>
      </c>
      <c r="N102" s="3">
        <f>(K102+L102+M102)*20%</f>
      </c>
      <c r="O102" s="3">
        <f>K102+L102+M102+N102</f>
      </c>
      <c r="P102" s="3">
        <v>0</v>
      </c>
      <c r="Q102" s="3">
        <v>0</v>
      </c>
      <c r="R102" s="3">
        <v>0</v>
      </c>
      <c r="S102" s="3">
        <f>R102*20%</f>
      </c>
      <c r="T102" s="3">
        <v>1</v>
      </c>
      <c r="U102" s="3">
        <f>N102+Q102+S102</f>
      </c>
      <c r="V102" s="3">
        <f>I102-J102-O102-P102-Q102-R102-S102-T102</f>
      </c>
      <c r="W102" s="3">
        <f>(V102-AE102)/H102*100</f>
      </c>
      <c r="X102" s="3">
        <f>J102-U102</f>
      </c>
      <c r="Y102" t="s">
        <v>1</v>
      </c>
      <c r="Z102" t="s">
        <v>184</v>
      </c>
      <c r="AF102" s="3">
        <f>V102-AE102</f>
      </c>
      <c r="AG102" t="s">
        <v>1</v>
      </c>
      <c r="AH102" t="s">
        <v>1</v>
      </c>
    </row>
    <row r="103" spans="1:34" x14ac:dyDescent="0.25">
      <c r="A103" s="7">
        <v>46221.5</v>
      </c>
      <c r="B103" t="s">
        <v>1668</v>
      </c>
      <c r="C103" t="s">
        <v>1</v>
      </c>
      <c r="D103" s="8" t="s">
        <v>1669</v>
      </c>
      <c r="E103" t="s">
        <v>57</v>
      </c>
      <c r="F103">
        <v>1</v>
      </c>
      <c r="G103" s="3">
        <v>568</v>
      </c>
      <c r="H103" s="3">
        <v>698.64</v>
      </c>
      <c r="I103" s="3">
        <f>H103-G103</f>
      </c>
      <c r="J103" s="3">
        <f>I103*16.67%</f>
      </c>
      <c r="K103" s="3">
        <f>(H103*6.9%)-(H103*6.9%)*10%</f>
      </c>
      <c r="L103" s="3">
        <f>H103*0.35%</f>
      </c>
      <c r="M103" s="3">
        <v>0.4</v>
      </c>
      <c r="N103" s="3">
        <f>(K103+L103+M103)*20%</f>
      </c>
      <c r="O103" s="3">
        <f>K103+L103+M103+N103</f>
      </c>
      <c r="P103" s="3">
        <v>0</v>
      </c>
      <c r="Q103" s="3">
        <v>0</v>
      </c>
      <c r="R103" s="3">
        <v>0</v>
      </c>
      <c r="S103" s="3">
        <f>R103*20%</f>
      </c>
      <c r="T103" s="3">
        <v>1</v>
      </c>
      <c r="U103" s="3">
        <f>N103+Q103+S103</f>
      </c>
      <c r="V103" s="3">
        <f>I103-J103-O103-P103-Q103-R103-S103-T103</f>
      </c>
      <c r="W103" s="3">
        <f>(V103-AE103)/H103*100</f>
      </c>
      <c r="X103" s="3">
        <f>J103-U103</f>
      </c>
      <c r="Y103" t="s">
        <v>1</v>
      </c>
      <c r="Z103" t="s">
        <v>80</v>
      </c>
      <c r="AF103" s="3">
        <f>V103-AE103</f>
      </c>
      <c r="AG103" t="s">
        <v>65</v>
      </c>
      <c r="AH103" t="s">
        <v>74</v>
      </c>
    </row>
    <row r="104" spans="1:34" x14ac:dyDescent="0.25">
      <c r="A104" s="7">
        <v>46221.5</v>
      </c>
      <c r="B104" t="s">
        <v>1670</v>
      </c>
      <c r="C104" t="s">
        <v>1</v>
      </c>
      <c r="D104" s="8" t="s">
        <v>1671</v>
      </c>
      <c r="E104" t="s">
        <v>57</v>
      </c>
      <c r="F104">
        <v>1</v>
      </c>
      <c r="G104" s="3">
        <v>335</v>
      </c>
      <c r="H104" s="3">
        <v>465.65</v>
      </c>
      <c r="I104" s="3">
        <f>H104-G104</f>
      </c>
      <c r="J104" s="3">
        <f>I104*16.67%</f>
      </c>
      <c r="K104" s="3">
        <f>(H104*6.9%)-(H104*6.9%)*10%</f>
      </c>
      <c r="L104" s="3">
        <f>H104*0.35%</f>
      </c>
      <c r="M104" s="3">
        <v>0.4</v>
      </c>
      <c r="N104" s="3">
        <f>(K104+L104+M104)*20%</f>
      </c>
      <c r="O104" s="3">
        <f>K104+L104+M104+N104</f>
      </c>
      <c r="P104" s="3">
        <v>0</v>
      </c>
      <c r="Q104" s="3">
        <v>0</v>
      </c>
      <c r="R104" s="3">
        <v>0</v>
      </c>
      <c r="S104" s="3">
        <f>R104*20%</f>
      </c>
      <c r="T104" s="3">
        <v>1</v>
      </c>
      <c r="U104" s="3">
        <f>N104+Q104+S104</f>
      </c>
      <c r="V104" s="3">
        <f>I104-J104-O104-P104-Q104-R104-S104-T104</f>
      </c>
      <c r="W104" s="3">
        <f>(V104-AE104)/H104*100</f>
      </c>
      <c r="X104" s="3">
        <f>J104-U104</f>
      </c>
      <c r="Y104" t="s">
        <v>1</v>
      </c>
      <c r="Z104" t="s">
        <v>138</v>
      </c>
      <c r="AF104" s="3">
        <f>V104-AE104</f>
      </c>
      <c r="AG104" t="s">
        <v>65</v>
      </c>
      <c r="AH104" t="s">
        <v>60</v>
      </c>
    </row>
    <row r="105" spans="1:34" x14ac:dyDescent="0.25">
      <c r="A105" s="7">
        <v>46221.5</v>
      </c>
      <c r="B105" t="s">
        <v>1672</v>
      </c>
      <c r="C105" t="s">
        <v>1</v>
      </c>
      <c r="D105" s="8" t="s">
        <v>1673</v>
      </c>
      <c r="E105" t="s">
        <v>101</v>
      </c>
      <c r="F105">
        <v>1</v>
      </c>
      <c r="G105" s="3">
        <v>745</v>
      </c>
      <c r="H105" s="3">
        <v>901.45</v>
      </c>
      <c r="I105" s="3">
        <f>H105-G105</f>
      </c>
      <c r="J105" s="3">
        <f>I105*16.67%</f>
      </c>
      <c r="K105" s="3">
        <f>(H105*6.9%)-(H105*6.9%)*10%</f>
      </c>
      <c r="L105" s="3">
        <f>H105*0.35%</f>
      </c>
      <c r="M105" s="3">
        <v>0.4</v>
      </c>
      <c r="N105" s="3">
        <f>(K105+L105+M105)*20%</f>
      </c>
      <c r="O105" s="3">
        <f>K105+L105+M105+N105</f>
      </c>
      <c r="P105" s="3">
        <v>0</v>
      </c>
      <c r="Q105" s="3">
        <v>0</v>
      </c>
      <c r="R105" s="3">
        <v>0</v>
      </c>
      <c r="S105" s="3">
        <f>R105*20%</f>
      </c>
      <c r="T105" s="3">
        <v>1</v>
      </c>
      <c r="U105" s="3">
        <f>N105+Q105+S105</f>
      </c>
      <c r="V105" s="3">
        <f>I105-J105-O105-P105-Q105-R105-S105-T105</f>
      </c>
      <c r="W105" s="3">
        <f>(V105-AE105)/H105*100</f>
      </c>
      <c r="X105" s="3">
        <f>J105-U105</f>
      </c>
      <c r="Y105" t="s">
        <v>1</v>
      </c>
      <c r="Z105" t="s">
        <v>83</v>
      </c>
      <c r="AF105" s="3">
        <f>V105-AE105</f>
      </c>
      <c r="AG105" t="s">
        <v>59</v>
      </c>
      <c r="AH105" t="s">
        <v>87</v>
      </c>
    </row>
    <row r="106" spans="1:34" x14ac:dyDescent="0.25">
      <c r="A106" s="7">
        <v>46221.5</v>
      </c>
      <c r="B106" t="s">
        <v>1674</v>
      </c>
      <c r="C106" t="s">
        <v>1</v>
      </c>
      <c r="D106" s="8" t="s">
        <v>1675</v>
      </c>
      <c r="E106" t="s">
        <v>57</v>
      </c>
      <c r="F106">
        <v>1</v>
      </c>
      <c r="G106" s="3">
        <v>239</v>
      </c>
      <c r="H106" s="3">
        <v>332.21</v>
      </c>
      <c r="I106" s="3">
        <f>H106-G106</f>
      </c>
      <c r="J106" s="3">
        <f>I106*16.67%</f>
      </c>
      <c r="K106" s="3">
        <f>(H106*6.9%)-(H106*6.9%)*10%</f>
      </c>
      <c r="L106" s="3">
        <f>H106*0.35%</f>
      </c>
      <c r="M106" s="3">
        <v>0.4</v>
      </c>
      <c r="N106" s="3">
        <f>(K106+L106+M106)*20%</f>
      </c>
      <c r="O106" s="3">
        <f>K106+L106+M106+N106</f>
      </c>
      <c r="P106" s="3">
        <v>0</v>
      </c>
      <c r="Q106" s="3">
        <v>0</v>
      </c>
      <c r="R106" s="3">
        <v>0</v>
      </c>
      <c r="S106" s="3">
        <f>R106*20%</f>
      </c>
      <c r="T106" s="3">
        <v>1</v>
      </c>
      <c r="U106" s="3">
        <f>N106+Q106+S106</f>
      </c>
      <c r="V106" s="3">
        <f>I106-J106-O106-P106-Q106-R106-S106-T106</f>
      </c>
      <c r="W106" s="3">
        <f>(V106-AE106)/H106*100</f>
      </c>
      <c r="X106" s="3">
        <f>J106-U106</f>
      </c>
      <c r="Y106" t="s">
        <v>1</v>
      </c>
      <c r="Z106" t="s">
        <v>113</v>
      </c>
      <c r="AF106" s="3">
        <f>V106-AE106</f>
      </c>
      <c r="AG106" t="s">
        <v>59</v>
      </c>
      <c r="AH106" t="s">
        <v>74</v>
      </c>
    </row>
    <row r="107" spans="1:34" x14ac:dyDescent="0.25">
      <c r="A107" s="7">
        <v>46221.5</v>
      </c>
      <c r="B107" t="s">
        <v>1676</v>
      </c>
      <c r="C107" t="s">
        <v>1</v>
      </c>
      <c r="D107" s="8" t="s">
        <v>1677</v>
      </c>
      <c r="E107" t="s">
        <v>57</v>
      </c>
      <c r="F107">
        <v>1</v>
      </c>
      <c r="G107" s="3">
        <v>451</v>
      </c>
      <c r="H107" s="3">
        <v>604.34</v>
      </c>
      <c r="I107" s="3">
        <f>H107-G107</f>
      </c>
      <c r="J107" s="3">
        <f>I107*16.67%</f>
      </c>
      <c r="K107" s="3">
        <f>(H107*6.9%)-(H107*6.9%)*10%</f>
      </c>
      <c r="L107" s="3">
        <f>H107*0.35%</f>
      </c>
      <c r="M107" s="3">
        <v>0.4</v>
      </c>
      <c r="N107" s="3">
        <f>(K107+L107+M107)*20%</f>
      </c>
      <c r="O107" s="3">
        <f>K107+L107+M107+N107</f>
      </c>
      <c r="P107" s="3">
        <v>0</v>
      </c>
      <c r="Q107" s="3">
        <v>0</v>
      </c>
      <c r="R107" s="3">
        <v>0</v>
      </c>
      <c r="S107" s="3">
        <f>R107*20%</f>
      </c>
      <c r="T107" s="3">
        <v>1</v>
      </c>
      <c r="U107" s="3">
        <f>N107+Q107+S107</f>
      </c>
      <c r="V107" s="3">
        <f>I107-J107-O107-P107-Q107-R107-S107-T107</f>
      </c>
      <c r="W107" s="3">
        <f>(V107-AE107)/H107*100</f>
      </c>
      <c r="X107" s="3">
        <f>J107-U107</f>
      </c>
      <c r="Y107" t="s">
        <v>1</v>
      </c>
      <c r="Z107" t="s">
        <v>58</v>
      </c>
      <c r="AF107" s="3">
        <f>V107-AE107</f>
      </c>
      <c r="AG107" t="s">
        <v>59</v>
      </c>
      <c r="AH107" t="s">
        <v>84</v>
      </c>
    </row>
    <row r="108" spans="1:34" x14ac:dyDescent="0.25">
      <c r="A108" s="7">
        <v>46221.5</v>
      </c>
      <c r="B108" t="s">
        <v>1678</v>
      </c>
      <c r="C108" t="s">
        <v>1</v>
      </c>
      <c r="D108" s="8" t="s">
        <v>1679</v>
      </c>
      <c r="E108" t="s">
        <v>63</v>
      </c>
      <c r="F108">
        <v>1</v>
      </c>
      <c r="G108" s="3">
        <v>760</v>
      </c>
      <c r="H108" s="3">
        <v>1048.8</v>
      </c>
      <c r="I108" s="3">
        <f>H108-G108</f>
      </c>
      <c r="J108" s="3">
        <f>I108*16.67%</f>
      </c>
      <c r="K108" s="3">
        <f>(H108*6.9%)-(H108*6.9%)*10%</f>
      </c>
      <c r="L108" s="3">
        <f>H108*0.35%</f>
      </c>
      <c r="M108" s="3">
        <v>0.4</v>
      </c>
      <c r="N108" s="3">
        <f>(K108+L108+M108)*20%</f>
      </c>
      <c r="O108" s="3">
        <f>K108+L108+M108+N108</f>
      </c>
      <c r="P108" s="3">
        <v>0</v>
      </c>
      <c r="Q108" s="3">
        <v>0</v>
      </c>
      <c r="R108" s="3">
        <v>0</v>
      </c>
      <c r="S108" s="3">
        <f>R108*20%</f>
      </c>
      <c r="T108" s="3">
        <v>1</v>
      </c>
      <c r="U108" s="3">
        <f>N108+Q108+S108</f>
      </c>
      <c r="V108" s="3">
        <f>I108-J108-O108-P108-Q108-R108-S108-T108</f>
      </c>
      <c r="W108" s="3">
        <f>(V108-AE108)/H108*100</f>
      </c>
      <c r="X108" s="3">
        <f>J108-U108</f>
      </c>
      <c r="Y108" t="s">
        <v>1</v>
      </c>
      <c r="Z108" t="s">
        <v>83</v>
      </c>
      <c r="AF108" s="3">
        <f>V108-AE108</f>
      </c>
      <c r="AG108" t="s">
        <v>59</v>
      </c>
      <c r="AH108" t="s">
        <v>87</v>
      </c>
    </row>
    <row r="109" spans="1:34" x14ac:dyDescent="0.25">
      <c r="A109" s="7">
        <v>46221.5</v>
      </c>
      <c r="B109" t="s">
        <v>1680</v>
      </c>
      <c r="C109" t="s">
        <v>1</v>
      </c>
      <c r="D109" s="8" t="s">
        <v>1681</v>
      </c>
      <c r="E109" t="s">
        <v>101</v>
      </c>
      <c r="F109">
        <v>1</v>
      </c>
      <c r="G109" s="3">
        <v>203</v>
      </c>
      <c r="H109" s="3">
        <v>233.45</v>
      </c>
      <c r="I109" s="3">
        <f>H109-G109</f>
      </c>
      <c r="J109" s="3">
        <f>I109*16.67%</f>
      </c>
      <c r="K109" s="3">
        <f>(H109*6.9%)-(H109*6.9%)*10%</f>
      </c>
      <c r="L109" s="3">
        <f>H109*0.35%</f>
      </c>
      <c r="M109" s="3">
        <v>0.4</v>
      </c>
      <c r="N109" s="3">
        <f>(K109+L109+M109)*20%</f>
      </c>
      <c r="O109" s="3">
        <f>K109+L109+M109+N109</f>
      </c>
      <c r="P109" s="3">
        <v>0</v>
      </c>
      <c r="Q109" s="3">
        <v>0</v>
      </c>
      <c r="R109" s="3">
        <v>0</v>
      </c>
      <c r="S109" s="3">
        <f>R109*20%</f>
      </c>
      <c r="T109" s="3">
        <v>1</v>
      </c>
      <c r="U109" s="3">
        <f>N109+Q109+S109</f>
      </c>
      <c r="V109" s="3">
        <f>I109-J109-O109-P109-Q109-R109-S109-T109</f>
      </c>
      <c r="W109" s="3">
        <f>(V109-AE109)/H109*100</f>
      </c>
      <c r="X109" s="3">
        <f>J109-U109</f>
      </c>
      <c r="Y109" t="s">
        <v>1</v>
      </c>
      <c r="Z109" t="s">
        <v>113</v>
      </c>
      <c r="AF109" s="3">
        <f>V109-AE109</f>
      </c>
      <c r="AG109" t="s">
        <v>59</v>
      </c>
      <c r="AH109" t="s">
        <v>84</v>
      </c>
    </row>
    <row r="110" spans="1:34" x14ac:dyDescent="0.25">
      <c r="A110" s="7">
        <v>46221.5</v>
      </c>
      <c r="B110" t="s">
        <v>1682</v>
      </c>
      <c r="C110" t="s">
        <v>1</v>
      </c>
      <c r="D110" s="8" t="s">
        <v>1683</v>
      </c>
      <c r="E110" t="s">
        <v>101</v>
      </c>
      <c r="F110">
        <v>1</v>
      </c>
      <c r="G110" s="3">
        <v>555</v>
      </c>
      <c r="H110" s="3">
        <v>660.45</v>
      </c>
      <c r="I110" s="3">
        <f>H110-G110</f>
      </c>
      <c r="J110" s="3">
        <f>I110*16.67%</f>
      </c>
      <c r="K110" s="3">
        <f>(H110*6.9%)-(H110*6.9%)*10%</f>
      </c>
      <c r="L110" s="3">
        <f>H110*0.35%</f>
      </c>
      <c r="M110" s="3">
        <v>0.4</v>
      </c>
      <c r="N110" s="3">
        <f>(K110+L110+M110)*20%</f>
      </c>
      <c r="O110" s="3">
        <f>K110+L110+M110+N110</f>
      </c>
      <c r="P110" s="3">
        <v>0</v>
      </c>
      <c r="Q110" s="3">
        <v>0</v>
      </c>
      <c r="R110" s="3">
        <v>0</v>
      </c>
      <c r="S110" s="3">
        <f>R110*20%</f>
      </c>
      <c r="T110" s="3">
        <v>1</v>
      </c>
      <c r="U110" s="3">
        <f>N110+Q110+S110</f>
      </c>
      <c r="V110" s="3">
        <f>I110-J110-O110-P110-Q110-R110-S110-T110</f>
      </c>
      <c r="W110" s="3">
        <f>(V110-AE110)/H110*100</f>
      </c>
      <c r="X110" s="3">
        <f>J110-U110</f>
      </c>
      <c r="Y110" t="s">
        <v>1</v>
      </c>
      <c r="Z110" t="s">
        <v>68</v>
      </c>
      <c r="AF110" s="3">
        <f>V110-AE110</f>
      </c>
      <c r="AG110" t="s">
        <v>59</v>
      </c>
      <c r="AH110" t="s">
        <v>74</v>
      </c>
    </row>
    <row r="111" spans="1:34" x14ac:dyDescent="0.25">
      <c r="A111" s="7">
        <v>46221.5</v>
      </c>
      <c r="B111" t="s">
        <v>1684</v>
      </c>
      <c r="C111" t="s">
        <v>253</v>
      </c>
      <c r="D111" s="8" t="s">
        <v>1</v>
      </c>
      <c r="E111" t="s">
        <v>57</v>
      </c>
      <c r="F111">
        <v>3</v>
      </c>
      <c r="G111" s="3">
        <v>2.4</v>
      </c>
      <c r="H111" s="3">
        <v>3.43</v>
      </c>
      <c r="I111" s="3">
        <f>H111-G111</f>
      </c>
      <c r="J111" s="3">
        <f>I111*16.67%</f>
      </c>
      <c r="K111" s="3">
        <f>(H111*6.9%)-(H111*6.9%)*10%</f>
      </c>
      <c r="L111" s="3">
        <f>H111*0.35%</f>
      </c>
      <c r="M111" s="3">
        <v>0.4</v>
      </c>
      <c r="N111" s="3">
        <f>(K111+L111+M111)*20%</f>
      </c>
      <c r="O111" s="3">
        <f>K111+L111+M111+N111</f>
      </c>
      <c r="P111" s="3">
        <v>0</v>
      </c>
      <c r="Q111" s="3">
        <v>0</v>
      </c>
      <c r="R111" s="3">
        <v>0</v>
      </c>
      <c r="S111" s="3">
        <f>R111*20%</f>
      </c>
      <c r="T111" s="3">
        <v>1</v>
      </c>
      <c r="U111" s="3">
        <f>N111+Q111+S111</f>
      </c>
      <c r="V111" s="3">
        <f>I111-J111-O111-P111-Q111-R111-S111-T111</f>
      </c>
      <c r="W111" s="3">
        <f>(V111-AE111)/H111*100</f>
      </c>
      <c r="X111" s="3">
        <f>J111-U111</f>
      </c>
      <c r="Y111" t="s">
        <v>1</v>
      </c>
      <c r="Z111" t="s">
        <v>253</v>
      </c>
      <c r="AF111" s="3">
        <f>V111-AE111</f>
      </c>
      <c r="AG111" t="s">
        <v>1</v>
      </c>
      <c r="AH111" t="s">
        <v>1</v>
      </c>
    </row>
    <row r="112" spans="1:34" x14ac:dyDescent="0.25">
      <c r="A112" s="7">
        <v>46220.5</v>
      </c>
      <c r="B112" t="s">
        <v>1685</v>
      </c>
      <c r="C112" t="s">
        <v>1</v>
      </c>
      <c r="D112" s="8" t="s">
        <v>1686</v>
      </c>
      <c r="E112" t="s">
        <v>57</v>
      </c>
      <c r="F112">
        <v>1</v>
      </c>
      <c r="G112" s="3">
        <v>184</v>
      </c>
      <c r="H112" s="3">
        <v>224.48</v>
      </c>
      <c r="I112" s="3">
        <f>H112-G112</f>
      </c>
      <c r="J112" s="3">
        <f>I112*16.67%</f>
      </c>
      <c r="K112" s="3">
        <f>(H112*6.9%)-(H112*6.9%)*10%</f>
      </c>
      <c r="L112" s="3">
        <f>H112*0.35%</f>
      </c>
      <c r="M112" s="3">
        <v>0.4</v>
      </c>
      <c r="N112" s="3">
        <f>(K112+L112+M112)*20%</f>
      </c>
      <c r="O112" s="3">
        <f>K112+L112+M112+N112</f>
      </c>
      <c r="P112" s="3">
        <v>0</v>
      </c>
      <c r="Q112" s="3">
        <v>0</v>
      </c>
      <c r="R112" s="3">
        <v>0</v>
      </c>
      <c r="S112" s="3">
        <f>R112*20%</f>
      </c>
      <c r="T112" s="3">
        <v>1</v>
      </c>
      <c r="U112" s="3">
        <f>N112+Q112+S112</f>
      </c>
      <c r="V112" s="3">
        <f>I112-J112-O112-P112-Q112-R112-S112-T112</f>
      </c>
      <c r="W112" s="3">
        <f>(V112-AE112)/H112*100</f>
      </c>
      <c r="X112" s="3">
        <f>J112-U112</f>
      </c>
      <c r="Y112" t="s">
        <v>1</v>
      </c>
      <c r="Z112" t="s">
        <v>291</v>
      </c>
      <c r="AF112" s="3">
        <f>V112-AE112</f>
      </c>
      <c r="AG112" t="s">
        <v>125</v>
      </c>
      <c r="AH112" t="s">
        <v>69</v>
      </c>
    </row>
    <row r="113" spans="1:34" x14ac:dyDescent="0.25">
      <c r="A113" s="7">
        <v>46220.5</v>
      </c>
      <c r="B113" t="s">
        <v>1687</v>
      </c>
      <c r="C113" t="s">
        <v>1</v>
      </c>
      <c r="D113" s="8" t="s">
        <v>1688</v>
      </c>
      <c r="E113" t="s">
        <v>77</v>
      </c>
      <c r="F113">
        <v>1</v>
      </c>
      <c r="G113" s="3">
        <v>177</v>
      </c>
      <c r="H113" s="3">
        <v>228.33</v>
      </c>
      <c r="I113" s="3">
        <f>H113-G113</f>
      </c>
      <c r="J113" s="3">
        <f>I113*16.67%</f>
      </c>
      <c r="K113" s="3">
        <f>(H113*6.9%)-(H113*6.9%)*10%</f>
      </c>
      <c r="L113" s="3">
        <f>H113*0.35%</f>
      </c>
      <c r="M113" s="3">
        <v>0.4</v>
      </c>
      <c r="N113" s="3">
        <f>(K113+L113+M113)*20%</f>
      </c>
      <c r="O113" s="3">
        <f>K113+L113+M113+N113</f>
      </c>
      <c r="P113" s="3">
        <v>0</v>
      </c>
      <c r="Q113" s="3">
        <v>0</v>
      </c>
      <c r="R113" s="3">
        <v>0</v>
      </c>
      <c r="S113" s="3">
        <f>R113*20%</f>
      </c>
      <c r="T113" s="3">
        <v>1</v>
      </c>
      <c r="U113" s="3">
        <f>N113+Q113+S113</f>
      </c>
      <c r="V113" s="3">
        <f>I113-J113-O113-P113-Q113-R113-S113-T113</f>
      </c>
      <c r="W113" s="3">
        <f>(V113-AE113)/H113*100</f>
      </c>
      <c r="X113" s="3">
        <f>J113-U113</f>
      </c>
      <c r="Y113" t="s">
        <v>1</v>
      </c>
      <c r="Z113" t="s">
        <v>291</v>
      </c>
      <c r="AF113" s="3">
        <f>V113-AE113</f>
      </c>
      <c r="AG113" t="s">
        <v>125</v>
      </c>
      <c r="AH113" t="s">
        <v>98</v>
      </c>
    </row>
    <row r="114" spans="1:34" x14ac:dyDescent="0.25">
      <c r="A114" s="7">
        <v>46220.5</v>
      </c>
      <c r="B114" t="s">
        <v>1689</v>
      </c>
      <c r="C114" t="s">
        <v>1</v>
      </c>
      <c r="D114" s="8" t="s">
        <v>1690</v>
      </c>
      <c r="E114" t="s">
        <v>63</v>
      </c>
      <c r="F114">
        <v>1</v>
      </c>
      <c r="G114" s="3">
        <v>308</v>
      </c>
      <c r="H114" s="3">
        <v>366.52</v>
      </c>
      <c r="I114" s="3">
        <f>H114-G114</f>
      </c>
      <c r="J114" s="3">
        <f>I114*16.67%</f>
      </c>
      <c r="K114" s="3">
        <f>(H114*6.9%)-(H114*6.9%)*10%</f>
      </c>
      <c r="L114" s="3">
        <f>H114*0.35%</f>
      </c>
      <c r="M114" s="3">
        <v>0.4</v>
      </c>
      <c r="N114" s="3">
        <f>(K114+L114+M114)*20%</f>
      </c>
      <c r="O114" s="3">
        <f>K114+L114+M114+N114</f>
      </c>
      <c r="P114" s="3">
        <v>0</v>
      </c>
      <c r="Q114" s="3">
        <v>0</v>
      </c>
      <c r="R114" s="3">
        <v>0</v>
      </c>
      <c r="S114" s="3">
        <f>R114*20%</f>
      </c>
      <c r="T114" s="3">
        <v>1</v>
      </c>
      <c r="U114" s="3">
        <f>N114+Q114+S114</f>
      </c>
      <c r="V114" s="3">
        <f>I114-J114-O114-P114-Q114-R114-S114-T114</f>
      </c>
      <c r="W114" s="3">
        <f>(V114-AE114)/H114*100</f>
      </c>
      <c r="X114" s="3">
        <f>J114-U114</f>
      </c>
      <c r="Y114" t="s">
        <v>1</v>
      </c>
      <c r="Z114" t="s">
        <v>138</v>
      </c>
      <c r="AF114" s="3">
        <f>V114-AE114</f>
      </c>
      <c r="AG114" t="s">
        <v>65</v>
      </c>
      <c r="AH114" t="s">
        <v>60</v>
      </c>
    </row>
    <row r="115" spans="1:34" x14ac:dyDescent="0.25">
      <c r="A115" s="7">
        <v>46220.5</v>
      </c>
      <c r="B115" t="s">
        <v>1691</v>
      </c>
      <c r="C115" t="s">
        <v>1</v>
      </c>
      <c r="D115" s="8" t="s">
        <v>1692</v>
      </c>
      <c r="E115" t="s">
        <v>101</v>
      </c>
      <c r="F115">
        <v>1</v>
      </c>
      <c r="G115" s="3">
        <v>476</v>
      </c>
      <c r="H115" s="3">
        <v>633.08</v>
      </c>
      <c r="I115" s="3">
        <f>H115-G115</f>
      </c>
      <c r="J115" s="3">
        <f>I115*16.67%</f>
      </c>
      <c r="K115" s="3">
        <f>(H115*6.9%)-(H115*6.9%)*10%</f>
      </c>
      <c r="L115" s="3">
        <f>H115*0.35%</f>
      </c>
      <c r="M115" s="3">
        <v>0.4</v>
      </c>
      <c r="N115" s="3">
        <f>(K115+L115+M115)*20%</f>
      </c>
      <c r="O115" s="3">
        <f>K115+L115+M115+N115</f>
      </c>
      <c r="P115" s="3">
        <v>0</v>
      </c>
      <c r="Q115" s="3">
        <v>0</v>
      </c>
      <c r="R115" s="3">
        <v>0</v>
      </c>
      <c r="S115" s="3">
        <f>R115*20%</f>
      </c>
      <c r="T115" s="3">
        <v>1</v>
      </c>
      <c r="U115" s="3">
        <f>N115+Q115+S115</f>
      </c>
      <c r="V115" s="3">
        <f>I115-J115-O115-P115-Q115-R115-S115-T115</f>
      </c>
      <c r="W115" s="3">
        <f>(V115-AE115)/H115*100</f>
      </c>
      <c r="X115" s="3">
        <f>J115-U115</f>
      </c>
      <c r="Y115" t="s">
        <v>1</v>
      </c>
      <c r="Z115" t="s">
        <v>58</v>
      </c>
      <c r="AF115" s="3">
        <f>V115-AE115</f>
      </c>
      <c r="AG115" t="s">
        <v>59</v>
      </c>
      <c r="AH115" t="s">
        <v>87</v>
      </c>
    </row>
    <row r="116" spans="1:34" x14ac:dyDescent="0.25">
      <c r="A116" s="7">
        <v>46220.5</v>
      </c>
      <c r="B116" t="s">
        <v>1693</v>
      </c>
      <c r="C116" t="s">
        <v>1</v>
      </c>
      <c r="D116" s="8" t="s">
        <v>1694</v>
      </c>
      <c r="E116" t="s">
        <v>63</v>
      </c>
      <c r="F116">
        <v>1</v>
      </c>
      <c r="G116" s="3">
        <v>73</v>
      </c>
      <c r="H116" s="3">
        <v>89.06</v>
      </c>
      <c r="I116" s="3">
        <f>H116-G116</f>
      </c>
      <c r="J116" s="3">
        <f>I116*16.67%</f>
      </c>
      <c r="K116" s="3">
        <f>(H116*6.9%)-(H116*6.9%)*10%</f>
      </c>
      <c r="L116" s="3">
        <f>H116*0.35%</f>
      </c>
      <c r="M116" s="3">
        <v>0.4</v>
      </c>
      <c r="N116" s="3">
        <f>(K116+L116+M116)*20%</f>
      </c>
      <c r="O116" s="3">
        <f>K116+L116+M116+N116</f>
      </c>
      <c r="P116" s="3">
        <v>0</v>
      </c>
      <c r="Q116" s="3">
        <v>0</v>
      </c>
      <c r="R116" s="3">
        <v>0</v>
      </c>
      <c r="S116" s="3">
        <f>R116*20%</f>
      </c>
      <c r="T116" s="3">
        <v>1</v>
      </c>
      <c r="U116" s="3">
        <f>N116+Q116+S116</f>
      </c>
      <c r="V116" s="3">
        <f>I116-J116-O116-P116-Q116-R116-S116-T116</f>
      </c>
      <c r="W116" s="3">
        <f>(V116-AE116)/H116*100</f>
      </c>
      <c r="X116" s="3">
        <f>J116-U116</f>
      </c>
      <c r="Y116" t="s">
        <v>1</v>
      </c>
      <c r="Z116" t="s">
        <v>93</v>
      </c>
      <c r="AF116" s="3">
        <f>V116-AE116</f>
      </c>
      <c r="AG116" t="s">
        <v>94</v>
      </c>
      <c r="AH116" t="s">
        <v>104</v>
      </c>
    </row>
    <row r="117" spans="1:34" x14ac:dyDescent="0.25">
      <c r="A117" s="7">
        <v>46219.5</v>
      </c>
      <c r="B117" t="s">
        <v>1695</v>
      </c>
      <c r="C117" t="s">
        <v>1</v>
      </c>
      <c r="D117" s="8" t="s">
        <v>1696</v>
      </c>
      <c r="E117" t="s">
        <v>57</v>
      </c>
      <c r="F117">
        <v>1</v>
      </c>
      <c r="G117" s="3">
        <v>559</v>
      </c>
      <c r="H117" s="3">
        <v>670.8</v>
      </c>
      <c r="I117" s="3">
        <f>H117-G117</f>
      </c>
      <c r="J117" s="3">
        <f>I117*16.67%</f>
      </c>
      <c r="K117" s="3">
        <f>(H117*6.9%)-(H117*6.9%)*10%</f>
      </c>
      <c r="L117" s="3">
        <f>H117*0.35%</f>
      </c>
      <c r="M117" s="3">
        <v>0.4</v>
      </c>
      <c r="N117" s="3">
        <f>(K117+L117+M117)*20%</f>
      </c>
      <c r="O117" s="3">
        <f>K117+L117+M117+N117</f>
      </c>
      <c r="P117" s="3">
        <v>0</v>
      </c>
      <c r="Q117" s="3">
        <v>0</v>
      </c>
      <c r="R117" s="3">
        <v>0</v>
      </c>
      <c r="S117" s="3">
        <f>R117*20%</f>
      </c>
      <c r="T117" s="3">
        <v>1</v>
      </c>
      <c r="U117" s="3">
        <f>N117+Q117+S117</f>
      </c>
      <c r="V117" s="3">
        <f>I117-J117-O117-P117-Q117-R117-S117-T117</f>
      </c>
      <c r="W117" s="3">
        <f>(V117-AE117)/H117*100</f>
      </c>
      <c r="X117" s="3">
        <f>J117-U117</f>
      </c>
      <c r="Y117" t="s">
        <v>1</v>
      </c>
      <c r="Z117" t="s">
        <v>68</v>
      </c>
      <c r="AF117" s="3">
        <f>V117-AE117</f>
      </c>
      <c r="AG117" t="s">
        <v>59</v>
      </c>
      <c r="AH117" t="s">
        <v>87</v>
      </c>
    </row>
    <row r="118" spans="1:34" x14ac:dyDescent="0.25">
      <c r="A118" s="7">
        <v>46219.5</v>
      </c>
      <c r="B118" t="s">
        <v>1697</v>
      </c>
      <c r="C118" t="s">
        <v>1</v>
      </c>
      <c r="D118" s="8" t="s">
        <v>1698</v>
      </c>
      <c r="E118" t="s">
        <v>63</v>
      </c>
      <c r="F118">
        <v>1</v>
      </c>
      <c r="G118" s="3">
        <v>367</v>
      </c>
      <c r="H118" s="3">
        <v>455.08</v>
      </c>
      <c r="I118" s="3">
        <f>H118-G118</f>
      </c>
      <c r="J118" s="3">
        <f>I118*16.67%</f>
      </c>
      <c r="K118" s="3">
        <f>(H118*6.9%)-(H118*6.9%)*10%</f>
      </c>
      <c r="L118" s="3">
        <f>H118*0.35%</f>
      </c>
      <c r="M118" s="3">
        <v>0.4</v>
      </c>
      <c r="N118" s="3">
        <f>(K118+L118+M118)*20%</f>
      </c>
      <c r="O118" s="3">
        <f>K118+L118+M118+N118</f>
      </c>
      <c r="P118" s="3">
        <v>0</v>
      </c>
      <c r="Q118" s="3">
        <v>0</v>
      </c>
      <c r="R118" s="3">
        <v>0</v>
      </c>
      <c r="S118" s="3">
        <f>R118*20%</f>
      </c>
      <c r="T118" s="3">
        <v>1</v>
      </c>
      <c r="U118" s="3">
        <f>N118+Q118+S118</f>
      </c>
      <c r="V118" s="3">
        <f>I118-J118-O118-P118-Q118-R118-S118-T118</f>
      </c>
      <c r="W118" s="3">
        <f>(V118-AE118)/H118*100</f>
      </c>
      <c r="X118" s="3">
        <f>J118-U118</f>
      </c>
      <c r="Y118" t="s">
        <v>1</v>
      </c>
      <c r="Z118" t="s">
        <v>73</v>
      </c>
      <c r="AF118" s="3">
        <f>V118-AE118</f>
      </c>
      <c r="AG118" t="s">
        <v>59</v>
      </c>
      <c r="AH118" t="s">
        <v>87</v>
      </c>
    </row>
    <row r="119" spans="1:34" x14ac:dyDescent="0.25">
      <c r="A119" s="7">
        <v>46219.5</v>
      </c>
      <c r="B119" t="s">
        <v>1699</v>
      </c>
      <c r="C119" t="s">
        <v>1</v>
      </c>
      <c r="D119" s="8" t="s">
        <v>1700</v>
      </c>
      <c r="E119" t="s">
        <v>72</v>
      </c>
      <c r="F119">
        <v>1</v>
      </c>
      <c r="G119" s="3">
        <v>303</v>
      </c>
      <c r="H119" s="3">
        <v>378.75</v>
      </c>
      <c r="I119" s="3">
        <f>H119-G119</f>
      </c>
      <c r="J119" s="3">
        <f>I119*16.67%</f>
      </c>
      <c r="K119" s="3">
        <f>(H119*6.9%)-(H119*6.9%)*10%</f>
      </c>
      <c r="L119" s="3">
        <f>H119*0.35%</f>
      </c>
      <c r="M119" s="3">
        <v>0.4</v>
      </c>
      <c r="N119" s="3">
        <f>(K119+L119+M119)*20%</f>
      </c>
      <c r="O119" s="3">
        <f>K119+L119+M119+N119</f>
      </c>
      <c r="P119" s="3">
        <v>0</v>
      </c>
      <c r="Q119" s="3">
        <v>0</v>
      </c>
      <c r="R119" s="3">
        <v>0</v>
      </c>
      <c r="S119" s="3">
        <f>R119*20%</f>
      </c>
      <c r="T119" s="3">
        <v>1</v>
      </c>
      <c r="U119" s="3">
        <f>N119+Q119+S119</f>
      </c>
      <c r="V119" s="3">
        <f>I119-J119-O119-P119-Q119-R119-S119-T119</f>
      </c>
      <c r="W119" s="3">
        <f>(V119-AE119)/H119*100</f>
      </c>
      <c r="X119" s="3">
        <f>J119-U119</f>
      </c>
      <c r="Y119" t="s">
        <v>1</v>
      </c>
      <c r="Z119" t="s">
        <v>130</v>
      </c>
      <c r="AF119" s="3">
        <f>V119-AE119</f>
      </c>
      <c r="AG119" t="s">
        <v>65</v>
      </c>
      <c r="AH119" t="s">
        <v>74</v>
      </c>
    </row>
    <row r="120" spans="1:34" x14ac:dyDescent="0.25">
      <c r="A120" s="7">
        <v>46219.5</v>
      </c>
      <c r="B120" t="s">
        <v>1701</v>
      </c>
      <c r="C120" t="s">
        <v>1</v>
      </c>
      <c r="D120" s="8" t="s">
        <v>1702</v>
      </c>
      <c r="E120" t="s">
        <v>101</v>
      </c>
      <c r="F120">
        <v>1</v>
      </c>
      <c r="G120" s="3">
        <v>536</v>
      </c>
      <c r="H120" s="3">
        <v>648.56</v>
      </c>
      <c r="I120" s="3">
        <f>H120-G120</f>
      </c>
      <c r="J120" s="3">
        <f>I120*16.67%</f>
      </c>
      <c r="K120" s="3">
        <f>(H120*6.9%)-(H120*6.9%)*10%</f>
      </c>
      <c r="L120" s="3">
        <f>H120*0.35%</f>
      </c>
      <c r="M120" s="3">
        <v>0.4</v>
      </c>
      <c r="N120" s="3">
        <f>(K120+L120+M120)*20%</f>
      </c>
      <c r="O120" s="3">
        <f>K120+L120+M120+N120</f>
      </c>
      <c r="P120" s="3">
        <v>0</v>
      </c>
      <c r="Q120" s="3">
        <v>0</v>
      </c>
      <c r="R120" s="3">
        <v>0</v>
      </c>
      <c r="S120" s="3">
        <f>R120*20%</f>
      </c>
      <c r="T120" s="3">
        <v>1</v>
      </c>
      <c r="U120" s="3">
        <f>N120+Q120+S120</f>
      </c>
      <c r="V120" s="3">
        <f>I120-J120-O120-P120-Q120-R120-S120-T120</f>
      </c>
      <c r="W120" s="3">
        <f>(V120-AE120)/H120*100</f>
      </c>
      <c r="X120" s="3">
        <f>J120-U120</f>
      </c>
      <c r="Y120" t="s">
        <v>1</v>
      </c>
      <c r="Z120" t="s">
        <v>68</v>
      </c>
      <c r="AF120" s="3">
        <f>V120-AE120</f>
      </c>
      <c r="AG120" t="s">
        <v>59</v>
      </c>
      <c r="AH120" t="s">
        <v>104</v>
      </c>
    </row>
    <row r="121" spans="1:34" x14ac:dyDescent="0.25">
      <c r="A121" s="7">
        <v>46219.5</v>
      </c>
      <c r="B121" t="s">
        <v>1703</v>
      </c>
      <c r="C121" t="s">
        <v>188</v>
      </c>
      <c r="D121" s="8" t="s">
        <v>1</v>
      </c>
      <c r="E121" t="s">
        <v>63</v>
      </c>
      <c r="F121">
        <v>4</v>
      </c>
      <c r="G121" s="3">
        <v>14</v>
      </c>
      <c r="H121" s="3">
        <v>16.1</v>
      </c>
      <c r="I121" s="3">
        <f>H121-G121</f>
      </c>
      <c r="J121" s="3">
        <f>I121*16.67%</f>
      </c>
      <c r="K121" s="3">
        <f>(H121*6.9%)-(H121*6.9%)*10%</f>
      </c>
      <c r="L121" s="3">
        <f>H121*0.35%</f>
      </c>
      <c r="M121" s="3">
        <v>0.4</v>
      </c>
      <c r="N121" s="3">
        <f>(K121+L121+M121)*20%</f>
      </c>
      <c r="O121" s="3">
        <f>K121+L121+M121+N121</f>
      </c>
      <c r="P121" s="3">
        <v>0</v>
      </c>
      <c r="Q121" s="3">
        <v>0</v>
      </c>
      <c r="R121" s="3">
        <v>0</v>
      </c>
      <c r="S121" s="3">
        <f>R121*20%</f>
      </c>
      <c r="T121" s="3">
        <v>1</v>
      </c>
      <c r="U121" s="3">
        <f>N121+Q121+S121</f>
      </c>
      <c r="V121" s="3">
        <f>I121-J121-O121-P121-Q121-R121-S121-T121</f>
      </c>
      <c r="W121" s="3">
        <f>(V121-AE121)/H121*100</f>
      </c>
      <c r="X121" s="3">
        <f>J121-U121</f>
      </c>
      <c r="Y121" t="s">
        <v>1</v>
      </c>
      <c r="Z121" t="s">
        <v>188</v>
      </c>
      <c r="AF121" s="3">
        <f>V121-AE121</f>
      </c>
      <c r="AG121" t="s">
        <v>1</v>
      </c>
      <c r="AH121" t="s">
        <v>1</v>
      </c>
    </row>
    <row r="122" spans="1:34" x14ac:dyDescent="0.25">
      <c r="A122" s="7">
        <v>46219.5</v>
      </c>
      <c r="B122" t="s">
        <v>1704</v>
      </c>
      <c r="C122" t="s">
        <v>253</v>
      </c>
      <c r="D122" s="8" t="s">
        <v>1</v>
      </c>
      <c r="E122" t="s">
        <v>57</v>
      </c>
      <c r="F122">
        <v>1</v>
      </c>
      <c r="G122" s="3">
        <v>0.8</v>
      </c>
      <c r="H122" s="3">
        <v>1.14</v>
      </c>
      <c r="I122" s="3">
        <f>H122-G122</f>
      </c>
      <c r="J122" s="3">
        <f>I122*16.67%</f>
      </c>
      <c r="K122" s="3">
        <f>(H122*6.9%)-(H122*6.9%)*10%</f>
      </c>
      <c r="L122" s="3">
        <f>H122*0.35%</f>
      </c>
      <c r="M122" s="3">
        <v>0.4</v>
      </c>
      <c r="N122" s="3">
        <f>(K122+L122+M122)*20%</f>
      </c>
      <c r="O122" s="3">
        <f>K122+L122+M122+N122</f>
      </c>
      <c r="P122" s="3">
        <v>0</v>
      </c>
      <c r="Q122" s="3">
        <v>0</v>
      </c>
      <c r="R122" s="3">
        <v>0</v>
      </c>
      <c r="S122" s="3">
        <f>R122*20%</f>
      </c>
      <c r="T122" s="3">
        <v>1</v>
      </c>
      <c r="U122" s="3">
        <f>N122+Q122+S122</f>
      </c>
      <c r="V122" s="3">
        <f>I122-J122-O122-P122-Q122-R122-S122-T122</f>
      </c>
      <c r="W122" s="3">
        <f>(V122-AE122)/H122*100</f>
      </c>
      <c r="X122" s="3">
        <f>J122-U122</f>
      </c>
      <c r="Y122" t="s">
        <v>1</v>
      </c>
      <c r="Z122" t="s">
        <v>253</v>
      </c>
      <c r="AF122" s="3">
        <f>V122-AE122</f>
      </c>
      <c r="AG122" t="s">
        <v>1</v>
      </c>
      <c r="AH122" t="s">
        <v>1</v>
      </c>
    </row>
    <row r="123" spans="1:34" x14ac:dyDescent="0.25">
      <c r="A123" s="7">
        <v>46219.5</v>
      </c>
      <c r="B123" t="s">
        <v>1705</v>
      </c>
      <c r="C123" t="s">
        <v>181</v>
      </c>
      <c r="D123" s="8" t="s">
        <v>1</v>
      </c>
      <c r="E123" t="s">
        <v>72</v>
      </c>
      <c r="F123">
        <v>2</v>
      </c>
      <c r="G123" s="3">
        <v>3.8</v>
      </c>
      <c r="H123" s="3">
        <v>4.94</v>
      </c>
      <c r="I123" s="3">
        <f>H123-G123</f>
      </c>
      <c r="J123" s="3">
        <f>I123*16.67%</f>
      </c>
      <c r="K123" s="3">
        <f>(H123*6.9%)-(H123*6.9%)*10%</f>
      </c>
      <c r="L123" s="3">
        <f>H123*0.35%</f>
      </c>
      <c r="M123" s="3">
        <v>0.4</v>
      </c>
      <c r="N123" s="3">
        <f>(K123+L123+M123)*20%</f>
      </c>
      <c r="O123" s="3">
        <f>K123+L123+M123+N123</f>
      </c>
      <c r="P123" s="3">
        <v>0</v>
      </c>
      <c r="Q123" s="3">
        <v>0</v>
      </c>
      <c r="R123" s="3">
        <v>0</v>
      </c>
      <c r="S123" s="3">
        <f>R123*20%</f>
      </c>
      <c r="T123" s="3">
        <v>1</v>
      </c>
      <c r="U123" s="3">
        <f>N123+Q123+S123</f>
      </c>
      <c r="V123" s="3">
        <f>I123-J123-O123-P123-Q123-R123-S123-T123</f>
      </c>
      <c r="W123" s="3">
        <f>(V123-AE123)/H123*100</f>
      </c>
      <c r="X123" s="3">
        <f>J123-U123</f>
      </c>
      <c r="Y123" t="s">
        <v>1</v>
      </c>
      <c r="Z123" t="s">
        <v>181</v>
      </c>
      <c r="AF123" s="3">
        <f>V123-AE123</f>
      </c>
      <c r="AG123" t="s">
        <v>1</v>
      </c>
      <c r="AH123" t="s">
        <v>1</v>
      </c>
    </row>
    <row r="124" spans="1:34" x14ac:dyDescent="0.25">
      <c r="A124" s="7">
        <v>46218.5</v>
      </c>
      <c r="B124" t="s">
        <v>1706</v>
      </c>
      <c r="C124" t="s">
        <v>1</v>
      </c>
      <c r="D124" s="8" t="s">
        <v>1707</v>
      </c>
      <c r="E124" t="s">
        <v>63</v>
      </c>
      <c r="F124">
        <v>1</v>
      </c>
      <c r="G124" s="3">
        <v>108</v>
      </c>
      <c r="H124" s="3">
        <v>131.76</v>
      </c>
      <c r="I124" s="3">
        <f>H124-G124</f>
      </c>
      <c r="J124" s="3">
        <f>I124*16.67%</f>
      </c>
      <c r="K124" s="3">
        <f>(H124*6.9%)-(H124*6.9%)*10%</f>
      </c>
      <c r="L124" s="3">
        <f>H124*0.35%</f>
      </c>
      <c r="M124" s="3">
        <v>0.4</v>
      </c>
      <c r="N124" s="3">
        <f>(K124+L124+M124)*20%</f>
      </c>
      <c r="O124" s="3">
        <f>K124+L124+M124+N124</f>
      </c>
      <c r="P124" s="3">
        <v>0</v>
      </c>
      <c r="Q124" s="3">
        <v>0</v>
      </c>
      <c r="R124" s="3">
        <v>0</v>
      </c>
      <c r="S124" s="3">
        <f>R124*20%</f>
      </c>
      <c r="T124" s="3">
        <v>1</v>
      </c>
      <c r="U124" s="3">
        <f>N124+Q124+S124</f>
      </c>
      <c r="V124" s="3">
        <f>I124-J124-O124-P124-Q124-R124-S124-T124</f>
      </c>
      <c r="W124" s="3">
        <f>(V124-AE124)/H124*100</f>
      </c>
      <c r="X124" s="3">
        <f>J124-U124</f>
      </c>
      <c r="Y124" t="s">
        <v>1</v>
      </c>
      <c r="Z124" t="s">
        <v>133</v>
      </c>
      <c r="AF124" s="3">
        <f>V124-AE124</f>
      </c>
      <c r="AG124" t="s">
        <v>65</v>
      </c>
      <c r="AH124" t="s">
        <v>87</v>
      </c>
    </row>
    <row r="125" spans="1:34" x14ac:dyDescent="0.25">
      <c r="A125" s="7">
        <v>46218.5</v>
      </c>
      <c r="B125" t="s">
        <v>1708</v>
      </c>
      <c r="C125" t="s">
        <v>1</v>
      </c>
      <c r="D125" s="8" t="s">
        <v>1709</v>
      </c>
      <c r="E125" t="s">
        <v>72</v>
      </c>
      <c r="F125">
        <v>1</v>
      </c>
      <c r="G125" s="3">
        <v>588</v>
      </c>
      <c r="H125" s="3">
        <v>717.36</v>
      </c>
      <c r="I125" s="3">
        <f>H125-G125</f>
      </c>
      <c r="J125" s="3">
        <f>I125*16.67%</f>
      </c>
      <c r="K125" s="3">
        <f>(H125*6.9%)-(H125*6.9%)*10%</f>
      </c>
      <c r="L125" s="3">
        <f>H125*0.35%</f>
      </c>
      <c r="M125" s="3">
        <v>0.4</v>
      </c>
      <c r="N125" s="3">
        <f>(K125+L125+M125)*20%</f>
      </c>
      <c r="O125" s="3">
        <f>K125+L125+M125+N125</f>
      </c>
      <c r="P125" s="3">
        <v>0</v>
      </c>
      <c r="Q125" s="3">
        <v>0</v>
      </c>
      <c r="R125" s="3">
        <v>0</v>
      </c>
      <c r="S125" s="3">
        <f>R125*20%</f>
      </c>
      <c r="T125" s="3">
        <v>1</v>
      </c>
      <c r="U125" s="3">
        <f>N125+Q125+S125</f>
      </c>
      <c r="V125" s="3">
        <f>I125-J125-O125-P125-Q125-R125-S125-T125</f>
      </c>
      <c r="W125" s="3">
        <f>(V125-AE125)/H125*100</f>
      </c>
      <c r="X125" s="3">
        <f>J125-U125</f>
      </c>
      <c r="Y125" t="s">
        <v>1</v>
      </c>
      <c r="Z125" t="s">
        <v>80</v>
      </c>
      <c r="AF125" s="3">
        <f>V125-AE125</f>
      </c>
      <c r="AG125" t="s">
        <v>59</v>
      </c>
      <c r="AH125" t="s">
        <v>69</v>
      </c>
    </row>
    <row r="126" spans="1:34" x14ac:dyDescent="0.25">
      <c r="A126" s="7">
        <v>46218.5</v>
      </c>
      <c r="B126" t="s">
        <v>1710</v>
      </c>
      <c r="C126" t="s">
        <v>1</v>
      </c>
      <c r="D126" s="8" t="s">
        <v>1711</v>
      </c>
      <c r="E126" t="s">
        <v>77</v>
      </c>
      <c r="F126">
        <v>1</v>
      </c>
      <c r="G126" s="3">
        <v>306</v>
      </c>
      <c r="H126" s="3">
        <v>410.04</v>
      </c>
      <c r="I126" s="3">
        <f>H126-G126</f>
      </c>
      <c r="J126" s="3">
        <f>I126*16.67%</f>
      </c>
      <c r="K126" s="3">
        <f>(H126*6.9%)-(H126*6.9%)*10%</f>
      </c>
      <c r="L126" s="3">
        <f>H126*0.35%</f>
      </c>
      <c r="M126" s="3">
        <v>0.4</v>
      </c>
      <c r="N126" s="3">
        <f>(K126+L126+M126)*20%</f>
      </c>
      <c r="O126" s="3">
        <f>K126+L126+M126+N126</f>
      </c>
      <c r="P126" s="3">
        <v>0</v>
      </c>
      <c r="Q126" s="3">
        <v>0</v>
      </c>
      <c r="R126" s="3">
        <v>0</v>
      </c>
      <c r="S126" s="3">
        <f>R126*20%</f>
      </c>
      <c r="T126" s="3">
        <v>1</v>
      </c>
      <c r="U126" s="3">
        <f>N126+Q126+S126</f>
      </c>
      <c r="V126" s="3">
        <f>I126-J126-O126-P126-Q126-R126-S126-T126</f>
      </c>
      <c r="W126" s="3">
        <f>(V126-AE126)/H126*100</f>
      </c>
      <c r="X126" s="3">
        <f>J126-U126</f>
      </c>
      <c r="Y126" t="s">
        <v>1</v>
      </c>
      <c r="Z126" t="s">
        <v>138</v>
      </c>
      <c r="AF126" s="3">
        <f>V126-AE126</f>
      </c>
      <c r="AG126" t="s">
        <v>65</v>
      </c>
      <c r="AH126" t="s">
        <v>69</v>
      </c>
    </row>
    <row r="127" spans="1:34" x14ac:dyDescent="0.25">
      <c r="A127" s="7">
        <v>46218.5</v>
      </c>
      <c r="B127" t="s">
        <v>1712</v>
      </c>
      <c r="C127" t="s">
        <v>1</v>
      </c>
      <c r="D127" s="8" t="s">
        <v>1713</v>
      </c>
      <c r="E127" t="s">
        <v>63</v>
      </c>
      <c r="F127">
        <v>1</v>
      </c>
      <c r="G127" s="3">
        <v>690</v>
      </c>
      <c r="H127" s="3">
        <v>931.5</v>
      </c>
      <c r="I127" s="3">
        <f>H127-G127</f>
      </c>
      <c r="J127" s="3">
        <f>I127*16.67%</f>
      </c>
      <c r="K127" s="3">
        <f>(H127*6.9%)-(H127*6.9%)*10%</f>
      </c>
      <c r="L127" s="3">
        <f>H127*0.35%</f>
      </c>
      <c r="M127" s="3">
        <v>0.4</v>
      </c>
      <c r="N127" s="3">
        <f>(K127+L127+M127)*20%</f>
      </c>
      <c r="O127" s="3">
        <f>K127+L127+M127+N127</f>
      </c>
      <c r="P127" s="3">
        <v>0</v>
      </c>
      <c r="Q127" s="3">
        <v>0</v>
      </c>
      <c r="R127" s="3">
        <v>0</v>
      </c>
      <c r="S127" s="3">
        <f>R127*20%</f>
      </c>
      <c r="T127" s="3">
        <v>1</v>
      </c>
      <c r="U127" s="3">
        <f>N127+Q127+S127</f>
      </c>
      <c r="V127" s="3">
        <f>I127-J127-O127-P127-Q127-R127-S127-T127</f>
      </c>
      <c r="W127" s="3">
        <f>(V127-AE127)/H127*100</f>
      </c>
      <c r="X127" s="3">
        <f>J127-U127</f>
      </c>
      <c r="Y127" t="s">
        <v>1</v>
      </c>
      <c r="Z127" t="s">
        <v>83</v>
      </c>
      <c r="AF127" s="3">
        <f>V127-AE127</f>
      </c>
      <c r="AG127" t="s">
        <v>59</v>
      </c>
      <c r="AH127" t="s">
        <v>98</v>
      </c>
    </row>
    <row r="128" spans="1:34" x14ac:dyDescent="0.25">
      <c r="A128" s="7">
        <v>46218.5</v>
      </c>
      <c r="B128" t="s">
        <v>1714</v>
      </c>
      <c r="C128" t="s">
        <v>1</v>
      </c>
      <c r="D128" s="8" t="s">
        <v>1715</v>
      </c>
      <c r="E128" t="s">
        <v>57</v>
      </c>
      <c r="F128">
        <v>1</v>
      </c>
      <c r="G128" s="3">
        <v>221</v>
      </c>
      <c r="H128" s="3">
        <v>287.3</v>
      </c>
      <c r="I128" s="3">
        <f>H128-G128</f>
      </c>
      <c r="J128" s="3">
        <f>I128*16.67%</f>
      </c>
      <c r="K128" s="3">
        <f>(H128*6.9%)-(H128*6.9%)*10%</f>
      </c>
      <c r="L128" s="3">
        <f>H128*0.35%</f>
      </c>
      <c r="M128" s="3">
        <v>0.4</v>
      </c>
      <c r="N128" s="3">
        <f>(K128+L128+M128)*20%</f>
      </c>
      <c r="O128" s="3">
        <f>K128+L128+M128+N128</f>
      </c>
      <c r="P128" s="3">
        <v>0</v>
      </c>
      <c r="Q128" s="3">
        <v>0</v>
      </c>
      <c r="R128" s="3">
        <v>0</v>
      </c>
      <c r="S128" s="3">
        <f>R128*20%</f>
      </c>
      <c r="T128" s="3">
        <v>1</v>
      </c>
      <c r="U128" s="3">
        <f>N128+Q128+S128</f>
      </c>
      <c r="V128" s="3">
        <f>I128-J128-O128-P128-Q128-R128-S128-T128</f>
      </c>
      <c r="W128" s="3">
        <f>(V128-AE128)/H128*100</f>
      </c>
      <c r="X128" s="3">
        <f>J128-U128</f>
      </c>
      <c r="Y128" t="s">
        <v>1</v>
      </c>
      <c r="Z128" t="s">
        <v>64</v>
      </c>
      <c r="AF128" s="3">
        <f>V128-AE128</f>
      </c>
      <c r="AG128" t="s">
        <v>65</v>
      </c>
      <c r="AH128" t="s">
        <v>87</v>
      </c>
    </row>
    <row r="129" spans="1:34" x14ac:dyDescent="0.25">
      <c r="A129" s="7">
        <v>46218.5</v>
      </c>
      <c r="B129" t="s">
        <v>1716</v>
      </c>
      <c r="C129" t="s">
        <v>188</v>
      </c>
      <c r="D129" s="8" t="s">
        <v>1</v>
      </c>
      <c r="E129" t="s">
        <v>63</v>
      </c>
      <c r="F129">
        <v>1</v>
      </c>
      <c r="G129" s="3">
        <v>3.5</v>
      </c>
      <c r="H129" s="3">
        <v>5</v>
      </c>
      <c r="I129" s="3">
        <f>H129-G129</f>
      </c>
      <c r="J129" s="3">
        <f>I129*16.67%</f>
      </c>
      <c r="K129" s="3">
        <f>(H129*6.9%)-(H129*6.9%)*10%</f>
      </c>
      <c r="L129" s="3">
        <f>H129*0.35%</f>
      </c>
      <c r="M129" s="3">
        <v>0.4</v>
      </c>
      <c r="N129" s="3">
        <f>(K129+L129+M129)*20%</f>
      </c>
      <c r="O129" s="3">
        <f>K129+L129+M129+N129</f>
      </c>
      <c r="P129" s="3">
        <v>0</v>
      </c>
      <c r="Q129" s="3">
        <v>0</v>
      </c>
      <c r="R129" s="3">
        <v>0</v>
      </c>
      <c r="S129" s="3">
        <f>R129*20%</f>
      </c>
      <c r="T129" s="3">
        <v>1</v>
      </c>
      <c r="U129" s="3">
        <f>N129+Q129+S129</f>
      </c>
      <c r="V129" s="3">
        <f>I129-J129-O129-P129-Q129-R129-S129-T129</f>
      </c>
      <c r="W129" s="3">
        <f>(V129-AE129)/H129*100</f>
      </c>
      <c r="X129" s="3">
        <f>J129-U129</f>
      </c>
      <c r="Y129" t="s">
        <v>1</v>
      </c>
      <c r="Z129" t="s">
        <v>188</v>
      </c>
      <c r="AF129" s="3">
        <f>V129-AE129</f>
      </c>
      <c r="AG129" t="s">
        <v>1</v>
      </c>
      <c r="AH129" t="s">
        <v>1</v>
      </c>
    </row>
    <row r="130" spans="1:34" x14ac:dyDescent="0.25">
      <c r="A130" s="7">
        <v>46218.5</v>
      </c>
      <c r="B130" t="s">
        <v>1717</v>
      </c>
      <c r="C130" t="s">
        <v>253</v>
      </c>
      <c r="D130" s="8" t="s">
        <v>1</v>
      </c>
      <c r="E130" t="s">
        <v>57</v>
      </c>
      <c r="F130">
        <v>3</v>
      </c>
      <c r="G130" s="3">
        <v>2.4</v>
      </c>
      <c r="H130" s="3">
        <v>3.48</v>
      </c>
      <c r="I130" s="3">
        <f>H130-G130</f>
      </c>
      <c r="J130" s="3">
        <f>I130*16.67%</f>
      </c>
      <c r="K130" s="3">
        <f>(H130*6.9%)-(H130*6.9%)*10%</f>
      </c>
      <c r="L130" s="3">
        <f>H130*0.35%</f>
      </c>
      <c r="M130" s="3">
        <v>0.4</v>
      </c>
      <c r="N130" s="3">
        <f>(K130+L130+M130)*20%</f>
      </c>
      <c r="O130" s="3">
        <f>K130+L130+M130+N130</f>
      </c>
      <c r="P130" s="3">
        <v>0</v>
      </c>
      <c r="Q130" s="3">
        <v>0</v>
      </c>
      <c r="R130" s="3">
        <v>0</v>
      </c>
      <c r="S130" s="3">
        <f>R130*20%</f>
      </c>
      <c r="T130" s="3">
        <v>1</v>
      </c>
      <c r="U130" s="3">
        <f>N130+Q130+S130</f>
      </c>
      <c r="V130" s="3">
        <f>I130-J130-O130-P130-Q130-R130-S130-T130</f>
      </c>
      <c r="W130" s="3">
        <f>(V130-AE130)/H130*100</f>
      </c>
      <c r="X130" s="3">
        <f>J130-U130</f>
      </c>
      <c r="Y130" t="s">
        <v>1</v>
      </c>
      <c r="Z130" t="s">
        <v>253</v>
      </c>
      <c r="AF130" s="3">
        <f>V130-AE130</f>
      </c>
      <c r="AG130" t="s">
        <v>1</v>
      </c>
      <c r="AH130" t="s">
        <v>1</v>
      </c>
    </row>
    <row r="131" spans="1:34" x14ac:dyDescent="0.25">
      <c r="A131" s="7">
        <v>46217.5</v>
      </c>
      <c r="B131" t="s">
        <v>1718</v>
      </c>
      <c r="C131" t="s">
        <v>1</v>
      </c>
      <c r="D131" s="8" t="s">
        <v>1719</v>
      </c>
      <c r="E131" t="s">
        <v>72</v>
      </c>
      <c r="F131">
        <v>1</v>
      </c>
      <c r="G131" s="3">
        <v>379</v>
      </c>
      <c r="H131" s="3">
        <v>458.59</v>
      </c>
      <c r="I131" s="3">
        <f>H131-G131</f>
      </c>
      <c r="J131" s="3">
        <f>I131*16.67%</f>
      </c>
      <c r="K131" s="3">
        <f>(H131*6.9%)-(H131*6.9%)*10%</f>
      </c>
      <c r="L131" s="3">
        <f>H131*0.35%</f>
      </c>
      <c r="M131" s="3">
        <v>0.4</v>
      </c>
      <c r="N131" s="3">
        <f>(K131+L131+M131)*20%</f>
      </c>
      <c r="O131" s="3">
        <f>K131+L131+M131+N131</f>
      </c>
      <c r="P131" s="3">
        <v>0</v>
      </c>
      <c r="Q131" s="3">
        <v>0</v>
      </c>
      <c r="R131" s="3">
        <v>0</v>
      </c>
      <c r="S131" s="3">
        <f>R131*20%</f>
      </c>
      <c r="T131" s="3">
        <v>1</v>
      </c>
      <c r="U131" s="3">
        <f>N131+Q131+S131</f>
      </c>
      <c r="V131" s="3">
        <f>I131-J131-O131-P131-Q131-R131-S131-T131</f>
      </c>
      <c r="W131" s="3">
        <f>(V131-AE131)/H131*100</f>
      </c>
      <c r="X131" s="3">
        <f>J131-U131</f>
      </c>
      <c r="Y131" t="s">
        <v>1</v>
      </c>
      <c r="Z131" t="s">
        <v>138</v>
      </c>
      <c r="AF131" s="3">
        <f>V131-AE131</f>
      </c>
      <c r="AG131" t="s">
        <v>59</v>
      </c>
      <c r="AH131" t="s">
        <v>69</v>
      </c>
    </row>
    <row r="132" spans="1:34" x14ac:dyDescent="0.25">
      <c r="A132" s="7">
        <v>46217.5</v>
      </c>
      <c r="B132" t="s">
        <v>1720</v>
      </c>
      <c r="C132" t="s">
        <v>1</v>
      </c>
      <c r="D132" s="8" t="s">
        <v>1721</v>
      </c>
      <c r="E132" t="s">
        <v>72</v>
      </c>
      <c r="F132">
        <v>1</v>
      </c>
      <c r="G132" s="3">
        <v>504</v>
      </c>
      <c r="H132" s="3">
        <v>665.28</v>
      </c>
      <c r="I132" s="3">
        <f>H132-G132</f>
      </c>
      <c r="J132" s="3">
        <f>I132*16.67%</f>
      </c>
      <c r="K132" s="3">
        <f>(H132*6.9%)-(H132*6.9%)*10%</f>
      </c>
      <c r="L132" s="3">
        <f>H132*0.35%</f>
      </c>
      <c r="M132" s="3">
        <v>0.4</v>
      </c>
      <c r="N132" s="3">
        <f>(K132+L132+M132)*20%</f>
      </c>
      <c r="O132" s="3">
        <f>K132+L132+M132+N132</f>
      </c>
      <c r="P132" s="3">
        <v>0</v>
      </c>
      <c r="Q132" s="3">
        <v>0</v>
      </c>
      <c r="R132" s="3">
        <v>0</v>
      </c>
      <c r="S132" s="3">
        <f>R132*20%</f>
      </c>
      <c r="T132" s="3">
        <v>1</v>
      </c>
      <c r="U132" s="3">
        <f>N132+Q132+S132</f>
      </c>
      <c r="V132" s="3">
        <f>I132-J132-O132-P132-Q132-R132-S132-T132</f>
      </c>
      <c r="W132" s="3">
        <f>(V132-AE132)/H132*100</f>
      </c>
      <c r="X132" s="3">
        <f>J132-U132</f>
      </c>
      <c r="Y132" t="s">
        <v>1</v>
      </c>
      <c r="Z132" t="s">
        <v>68</v>
      </c>
      <c r="AF132" s="3">
        <f>V132-AE132</f>
      </c>
      <c r="AG132" t="s">
        <v>59</v>
      </c>
      <c r="AH132" t="s">
        <v>74</v>
      </c>
    </row>
    <row r="133" spans="1:34" x14ac:dyDescent="0.25">
      <c r="A133" s="7">
        <v>46217.5</v>
      </c>
      <c r="B133" t="s">
        <v>1722</v>
      </c>
      <c r="C133" t="s">
        <v>253</v>
      </c>
      <c r="D133" s="8" t="s">
        <v>1</v>
      </c>
      <c r="E133" t="s">
        <v>57</v>
      </c>
      <c r="F133">
        <v>1</v>
      </c>
      <c r="G133" s="3">
        <v>0.8</v>
      </c>
      <c r="H133" s="3">
        <v>0.95</v>
      </c>
      <c r="I133" s="3">
        <f>H133-G133</f>
      </c>
      <c r="J133" s="3">
        <f>I133*16.67%</f>
      </c>
      <c r="K133" s="3">
        <f>(H133*6.9%)-(H133*6.9%)*10%</f>
      </c>
      <c r="L133" s="3">
        <f>H133*0.35%</f>
      </c>
      <c r="M133" s="3">
        <v>0.4</v>
      </c>
      <c r="N133" s="3">
        <f>(K133+L133+M133)*20%</f>
      </c>
      <c r="O133" s="3">
        <f>K133+L133+M133+N133</f>
      </c>
      <c r="P133" s="3">
        <v>0</v>
      </c>
      <c r="Q133" s="3">
        <v>0</v>
      </c>
      <c r="R133" s="3">
        <v>0</v>
      </c>
      <c r="S133" s="3">
        <f>R133*20%</f>
      </c>
      <c r="T133" s="3">
        <v>1</v>
      </c>
      <c r="U133" s="3">
        <f>N133+Q133+S133</f>
      </c>
      <c r="V133" s="3">
        <f>I133-J133-O133-P133-Q133-R133-S133-T133</f>
      </c>
      <c r="W133" s="3">
        <f>(V133-AE133)/H133*100</f>
      </c>
      <c r="X133" s="3">
        <f>J133-U133</f>
      </c>
      <c r="Y133" t="s">
        <v>1</v>
      </c>
      <c r="Z133" t="s">
        <v>253</v>
      </c>
      <c r="AF133" s="3">
        <f>V133-AE133</f>
      </c>
      <c r="AG133" t="s">
        <v>1</v>
      </c>
      <c r="AH133" t="s">
        <v>1</v>
      </c>
    </row>
    <row r="134" spans="1:34" x14ac:dyDescent="0.25">
      <c r="A134" s="7">
        <v>46216.5</v>
      </c>
      <c r="B134" t="s">
        <v>1723</v>
      </c>
      <c r="C134" t="s">
        <v>1</v>
      </c>
      <c r="D134" s="8" t="s">
        <v>1724</v>
      </c>
      <c r="E134" t="s">
        <v>57</v>
      </c>
      <c r="F134">
        <v>1</v>
      </c>
      <c r="G134" s="3">
        <v>250</v>
      </c>
      <c r="H134" s="3">
        <v>355</v>
      </c>
      <c r="I134" s="3">
        <f>H134-G134</f>
      </c>
      <c r="J134" s="3">
        <f>I134*16.67%</f>
      </c>
      <c r="K134" s="3">
        <f>(H134*6.9%)-(H134*6.9%)*10%</f>
      </c>
      <c r="L134" s="3">
        <f>H134*0.35%</f>
      </c>
      <c r="M134" s="3">
        <v>0.4</v>
      </c>
      <c r="N134" s="3">
        <f>(K134+L134+M134)*20%</f>
      </c>
      <c r="O134" s="3">
        <f>K134+L134+M134+N134</f>
      </c>
      <c r="P134" s="3">
        <v>0</v>
      </c>
      <c r="Q134" s="3">
        <v>0</v>
      </c>
      <c r="R134" s="3">
        <v>0</v>
      </c>
      <c r="S134" s="3">
        <f>R134*20%</f>
      </c>
      <c r="T134" s="3">
        <v>1</v>
      </c>
      <c r="U134" s="3">
        <f>N134+Q134+S134</f>
      </c>
      <c r="V134" s="3">
        <f>I134-J134-O134-P134-Q134-R134-S134-T134</f>
      </c>
      <c r="W134" s="3">
        <f>(V134-AE134)/H134*100</f>
      </c>
      <c r="X134" s="3">
        <f>J134-U134</f>
      </c>
      <c r="Y134" t="s">
        <v>1</v>
      </c>
      <c r="Z134" t="s">
        <v>64</v>
      </c>
      <c r="AF134" s="3">
        <f>V134-AE134</f>
      </c>
      <c r="AG134" t="s">
        <v>65</v>
      </c>
      <c r="AH134" t="s">
        <v>84</v>
      </c>
    </row>
    <row r="135" spans="1:34" x14ac:dyDescent="0.25">
      <c r="A135" s="7">
        <v>46216.5</v>
      </c>
      <c r="B135" t="s">
        <v>1725</v>
      </c>
      <c r="C135" t="s">
        <v>1</v>
      </c>
      <c r="D135" s="8" t="s">
        <v>1726</v>
      </c>
      <c r="E135" t="s">
        <v>57</v>
      </c>
      <c r="F135">
        <v>1</v>
      </c>
      <c r="G135" s="3">
        <v>202</v>
      </c>
      <c r="H135" s="3">
        <v>232.3</v>
      </c>
      <c r="I135" s="3">
        <f>H135-G135</f>
      </c>
      <c r="J135" s="3">
        <f>I135*16.67%</f>
      </c>
      <c r="K135" s="3">
        <f>(H135*6.9%)-(H135*6.9%)*10%</f>
      </c>
      <c r="L135" s="3">
        <f>H135*0.35%</f>
      </c>
      <c r="M135" s="3">
        <v>0.4</v>
      </c>
      <c r="N135" s="3">
        <f>(K135+L135+M135)*20%</f>
      </c>
      <c r="O135" s="3">
        <f>K135+L135+M135+N135</f>
      </c>
      <c r="P135" s="3">
        <v>0</v>
      </c>
      <c r="Q135" s="3">
        <v>0</v>
      </c>
      <c r="R135" s="3">
        <v>0</v>
      </c>
      <c r="S135" s="3">
        <f>R135*20%</f>
      </c>
      <c r="T135" s="3">
        <v>1</v>
      </c>
      <c r="U135" s="3">
        <f>N135+Q135+S135</f>
      </c>
      <c r="V135" s="3">
        <f>I135-J135-O135-P135-Q135-R135-S135-T135</f>
      </c>
      <c r="W135" s="3">
        <f>(V135-AE135)/H135*100</f>
      </c>
      <c r="X135" s="3">
        <f>J135-U135</f>
      </c>
      <c r="Y135" t="s">
        <v>1</v>
      </c>
      <c r="Z135" t="s">
        <v>113</v>
      </c>
      <c r="AF135" s="3">
        <f>V135-AE135</f>
      </c>
      <c r="AG135" t="s">
        <v>59</v>
      </c>
      <c r="AH135" t="s">
        <v>98</v>
      </c>
    </row>
    <row r="136" spans="1:34" x14ac:dyDescent="0.25">
      <c r="A136" s="7">
        <v>46216.5</v>
      </c>
      <c r="B136" t="s">
        <v>1727</v>
      </c>
      <c r="C136" t="s">
        <v>1</v>
      </c>
      <c r="D136" s="8" t="s">
        <v>1728</v>
      </c>
      <c r="E136" t="s">
        <v>57</v>
      </c>
      <c r="F136">
        <v>1</v>
      </c>
      <c r="G136" s="3">
        <v>453</v>
      </c>
      <c r="H136" s="3">
        <v>616.08</v>
      </c>
      <c r="I136" s="3">
        <f>H136-G136</f>
      </c>
      <c r="J136" s="3">
        <f>I136*16.67%</f>
      </c>
      <c r="K136" s="3">
        <f>(H136*6.9%)-(H136*6.9%)*10%</f>
      </c>
      <c r="L136" s="3">
        <f>H136*0.35%</f>
      </c>
      <c r="M136" s="3">
        <v>0.4</v>
      </c>
      <c r="N136" s="3">
        <f>(K136+L136+M136)*20%</f>
      </c>
      <c r="O136" s="3">
        <f>K136+L136+M136+N136</f>
      </c>
      <c r="P136" s="3">
        <v>0</v>
      </c>
      <c r="Q136" s="3">
        <v>0</v>
      </c>
      <c r="R136" s="3">
        <v>0</v>
      </c>
      <c r="S136" s="3">
        <f>R136*20%</f>
      </c>
      <c r="T136" s="3">
        <v>1</v>
      </c>
      <c r="U136" s="3">
        <f>N136+Q136+S136</f>
      </c>
      <c r="V136" s="3">
        <f>I136-J136-O136-P136-Q136-R136-S136-T136</f>
      </c>
      <c r="W136" s="3">
        <f>(V136-AE136)/H136*100</f>
      </c>
      <c r="X136" s="3">
        <f>J136-U136</f>
      </c>
      <c r="Y136" t="s">
        <v>1</v>
      </c>
      <c r="Z136" t="s">
        <v>58</v>
      </c>
      <c r="AF136" s="3">
        <f>V136-AE136</f>
      </c>
      <c r="AG136" t="s">
        <v>59</v>
      </c>
      <c r="AH136" t="s">
        <v>98</v>
      </c>
    </row>
    <row r="137" spans="1:34" x14ac:dyDescent="0.25">
      <c r="A137" s="7">
        <v>46216.5</v>
      </c>
      <c r="B137" t="s">
        <v>1729</v>
      </c>
      <c r="C137" t="s">
        <v>1</v>
      </c>
      <c r="D137" s="8" t="s">
        <v>1730</v>
      </c>
      <c r="E137" t="s">
        <v>57</v>
      </c>
      <c r="F137">
        <v>1</v>
      </c>
      <c r="G137" s="3">
        <v>233</v>
      </c>
      <c r="H137" s="3">
        <v>286.59</v>
      </c>
      <c r="I137" s="3">
        <f>H137-G137</f>
      </c>
      <c r="J137" s="3">
        <f>I137*16.67%</f>
      </c>
      <c r="K137" s="3">
        <f>(H137*6.9%)-(H137*6.9%)*10%</f>
      </c>
      <c r="L137" s="3">
        <f>H137*0.35%</f>
      </c>
      <c r="M137" s="3">
        <v>0.4</v>
      </c>
      <c r="N137" s="3">
        <f>(K137+L137+M137)*20%</f>
      </c>
      <c r="O137" s="3">
        <f>K137+L137+M137+N137</f>
      </c>
      <c r="P137" s="3">
        <v>0</v>
      </c>
      <c r="Q137" s="3">
        <v>0</v>
      </c>
      <c r="R137" s="3">
        <v>0</v>
      </c>
      <c r="S137" s="3">
        <f>R137*20%</f>
      </c>
      <c r="T137" s="3">
        <v>1</v>
      </c>
      <c r="U137" s="3">
        <f>N137+Q137+S137</f>
      </c>
      <c r="V137" s="3">
        <f>I137-J137-O137-P137-Q137-R137-S137-T137</f>
      </c>
      <c r="W137" s="3">
        <f>(V137-AE137)/H137*100</f>
      </c>
      <c r="X137" s="3">
        <f>J137-U137</f>
      </c>
      <c r="Y137" t="s">
        <v>1</v>
      </c>
      <c r="Z137" t="s">
        <v>64</v>
      </c>
      <c r="AF137" s="3">
        <f>V137-AE137</f>
      </c>
      <c r="AG137" t="s">
        <v>65</v>
      </c>
      <c r="AH137" t="s">
        <v>87</v>
      </c>
    </row>
    <row r="138" spans="1:34" x14ac:dyDescent="0.25">
      <c r="A138" s="7">
        <v>46216.5</v>
      </c>
      <c r="B138" t="s">
        <v>1731</v>
      </c>
      <c r="C138" t="s">
        <v>1</v>
      </c>
      <c r="D138" s="8" t="s">
        <v>1732</v>
      </c>
      <c r="E138" t="s">
        <v>63</v>
      </c>
      <c r="F138">
        <v>1</v>
      </c>
      <c r="G138" s="3">
        <v>491</v>
      </c>
      <c r="H138" s="3">
        <v>589.2</v>
      </c>
      <c r="I138" s="3">
        <f>H138-G138</f>
      </c>
      <c r="J138" s="3">
        <f>I138*16.67%</f>
      </c>
      <c r="K138" s="3">
        <f>(H138*6.9%)-(H138*6.9%)*10%</f>
      </c>
      <c r="L138" s="3">
        <f>H138*0.35%</f>
      </c>
      <c r="M138" s="3">
        <v>0.4</v>
      </c>
      <c r="N138" s="3">
        <f>(K138+L138+M138)*20%</f>
      </c>
      <c r="O138" s="3">
        <f>K138+L138+M138+N138</f>
      </c>
      <c r="P138" s="3">
        <v>0</v>
      </c>
      <c r="Q138" s="3">
        <v>0</v>
      </c>
      <c r="R138" s="3">
        <v>0</v>
      </c>
      <c r="S138" s="3">
        <f>R138*20%</f>
      </c>
      <c r="T138" s="3">
        <v>1</v>
      </c>
      <c r="U138" s="3">
        <f>N138+Q138+S138</f>
      </c>
      <c r="V138" s="3">
        <f>I138-J138-O138-P138-Q138-R138-S138-T138</f>
      </c>
      <c r="W138" s="3">
        <f>(V138-AE138)/H138*100</f>
      </c>
      <c r="X138" s="3">
        <f>J138-U138</f>
      </c>
      <c r="Y138" t="s">
        <v>1</v>
      </c>
      <c r="Z138" t="s">
        <v>68</v>
      </c>
      <c r="AF138" s="3">
        <f>V138-AE138</f>
      </c>
      <c r="AG138" t="s">
        <v>59</v>
      </c>
      <c r="AH138" t="s">
        <v>84</v>
      </c>
    </row>
    <row r="139" spans="1:34" x14ac:dyDescent="0.25">
      <c r="A139" s="7">
        <v>46216.5</v>
      </c>
      <c r="B139" t="s">
        <v>1733</v>
      </c>
      <c r="C139" t="s">
        <v>1</v>
      </c>
      <c r="D139" s="8" t="s">
        <v>1734</v>
      </c>
      <c r="E139" t="s">
        <v>63</v>
      </c>
      <c r="F139">
        <v>1</v>
      </c>
      <c r="G139" s="3">
        <v>164</v>
      </c>
      <c r="H139" s="3">
        <v>190.24</v>
      </c>
      <c r="I139" s="3">
        <f>H139-G139</f>
      </c>
      <c r="J139" s="3">
        <f>I139*16.67%</f>
      </c>
      <c r="K139" s="3">
        <f>(H139*6.9%)-(H139*6.9%)*10%</f>
      </c>
      <c r="L139" s="3">
        <f>H139*0.35%</f>
      </c>
      <c r="M139" s="3">
        <v>0.4</v>
      </c>
      <c r="N139" s="3">
        <f>(K139+L139+M139)*20%</f>
      </c>
      <c r="O139" s="3">
        <f>K139+L139+M139+N139</f>
      </c>
      <c r="P139" s="3">
        <v>0</v>
      </c>
      <c r="Q139" s="3">
        <v>0</v>
      </c>
      <c r="R139" s="3">
        <v>0</v>
      </c>
      <c r="S139" s="3">
        <f>R139*20%</f>
      </c>
      <c r="T139" s="3">
        <v>1</v>
      </c>
      <c r="U139" s="3">
        <f>N139+Q139+S139</f>
      </c>
      <c r="V139" s="3">
        <f>I139-J139-O139-P139-Q139-R139-S139-T139</f>
      </c>
      <c r="W139" s="3">
        <f>(V139-AE139)/H139*100</f>
      </c>
      <c r="X139" s="3">
        <f>J139-U139</f>
      </c>
      <c r="Y139" t="s">
        <v>1</v>
      </c>
      <c r="Z139" t="s">
        <v>171</v>
      </c>
      <c r="AF139" s="3">
        <f>V139-AE139</f>
      </c>
      <c r="AG139" t="s">
        <v>65</v>
      </c>
      <c r="AH139" t="s">
        <v>104</v>
      </c>
    </row>
    <row r="140" spans="1:34" x14ac:dyDescent="0.25">
      <c r="A140" s="7">
        <v>46216.5</v>
      </c>
      <c r="B140" t="s">
        <v>1735</v>
      </c>
      <c r="C140" t="s">
        <v>1</v>
      </c>
      <c r="D140" s="8" t="s">
        <v>1736</v>
      </c>
      <c r="E140" t="s">
        <v>72</v>
      </c>
      <c r="F140">
        <v>1</v>
      </c>
      <c r="G140" s="3">
        <v>77</v>
      </c>
      <c r="H140" s="3">
        <v>92.4</v>
      </c>
      <c r="I140" s="3">
        <f>H140-G140</f>
      </c>
      <c r="J140" s="3">
        <f>I140*16.67%</f>
      </c>
      <c r="K140" s="3">
        <f>(H140*6.9%)-(H140*6.9%)*10%</f>
      </c>
      <c r="L140" s="3">
        <f>H140*0.35%</f>
      </c>
      <c r="M140" s="3">
        <v>0.4</v>
      </c>
      <c r="N140" s="3">
        <f>(K140+L140+M140)*20%</f>
      </c>
      <c r="O140" s="3">
        <f>K140+L140+M140+N140</f>
      </c>
      <c r="P140" s="3">
        <v>0</v>
      </c>
      <c r="Q140" s="3">
        <v>0</v>
      </c>
      <c r="R140" s="3">
        <v>0</v>
      </c>
      <c r="S140" s="3">
        <f>R140*20%</f>
      </c>
      <c r="T140" s="3">
        <v>1</v>
      </c>
      <c r="U140" s="3">
        <f>N140+Q140+S140</f>
      </c>
      <c r="V140" s="3">
        <f>I140-J140-O140-P140-Q140-R140-S140-T140</f>
      </c>
      <c r="W140" s="3">
        <f>(V140-AE140)/H140*100</f>
      </c>
      <c r="X140" s="3">
        <f>J140-U140</f>
      </c>
      <c r="Y140" t="s">
        <v>1</v>
      </c>
      <c r="Z140" t="s">
        <v>93</v>
      </c>
      <c r="AF140" s="3">
        <f>V140-AE140</f>
      </c>
      <c r="AG140" t="s">
        <v>94</v>
      </c>
      <c r="AH140" t="s">
        <v>104</v>
      </c>
    </row>
    <row r="141" spans="1:34" x14ac:dyDescent="0.25">
      <c r="A141" s="7">
        <v>46216.5</v>
      </c>
      <c r="B141" t="s">
        <v>1737</v>
      </c>
      <c r="C141" t="s">
        <v>1</v>
      </c>
      <c r="D141" s="8" t="s">
        <v>1738</v>
      </c>
      <c r="E141" t="s">
        <v>77</v>
      </c>
      <c r="F141">
        <v>1</v>
      </c>
      <c r="G141" s="3">
        <v>321</v>
      </c>
      <c r="H141" s="3">
        <v>417.3</v>
      </c>
      <c r="I141" s="3">
        <f>H141-G141</f>
      </c>
      <c r="J141" s="3">
        <f>I141*16.67%</f>
      </c>
      <c r="K141" s="3">
        <f>(H141*6.9%)-(H141*6.9%)*10%</f>
      </c>
      <c r="L141" s="3">
        <f>H141*0.35%</f>
      </c>
      <c r="M141" s="3">
        <v>0.4</v>
      </c>
      <c r="N141" s="3">
        <f>(K141+L141+M141)*20%</f>
      </c>
      <c r="O141" s="3">
        <f>K141+L141+M141+N141</f>
      </c>
      <c r="P141" s="3">
        <v>0</v>
      </c>
      <c r="Q141" s="3">
        <v>0</v>
      </c>
      <c r="R141" s="3">
        <v>0</v>
      </c>
      <c r="S141" s="3">
        <f>R141*20%</f>
      </c>
      <c r="T141" s="3">
        <v>1</v>
      </c>
      <c r="U141" s="3">
        <f>N141+Q141+S141</f>
      </c>
      <c r="V141" s="3">
        <f>I141-J141-O141-P141-Q141-R141-S141-T141</f>
      </c>
      <c r="W141" s="3">
        <f>(V141-AE141)/H141*100</f>
      </c>
      <c r="X141" s="3">
        <f>J141-U141</f>
      </c>
      <c r="Y141" t="s">
        <v>1</v>
      </c>
      <c r="Z141" t="s">
        <v>138</v>
      </c>
      <c r="AF141" s="3">
        <f>V141-AE141</f>
      </c>
      <c r="AG141" t="s">
        <v>59</v>
      </c>
      <c r="AH141" t="s">
        <v>104</v>
      </c>
    </row>
    <row r="142" spans="1:34" x14ac:dyDescent="0.25">
      <c r="A142" s="7">
        <v>46216.5</v>
      </c>
      <c r="B142" t="s">
        <v>1739</v>
      </c>
      <c r="C142" t="s">
        <v>1</v>
      </c>
      <c r="D142" s="8" t="s">
        <v>1740</v>
      </c>
      <c r="E142" t="s">
        <v>57</v>
      </c>
      <c r="F142">
        <v>1</v>
      </c>
      <c r="G142" s="3">
        <v>332</v>
      </c>
      <c r="H142" s="3">
        <v>415</v>
      </c>
      <c r="I142" s="3">
        <f>H142-G142</f>
      </c>
      <c r="J142" s="3">
        <f>I142*16.67%</f>
      </c>
      <c r="K142" s="3">
        <f>(H142*6.9%)-(H142*6.9%)*10%</f>
      </c>
      <c r="L142" s="3">
        <f>H142*0.35%</f>
      </c>
      <c r="M142" s="3">
        <v>0.4</v>
      </c>
      <c r="N142" s="3">
        <f>(K142+L142+M142)*20%</f>
      </c>
      <c r="O142" s="3">
        <f>K142+L142+M142+N142</f>
      </c>
      <c r="P142" s="3">
        <v>0</v>
      </c>
      <c r="Q142" s="3">
        <v>0</v>
      </c>
      <c r="R142" s="3">
        <v>0</v>
      </c>
      <c r="S142" s="3">
        <f>R142*20%</f>
      </c>
      <c r="T142" s="3">
        <v>1</v>
      </c>
      <c r="U142" s="3">
        <f>N142+Q142+S142</f>
      </c>
      <c r="V142" s="3">
        <f>I142-J142-O142-P142-Q142-R142-S142-T142</f>
      </c>
      <c r="W142" s="3">
        <f>(V142-AE142)/H142*100</f>
      </c>
      <c r="X142" s="3">
        <f>J142-U142</f>
      </c>
      <c r="Y142" t="s">
        <v>1</v>
      </c>
      <c r="Z142" t="s">
        <v>130</v>
      </c>
      <c r="AF142" s="3">
        <f>V142-AE142</f>
      </c>
      <c r="AG142" t="s">
        <v>65</v>
      </c>
      <c r="AH142" t="s">
        <v>98</v>
      </c>
    </row>
    <row r="143" spans="1:34" x14ac:dyDescent="0.25">
      <c r="A143" s="7">
        <v>46216.5</v>
      </c>
      <c r="B143" t="s">
        <v>1741</v>
      </c>
      <c r="C143" t="s">
        <v>188</v>
      </c>
      <c r="D143" s="8" t="s">
        <v>1</v>
      </c>
      <c r="E143" t="s">
        <v>63</v>
      </c>
      <c r="F143">
        <v>1</v>
      </c>
      <c r="G143" s="3">
        <v>3.5</v>
      </c>
      <c r="H143" s="3">
        <v>4.06</v>
      </c>
      <c r="I143" s="3">
        <f>H143-G143</f>
      </c>
      <c r="J143" s="3">
        <f>I143*16.67%</f>
      </c>
      <c r="K143" s="3">
        <f>(H143*6.9%)-(H143*6.9%)*10%</f>
      </c>
      <c r="L143" s="3">
        <f>H143*0.35%</f>
      </c>
      <c r="M143" s="3">
        <v>0.4</v>
      </c>
      <c r="N143" s="3">
        <f>(K143+L143+M143)*20%</f>
      </c>
      <c r="O143" s="3">
        <f>K143+L143+M143+N143</f>
      </c>
      <c r="P143" s="3">
        <v>0</v>
      </c>
      <c r="Q143" s="3">
        <v>0</v>
      </c>
      <c r="R143" s="3">
        <v>0</v>
      </c>
      <c r="S143" s="3">
        <f>R143*20%</f>
      </c>
      <c r="T143" s="3">
        <v>1</v>
      </c>
      <c r="U143" s="3">
        <f>N143+Q143+S143</f>
      </c>
      <c r="V143" s="3">
        <f>I143-J143-O143-P143-Q143-R143-S143-T143</f>
      </c>
      <c r="W143" s="3">
        <f>(V143-AE143)/H143*100</f>
      </c>
      <c r="X143" s="3">
        <f>J143-U143</f>
      </c>
      <c r="Y143" t="s">
        <v>1</v>
      </c>
      <c r="Z143" t="s">
        <v>188</v>
      </c>
      <c r="AF143" s="3">
        <f>V143-AE143</f>
      </c>
      <c r="AG143" t="s">
        <v>1</v>
      </c>
      <c r="AH143" t="s">
        <v>1</v>
      </c>
    </row>
    <row r="144" spans="1:34" x14ac:dyDescent="0.25">
      <c r="A144" s="7">
        <v>46216.5</v>
      </c>
      <c r="B144" t="s">
        <v>1742</v>
      </c>
      <c r="C144" t="s">
        <v>176</v>
      </c>
      <c r="D144" s="8" t="s">
        <v>1</v>
      </c>
      <c r="E144" t="s">
        <v>77</v>
      </c>
      <c r="F144">
        <v>4</v>
      </c>
      <c r="G144" s="3">
        <v>0.6</v>
      </c>
      <c r="H144" s="3">
        <v>0.79</v>
      </c>
      <c r="I144" s="3">
        <f>H144-G144</f>
      </c>
      <c r="J144" s="3">
        <f>I144*16.67%</f>
      </c>
      <c r="K144" s="3">
        <f>(H144*6.9%)-(H144*6.9%)*10%</f>
      </c>
      <c r="L144" s="3">
        <f>H144*0.35%</f>
      </c>
      <c r="M144" s="3">
        <v>0.4</v>
      </c>
      <c r="N144" s="3">
        <f>(K144+L144+M144)*20%</f>
      </c>
      <c r="O144" s="3">
        <f>K144+L144+M144+N144</f>
      </c>
      <c r="P144" s="3">
        <v>0</v>
      </c>
      <c r="Q144" s="3">
        <v>0</v>
      </c>
      <c r="R144" s="3">
        <v>0</v>
      </c>
      <c r="S144" s="3">
        <f>R144*20%</f>
      </c>
      <c r="T144" s="3">
        <v>1</v>
      </c>
      <c r="U144" s="3">
        <f>N144+Q144+S144</f>
      </c>
      <c r="V144" s="3">
        <f>I144-J144-O144-P144-Q144-R144-S144-T144</f>
      </c>
      <c r="W144" s="3">
        <f>(V144-AE144)/H144*100</f>
      </c>
      <c r="X144" s="3">
        <f>J144-U144</f>
      </c>
      <c r="Y144" t="s">
        <v>1</v>
      </c>
      <c r="Z144" t="s">
        <v>176</v>
      </c>
      <c r="AF144" s="3">
        <f>V144-AE144</f>
      </c>
      <c r="AG144" t="s">
        <v>1</v>
      </c>
      <c r="AH144" t="s">
        <v>1</v>
      </c>
    </row>
    <row r="145" spans="1:34" x14ac:dyDescent="0.25">
      <c r="A145" s="7">
        <v>46216.5</v>
      </c>
      <c r="B145" t="s">
        <v>1743</v>
      </c>
      <c r="C145" t="s">
        <v>176</v>
      </c>
      <c r="D145" s="8" t="s">
        <v>1</v>
      </c>
      <c r="E145" t="s">
        <v>77</v>
      </c>
      <c r="F145">
        <v>1</v>
      </c>
      <c r="G145" s="3">
        <v>0.15</v>
      </c>
      <c r="H145" s="3">
        <v>0.19</v>
      </c>
      <c r="I145" s="3">
        <f>H145-G145</f>
      </c>
      <c r="J145" s="3">
        <f>I145*16.67%</f>
      </c>
      <c r="K145" s="3">
        <f>(H145*6.9%)-(H145*6.9%)*10%</f>
      </c>
      <c r="L145" s="3">
        <f>H145*0.35%</f>
      </c>
      <c r="M145" s="3">
        <v>0.4</v>
      </c>
      <c r="N145" s="3">
        <f>(K145+L145+M145)*20%</f>
      </c>
      <c r="O145" s="3">
        <f>K145+L145+M145+N145</f>
      </c>
      <c r="P145" s="3">
        <v>0</v>
      </c>
      <c r="Q145" s="3">
        <v>0</v>
      </c>
      <c r="R145" s="3">
        <v>0</v>
      </c>
      <c r="S145" s="3">
        <f>R145*20%</f>
      </c>
      <c r="T145" s="3">
        <v>1</v>
      </c>
      <c r="U145" s="3">
        <f>N145+Q145+S145</f>
      </c>
      <c r="V145" s="3">
        <f>I145-J145-O145-P145-Q145-R145-S145-T145</f>
      </c>
      <c r="W145" s="3">
        <f>(V145-AE145)/H145*100</f>
      </c>
      <c r="X145" s="3">
        <f>J145-U145</f>
      </c>
      <c r="Y145" t="s">
        <v>1</v>
      </c>
      <c r="Z145" t="s">
        <v>176</v>
      </c>
      <c r="AF145" s="3">
        <f>V145-AE145</f>
      </c>
      <c r="AG145" t="s">
        <v>1</v>
      </c>
      <c r="AH145" t="s">
        <v>1</v>
      </c>
    </row>
    <row r="146" spans="1:34" x14ac:dyDescent="0.25">
      <c r="A146" s="7">
        <v>46215.5</v>
      </c>
      <c r="B146" t="s">
        <v>1744</v>
      </c>
      <c r="C146" t="s">
        <v>1</v>
      </c>
      <c r="D146" s="8" t="s">
        <v>1745</v>
      </c>
      <c r="E146" t="s">
        <v>72</v>
      </c>
      <c r="F146">
        <v>1</v>
      </c>
      <c r="G146" s="3">
        <v>65</v>
      </c>
      <c r="H146" s="3">
        <v>81.9</v>
      </c>
      <c r="I146" s="3">
        <f>H146-G146</f>
      </c>
      <c r="J146" s="3">
        <f>I146*16.67%</f>
      </c>
      <c r="K146" s="3">
        <f>(H146*6.9%)-(H146*6.9%)*10%</f>
      </c>
      <c r="L146" s="3">
        <f>H146*0.35%</f>
      </c>
      <c r="M146" s="3">
        <v>0.4</v>
      </c>
      <c r="N146" s="3">
        <f>(K146+L146+M146)*20%</f>
      </c>
      <c r="O146" s="3">
        <f>K146+L146+M146+N146</f>
      </c>
      <c r="P146" s="3">
        <v>0</v>
      </c>
      <c r="Q146" s="3">
        <v>0</v>
      </c>
      <c r="R146" s="3">
        <v>0</v>
      </c>
      <c r="S146" s="3">
        <f>R146*20%</f>
      </c>
      <c r="T146" s="3">
        <v>1</v>
      </c>
      <c r="U146" s="3">
        <f>N146+Q146+S146</f>
      </c>
      <c r="V146" s="3">
        <f>I146-J146-O146-P146-Q146-R146-S146-T146</f>
      </c>
      <c r="W146" s="3">
        <f>(V146-AE146)/H146*100</f>
      </c>
      <c r="X146" s="3">
        <f>J146-U146</f>
      </c>
      <c r="Y146" t="s">
        <v>1</v>
      </c>
      <c r="Z146" t="s">
        <v>93</v>
      </c>
      <c r="AF146" s="3">
        <f>V146-AE146</f>
      </c>
      <c r="AG146" t="s">
        <v>94</v>
      </c>
      <c r="AH146" t="s">
        <v>69</v>
      </c>
    </row>
    <row r="147" spans="1:34" x14ac:dyDescent="0.25">
      <c r="A147" s="7">
        <v>46215.5</v>
      </c>
      <c r="B147" t="s">
        <v>1746</v>
      </c>
      <c r="C147" t="s">
        <v>1</v>
      </c>
      <c r="D147" s="8" t="s">
        <v>1747</v>
      </c>
      <c r="E147" t="s">
        <v>57</v>
      </c>
      <c r="F147">
        <v>1</v>
      </c>
      <c r="G147" s="3">
        <v>323</v>
      </c>
      <c r="H147" s="3">
        <v>442.51</v>
      </c>
      <c r="I147" s="3">
        <f>H147-G147</f>
      </c>
      <c r="J147" s="3">
        <f>I147*16.67%</f>
      </c>
      <c r="K147" s="3">
        <f>(H147*6.9%)-(H147*6.9%)*10%</f>
      </c>
      <c r="L147" s="3">
        <f>H147*0.35%</f>
      </c>
      <c r="M147" s="3">
        <v>0.4</v>
      </c>
      <c r="N147" s="3">
        <f>(K147+L147+M147)*20%</f>
      </c>
      <c r="O147" s="3">
        <f>K147+L147+M147+N147</f>
      </c>
      <c r="P147" s="3">
        <v>0</v>
      </c>
      <c r="Q147" s="3">
        <v>0</v>
      </c>
      <c r="R147" s="3">
        <v>0</v>
      </c>
      <c r="S147" s="3">
        <f>R147*20%</f>
      </c>
      <c r="T147" s="3">
        <v>1</v>
      </c>
      <c r="U147" s="3">
        <f>N147+Q147+S147</f>
      </c>
      <c r="V147" s="3">
        <f>I147-J147-O147-P147-Q147-R147-S147-T147</f>
      </c>
      <c r="W147" s="3">
        <f>(V147-AE147)/H147*100</f>
      </c>
      <c r="X147" s="3">
        <f>J147-U147</f>
      </c>
      <c r="Y147" t="s">
        <v>1</v>
      </c>
      <c r="Z147" t="s">
        <v>130</v>
      </c>
      <c r="AF147" s="3">
        <f>V147-AE147</f>
      </c>
      <c r="AG147" t="s">
        <v>65</v>
      </c>
      <c r="AH147" t="s">
        <v>60</v>
      </c>
    </row>
    <row r="148" spans="1:34" x14ac:dyDescent="0.25">
      <c r="A148" s="7">
        <v>46215.5</v>
      </c>
      <c r="B148" t="s">
        <v>1748</v>
      </c>
      <c r="C148" t="s">
        <v>1</v>
      </c>
      <c r="D148" s="8" t="s">
        <v>1749</v>
      </c>
      <c r="E148" t="s">
        <v>77</v>
      </c>
      <c r="F148">
        <v>1</v>
      </c>
      <c r="G148" s="3">
        <v>214</v>
      </c>
      <c r="H148" s="3">
        <v>265.36</v>
      </c>
      <c r="I148" s="3">
        <f>H148-G148</f>
      </c>
      <c r="J148" s="3">
        <f>I148*16.67%</f>
      </c>
      <c r="K148" s="3">
        <f>(H148*6.9%)-(H148*6.9%)*10%</f>
      </c>
      <c r="L148" s="3">
        <f>H148*0.35%</f>
      </c>
      <c r="M148" s="3">
        <v>0.4</v>
      </c>
      <c r="N148" s="3">
        <f>(K148+L148+M148)*20%</f>
      </c>
      <c r="O148" s="3">
        <f>K148+L148+M148+N148</f>
      </c>
      <c r="P148" s="3">
        <v>0</v>
      </c>
      <c r="Q148" s="3">
        <v>0</v>
      </c>
      <c r="R148" s="3">
        <v>0</v>
      </c>
      <c r="S148" s="3">
        <f>R148*20%</f>
      </c>
      <c r="T148" s="3">
        <v>1</v>
      </c>
      <c r="U148" s="3">
        <f>N148+Q148+S148</f>
      </c>
      <c r="V148" s="3">
        <f>I148-J148-O148-P148-Q148-R148-S148-T148</f>
      </c>
      <c r="W148" s="3">
        <f>(V148-AE148)/H148*100</f>
      </c>
      <c r="X148" s="3">
        <f>J148-U148</f>
      </c>
      <c r="Y148" t="s">
        <v>1</v>
      </c>
      <c r="Z148" t="s">
        <v>113</v>
      </c>
      <c r="AF148" s="3">
        <f>V148-AE148</f>
      </c>
      <c r="AG148" t="s">
        <v>94</v>
      </c>
      <c r="AH148" t="s">
        <v>87</v>
      </c>
    </row>
    <row r="149" spans="1:34" x14ac:dyDescent="0.25">
      <c r="A149" s="7">
        <v>46215.5</v>
      </c>
      <c r="B149" t="s">
        <v>1750</v>
      </c>
      <c r="C149" t="s">
        <v>1</v>
      </c>
      <c r="D149" s="8" t="s">
        <v>1</v>
      </c>
      <c r="E149" t="s">
        <v>72</v>
      </c>
      <c r="F149">
        <v>1</v>
      </c>
      <c r="G149" s="3">
        <v>189</v>
      </c>
      <c r="H149" s="3">
        <v>245.7</v>
      </c>
      <c r="I149" s="3">
        <f>H149-G149</f>
      </c>
      <c r="J149" s="3">
        <f>I149*16.67%</f>
      </c>
      <c r="K149" s="3">
        <f>(H149*6.9%)-(H149*6.9%)*10%</f>
      </c>
      <c r="L149" s="3">
        <f>H149*0.35%</f>
      </c>
      <c r="M149" s="3">
        <v>0.4</v>
      </c>
      <c r="N149" s="3">
        <f>(K149+L149+M149)*20%</f>
      </c>
      <c r="O149" s="3">
        <f>K149+L149+M149+N149</f>
      </c>
      <c r="P149" s="3">
        <v>0</v>
      </c>
      <c r="Q149" s="3">
        <v>0</v>
      </c>
      <c r="R149" s="3">
        <v>0</v>
      </c>
      <c r="S149" s="3">
        <f>R149*20%</f>
      </c>
      <c r="T149" s="3">
        <v>1</v>
      </c>
      <c r="U149" s="3">
        <f>N149+Q149+S149</f>
      </c>
      <c r="V149" s="3">
        <f>I149-J149-O149-P149-Q149-R149-S149-T149</f>
      </c>
      <c r="W149" s="3">
        <f>(V149-AE149)/H149*100</f>
      </c>
      <c r="X149" s="3">
        <f>J149-U149</f>
      </c>
      <c r="Y149" t="s">
        <v>1</v>
      </c>
      <c r="Z149" t="s">
        <v>1</v>
      </c>
      <c r="AF149" s="3">
        <f>V149-AE149</f>
      </c>
      <c r="AG149" t="s">
        <v>1</v>
      </c>
      <c r="AH149" t="s">
        <v>1</v>
      </c>
    </row>
    <row r="150" spans="1:34" x14ac:dyDescent="0.25">
      <c r="A150" s="7">
        <v>46214.5</v>
      </c>
      <c r="B150" t="s">
        <v>1751</v>
      </c>
      <c r="C150" t="s">
        <v>1</v>
      </c>
      <c r="D150" s="8" t="s">
        <v>1752</v>
      </c>
      <c r="E150" t="s">
        <v>57</v>
      </c>
      <c r="F150">
        <v>1</v>
      </c>
      <c r="G150" s="3">
        <v>234</v>
      </c>
      <c r="H150" s="3">
        <v>287.82</v>
      </c>
      <c r="I150" s="3">
        <f>H150-G150</f>
      </c>
      <c r="J150" s="3">
        <f>I150*16.67%</f>
      </c>
      <c r="K150" s="3">
        <f>(H150*6.9%)-(H150*6.9%)*10%</f>
      </c>
      <c r="L150" s="3">
        <f>H150*0.35%</f>
      </c>
      <c r="M150" s="3">
        <v>0.4</v>
      </c>
      <c r="N150" s="3">
        <f>(K150+L150+M150)*20%</f>
      </c>
      <c r="O150" s="3">
        <f>K150+L150+M150+N150</f>
      </c>
      <c r="P150" s="3">
        <v>0</v>
      </c>
      <c r="Q150" s="3">
        <v>0</v>
      </c>
      <c r="R150" s="3">
        <v>0</v>
      </c>
      <c r="S150" s="3">
        <f>R150*20%</f>
      </c>
      <c r="T150" s="3">
        <v>1</v>
      </c>
      <c r="U150" s="3">
        <f>N150+Q150+S150</f>
      </c>
      <c r="V150" s="3">
        <f>I150-J150-O150-P150-Q150-R150-S150-T150</f>
      </c>
      <c r="W150" s="3">
        <f>(V150-AE150)/H150*100</f>
      </c>
      <c r="X150" s="3">
        <f>J150-U150</f>
      </c>
      <c r="Y150" t="s">
        <v>1</v>
      </c>
      <c r="Z150" t="s">
        <v>64</v>
      </c>
      <c r="AF150" s="3">
        <f>V150-AE150</f>
      </c>
      <c r="AG150" t="s">
        <v>65</v>
      </c>
      <c r="AH150" t="s">
        <v>74</v>
      </c>
    </row>
    <row r="151" spans="1:34" x14ac:dyDescent="0.25">
      <c r="A151" s="7">
        <v>46214.5</v>
      </c>
      <c r="B151" t="s">
        <v>1753</v>
      </c>
      <c r="C151" t="s">
        <v>1</v>
      </c>
      <c r="D151" s="8" t="s">
        <v>1754</v>
      </c>
      <c r="E151" t="s">
        <v>63</v>
      </c>
      <c r="F151">
        <v>1</v>
      </c>
      <c r="G151" s="3">
        <v>540</v>
      </c>
      <c r="H151" s="3">
        <v>761.4</v>
      </c>
      <c r="I151" s="3">
        <f>H151-G151</f>
      </c>
      <c r="J151" s="3">
        <f>I151*16.67%</f>
      </c>
      <c r="K151" s="3">
        <f>(H151*6.9%)-(H151*6.9%)*10%</f>
      </c>
      <c r="L151" s="3">
        <f>H151*0.35%</f>
      </c>
      <c r="M151" s="3">
        <v>0.4</v>
      </c>
      <c r="N151" s="3">
        <f>(K151+L151+M151)*20%</f>
      </c>
      <c r="O151" s="3">
        <f>K151+L151+M151+N151</f>
      </c>
      <c r="P151" s="3">
        <v>0</v>
      </c>
      <c r="Q151" s="3">
        <v>0</v>
      </c>
      <c r="R151" s="3">
        <v>0</v>
      </c>
      <c r="S151" s="3">
        <f>R151*20%</f>
      </c>
      <c r="T151" s="3">
        <v>1</v>
      </c>
      <c r="U151" s="3">
        <f>N151+Q151+S151</f>
      </c>
      <c r="V151" s="3">
        <f>I151-J151-O151-P151-Q151-R151-S151-T151</f>
      </c>
      <c r="W151" s="3">
        <f>(V151-AE151)/H151*100</f>
      </c>
      <c r="X151" s="3">
        <f>J151-U151</f>
      </c>
      <c r="Y151" t="s">
        <v>1</v>
      </c>
      <c r="Z151" t="s">
        <v>68</v>
      </c>
      <c r="AF151" s="3">
        <f>V151-AE151</f>
      </c>
      <c r="AG151" t="s">
        <v>59</v>
      </c>
      <c r="AH151" t="s">
        <v>84</v>
      </c>
    </row>
    <row r="152" spans="1:34" x14ac:dyDescent="0.25">
      <c r="A152" s="7">
        <v>46214.5</v>
      </c>
      <c r="B152" t="s">
        <v>1755</v>
      </c>
      <c r="C152" t="s">
        <v>1</v>
      </c>
      <c r="D152" s="8" t="s">
        <v>1756</v>
      </c>
      <c r="E152" t="s">
        <v>101</v>
      </c>
      <c r="F152">
        <v>1</v>
      </c>
      <c r="G152" s="3">
        <v>334</v>
      </c>
      <c r="H152" s="3">
        <v>474.28</v>
      </c>
      <c r="I152" s="3">
        <f>H152-G152</f>
      </c>
      <c r="J152" s="3">
        <f>I152*16.67%</f>
      </c>
      <c r="K152" s="3">
        <f>(H152*6.9%)-(H152*6.9%)*10%</f>
      </c>
      <c r="L152" s="3">
        <f>H152*0.35%</f>
      </c>
      <c r="M152" s="3">
        <v>0.4</v>
      </c>
      <c r="N152" s="3">
        <f>(K152+L152+M152)*20%</f>
      </c>
      <c r="O152" s="3">
        <f>K152+L152+M152+N152</f>
      </c>
      <c r="P152" s="3">
        <v>0</v>
      </c>
      <c r="Q152" s="3">
        <v>0</v>
      </c>
      <c r="R152" s="3">
        <v>0</v>
      </c>
      <c r="S152" s="3">
        <f>R152*20%</f>
      </c>
      <c r="T152" s="3">
        <v>1</v>
      </c>
      <c r="U152" s="3">
        <f>N152+Q152+S152</f>
      </c>
      <c r="V152" s="3">
        <f>I152-J152-O152-P152-Q152-R152-S152-T152</f>
      </c>
      <c r="W152" s="3">
        <f>(V152-AE152)/H152*100</f>
      </c>
      <c r="X152" s="3">
        <f>J152-U152</f>
      </c>
      <c r="Y152" t="s">
        <v>1</v>
      </c>
      <c r="Z152" t="s">
        <v>73</v>
      </c>
      <c r="AF152" s="3">
        <f>V152-AE152</f>
      </c>
      <c r="AG152" t="s">
        <v>59</v>
      </c>
      <c r="AH152" t="s">
        <v>84</v>
      </c>
    </row>
    <row r="153" spans="1:34" x14ac:dyDescent="0.25">
      <c r="A153" s="7">
        <v>46214.5</v>
      </c>
      <c r="B153" t="s">
        <v>1757</v>
      </c>
      <c r="C153" t="s">
        <v>1</v>
      </c>
      <c r="D153" s="8" t="s">
        <v>1758</v>
      </c>
      <c r="E153" t="s">
        <v>101</v>
      </c>
      <c r="F153">
        <v>1</v>
      </c>
      <c r="G153" s="3">
        <v>524</v>
      </c>
      <c r="H153" s="3">
        <v>639.28</v>
      </c>
      <c r="I153" s="3">
        <f>H153-G153</f>
      </c>
      <c r="J153" s="3">
        <f>I153*16.67%</f>
      </c>
      <c r="K153" s="3">
        <f>(H153*6.9%)-(H153*6.9%)*10%</f>
      </c>
      <c r="L153" s="3">
        <f>H153*0.35%</f>
      </c>
      <c r="M153" s="3">
        <v>0.4</v>
      </c>
      <c r="N153" s="3">
        <f>(K153+L153+M153)*20%</f>
      </c>
      <c r="O153" s="3">
        <f>K153+L153+M153+N153</f>
      </c>
      <c r="P153" s="3">
        <v>0</v>
      </c>
      <c r="Q153" s="3">
        <v>0</v>
      </c>
      <c r="R153" s="3">
        <v>0</v>
      </c>
      <c r="S153" s="3">
        <f>R153*20%</f>
      </c>
      <c r="T153" s="3">
        <v>1</v>
      </c>
      <c r="U153" s="3">
        <f>N153+Q153+S153</f>
      </c>
      <c r="V153" s="3">
        <f>I153-J153-O153-P153-Q153-R153-S153-T153</f>
      </c>
      <c r="W153" s="3">
        <f>(V153-AE153)/H153*100</f>
      </c>
      <c r="X153" s="3">
        <f>J153-U153</f>
      </c>
      <c r="Y153" t="s">
        <v>1</v>
      </c>
      <c r="Z153" t="s">
        <v>68</v>
      </c>
      <c r="AF153" s="3">
        <f>V153-AE153</f>
      </c>
      <c r="AG153" t="s">
        <v>59</v>
      </c>
      <c r="AH153" t="s">
        <v>84</v>
      </c>
    </row>
    <row r="154" spans="1:34" x14ac:dyDescent="0.25">
      <c r="A154" s="7">
        <v>46214.5</v>
      </c>
      <c r="B154" t="s">
        <v>1759</v>
      </c>
      <c r="C154" t="s">
        <v>188</v>
      </c>
      <c r="D154" s="8" t="s">
        <v>1</v>
      </c>
      <c r="E154" t="s">
        <v>63</v>
      </c>
      <c r="F154">
        <v>4</v>
      </c>
      <c r="G154" s="3">
        <v>14</v>
      </c>
      <c r="H154" s="3">
        <v>17.5</v>
      </c>
      <c r="I154" s="3">
        <f>H154-G154</f>
      </c>
      <c r="J154" s="3">
        <f>I154*16.67%</f>
      </c>
      <c r="K154" s="3">
        <f>(H154*6.9%)-(H154*6.9%)*10%</f>
      </c>
      <c r="L154" s="3">
        <f>H154*0.35%</f>
      </c>
      <c r="M154" s="3">
        <v>0.4</v>
      </c>
      <c r="N154" s="3">
        <f>(K154+L154+M154)*20%</f>
      </c>
      <c r="O154" s="3">
        <f>K154+L154+M154+N154</f>
      </c>
      <c r="P154" s="3">
        <v>0</v>
      </c>
      <c r="Q154" s="3">
        <v>0</v>
      </c>
      <c r="R154" s="3">
        <v>0</v>
      </c>
      <c r="S154" s="3">
        <f>R154*20%</f>
      </c>
      <c r="T154" s="3">
        <v>1</v>
      </c>
      <c r="U154" s="3">
        <f>N154+Q154+S154</f>
      </c>
      <c r="V154" s="3">
        <f>I154-J154-O154-P154-Q154-R154-S154-T154</f>
      </c>
      <c r="W154" s="3">
        <f>(V154-AE154)/H154*100</f>
      </c>
      <c r="X154" s="3">
        <f>J154-U154</f>
      </c>
      <c r="Y154" t="s">
        <v>1</v>
      </c>
      <c r="Z154" t="s">
        <v>188</v>
      </c>
      <c r="AF154" s="3">
        <f>V154-AE154</f>
      </c>
      <c r="AG154" t="s">
        <v>1</v>
      </c>
      <c r="AH154" t="s">
        <v>1</v>
      </c>
    </row>
    <row r="155" spans="1:34" x14ac:dyDescent="0.25">
      <c r="A155" s="7">
        <v>46214.5</v>
      </c>
      <c r="B155" t="s">
        <v>1760</v>
      </c>
      <c r="C155" t="s">
        <v>173</v>
      </c>
      <c r="D155" s="8" t="s">
        <v>1</v>
      </c>
      <c r="E155" t="s">
        <v>63</v>
      </c>
      <c r="F155">
        <v>4</v>
      </c>
      <c r="G155" s="3">
        <v>17</v>
      </c>
      <c r="H155" s="3">
        <v>24.65</v>
      </c>
      <c r="I155" s="3">
        <f>H155-G155</f>
      </c>
      <c r="J155" s="3">
        <f>I155*16.67%</f>
      </c>
      <c r="K155" s="3">
        <f>(H155*6.9%)-(H155*6.9%)*10%</f>
      </c>
      <c r="L155" s="3">
        <f>H155*0.35%</f>
      </c>
      <c r="M155" s="3">
        <v>0.4</v>
      </c>
      <c r="N155" s="3">
        <f>(K155+L155+M155)*20%</f>
      </c>
      <c r="O155" s="3">
        <f>K155+L155+M155+N155</f>
      </c>
      <c r="P155" s="3">
        <v>0</v>
      </c>
      <c r="Q155" s="3">
        <v>0</v>
      </c>
      <c r="R155" s="3">
        <v>0</v>
      </c>
      <c r="S155" s="3">
        <f>R155*20%</f>
      </c>
      <c r="T155" s="3">
        <v>1</v>
      </c>
      <c r="U155" s="3">
        <f>N155+Q155+S155</f>
      </c>
      <c r="V155" s="3">
        <f>I155-J155-O155-P155-Q155-R155-S155-T155</f>
      </c>
      <c r="W155" s="3">
        <f>(V155-AE155)/H155*100</f>
      </c>
      <c r="X155" s="3">
        <f>J155-U155</f>
      </c>
      <c r="Y155" t="s">
        <v>1</v>
      </c>
      <c r="Z155" t="s">
        <v>173</v>
      </c>
      <c r="AF155" s="3">
        <f>V155-AE155</f>
      </c>
      <c r="AG155" t="s">
        <v>1</v>
      </c>
      <c r="AH155" t="s">
        <v>1</v>
      </c>
    </row>
    <row r="156" spans="1:34" x14ac:dyDescent="0.25">
      <c r="A156" s="7">
        <v>46214.5</v>
      </c>
      <c r="B156" t="s">
        <v>1761</v>
      </c>
      <c r="C156" t="s">
        <v>181</v>
      </c>
      <c r="D156" s="8" t="s">
        <v>1</v>
      </c>
      <c r="E156" t="s">
        <v>72</v>
      </c>
      <c r="F156">
        <v>2</v>
      </c>
      <c r="G156" s="3">
        <v>3.8</v>
      </c>
      <c r="H156" s="3">
        <v>4.83</v>
      </c>
      <c r="I156" s="3">
        <f>H156-G156</f>
      </c>
      <c r="J156" s="3">
        <f>I156*16.67%</f>
      </c>
      <c r="K156" s="3">
        <f>(H156*6.9%)-(H156*6.9%)*10%</f>
      </c>
      <c r="L156" s="3">
        <f>H156*0.35%</f>
      </c>
      <c r="M156" s="3">
        <v>0.4</v>
      </c>
      <c r="N156" s="3">
        <f>(K156+L156+M156)*20%</f>
      </c>
      <c r="O156" s="3">
        <f>K156+L156+M156+N156</f>
      </c>
      <c r="P156" s="3">
        <v>0</v>
      </c>
      <c r="Q156" s="3">
        <v>0</v>
      </c>
      <c r="R156" s="3">
        <v>0</v>
      </c>
      <c r="S156" s="3">
        <f>R156*20%</f>
      </c>
      <c r="T156" s="3">
        <v>1</v>
      </c>
      <c r="U156" s="3">
        <f>N156+Q156+S156</f>
      </c>
      <c r="V156" s="3">
        <f>I156-J156-O156-P156-Q156-R156-S156-T156</f>
      </c>
      <c r="W156" s="3">
        <f>(V156-AE156)/H156*100</f>
      </c>
      <c r="X156" s="3">
        <f>J156-U156</f>
      </c>
      <c r="Y156" t="s">
        <v>1</v>
      </c>
      <c r="Z156" t="s">
        <v>181</v>
      </c>
      <c r="AF156" s="3">
        <f>V156-AE156</f>
      </c>
      <c r="AG156" t="s">
        <v>1</v>
      </c>
      <c r="AH156" t="s">
        <v>1</v>
      </c>
    </row>
    <row r="157" spans="1:34" x14ac:dyDescent="0.25">
      <c r="A157" s="7">
        <v>46213.5</v>
      </c>
      <c r="B157" t="s">
        <v>1762</v>
      </c>
      <c r="C157" t="s">
        <v>1</v>
      </c>
      <c r="D157" s="8" t="s">
        <v>1763</v>
      </c>
      <c r="E157" t="s">
        <v>63</v>
      </c>
      <c r="F157">
        <v>1</v>
      </c>
      <c r="G157" s="3">
        <v>291</v>
      </c>
      <c r="H157" s="3">
        <v>346.29</v>
      </c>
      <c r="I157" s="3">
        <f>H157-G157</f>
      </c>
      <c r="J157" s="3">
        <f>I157*16.67%</f>
      </c>
      <c r="K157" s="3">
        <f>(H157*6.9%)-(H157*6.9%)*10%</f>
      </c>
      <c r="L157" s="3">
        <f>H157*0.35%</f>
      </c>
      <c r="M157" s="3">
        <v>0.4</v>
      </c>
      <c r="N157" s="3">
        <f>(K157+L157+M157)*20%</f>
      </c>
      <c r="O157" s="3">
        <f>K157+L157+M157+N157</f>
      </c>
      <c r="P157" s="3">
        <v>0</v>
      </c>
      <c r="Q157" s="3">
        <v>0</v>
      </c>
      <c r="R157" s="3">
        <v>0</v>
      </c>
      <c r="S157" s="3">
        <f>R157*20%</f>
      </c>
      <c r="T157" s="3">
        <v>1</v>
      </c>
      <c r="U157" s="3">
        <f>N157+Q157+S157</f>
      </c>
      <c r="V157" s="3">
        <f>I157-J157-O157-P157-Q157-R157-S157-T157</f>
      </c>
      <c r="W157" s="3">
        <f>(V157-AE157)/H157*100</f>
      </c>
      <c r="X157" s="3">
        <f>J157-U157</f>
      </c>
      <c r="Y157" t="s">
        <v>1</v>
      </c>
      <c r="Z157" t="s">
        <v>124</v>
      </c>
      <c r="AF157" s="3">
        <f>V157-AE157</f>
      </c>
      <c r="AG157" t="s">
        <v>125</v>
      </c>
      <c r="AH157" t="s">
        <v>69</v>
      </c>
    </row>
    <row r="158" spans="1:34" x14ac:dyDescent="0.25">
      <c r="A158" s="7">
        <v>46213.5</v>
      </c>
      <c r="B158" t="s">
        <v>1764</v>
      </c>
      <c r="C158" t="s">
        <v>1</v>
      </c>
      <c r="D158" s="8" t="s">
        <v>1765</v>
      </c>
      <c r="E158" t="s">
        <v>63</v>
      </c>
      <c r="F158">
        <v>1</v>
      </c>
      <c r="G158" s="3">
        <v>312</v>
      </c>
      <c r="H158" s="3">
        <v>402.48</v>
      </c>
      <c r="I158" s="3">
        <f>H158-G158</f>
      </c>
      <c r="J158" s="3">
        <f>I158*16.67%</f>
      </c>
      <c r="K158" s="3">
        <f>(H158*6.9%)-(H158*6.9%)*10%</f>
      </c>
      <c r="L158" s="3">
        <f>H158*0.35%</f>
      </c>
      <c r="M158" s="3">
        <v>0.4</v>
      </c>
      <c r="N158" s="3">
        <f>(K158+L158+M158)*20%</f>
      </c>
      <c r="O158" s="3">
        <f>K158+L158+M158+N158</f>
      </c>
      <c r="P158" s="3">
        <v>0</v>
      </c>
      <c r="Q158" s="3">
        <v>0</v>
      </c>
      <c r="R158" s="3">
        <v>0</v>
      </c>
      <c r="S158" s="3">
        <f>R158*20%</f>
      </c>
      <c r="T158" s="3">
        <v>1</v>
      </c>
      <c r="U158" s="3">
        <f>N158+Q158+S158</f>
      </c>
      <c r="V158" s="3">
        <f>I158-J158-O158-P158-Q158-R158-S158-T158</f>
      </c>
      <c r="W158" s="3">
        <f>(V158-AE158)/H158*100</f>
      </c>
      <c r="X158" s="3">
        <f>J158-U158</f>
      </c>
      <c r="Y158" t="s">
        <v>1</v>
      </c>
      <c r="Z158" t="s">
        <v>97</v>
      </c>
      <c r="AF158" s="3">
        <f>V158-AE158</f>
      </c>
      <c r="AG158" t="s">
        <v>59</v>
      </c>
      <c r="AH158" t="s">
        <v>60</v>
      </c>
    </row>
    <row r="159" spans="1:34" x14ac:dyDescent="0.25">
      <c r="A159" s="7">
        <v>46212.5</v>
      </c>
      <c r="B159" t="s">
        <v>1766</v>
      </c>
      <c r="C159" t="s">
        <v>1</v>
      </c>
      <c r="D159" s="8" t="s">
        <v>1767</v>
      </c>
      <c r="E159" t="s">
        <v>63</v>
      </c>
      <c r="F159">
        <v>1</v>
      </c>
      <c r="G159" s="3">
        <v>535</v>
      </c>
      <c r="H159" s="3">
        <v>615.25</v>
      </c>
      <c r="I159" s="3">
        <f>H159-G159</f>
      </c>
      <c r="J159" s="3">
        <f>I159*16.67%</f>
      </c>
      <c r="K159" s="3">
        <f>(H159*6.9%)-(H159*6.9%)*10%</f>
      </c>
      <c r="L159" s="3">
        <f>H159*0.35%</f>
      </c>
      <c r="M159" s="3">
        <v>0.4</v>
      </c>
      <c r="N159" s="3">
        <f>(K159+L159+M159)*20%</f>
      </c>
      <c r="O159" s="3">
        <f>K159+L159+M159+N159</f>
      </c>
      <c r="P159" s="3">
        <v>0</v>
      </c>
      <c r="Q159" s="3">
        <v>0</v>
      </c>
      <c r="R159" s="3">
        <v>0</v>
      </c>
      <c r="S159" s="3">
        <f>R159*20%</f>
      </c>
      <c r="T159" s="3">
        <v>1</v>
      </c>
      <c r="U159" s="3">
        <f>N159+Q159+S159</f>
      </c>
      <c r="V159" s="3">
        <f>I159-J159-O159-P159-Q159-R159-S159-T159</f>
      </c>
      <c r="W159" s="3">
        <f>(V159-AE159)/H159*100</f>
      </c>
      <c r="X159" s="3">
        <f>J159-U159</f>
      </c>
      <c r="Y159" t="s">
        <v>1</v>
      </c>
      <c r="Z159" t="s">
        <v>80</v>
      </c>
      <c r="AF159" s="3">
        <f>V159-AE159</f>
      </c>
      <c r="AG159" t="s">
        <v>65</v>
      </c>
      <c r="AH159" t="s">
        <v>69</v>
      </c>
    </row>
    <row r="160" spans="1:34" x14ac:dyDescent="0.25">
      <c r="A160" s="7">
        <v>46212.5</v>
      </c>
      <c r="B160" t="s">
        <v>1768</v>
      </c>
      <c r="C160" t="s">
        <v>1</v>
      </c>
      <c r="D160" s="8" t="s">
        <v>1769</v>
      </c>
      <c r="E160" t="s">
        <v>77</v>
      </c>
      <c r="F160">
        <v>1</v>
      </c>
      <c r="G160" s="3">
        <v>330</v>
      </c>
      <c r="H160" s="3">
        <v>425.7</v>
      </c>
      <c r="I160" s="3">
        <f>H160-G160</f>
      </c>
      <c r="J160" s="3">
        <f>I160*16.67%</f>
      </c>
      <c r="K160" s="3">
        <f>(H160*6.9%)-(H160*6.9%)*10%</f>
      </c>
      <c r="L160" s="3">
        <f>H160*0.35%</f>
      </c>
      <c r="M160" s="3">
        <v>0.4</v>
      </c>
      <c r="N160" s="3">
        <f>(K160+L160+M160)*20%</f>
      </c>
      <c r="O160" s="3">
        <f>K160+L160+M160+N160</f>
      </c>
      <c r="P160" s="3">
        <v>0</v>
      </c>
      <c r="Q160" s="3">
        <v>0</v>
      </c>
      <c r="R160" s="3">
        <v>0</v>
      </c>
      <c r="S160" s="3">
        <f>R160*20%</f>
      </c>
      <c r="T160" s="3">
        <v>1</v>
      </c>
      <c r="U160" s="3">
        <f>N160+Q160+S160</f>
      </c>
      <c r="V160" s="3">
        <f>I160-J160-O160-P160-Q160-R160-S160-T160</f>
      </c>
      <c r="W160" s="3">
        <f>(V160-AE160)/H160*100</f>
      </c>
      <c r="X160" s="3">
        <f>J160-U160</f>
      </c>
      <c r="Y160" t="s">
        <v>1</v>
      </c>
      <c r="Z160" t="s">
        <v>130</v>
      </c>
      <c r="AF160" s="3">
        <f>V160-AE160</f>
      </c>
      <c r="AG160" t="s">
        <v>59</v>
      </c>
      <c r="AH160" t="s">
        <v>69</v>
      </c>
    </row>
    <row r="161" spans="1:34" x14ac:dyDescent="0.25">
      <c r="A161" s="7">
        <v>46212.5</v>
      </c>
      <c r="B161" t="s">
        <v>1770</v>
      </c>
      <c r="C161" t="s">
        <v>1</v>
      </c>
      <c r="D161" s="8" t="s">
        <v>1771</v>
      </c>
      <c r="E161" t="s">
        <v>72</v>
      </c>
      <c r="F161">
        <v>1</v>
      </c>
      <c r="G161" s="3">
        <v>186</v>
      </c>
      <c r="H161" s="3">
        <v>223.2</v>
      </c>
      <c r="I161" s="3">
        <f>H161-G161</f>
      </c>
      <c r="J161" s="3">
        <f>I161*16.67%</f>
      </c>
      <c r="K161" s="3">
        <f>(H161*6.9%)-(H161*6.9%)*10%</f>
      </c>
      <c r="L161" s="3">
        <f>H161*0.35%</f>
      </c>
      <c r="M161" s="3">
        <v>0.4</v>
      </c>
      <c r="N161" s="3">
        <f>(K161+L161+M161)*20%</f>
      </c>
      <c r="O161" s="3">
        <f>K161+L161+M161+N161</f>
      </c>
      <c r="P161" s="3">
        <v>0</v>
      </c>
      <c r="Q161" s="3">
        <v>0</v>
      </c>
      <c r="R161" s="3">
        <v>0</v>
      </c>
      <c r="S161" s="3">
        <f>R161*20%</f>
      </c>
      <c r="T161" s="3">
        <v>1</v>
      </c>
      <c r="U161" s="3">
        <f>N161+Q161+S161</f>
      </c>
      <c r="V161" s="3">
        <f>I161-J161-O161-P161-Q161-R161-S161-T161</f>
      </c>
      <c r="W161" s="3">
        <f>(V161-AE161)/H161*100</f>
      </c>
      <c r="X161" s="3">
        <f>J161-U161</f>
      </c>
      <c r="Y161" t="s">
        <v>1</v>
      </c>
      <c r="Z161" t="s">
        <v>233</v>
      </c>
      <c r="AF161" s="3">
        <f>V161-AE161</f>
      </c>
      <c r="AG161" t="s">
        <v>65</v>
      </c>
      <c r="AH161" t="s">
        <v>69</v>
      </c>
    </row>
    <row r="162" spans="1:34" x14ac:dyDescent="0.25">
      <c r="A162" s="7">
        <v>46211.5</v>
      </c>
      <c r="B162" t="s">
        <v>1772</v>
      </c>
      <c r="C162" t="s">
        <v>1</v>
      </c>
      <c r="D162" s="8" t="s">
        <v>1773</v>
      </c>
      <c r="E162" t="s">
        <v>63</v>
      </c>
      <c r="F162">
        <v>1</v>
      </c>
      <c r="G162" s="3">
        <v>137</v>
      </c>
      <c r="H162" s="3">
        <v>161.66</v>
      </c>
      <c r="I162" s="3">
        <f>H162-G162</f>
      </c>
      <c r="J162" s="3">
        <f>I162*16.67%</f>
      </c>
      <c r="K162" s="3">
        <f>(H162*6.9%)-(H162*6.9%)*10%</f>
      </c>
      <c r="L162" s="3">
        <f>H162*0.35%</f>
      </c>
      <c r="M162" s="3">
        <v>0.4</v>
      </c>
      <c r="N162" s="3">
        <f>(K162+L162+M162)*20%</f>
      </c>
      <c r="O162" s="3">
        <f>K162+L162+M162+N162</f>
      </c>
      <c r="P162" s="3">
        <v>0</v>
      </c>
      <c r="Q162" s="3">
        <v>0</v>
      </c>
      <c r="R162" s="3">
        <v>0</v>
      </c>
      <c r="S162" s="3">
        <f>R162*20%</f>
      </c>
      <c r="T162" s="3">
        <v>1</v>
      </c>
      <c r="U162" s="3">
        <f>N162+Q162+S162</f>
      </c>
      <c r="V162" s="3">
        <f>I162-J162-O162-P162-Q162-R162-S162-T162</f>
      </c>
      <c r="W162" s="3">
        <f>(V162-AE162)/H162*100</f>
      </c>
      <c r="X162" s="3">
        <f>J162-U162</f>
      </c>
      <c r="Y162" t="s">
        <v>1</v>
      </c>
      <c r="Z162" t="s">
        <v>133</v>
      </c>
      <c r="AF162" s="3">
        <f>V162-AE162</f>
      </c>
      <c r="AG162" t="s">
        <v>65</v>
      </c>
      <c r="AH162" t="s">
        <v>84</v>
      </c>
    </row>
    <row r="163" spans="1:34" x14ac:dyDescent="0.25">
      <c r="A163" s="7">
        <v>46211.5</v>
      </c>
      <c r="B163" t="s">
        <v>1774</v>
      </c>
      <c r="C163" t="s">
        <v>1</v>
      </c>
      <c r="D163" s="8" t="s">
        <v>1775</v>
      </c>
      <c r="E163" t="s">
        <v>63</v>
      </c>
      <c r="F163">
        <v>1</v>
      </c>
      <c r="G163" s="3">
        <v>219</v>
      </c>
      <c r="H163" s="3">
        <v>284.7</v>
      </c>
      <c r="I163" s="3">
        <f>H163-G163</f>
      </c>
      <c r="J163" s="3">
        <f>I163*16.67%</f>
      </c>
      <c r="K163" s="3">
        <f>(H163*6.9%)-(H163*6.9%)*10%</f>
      </c>
      <c r="L163" s="3">
        <f>H163*0.35%</f>
      </c>
      <c r="M163" s="3">
        <v>0.4</v>
      </c>
      <c r="N163" s="3">
        <f>(K163+L163+M163)*20%</f>
      </c>
      <c r="O163" s="3">
        <f>K163+L163+M163+N163</f>
      </c>
      <c r="P163" s="3">
        <v>0</v>
      </c>
      <c r="Q163" s="3">
        <v>0</v>
      </c>
      <c r="R163" s="3">
        <v>0</v>
      </c>
      <c r="S163" s="3">
        <f>R163*20%</f>
      </c>
      <c r="T163" s="3">
        <v>1</v>
      </c>
      <c r="U163" s="3">
        <f>N163+Q163+S163</f>
      </c>
      <c r="V163" s="3">
        <f>I163-J163-O163-P163-Q163-R163-S163-T163</f>
      </c>
      <c r="W163" s="3">
        <f>(V163-AE163)/H163*100</f>
      </c>
      <c r="X163" s="3">
        <f>J163-U163</f>
      </c>
      <c r="Y163" t="s">
        <v>1</v>
      </c>
      <c r="Z163" t="s">
        <v>113</v>
      </c>
      <c r="AF163" s="3">
        <f>V163-AE163</f>
      </c>
      <c r="AG163" t="s">
        <v>94</v>
      </c>
      <c r="AH163" t="s">
        <v>98</v>
      </c>
    </row>
    <row r="164" spans="1:34" x14ac:dyDescent="0.25">
      <c r="A164" s="7">
        <v>46211.5</v>
      </c>
      <c r="B164" t="s">
        <v>1776</v>
      </c>
      <c r="C164" t="s">
        <v>253</v>
      </c>
      <c r="D164" s="8" t="s">
        <v>1</v>
      </c>
      <c r="E164" t="s">
        <v>57</v>
      </c>
      <c r="F164">
        <v>3</v>
      </c>
      <c r="G164" s="3">
        <v>2.4</v>
      </c>
      <c r="H164" s="3">
        <v>2.83</v>
      </c>
      <c r="I164" s="3">
        <f>H164-G164</f>
      </c>
      <c r="J164" s="3">
        <f>I164*16.67%</f>
      </c>
      <c r="K164" s="3">
        <f>(H164*6.9%)-(H164*6.9%)*10%</f>
      </c>
      <c r="L164" s="3">
        <f>H164*0.35%</f>
      </c>
      <c r="M164" s="3">
        <v>0.4</v>
      </c>
      <c r="N164" s="3">
        <f>(K164+L164+M164)*20%</f>
      </c>
      <c r="O164" s="3">
        <f>K164+L164+M164+N164</f>
      </c>
      <c r="P164" s="3">
        <v>0</v>
      </c>
      <c r="Q164" s="3">
        <v>0</v>
      </c>
      <c r="R164" s="3">
        <v>0</v>
      </c>
      <c r="S164" s="3">
        <f>R164*20%</f>
      </c>
      <c r="T164" s="3">
        <v>1</v>
      </c>
      <c r="U164" s="3">
        <f>N164+Q164+S164</f>
      </c>
      <c r="V164" s="3">
        <f>I164-J164-O164-P164-Q164-R164-S164-T164</f>
      </c>
      <c r="W164" s="3">
        <f>(V164-AE164)/H164*100</f>
      </c>
      <c r="X164" s="3">
        <f>J164-U164</f>
      </c>
      <c r="Y164" t="s">
        <v>1</v>
      </c>
      <c r="Z164" t="s">
        <v>253</v>
      </c>
      <c r="AF164" s="3">
        <f>V164-AE164</f>
      </c>
      <c r="AG164" t="s">
        <v>1</v>
      </c>
      <c r="AH164" t="s">
        <v>1</v>
      </c>
    </row>
    <row r="165" spans="1:34" x14ac:dyDescent="0.25">
      <c r="A165" s="7">
        <v>46211.5</v>
      </c>
      <c r="B165" t="s">
        <v>1777</v>
      </c>
      <c r="C165" t="s">
        <v>181</v>
      </c>
      <c r="D165" s="8" t="s">
        <v>1</v>
      </c>
      <c r="E165" t="s">
        <v>72</v>
      </c>
      <c r="F165">
        <v>1</v>
      </c>
      <c r="G165" s="3">
        <v>1.9</v>
      </c>
      <c r="H165" s="3">
        <v>2.55</v>
      </c>
      <c r="I165" s="3">
        <f>H165-G165</f>
      </c>
      <c r="J165" s="3">
        <f>I165*16.67%</f>
      </c>
      <c r="K165" s="3">
        <f>(H165*6.9%)-(H165*6.9%)*10%</f>
      </c>
      <c r="L165" s="3">
        <f>H165*0.35%</f>
      </c>
      <c r="M165" s="3">
        <v>0.4</v>
      </c>
      <c r="N165" s="3">
        <f>(K165+L165+M165)*20%</f>
      </c>
      <c r="O165" s="3">
        <f>K165+L165+M165+N165</f>
      </c>
      <c r="P165" s="3">
        <v>0</v>
      </c>
      <c r="Q165" s="3">
        <v>0</v>
      </c>
      <c r="R165" s="3">
        <v>0</v>
      </c>
      <c r="S165" s="3">
        <f>R165*20%</f>
      </c>
      <c r="T165" s="3">
        <v>1</v>
      </c>
      <c r="U165" s="3">
        <f>N165+Q165+S165</f>
      </c>
      <c r="V165" s="3">
        <f>I165-J165-O165-P165-Q165-R165-S165-T165</f>
      </c>
      <c r="W165" s="3">
        <f>(V165-AE165)/H165*100</f>
      </c>
      <c r="X165" s="3">
        <f>J165-U165</f>
      </c>
      <c r="Y165" t="s">
        <v>1</v>
      </c>
      <c r="Z165" t="s">
        <v>181</v>
      </c>
      <c r="AF165" s="3">
        <f>V165-AE165</f>
      </c>
      <c r="AG165" t="s">
        <v>1</v>
      </c>
      <c r="AH165" t="s">
        <v>1</v>
      </c>
    </row>
    <row r="166" spans="1:34" x14ac:dyDescent="0.25">
      <c r="A166" s="7">
        <v>46210.5</v>
      </c>
      <c r="B166" t="s">
        <v>1778</v>
      </c>
      <c r="C166" t="s">
        <v>1</v>
      </c>
      <c r="D166" s="8" t="s">
        <v>1779</v>
      </c>
      <c r="E166" t="s">
        <v>101</v>
      </c>
      <c r="F166">
        <v>1</v>
      </c>
      <c r="G166" s="3">
        <v>257</v>
      </c>
      <c r="H166" s="3">
        <v>339.24</v>
      </c>
      <c r="I166" s="3">
        <f>H166-G166</f>
      </c>
      <c r="J166" s="3">
        <f>I166*16.67%</f>
      </c>
      <c r="K166" s="3">
        <f>(H166*6.9%)-(H166*6.9%)*10%</f>
      </c>
      <c r="L166" s="3">
        <f>H166*0.35%</f>
      </c>
      <c r="M166" s="3">
        <v>0.4</v>
      </c>
      <c r="N166" s="3">
        <f>(K166+L166+M166)*20%</f>
      </c>
      <c r="O166" s="3">
        <f>K166+L166+M166+N166</f>
      </c>
      <c r="P166" s="3">
        <v>0</v>
      </c>
      <c r="Q166" s="3">
        <v>0</v>
      </c>
      <c r="R166" s="3">
        <v>0</v>
      </c>
      <c r="S166" s="3">
        <f>R166*20%</f>
      </c>
      <c r="T166" s="3">
        <v>1</v>
      </c>
      <c r="U166" s="3">
        <f>N166+Q166+S166</f>
      </c>
      <c r="V166" s="3">
        <f>I166-J166-O166-P166-Q166-R166-S166-T166</f>
      </c>
      <c r="W166" s="3">
        <f>(V166-AE166)/H166*100</f>
      </c>
      <c r="X166" s="3">
        <f>J166-U166</f>
      </c>
      <c r="Y166" t="s">
        <v>1</v>
      </c>
      <c r="Z166" t="s">
        <v>113</v>
      </c>
      <c r="AF166" s="3">
        <f>V166-AE166</f>
      </c>
      <c r="AG166" t="s">
        <v>94</v>
      </c>
      <c r="AH166" t="s">
        <v>87</v>
      </c>
    </row>
    <row r="167" spans="1:34" x14ac:dyDescent="0.25">
      <c r="A167" s="7">
        <v>46210.5</v>
      </c>
      <c r="B167" t="s">
        <v>1780</v>
      </c>
      <c r="C167" t="s">
        <v>1</v>
      </c>
      <c r="D167" s="8" t="s">
        <v>1781</v>
      </c>
      <c r="E167" t="s">
        <v>77</v>
      </c>
      <c r="F167">
        <v>1</v>
      </c>
      <c r="G167" s="3">
        <v>236</v>
      </c>
      <c r="H167" s="3">
        <v>292.64</v>
      </c>
      <c r="I167" s="3">
        <f>H167-G167</f>
      </c>
      <c r="J167" s="3">
        <f>I167*16.67%</f>
      </c>
      <c r="K167" s="3">
        <f>(H167*6.9%)-(H167*6.9%)*10%</f>
      </c>
      <c r="L167" s="3">
        <f>H167*0.35%</f>
      </c>
      <c r="M167" s="3">
        <v>0.4</v>
      </c>
      <c r="N167" s="3">
        <f>(K167+L167+M167)*20%</f>
      </c>
      <c r="O167" s="3">
        <f>K167+L167+M167+N167</f>
      </c>
      <c r="P167" s="3">
        <v>0</v>
      </c>
      <c r="Q167" s="3">
        <v>0</v>
      </c>
      <c r="R167" s="3">
        <v>0</v>
      </c>
      <c r="S167" s="3">
        <f>R167*20%</f>
      </c>
      <c r="T167" s="3">
        <v>1</v>
      </c>
      <c r="U167" s="3">
        <f>N167+Q167+S167</f>
      </c>
      <c r="V167" s="3">
        <f>I167-J167-O167-P167-Q167-R167-S167-T167</f>
      </c>
      <c r="W167" s="3">
        <f>(V167-AE167)/H167*100</f>
      </c>
      <c r="X167" s="3">
        <f>J167-U167</f>
      </c>
      <c r="Y167" t="s">
        <v>1</v>
      </c>
      <c r="Z167" t="s">
        <v>124</v>
      </c>
      <c r="AF167" s="3">
        <f>V167-AE167</f>
      </c>
      <c r="AG167" t="s">
        <v>125</v>
      </c>
      <c r="AH167" t="s">
        <v>98</v>
      </c>
    </row>
    <row r="168" spans="1:34" x14ac:dyDescent="0.25">
      <c r="A168" s="7">
        <v>46210.5</v>
      </c>
      <c r="B168" t="s">
        <v>1782</v>
      </c>
      <c r="C168" t="s">
        <v>1</v>
      </c>
      <c r="D168" s="8" t="s">
        <v>1783</v>
      </c>
      <c r="E168" t="s">
        <v>77</v>
      </c>
      <c r="F168">
        <v>1</v>
      </c>
      <c r="G168" s="3">
        <v>111</v>
      </c>
      <c r="H168" s="3">
        <v>128.76</v>
      </c>
      <c r="I168" s="3">
        <f>H168-G168</f>
      </c>
      <c r="J168" s="3">
        <f>I168*16.67%</f>
      </c>
      <c r="K168" s="3">
        <f>(H168*6.9%)-(H168*6.9%)*10%</f>
      </c>
      <c r="L168" s="3">
        <f>H168*0.35%</f>
      </c>
      <c r="M168" s="3">
        <v>0.4</v>
      </c>
      <c r="N168" s="3">
        <f>(K168+L168+M168)*20%</f>
      </c>
      <c r="O168" s="3">
        <f>K168+L168+M168+N168</f>
      </c>
      <c r="P168" s="3">
        <v>0</v>
      </c>
      <c r="Q168" s="3">
        <v>0</v>
      </c>
      <c r="R168" s="3">
        <v>0</v>
      </c>
      <c r="S168" s="3">
        <f>R168*20%</f>
      </c>
      <c r="T168" s="3">
        <v>1</v>
      </c>
      <c r="U168" s="3">
        <f>N168+Q168+S168</f>
      </c>
      <c r="V168" s="3">
        <f>I168-J168-O168-P168-Q168-R168-S168-T168</f>
      </c>
      <c r="W168" s="3">
        <f>(V168-AE168)/H168*100</f>
      </c>
      <c r="X168" s="3">
        <f>J168-U168</f>
      </c>
      <c r="Y168" t="s">
        <v>1</v>
      </c>
      <c r="Z168" t="s">
        <v>90</v>
      </c>
      <c r="AF168" s="3">
        <f>V168-AE168</f>
      </c>
      <c r="AG168" t="s">
        <v>65</v>
      </c>
      <c r="AH168" t="s">
        <v>84</v>
      </c>
    </row>
    <row r="169" spans="1:34" x14ac:dyDescent="0.25">
      <c r="A169" s="7">
        <v>46210.5</v>
      </c>
      <c r="B169" t="s">
        <v>1784</v>
      </c>
      <c r="C169" t="s">
        <v>1</v>
      </c>
      <c r="D169" s="8" t="s">
        <v>1785</v>
      </c>
      <c r="E169" t="s">
        <v>72</v>
      </c>
      <c r="F169">
        <v>1</v>
      </c>
      <c r="G169" s="3">
        <v>83</v>
      </c>
      <c r="H169" s="3">
        <v>98.77</v>
      </c>
      <c r="I169" s="3">
        <f>H169-G169</f>
      </c>
      <c r="J169" s="3">
        <f>I169*16.67%</f>
      </c>
      <c r="K169" s="3">
        <f>(H169*6.9%)-(H169*6.9%)*10%</f>
      </c>
      <c r="L169" s="3">
        <f>H169*0.35%</f>
      </c>
      <c r="M169" s="3">
        <v>0.4</v>
      </c>
      <c r="N169" s="3">
        <f>(K169+L169+M169)*20%</f>
      </c>
      <c r="O169" s="3">
        <f>K169+L169+M169+N169</f>
      </c>
      <c r="P169" s="3">
        <v>0</v>
      </c>
      <c r="Q169" s="3">
        <v>0</v>
      </c>
      <c r="R169" s="3">
        <v>0</v>
      </c>
      <c r="S169" s="3">
        <f>R169*20%</f>
      </c>
      <c r="T169" s="3">
        <v>1</v>
      </c>
      <c r="U169" s="3">
        <f>N169+Q169+S169</f>
      </c>
      <c r="V169" s="3">
        <f>I169-J169-O169-P169-Q169-R169-S169-T169</f>
      </c>
      <c r="W169" s="3">
        <f>(V169-AE169)/H169*100</f>
      </c>
      <c r="X169" s="3">
        <f>J169-U169</f>
      </c>
      <c r="Y169" t="s">
        <v>1</v>
      </c>
      <c r="Z169" t="s">
        <v>93</v>
      </c>
      <c r="AF169" s="3">
        <f>V169-AE169</f>
      </c>
      <c r="AG169" t="s">
        <v>94</v>
      </c>
      <c r="AH169" t="s">
        <v>104</v>
      </c>
    </row>
    <row r="170" spans="1:34" x14ac:dyDescent="0.25">
      <c r="A170" s="7">
        <v>46210.5</v>
      </c>
      <c r="B170" t="s">
        <v>1786</v>
      </c>
      <c r="C170" t="s">
        <v>188</v>
      </c>
      <c r="D170" s="8" t="s">
        <v>1</v>
      </c>
      <c r="E170" t="s">
        <v>63</v>
      </c>
      <c r="F170">
        <v>4</v>
      </c>
      <c r="G170" s="3">
        <v>14</v>
      </c>
      <c r="H170" s="3">
        <v>19.18</v>
      </c>
      <c r="I170" s="3">
        <f>H170-G170</f>
      </c>
      <c r="J170" s="3">
        <f>I170*16.67%</f>
      </c>
      <c r="K170" s="3">
        <f>(H170*6.9%)-(H170*6.9%)*10%</f>
      </c>
      <c r="L170" s="3">
        <f>H170*0.35%</f>
      </c>
      <c r="M170" s="3">
        <v>0.4</v>
      </c>
      <c r="N170" s="3">
        <f>(K170+L170+M170)*20%</f>
      </c>
      <c r="O170" s="3">
        <f>K170+L170+M170+N170</f>
      </c>
      <c r="P170" s="3">
        <v>0</v>
      </c>
      <c r="Q170" s="3">
        <v>0</v>
      </c>
      <c r="R170" s="3">
        <v>0</v>
      </c>
      <c r="S170" s="3">
        <f>R170*20%</f>
      </c>
      <c r="T170" s="3">
        <v>1</v>
      </c>
      <c r="U170" s="3">
        <f>N170+Q170+S170</f>
      </c>
      <c r="V170" s="3">
        <f>I170-J170-O170-P170-Q170-R170-S170-T170</f>
      </c>
      <c r="W170" s="3">
        <f>(V170-AE170)/H170*100</f>
      </c>
      <c r="X170" s="3">
        <f>J170-U170</f>
      </c>
      <c r="Y170" t="s">
        <v>1</v>
      </c>
      <c r="Z170" t="s">
        <v>188</v>
      </c>
      <c r="AF170" s="3">
        <f>V170-AE170</f>
      </c>
      <c r="AG170" t="s">
        <v>1</v>
      </c>
      <c r="AH170" t="s">
        <v>1</v>
      </c>
    </row>
    <row r="171" spans="1:34" x14ac:dyDescent="0.25">
      <c r="A171" s="7">
        <v>46209.5</v>
      </c>
      <c r="B171" t="s">
        <v>1787</v>
      </c>
      <c r="C171" t="s">
        <v>1</v>
      </c>
      <c r="D171" s="8" t="s">
        <v>1788</v>
      </c>
      <c r="E171" t="s">
        <v>72</v>
      </c>
      <c r="F171">
        <v>1</v>
      </c>
      <c r="G171" s="3">
        <v>152</v>
      </c>
      <c r="H171" s="3">
        <v>202.16</v>
      </c>
      <c r="I171" s="3">
        <f>H171-G171</f>
      </c>
      <c r="J171" s="3">
        <f>I171*16.67%</f>
      </c>
      <c r="K171" s="3">
        <f>(H171*6.9%)-(H171*6.9%)*10%</f>
      </c>
      <c r="L171" s="3">
        <f>H171*0.35%</f>
      </c>
      <c r="M171" s="3">
        <v>0.4</v>
      </c>
      <c r="N171" s="3">
        <f>(K171+L171+M171)*20%</f>
      </c>
      <c r="O171" s="3">
        <f>K171+L171+M171+N171</f>
      </c>
      <c r="P171" s="3">
        <v>0</v>
      </c>
      <c r="Q171" s="3">
        <v>0</v>
      </c>
      <c r="R171" s="3">
        <v>0</v>
      </c>
      <c r="S171" s="3">
        <f>R171*20%</f>
      </c>
      <c r="T171" s="3">
        <v>1</v>
      </c>
      <c r="U171" s="3">
        <f>N171+Q171+S171</f>
      </c>
      <c r="V171" s="3">
        <f>I171-J171-O171-P171-Q171-R171-S171-T171</f>
      </c>
      <c r="W171" s="3">
        <f>(V171-AE171)/H171*100</f>
      </c>
      <c r="X171" s="3">
        <f>J171-U171</f>
      </c>
      <c r="Y171" t="s">
        <v>1</v>
      </c>
      <c r="Z171" t="s">
        <v>171</v>
      </c>
      <c r="AF171" s="3">
        <f>V171-AE171</f>
      </c>
      <c r="AG171" t="s">
        <v>65</v>
      </c>
      <c r="AH171" t="s">
        <v>69</v>
      </c>
    </row>
    <row r="172" spans="1:34" x14ac:dyDescent="0.25">
      <c r="A172" s="7">
        <v>46209.5</v>
      </c>
      <c r="B172" t="s">
        <v>1789</v>
      </c>
      <c r="C172" t="s">
        <v>1</v>
      </c>
      <c r="D172" s="8" t="s">
        <v>1</v>
      </c>
      <c r="E172" t="s">
        <v>63</v>
      </c>
      <c r="F172">
        <v>1</v>
      </c>
      <c r="G172" s="3">
        <v>129</v>
      </c>
      <c r="H172" s="3">
        <v>184.47</v>
      </c>
      <c r="I172" s="3">
        <f>H172-G172</f>
      </c>
      <c r="J172" s="3">
        <f>I172*16.67%</f>
      </c>
      <c r="K172" s="3">
        <f>(H172*6.9%)-(H172*6.9%)*10%</f>
      </c>
      <c r="L172" s="3">
        <f>H172*0.35%</f>
      </c>
      <c r="M172" s="3">
        <v>0.4</v>
      </c>
      <c r="N172" s="3">
        <f>(K172+L172+M172)*20%</f>
      </c>
      <c r="O172" s="3">
        <f>K172+L172+M172+N172</f>
      </c>
      <c r="P172" s="3">
        <v>0</v>
      </c>
      <c r="Q172" s="3">
        <v>0</v>
      </c>
      <c r="R172" s="3">
        <v>0</v>
      </c>
      <c r="S172" s="3">
        <f>R172*20%</f>
      </c>
      <c r="T172" s="3">
        <v>1</v>
      </c>
      <c r="U172" s="3">
        <f>N172+Q172+S172</f>
      </c>
      <c r="V172" s="3">
        <f>I172-J172-O172-P172-Q172-R172-S172-T172</f>
      </c>
      <c r="W172" s="3">
        <f>(V172-AE172)/H172*100</f>
      </c>
      <c r="X172" s="3">
        <f>J172-U172</f>
      </c>
      <c r="Y172" t="s">
        <v>1</v>
      </c>
      <c r="Z172" t="s">
        <v>1</v>
      </c>
      <c r="AF172" s="3">
        <f>V172-AE172</f>
      </c>
      <c r="AG172" t="s">
        <v>1</v>
      </c>
      <c r="AH172" t="s">
        <v>1</v>
      </c>
    </row>
    <row r="173" spans="1:34" x14ac:dyDescent="0.25">
      <c r="A173" s="7">
        <v>46208.5</v>
      </c>
      <c r="B173" t="s">
        <v>1790</v>
      </c>
      <c r="C173" t="s">
        <v>1</v>
      </c>
      <c r="D173" s="8" t="s">
        <v>1791</v>
      </c>
      <c r="E173" t="s">
        <v>63</v>
      </c>
      <c r="F173">
        <v>1</v>
      </c>
      <c r="G173" s="3">
        <v>127</v>
      </c>
      <c r="H173" s="3">
        <v>165.1</v>
      </c>
      <c r="I173" s="3">
        <f>H173-G173</f>
      </c>
      <c r="J173" s="3">
        <f>I173*16.67%</f>
      </c>
      <c r="K173" s="3">
        <f>(H173*6.9%)-(H173*6.9%)*10%</f>
      </c>
      <c r="L173" s="3">
        <f>H173*0.35%</f>
      </c>
      <c r="M173" s="3">
        <v>0.4</v>
      </c>
      <c r="N173" s="3">
        <f>(K173+L173+M173)*20%</f>
      </c>
      <c r="O173" s="3">
        <f>K173+L173+M173+N173</f>
      </c>
      <c r="P173" s="3">
        <v>0</v>
      </c>
      <c r="Q173" s="3">
        <v>0</v>
      </c>
      <c r="R173" s="3">
        <v>0</v>
      </c>
      <c r="S173" s="3">
        <f>R173*20%</f>
      </c>
      <c r="T173" s="3">
        <v>1</v>
      </c>
      <c r="U173" s="3">
        <f>N173+Q173+S173</f>
      </c>
      <c r="V173" s="3">
        <f>I173-J173-O173-P173-Q173-R173-S173-T173</f>
      </c>
      <c r="W173" s="3">
        <f>(V173-AE173)/H173*100</f>
      </c>
      <c r="X173" s="3">
        <f>J173-U173</f>
      </c>
      <c r="Y173" t="s">
        <v>1</v>
      </c>
      <c r="Z173" t="s">
        <v>133</v>
      </c>
      <c r="AF173" s="3">
        <f>V173-AE173</f>
      </c>
      <c r="AG173" t="s">
        <v>65</v>
      </c>
      <c r="AH173" t="s">
        <v>60</v>
      </c>
    </row>
    <row r="174" spans="1:34" x14ac:dyDescent="0.25">
      <c r="A174" s="7">
        <v>46208.5</v>
      </c>
      <c r="B174" t="s">
        <v>1792</v>
      </c>
      <c r="C174" t="s">
        <v>1</v>
      </c>
      <c r="D174" s="8" t="s">
        <v>1793</v>
      </c>
      <c r="E174" t="s">
        <v>77</v>
      </c>
      <c r="F174">
        <v>1</v>
      </c>
      <c r="G174" s="3">
        <v>318</v>
      </c>
      <c r="H174" s="3">
        <v>432.48</v>
      </c>
      <c r="I174" s="3">
        <f>H174-G174</f>
      </c>
      <c r="J174" s="3">
        <f>I174*16.67%</f>
      </c>
      <c r="K174" s="3">
        <f>(H174*6.9%)-(H174*6.9%)*10%</f>
      </c>
      <c r="L174" s="3">
        <f>H174*0.35%</f>
      </c>
      <c r="M174" s="3">
        <v>0.4</v>
      </c>
      <c r="N174" s="3">
        <f>(K174+L174+M174)*20%</f>
      </c>
      <c r="O174" s="3">
        <f>K174+L174+M174+N174</f>
      </c>
      <c r="P174" s="3">
        <v>0</v>
      </c>
      <c r="Q174" s="3">
        <v>0</v>
      </c>
      <c r="R174" s="3">
        <v>0</v>
      </c>
      <c r="S174" s="3">
        <f>R174*20%</f>
      </c>
      <c r="T174" s="3">
        <v>1</v>
      </c>
      <c r="U174" s="3">
        <f>N174+Q174+S174</f>
      </c>
      <c r="V174" s="3">
        <f>I174-J174-O174-P174-Q174-R174-S174-T174</f>
      </c>
      <c r="W174" s="3">
        <f>(V174-AE174)/H174*100</f>
      </c>
      <c r="X174" s="3">
        <f>J174-U174</f>
      </c>
      <c r="Y174" t="s">
        <v>1</v>
      </c>
      <c r="Z174" t="s">
        <v>130</v>
      </c>
      <c r="AF174" s="3">
        <f>V174-AE174</f>
      </c>
      <c r="AG174" t="s">
        <v>65</v>
      </c>
      <c r="AH174" t="s">
        <v>84</v>
      </c>
    </row>
    <row r="175" spans="1:34" x14ac:dyDescent="0.25">
      <c r="A175" s="7">
        <v>46208.5</v>
      </c>
      <c r="B175" t="s">
        <v>1794</v>
      </c>
      <c r="C175" t="s">
        <v>188</v>
      </c>
      <c r="D175" s="8" t="s">
        <v>1</v>
      </c>
      <c r="E175" t="s">
        <v>63</v>
      </c>
      <c r="F175">
        <v>2</v>
      </c>
      <c r="G175" s="3">
        <v>7</v>
      </c>
      <c r="H175" s="3">
        <v>8.75</v>
      </c>
      <c r="I175" s="3">
        <f>H175-G175</f>
      </c>
      <c r="J175" s="3">
        <f>I175*16.67%</f>
      </c>
      <c r="K175" s="3">
        <f>(H175*6.9%)-(H175*6.9%)*10%</f>
      </c>
      <c r="L175" s="3">
        <f>H175*0.35%</f>
      </c>
      <c r="M175" s="3">
        <v>0.4</v>
      </c>
      <c r="N175" s="3">
        <f>(K175+L175+M175)*20%</f>
      </c>
      <c r="O175" s="3">
        <f>K175+L175+M175+N175</f>
      </c>
      <c r="P175" s="3">
        <v>0</v>
      </c>
      <c r="Q175" s="3">
        <v>0</v>
      </c>
      <c r="R175" s="3">
        <v>0</v>
      </c>
      <c r="S175" s="3">
        <f>R175*20%</f>
      </c>
      <c r="T175" s="3">
        <v>1</v>
      </c>
      <c r="U175" s="3">
        <f>N175+Q175+S175</f>
      </c>
      <c r="V175" s="3">
        <f>I175-J175-O175-P175-Q175-R175-S175-T175</f>
      </c>
      <c r="W175" s="3">
        <f>(V175-AE175)/H175*100</f>
      </c>
      <c r="X175" s="3">
        <f>J175-U175</f>
      </c>
      <c r="Y175" t="s">
        <v>1</v>
      </c>
      <c r="Z175" t="s">
        <v>188</v>
      </c>
      <c r="AF175" s="3">
        <f>V175-AE175</f>
      </c>
      <c r="AG175" t="s">
        <v>1</v>
      </c>
      <c r="AH175" t="s">
        <v>1</v>
      </c>
    </row>
    <row r="176" spans="1:34" x14ac:dyDescent="0.25">
      <c r="A176" s="7">
        <v>46208.5</v>
      </c>
      <c r="B176" t="s">
        <v>1795</v>
      </c>
      <c r="C176" t="s">
        <v>188</v>
      </c>
      <c r="D176" s="8" t="s">
        <v>1</v>
      </c>
      <c r="E176" t="s">
        <v>63</v>
      </c>
      <c r="F176">
        <v>4</v>
      </c>
      <c r="G176" s="3">
        <v>14</v>
      </c>
      <c r="H176" s="3">
        <v>16.8</v>
      </c>
      <c r="I176" s="3">
        <f>H176-G176</f>
      </c>
      <c r="J176" s="3">
        <f>I176*16.67%</f>
      </c>
      <c r="K176" s="3">
        <f>(H176*6.9%)-(H176*6.9%)*10%</f>
      </c>
      <c r="L176" s="3">
        <f>H176*0.35%</f>
      </c>
      <c r="M176" s="3">
        <v>0.4</v>
      </c>
      <c r="N176" s="3">
        <f>(K176+L176+M176)*20%</f>
      </c>
      <c r="O176" s="3">
        <f>K176+L176+M176+N176</f>
      </c>
      <c r="P176" s="3">
        <v>0</v>
      </c>
      <c r="Q176" s="3">
        <v>0</v>
      </c>
      <c r="R176" s="3">
        <v>0</v>
      </c>
      <c r="S176" s="3">
        <f>R176*20%</f>
      </c>
      <c r="T176" s="3">
        <v>1</v>
      </c>
      <c r="U176" s="3">
        <f>N176+Q176+S176</f>
      </c>
      <c r="V176" s="3">
        <f>I176-J176-O176-P176-Q176-R176-S176-T176</f>
      </c>
      <c r="W176" s="3">
        <f>(V176-AE176)/H176*100</f>
      </c>
      <c r="X176" s="3">
        <f>J176-U176</f>
      </c>
      <c r="Y176" t="s">
        <v>1</v>
      </c>
      <c r="Z176" t="s">
        <v>188</v>
      </c>
      <c r="AF176" s="3">
        <f>V176-AE176</f>
      </c>
      <c r="AG176" t="s">
        <v>1</v>
      </c>
      <c r="AH176" t="s">
        <v>1</v>
      </c>
    </row>
    <row r="177" spans="1:34" x14ac:dyDescent="0.25">
      <c r="A177" s="7">
        <v>46208.5</v>
      </c>
      <c r="B177" t="s">
        <v>1796</v>
      </c>
      <c r="C177" t="s">
        <v>173</v>
      </c>
      <c r="D177" s="8" t="s">
        <v>1</v>
      </c>
      <c r="E177" t="s">
        <v>63</v>
      </c>
      <c r="F177">
        <v>2</v>
      </c>
      <c r="G177" s="3">
        <v>8.5</v>
      </c>
      <c r="H177" s="3">
        <v>11.73</v>
      </c>
      <c r="I177" s="3">
        <f>H177-G177</f>
      </c>
      <c r="J177" s="3">
        <f>I177*16.67%</f>
      </c>
      <c r="K177" s="3">
        <f>(H177*6.9%)-(H177*6.9%)*10%</f>
      </c>
      <c r="L177" s="3">
        <f>H177*0.35%</f>
      </c>
      <c r="M177" s="3">
        <v>0.4</v>
      </c>
      <c r="N177" s="3">
        <f>(K177+L177+M177)*20%</f>
      </c>
      <c r="O177" s="3">
        <f>K177+L177+M177+N177</f>
      </c>
      <c r="P177" s="3">
        <v>0</v>
      </c>
      <c r="Q177" s="3">
        <v>0</v>
      </c>
      <c r="R177" s="3">
        <v>0</v>
      </c>
      <c r="S177" s="3">
        <f>R177*20%</f>
      </c>
      <c r="T177" s="3">
        <v>1</v>
      </c>
      <c r="U177" s="3">
        <f>N177+Q177+S177</f>
      </c>
      <c r="V177" s="3">
        <f>I177-J177-O177-P177-Q177-R177-S177-T177</f>
      </c>
      <c r="W177" s="3">
        <f>(V177-AE177)/H177*100</f>
      </c>
      <c r="X177" s="3">
        <f>J177-U177</f>
      </c>
      <c r="Y177" t="s">
        <v>1</v>
      </c>
      <c r="Z177" t="s">
        <v>173</v>
      </c>
      <c r="AF177" s="3">
        <f>V177-AE177</f>
      </c>
      <c r="AG177" t="s">
        <v>1</v>
      </c>
      <c r="AH177" t="s">
        <v>1</v>
      </c>
    </row>
    <row r="178" spans="1:34" x14ac:dyDescent="0.25">
      <c r="A178" s="7">
        <v>46208.5</v>
      </c>
      <c r="B178" t="s">
        <v>1797</v>
      </c>
      <c r="C178" t="s">
        <v>176</v>
      </c>
      <c r="D178" s="8" t="s">
        <v>1</v>
      </c>
      <c r="E178" t="s">
        <v>77</v>
      </c>
      <c r="F178">
        <v>4</v>
      </c>
      <c r="G178" s="3">
        <v>0.6</v>
      </c>
      <c r="H178" s="3">
        <v>0.7</v>
      </c>
      <c r="I178" s="3">
        <f>H178-G178</f>
      </c>
      <c r="J178" s="3">
        <f>I178*16.67%</f>
      </c>
      <c r="K178" s="3">
        <f>(H178*6.9%)-(H178*6.9%)*10%</f>
      </c>
      <c r="L178" s="3">
        <f>H178*0.35%</f>
      </c>
      <c r="M178" s="3">
        <v>0.4</v>
      </c>
      <c r="N178" s="3">
        <f>(K178+L178+M178)*20%</f>
      </c>
      <c r="O178" s="3">
        <f>K178+L178+M178+N178</f>
      </c>
      <c r="P178" s="3">
        <v>0</v>
      </c>
      <c r="Q178" s="3">
        <v>0</v>
      </c>
      <c r="R178" s="3">
        <v>0</v>
      </c>
      <c r="S178" s="3">
        <f>R178*20%</f>
      </c>
      <c r="T178" s="3">
        <v>1</v>
      </c>
      <c r="U178" s="3">
        <f>N178+Q178+S178</f>
      </c>
      <c r="V178" s="3">
        <f>I178-J178-O178-P178-Q178-R178-S178-T178</f>
      </c>
      <c r="W178" s="3">
        <f>(V178-AE178)/H178*100</f>
      </c>
      <c r="X178" s="3">
        <f>J178-U178</f>
      </c>
      <c r="Y178" t="s">
        <v>1</v>
      </c>
      <c r="Z178" t="s">
        <v>176</v>
      </c>
      <c r="AF178" s="3">
        <f>V178-AE178</f>
      </c>
      <c r="AG178" t="s">
        <v>1</v>
      </c>
      <c r="AH178" t="s">
        <v>1</v>
      </c>
    </row>
    <row r="179" spans="1:34" x14ac:dyDescent="0.25">
      <c r="A179" s="7">
        <v>46207.5</v>
      </c>
      <c r="B179" t="s">
        <v>1798</v>
      </c>
      <c r="C179" t="s">
        <v>1</v>
      </c>
      <c r="D179" s="8" t="s">
        <v>1799</v>
      </c>
      <c r="E179" t="s">
        <v>57</v>
      </c>
      <c r="F179">
        <v>1</v>
      </c>
      <c r="G179" s="3">
        <v>75</v>
      </c>
      <c r="H179" s="3">
        <v>93</v>
      </c>
      <c r="I179" s="3">
        <f>H179-G179</f>
      </c>
      <c r="J179" s="3">
        <f>I179*16.67%</f>
      </c>
      <c r="K179" s="3">
        <f>(H179*6.9%)-(H179*6.9%)*10%</f>
      </c>
      <c r="L179" s="3">
        <f>H179*0.35%</f>
      </c>
      <c r="M179" s="3">
        <v>0.4</v>
      </c>
      <c r="N179" s="3">
        <f>(K179+L179+M179)*20%</f>
      </c>
      <c r="O179" s="3">
        <f>K179+L179+M179+N179</f>
      </c>
      <c r="P179" s="3">
        <v>0</v>
      </c>
      <c r="Q179" s="3">
        <v>0</v>
      </c>
      <c r="R179" s="3">
        <v>0</v>
      </c>
      <c r="S179" s="3">
        <f>R179*20%</f>
      </c>
      <c r="T179" s="3">
        <v>1</v>
      </c>
      <c r="U179" s="3">
        <f>N179+Q179+S179</f>
      </c>
      <c r="V179" s="3">
        <f>I179-J179-O179-P179-Q179-R179-S179-T179</f>
      </c>
      <c r="W179" s="3">
        <f>(V179-AE179)/H179*100</f>
      </c>
      <c r="X179" s="3">
        <f>J179-U179</f>
      </c>
      <c r="Y179" t="s">
        <v>1</v>
      </c>
      <c r="Z179" t="s">
        <v>93</v>
      </c>
      <c r="AF179" s="3">
        <f>V179-AE179</f>
      </c>
      <c r="AG179" t="s">
        <v>94</v>
      </c>
      <c r="AH179" t="s">
        <v>60</v>
      </c>
    </row>
    <row r="180" spans="1:34" x14ac:dyDescent="0.25">
      <c r="A180" s="7">
        <v>46207.5</v>
      </c>
      <c r="B180" t="s">
        <v>1800</v>
      </c>
      <c r="C180" t="s">
        <v>1</v>
      </c>
      <c r="D180" s="8" t="s">
        <v>1801</v>
      </c>
      <c r="E180" t="s">
        <v>63</v>
      </c>
      <c r="F180">
        <v>1</v>
      </c>
      <c r="G180" s="3">
        <v>133</v>
      </c>
      <c r="H180" s="3">
        <v>188.86</v>
      </c>
      <c r="I180" s="3">
        <f>H180-G180</f>
      </c>
      <c r="J180" s="3">
        <f>I180*16.67%</f>
      </c>
      <c r="K180" s="3">
        <f>(H180*6.9%)-(H180*6.9%)*10%</f>
      </c>
      <c r="L180" s="3">
        <f>H180*0.35%</f>
      </c>
      <c r="M180" s="3">
        <v>0.4</v>
      </c>
      <c r="N180" s="3">
        <f>(K180+L180+M180)*20%</f>
      </c>
      <c r="O180" s="3">
        <f>K180+L180+M180+N180</f>
      </c>
      <c r="P180" s="3">
        <v>0</v>
      </c>
      <c r="Q180" s="3">
        <v>0</v>
      </c>
      <c r="R180" s="3">
        <v>0</v>
      </c>
      <c r="S180" s="3">
        <f>R180*20%</f>
      </c>
      <c r="T180" s="3">
        <v>1</v>
      </c>
      <c r="U180" s="3">
        <f>N180+Q180+S180</f>
      </c>
      <c r="V180" s="3">
        <f>I180-J180-O180-P180-Q180-R180-S180-T180</f>
      </c>
      <c r="W180" s="3">
        <f>(V180-AE180)/H180*100</f>
      </c>
      <c r="X180" s="3">
        <f>J180-U180</f>
      </c>
      <c r="Y180" t="s">
        <v>1</v>
      </c>
      <c r="Z180" t="s">
        <v>133</v>
      </c>
      <c r="AF180" s="3">
        <f>V180-AE180</f>
      </c>
      <c r="AG180" t="s">
        <v>94</v>
      </c>
      <c r="AH180" t="s">
        <v>60</v>
      </c>
    </row>
    <row r="181" spans="1:34" x14ac:dyDescent="0.25">
      <c r="A181" s="7">
        <v>46207.5</v>
      </c>
      <c r="B181" t="s">
        <v>1802</v>
      </c>
      <c r="C181" t="s">
        <v>1</v>
      </c>
      <c r="D181" s="8" t="s">
        <v>1803</v>
      </c>
      <c r="E181" t="s">
        <v>77</v>
      </c>
      <c r="F181">
        <v>1</v>
      </c>
      <c r="G181" s="3">
        <v>236</v>
      </c>
      <c r="H181" s="3">
        <v>280.84</v>
      </c>
      <c r="I181" s="3">
        <f>H181-G181</f>
      </c>
      <c r="J181" s="3">
        <f>I181*16.67%</f>
      </c>
      <c r="K181" s="3">
        <f>(H181*6.9%)-(H181*6.9%)*10%</f>
      </c>
      <c r="L181" s="3">
        <f>H181*0.35%</f>
      </c>
      <c r="M181" s="3">
        <v>0.4</v>
      </c>
      <c r="N181" s="3">
        <f>(K181+L181+M181)*20%</f>
      </c>
      <c r="O181" s="3">
        <f>K181+L181+M181+N181</f>
      </c>
      <c r="P181" s="3">
        <v>0</v>
      </c>
      <c r="Q181" s="3">
        <v>0</v>
      </c>
      <c r="R181" s="3">
        <v>0</v>
      </c>
      <c r="S181" s="3">
        <f>R181*20%</f>
      </c>
      <c r="T181" s="3">
        <v>1</v>
      </c>
      <c r="U181" s="3">
        <f>N181+Q181+S181</f>
      </c>
      <c r="V181" s="3">
        <f>I181-J181-O181-P181-Q181-R181-S181-T181</f>
      </c>
      <c r="W181" s="3">
        <f>(V181-AE181)/H181*100</f>
      </c>
      <c r="X181" s="3">
        <f>J181-U181</f>
      </c>
      <c r="Y181" t="s">
        <v>1</v>
      </c>
      <c r="Z181" t="s">
        <v>113</v>
      </c>
      <c r="AF181" s="3">
        <f>V181-AE181</f>
      </c>
      <c r="AG181" t="s">
        <v>59</v>
      </c>
      <c r="AH181" t="s">
        <v>69</v>
      </c>
    </row>
    <row r="182" spans="1:34" x14ac:dyDescent="0.25">
      <c r="A182" s="7">
        <v>46206.5</v>
      </c>
      <c r="B182" t="s">
        <v>1804</v>
      </c>
      <c r="C182" t="s">
        <v>1</v>
      </c>
      <c r="D182" s="8" t="s">
        <v>1805</v>
      </c>
      <c r="E182" t="s">
        <v>77</v>
      </c>
      <c r="F182">
        <v>1</v>
      </c>
      <c r="G182" s="3">
        <v>361</v>
      </c>
      <c r="H182" s="3">
        <v>465.69</v>
      </c>
      <c r="I182" s="3">
        <f>H182-G182</f>
      </c>
      <c r="J182" s="3">
        <f>I182*16.67%</f>
      </c>
      <c r="K182" s="3">
        <f>(H182*6.9%)-(H182*6.9%)*10%</f>
      </c>
      <c r="L182" s="3">
        <f>H182*0.35%</f>
      </c>
      <c r="M182" s="3">
        <v>0.4</v>
      </c>
      <c r="N182" s="3">
        <f>(K182+L182+M182)*20%</f>
      </c>
      <c r="O182" s="3">
        <f>K182+L182+M182+N182</f>
      </c>
      <c r="P182" s="3">
        <v>0</v>
      </c>
      <c r="Q182" s="3">
        <v>0</v>
      </c>
      <c r="R182" s="3">
        <v>0</v>
      </c>
      <c r="S182" s="3">
        <f>R182*20%</f>
      </c>
      <c r="T182" s="3">
        <v>1</v>
      </c>
      <c r="U182" s="3">
        <f>N182+Q182+S182</f>
      </c>
      <c r="V182" s="3">
        <f>I182-J182-O182-P182-Q182-R182-S182-T182</f>
      </c>
      <c r="W182" s="3">
        <f>(V182-AE182)/H182*100</f>
      </c>
      <c r="X182" s="3">
        <f>J182-U182</f>
      </c>
      <c r="Y182" t="s">
        <v>1</v>
      </c>
      <c r="Z182" t="s">
        <v>73</v>
      </c>
      <c r="AF182" s="3">
        <f>V182-AE182</f>
      </c>
      <c r="AG182" t="s">
        <v>59</v>
      </c>
      <c r="AH182" t="s">
        <v>60</v>
      </c>
    </row>
    <row r="183" spans="1:34" x14ac:dyDescent="0.25">
      <c r="A183" s="7">
        <v>46206.5</v>
      </c>
      <c r="B183" t="s">
        <v>1806</v>
      </c>
      <c r="C183" t="s">
        <v>1</v>
      </c>
      <c r="D183" s="8" t="s">
        <v>1807</v>
      </c>
      <c r="E183" t="s">
        <v>63</v>
      </c>
      <c r="F183">
        <v>1</v>
      </c>
      <c r="G183" s="3">
        <v>181</v>
      </c>
      <c r="H183" s="3">
        <v>242.54</v>
      </c>
      <c r="I183" s="3">
        <f>H183-G183</f>
      </c>
      <c r="J183" s="3">
        <f>I183*16.67%</f>
      </c>
      <c r="K183" s="3">
        <f>(H183*6.9%)-(H183*6.9%)*10%</f>
      </c>
      <c r="L183" s="3">
        <f>H183*0.35%</f>
      </c>
      <c r="M183" s="3">
        <v>0.4</v>
      </c>
      <c r="N183" s="3">
        <f>(K183+L183+M183)*20%</f>
      </c>
      <c r="O183" s="3">
        <f>K183+L183+M183+N183</f>
      </c>
      <c r="P183" s="3">
        <v>0</v>
      </c>
      <c r="Q183" s="3">
        <v>0</v>
      </c>
      <c r="R183" s="3">
        <v>0</v>
      </c>
      <c r="S183" s="3">
        <f>R183*20%</f>
      </c>
      <c r="T183" s="3">
        <v>1</v>
      </c>
      <c r="U183" s="3">
        <f>N183+Q183+S183</f>
      </c>
      <c r="V183" s="3">
        <f>I183-J183-O183-P183-Q183-R183-S183-T183</f>
      </c>
      <c r="W183" s="3">
        <f>(V183-AE183)/H183*100</f>
      </c>
      <c r="X183" s="3">
        <f>J183-U183</f>
      </c>
      <c r="Y183" t="s">
        <v>1</v>
      </c>
      <c r="Z183" t="s">
        <v>291</v>
      </c>
      <c r="AF183" s="3">
        <f>V183-AE183</f>
      </c>
      <c r="AG183" t="s">
        <v>125</v>
      </c>
      <c r="AH183" t="s">
        <v>98</v>
      </c>
    </row>
    <row r="184" spans="1:34" x14ac:dyDescent="0.25">
      <c r="A184" s="7">
        <v>46206.5</v>
      </c>
      <c r="B184" t="s">
        <v>1808</v>
      </c>
      <c r="C184" t="s">
        <v>1</v>
      </c>
      <c r="D184" s="8" t="s">
        <v>1809</v>
      </c>
      <c r="E184" t="s">
        <v>63</v>
      </c>
      <c r="F184">
        <v>1</v>
      </c>
      <c r="G184" s="3">
        <v>116</v>
      </c>
      <c r="H184" s="3">
        <v>134.56</v>
      </c>
      <c r="I184" s="3">
        <f>H184-G184</f>
      </c>
      <c r="J184" s="3">
        <f>I184*16.67%</f>
      </c>
      <c r="K184" s="3">
        <f>(H184*6.9%)-(H184*6.9%)*10%</f>
      </c>
      <c r="L184" s="3">
        <f>H184*0.35%</f>
      </c>
      <c r="M184" s="3">
        <v>0.4</v>
      </c>
      <c r="N184" s="3">
        <f>(K184+L184+M184)*20%</f>
      </c>
      <c r="O184" s="3">
        <f>K184+L184+M184+N184</f>
      </c>
      <c r="P184" s="3">
        <v>0</v>
      </c>
      <c r="Q184" s="3">
        <v>0</v>
      </c>
      <c r="R184" s="3">
        <v>0</v>
      </c>
      <c r="S184" s="3">
        <f>R184*20%</f>
      </c>
      <c r="T184" s="3">
        <v>1</v>
      </c>
      <c r="U184" s="3">
        <f>N184+Q184+S184</f>
      </c>
      <c r="V184" s="3">
        <f>I184-J184-O184-P184-Q184-R184-S184-T184</f>
      </c>
      <c r="W184" s="3">
        <f>(V184-AE184)/H184*100</f>
      </c>
      <c r="X184" s="3">
        <f>J184-U184</f>
      </c>
      <c r="Y184" t="s">
        <v>1</v>
      </c>
      <c r="Z184" t="s">
        <v>133</v>
      </c>
      <c r="AF184" s="3">
        <f>V184-AE184</f>
      </c>
      <c r="AG184" t="s">
        <v>94</v>
      </c>
      <c r="AH184" t="s">
        <v>87</v>
      </c>
    </row>
    <row r="185" spans="1:34" x14ac:dyDescent="0.25">
      <c r="A185" s="7">
        <v>46206.5</v>
      </c>
      <c r="B185" t="s">
        <v>1810</v>
      </c>
      <c r="C185" t="s">
        <v>253</v>
      </c>
      <c r="D185" s="8" t="s">
        <v>1</v>
      </c>
      <c r="E185" t="s">
        <v>57</v>
      </c>
      <c r="F185">
        <v>4</v>
      </c>
      <c r="G185" s="3">
        <v>3.2</v>
      </c>
      <c r="H185" s="3">
        <v>4.16</v>
      </c>
      <c r="I185" s="3">
        <f>H185-G185</f>
      </c>
      <c r="J185" s="3">
        <f>I185*16.67%</f>
      </c>
      <c r="K185" s="3">
        <f>(H185*6.9%)-(H185*6.9%)*10%</f>
      </c>
      <c r="L185" s="3">
        <f>H185*0.35%</f>
      </c>
      <c r="M185" s="3">
        <v>0.4</v>
      </c>
      <c r="N185" s="3">
        <f>(K185+L185+M185)*20%</f>
      </c>
      <c r="O185" s="3">
        <f>K185+L185+M185+N185</f>
      </c>
      <c r="P185" s="3">
        <v>0</v>
      </c>
      <c r="Q185" s="3">
        <v>0</v>
      </c>
      <c r="R185" s="3">
        <v>0</v>
      </c>
      <c r="S185" s="3">
        <f>R185*20%</f>
      </c>
      <c r="T185" s="3">
        <v>1</v>
      </c>
      <c r="U185" s="3">
        <f>N185+Q185+S185</f>
      </c>
      <c r="V185" s="3">
        <f>I185-J185-O185-P185-Q185-R185-S185-T185</f>
      </c>
      <c r="W185" s="3">
        <f>(V185-AE185)/H185*100</f>
      </c>
      <c r="X185" s="3">
        <f>J185-U185</f>
      </c>
      <c r="Y185" t="s">
        <v>1</v>
      </c>
      <c r="Z185" t="s">
        <v>253</v>
      </c>
      <c r="AF185" s="3">
        <f>V185-AE185</f>
      </c>
      <c r="AG185" t="s">
        <v>1</v>
      </c>
      <c r="AH185" t="s">
        <v>1</v>
      </c>
    </row>
    <row r="186" spans="1:34" x14ac:dyDescent="0.25">
      <c r="A186" s="7">
        <v>46206.5</v>
      </c>
      <c r="B186" t="s">
        <v>1811</v>
      </c>
      <c r="C186" t="s">
        <v>253</v>
      </c>
      <c r="D186" s="8" t="s">
        <v>1</v>
      </c>
      <c r="E186" t="s">
        <v>57</v>
      </c>
      <c r="F186">
        <v>1</v>
      </c>
      <c r="G186" s="3">
        <v>0.8</v>
      </c>
      <c r="H186" s="3">
        <v>0.92</v>
      </c>
      <c r="I186" s="3">
        <f>H186-G186</f>
      </c>
      <c r="J186" s="3">
        <f>I186*16.67%</f>
      </c>
      <c r="K186" s="3">
        <f>(H186*6.9%)-(H186*6.9%)*10%</f>
      </c>
      <c r="L186" s="3">
        <f>H186*0.35%</f>
      </c>
      <c r="M186" s="3">
        <v>0.4</v>
      </c>
      <c r="N186" s="3">
        <f>(K186+L186+M186)*20%</f>
      </c>
      <c r="O186" s="3">
        <f>K186+L186+M186+N186</f>
      </c>
      <c r="P186" s="3">
        <v>0</v>
      </c>
      <c r="Q186" s="3">
        <v>0</v>
      </c>
      <c r="R186" s="3">
        <v>0</v>
      </c>
      <c r="S186" s="3">
        <f>R186*20%</f>
      </c>
      <c r="T186" s="3">
        <v>1</v>
      </c>
      <c r="U186" s="3">
        <f>N186+Q186+S186</f>
      </c>
      <c r="V186" s="3">
        <f>I186-J186-O186-P186-Q186-R186-S186-T186</f>
      </c>
      <c r="W186" s="3">
        <f>(V186-AE186)/H186*100</f>
      </c>
      <c r="X186" s="3">
        <f>J186-U186</f>
      </c>
      <c r="Y186" t="s">
        <v>1</v>
      </c>
      <c r="Z186" t="s">
        <v>253</v>
      </c>
      <c r="AF186" s="3">
        <f>V186-AE186</f>
      </c>
      <c r="AG186" t="s">
        <v>1</v>
      </c>
      <c r="AH186" t="s">
        <v>1</v>
      </c>
    </row>
    <row r="187" spans="1:34" x14ac:dyDescent="0.25">
      <c r="A187" s="7">
        <v>46206.5</v>
      </c>
      <c r="B187" t="s">
        <v>1812</v>
      </c>
      <c r="C187" t="s">
        <v>181</v>
      </c>
      <c r="D187" s="8" t="s">
        <v>1</v>
      </c>
      <c r="E187" t="s">
        <v>72</v>
      </c>
      <c r="F187">
        <v>4</v>
      </c>
      <c r="G187" s="3">
        <v>7.6</v>
      </c>
      <c r="H187" s="3">
        <v>9.35</v>
      </c>
      <c r="I187" s="3">
        <f>H187-G187</f>
      </c>
      <c r="J187" s="3">
        <f>I187*16.67%</f>
      </c>
      <c r="K187" s="3">
        <f>(H187*6.9%)-(H187*6.9%)*10%</f>
      </c>
      <c r="L187" s="3">
        <f>H187*0.35%</f>
      </c>
      <c r="M187" s="3">
        <v>0.4</v>
      </c>
      <c r="N187" s="3">
        <f>(K187+L187+M187)*20%</f>
      </c>
      <c r="O187" s="3">
        <f>K187+L187+M187+N187</f>
      </c>
      <c r="P187" s="3">
        <v>0</v>
      </c>
      <c r="Q187" s="3">
        <v>0</v>
      </c>
      <c r="R187" s="3">
        <v>0</v>
      </c>
      <c r="S187" s="3">
        <f>R187*20%</f>
      </c>
      <c r="T187" s="3">
        <v>1</v>
      </c>
      <c r="U187" s="3">
        <f>N187+Q187+S187</f>
      </c>
      <c r="V187" s="3">
        <f>I187-J187-O187-P187-Q187-R187-S187-T187</f>
      </c>
      <c r="W187" s="3">
        <f>(V187-AE187)/H187*100</f>
      </c>
      <c r="X187" s="3">
        <f>J187-U187</f>
      </c>
      <c r="Y187" t="s">
        <v>1</v>
      </c>
      <c r="Z187" t="s">
        <v>181</v>
      </c>
      <c r="AF187" s="3">
        <f>V187-AE187</f>
      </c>
      <c r="AG187" t="s">
        <v>1</v>
      </c>
      <c r="AH187" t="s">
        <v>1</v>
      </c>
    </row>
    <row r="188" spans="1:34" x14ac:dyDescent="0.25">
      <c r="A188" s="7">
        <v>46206.5</v>
      </c>
      <c r="B188" t="s">
        <v>1813</v>
      </c>
      <c r="C188" t="s">
        <v>181</v>
      </c>
      <c r="D188" s="8" t="s">
        <v>1</v>
      </c>
      <c r="E188" t="s">
        <v>72</v>
      </c>
      <c r="F188">
        <v>4</v>
      </c>
      <c r="G188" s="3">
        <v>7.6</v>
      </c>
      <c r="H188" s="3">
        <v>9.65</v>
      </c>
      <c r="I188" s="3">
        <f>H188-G188</f>
      </c>
      <c r="J188" s="3">
        <f>I188*16.67%</f>
      </c>
      <c r="K188" s="3">
        <f>(H188*6.9%)-(H188*6.9%)*10%</f>
      </c>
      <c r="L188" s="3">
        <f>H188*0.35%</f>
      </c>
      <c r="M188" s="3">
        <v>0.4</v>
      </c>
      <c r="N188" s="3">
        <f>(K188+L188+M188)*20%</f>
      </c>
      <c r="O188" s="3">
        <f>K188+L188+M188+N188</f>
      </c>
      <c r="P188" s="3">
        <v>0</v>
      </c>
      <c r="Q188" s="3">
        <v>0</v>
      </c>
      <c r="R188" s="3">
        <v>0</v>
      </c>
      <c r="S188" s="3">
        <f>R188*20%</f>
      </c>
      <c r="T188" s="3">
        <v>1</v>
      </c>
      <c r="U188" s="3">
        <f>N188+Q188+S188</f>
      </c>
      <c r="V188" s="3">
        <f>I188-J188-O188-P188-Q188-R188-S188-T188</f>
      </c>
      <c r="W188" s="3">
        <f>(V188-AE188)/H188*100</f>
      </c>
      <c r="X188" s="3">
        <f>J188-U188</f>
      </c>
      <c r="Y188" t="s">
        <v>1</v>
      </c>
      <c r="Z188" t="s">
        <v>181</v>
      </c>
      <c r="AF188" s="3">
        <f>V188-AE188</f>
      </c>
      <c r="AG188" t="s">
        <v>1</v>
      </c>
      <c r="AH188" t="s">
        <v>1</v>
      </c>
    </row>
    <row r="189" spans="1:34" x14ac:dyDescent="0.25">
      <c r="A189" s="7">
        <v>46206.5</v>
      </c>
      <c r="B189" t="s">
        <v>1814</v>
      </c>
      <c r="C189" t="s">
        <v>181</v>
      </c>
      <c r="D189" s="8" t="s">
        <v>1</v>
      </c>
      <c r="E189" t="s">
        <v>72</v>
      </c>
      <c r="F189">
        <v>4</v>
      </c>
      <c r="G189" s="3">
        <v>7.6</v>
      </c>
      <c r="H189" s="3">
        <v>10.64</v>
      </c>
      <c r="I189" s="3">
        <f>H189-G189</f>
      </c>
      <c r="J189" s="3">
        <f>I189*16.67%</f>
      </c>
      <c r="K189" s="3">
        <f>(H189*6.9%)-(H189*6.9%)*10%</f>
      </c>
      <c r="L189" s="3">
        <f>H189*0.35%</f>
      </c>
      <c r="M189" s="3">
        <v>0.4</v>
      </c>
      <c r="N189" s="3">
        <f>(K189+L189+M189)*20%</f>
      </c>
      <c r="O189" s="3">
        <f>K189+L189+M189+N189</f>
      </c>
      <c r="P189" s="3">
        <v>0</v>
      </c>
      <c r="Q189" s="3">
        <v>0</v>
      </c>
      <c r="R189" s="3">
        <v>0</v>
      </c>
      <c r="S189" s="3">
        <f>R189*20%</f>
      </c>
      <c r="T189" s="3">
        <v>1</v>
      </c>
      <c r="U189" s="3">
        <f>N189+Q189+S189</f>
      </c>
      <c r="V189" s="3">
        <f>I189-J189-O189-P189-Q189-R189-S189-T189</f>
      </c>
      <c r="W189" s="3">
        <f>(V189-AE189)/H189*100</f>
      </c>
      <c r="X189" s="3">
        <f>J189-U189</f>
      </c>
      <c r="Y189" t="s">
        <v>1</v>
      </c>
      <c r="Z189" t="s">
        <v>181</v>
      </c>
      <c r="AF189" s="3">
        <f>V189-AE189</f>
      </c>
      <c r="AG189" t="s">
        <v>1</v>
      </c>
      <c r="AH189" t="s">
        <v>1</v>
      </c>
    </row>
    <row r="190" spans="1:34" x14ac:dyDescent="0.25">
      <c r="A190" s="7">
        <v>46205.5</v>
      </c>
      <c r="B190" t="s">
        <v>1815</v>
      </c>
      <c r="C190" t="s">
        <v>1</v>
      </c>
      <c r="D190" s="8" t="s">
        <v>1816</v>
      </c>
      <c r="E190" t="s">
        <v>101</v>
      </c>
      <c r="F190">
        <v>1</v>
      </c>
      <c r="G190" s="3">
        <v>162</v>
      </c>
      <c r="H190" s="3">
        <v>231.66</v>
      </c>
      <c r="I190" s="3">
        <f>H190-G190</f>
      </c>
      <c r="J190" s="3">
        <f>I190*16.67%</f>
      </c>
      <c r="K190" s="3">
        <f>(H190*6.9%)-(H190*6.9%)*10%</f>
      </c>
      <c r="L190" s="3">
        <f>H190*0.35%</f>
      </c>
      <c r="M190" s="3">
        <v>0.4</v>
      </c>
      <c r="N190" s="3">
        <f>(K190+L190+M190)*20%</f>
      </c>
      <c r="O190" s="3">
        <f>K190+L190+M190+N190</f>
      </c>
      <c r="P190" s="3">
        <v>0</v>
      </c>
      <c r="Q190" s="3">
        <v>0</v>
      </c>
      <c r="R190" s="3">
        <v>0</v>
      </c>
      <c r="S190" s="3">
        <f>R190*20%</f>
      </c>
      <c r="T190" s="3">
        <v>1</v>
      </c>
      <c r="U190" s="3">
        <f>N190+Q190+S190</f>
      </c>
      <c r="V190" s="3">
        <f>I190-J190-O190-P190-Q190-R190-S190-T190</f>
      </c>
      <c r="W190" s="3">
        <f>(V190-AE190)/H190*100</f>
      </c>
      <c r="X190" s="3">
        <f>J190-U190</f>
      </c>
      <c r="Y190" t="s">
        <v>1</v>
      </c>
      <c r="Z190" t="s">
        <v>233</v>
      </c>
      <c r="AF190" s="3">
        <f>V190-AE190</f>
      </c>
      <c r="AG190" t="s">
        <v>65</v>
      </c>
      <c r="AH190" t="s">
        <v>69</v>
      </c>
    </row>
    <row r="191" spans="1:34" x14ac:dyDescent="0.25">
      <c r="A191" s="7">
        <v>46205.5</v>
      </c>
      <c r="B191" t="s">
        <v>1817</v>
      </c>
      <c r="C191" t="s">
        <v>1</v>
      </c>
      <c r="D191" s="8" t="s">
        <v>1818</v>
      </c>
      <c r="E191" t="s">
        <v>77</v>
      </c>
      <c r="F191">
        <v>1</v>
      </c>
      <c r="G191" s="3">
        <v>370</v>
      </c>
      <c r="H191" s="3">
        <v>436.6</v>
      </c>
      <c r="I191" s="3">
        <f>H191-G191</f>
      </c>
      <c r="J191" s="3">
        <f>I191*16.67%</f>
      </c>
      <c r="K191" s="3">
        <f>(H191*6.9%)-(H191*6.9%)*10%</f>
      </c>
      <c r="L191" s="3">
        <f>H191*0.35%</f>
      </c>
      <c r="M191" s="3">
        <v>0.4</v>
      </c>
      <c r="N191" s="3">
        <f>(K191+L191+M191)*20%</f>
      </c>
      <c r="O191" s="3">
        <f>K191+L191+M191+N191</f>
      </c>
      <c r="P191" s="3">
        <v>0</v>
      </c>
      <c r="Q191" s="3">
        <v>0</v>
      </c>
      <c r="R191" s="3">
        <v>0</v>
      </c>
      <c r="S191" s="3">
        <f>R191*20%</f>
      </c>
      <c r="T191" s="3">
        <v>1</v>
      </c>
      <c r="U191" s="3">
        <f>N191+Q191+S191</f>
      </c>
      <c r="V191" s="3">
        <f>I191-J191-O191-P191-Q191-R191-S191-T191</f>
      </c>
      <c r="W191" s="3">
        <f>(V191-AE191)/H191*100</f>
      </c>
      <c r="X191" s="3">
        <f>J191-U191</f>
      </c>
      <c r="Y191" t="s">
        <v>1</v>
      </c>
      <c r="Z191" t="s">
        <v>73</v>
      </c>
      <c r="AF191" s="3">
        <f>V191-AE191</f>
      </c>
      <c r="AG191" t="s">
        <v>59</v>
      </c>
      <c r="AH191" t="s">
        <v>87</v>
      </c>
    </row>
    <row r="192" spans="1:34" x14ac:dyDescent="0.25">
      <c r="A192" s="7">
        <v>46205.5</v>
      </c>
      <c r="B192" t="s">
        <v>1819</v>
      </c>
      <c r="C192" t="s">
        <v>1</v>
      </c>
      <c r="D192" s="8" t="s">
        <v>1820</v>
      </c>
      <c r="E192" t="s">
        <v>77</v>
      </c>
      <c r="F192">
        <v>1</v>
      </c>
      <c r="G192" s="3">
        <v>210</v>
      </c>
      <c r="H192" s="3">
        <v>268.8</v>
      </c>
      <c r="I192" s="3">
        <f>H192-G192</f>
      </c>
      <c r="J192" s="3">
        <f>I192*16.67%</f>
      </c>
      <c r="K192" s="3">
        <f>(H192*6.9%)-(H192*6.9%)*10%</f>
      </c>
      <c r="L192" s="3">
        <f>H192*0.35%</f>
      </c>
      <c r="M192" s="3">
        <v>0.4</v>
      </c>
      <c r="N192" s="3">
        <f>(K192+L192+M192)*20%</f>
      </c>
      <c r="O192" s="3">
        <f>K192+L192+M192+N192</f>
      </c>
      <c r="P192" s="3">
        <v>0</v>
      </c>
      <c r="Q192" s="3">
        <v>0</v>
      </c>
      <c r="R192" s="3">
        <v>0</v>
      </c>
      <c r="S192" s="3">
        <f>R192*20%</f>
      </c>
      <c r="T192" s="3">
        <v>1</v>
      </c>
      <c r="U192" s="3">
        <f>N192+Q192+S192</f>
      </c>
      <c r="V192" s="3">
        <f>I192-J192-O192-P192-Q192-R192-S192-T192</f>
      </c>
      <c r="W192" s="3">
        <f>(V192-AE192)/H192*100</f>
      </c>
      <c r="X192" s="3">
        <f>J192-U192</f>
      </c>
      <c r="Y192" t="s">
        <v>1</v>
      </c>
      <c r="Z192" t="s">
        <v>113</v>
      </c>
      <c r="AF192" s="3">
        <f>V192-AE192</f>
      </c>
      <c r="AG192" t="s">
        <v>59</v>
      </c>
      <c r="AH192" t="s">
        <v>98</v>
      </c>
    </row>
    <row r="193" spans="1:34" x14ac:dyDescent="0.25">
      <c r="A193" s="7">
        <v>46205.5</v>
      </c>
      <c r="B193" t="s">
        <v>1821</v>
      </c>
      <c r="C193" t="s">
        <v>1</v>
      </c>
      <c r="D193" s="8" t="s">
        <v>1822</v>
      </c>
      <c r="E193" t="s">
        <v>77</v>
      </c>
      <c r="F193">
        <v>1</v>
      </c>
      <c r="G193" s="3">
        <v>263</v>
      </c>
      <c r="H193" s="3">
        <v>355.05</v>
      </c>
      <c r="I193" s="3">
        <f>H193-G193</f>
      </c>
      <c r="J193" s="3">
        <f>I193*16.67%</f>
      </c>
      <c r="K193" s="3">
        <f>(H193*6.9%)-(H193*6.9%)*10%</f>
      </c>
      <c r="L193" s="3">
        <f>H193*0.35%</f>
      </c>
      <c r="M193" s="3">
        <v>0.4</v>
      </c>
      <c r="N193" s="3">
        <f>(K193+L193+M193)*20%</f>
      </c>
      <c r="O193" s="3">
        <f>K193+L193+M193+N193</f>
      </c>
      <c r="P193" s="3">
        <v>0</v>
      </c>
      <c r="Q193" s="3">
        <v>0</v>
      </c>
      <c r="R193" s="3">
        <v>0</v>
      </c>
      <c r="S193" s="3">
        <f>R193*20%</f>
      </c>
      <c r="T193" s="3">
        <v>1</v>
      </c>
      <c r="U193" s="3">
        <f>N193+Q193+S193</f>
      </c>
      <c r="V193" s="3">
        <f>I193-J193-O193-P193-Q193-R193-S193-T193</f>
      </c>
      <c r="W193" s="3">
        <f>(V193-AE193)/H193*100</f>
      </c>
      <c r="X193" s="3">
        <f>J193-U193</f>
      </c>
      <c r="Y193" t="s">
        <v>1</v>
      </c>
      <c r="Z193" t="s">
        <v>124</v>
      </c>
      <c r="AF193" s="3">
        <f>V193-AE193</f>
      </c>
      <c r="AG193" t="s">
        <v>125</v>
      </c>
      <c r="AH193" t="s">
        <v>69</v>
      </c>
    </row>
    <row r="194" spans="1:34" x14ac:dyDescent="0.25">
      <c r="A194" s="7">
        <v>46205.5</v>
      </c>
      <c r="B194" t="s">
        <v>1823</v>
      </c>
      <c r="C194" t="s">
        <v>1</v>
      </c>
      <c r="D194" s="8" t="s">
        <v>1824</v>
      </c>
      <c r="E194" t="s">
        <v>63</v>
      </c>
      <c r="F194">
        <v>1</v>
      </c>
      <c r="G194" s="3">
        <v>468</v>
      </c>
      <c r="H194" s="3">
        <v>650.52</v>
      </c>
      <c r="I194" s="3">
        <f>H194-G194</f>
      </c>
      <c r="J194" s="3">
        <f>I194*16.67%</f>
      </c>
      <c r="K194" s="3">
        <f>(H194*6.9%)-(H194*6.9%)*10%</f>
      </c>
      <c r="L194" s="3">
        <f>H194*0.35%</f>
      </c>
      <c r="M194" s="3">
        <v>0.4</v>
      </c>
      <c r="N194" s="3">
        <f>(K194+L194+M194)*20%</f>
      </c>
      <c r="O194" s="3">
        <f>K194+L194+M194+N194</f>
      </c>
      <c r="P194" s="3">
        <v>0</v>
      </c>
      <c r="Q194" s="3">
        <v>0</v>
      </c>
      <c r="R194" s="3">
        <v>0</v>
      </c>
      <c r="S194" s="3">
        <f>R194*20%</f>
      </c>
      <c r="T194" s="3">
        <v>1</v>
      </c>
      <c r="U194" s="3">
        <f>N194+Q194+S194</f>
      </c>
      <c r="V194" s="3">
        <f>I194-J194-O194-P194-Q194-R194-S194-T194</f>
      </c>
      <c r="W194" s="3">
        <f>(V194-AE194)/H194*100</f>
      </c>
      <c r="X194" s="3">
        <f>J194-U194</f>
      </c>
      <c r="Y194" t="s">
        <v>1</v>
      </c>
      <c r="Z194" t="s">
        <v>58</v>
      </c>
      <c r="AF194" s="3">
        <f>V194-AE194</f>
      </c>
      <c r="AG194" t="s">
        <v>59</v>
      </c>
      <c r="AH194" t="s">
        <v>84</v>
      </c>
    </row>
    <row r="195" spans="1:34" x14ac:dyDescent="0.25">
      <c r="A195" s="7">
        <v>46205.5</v>
      </c>
      <c r="B195" t="s">
        <v>1825</v>
      </c>
      <c r="C195" t="s">
        <v>176</v>
      </c>
      <c r="D195" s="8" t="s">
        <v>1</v>
      </c>
      <c r="E195" t="s">
        <v>77</v>
      </c>
      <c r="F195">
        <v>1</v>
      </c>
      <c r="G195" s="3">
        <v>0.15</v>
      </c>
      <c r="H195" s="3">
        <v>0.2</v>
      </c>
      <c r="I195" s="3">
        <f>H195-G195</f>
      </c>
      <c r="J195" s="3">
        <f>I195*16.67%</f>
      </c>
      <c r="K195" s="3">
        <f>(H195*6.9%)-(H195*6.9%)*10%</f>
      </c>
      <c r="L195" s="3">
        <f>H195*0.35%</f>
      </c>
      <c r="M195" s="3">
        <v>0.4</v>
      </c>
      <c r="N195" s="3">
        <f>(K195+L195+M195)*20%</f>
      </c>
      <c r="O195" s="3">
        <f>K195+L195+M195+N195</f>
      </c>
      <c r="P195" s="3">
        <v>0</v>
      </c>
      <c r="Q195" s="3">
        <v>0</v>
      </c>
      <c r="R195" s="3">
        <v>0</v>
      </c>
      <c r="S195" s="3">
        <f>R195*20%</f>
      </c>
      <c r="T195" s="3">
        <v>1</v>
      </c>
      <c r="U195" s="3">
        <f>N195+Q195+S195</f>
      </c>
      <c r="V195" s="3">
        <f>I195-J195-O195-P195-Q195-R195-S195-T195</f>
      </c>
      <c r="W195" s="3">
        <f>(V195-AE195)/H195*100</f>
      </c>
      <c r="X195" s="3">
        <f>J195-U195</f>
      </c>
      <c r="Y195" t="s">
        <v>1</v>
      </c>
      <c r="Z195" t="s">
        <v>176</v>
      </c>
      <c r="AF195" s="3">
        <f>V195-AE195</f>
      </c>
      <c r="AG195" t="s">
        <v>1</v>
      </c>
      <c r="AH195" t="s">
        <v>1</v>
      </c>
    </row>
    <row r="196" spans="1:34" x14ac:dyDescent="0.25">
      <c r="A196" s="7">
        <v>46204.5</v>
      </c>
      <c r="B196" t="s">
        <v>1826</v>
      </c>
      <c r="C196" t="s">
        <v>1</v>
      </c>
      <c r="D196" s="8" t="s">
        <v>1827</v>
      </c>
      <c r="E196" t="s">
        <v>77</v>
      </c>
      <c r="F196">
        <v>1</v>
      </c>
      <c r="G196" s="3">
        <v>107</v>
      </c>
      <c r="H196" s="3">
        <v>147.66</v>
      </c>
      <c r="I196" s="3">
        <f>H196-G196</f>
      </c>
      <c r="J196" s="3">
        <f>I196*16.67%</f>
      </c>
      <c r="K196" s="3">
        <f>(H196*6.9%)-(H196*6.9%)*10%</f>
      </c>
      <c r="L196" s="3">
        <f>H196*0.35%</f>
      </c>
      <c r="M196" s="3">
        <v>0.4</v>
      </c>
      <c r="N196" s="3">
        <f>(K196+L196+M196)*20%</f>
      </c>
      <c r="O196" s="3">
        <f>K196+L196+M196+N196</f>
      </c>
      <c r="P196" s="3">
        <v>0</v>
      </c>
      <c r="Q196" s="3">
        <v>0</v>
      </c>
      <c r="R196" s="3">
        <v>0</v>
      </c>
      <c r="S196" s="3">
        <f>R196*20%</f>
      </c>
      <c r="T196" s="3">
        <v>1</v>
      </c>
      <c r="U196" s="3">
        <f>N196+Q196+S196</f>
      </c>
      <c r="V196" s="3">
        <f>I196-J196-O196-P196-Q196-R196-S196-T196</f>
      </c>
      <c r="W196" s="3">
        <f>(V196-AE196)/H196*100</f>
      </c>
      <c r="X196" s="3">
        <f>J196-U196</f>
      </c>
      <c r="Y196" t="s">
        <v>1</v>
      </c>
      <c r="Z196" t="s">
        <v>133</v>
      </c>
      <c r="AF196" s="3">
        <f>V196-AE196</f>
      </c>
      <c r="AG196" t="s">
        <v>65</v>
      </c>
      <c r="AH196" t="s">
        <v>84</v>
      </c>
    </row>
    <row r="197" spans="1:34" x14ac:dyDescent="0.25">
      <c r="A197" s="7">
        <v>46204.5</v>
      </c>
      <c r="B197" t="s">
        <v>1828</v>
      </c>
      <c r="C197" t="s">
        <v>1</v>
      </c>
      <c r="D197" s="8" t="s">
        <v>1829</v>
      </c>
      <c r="E197" t="s">
        <v>63</v>
      </c>
      <c r="F197">
        <v>1</v>
      </c>
      <c r="G197" s="3">
        <v>322</v>
      </c>
      <c r="H197" s="3">
        <v>415.38</v>
      </c>
      <c r="I197" s="3">
        <f>H197-G197</f>
      </c>
      <c r="J197" s="3">
        <f>I197*16.67%</f>
      </c>
      <c r="K197" s="3">
        <f>(H197*6.9%)-(H197*6.9%)*10%</f>
      </c>
      <c r="L197" s="3">
        <f>H197*0.35%</f>
      </c>
      <c r="M197" s="3">
        <v>0.4</v>
      </c>
      <c r="N197" s="3">
        <f>(K197+L197+M197)*20%</f>
      </c>
      <c r="O197" s="3">
        <f>K197+L197+M197+N197</f>
      </c>
      <c r="P197" s="3">
        <v>0</v>
      </c>
      <c r="Q197" s="3">
        <v>0</v>
      </c>
      <c r="R197" s="3">
        <v>0</v>
      </c>
      <c r="S197" s="3">
        <f>R197*20%</f>
      </c>
      <c r="T197" s="3">
        <v>1</v>
      </c>
      <c r="U197" s="3">
        <f>N197+Q197+S197</f>
      </c>
      <c r="V197" s="3">
        <f>I197-J197-O197-P197-Q197-R197-S197-T197</f>
      </c>
      <c r="W197" s="3">
        <f>(V197-AE197)/H197*100</f>
      </c>
      <c r="X197" s="3">
        <f>J197-U197</f>
      </c>
      <c r="Y197" t="s">
        <v>1</v>
      </c>
      <c r="Z197" t="s">
        <v>138</v>
      </c>
      <c r="AF197" s="3">
        <f>V197-AE197</f>
      </c>
      <c r="AG197" t="s">
        <v>65</v>
      </c>
      <c r="AH197" t="s">
        <v>60</v>
      </c>
    </row>
    <row r="198" spans="1:34" x14ac:dyDescent="0.25">
      <c r="A198" s="7">
        <v>46204.5</v>
      </c>
      <c r="B198" t="s">
        <v>1830</v>
      </c>
      <c r="C198" t="s">
        <v>1</v>
      </c>
      <c r="D198" s="8" t="s">
        <v>1831</v>
      </c>
      <c r="E198" t="s">
        <v>63</v>
      </c>
      <c r="F198">
        <v>1</v>
      </c>
      <c r="G198" s="3">
        <v>107</v>
      </c>
      <c r="H198" s="3">
        <v>130.54</v>
      </c>
      <c r="I198" s="3">
        <f>H198-G198</f>
      </c>
      <c r="J198" s="3">
        <f>I198*16.67%</f>
      </c>
      <c r="K198" s="3">
        <f>(H198*6.9%)-(H198*6.9%)*10%</f>
      </c>
      <c r="L198" s="3">
        <f>H198*0.35%</f>
      </c>
      <c r="M198" s="3">
        <v>0.4</v>
      </c>
      <c r="N198" s="3">
        <f>(K198+L198+M198)*20%</f>
      </c>
      <c r="O198" s="3">
        <f>K198+L198+M198+N198</f>
      </c>
      <c r="P198" s="3">
        <v>0</v>
      </c>
      <c r="Q198" s="3">
        <v>0</v>
      </c>
      <c r="R198" s="3">
        <v>0</v>
      </c>
      <c r="S198" s="3">
        <f>R198*20%</f>
      </c>
      <c r="T198" s="3">
        <v>1</v>
      </c>
      <c r="U198" s="3">
        <f>N198+Q198+S198</f>
      </c>
      <c r="V198" s="3">
        <f>I198-J198-O198-P198-Q198-R198-S198-T198</f>
      </c>
      <c r="W198" s="3">
        <f>(V198-AE198)/H198*100</f>
      </c>
      <c r="X198" s="3">
        <f>J198-U198</f>
      </c>
      <c r="Y198" t="s">
        <v>1</v>
      </c>
      <c r="Z198" t="s">
        <v>133</v>
      </c>
      <c r="AF198" s="3">
        <f>V198-AE198</f>
      </c>
      <c r="AG198" t="s">
        <v>65</v>
      </c>
      <c r="AH198" t="s">
        <v>98</v>
      </c>
    </row>
    <row r="199" spans="1:34" x14ac:dyDescent="0.25">
      <c r="A199" s="7">
        <v>46204.5</v>
      </c>
      <c r="B199" t="s">
        <v>1832</v>
      </c>
      <c r="C199" t="s">
        <v>176</v>
      </c>
      <c r="D199" s="8" t="s">
        <v>1</v>
      </c>
      <c r="E199" t="s">
        <v>77</v>
      </c>
      <c r="F199">
        <v>3</v>
      </c>
      <c r="G199" s="3">
        <v>0.45</v>
      </c>
      <c r="H199" s="3">
        <v>0.6</v>
      </c>
      <c r="I199" s="3">
        <f>H199-G199</f>
      </c>
      <c r="J199" s="3">
        <f>I199*16.67%</f>
      </c>
      <c r="K199" s="3">
        <f>(H199*6.9%)-(H199*6.9%)*10%</f>
      </c>
      <c r="L199" s="3">
        <f>H199*0.35%</f>
      </c>
      <c r="M199" s="3">
        <v>0.4</v>
      </c>
      <c r="N199" s="3">
        <f>(K199+L199+M199)*20%</f>
      </c>
      <c r="O199" s="3">
        <f>K199+L199+M199+N199</f>
      </c>
      <c r="P199" s="3">
        <v>0</v>
      </c>
      <c r="Q199" s="3">
        <v>0</v>
      </c>
      <c r="R199" s="3">
        <v>0</v>
      </c>
      <c r="S199" s="3">
        <f>R199*20%</f>
      </c>
      <c r="T199" s="3">
        <v>1</v>
      </c>
      <c r="U199" s="3">
        <f>N199+Q199+S199</f>
      </c>
      <c r="V199" s="3">
        <f>I199-J199-O199-P199-Q199-R199-S199-T199</f>
      </c>
      <c r="W199" s="3">
        <f>(V199-AE199)/H199*100</f>
      </c>
      <c r="X199" s="3">
        <f>J199-U199</f>
      </c>
      <c r="Y199" t="s">
        <v>1</v>
      </c>
      <c r="Z199" t="s">
        <v>176</v>
      </c>
      <c r="AF199" s="3">
        <f>V199-AE199</f>
      </c>
      <c r="AG199" t="s">
        <v>1</v>
      </c>
      <c r="AH199" t="s">
        <v>1</v>
      </c>
    </row>
    <row r="200" spans="1:34" x14ac:dyDescent="0.25">
      <c r="A200" s="7">
        <v>46203.5</v>
      </c>
      <c r="B200" t="s">
        <v>1833</v>
      </c>
      <c r="C200" t="s">
        <v>1</v>
      </c>
      <c r="D200" s="8" t="s">
        <v>1834</v>
      </c>
      <c r="E200" t="s">
        <v>63</v>
      </c>
      <c r="F200">
        <v>1</v>
      </c>
      <c r="G200" s="3">
        <v>185</v>
      </c>
      <c r="H200" s="3">
        <v>234.95</v>
      </c>
      <c r="I200" s="3">
        <f>H200-G200</f>
      </c>
      <c r="J200" s="3">
        <f>I200*16.67%</f>
      </c>
      <c r="K200" s="3">
        <f>(H200*6.9%)-(H200*6.9%)*10%</f>
      </c>
      <c r="L200" s="3">
        <f>H200*0.35%</f>
      </c>
      <c r="M200" s="3">
        <v>0.4</v>
      </c>
      <c r="N200" s="3">
        <f>(K200+L200+M200)*20%</f>
      </c>
      <c r="O200" s="3">
        <f>K200+L200+M200+N200</f>
      </c>
      <c r="P200" s="3">
        <v>0</v>
      </c>
      <c r="Q200" s="3">
        <v>0</v>
      </c>
      <c r="R200" s="3">
        <v>0</v>
      </c>
      <c r="S200" s="3">
        <f>R200*20%</f>
      </c>
      <c r="T200" s="3">
        <v>1</v>
      </c>
      <c r="U200" s="3">
        <f>N200+Q200+S200</f>
      </c>
      <c r="V200" s="3">
        <f>I200-J200-O200-P200-Q200-R200-S200-T200</f>
      </c>
      <c r="W200" s="3">
        <f>(V200-AE200)/H200*100</f>
      </c>
      <c r="X200" s="3">
        <f>J200-U200</f>
      </c>
      <c r="Y200" t="s">
        <v>1</v>
      </c>
      <c r="Z200" t="s">
        <v>113</v>
      </c>
      <c r="AF200" s="3">
        <f>V200-AE200</f>
      </c>
      <c r="AG200" t="s">
        <v>94</v>
      </c>
      <c r="AH200" t="s">
        <v>104</v>
      </c>
    </row>
    <row r="201" spans="1:34" x14ac:dyDescent="0.25">
      <c r="A201" s="7">
        <v>46203.5</v>
      </c>
      <c r="B201" t="s">
        <v>1835</v>
      </c>
      <c r="C201" t="s">
        <v>1</v>
      </c>
      <c r="D201" s="8" t="s">
        <v>1836</v>
      </c>
      <c r="E201" t="s">
        <v>57</v>
      </c>
      <c r="F201">
        <v>1</v>
      </c>
      <c r="G201" s="3">
        <v>246</v>
      </c>
      <c r="H201" s="3">
        <v>290.28</v>
      </c>
      <c r="I201" s="3">
        <f>H201-G201</f>
      </c>
      <c r="J201" s="3">
        <f>I201*16.67%</f>
      </c>
      <c r="K201" s="3">
        <f>(H201*6.9%)-(H201*6.9%)*10%</f>
      </c>
      <c r="L201" s="3">
        <f>H201*0.35%</f>
      </c>
      <c r="M201" s="3">
        <v>0.4</v>
      </c>
      <c r="N201" s="3">
        <f>(K201+L201+M201)*20%</f>
      </c>
      <c r="O201" s="3">
        <f>K201+L201+M201+N201</f>
      </c>
      <c r="P201" s="3">
        <v>0</v>
      </c>
      <c r="Q201" s="3">
        <v>0</v>
      </c>
      <c r="R201" s="3">
        <v>0</v>
      </c>
      <c r="S201" s="3">
        <f>R201*20%</f>
      </c>
      <c r="T201" s="3">
        <v>1</v>
      </c>
      <c r="U201" s="3">
        <f>N201+Q201+S201</f>
      </c>
      <c r="V201" s="3">
        <f>I201-J201-O201-P201-Q201-R201-S201-T201</f>
      </c>
      <c r="W201" s="3">
        <f>(V201-AE201)/H201*100</f>
      </c>
      <c r="X201" s="3">
        <f>J201-U201</f>
      </c>
      <c r="Y201" t="s">
        <v>1</v>
      </c>
      <c r="Z201" t="s">
        <v>124</v>
      </c>
      <c r="AF201" s="3">
        <f>V201-AE201</f>
      </c>
      <c r="AG201" t="s">
        <v>125</v>
      </c>
      <c r="AH201" t="s">
        <v>98</v>
      </c>
    </row>
    <row r="202" spans="1:34" x14ac:dyDescent="0.25">
      <c r="A202" s="7">
        <v>46203.5</v>
      </c>
      <c r="B202" t="s">
        <v>1837</v>
      </c>
      <c r="C202" t="s">
        <v>1</v>
      </c>
      <c r="D202" s="8" t="s">
        <v>1838</v>
      </c>
      <c r="E202" t="s">
        <v>63</v>
      </c>
      <c r="F202">
        <v>1</v>
      </c>
      <c r="G202" s="3">
        <v>246</v>
      </c>
      <c r="H202" s="3">
        <v>341.94</v>
      </c>
      <c r="I202" s="3">
        <f>H202-G202</f>
      </c>
      <c r="J202" s="3">
        <f>I202*16.67%</f>
      </c>
      <c r="K202" s="3">
        <f>(H202*6.9%)-(H202*6.9%)*10%</f>
      </c>
      <c r="L202" s="3">
        <f>H202*0.35%</f>
      </c>
      <c r="M202" s="3">
        <v>0.4</v>
      </c>
      <c r="N202" s="3">
        <f>(K202+L202+M202)*20%</f>
      </c>
      <c r="O202" s="3">
        <f>K202+L202+M202+N202</f>
      </c>
      <c r="P202" s="3">
        <v>0</v>
      </c>
      <c r="Q202" s="3">
        <v>0</v>
      </c>
      <c r="R202" s="3">
        <v>0</v>
      </c>
      <c r="S202" s="3">
        <f>R202*20%</f>
      </c>
      <c r="T202" s="3">
        <v>1</v>
      </c>
      <c r="U202" s="3">
        <f>N202+Q202+S202</f>
      </c>
      <c r="V202" s="3">
        <f>I202-J202-O202-P202-Q202-R202-S202-T202</f>
      </c>
      <c r="W202" s="3">
        <f>(V202-AE202)/H202*100</f>
      </c>
      <c r="X202" s="3">
        <f>J202-U202</f>
      </c>
      <c r="Y202" t="s">
        <v>1</v>
      </c>
      <c r="Z202" t="s">
        <v>124</v>
      </c>
      <c r="AF202" s="3">
        <f>V202-AE202</f>
      </c>
      <c r="AG202" t="s">
        <v>125</v>
      </c>
      <c r="AH202" t="s">
        <v>98</v>
      </c>
    </row>
    <row r="203" spans="1:34" x14ac:dyDescent="0.25">
      <c r="A203" s="7">
        <v>46203.5</v>
      </c>
      <c r="B203" t="s">
        <v>1839</v>
      </c>
      <c r="C203" t="s">
        <v>1</v>
      </c>
      <c r="D203" s="8" t="s">
        <v>1840</v>
      </c>
      <c r="E203" t="s">
        <v>101</v>
      </c>
      <c r="F203">
        <v>1</v>
      </c>
      <c r="G203" s="3">
        <v>284</v>
      </c>
      <c r="H203" s="3">
        <v>386.24</v>
      </c>
      <c r="I203" s="3">
        <f>H203-G203</f>
      </c>
      <c r="J203" s="3">
        <f>I203*16.67%</f>
      </c>
      <c r="K203" s="3">
        <f>(H203*6.9%)-(H203*6.9%)*10%</f>
      </c>
      <c r="L203" s="3">
        <f>H203*0.35%</f>
      </c>
      <c r="M203" s="3">
        <v>0.4</v>
      </c>
      <c r="N203" s="3">
        <f>(K203+L203+M203)*20%</f>
      </c>
      <c r="O203" s="3">
        <f>K203+L203+M203+N203</f>
      </c>
      <c r="P203" s="3">
        <v>0</v>
      </c>
      <c r="Q203" s="3">
        <v>0</v>
      </c>
      <c r="R203" s="3">
        <v>0</v>
      </c>
      <c r="S203" s="3">
        <f>R203*20%</f>
      </c>
      <c r="T203" s="3">
        <v>1</v>
      </c>
      <c r="U203" s="3">
        <f>N203+Q203+S203</f>
      </c>
      <c r="V203" s="3">
        <f>I203-J203-O203-P203-Q203-R203-S203-T203</f>
      </c>
      <c r="W203" s="3">
        <f>(V203-AE203)/H203*100</f>
      </c>
      <c r="X203" s="3">
        <f>J203-U203</f>
      </c>
      <c r="Y203" t="s">
        <v>1</v>
      </c>
      <c r="Z203" t="s">
        <v>124</v>
      </c>
      <c r="AF203" s="3">
        <f>V203-AE203</f>
      </c>
      <c r="AG203" t="s">
        <v>125</v>
      </c>
      <c r="AH203" t="s">
        <v>69</v>
      </c>
    </row>
    <row r="204" spans="1:34" x14ac:dyDescent="0.25">
      <c r="A204" s="7">
        <v>46203.5</v>
      </c>
      <c r="B204" t="s">
        <v>1841</v>
      </c>
      <c r="C204" t="s">
        <v>1</v>
      </c>
      <c r="D204" s="8" t="s">
        <v>1842</v>
      </c>
      <c r="E204" t="s">
        <v>72</v>
      </c>
      <c r="F204">
        <v>1</v>
      </c>
      <c r="G204" s="3">
        <v>707</v>
      </c>
      <c r="H204" s="3">
        <v>834.26</v>
      </c>
      <c r="I204" s="3">
        <f>H204-G204</f>
      </c>
      <c r="J204" s="3">
        <f>I204*16.67%</f>
      </c>
      <c r="K204" s="3">
        <f>(H204*6.9%)-(H204*6.9%)*10%</f>
      </c>
      <c r="L204" s="3">
        <f>H204*0.35%</f>
      </c>
      <c r="M204" s="3">
        <v>0.4</v>
      </c>
      <c r="N204" s="3">
        <f>(K204+L204+M204)*20%</f>
      </c>
      <c r="O204" s="3">
        <f>K204+L204+M204+N204</f>
      </c>
      <c r="P204" s="3">
        <v>0</v>
      </c>
      <c r="Q204" s="3">
        <v>0</v>
      </c>
      <c r="R204" s="3">
        <v>0</v>
      </c>
      <c r="S204" s="3">
        <f>R204*20%</f>
      </c>
      <c r="T204" s="3">
        <v>1</v>
      </c>
      <c r="U204" s="3">
        <f>N204+Q204+S204</f>
      </c>
      <c r="V204" s="3">
        <f>I204-J204-O204-P204-Q204-R204-S204-T204</f>
      </c>
      <c r="W204" s="3">
        <f>(V204-AE204)/H204*100</f>
      </c>
      <c r="X204" s="3">
        <f>J204-U204</f>
      </c>
      <c r="Y204" t="s">
        <v>1</v>
      </c>
      <c r="Z204" t="s">
        <v>83</v>
      </c>
      <c r="AF204" s="3">
        <f>V204-AE204</f>
      </c>
      <c r="AG204" t="s">
        <v>59</v>
      </c>
      <c r="AH204" t="s">
        <v>84</v>
      </c>
    </row>
    <row r="205" spans="1:34" x14ac:dyDescent="0.25">
      <c r="A205" s="7">
        <v>46202.5</v>
      </c>
      <c r="B205" t="s">
        <v>1843</v>
      </c>
      <c r="C205" t="s">
        <v>1</v>
      </c>
      <c r="D205" s="8" t="s">
        <v>1844</v>
      </c>
      <c r="E205" t="s">
        <v>72</v>
      </c>
      <c r="F205">
        <v>1</v>
      </c>
      <c r="G205" s="3">
        <v>715</v>
      </c>
      <c r="H205" s="3">
        <v>900.9</v>
      </c>
      <c r="I205" s="3">
        <f>H205-G205</f>
      </c>
      <c r="J205" s="3">
        <f>I205*16.67%</f>
      </c>
      <c r="K205" s="3">
        <f>(H205*6.9%)-(H205*6.9%)*10%</f>
      </c>
      <c r="L205" s="3">
        <f>H205*0.35%</f>
      </c>
      <c r="M205" s="3">
        <v>0.4</v>
      </c>
      <c r="N205" s="3">
        <f>(K205+L205+M205)*20%</f>
      </c>
      <c r="O205" s="3">
        <f>K205+L205+M205+N205</f>
      </c>
      <c r="P205" s="3">
        <v>0</v>
      </c>
      <c r="Q205" s="3">
        <v>0</v>
      </c>
      <c r="R205" s="3">
        <v>0</v>
      </c>
      <c r="S205" s="3">
        <f>R205*20%</f>
      </c>
      <c r="T205" s="3">
        <v>1</v>
      </c>
      <c r="U205" s="3">
        <f>N205+Q205+S205</f>
      </c>
      <c r="V205" s="3">
        <f>I205-J205-O205-P205-Q205-R205-S205-T205</f>
      </c>
      <c r="W205" s="3">
        <f>(V205-AE205)/H205*100</f>
      </c>
      <c r="X205" s="3">
        <f>J205-U205</f>
      </c>
      <c r="Y205" t="s">
        <v>1</v>
      </c>
      <c r="Z205" t="s">
        <v>83</v>
      </c>
      <c r="AF205" s="3">
        <f>V205-AE205</f>
      </c>
      <c r="AG205" t="s">
        <v>59</v>
      </c>
      <c r="AH205" t="s">
        <v>84</v>
      </c>
    </row>
    <row r="206" spans="1:34" x14ac:dyDescent="0.25">
      <c r="A206" s="7">
        <v>46202.5</v>
      </c>
      <c r="B206" t="s">
        <v>1845</v>
      </c>
      <c r="C206" t="s">
        <v>1</v>
      </c>
      <c r="D206" s="8" t="s">
        <v>1846</v>
      </c>
      <c r="E206" t="s">
        <v>63</v>
      </c>
      <c r="F206">
        <v>1</v>
      </c>
      <c r="G206" s="3">
        <v>616</v>
      </c>
      <c r="H206" s="3">
        <v>843.92</v>
      </c>
      <c r="I206" s="3">
        <f>H206-G206</f>
      </c>
      <c r="J206" s="3">
        <f>I206*16.67%</f>
      </c>
      <c r="K206" s="3">
        <f>(H206*6.9%)-(H206*6.9%)*10%</f>
      </c>
      <c r="L206" s="3">
        <f>H206*0.35%</f>
      </c>
      <c r="M206" s="3">
        <v>0.4</v>
      </c>
      <c r="N206" s="3">
        <f>(K206+L206+M206)*20%</f>
      </c>
      <c r="O206" s="3">
        <f>K206+L206+M206+N206</f>
      </c>
      <c r="P206" s="3">
        <v>0</v>
      </c>
      <c r="Q206" s="3">
        <v>0</v>
      </c>
      <c r="R206" s="3">
        <v>0</v>
      </c>
      <c r="S206" s="3">
        <f>R206*20%</f>
      </c>
      <c r="T206" s="3">
        <v>1</v>
      </c>
      <c r="U206" s="3">
        <f>N206+Q206+S206</f>
      </c>
      <c r="V206" s="3">
        <f>I206-J206-O206-P206-Q206-R206-S206-T206</f>
      </c>
      <c r="W206" s="3">
        <f>(V206-AE206)/H206*100</f>
      </c>
      <c r="X206" s="3">
        <f>J206-U206</f>
      </c>
      <c r="Y206" t="s">
        <v>1</v>
      </c>
      <c r="Z206" t="s">
        <v>80</v>
      </c>
      <c r="AF206" s="3">
        <f>V206-AE206</f>
      </c>
      <c r="AG206" t="s">
        <v>59</v>
      </c>
      <c r="AH206" t="s">
        <v>74</v>
      </c>
    </row>
    <row r="207" spans="1:34" x14ac:dyDescent="0.25">
      <c r="A207" s="7">
        <v>46202.5</v>
      </c>
      <c r="B207" t="s">
        <v>1847</v>
      </c>
      <c r="C207" t="s">
        <v>1</v>
      </c>
      <c r="D207" s="8" t="s">
        <v>1848</v>
      </c>
      <c r="E207" t="s">
        <v>77</v>
      </c>
      <c r="F207">
        <v>1</v>
      </c>
      <c r="G207" s="3">
        <v>331</v>
      </c>
      <c r="H207" s="3">
        <v>463.4</v>
      </c>
      <c r="I207" s="3">
        <f>H207-G207</f>
      </c>
      <c r="J207" s="3">
        <f>I207*16.67%</f>
      </c>
      <c r="K207" s="3">
        <f>(H207*6.9%)-(H207*6.9%)*10%</f>
      </c>
      <c r="L207" s="3">
        <f>H207*0.35%</f>
      </c>
      <c r="M207" s="3">
        <v>0.4</v>
      </c>
      <c r="N207" s="3">
        <f>(K207+L207+M207)*20%</f>
      </c>
      <c r="O207" s="3">
        <f>K207+L207+M207+N207</f>
      </c>
      <c r="P207" s="3">
        <v>0</v>
      </c>
      <c r="Q207" s="3">
        <v>0</v>
      </c>
      <c r="R207" s="3">
        <v>0</v>
      </c>
      <c r="S207" s="3">
        <f>R207*20%</f>
      </c>
      <c r="T207" s="3">
        <v>1</v>
      </c>
      <c r="U207" s="3">
        <f>N207+Q207+S207</f>
      </c>
      <c r="V207" s="3">
        <f>I207-J207-O207-P207-Q207-R207-S207-T207</f>
      </c>
      <c r="W207" s="3">
        <f>(V207-AE207)/H207*100</f>
      </c>
      <c r="X207" s="3">
        <f>J207-U207</f>
      </c>
      <c r="Y207" t="s">
        <v>1</v>
      </c>
      <c r="Z207" t="s">
        <v>130</v>
      </c>
      <c r="AF207" s="3">
        <f>V207-AE207</f>
      </c>
      <c r="AG207" t="s">
        <v>59</v>
      </c>
      <c r="AH207" t="s">
        <v>69</v>
      </c>
    </row>
    <row r="208" spans="1:34" x14ac:dyDescent="0.25">
      <c r="A208" s="7">
        <v>46202.5</v>
      </c>
      <c r="B208" t="s">
        <v>1849</v>
      </c>
      <c r="C208" t="s">
        <v>253</v>
      </c>
      <c r="D208" s="8" t="s">
        <v>1</v>
      </c>
      <c r="E208" t="s">
        <v>57</v>
      </c>
      <c r="F208">
        <v>2</v>
      </c>
      <c r="G208" s="3">
        <v>1.6</v>
      </c>
      <c r="H208" s="3">
        <v>2.18</v>
      </c>
      <c r="I208" s="3">
        <f>H208-G208</f>
      </c>
      <c r="J208" s="3">
        <f>I208*16.67%</f>
      </c>
      <c r="K208" s="3">
        <f>(H208*6.9%)-(H208*6.9%)*10%</f>
      </c>
      <c r="L208" s="3">
        <f>H208*0.35%</f>
      </c>
      <c r="M208" s="3">
        <v>0.4</v>
      </c>
      <c r="N208" s="3">
        <f>(K208+L208+M208)*20%</f>
      </c>
      <c r="O208" s="3">
        <f>K208+L208+M208+N208</f>
      </c>
      <c r="P208" s="3">
        <v>0</v>
      </c>
      <c r="Q208" s="3">
        <v>0</v>
      </c>
      <c r="R208" s="3">
        <v>0</v>
      </c>
      <c r="S208" s="3">
        <f>R208*20%</f>
      </c>
      <c r="T208" s="3">
        <v>1</v>
      </c>
      <c r="U208" s="3">
        <f>N208+Q208+S208</f>
      </c>
      <c r="V208" s="3">
        <f>I208-J208-O208-P208-Q208-R208-S208-T208</f>
      </c>
      <c r="W208" s="3">
        <f>(V208-AE208)/H208*100</f>
      </c>
      <c r="X208" s="3">
        <f>J208-U208</f>
      </c>
      <c r="Y208" t="s">
        <v>1</v>
      </c>
      <c r="Z208" t="s">
        <v>253</v>
      </c>
      <c r="AF208" s="3">
        <f>V208-AE208</f>
      </c>
      <c r="AG208" t="s">
        <v>1</v>
      </c>
      <c r="AH208" t="s">
        <v>1</v>
      </c>
    </row>
    <row r="209" spans="1:34" x14ac:dyDescent="0.25">
      <c r="A209" s="7">
        <v>46201.5</v>
      </c>
      <c r="B209" t="s">
        <v>1850</v>
      </c>
      <c r="C209" t="s">
        <v>1</v>
      </c>
      <c r="D209" s="8" t="s">
        <v>1851</v>
      </c>
      <c r="E209" t="s">
        <v>57</v>
      </c>
      <c r="F209">
        <v>1</v>
      </c>
      <c r="G209" s="3">
        <v>727</v>
      </c>
      <c r="H209" s="3">
        <v>886.94</v>
      </c>
      <c r="I209" s="3">
        <f>H209-G209</f>
      </c>
      <c r="J209" s="3">
        <f>I209*16.67%</f>
      </c>
      <c r="K209" s="3">
        <f>(H209*6.9%)-(H209*6.9%)*10%</f>
      </c>
      <c r="L209" s="3">
        <f>H209*0.35%</f>
      </c>
      <c r="M209" s="3">
        <v>0.4</v>
      </c>
      <c r="N209" s="3">
        <f>(K209+L209+M209)*20%</f>
      </c>
      <c r="O209" s="3">
        <f>K209+L209+M209+N209</f>
      </c>
      <c r="P209" s="3">
        <v>0</v>
      </c>
      <c r="Q209" s="3">
        <v>0</v>
      </c>
      <c r="R209" s="3">
        <v>0</v>
      </c>
      <c r="S209" s="3">
        <f>R209*20%</f>
      </c>
      <c r="T209" s="3">
        <v>1</v>
      </c>
      <c r="U209" s="3">
        <f>N209+Q209+S209</f>
      </c>
      <c r="V209" s="3">
        <f>I209-J209-O209-P209-Q209-R209-S209-T209</f>
      </c>
      <c r="W209" s="3">
        <f>(V209-AE209)/H209*100</f>
      </c>
      <c r="X209" s="3">
        <f>J209-U209</f>
      </c>
      <c r="Y209" t="s">
        <v>1</v>
      </c>
      <c r="Z209" t="s">
        <v>83</v>
      </c>
      <c r="AF209" s="3">
        <f>V209-AE209</f>
      </c>
      <c r="AG209" t="s">
        <v>59</v>
      </c>
      <c r="AH209" t="s">
        <v>104</v>
      </c>
    </row>
    <row r="210" spans="1:34" x14ac:dyDescent="0.25">
      <c r="A210" s="7">
        <v>46201.5</v>
      </c>
      <c r="B210" t="s">
        <v>1852</v>
      </c>
      <c r="C210" t="s">
        <v>1</v>
      </c>
      <c r="D210" s="8" t="s">
        <v>1853</v>
      </c>
      <c r="E210" t="s">
        <v>101</v>
      </c>
      <c r="F210">
        <v>1</v>
      </c>
      <c r="G210" s="3">
        <v>284</v>
      </c>
      <c r="H210" s="3">
        <v>400.44</v>
      </c>
      <c r="I210" s="3">
        <f>H210-G210</f>
      </c>
      <c r="J210" s="3">
        <f>I210*16.67%</f>
      </c>
      <c r="K210" s="3">
        <f>(H210*6.9%)-(H210*6.9%)*10%</f>
      </c>
      <c r="L210" s="3">
        <f>H210*0.35%</f>
      </c>
      <c r="M210" s="3">
        <v>0.4</v>
      </c>
      <c r="N210" s="3">
        <f>(K210+L210+M210)*20%</f>
      </c>
      <c r="O210" s="3">
        <f>K210+L210+M210+N210</f>
      </c>
      <c r="P210" s="3">
        <v>0</v>
      </c>
      <c r="Q210" s="3">
        <v>0</v>
      </c>
      <c r="R210" s="3">
        <v>0</v>
      </c>
      <c r="S210" s="3">
        <f>R210*20%</f>
      </c>
      <c r="T210" s="3">
        <v>1</v>
      </c>
      <c r="U210" s="3">
        <f>N210+Q210+S210</f>
      </c>
      <c r="V210" s="3">
        <f>I210-J210-O210-P210-Q210-R210-S210-T210</f>
      </c>
      <c r="W210" s="3">
        <f>(V210-AE210)/H210*100</f>
      </c>
      <c r="X210" s="3">
        <f>J210-U210</f>
      </c>
      <c r="Y210" t="s">
        <v>1</v>
      </c>
      <c r="Z210" t="s">
        <v>124</v>
      </c>
      <c r="AF210" s="3">
        <f>V210-AE210</f>
      </c>
      <c r="AG210" t="s">
        <v>125</v>
      </c>
      <c r="AH210" t="s">
        <v>74</v>
      </c>
    </row>
    <row r="211" spans="1:34" x14ac:dyDescent="0.25">
      <c r="A211" s="7">
        <v>46200.5</v>
      </c>
      <c r="B211" t="s">
        <v>1854</v>
      </c>
      <c r="C211" t="s">
        <v>1</v>
      </c>
      <c r="D211" s="8" t="s">
        <v>1855</v>
      </c>
      <c r="E211" t="s">
        <v>63</v>
      </c>
      <c r="F211">
        <v>1</v>
      </c>
      <c r="G211" s="3">
        <v>278</v>
      </c>
      <c r="H211" s="3">
        <v>361.4</v>
      </c>
      <c r="I211" s="3">
        <f>H211-G211</f>
      </c>
      <c r="J211" s="3">
        <f>I211*16.67%</f>
      </c>
      <c r="K211" s="3">
        <f>(H211*6.9%)-(H211*6.9%)*10%</f>
      </c>
      <c r="L211" s="3">
        <f>H211*0.35%</f>
      </c>
      <c r="M211" s="3">
        <v>0.4</v>
      </c>
      <c r="N211" s="3">
        <f>(K211+L211+M211)*20%</f>
      </c>
      <c r="O211" s="3">
        <f>K211+L211+M211+N211</f>
      </c>
      <c r="P211" s="3">
        <v>0</v>
      </c>
      <c r="Q211" s="3">
        <v>0</v>
      </c>
      <c r="R211" s="3">
        <v>0</v>
      </c>
      <c r="S211" s="3">
        <f>R211*20%</f>
      </c>
      <c r="T211" s="3">
        <v>1</v>
      </c>
      <c r="U211" s="3">
        <f>N211+Q211+S211</f>
      </c>
      <c r="V211" s="3">
        <f>I211-J211-O211-P211-Q211-R211-S211-T211</f>
      </c>
      <c r="W211" s="3">
        <f>(V211-AE211)/H211*100</f>
      </c>
      <c r="X211" s="3">
        <f>J211-U211</f>
      </c>
      <c r="Y211" t="s">
        <v>1</v>
      </c>
      <c r="Z211" t="s">
        <v>130</v>
      </c>
      <c r="AF211" s="3">
        <f>V211-AE211</f>
      </c>
      <c r="AG211" t="s">
        <v>65</v>
      </c>
      <c r="AH211" t="s">
        <v>98</v>
      </c>
    </row>
    <row r="212" spans="1:34" x14ac:dyDescent="0.25">
      <c r="A212" s="7">
        <v>46200.5</v>
      </c>
      <c r="B212" t="s">
        <v>1856</v>
      </c>
      <c r="C212" t="s">
        <v>1</v>
      </c>
      <c r="D212" s="8" t="s">
        <v>1857</v>
      </c>
      <c r="E212" t="s">
        <v>72</v>
      </c>
      <c r="F212">
        <v>1</v>
      </c>
      <c r="G212" s="3">
        <v>335</v>
      </c>
      <c r="H212" s="3">
        <v>435.5</v>
      </c>
      <c r="I212" s="3">
        <f>H212-G212</f>
      </c>
      <c r="J212" s="3">
        <f>I212*16.67%</f>
      </c>
      <c r="K212" s="3">
        <f>(H212*6.9%)-(H212*6.9%)*10%</f>
      </c>
      <c r="L212" s="3">
        <f>H212*0.35%</f>
      </c>
      <c r="M212" s="3">
        <v>0.4</v>
      </c>
      <c r="N212" s="3">
        <f>(K212+L212+M212)*20%</f>
      </c>
      <c r="O212" s="3">
        <f>K212+L212+M212+N212</f>
      </c>
      <c r="P212" s="3">
        <v>0</v>
      </c>
      <c r="Q212" s="3">
        <v>0</v>
      </c>
      <c r="R212" s="3">
        <v>0</v>
      </c>
      <c r="S212" s="3">
        <f>R212*20%</f>
      </c>
      <c r="T212" s="3">
        <v>1</v>
      </c>
      <c r="U212" s="3">
        <f>N212+Q212+S212</f>
      </c>
      <c r="V212" s="3">
        <f>I212-J212-O212-P212-Q212-R212-S212-T212</f>
      </c>
      <c r="W212" s="3">
        <f>(V212-AE212)/H212*100</f>
      </c>
      <c r="X212" s="3">
        <f>J212-U212</f>
      </c>
      <c r="Y212" t="s">
        <v>1</v>
      </c>
      <c r="Z212" t="s">
        <v>97</v>
      </c>
      <c r="AF212" s="3">
        <f>V212-AE212</f>
      </c>
      <c r="AG212" t="s">
        <v>65</v>
      </c>
      <c r="AH212" t="s">
        <v>87</v>
      </c>
    </row>
    <row r="213" spans="1:34" x14ac:dyDescent="0.25">
      <c r="A213" s="7">
        <v>46200.5</v>
      </c>
      <c r="B213" t="s">
        <v>1858</v>
      </c>
      <c r="C213" t="s">
        <v>173</v>
      </c>
      <c r="D213" s="8" t="s">
        <v>1</v>
      </c>
      <c r="E213" t="s">
        <v>63</v>
      </c>
      <c r="F213">
        <v>3</v>
      </c>
      <c r="G213" s="3">
        <v>12.75</v>
      </c>
      <c r="H213" s="3">
        <v>17.85</v>
      </c>
      <c r="I213" s="3">
        <f>H213-G213</f>
      </c>
      <c r="J213" s="3">
        <f>I213*16.67%</f>
      </c>
      <c r="K213" s="3">
        <f>(H213*6.9%)-(H213*6.9%)*10%</f>
      </c>
      <c r="L213" s="3">
        <f>H213*0.35%</f>
      </c>
      <c r="M213" s="3">
        <v>0.4</v>
      </c>
      <c r="N213" s="3">
        <f>(K213+L213+M213)*20%</f>
      </c>
      <c r="O213" s="3">
        <f>K213+L213+M213+N213</f>
      </c>
      <c r="P213" s="3">
        <v>0</v>
      </c>
      <c r="Q213" s="3">
        <v>0</v>
      </c>
      <c r="R213" s="3">
        <v>0</v>
      </c>
      <c r="S213" s="3">
        <f>R213*20%</f>
      </c>
      <c r="T213" s="3">
        <v>1</v>
      </c>
      <c r="U213" s="3">
        <f>N213+Q213+S213</f>
      </c>
      <c r="V213" s="3">
        <f>I213-J213-O213-P213-Q213-R213-S213-T213</f>
      </c>
      <c r="W213" s="3">
        <f>(V213-AE213)/H213*100</f>
      </c>
      <c r="X213" s="3">
        <f>J213-U213</f>
      </c>
      <c r="Y213" t="s">
        <v>1</v>
      </c>
      <c r="Z213" t="s">
        <v>173</v>
      </c>
      <c r="AF213" s="3">
        <f>V213-AE213</f>
      </c>
      <c r="AG213" t="s">
        <v>1</v>
      </c>
      <c r="AH213" t="s">
        <v>1</v>
      </c>
    </row>
    <row r="214" spans="1:34" x14ac:dyDescent="0.25">
      <c r="A214" s="7">
        <v>46200.5</v>
      </c>
      <c r="B214" t="s">
        <v>1859</v>
      </c>
      <c r="C214" t="s">
        <v>1</v>
      </c>
      <c r="D214" s="8" t="s">
        <v>1</v>
      </c>
      <c r="E214" t="s">
        <v>72</v>
      </c>
      <c r="F214">
        <v>1</v>
      </c>
      <c r="G214" s="3">
        <v>263</v>
      </c>
      <c r="H214" s="3">
        <v>370.83</v>
      </c>
      <c r="I214" s="3">
        <f>H214-G214</f>
      </c>
      <c r="J214" s="3">
        <f>I214*16.67%</f>
      </c>
      <c r="K214" s="3">
        <f>(H214*6.9%)-(H214*6.9%)*10%</f>
      </c>
      <c r="L214" s="3">
        <f>H214*0.35%</f>
      </c>
      <c r="M214" s="3">
        <v>0.4</v>
      </c>
      <c r="N214" s="3">
        <f>(K214+L214+M214)*20%</f>
      </c>
      <c r="O214" s="3">
        <f>K214+L214+M214+N214</f>
      </c>
      <c r="P214" s="3">
        <v>0</v>
      </c>
      <c r="Q214" s="3">
        <v>0</v>
      </c>
      <c r="R214" s="3">
        <v>0</v>
      </c>
      <c r="S214" s="3">
        <f>R214*20%</f>
      </c>
      <c r="T214" s="3">
        <v>1</v>
      </c>
      <c r="U214" s="3">
        <f>N214+Q214+S214</f>
      </c>
      <c r="V214" s="3">
        <f>I214-J214-O214-P214-Q214-R214-S214-T214</f>
      </c>
      <c r="W214" s="3">
        <f>(V214-AE214)/H214*100</f>
      </c>
      <c r="X214" s="3">
        <f>J214-U214</f>
      </c>
      <c r="Y214" t="s">
        <v>1</v>
      </c>
      <c r="Z214" t="s">
        <v>1</v>
      </c>
      <c r="AF214" s="3">
        <f>V214-AE214</f>
      </c>
      <c r="AG214" t="s">
        <v>1</v>
      </c>
      <c r="AH214" t="s">
        <v>1</v>
      </c>
    </row>
    <row r="215" spans="1:34" x14ac:dyDescent="0.25">
      <c r="A215" s="7">
        <v>46200.5</v>
      </c>
      <c r="B215" t="s">
        <v>1860</v>
      </c>
      <c r="C215" t="s">
        <v>1</v>
      </c>
      <c r="D215" s="8" t="s">
        <v>1</v>
      </c>
      <c r="E215" t="s">
        <v>63</v>
      </c>
      <c r="F215">
        <v>1</v>
      </c>
      <c r="G215" s="3">
        <v>445</v>
      </c>
      <c r="H215" s="3">
        <v>587.4</v>
      </c>
      <c r="I215" s="3">
        <f>H215-G215</f>
      </c>
      <c r="J215" s="3">
        <f>I215*16.67%</f>
      </c>
      <c r="K215" s="3">
        <f>(H215*6.9%)-(H215*6.9%)*10%</f>
      </c>
      <c r="L215" s="3">
        <f>H215*0.35%</f>
      </c>
      <c r="M215" s="3">
        <v>0.4</v>
      </c>
      <c r="N215" s="3">
        <f>(K215+L215+M215)*20%</f>
      </c>
      <c r="O215" s="3">
        <f>K215+L215+M215+N215</f>
      </c>
      <c r="P215" s="3">
        <v>0</v>
      </c>
      <c r="Q215" s="3">
        <v>0</v>
      </c>
      <c r="R215" s="3">
        <v>0</v>
      </c>
      <c r="S215" s="3">
        <f>R215*20%</f>
      </c>
      <c r="T215" s="3">
        <v>1</v>
      </c>
      <c r="U215" s="3">
        <f>N215+Q215+S215</f>
      </c>
      <c r="V215" s="3">
        <f>I215-J215-O215-P215-Q215-R215-S215-T215</f>
      </c>
      <c r="W215" s="3">
        <f>(V215-AE215)/H215*100</f>
      </c>
      <c r="X215" s="3">
        <f>J215-U215</f>
      </c>
      <c r="Y215" t="s">
        <v>1</v>
      </c>
      <c r="Z215" t="s">
        <v>1</v>
      </c>
      <c r="AF215" s="3">
        <f>V215-AE215</f>
      </c>
      <c r="AG215" t="s">
        <v>1</v>
      </c>
      <c r="AH215" t="s">
        <v>1</v>
      </c>
    </row>
    <row r="216" spans="1:34" x14ac:dyDescent="0.25">
      <c r="A216" s="7">
        <v>46199.5</v>
      </c>
      <c r="B216" t="s">
        <v>1861</v>
      </c>
      <c r="C216" t="s">
        <v>1</v>
      </c>
      <c r="D216" s="8" t="s">
        <v>1862</v>
      </c>
      <c r="E216" t="s">
        <v>101</v>
      </c>
      <c r="F216">
        <v>1</v>
      </c>
      <c r="G216" s="3">
        <v>252</v>
      </c>
      <c r="H216" s="3">
        <v>340.2</v>
      </c>
      <c r="I216" s="3">
        <f>H216-G216</f>
      </c>
      <c r="J216" s="3">
        <f>I216*16.67%</f>
      </c>
      <c r="K216" s="3">
        <f>(H216*6.9%)-(H216*6.9%)*10%</f>
      </c>
      <c r="L216" s="3">
        <f>H216*0.35%</f>
      </c>
      <c r="M216" s="3">
        <v>0.4</v>
      </c>
      <c r="N216" s="3">
        <f>(K216+L216+M216)*20%</f>
      </c>
      <c r="O216" s="3">
        <f>K216+L216+M216+N216</f>
      </c>
      <c r="P216" s="3">
        <v>0</v>
      </c>
      <c r="Q216" s="3">
        <v>0</v>
      </c>
      <c r="R216" s="3">
        <v>0</v>
      </c>
      <c r="S216" s="3">
        <f>R216*20%</f>
      </c>
      <c r="T216" s="3">
        <v>1</v>
      </c>
      <c r="U216" s="3">
        <f>N216+Q216+S216</f>
      </c>
      <c r="V216" s="3">
        <f>I216-J216-O216-P216-Q216-R216-S216-T216</f>
      </c>
      <c r="W216" s="3">
        <f>(V216-AE216)/H216*100</f>
      </c>
      <c r="X216" s="3">
        <f>J216-U216</f>
      </c>
      <c r="Y216" t="s">
        <v>1</v>
      </c>
      <c r="Z216" t="s">
        <v>64</v>
      </c>
      <c r="AF216" s="3">
        <f>V216-AE216</f>
      </c>
      <c r="AG216" t="s">
        <v>65</v>
      </c>
      <c r="AH216" t="s">
        <v>98</v>
      </c>
    </row>
    <row r="217" spans="1:34" x14ac:dyDescent="0.25">
      <c r="A217" s="7">
        <v>46199.5</v>
      </c>
      <c r="B217" t="s">
        <v>1863</v>
      </c>
      <c r="C217" t="s">
        <v>1</v>
      </c>
      <c r="D217" s="8" t="s">
        <v>1864</v>
      </c>
      <c r="E217" t="s">
        <v>77</v>
      </c>
      <c r="F217">
        <v>1</v>
      </c>
      <c r="G217" s="3">
        <v>349</v>
      </c>
      <c r="H217" s="3">
        <v>488.6</v>
      </c>
      <c r="I217" s="3">
        <f>H217-G217</f>
      </c>
      <c r="J217" s="3">
        <f>I217*16.67%</f>
      </c>
      <c r="K217" s="3">
        <f>(H217*6.9%)-(H217*6.9%)*10%</f>
      </c>
      <c r="L217" s="3">
        <f>H217*0.35%</f>
      </c>
      <c r="M217" s="3">
        <v>0.4</v>
      </c>
      <c r="N217" s="3">
        <f>(K217+L217+M217)*20%</f>
      </c>
      <c r="O217" s="3">
        <f>K217+L217+M217+N217</f>
      </c>
      <c r="P217" s="3">
        <v>0</v>
      </c>
      <c r="Q217" s="3">
        <v>0</v>
      </c>
      <c r="R217" s="3">
        <v>0</v>
      </c>
      <c r="S217" s="3">
        <f>R217*20%</f>
      </c>
      <c r="T217" s="3">
        <v>1</v>
      </c>
      <c r="U217" s="3">
        <f>N217+Q217+S217</f>
      </c>
      <c r="V217" s="3">
        <f>I217-J217-O217-P217-Q217-R217-S217-T217</f>
      </c>
      <c r="W217" s="3">
        <f>(V217-AE217)/H217*100</f>
      </c>
      <c r="X217" s="3">
        <f>J217-U217</f>
      </c>
      <c r="Y217" t="s">
        <v>1</v>
      </c>
      <c r="Z217" t="s">
        <v>138</v>
      </c>
      <c r="AF217" s="3">
        <f>V217-AE217</f>
      </c>
      <c r="AG217" t="s">
        <v>59</v>
      </c>
      <c r="AH217" t="s">
        <v>87</v>
      </c>
    </row>
    <row r="218" spans="1:34" x14ac:dyDescent="0.25">
      <c r="A218" s="7">
        <v>46199.5</v>
      </c>
      <c r="B218" t="s">
        <v>1865</v>
      </c>
      <c r="C218" t="s">
        <v>1</v>
      </c>
      <c r="D218" s="8" t="s">
        <v>1866</v>
      </c>
      <c r="E218" t="s">
        <v>57</v>
      </c>
      <c r="F218">
        <v>1</v>
      </c>
      <c r="G218" s="3">
        <v>62</v>
      </c>
      <c r="H218" s="3">
        <v>81.84</v>
      </c>
      <c r="I218" s="3">
        <f>H218-G218</f>
      </c>
      <c r="J218" s="3">
        <f>I218*16.67%</f>
      </c>
      <c r="K218" s="3">
        <f>(H218*6.9%)-(H218*6.9%)*10%</f>
      </c>
      <c r="L218" s="3">
        <f>H218*0.35%</f>
      </c>
      <c r="M218" s="3">
        <v>0.4</v>
      </c>
      <c r="N218" s="3">
        <f>(K218+L218+M218)*20%</f>
      </c>
      <c r="O218" s="3">
        <f>K218+L218+M218+N218</f>
      </c>
      <c r="P218" s="3">
        <v>0</v>
      </c>
      <c r="Q218" s="3">
        <v>0</v>
      </c>
      <c r="R218" s="3">
        <v>0</v>
      </c>
      <c r="S218" s="3">
        <f>R218*20%</f>
      </c>
      <c r="T218" s="3">
        <v>1</v>
      </c>
      <c r="U218" s="3">
        <f>N218+Q218+S218</f>
      </c>
      <c r="V218" s="3">
        <f>I218-J218-O218-P218-Q218-R218-S218-T218</f>
      </c>
      <c r="W218" s="3">
        <f>(V218-AE218)/H218*100</f>
      </c>
      <c r="X218" s="3">
        <f>J218-U218</f>
      </c>
      <c r="Y218" t="s">
        <v>1</v>
      </c>
      <c r="Z218" t="s">
        <v>93</v>
      </c>
      <c r="AF218" s="3">
        <f>V218-AE218</f>
      </c>
      <c r="AG218" t="s">
        <v>94</v>
      </c>
      <c r="AH218" t="s">
        <v>87</v>
      </c>
    </row>
    <row r="219" spans="1:34" x14ac:dyDescent="0.25">
      <c r="A219" s="7">
        <v>46199.5</v>
      </c>
      <c r="B219" t="s">
        <v>1867</v>
      </c>
      <c r="C219" t="s">
        <v>1</v>
      </c>
      <c r="D219" s="8" t="s">
        <v>1868</v>
      </c>
      <c r="E219" t="s">
        <v>72</v>
      </c>
      <c r="F219">
        <v>1</v>
      </c>
      <c r="G219" s="3">
        <v>216</v>
      </c>
      <c r="H219" s="3">
        <v>308.88</v>
      </c>
      <c r="I219" s="3">
        <f>H219-G219</f>
      </c>
      <c r="J219" s="3">
        <f>I219*16.67%</f>
      </c>
      <c r="K219" s="3">
        <f>(H219*6.9%)-(H219*6.9%)*10%</f>
      </c>
      <c r="L219" s="3">
        <f>H219*0.35%</f>
      </c>
      <c r="M219" s="3">
        <v>0.4</v>
      </c>
      <c r="N219" s="3">
        <f>(K219+L219+M219)*20%</f>
      </c>
      <c r="O219" s="3">
        <f>K219+L219+M219+N219</f>
      </c>
      <c r="P219" s="3">
        <v>0</v>
      </c>
      <c r="Q219" s="3">
        <v>0</v>
      </c>
      <c r="R219" s="3">
        <v>0</v>
      </c>
      <c r="S219" s="3">
        <f>R219*20%</f>
      </c>
      <c r="T219" s="3">
        <v>1</v>
      </c>
      <c r="U219" s="3">
        <f>N219+Q219+S219</f>
      </c>
      <c r="V219" s="3">
        <f>I219-J219-O219-P219-Q219-R219-S219-T219</f>
      </c>
      <c r="W219" s="3">
        <f>(V219-AE219)/H219*100</f>
      </c>
      <c r="X219" s="3">
        <f>J219-U219</f>
      </c>
      <c r="Y219" t="s">
        <v>1</v>
      </c>
      <c r="Z219" t="s">
        <v>113</v>
      </c>
      <c r="AF219" s="3">
        <f>V219-AE219</f>
      </c>
      <c r="AG219" t="s">
        <v>94</v>
      </c>
      <c r="AH219" t="s">
        <v>104</v>
      </c>
    </row>
    <row r="220" spans="1:34" x14ac:dyDescent="0.25">
      <c r="A220" s="7">
        <v>46199.5</v>
      </c>
      <c r="B220" t="s">
        <v>1869</v>
      </c>
      <c r="C220" t="s">
        <v>1</v>
      </c>
      <c r="D220" s="8" t="s">
        <v>1870</v>
      </c>
      <c r="E220" t="s">
        <v>101</v>
      </c>
      <c r="F220">
        <v>1</v>
      </c>
      <c r="G220" s="3">
        <v>451</v>
      </c>
      <c r="H220" s="3">
        <v>527.67</v>
      </c>
      <c r="I220" s="3">
        <f>H220-G220</f>
      </c>
      <c r="J220" s="3">
        <f>I220*16.67%</f>
      </c>
      <c r="K220" s="3">
        <f>(H220*6.9%)-(H220*6.9%)*10%</f>
      </c>
      <c r="L220" s="3">
        <f>H220*0.35%</f>
      </c>
      <c r="M220" s="3">
        <v>0.4</v>
      </c>
      <c r="N220" s="3">
        <f>(K220+L220+M220)*20%</f>
      </c>
      <c r="O220" s="3">
        <f>K220+L220+M220+N220</f>
      </c>
      <c r="P220" s="3">
        <v>0</v>
      </c>
      <c r="Q220" s="3">
        <v>0</v>
      </c>
      <c r="R220" s="3">
        <v>0</v>
      </c>
      <c r="S220" s="3">
        <f>R220*20%</f>
      </c>
      <c r="T220" s="3">
        <v>1</v>
      </c>
      <c r="U220" s="3">
        <f>N220+Q220+S220</f>
      </c>
      <c r="V220" s="3">
        <f>I220-J220-O220-P220-Q220-R220-S220-T220</f>
      </c>
      <c r="W220" s="3">
        <f>(V220-AE220)/H220*100</f>
      </c>
      <c r="X220" s="3">
        <f>J220-U220</f>
      </c>
      <c r="Y220" t="s">
        <v>1</v>
      </c>
      <c r="Z220" t="s">
        <v>58</v>
      </c>
      <c r="AF220" s="3">
        <f>V220-AE220</f>
      </c>
      <c r="AG220" t="s">
        <v>59</v>
      </c>
      <c r="AH220" t="s">
        <v>104</v>
      </c>
    </row>
    <row r="221" spans="1:34" x14ac:dyDescent="0.25">
      <c r="A221" s="7">
        <v>46199.5</v>
      </c>
      <c r="B221" t="s">
        <v>1871</v>
      </c>
      <c r="C221" t="s">
        <v>173</v>
      </c>
      <c r="D221" s="8" t="s">
        <v>1</v>
      </c>
      <c r="E221" t="s">
        <v>63</v>
      </c>
      <c r="F221">
        <v>2</v>
      </c>
      <c r="G221" s="3">
        <v>8.5</v>
      </c>
      <c r="H221" s="3">
        <v>11.13</v>
      </c>
      <c r="I221" s="3">
        <f>H221-G221</f>
      </c>
      <c r="J221" s="3">
        <f>I221*16.67%</f>
      </c>
      <c r="K221" s="3">
        <f>(H221*6.9%)-(H221*6.9%)*10%</f>
      </c>
      <c r="L221" s="3">
        <f>H221*0.35%</f>
      </c>
      <c r="M221" s="3">
        <v>0.4</v>
      </c>
      <c r="N221" s="3">
        <f>(K221+L221+M221)*20%</f>
      </c>
      <c r="O221" s="3">
        <f>K221+L221+M221+N221</f>
      </c>
      <c r="P221" s="3">
        <v>0</v>
      </c>
      <c r="Q221" s="3">
        <v>0</v>
      </c>
      <c r="R221" s="3">
        <v>0</v>
      </c>
      <c r="S221" s="3">
        <f>R221*20%</f>
      </c>
      <c r="T221" s="3">
        <v>1</v>
      </c>
      <c r="U221" s="3">
        <f>N221+Q221+S221</f>
      </c>
      <c r="V221" s="3">
        <f>I221-J221-O221-P221-Q221-R221-S221-T221</f>
      </c>
      <c r="W221" s="3">
        <f>(V221-AE221)/H221*100</f>
      </c>
      <c r="X221" s="3">
        <f>J221-U221</f>
      </c>
      <c r="Y221" t="s">
        <v>1</v>
      </c>
      <c r="Z221" t="s">
        <v>173</v>
      </c>
      <c r="AF221" s="3">
        <f>V221-AE221</f>
      </c>
      <c r="AG221" t="s">
        <v>1</v>
      </c>
      <c r="AH221" t="s">
        <v>1</v>
      </c>
    </row>
    <row r="222" spans="1:34" x14ac:dyDescent="0.25">
      <c r="A222" s="7">
        <v>46199.5</v>
      </c>
      <c r="B222" t="s">
        <v>1872</v>
      </c>
      <c r="C222" t="s">
        <v>173</v>
      </c>
      <c r="D222" s="8" t="s">
        <v>1</v>
      </c>
      <c r="E222" t="s">
        <v>63</v>
      </c>
      <c r="F222">
        <v>3</v>
      </c>
      <c r="G222" s="3">
        <v>12.75</v>
      </c>
      <c r="H222" s="3">
        <v>16.57</v>
      </c>
      <c r="I222" s="3">
        <f>H222-G222</f>
      </c>
      <c r="J222" s="3">
        <f>I222*16.67%</f>
      </c>
      <c r="K222" s="3">
        <f>(H222*6.9%)-(H222*6.9%)*10%</f>
      </c>
      <c r="L222" s="3">
        <f>H222*0.35%</f>
      </c>
      <c r="M222" s="3">
        <v>0.4</v>
      </c>
      <c r="N222" s="3">
        <f>(K222+L222+M222)*20%</f>
      </c>
      <c r="O222" s="3">
        <f>K222+L222+M222+N222</f>
      </c>
      <c r="P222" s="3">
        <v>0</v>
      </c>
      <c r="Q222" s="3">
        <v>0</v>
      </c>
      <c r="R222" s="3">
        <v>0</v>
      </c>
      <c r="S222" s="3">
        <f>R222*20%</f>
      </c>
      <c r="T222" s="3">
        <v>1</v>
      </c>
      <c r="U222" s="3">
        <f>N222+Q222+S222</f>
      </c>
      <c r="V222" s="3">
        <f>I222-J222-O222-P222-Q222-R222-S222-T222</f>
      </c>
      <c r="W222" s="3">
        <f>(V222-AE222)/H222*100</f>
      </c>
      <c r="X222" s="3">
        <f>J222-U222</f>
      </c>
      <c r="Y222" t="s">
        <v>1</v>
      </c>
      <c r="Z222" t="s">
        <v>173</v>
      </c>
      <c r="AF222" s="3">
        <f>V222-AE222</f>
      </c>
      <c r="AG222" t="s">
        <v>1</v>
      </c>
      <c r="AH222" t="s">
        <v>1</v>
      </c>
    </row>
    <row r="223" spans="1:34" x14ac:dyDescent="0.25">
      <c r="A223" s="7">
        <v>46198.5</v>
      </c>
      <c r="B223" t="s">
        <v>1873</v>
      </c>
      <c r="C223" t="s">
        <v>1</v>
      </c>
      <c r="D223" s="8" t="s">
        <v>1874</v>
      </c>
      <c r="E223" t="s">
        <v>72</v>
      </c>
      <c r="F223">
        <v>1</v>
      </c>
      <c r="G223" s="3">
        <v>233</v>
      </c>
      <c r="H223" s="3">
        <v>281.93</v>
      </c>
      <c r="I223" s="3">
        <f>H223-G223</f>
      </c>
      <c r="J223" s="3">
        <f>I223*16.67%</f>
      </c>
      <c r="K223" s="3">
        <f>(H223*6.9%)-(H223*6.9%)*10%</f>
      </c>
      <c r="L223" s="3">
        <f>H223*0.35%</f>
      </c>
      <c r="M223" s="3">
        <v>0.4</v>
      </c>
      <c r="N223" s="3">
        <f>(K223+L223+M223)*20%</f>
      </c>
      <c r="O223" s="3">
        <f>K223+L223+M223+N223</f>
      </c>
      <c r="P223" s="3">
        <v>0</v>
      </c>
      <c r="Q223" s="3">
        <v>0</v>
      </c>
      <c r="R223" s="3">
        <v>0</v>
      </c>
      <c r="S223" s="3">
        <f>R223*20%</f>
      </c>
      <c r="T223" s="3">
        <v>1</v>
      </c>
      <c r="U223" s="3">
        <f>N223+Q223+S223</f>
      </c>
      <c r="V223" s="3">
        <f>I223-J223-O223-P223-Q223-R223-S223-T223</f>
      </c>
      <c r="W223" s="3">
        <f>(V223-AE223)/H223*100</f>
      </c>
      <c r="X223" s="3">
        <f>J223-U223</f>
      </c>
      <c r="Y223" t="s">
        <v>1</v>
      </c>
      <c r="Z223" t="s">
        <v>124</v>
      </c>
      <c r="AF223" s="3">
        <f>V223-AE223</f>
      </c>
      <c r="AG223" t="s">
        <v>125</v>
      </c>
      <c r="AH223" t="s">
        <v>84</v>
      </c>
    </row>
    <row r="224" spans="1:34" x14ac:dyDescent="0.25">
      <c r="A224" s="7">
        <v>46198.5</v>
      </c>
      <c r="B224" t="s">
        <v>1875</v>
      </c>
      <c r="C224" t="s">
        <v>1</v>
      </c>
      <c r="D224" s="8" t="s">
        <v>1876</v>
      </c>
      <c r="E224" t="s">
        <v>63</v>
      </c>
      <c r="F224">
        <v>1</v>
      </c>
      <c r="G224" s="3">
        <v>334</v>
      </c>
      <c r="H224" s="3">
        <v>460.92</v>
      </c>
      <c r="I224" s="3">
        <f>H224-G224</f>
      </c>
      <c r="J224" s="3">
        <f>I224*16.67%</f>
      </c>
      <c r="K224" s="3">
        <f>(H224*6.9%)-(H224*6.9%)*10%</f>
      </c>
      <c r="L224" s="3">
        <f>H224*0.35%</f>
      </c>
      <c r="M224" s="3">
        <v>0.4</v>
      </c>
      <c r="N224" s="3">
        <f>(K224+L224+M224)*20%</f>
      </c>
      <c r="O224" s="3">
        <f>K224+L224+M224+N224</f>
      </c>
      <c r="P224" s="3">
        <v>0</v>
      </c>
      <c r="Q224" s="3">
        <v>0</v>
      </c>
      <c r="R224" s="3">
        <v>0</v>
      </c>
      <c r="S224" s="3">
        <f>R224*20%</f>
      </c>
      <c r="T224" s="3">
        <v>1</v>
      </c>
      <c r="U224" s="3">
        <f>N224+Q224+S224</f>
      </c>
      <c r="V224" s="3">
        <f>I224-J224-O224-P224-Q224-R224-S224-T224</f>
      </c>
      <c r="W224" s="3">
        <f>(V224-AE224)/H224*100</f>
      </c>
      <c r="X224" s="3">
        <f>J224-U224</f>
      </c>
      <c r="Y224" t="s">
        <v>1</v>
      </c>
      <c r="Z224" t="s">
        <v>73</v>
      </c>
      <c r="AF224" s="3">
        <f>V224-AE224</f>
      </c>
      <c r="AG224" t="s">
        <v>59</v>
      </c>
      <c r="AH224" t="s">
        <v>87</v>
      </c>
    </row>
    <row r="225" spans="1:34" x14ac:dyDescent="0.25">
      <c r="A225" s="7">
        <v>46198.5</v>
      </c>
      <c r="B225" t="s">
        <v>1877</v>
      </c>
      <c r="C225" t="s">
        <v>1</v>
      </c>
      <c r="D225" s="8" t="s">
        <v>1878</v>
      </c>
      <c r="E225" t="s">
        <v>57</v>
      </c>
      <c r="F225">
        <v>1</v>
      </c>
      <c r="G225" s="3">
        <v>179</v>
      </c>
      <c r="H225" s="3">
        <v>245.23</v>
      </c>
      <c r="I225" s="3">
        <f>H225-G225</f>
      </c>
      <c r="J225" s="3">
        <f>I225*16.67%</f>
      </c>
      <c r="K225" s="3">
        <f>(H225*6.9%)-(H225*6.9%)*10%</f>
      </c>
      <c r="L225" s="3">
        <f>H225*0.35%</f>
      </c>
      <c r="M225" s="3">
        <v>0.4</v>
      </c>
      <c r="N225" s="3">
        <f>(K225+L225+M225)*20%</f>
      </c>
      <c r="O225" s="3">
        <f>K225+L225+M225+N225</f>
      </c>
      <c r="P225" s="3">
        <v>0</v>
      </c>
      <c r="Q225" s="3">
        <v>0</v>
      </c>
      <c r="R225" s="3">
        <v>0</v>
      </c>
      <c r="S225" s="3">
        <f>R225*20%</f>
      </c>
      <c r="T225" s="3">
        <v>1</v>
      </c>
      <c r="U225" s="3">
        <f>N225+Q225+S225</f>
      </c>
      <c r="V225" s="3">
        <f>I225-J225-O225-P225-Q225-R225-S225-T225</f>
      </c>
      <c r="W225" s="3">
        <f>(V225-AE225)/H225*100</f>
      </c>
      <c r="X225" s="3">
        <f>J225-U225</f>
      </c>
      <c r="Y225" t="s">
        <v>1</v>
      </c>
      <c r="Z225" t="s">
        <v>171</v>
      </c>
      <c r="AF225" s="3">
        <f>V225-AE225</f>
      </c>
      <c r="AG225" t="s">
        <v>65</v>
      </c>
      <c r="AH225" t="s">
        <v>60</v>
      </c>
    </row>
    <row r="226" spans="1:34" x14ac:dyDescent="0.25">
      <c r="A226" s="7">
        <v>46198.5</v>
      </c>
      <c r="B226" t="s">
        <v>1879</v>
      </c>
      <c r="C226" t="s">
        <v>1</v>
      </c>
      <c r="D226" s="8" t="s">
        <v>1880</v>
      </c>
      <c r="E226" t="s">
        <v>57</v>
      </c>
      <c r="F226">
        <v>1</v>
      </c>
      <c r="G226" s="3">
        <v>616</v>
      </c>
      <c r="H226" s="3">
        <v>757.68</v>
      </c>
      <c r="I226" s="3">
        <f>H226-G226</f>
      </c>
      <c r="J226" s="3">
        <f>I226*16.67%</f>
      </c>
      <c r="K226" s="3">
        <f>(H226*6.9%)-(H226*6.9%)*10%</f>
      </c>
      <c r="L226" s="3">
        <f>H226*0.35%</f>
      </c>
      <c r="M226" s="3">
        <v>0.4</v>
      </c>
      <c r="N226" s="3">
        <f>(K226+L226+M226)*20%</f>
      </c>
      <c r="O226" s="3">
        <f>K226+L226+M226+N226</f>
      </c>
      <c r="P226" s="3">
        <v>0</v>
      </c>
      <c r="Q226" s="3">
        <v>0</v>
      </c>
      <c r="R226" s="3">
        <v>0</v>
      </c>
      <c r="S226" s="3">
        <f>R226*20%</f>
      </c>
      <c r="T226" s="3">
        <v>1</v>
      </c>
      <c r="U226" s="3">
        <f>N226+Q226+S226</f>
      </c>
      <c r="V226" s="3">
        <f>I226-J226-O226-P226-Q226-R226-S226-T226</f>
      </c>
      <c r="W226" s="3">
        <f>(V226-AE226)/H226*100</f>
      </c>
      <c r="X226" s="3">
        <f>J226-U226</f>
      </c>
      <c r="Y226" t="s">
        <v>1</v>
      </c>
      <c r="Z226" t="s">
        <v>80</v>
      </c>
      <c r="AF226" s="3">
        <f>V226-AE226</f>
      </c>
      <c r="AG226" t="s">
        <v>65</v>
      </c>
      <c r="AH226" t="s">
        <v>104</v>
      </c>
    </row>
    <row r="227" spans="1:34" x14ac:dyDescent="0.25">
      <c r="A227" s="7">
        <v>46198.5</v>
      </c>
      <c r="B227" t="s">
        <v>1881</v>
      </c>
      <c r="C227" t="s">
        <v>1</v>
      </c>
      <c r="D227" s="8" t="s">
        <v>1882</v>
      </c>
      <c r="E227" t="s">
        <v>63</v>
      </c>
      <c r="F227">
        <v>1</v>
      </c>
      <c r="G227" s="3">
        <v>155</v>
      </c>
      <c r="H227" s="3">
        <v>181.35</v>
      </c>
      <c r="I227" s="3">
        <f>H227-G227</f>
      </c>
      <c r="J227" s="3">
        <f>I227*16.67%</f>
      </c>
      <c r="K227" s="3">
        <f>(H227*6.9%)-(H227*6.9%)*10%</f>
      </c>
      <c r="L227" s="3">
        <f>H227*0.35%</f>
      </c>
      <c r="M227" s="3">
        <v>0.4</v>
      </c>
      <c r="N227" s="3">
        <f>(K227+L227+M227)*20%</f>
      </c>
      <c r="O227" s="3">
        <f>K227+L227+M227+N227</f>
      </c>
      <c r="P227" s="3">
        <v>0</v>
      </c>
      <c r="Q227" s="3">
        <v>0</v>
      </c>
      <c r="R227" s="3">
        <v>0</v>
      </c>
      <c r="S227" s="3">
        <f>R227*20%</f>
      </c>
      <c r="T227" s="3">
        <v>1</v>
      </c>
      <c r="U227" s="3">
        <f>N227+Q227+S227</f>
      </c>
      <c r="V227" s="3">
        <f>I227-J227-O227-P227-Q227-R227-S227-T227</f>
      </c>
      <c r="W227" s="3">
        <f>(V227-AE227)/H227*100</f>
      </c>
      <c r="X227" s="3">
        <f>J227-U227</f>
      </c>
      <c r="Y227" t="s">
        <v>1</v>
      </c>
      <c r="Z227" t="s">
        <v>233</v>
      </c>
      <c r="AF227" s="3">
        <f>V227-AE227</f>
      </c>
      <c r="AG227" t="s">
        <v>65</v>
      </c>
      <c r="AH227" t="s">
        <v>60</v>
      </c>
    </row>
    <row r="228" spans="1:34" x14ac:dyDescent="0.25">
      <c r="A228" s="7">
        <v>46198.5</v>
      </c>
      <c r="B228" t="s">
        <v>1883</v>
      </c>
      <c r="C228" t="s">
        <v>176</v>
      </c>
      <c r="D228" s="8" t="s">
        <v>1</v>
      </c>
      <c r="E228" t="s">
        <v>77</v>
      </c>
      <c r="F228">
        <v>4</v>
      </c>
      <c r="G228" s="3">
        <v>0.6</v>
      </c>
      <c r="H228" s="3">
        <v>0.73</v>
      </c>
      <c r="I228" s="3">
        <f>H228-G228</f>
      </c>
      <c r="J228" s="3">
        <f>I228*16.67%</f>
      </c>
      <c r="K228" s="3">
        <f>(H228*6.9%)-(H228*6.9%)*10%</f>
      </c>
      <c r="L228" s="3">
        <f>H228*0.35%</f>
      </c>
      <c r="M228" s="3">
        <v>0.4</v>
      </c>
      <c r="N228" s="3">
        <f>(K228+L228+M228)*20%</f>
      </c>
      <c r="O228" s="3">
        <f>K228+L228+M228+N228</f>
      </c>
      <c r="P228" s="3">
        <v>0</v>
      </c>
      <c r="Q228" s="3">
        <v>0</v>
      </c>
      <c r="R228" s="3">
        <v>0</v>
      </c>
      <c r="S228" s="3">
        <f>R228*20%</f>
      </c>
      <c r="T228" s="3">
        <v>1</v>
      </c>
      <c r="U228" s="3">
        <f>N228+Q228+S228</f>
      </c>
      <c r="V228" s="3">
        <f>I228-J228-O228-P228-Q228-R228-S228-T228</f>
      </c>
      <c r="W228" s="3">
        <f>(V228-AE228)/H228*100</f>
      </c>
      <c r="X228" s="3">
        <f>J228-U228</f>
      </c>
      <c r="Y228" t="s">
        <v>1</v>
      </c>
      <c r="Z228" t="s">
        <v>176</v>
      </c>
      <c r="AF228" s="3">
        <f>V228-AE228</f>
      </c>
      <c r="AG228" t="s">
        <v>1</v>
      </c>
      <c r="AH228" t="s">
        <v>1</v>
      </c>
    </row>
    <row r="229" spans="1:34" x14ac:dyDescent="0.25">
      <c r="A229" s="7">
        <v>46197.5</v>
      </c>
      <c r="B229" t="s">
        <v>1884</v>
      </c>
      <c r="C229" t="s">
        <v>1</v>
      </c>
      <c r="D229" s="8" t="s">
        <v>1885</v>
      </c>
      <c r="E229" t="s">
        <v>101</v>
      </c>
      <c r="F229">
        <v>1</v>
      </c>
      <c r="G229" s="3">
        <v>544</v>
      </c>
      <c r="H229" s="3">
        <v>636.48</v>
      </c>
      <c r="I229" s="3">
        <f>H229-G229</f>
      </c>
      <c r="J229" s="3">
        <f>I229*16.67%</f>
      </c>
      <c r="K229" s="3">
        <f>(H229*6.9%)-(H229*6.9%)*10%</f>
      </c>
      <c r="L229" s="3">
        <f>H229*0.35%</f>
      </c>
      <c r="M229" s="3">
        <v>0.4</v>
      </c>
      <c r="N229" s="3">
        <f>(K229+L229+M229)*20%</f>
      </c>
      <c r="O229" s="3">
        <f>K229+L229+M229+N229</f>
      </c>
      <c r="P229" s="3">
        <v>0</v>
      </c>
      <c r="Q229" s="3">
        <v>0</v>
      </c>
      <c r="R229" s="3">
        <v>0</v>
      </c>
      <c r="S229" s="3">
        <f>R229*20%</f>
      </c>
      <c r="T229" s="3">
        <v>1</v>
      </c>
      <c r="U229" s="3">
        <f>N229+Q229+S229</f>
      </c>
      <c r="V229" s="3">
        <f>I229-J229-O229-P229-Q229-R229-S229-T229</f>
      </c>
      <c r="W229" s="3">
        <f>(V229-AE229)/H229*100</f>
      </c>
      <c r="X229" s="3">
        <f>J229-U229</f>
      </c>
      <c r="Y229" t="s">
        <v>1</v>
      </c>
      <c r="Z229" t="s">
        <v>68</v>
      </c>
      <c r="AF229" s="3">
        <f>V229-AE229</f>
      </c>
      <c r="AG229" t="s">
        <v>59</v>
      </c>
      <c r="AH229" t="s">
        <v>87</v>
      </c>
    </row>
    <row r="230" spans="1:34" x14ac:dyDescent="0.25">
      <c r="A230" s="7">
        <v>46197.5</v>
      </c>
      <c r="B230" t="s">
        <v>1886</v>
      </c>
      <c r="C230" t="s">
        <v>1</v>
      </c>
      <c r="D230" s="8" t="s">
        <v>1887</v>
      </c>
      <c r="E230" t="s">
        <v>77</v>
      </c>
      <c r="F230">
        <v>1</v>
      </c>
      <c r="G230" s="3">
        <v>77</v>
      </c>
      <c r="H230" s="3">
        <v>105.49</v>
      </c>
      <c r="I230" s="3">
        <f>H230-G230</f>
      </c>
      <c r="J230" s="3">
        <f>I230*16.67%</f>
      </c>
      <c r="K230" s="3">
        <f>(H230*6.9%)-(H230*6.9%)*10%</f>
      </c>
      <c r="L230" s="3">
        <f>H230*0.35%</f>
      </c>
      <c r="M230" s="3">
        <v>0.4</v>
      </c>
      <c r="N230" s="3">
        <f>(K230+L230+M230)*20%</f>
      </c>
      <c r="O230" s="3">
        <f>K230+L230+M230+N230</f>
      </c>
      <c r="P230" s="3">
        <v>0</v>
      </c>
      <c r="Q230" s="3">
        <v>0</v>
      </c>
      <c r="R230" s="3">
        <v>0</v>
      </c>
      <c r="S230" s="3">
        <f>R230*20%</f>
      </c>
      <c r="T230" s="3">
        <v>1</v>
      </c>
      <c r="U230" s="3">
        <f>N230+Q230+S230</f>
      </c>
      <c r="V230" s="3">
        <f>I230-J230-O230-P230-Q230-R230-S230-T230</f>
      </c>
      <c r="W230" s="3">
        <f>(V230-AE230)/H230*100</f>
      </c>
      <c r="X230" s="3">
        <f>J230-U230</f>
      </c>
      <c r="Y230" t="s">
        <v>1</v>
      </c>
      <c r="Z230" t="s">
        <v>93</v>
      </c>
      <c r="AF230" s="3">
        <f>V230-AE230</f>
      </c>
      <c r="AG230" t="s">
        <v>94</v>
      </c>
      <c r="AH230" t="s">
        <v>84</v>
      </c>
    </row>
    <row r="231" spans="1:34" x14ac:dyDescent="0.25">
      <c r="A231" s="7">
        <v>46197.5</v>
      </c>
      <c r="B231" t="s">
        <v>1888</v>
      </c>
      <c r="C231" t="s">
        <v>1</v>
      </c>
      <c r="D231" s="8" t="s">
        <v>1889</v>
      </c>
      <c r="E231" t="s">
        <v>77</v>
      </c>
      <c r="F231">
        <v>1</v>
      </c>
      <c r="G231" s="3">
        <v>194</v>
      </c>
      <c r="H231" s="3">
        <v>254.14</v>
      </c>
      <c r="I231" s="3">
        <f>H231-G231</f>
      </c>
      <c r="J231" s="3">
        <f>I231*16.67%</f>
      </c>
      <c r="K231" s="3">
        <f>(H231*6.9%)-(H231*6.9%)*10%</f>
      </c>
      <c r="L231" s="3">
        <f>H231*0.35%</f>
      </c>
      <c r="M231" s="3">
        <v>0.4</v>
      </c>
      <c r="N231" s="3">
        <f>(K231+L231+M231)*20%</f>
      </c>
      <c r="O231" s="3">
        <f>K231+L231+M231+N231</f>
      </c>
      <c r="P231" s="3">
        <v>0</v>
      </c>
      <c r="Q231" s="3">
        <v>0</v>
      </c>
      <c r="R231" s="3">
        <v>0</v>
      </c>
      <c r="S231" s="3">
        <f>R231*20%</f>
      </c>
      <c r="T231" s="3">
        <v>1</v>
      </c>
      <c r="U231" s="3">
        <f>N231+Q231+S231</f>
      </c>
      <c r="V231" s="3">
        <f>I231-J231-O231-P231-Q231-R231-S231-T231</f>
      </c>
      <c r="W231" s="3">
        <f>(V231-AE231)/H231*100</f>
      </c>
      <c r="X231" s="3">
        <f>J231-U231</f>
      </c>
      <c r="Y231" t="s">
        <v>1</v>
      </c>
      <c r="Z231" t="s">
        <v>113</v>
      </c>
      <c r="AF231" s="3">
        <f>V231-AE231</f>
      </c>
      <c r="AG231" t="s">
        <v>94</v>
      </c>
      <c r="AH231" t="s">
        <v>87</v>
      </c>
    </row>
    <row r="232" spans="1:34" x14ac:dyDescent="0.25">
      <c r="A232" s="7">
        <v>46197.5</v>
      </c>
      <c r="B232" t="s">
        <v>1890</v>
      </c>
      <c r="C232" t="s">
        <v>1</v>
      </c>
      <c r="D232" s="8" t="s">
        <v>1891</v>
      </c>
      <c r="E232" t="s">
        <v>72</v>
      </c>
      <c r="F232">
        <v>1</v>
      </c>
      <c r="G232" s="3">
        <v>271</v>
      </c>
      <c r="H232" s="3">
        <v>371.27</v>
      </c>
      <c r="I232" s="3">
        <f>H232-G232</f>
      </c>
      <c r="J232" s="3">
        <f>I232*16.67%</f>
      </c>
      <c r="K232" s="3">
        <f>(H232*6.9%)-(H232*6.9%)*10%</f>
      </c>
      <c r="L232" s="3">
        <f>H232*0.35%</f>
      </c>
      <c r="M232" s="3">
        <v>0.4</v>
      </c>
      <c r="N232" s="3">
        <f>(K232+L232+M232)*20%</f>
      </c>
      <c r="O232" s="3">
        <f>K232+L232+M232+N232</f>
      </c>
      <c r="P232" s="3">
        <v>0</v>
      </c>
      <c r="Q232" s="3">
        <v>0</v>
      </c>
      <c r="R232" s="3">
        <v>0</v>
      </c>
      <c r="S232" s="3">
        <f>R232*20%</f>
      </c>
      <c r="T232" s="3">
        <v>1</v>
      </c>
      <c r="U232" s="3">
        <f>N232+Q232+S232</f>
      </c>
      <c r="V232" s="3">
        <f>I232-J232-O232-P232-Q232-R232-S232-T232</f>
      </c>
      <c r="W232" s="3">
        <f>(V232-AE232)/H232*100</f>
      </c>
      <c r="X232" s="3">
        <f>J232-U232</f>
      </c>
      <c r="Y232" t="s">
        <v>1</v>
      </c>
      <c r="Z232" t="s">
        <v>130</v>
      </c>
      <c r="AF232" s="3">
        <f>V232-AE232</f>
      </c>
      <c r="AG232" t="s">
        <v>65</v>
      </c>
      <c r="AH232" t="s">
        <v>74</v>
      </c>
    </row>
    <row r="233" spans="1:34" x14ac:dyDescent="0.25">
      <c r="A233" s="7">
        <v>46197.5</v>
      </c>
      <c r="B233" t="s">
        <v>1892</v>
      </c>
      <c r="C233" t="s">
        <v>1</v>
      </c>
      <c r="D233" s="8" t="s">
        <v>1893</v>
      </c>
      <c r="E233" t="s">
        <v>57</v>
      </c>
      <c r="F233">
        <v>1</v>
      </c>
      <c r="G233" s="3">
        <v>265</v>
      </c>
      <c r="H233" s="3">
        <v>304.75</v>
      </c>
      <c r="I233" s="3">
        <f>H233-G233</f>
      </c>
      <c r="J233" s="3">
        <f>I233*16.67%</f>
      </c>
      <c r="K233" s="3">
        <f>(H233*6.9%)-(H233*6.9%)*10%</f>
      </c>
      <c r="L233" s="3">
        <f>H233*0.35%</f>
      </c>
      <c r="M233" s="3">
        <v>0.4</v>
      </c>
      <c r="N233" s="3">
        <f>(K233+L233+M233)*20%</f>
      </c>
      <c r="O233" s="3">
        <f>K233+L233+M233+N233</f>
      </c>
      <c r="P233" s="3">
        <v>0</v>
      </c>
      <c r="Q233" s="3">
        <v>0</v>
      </c>
      <c r="R233" s="3">
        <v>0</v>
      </c>
      <c r="S233" s="3">
        <f>R233*20%</f>
      </c>
      <c r="T233" s="3">
        <v>1</v>
      </c>
      <c r="U233" s="3">
        <f>N233+Q233+S233</f>
      </c>
      <c r="V233" s="3">
        <f>I233-J233-O233-P233-Q233-R233-S233-T233</f>
      </c>
      <c r="W233" s="3">
        <f>(V233-AE233)/H233*100</f>
      </c>
      <c r="X233" s="3">
        <f>J233-U233</f>
      </c>
      <c r="Y233" t="s">
        <v>1</v>
      </c>
      <c r="Z233" t="s">
        <v>130</v>
      </c>
      <c r="AF233" s="3">
        <f>V233-AE233</f>
      </c>
      <c r="AG233" t="s">
        <v>59</v>
      </c>
      <c r="AH233" t="s">
        <v>69</v>
      </c>
    </row>
    <row r="234" spans="1:34" x14ac:dyDescent="0.25">
      <c r="A234" s="7">
        <v>46197.5</v>
      </c>
      <c r="B234" t="s">
        <v>1894</v>
      </c>
      <c r="C234" t="s">
        <v>1</v>
      </c>
      <c r="D234" s="8" t="s">
        <v>1895</v>
      </c>
      <c r="E234" t="s">
        <v>57</v>
      </c>
      <c r="F234">
        <v>1</v>
      </c>
      <c r="G234" s="3">
        <v>175</v>
      </c>
      <c r="H234" s="3">
        <v>234.5</v>
      </c>
      <c r="I234" s="3">
        <f>H234-G234</f>
      </c>
      <c r="J234" s="3">
        <f>I234*16.67%</f>
      </c>
      <c r="K234" s="3">
        <f>(H234*6.9%)-(H234*6.9%)*10%</f>
      </c>
      <c r="L234" s="3">
        <f>H234*0.35%</f>
      </c>
      <c r="M234" s="3">
        <v>0.4</v>
      </c>
      <c r="N234" s="3">
        <f>(K234+L234+M234)*20%</f>
      </c>
      <c r="O234" s="3">
        <f>K234+L234+M234+N234</f>
      </c>
      <c r="P234" s="3">
        <v>0</v>
      </c>
      <c r="Q234" s="3">
        <v>0</v>
      </c>
      <c r="R234" s="3">
        <v>0</v>
      </c>
      <c r="S234" s="3">
        <f>R234*20%</f>
      </c>
      <c r="T234" s="3">
        <v>1</v>
      </c>
      <c r="U234" s="3">
        <f>N234+Q234+S234</f>
      </c>
      <c r="V234" s="3">
        <f>I234-J234-O234-P234-Q234-R234-S234-T234</f>
      </c>
      <c r="W234" s="3">
        <f>(V234-AE234)/H234*100</f>
      </c>
      <c r="X234" s="3">
        <f>J234-U234</f>
      </c>
      <c r="Y234" t="s">
        <v>1</v>
      </c>
      <c r="Z234" t="s">
        <v>171</v>
      </c>
      <c r="AF234" s="3">
        <f>V234-AE234</f>
      </c>
      <c r="AG234" t="s">
        <v>65</v>
      </c>
      <c r="AH234" t="s">
        <v>98</v>
      </c>
    </row>
    <row r="235" spans="1:34" x14ac:dyDescent="0.25">
      <c r="A235" s="7">
        <v>46197.5</v>
      </c>
      <c r="B235" t="s">
        <v>1896</v>
      </c>
      <c r="C235" t="s">
        <v>1</v>
      </c>
      <c r="D235" s="8" t="s">
        <v>1897</v>
      </c>
      <c r="E235" t="s">
        <v>72</v>
      </c>
      <c r="F235">
        <v>1</v>
      </c>
      <c r="G235" s="3">
        <v>327</v>
      </c>
      <c r="H235" s="3">
        <v>395.67</v>
      </c>
      <c r="I235" s="3">
        <f>H235-G235</f>
      </c>
      <c r="J235" s="3">
        <f>I235*16.67%</f>
      </c>
      <c r="K235" s="3">
        <f>(H235*6.9%)-(H235*6.9%)*10%</f>
      </c>
      <c r="L235" s="3">
        <f>H235*0.35%</f>
      </c>
      <c r="M235" s="3">
        <v>0.4</v>
      </c>
      <c r="N235" s="3">
        <f>(K235+L235+M235)*20%</f>
      </c>
      <c r="O235" s="3">
        <f>K235+L235+M235+N235</f>
      </c>
      <c r="P235" s="3">
        <v>0</v>
      </c>
      <c r="Q235" s="3">
        <v>0</v>
      </c>
      <c r="R235" s="3">
        <v>0</v>
      </c>
      <c r="S235" s="3">
        <f>R235*20%</f>
      </c>
      <c r="T235" s="3">
        <v>1</v>
      </c>
      <c r="U235" s="3">
        <f>N235+Q235+S235</f>
      </c>
      <c r="V235" s="3">
        <f>I235-J235-O235-P235-Q235-R235-S235-T235</f>
      </c>
      <c r="W235" s="3">
        <f>(V235-AE235)/H235*100</f>
      </c>
      <c r="X235" s="3">
        <f>J235-U235</f>
      </c>
      <c r="Y235" t="s">
        <v>1</v>
      </c>
      <c r="Z235" t="s">
        <v>73</v>
      </c>
      <c r="AF235" s="3">
        <f>V235-AE235</f>
      </c>
      <c r="AG235" t="s">
        <v>59</v>
      </c>
      <c r="AH235" t="s">
        <v>84</v>
      </c>
    </row>
    <row r="236" spans="1:34" x14ac:dyDescent="0.25">
      <c r="A236" s="7">
        <v>46197.5</v>
      </c>
      <c r="B236" t="s">
        <v>1898</v>
      </c>
      <c r="C236" t="s">
        <v>188</v>
      </c>
      <c r="D236" s="8" t="s">
        <v>1</v>
      </c>
      <c r="E236" t="s">
        <v>63</v>
      </c>
      <c r="F236">
        <v>2</v>
      </c>
      <c r="G236" s="3">
        <v>7</v>
      </c>
      <c r="H236" s="3">
        <v>9.31</v>
      </c>
      <c r="I236" s="3">
        <f>H236-G236</f>
      </c>
      <c r="J236" s="3">
        <f>I236*16.67%</f>
      </c>
      <c r="K236" s="3">
        <f>(H236*6.9%)-(H236*6.9%)*10%</f>
      </c>
      <c r="L236" s="3">
        <f>H236*0.35%</f>
      </c>
      <c r="M236" s="3">
        <v>0.4</v>
      </c>
      <c r="N236" s="3">
        <f>(K236+L236+M236)*20%</f>
      </c>
      <c r="O236" s="3">
        <f>K236+L236+M236+N236</f>
      </c>
      <c r="P236" s="3">
        <v>0</v>
      </c>
      <c r="Q236" s="3">
        <v>0</v>
      </c>
      <c r="R236" s="3">
        <v>0</v>
      </c>
      <c r="S236" s="3">
        <f>R236*20%</f>
      </c>
      <c r="T236" s="3">
        <v>1</v>
      </c>
      <c r="U236" s="3">
        <f>N236+Q236+S236</f>
      </c>
      <c r="V236" s="3">
        <f>I236-J236-O236-P236-Q236-R236-S236-T236</f>
      </c>
      <c r="W236" s="3">
        <f>(V236-AE236)/H236*100</f>
      </c>
      <c r="X236" s="3">
        <f>J236-U236</f>
      </c>
      <c r="Y236" t="s">
        <v>1</v>
      </c>
      <c r="Z236" t="s">
        <v>188</v>
      </c>
      <c r="AF236" s="3">
        <f>V236-AE236</f>
      </c>
      <c r="AG236" t="s">
        <v>1</v>
      </c>
      <c r="AH236" t="s">
        <v>1</v>
      </c>
    </row>
    <row r="237" spans="1:34" x14ac:dyDescent="0.25">
      <c r="A237" s="7">
        <v>46197.5</v>
      </c>
      <c r="B237" t="s">
        <v>1899</v>
      </c>
      <c r="C237" t="s">
        <v>176</v>
      </c>
      <c r="D237" s="8" t="s">
        <v>1</v>
      </c>
      <c r="E237" t="s">
        <v>77</v>
      </c>
      <c r="F237">
        <v>4</v>
      </c>
      <c r="G237" s="3">
        <v>0.6</v>
      </c>
      <c r="H237" s="3">
        <v>0.71</v>
      </c>
      <c r="I237" s="3">
        <f>H237-G237</f>
      </c>
      <c r="J237" s="3">
        <f>I237*16.67%</f>
      </c>
      <c r="K237" s="3">
        <f>(H237*6.9%)-(H237*6.9%)*10%</f>
      </c>
      <c r="L237" s="3">
        <f>H237*0.35%</f>
      </c>
      <c r="M237" s="3">
        <v>0.4</v>
      </c>
      <c r="N237" s="3">
        <f>(K237+L237+M237)*20%</f>
      </c>
      <c r="O237" s="3">
        <f>K237+L237+M237+N237</f>
      </c>
      <c r="P237" s="3">
        <v>0</v>
      </c>
      <c r="Q237" s="3">
        <v>0</v>
      </c>
      <c r="R237" s="3">
        <v>0</v>
      </c>
      <c r="S237" s="3">
        <f>R237*20%</f>
      </c>
      <c r="T237" s="3">
        <v>1</v>
      </c>
      <c r="U237" s="3">
        <f>N237+Q237+S237</f>
      </c>
      <c r="V237" s="3">
        <f>I237-J237-O237-P237-Q237-R237-S237-T237</f>
      </c>
      <c r="W237" s="3">
        <f>(V237-AE237)/H237*100</f>
      </c>
      <c r="X237" s="3">
        <f>J237-U237</f>
      </c>
      <c r="Y237" t="s">
        <v>1</v>
      </c>
      <c r="Z237" t="s">
        <v>176</v>
      </c>
      <c r="AF237" s="3">
        <f>V237-AE237</f>
      </c>
      <c r="AG237" t="s">
        <v>1</v>
      </c>
      <c r="AH237" t="s">
        <v>1</v>
      </c>
    </row>
    <row r="238" spans="1:34" x14ac:dyDescent="0.25">
      <c r="A238" s="7">
        <v>46197.5</v>
      </c>
      <c r="B238" t="s">
        <v>1900</v>
      </c>
      <c r="C238" t="s">
        <v>1</v>
      </c>
      <c r="D238" s="8" t="s">
        <v>1</v>
      </c>
      <c r="E238" t="s">
        <v>77</v>
      </c>
      <c r="F238">
        <v>1</v>
      </c>
      <c r="G238" s="3">
        <v>180</v>
      </c>
      <c r="H238" s="3">
        <v>212.4</v>
      </c>
      <c r="I238" s="3">
        <f>H238-G238</f>
      </c>
      <c r="J238" s="3">
        <f>I238*16.67%</f>
      </c>
      <c r="K238" s="3">
        <f>(H238*6.9%)-(H238*6.9%)*10%</f>
      </c>
      <c r="L238" s="3">
        <f>H238*0.35%</f>
      </c>
      <c r="M238" s="3">
        <v>0.4</v>
      </c>
      <c r="N238" s="3">
        <f>(K238+L238+M238)*20%</f>
      </c>
      <c r="O238" s="3">
        <f>K238+L238+M238+N238</f>
      </c>
      <c r="P238" s="3">
        <v>0</v>
      </c>
      <c r="Q238" s="3">
        <v>0</v>
      </c>
      <c r="R238" s="3">
        <v>0</v>
      </c>
      <c r="S238" s="3">
        <f>R238*20%</f>
      </c>
      <c r="T238" s="3">
        <v>1</v>
      </c>
      <c r="U238" s="3">
        <f>N238+Q238+S238</f>
      </c>
      <c r="V238" s="3">
        <f>I238-J238-O238-P238-Q238-R238-S238-T238</f>
      </c>
      <c r="W238" s="3">
        <f>(V238-AE238)/H238*100</f>
      </c>
      <c r="X238" s="3">
        <f>J238-U238</f>
      </c>
      <c r="Y238" t="s">
        <v>1</v>
      </c>
      <c r="Z238" t="s">
        <v>1</v>
      </c>
      <c r="AF238" s="3">
        <f>V238-AE238</f>
      </c>
      <c r="AG238" t="s">
        <v>1</v>
      </c>
      <c r="AH238" t="s">
        <v>1</v>
      </c>
    </row>
    <row r="239" spans="1:34" x14ac:dyDescent="0.25">
      <c r="A239" s="7">
        <v>46197.5</v>
      </c>
      <c r="B239" t="s">
        <v>1901</v>
      </c>
      <c r="C239" t="s">
        <v>1</v>
      </c>
      <c r="D239" s="8" t="s">
        <v>1</v>
      </c>
      <c r="E239" t="s">
        <v>63</v>
      </c>
      <c r="F239">
        <v>1</v>
      </c>
      <c r="G239" s="3">
        <v>701</v>
      </c>
      <c r="H239" s="3">
        <v>813.16</v>
      </c>
      <c r="I239" s="3">
        <f>H239-G239</f>
      </c>
      <c r="J239" s="3">
        <f>I239*16.67%</f>
      </c>
      <c r="K239" s="3">
        <f>(H239*6.9%)-(H239*6.9%)*10%</f>
      </c>
      <c r="L239" s="3">
        <f>H239*0.35%</f>
      </c>
      <c r="M239" s="3">
        <v>0.4</v>
      </c>
      <c r="N239" s="3">
        <f>(K239+L239+M239)*20%</f>
      </c>
      <c r="O239" s="3">
        <f>K239+L239+M239+N239</f>
      </c>
      <c r="P239" s="3">
        <v>0</v>
      </c>
      <c r="Q239" s="3">
        <v>0</v>
      </c>
      <c r="R239" s="3">
        <v>0</v>
      </c>
      <c r="S239" s="3">
        <f>R239*20%</f>
      </c>
      <c r="T239" s="3">
        <v>1</v>
      </c>
      <c r="U239" s="3">
        <f>N239+Q239+S239</f>
      </c>
      <c r="V239" s="3">
        <f>I239-J239-O239-P239-Q239-R239-S239-T239</f>
      </c>
      <c r="W239" s="3">
        <f>(V239-AE239)/H239*100</f>
      </c>
      <c r="X239" s="3">
        <f>J239-U239</f>
      </c>
      <c r="Y239" t="s">
        <v>1</v>
      </c>
      <c r="Z239" t="s">
        <v>1</v>
      </c>
      <c r="AF239" s="3">
        <f>V239-AE239</f>
      </c>
      <c r="AG239" t="s">
        <v>1</v>
      </c>
      <c r="AH239" t="s">
        <v>1</v>
      </c>
    </row>
    <row r="240" spans="1:34" x14ac:dyDescent="0.25">
      <c r="A240" s="7">
        <v>46196.5</v>
      </c>
      <c r="B240" t="s">
        <v>1902</v>
      </c>
      <c r="C240" t="s">
        <v>1</v>
      </c>
      <c r="D240" s="8" t="s">
        <v>1903</v>
      </c>
      <c r="E240" t="s">
        <v>77</v>
      </c>
      <c r="F240">
        <v>1</v>
      </c>
      <c r="G240" s="3">
        <v>337</v>
      </c>
      <c r="H240" s="3">
        <v>471.8</v>
      </c>
      <c r="I240" s="3">
        <f>H240-G240</f>
      </c>
      <c r="J240" s="3">
        <f>I240*16.67%</f>
      </c>
      <c r="K240" s="3">
        <f>(H240*6.9%)-(H240*6.9%)*10%</f>
      </c>
      <c r="L240" s="3">
        <f>H240*0.35%</f>
      </c>
      <c r="M240" s="3">
        <v>0.4</v>
      </c>
      <c r="N240" s="3">
        <f>(K240+L240+M240)*20%</f>
      </c>
      <c r="O240" s="3">
        <f>K240+L240+M240+N240</f>
      </c>
      <c r="P240" s="3">
        <v>0</v>
      </c>
      <c r="Q240" s="3">
        <v>0</v>
      </c>
      <c r="R240" s="3">
        <v>0</v>
      </c>
      <c r="S240" s="3">
        <f>R240*20%</f>
      </c>
      <c r="T240" s="3">
        <v>1</v>
      </c>
      <c r="U240" s="3">
        <f>N240+Q240+S240</f>
      </c>
      <c r="V240" s="3">
        <f>I240-J240-O240-P240-Q240-R240-S240-T240</f>
      </c>
      <c r="W240" s="3">
        <f>(V240-AE240)/H240*100</f>
      </c>
      <c r="X240" s="3">
        <f>J240-U240</f>
      </c>
      <c r="Y240" t="s">
        <v>1</v>
      </c>
      <c r="Z240" t="s">
        <v>97</v>
      </c>
      <c r="AF240" s="3">
        <f>V240-AE240</f>
      </c>
      <c r="AG240" t="s">
        <v>65</v>
      </c>
      <c r="AH240" t="s">
        <v>60</v>
      </c>
    </row>
    <row r="241" spans="1:34" x14ac:dyDescent="0.25">
      <c r="A241" s="7">
        <v>46196.5</v>
      </c>
      <c r="B241" t="s">
        <v>1904</v>
      </c>
      <c r="C241" t="s">
        <v>1</v>
      </c>
      <c r="D241" s="8" t="s">
        <v>1905</v>
      </c>
      <c r="E241" t="s">
        <v>57</v>
      </c>
      <c r="F241">
        <v>1</v>
      </c>
      <c r="G241" s="3">
        <v>201</v>
      </c>
      <c r="H241" s="3">
        <v>283.41</v>
      </c>
      <c r="I241" s="3">
        <f>H241-G241</f>
      </c>
      <c r="J241" s="3">
        <f>I241*16.67%</f>
      </c>
      <c r="K241" s="3">
        <f>(H241*6.9%)-(H241*6.9%)*10%</f>
      </c>
      <c r="L241" s="3">
        <f>H241*0.35%</f>
      </c>
      <c r="M241" s="3">
        <v>0.4</v>
      </c>
      <c r="N241" s="3">
        <f>(K241+L241+M241)*20%</f>
      </c>
      <c r="O241" s="3">
        <f>K241+L241+M241+N241</f>
      </c>
      <c r="P241" s="3">
        <v>0</v>
      </c>
      <c r="Q241" s="3">
        <v>0</v>
      </c>
      <c r="R241" s="3">
        <v>0</v>
      </c>
      <c r="S241" s="3">
        <f>R241*20%</f>
      </c>
      <c r="T241" s="3">
        <v>1</v>
      </c>
      <c r="U241" s="3">
        <f>N241+Q241+S241</f>
      </c>
      <c r="V241" s="3">
        <f>I241-J241-O241-P241-Q241-R241-S241-T241</f>
      </c>
      <c r="W241" s="3">
        <f>(V241-AE241)/H241*100</f>
      </c>
      <c r="X241" s="3">
        <f>J241-U241</f>
      </c>
      <c r="Y241" t="s">
        <v>1</v>
      </c>
      <c r="Z241" t="s">
        <v>113</v>
      </c>
      <c r="AF241" s="3">
        <f>V241-AE241</f>
      </c>
      <c r="AG241" t="s">
        <v>59</v>
      </c>
      <c r="AH241" t="s">
        <v>84</v>
      </c>
    </row>
    <row r="242" spans="1:34" x14ac:dyDescent="0.25">
      <c r="A242" s="7">
        <v>46196.5</v>
      </c>
      <c r="B242" t="s">
        <v>1906</v>
      </c>
      <c r="C242" t="s">
        <v>1</v>
      </c>
      <c r="D242" s="8" t="s">
        <v>1907</v>
      </c>
      <c r="E242" t="s">
        <v>77</v>
      </c>
      <c r="F242">
        <v>1</v>
      </c>
      <c r="G242" s="3">
        <v>64</v>
      </c>
      <c r="H242" s="3">
        <v>83.2</v>
      </c>
      <c r="I242" s="3">
        <f>H242-G242</f>
      </c>
      <c r="J242" s="3">
        <f>I242*16.67%</f>
      </c>
      <c r="K242" s="3">
        <f>(H242*6.9%)-(H242*6.9%)*10%</f>
      </c>
      <c r="L242" s="3">
        <f>H242*0.35%</f>
      </c>
      <c r="M242" s="3">
        <v>0.4</v>
      </c>
      <c r="N242" s="3">
        <f>(K242+L242+M242)*20%</f>
      </c>
      <c r="O242" s="3">
        <f>K242+L242+M242+N242</f>
      </c>
      <c r="P242" s="3">
        <v>0</v>
      </c>
      <c r="Q242" s="3">
        <v>0</v>
      </c>
      <c r="R242" s="3">
        <v>0</v>
      </c>
      <c r="S242" s="3">
        <f>R242*20%</f>
      </c>
      <c r="T242" s="3">
        <v>1</v>
      </c>
      <c r="U242" s="3">
        <f>N242+Q242+S242</f>
      </c>
      <c r="V242" s="3">
        <f>I242-J242-O242-P242-Q242-R242-S242-T242</f>
      </c>
      <c r="W242" s="3">
        <f>(V242-AE242)/H242*100</f>
      </c>
      <c r="X242" s="3">
        <f>J242-U242</f>
      </c>
      <c r="Y242" t="s">
        <v>1</v>
      </c>
      <c r="Z242" t="s">
        <v>93</v>
      </c>
      <c r="AF242" s="3">
        <f>V242-AE242</f>
      </c>
      <c r="AG242" t="s">
        <v>94</v>
      </c>
      <c r="AH242" t="s">
        <v>69</v>
      </c>
    </row>
    <row r="243" spans="1:34" x14ac:dyDescent="0.25">
      <c r="A243" s="7">
        <v>46196.5</v>
      </c>
      <c r="B243" t="s">
        <v>1908</v>
      </c>
      <c r="C243" t="s">
        <v>188</v>
      </c>
      <c r="D243" s="8" t="s">
        <v>1</v>
      </c>
      <c r="E243" t="s">
        <v>63</v>
      </c>
      <c r="F243">
        <v>1</v>
      </c>
      <c r="G243" s="3">
        <v>3.5</v>
      </c>
      <c r="H243" s="3">
        <v>4.87</v>
      </c>
      <c r="I243" s="3">
        <f>H243-G243</f>
      </c>
      <c r="J243" s="3">
        <f>I243*16.67%</f>
      </c>
      <c r="K243" s="3">
        <f>(H243*6.9%)-(H243*6.9%)*10%</f>
      </c>
      <c r="L243" s="3">
        <f>H243*0.35%</f>
      </c>
      <c r="M243" s="3">
        <v>0.4</v>
      </c>
      <c r="N243" s="3">
        <f>(K243+L243+M243)*20%</f>
      </c>
      <c r="O243" s="3">
        <f>K243+L243+M243+N243</f>
      </c>
      <c r="P243" s="3">
        <v>0</v>
      </c>
      <c r="Q243" s="3">
        <v>0</v>
      </c>
      <c r="R243" s="3">
        <v>0</v>
      </c>
      <c r="S243" s="3">
        <f>R243*20%</f>
      </c>
      <c r="T243" s="3">
        <v>1</v>
      </c>
      <c r="U243" s="3">
        <f>N243+Q243+S243</f>
      </c>
      <c r="V243" s="3">
        <f>I243-J243-O243-P243-Q243-R243-S243-T243</f>
      </c>
      <c r="W243" s="3">
        <f>(V243-AE243)/H243*100</f>
      </c>
      <c r="X243" s="3">
        <f>J243-U243</f>
      </c>
      <c r="Y243" t="s">
        <v>1</v>
      </c>
      <c r="Z243" t="s">
        <v>188</v>
      </c>
      <c r="AF243" s="3">
        <f>V243-AE243</f>
      </c>
      <c r="AG243" t="s">
        <v>1</v>
      </c>
      <c r="AH243" t="s">
        <v>1</v>
      </c>
    </row>
    <row r="244" spans="1:34" x14ac:dyDescent="0.25">
      <c r="A244" s="7">
        <v>46196.5</v>
      </c>
      <c r="B244" t="s">
        <v>1909</v>
      </c>
      <c r="C244" t="s">
        <v>253</v>
      </c>
      <c r="D244" s="8" t="s">
        <v>1</v>
      </c>
      <c r="E244" t="s">
        <v>57</v>
      </c>
      <c r="F244">
        <v>2</v>
      </c>
      <c r="G244" s="3">
        <v>1.6</v>
      </c>
      <c r="H244" s="3">
        <v>2.14</v>
      </c>
      <c r="I244" s="3">
        <f>H244-G244</f>
      </c>
      <c r="J244" s="3">
        <f>I244*16.67%</f>
      </c>
      <c r="K244" s="3">
        <f>(H244*6.9%)-(H244*6.9%)*10%</f>
      </c>
      <c r="L244" s="3">
        <f>H244*0.35%</f>
      </c>
      <c r="M244" s="3">
        <v>0.4</v>
      </c>
      <c r="N244" s="3">
        <f>(K244+L244+M244)*20%</f>
      </c>
      <c r="O244" s="3">
        <f>K244+L244+M244+N244</f>
      </c>
      <c r="P244" s="3">
        <v>0</v>
      </c>
      <c r="Q244" s="3">
        <v>0</v>
      </c>
      <c r="R244" s="3">
        <v>0</v>
      </c>
      <c r="S244" s="3">
        <f>R244*20%</f>
      </c>
      <c r="T244" s="3">
        <v>1</v>
      </c>
      <c r="U244" s="3">
        <f>N244+Q244+S244</f>
      </c>
      <c r="V244" s="3">
        <f>I244-J244-O244-P244-Q244-R244-S244-T244</f>
      </c>
      <c r="W244" s="3">
        <f>(V244-AE244)/H244*100</f>
      </c>
      <c r="X244" s="3">
        <f>J244-U244</f>
      </c>
      <c r="Y244" t="s">
        <v>1</v>
      </c>
      <c r="Z244" t="s">
        <v>253</v>
      </c>
      <c r="AF244" s="3">
        <f>V244-AE244</f>
      </c>
      <c r="AG244" t="s">
        <v>1</v>
      </c>
      <c r="AH244" t="s">
        <v>1</v>
      </c>
    </row>
    <row r="245" spans="1:34" x14ac:dyDescent="0.25">
      <c r="A245" s="7">
        <v>46195.5</v>
      </c>
      <c r="B245" t="s">
        <v>1910</v>
      </c>
      <c r="C245" t="s">
        <v>1</v>
      </c>
      <c r="D245" s="8" t="s">
        <v>1911</v>
      </c>
      <c r="E245" t="s">
        <v>57</v>
      </c>
      <c r="F245">
        <v>1</v>
      </c>
      <c r="G245" s="3">
        <v>265</v>
      </c>
      <c r="H245" s="3">
        <v>365.7</v>
      </c>
      <c r="I245" s="3">
        <f>H245-G245</f>
      </c>
      <c r="J245" s="3">
        <f>I245*16.67%</f>
      </c>
      <c r="K245" s="3">
        <f>(H245*6.9%)-(H245*6.9%)*10%</f>
      </c>
      <c r="L245" s="3">
        <f>H245*0.35%</f>
      </c>
      <c r="M245" s="3">
        <v>0.4</v>
      </c>
      <c r="N245" s="3">
        <f>(K245+L245+M245)*20%</f>
      </c>
      <c r="O245" s="3">
        <f>K245+L245+M245+N245</f>
      </c>
      <c r="P245" s="3">
        <v>0</v>
      </c>
      <c r="Q245" s="3">
        <v>0</v>
      </c>
      <c r="R245" s="3">
        <v>0</v>
      </c>
      <c r="S245" s="3">
        <f>R245*20%</f>
      </c>
      <c r="T245" s="3">
        <v>1</v>
      </c>
      <c r="U245" s="3">
        <f>N245+Q245+S245</f>
      </c>
      <c r="V245" s="3">
        <f>I245-J245-O245-P245-Q245-R245-S245-T245</f>
      </c>
      <c r="W245" s="3">
        <f>(V245-AE245)/H245*100</f>
      </c>
      <c r="X245" s="3">
        <f>J245-U245</f>
      </c>
      <c r="Y245" t="s">
        <v>1</v>
      </c>
      <c r="Z245" t="s">
        <v>130</v>
      </c>
      <c r="AF245" s="3">
        <f>V245-AE245</f>
      </c>
      <c r="AG245" t="s">
        <v>59</v>
      </c>
      <c r="AH245" t="s">
        <v>74</v>
      </c>
    </row>
    <row r="246" spans="1:34" x14ac:dyDescent="0.25">
      <c r="A246" s="7">
        <v>46195.5</v>
      </c>
      <c r="B246" t="s">
        <v>1912</v>
      </c>
      <c r="C246" t="s">
        <v>1</v>
      </c>
      <c r="D246" s="8" t="s">
        <v>1913</v>
      </c>
      <c r="E246" t="s">
        <v>57</v>
      </c>
      <c r="F246">
        <v>1</v>
      </c>
      <c r="G246" s="3">
        <v>225</v>
      </c>
      <c r="H246" s="3">
        <v>288</v>
      </c>
      <c r="I246" s="3">
        <f>H246-G246</f>
      </c>
      <c r="J246" s="3">
        <f>I246*16.67%</f>
      </c>
      <c r="K246" s="3">
        <f>(H246*6.9%)-(H246*6.9%)*10%</f>
      </c>
      <c r="L246" s="3">
        <f>H246*0.35%</f>
      </c>
      <c r="M246" s="3">
        <v>0.4</v>
      </c>
      <c r="N246" s="3">
        <f>(K246+L246+M246)*20%</f>
      </c>
      <c r="O246" s="3">
        <f>K246+L246+M246+N246</f>
      </c>
      <c r="P246" s="3">
        <v>0</v>
      </c>
      <c r="Q246" s="3">
        <v>0</v>
      </c>
      <c r="R246" s="3">
        <v>0</v>
      </c>
      <c r="S246" s="3">
        <f>R246*20%</f>
      </c>
      <c r="T246" s="3">
        <v>1</v>
      </c>
      <c r="U246" s="3">
        <f>N246+Q246+S246</f>
      </c>
      <c r="V246" s="3">
        <f>I246-J246-O246-P246-Q246-R246-S246-T246</f>
      </c>
      <c r="W246" s="3">
        <f>(V246-AE246)/H246*100</f>
      </c>
      <c r="X246" s="3">
        <f>J246-U246</f>
      </c>
      <c r="Y246" t="s">
        <v>1</v>
      </c>
      <c r="Z246" t="s">
        <v>124</v>
      </c>
      <c r="AF246" s="3">
        <f>V246-AE246</f>
      </c>
      <c r="AG246" t="s">
        <v>125</v>
      </c>
      <c r="AH246" t="s">
        <v>60</v>
      </c>
    </row>
    <row r="247" spans="1:34" x14ac:dyDescent="0.25">
      <c r="A247" s="7">
        <v>46195.5</v>
      </c>
      <c r="B247" t="s">
        <v>1914</v>
      </c>
      <c r="C247" t="s">
        <v>1</v>
      </c>
      <c r="D247" s="8" t="s">
        <v>1</v>
      </c>
      <c r="E247" t="s">
        <v>72</v>
      </c>
      <c r="F247">
        <v>1</v>
      </c>
      <c r="G247" s="3">
        <v>305</v>
      </c>
      <c r="H247" s="3">
        <v>399.55</v>
      </c>
      <c r="I247" s="3">
        <f>H247-G247</f>
      </c>
      <c r="J247" s="3">
        <f>I247*16.67%</f>
      </c>
      <c r="K247" s="3">
        <f>(H247*6.9%)-(H247*6.9%)*10%</f>
      </c>
      <c r="L247" s="3">
        <f>H247*0.35%</f>
      </c>
      <c r="M247" s="3">
        <v>0.4</v>
      </c>
      <c r="N247" s="3">
        <f>(K247+L247+M247)*20%</f>
      </c>
      <c r="O247" s="3">
        <f>K247+L247+M247+N247</f>
      </c>
      <c r="P247" s="3">
        <v>0</v>
      </c>
      <c r="Q247" s="3">
        <v>0</v>
      </c>
      <c r="R247" s="3">
        <v>0</v>
      </c>
      <c r="S247" s="3">
        <f>R247*20%</f>
      </c>
      <c r="T247" s="3">
        <v>1</v>
      </c>
      <c r="U247" s="3">
        <f>N247+Q247+S247</f>
      </c>
      <c r="V247" s="3">
        <f>I247-J247-O247-P247-Q247-R247-S247-T247</f>
      </c>
      <c r="W247" s="3">
        <f>(V247-AE247)/H247*100</f>
      </c>
      <c r="X247" s="3">
        <f>J247-U247</f>
      </c>
      <c r="Y247" t="s">
        <v>1</v>
      </c>
      <c r="Z247" t="s">
        <v>1</v>
      </c>
      <c r="AF247" s="3">
        <f>V247-AE247</f>
      </c>
      <c r="AG247" t="s">
        <v>1</v>
      </c>
      <c r="AH247" t="s">
        <v>1</v>
      </c>
    </row>
    <row r="248" spans="1:34" x14ac:dyDescent="0.25">
      <c r="A248" s="7">
        <v>46194.5</v>
      </c>
      <c r="B248" t="s">
        <v>1915</v>
      </c>
      <c r="C248" t="s">
        <v>1</v>
      </c>
      <c r="D248" s="8" t="s">
        <v>1916</v>
      </c>
      <c r="E248" t="s">
        <v>57</v>
      </c>
      <c r="F248">
        <v>1</v>
      </c>
      <c r="G248" s="3">
        <v>495</v>
      </c>
      <c r="H248" s="3">
        <v>707.85</v>
      </c>
      <c r="I248" s="3">
        <f>H248-G248</f>
      </c>
      <c r="J248" s="3">
        <f>I248*16.67%</f>
      </c>
      <c r="K248" s="3">
        <f>(H248*6.9%)-(H248*6.9%)*10%</f>
      </c>
      <c r="L248" s="3">
        <f>H248*0.35%</f>
      </c>
      <c r="M248" s="3">
        <v>0.4</v>
      </c>
      <c r="N248" s="3">
        <f>(K248+L248+M248)*20%</f>
      </c>
      <c r="O248" s="3">
        <f>K248+L248+M248+N248</f>
      </c>
      <c r="P248" s="3">
        <v>0</v>
      </c>
      <c r="Q248" s="3">
        <v>0</v>
      </c>
      <c r="R248" s="3">
        <v>0</v>
      </c>
      <c r="S248" s="3">
        <f>R248*20%</f>
      </c>
      <c r="T248" s="3">
        <v>1</v>
      </c>
      <c r="U248" s="3">
        <f>N248+Q248+S248</f>
      </c>
      <c r="V248" s="3">
        <f>I248-J248-O248-P248-Q248-R248-S248-T248</f>
      </c>
      <c r="W248" s="3">
        <f>(V248-AE248)/H248*100</f>
      </c>
      <c r="X248" s="3">
        <f>J248-U248</f>
      </c>
      <c r="Y248" t="s">
        <v>1</v>
      </c>
      <c r="Z248" t="s">
        <v>68</v>
      </c>
      <c r="AF248" s="3">
        <f>V248-AE248</f>
      </c>
      <c r="AG248" t="s">
        <v>59</v>
      </c>
      <c r="AH248" t="s">
        <v>104</v>
      </c>
    </row>
    <row r="249" spans="1:34" x14ac:dyDescent="0.25">
      <c r="A249" s="7">
        <v>46194.5</v>
      </c>
      <c r="B249" t="s">
        <v>1917</v>
      </c>
      <c r="C249" t="s">
        <v>1</v>
      </c>
      <c r="D249" s="8" t="s">
        <v>1918</v>
      </c>
      <c r="E249" t="s">
        <v>77</v>
      </c>
      <c r="F249">
        <v>1</v>
      </c>
      <c r="G249" s="3">
        <v>456</v>
      </c>
      <c r="H249" s="3">
        <v>533.52</v>
      </c>
      <c r="I249" s="3">
        <f>H249-G249</f>
      </c>
      <c r="J249" s="3">
        <f>I249*16.67%</f>
      </c>
      <c r="K249" s="3">
        <f>(H249*6.9%)-(H249*6.9%)*10%</f>
      </c>
      <c r="L249" s="3">
        <f>H249*0.35%</f>
      </c>
      <c r="M249" s="3">
        <v>0.4</v>
      </c>
      <c r="N249" s="3">
        <f>(K249+L249+M249)*20%</f>
      </c>
      <c r="O249" s="3">
        <f>K249+L249+M249+N249</f>
      </c>
      <c r="P249" s="3">
        <v>0</v>
      </c>
      <c r="Q249" s="3">
        <v>0</v>
      </c>
      <c r="R249" s="3">
        <v>0</v>
      </c>
      <c r="S249" s="3">
        <f>R249*20%</f>
      </c>
      <c r="T249" s="3">
        <v>1</v>
      </c>
      <c r="U249" s="3">
        <f>N249+Q249+S249</f>
      </c>
      <c r="V249" s="3">
        <f>I249-J249-O249-P249-Q249-R249-S249-T249</f>
      </c>
      <c r="W249" s="3">
        <f>(V249-AE249)/H249*100</f>
      </c>
      <c r="X249" s="3">
        <f>J249-U249</f>
      </c>
      <c r="Y249" t="s">
        <v>1</v>
      </c>
      <c r="Z249" t="s">
        <v>58</v>
      </c>
      <c r="AF249" s="3">
        <f>V249-AE249</f>
      </c>
      <c r="AG249" t="s">
        <v>59</v>
      </c>
      <c r="AH249" t="s">
        <v>98</v>
      </c>
    </row>
    <row r="250" spans="1:34" x14ac:dyDescent="0.25">
      <c r="A250" s="7">
        <v>46194.5</v>
      </c>
      <c r="B250" t="s">
        <v>1919</v>
      </c>
      <c r="C250" t="s">
        <v>1</v>
      </c>
      <c r="D250" s="8" t="s">
        <v>1920</v>
      </c>
      <c r="E250" t="s">
        <v>101</v>
      </c>
      <c r="F250">
        <v>1</v>
      </c>
      <c r="G250" s="3">
        <v>61</v>
      </c>
      <c r="H250" s="3">
        <v>87.23</v>
      </c>
      <c r="I250" s="3">
        <f>H250-G250</f>
      </c>
      <c r="J250" s="3">
        <f>I250*16.67%</f>
      </c>
      <c r="K250" s="3">
        <f>(H250*6.9%)-(H250*6.9%)*10%</f>
      </c>
      <c r="L250" s="3">
        <f>H250*0.35%</f>
      </c>
      <c r="M250" s="3">
        <v>0.4</v>
      </c>
      <c r="N250" s="3">
        <f>(K250+L250+M250)*20%</f>
      </c>
      <c r="O250" s="3">
        <f>K250+L250+M250+N250</f>
      </c>
      <c r="P250" s="3">
        <v>0</v>
      </c>
      <c r="Q250" s="3">
        <v>0</v>
      </c>
      <c r="R250" s="3">
        <v>0</v>
      </c>
      <c r="S250" s="3">
        <f>R250*20%</f>
      </c>
      <c r="T250" s="3">
        <v>1</v>
      </c>
      <c r="U250" s="3">
        <f>N250+Q250+S250</f>
      </c>
      <c r="V250" s="3">
        <f>I250-J250-O250-P250-Q250-R250-S250-T250</f>
      </c>
      <c r="W250" s="3">
        <f>(V250-AE250)/H250*100</f>
      </c>
      <c r="X250" s="3">
        <f>J250-U250</f>
      </c>
      <c r="Y250" t="s">
        <v>1</v>
      </c>
      <c r="Z250" t="s">
        <v>93</v>
      </c>
      <c r="AF250" s="3">
        <f>V250-AE250</f>
      </c>
      <c r="AG250" t="s">
        <v>94</v>
      </c>
      <c r="AH250" t="s">
        <v>87</v>
      </c>
    </row>
    <row r="251" spans="1:34" x14ac:dyDescent="0.25">
      <c r="A251" s="7">
        <v>46193.5</v>
      </c>
      <c r="B251" t="s">
        <v>1921</v>
      </c>
      <c r="C251" t="s">
        <v>1</v>
      </c>
      <c r="D251" s="8" t="s">
        <v>1922</v>
      </c>
      <c r="E251" t="s">
        <v>77</v>
      </c>
      <c r="F251">
        <v>1</v>
      </c>
      <c r="G251" s="3">
        <v>187</v>
      </c>
      <c r="H251" s="3">
        <v>224.4</v>
      </c>
      <c r="I251" s="3">
        <f>H251-G251</f>
      </c>
      <c r="J251" s="3">
        <f>I251*16.67%</f>
      </c>
      <c r="K251" s="3">
        <f>(H251*6.9%)-(H251*6.9%)*10%</f>
      </c>
      <c r="L251" s="3">
        <f>H251*0.35%</f>
      </c>
      <c r="M251" s="3">
        <v>0.4</v>
      </c>
      <c r="N251" s="3">
        <f>(K251+L251+M251)*20%</f>
      </c>
      <c r="O251" s="3">
        <f>K251+L251+M251+N251</f>
      </c>
      <c r="P251" s="3">
        <v>0</v>
      </c>
      <c r="Q251" s="3">
        <v>0</v>
      </c>
      <c r="R251" s="3">
        <v>0</v>
      </c>
      <c r="S251" s="3">
        <f>R251*20%</f>
      </c>
      <c r="T251" s="3">
        <v>1</v>
      </c>
      <c r="U251" s="3">
        <f>N251+Q251+S251</f>
      </c>
      <c r="V251" s="3">
        <f>I251-J251-O251-P251-Q251-R251-S251-T251</f>
      </c>
      <c r="W251" s="3">
        <f>(V251-AE251)/H251*100</f>
      </c>
      <c r="X251" s="3">
        <f>J251-U251</f>
      </c>
      <c r="Y251" t="s">
        <v>1</v>
      </c>
      <c r="Z251" t="s">
        <v>233</v>
      </c>
      <c r="AF251" s="3">
        <f>V251-AE251</f>
      </c>
      <c r="AG251" t="s">
        <v>65</v>
      </c>
      <c r="AH251" t="s">
        <v>87</v>
      </c>
    </row>
    <row r="252" spans="1:34" x14ac:dyDescent="0.25">
      <c r="A252" s="7">
        <v>46193.5</v>
      </c>
      <c r="B252" t="s">
        <v>1923</v>
      </c>
      <c r="C252" t="s">
        <v>1</v>
      </c>
      <c r="D252" s="8" t="s">
        <v>1924</v>
      </c>
      <c r="E252" t="s">
        <v>77</v>
      </c>
      <c r="F252">
        <v>1</v>
      </c>
      <c r="G252" s="3">
        <v>677</v>
      </c>
      <c r="H252" s="3">
        <v>866.56</v>
      </c>
      <c r="I252" s="3">
        <f>H252-G252</f>
      </c>
      <c r="J252" s="3">
        <f>I252*16.67%</f>
      </c>
      <c r="K252" s="3">
        <f>(H252*6.9%)-(H252*6.9%)*10%</f>
      </c>
      <c r="L252" s="3">
        <f>H252*0.35%</f>
      </c>
      <c r="M252" s="3">
        <v>0.4</v>
      </c>
      <c r="N252" s="3">
        <f>(K252+L252+M252)*20%</f>
      </c>
      <c r="O252" s="3">
        <f>K252+L252+M252+N252</f>
      </c>
      <c r="P252" s="3">
        <v>0</v>
      </c>
      <c r="Q252" s="3">
        <v>0</v>
      </c>
      <c r="R252" s="3">
        <v>0</v>
      </c>
      <c r="S252" s="3">
        <f>R252*20%</f>
      </c>
      <c r="T252" s="3">
        <v>1</v>
      </c>
      <c r="U252" s="3">
        <f>N252+Q252+S252</f>
      </c>
      <c r="V252" s="3">
        <f>I252-J252-O252-P252-Q252-R252-S252-T252</f>
      </c>
      <c r="W252" s="3">
        <f>(V252-AE252)/H252*100</f>
      </c>
      <c r="X252" s="3">
        <f>J252-U252</f>
      </c>
      <c r="Y252" t="s">
        <v>1</v>
      </c>
      <c r="Z252" t="s">
        <v>83</v>
      </c>
      <c r="AF252" s="3">
        <f>V252-AE252</f>
      </c>
      <c r="AG252" t="s">
        <v>59</v>
      </c>
      <c r="AH252" t="s">
        <v>87</v>
      </c>
    </row>
    <row r="253" spans="1:34" x14ac:dyDescent="0.25">
      <c r="A253" s="7">
        <v>46193.5</v>
      </c>
      <c r="B253" t="s">
        <v>1925</v>
      </c>
      <c r="C253" t="s">
        <v>176</v>
      </c>
      <c r="D253" s="8" t="s">
        <v>1</v>
      </c>
      <c r="E253" t="s">
        <v>77</v>
      </c>
      <c r="F253">
        <v>3</v>
      </c>
      <c r="G253" s="3">
        <v>0.45</v>
      </c>
      <c r="H253" s="3">
        <v>0.54</v>
      </c>
      <c r="I253" s="3">
        <f>H253-G253</f>
      </c>
      <c r="J253" s="3">
        <f>I253*16.67%</f>
      </c>
      <c r="K253" s="3">
        <f>(H253*6.9%)-(H253*6.9%)*10%</f>
      </c>
      <c r="L253" s="3">
        <f>H253*0.35%</f>
      </c>
      <c r="M253" s="3">
        <v>0.4</v>
      </c>
      <c r="N253" s="3">
        <f>(K253+L253+M253)*20%</f>
      </c>
      <c r="O253" s="3">
        <f>K253+L253+M253+N253</f>
      </c>
      <c r="P253" s="3">
        <v>0</v>
      </c>
      <c r="Q253" s="3">
        <v>0</v>
      </c>
      <c r="R253" s="3">
        <v>0</v>
      </c>
      <c r="S253" s="3">
        <f>R253*20%</f>
      </c>
      <c r="T253" s="3">
        <v>1</v>
      </c>
      <c r="U253" s="3">
        <f>N253+Q253+S253</f>
      </c>
      <c r="V253" s="3">
        <f>I253-J253-O253-P253-Q253-R253-S253-T253</f>
      </c>
      <c r="W253" s="3">
        <f>(V253-AE253)/H253*100</f>
      </c>
      <c r="X253" s="3">
        <f>J253-U253</f>
      </c>
      <c r="Y253" t="s">
        <v>1</v>
      </c>
      <c r="Z253" t="s">
        <v>176</v>
      </c>
      <c r="AF253" s="3">
        <f>V253-AE253</f>
      </c>
      <c r="AG253" t="s">
        <v>1</v>
      </c>
      <c r="AH253" t="s">
        <v>1</v>
      </c>
    </row>
    <row r="254" spans="1:34" x14ac:dyDescent="0.25">
      <c r="A254" s="7">
        <v>46193.5</v>
      </c>
      <c r="B254" t="s">
        <v>1926</v>
      </c>
      <c r="C254" t="s">
        <v>184</v>
      </c>
      <c r="D254" s="8" t="s">
        <v>1</v>
      </c>
      <c r="E254" t="s">
        <v>101</v>
      </c>
      <c r="F254">
        <v>2</v>
      </c>
      <c r="G254" s="3">
        <v>2.4</v>
      </c>
      <c r="H254" s="3">
        <v>2.86</v>
      </c>
      <c r="I254" s="3">
        <f>H254-G254</f>
      </c>
      <c r="J254" s="3">
        <f>I254*16.67%</f>
      </c>
      <c r="K254" s="3">
        <f>(H254*6.9%)-(H254*6.9%)*10%</f>
      </c>
      <c r="L254" s="3">
        <f>H254*0.35%</f>
      </c>
      <c r="M254" s="3">
        <v>0.4</v>
      </c>
      <c r="N254" s="3">
        <f>(K254+L254+M254)*20%</f>
      </c>
      <c r="O254" s="3">
        <f>K254+L254+M254+N254</f>
      </c>
      <c r="P254" s="3">
        <v>0</v>
      </c>
      <c r="Q254" s="3">
        <v>0</v>
      </c>
      <c r="R254" s="3">
        <v>0</v>
      </c>
      <c r="S254" s="3">
        <f>R254*20%</f>
      </c>
      <c r="T254" s="3">
        <v>1</v>
      </c>
      <c r="U254" s="3">
        <f>N254+Q254+S254</f>
      </c>
      <c r="V254" s="3">
        <f>I254-J254-O254-P254-Q254-R254-S254-T254</f>
      </c>
      <c r="W254" s="3">
        <f>(V254-AE254)/H254*100</f>
      </c>
      <c r="X254" s="3">
        <f>J254-U254</f>
      </c>
      <c r="Y254" t="s">
        <v>1</v>
      </c>
      <c r="Z254" t="s">
        <v>184</v>
      </c>
      <c r="AF254" s="3">
        <f>V254-AE254</f>
      </c>
      <c r="AG254" t="s">
        <v>1</v>
      </c>
      <c r="AH254" t="s">
        <v>1</v>
      </c>
    </row>
    <row r="255" spans="1:34" x14ac:dyDescent="0.25">
      <c r="A255" s="7">
        <v>46192.5</v>
      </c>
      <c r="B255" t="s">
        <v>1927</v>
      </c>
      <c r="C255" t="s">
        <v>1</v>
      </c>
      <c r="D255" s="8" t="s">
        <v>1928</v>
      </c>
      <c r="E255" t="s">
        <v>72</v>
      </c>
      <c r="F255">
        <v>1</v>
      </c>
      <c r="G255" s="3">
        <v>229</v>
      </c>
      <c r="H255" s="3">
        <v>325.18</v>
      </c>
      <c r="I255" s="3">
        <f>H255-G255</f>
      </c>
      <c r="J255" s="3">
        <f>I255*16.67%</f>
      </c>
      <c r="K255" s="3">
        <f>(H255*6.9%)-(H255*6.9%)*10%</f>
      </c>
      <c r="L255" s="3">
        <f>H255*0.35%</f>
      </c>
      <c r="M255" s="3">
        <v>0.4</v>
      </c>
      <c r="N255" s="3">
        <f>(K255+L255+M255)*20%</f>
      </c>
      <c r="O255" s="3">
        <f>K255+L255+M255+N255</f>
      </c>
      <c r="P255" s="3">
        <v>0</v>
      </c>
      <c r="Q255" s="3">
        <v>0</v>
      </c>
      <c r="R255" s="3">
        <v>0</v>
      </c>
      <c r="S255" s="3">
        <f>R255*20%</f>
      </c>
      <c r="T255" s="3">
        <v>1</v>
      </c>
      <c r="U255" s="3">
        <f>N255+Q255+S255</f>
      </c>
      <c r="V255" s="3">
        <f>I255-J255-O255-P255-Q255-R255-S255-T255</f>
      </c>
      <c r="W255" s="3">
        <f>(V255-AE255)/H255*100</f>
      </c>
      <c r="X255" s="3">
        <f>J255-U255</f>
      </c>
      <c r="Y255" t="s">
        <v>1</v>
      </c>
      <c r="Z255" t="s">
        <v>64</v>
      </c>
      <c r="AF255" s="3">
        <f>V255-AE255</f>
      </c>
      <c r="AG255" t="s">
        <v>65</v>
      </c>
      <c r="AH255" t="s">
        <v>104</v>
      </c>
    </row>
    <row r="256" spans="1:34" x14ac:dyDescent="0.25">
      <c r="A256" s="7">
        <v>46192.5</v>
      </c>
      <c r="B256" t="s">
        <v>1929</v>
      </c>
      <c r="C256" t="s">
        <v>1</v>
      </c>
      <c r="D256" s="8" t="s">
        <v>1930</v>
      </c>
      <c r="E256" t="s">
        <v>72</v>
      </c>
      <c r="F256">
        <v>1</v>
      </c>
      <c r="G256" s="3">
        <v>241</v>
      </c>
      <c r="H256" s="3">
        <v>284.38</v>
      </c>
      <c r="I256" s="3">
        <f>H256-G256</f>
      </c>
      <c r="J256" s="3">
        <f>I256*16.67%</f>
      </c>
      <c r="K256" s="3">
        <f>(H256*6.9%)-(H256*6.9%)*10%</f>
      </c>
      <c r="L256" s="3">
        <f>H256*0.35%</f>
      </c>
      <c r="M256" s="3">
        <v>0.4</v>
      </c>
      <c r="N256" s="3">
        <f>(K256+L256+M256)*20%</f>
      </c>
      <c r="O256" s="3">
        <f>K256+L256+M256+N256</f>
      </c>
      <c r="P256" s="3">
        <v>0</v>
      </c>
      <c r="Q256" s="3">
        <v>0</v>
      </c>
      <c r="R256" s="3">
        <v>0</v>
      </c>
      <c r="S256" s="3">
        <f>R256*20%</f>
      </c>
      <c r="T256" s="3">
        <v>1</v>
      </c>
      <c r="U256" s="3">
        <f>N256+Q256+S256</f>
      </c>
      <c r="V256" s="3">
        <f>I256-J256-O256-P256-Q256-R256-S256-T256</f>
      </c>
      <c r="W256" s="3">
        <f>(V256-AE256)/H256*100</f>
      </c>
      <c r="X256" s="3">
        <f>J256-U256</f>
      </c>
      <c r="Y256" t="s">
        <v>1</v>
      </c>
      <c r="Z256" t="s">
        <v>124</v>
      </c>
      <c r="AF256" s="3">
        <f>V256-AE256</f>
      </c>
      <c r="AG256" t="s">
        <v>125</v>
      </c>
      <c r="AH256" t="s">
        <v>69</v>
      </c>
    </row>
    <row r="257" spans="1:34" x14ac:dyDescent="0.25">
      <c r="A257" s="7">
        <v>46192.5</v>
      </c>
      <c r="B257" t="s">
        <v>1931</v>
      </c>
      <c r="C257" t="s">
        <v>1</v>
      </c>
      <c r="D257" s="8" t="s">
        <v>1932</v>
      </c>
      <c r="E257" t="s">
        <v>72</v>
      </c>
      <c r="F257">
        <v>1</v>
      </c>
      <c r="G257" s="3">
        <v>539</v>
      </c>
      <c r="H257" s="3">
        <v>759.99</v>
      </c>
      <c r="I257" s="3">
        <f>H257-G257</f>
      </c>
      <c r="J257" s="3">
        <f>I257*16.67%</f>
      </c>
      <c r="K257" s="3">
        <f>(H257*6.9%)-(H257*6.9%)*10%</f>
      </c>
      <c r="L257" s="3">
        <f>H257*0.35%</f>
      </c>
      <c r="M257" s="3">
        <v>0.4</v>
      </c>
      <c r="N257" s="3">
        <f>(K257+L257+M257)*20%</f>
      </c>
      <c r="O257" s="3">
        <f>K257+L257+M257+N257</f>
      </c>
      <c r="P257" s="3">
        <v>0</v>
      </c>
      <c r="Q257" s="3">
        <v>0</v>
      </c>
      <c r="R257" s="3">
        <v>0</v>
      </c>
      <c r="S257" s="3">
        <f>R257*20%</f>
      </c>
      <c r="T257" s="3">
        <v>1</v>
      </c>
      <c r="U257" s="3">
        <f>N257+Q257+S257</f>
      </c>
      <c r="V257" s="3">
        <f>I257-J257-O257-P257-Q257-R257-S257-T257</f>
      </c>
      <c r="W257" s="3">
        <f>(V257-AE257)/H257*100</f>
      </c>
      <c r="X257" s="3">
        <f>J257-U257</f>
      </c>
      <c r="Y257" t="s">
        <v>1</v>
      </c>
      <c r="Z257" t="s">
        <v>68</v>
      </c>
      <c r="AF257" s="3">
        <f>V257-AE257</f>
      </c>
      <c r="AG257" t="s">
        <v>59</v>
      </c>
      <c r="AH257" t="s">
        <v>104</v>
      </c>
    </row>
    <row r="258" spans="1:34" x14ac:dyDescent="0.25">
      <c r="A258" s="7">
        <v>46192.5</v>
      </c>
      <c r="B258" t="s">
        <v>1933</v>
      </c>
      <c r="C258" t="s">
        <v>253</v>
      </c>
      <c r="D258" s="8" t="s">
        <v>1</v>
      </c>
      <c r="E258" t="s">
        <v>57</v>
      </c>
      <c r="F258">
        <v>4</v>
      </c>
      <c r="G258" s="3">
        <v>3.2</v>
      </c>
      <c r="H258" s="3">
        <v>3.68</v>
      </c>
      <c r="I258" s="3">
        <f>H258-G258</f>
      </c>
      <c r="J258" s="3">
        <f>I258*16.67%</f>
      </c>
      <c r="K258" s="3">
        <f>(H258*6.9%)-(H258*6.9%)*10%</f>
      </c>
      <c r="L258" s="3">
        <f>H258*0.35%</f>
      </c>
      <c r="M258" s="3">
        <v>0.4</v>
      </c>
      <c r="N258" s="3">
        <f>(K258+L258+M258)*20%</f>
      </c>
      <c r="O258" s="3">
        <f>K258+L258+M258+N258</f>
      </c>
      <c r="P258" s="3">
        <v>0</v>
      </c>
      <c r="Q258" s="3">
        <v>0</v>
      </c>
      <c r="R258" s="3">
        <v>0</v>
      </c>
      <c r="S258" s="3">
        <f>R258*20%</f>
      </c>
      <c r="T258" s="3">
        <v>1</v>
      </c>
      <c r="U258" s="3">
        <f>N258+Q258+S258</f>
      </c>
      <c r="V258" s="3">
        <f>I258-J258-O258-P258-Q258-R258-S258-T258</f>
      </c>
      <c r="W258" s="3">
        <f>(V258-AE258)/H258*100</f>
      </c>
      <c r="X258" s="3">
        <f>J258-U258</f>
      </c>
      <c r="Y258" t="s">
        <v>1</v>
      </c>
      <c r="Z258" t="s">
        <v>253</v>
      </c>
      <c r="AF258" s="3">
        <f>V258-AE258</f>
      </c>
      <c r="AG258" t="s">
        <v>1</v>
      </c>
      <c r="AH258" t="s">
        <v>1</v>
      </c>
    </row>
    <row r="259" spans="1:34" x14ac:dyDescent="0.25">
      <c r="A259" s="7">
        <v>46191.5</v>
      </c>
      <c r="B259" t="s">
        <v>1934</v>
      </c>
      <c r="C259" t="s">
        <v>1</v>
      </c>
      <c r="D259" s="8" t="s">
        <v>1935</v>
      </c>
      <c r="E259" t="s">
        <v>101</v>
      </c>
      <c r="F259">
        <v>1</v>
      </c>
      <c r="G259" s="3">
        <v>467</v>
      </c>
      <c r="H259" s="3">
        <v>602.43</v>
      </c>
      <c r="I259" s="3">
        <f>H259-G259</f>
      </c>
      <c r="J259" s="3">
        <f>I259*16.67%</f>
      </c>
      <c r="K259" s="3">
        <f>(H259*6.9%)-(H259*6.9%)*10%</f>
      </c>
      <c r="L259" s="3">
        <f>H259*0.35%</f>
      </c>
      <c r="M259" s="3">
        <v>0.4</v>
      </c>
      <c r="N259" s="3">
        <f>(K259+L259+M259)*20%</f>
      </c>
      <c r="O259" s="3">
        <f>K259+L259+M259+N259</f>
      </c>
      <c r="P259" s="3">
        <v>0</v>
      </c>
      <c r="Q259" s="3">
        <v>0</v>
      </c>
      <c r="R259" s="3">
        <v>0</v>
      </c>
      <c r="S259" s="3">
        <f>R259*20%</f>
      </c>
      <c r="T259" s="3">
        <v>1</v>
      </c>
      <c r="U259" s="3">
        <f>N259+Q259+S259</f>
      </c>
      <c r="V259" s="3">
        <f>I259-J259-O259-P259-Q259-R259-S259-T259</f>
      </c>
      <c r="W259" s="3">
        <f>(V259-AE259)/H259*100</f>
      </c>
      <c r="X259" s="3">
        <f>J259-U259</f>
      </c>
      <c r="Y259" t="s">
        <v>1</v>
      </c>
      <c r="Z259" t="s">
        <v>58</v>
      </c>
      <c r="AF259" s="3">
        <f>V259-AE259</f>
      </c>
      <c r="AG259" t="s">
        <v>59</v>
      </c>
      <c r="AH259" t="s">
        <v>84</v>
      </c>
    </row>
    <row r="260" spans="1:34" x14ac:dyDescent="0.25">
      <c r="A260" s="7">
        <v>46191.5</v>
      </c>
      <c r="B260" t="s">
        <v>1936</v>
      </c>
      <c r="C260" t="s">
        <v>1</v>
      </c>
      <c r="D260" s="8" t="s">
        <v>1937</v>
      </c>
      <c r="E260" t="s">
        <v>57</v>
      </c>
      <c r="F260">
        <v>1</v>
      </c>
      <c r="G260" s="3">
        <v>546</v>
      </c>
      <c r="H260" s="3">
        <v>720.72</v>
      </c>
      <c r="I260" s="3">
        <f>H260-G260</f>
      </c>
      <c r="J260" s="3">
        <f>I260*16.67%</f>
      </c>
      <c r="K260" s="3">
        <f>(H260*6.9%)-(H260*6.9%)*10%</f>
      </c>
      <c r="L260" s="3">
        <f>H260*0.35%</f>
      </c>
      <c r="M260" s="3">
        <v>0.4</v>
      </c>
      <c r="N260" s="3">
        <f>(K260+L260+M260)*20%</f>
      </c>
      <c r="O260" s="3">
        <f>K260+L260+M260+N260</f>
      </c>
      <c r="P260" s="3">
        <v>0</v>
      </c>
      <c r="Q260" s="3">
        <v>0</v>
      </c>
      <c r="R260" s="3">
        <v>0</v>
      </c>
      <c r="S260" s="3">
        <f>R260*20%</f>
      </c>
      <c r="T260" s="3">
        <v>1</v>
      </c>
      <c r="U260" s="3">
        <f>N260+Q260+S260</f>
      </c>
      <c r="V260" s="3">
        <f>I260-J260-O260-P260-Q260-R260-S260-T260</f>
      </c>
      <c r="W260" s="3">
        <f>(V260-AE260)/H260*100</f>
      </c>
      <c r="X260" s="3">
        <f>J260-U260</f>
      </c>
      <c r="Y260" t="s">
        <v>1</v>
      </c>
      <c r="Z260" t="s">
        <v>68</v>
      </c>
      <c r="AF260" s="3">
        <f>V260-AE260</f>
      </c>
      <c r="AG260" t="s">
        <v>59</v>
      </c>
      <c r="AH260" t="s">
        <v>84</v>
      </c>
    </row>
    <row r="261" spans="1:34" x14ac:dyDescent="0.25">
      <c r="A261" s="7">
        <v>46191.5</v>
      </c>
      <c r="B261" t="s">
        <v>1938</v>
      </c>
      <c r="C261" t="s">
        <v>1</v>
      </c>
      <c r="D261" s="8" t="s">
        <v>1939</v>
      </c>
      <c r="E261" t="s">
        <v>57</v>
      </c>
      <c r="F261">
        <v>1</v>
      </c>
      <c r="G261" s="3">
        <v>345</v>
      </c>
      <c r="H261" s="3">
        <v>410.55</v>
      </c>
      <c r="I261" s="3">
        <f>H261-G261</f>
      </c>
      <c r="J261" s="3">
        <f>I261*16.67%</f>
      </c>
      <c r="K261" s="3">
        <f>(H261*6.9%)-(H261*6.9%)*10%</f>
      </c>
      <c r="L261" s="3">
        <f>H261*0.35%</f>
      </c>
      <c r="M261" s="3">
        <v>0.4</v>
      </c>
      <c r="N261" s="3">
        <f>(K261+L261+M261)*20%</f>
      </c>
      <c r="O261" s="3">
        <f>K261+L261+M261+N261</f>
      </c>
      <c r="P261" s="3">
        <v>0</v>
      </c>
      <c r="Q261" s="3">
        <v>0</v>
      </c>
      <c r="R261" s="3">
        <v>0</v>
      </c>
      <c r="S261" s="3">
        <f>R261*20%</f>
      </c>
      <c r="T261" s="3">
        <v>1</v>
      </c>
      <c r="U261" s="3">
        <f>N261+Q261+S261</f>
      </c>
      <c r="V261" s="3">
        <f>I261-J261-O261-P261-Q261-R261-S261-T261</f>
      </c>
      <c r="W261" s="3">
        <f>(V261-AE261)/H261*100</f>
      </c>
      <c r="X261" s="3">
        <f>J261-U261</f>
      </c>
      <c r="Y261" t="s">
        <v>1</v>
      </c>
      <c r="Z261" t="s">
        <v>138</v>
      </c>
      <c r="AF261" s="3">
        <f>V261-AE261</f>
      </c>
      <c r="AG261" t="s">
        <v>65</v>
      </c>
      <c r="AH261" t="s">
        <v>98</v>
      </c>
    </row>
    <row r="262" spans="1:34" x14ac:dyDescent="0.25">
      <c r="A262" s="7">
        <v>46191.5</v>
      </c>
      <c r="B262" t="s">
        <v>1940</v>
      </c>
      <c r="C262" t="s">
        <v>1</v>
      </c>
      <c r="D262" s="8" t="s">
        <v>1941</v>
      </c>
      <c r="E262" t="s">
        <v>72</v>
      </c>
      <c r="F262">
        <v>1</v>
      </c>
      <c r="G262" s="3">
        <v>163</v>
      </c>
      <c r="H262" s="3">
        <v>220.05</v>
      </c>
      <c r="I262" s="3">
        <f>H262-G262</f>
      </c>
      <c r="J262" s="3">
        <f>I262*16.67%</f>
      </c>
      <c r="K262" s="3">
        <f>(H262*6.9%)-(H262*6.9%)*10%</f>
      </c>
      <c r="L262" s="3">
        <f>H262*0.35%</f>
      </c>
      <c r="M262" s="3">
        <v>0.4</v>
      </c>
      <c r="N262" s="3">
        <f>(K262+L262+M262)*20%</f>
      </c>
      <c r="O262" s="3">
        <f>K262+L262+M262+N262</f>
      </c>
      <c r="P262" s="3">
        <v>0</v>
      </c>
      <c r="Q262" s="3">
        <v>0</v>
      </c>
      <c r="R262" s="3">
        <v>0</v>
      </c>
      <c r="S262" s="3">
        <f>R262*20%</f>
      </c>
      <c r="T262" s="3">
        <v>1</v>
      </c>
      <c r="U262" s="3">
        <f>N262+Q262+S262</f>
      </c>
      <c r="V262" s="3">
        <f>I262-J262-O262-P262-Q262-R262-S262-T262</f>
      </c>
      <c r="W262" s="3">
        <f>(V262-AE262)/H262*100</f>
      </c>
      <c r="X262" s="3">
        <f>J262-U262</f>
      </c>
      <c r="Y262" t="s">
        <v>1</v>
      </c>
      <c r="Z262" t="s">
        <v>233</v>
      </c>
      <c r="AF262" s="3">
        <f>V262-AE262</f>
      </c>
      <c r="AG262" t="s">
        <v>65</v>
      </c>
      <c r="AH262" t="s">
        <v>98</v>
      </c>
    </row>
    <row r="263" spans="1:34" x14ac:dyDescent="0.25">
      <c r="A263" s="7">
        <v>46191.5</v>
      </c>
      <c r="B263" t="s">
        <v>1942</v>
      </c>
      <c r="C263" t="s">
        <v>1</v>
      </c>
      <c r="D263" s="8" t="s">
        <v>1943</v>
      </c>
      <c r="E263" t="s">
        <v>57</v>
      </c>
      <c r="F263">
        <v>1</v>
      </c>
      <c r="G263" s="3">
        <v>757</v>
      </c>
      <c r="H263" s="3">
        <v>1097.65</v>
      </c>
      <c r="I263" s="3">
        <f>H263-G263</f>
      </c>
      <c r="J263" s="3">
        <f>I263*16.67%</f>
      </c>
      <c r="K263" s="3">
        <f>(H263*6.9%)-(H263*6.9%)*10%</f>
      </c>
      <c r="L263" s="3">
        <f>H263*0.35%</f>
      </c>
      <c r="M263" s="3">
        <v>0.4</v>
      </c>
      <c r="N263" s="3">
        <f>(K263+L263+M263)*20%</f>
      </c>
      <c r="O263" s="3">
        <f>K263+L263+M263+N263</f>
      </c>
      <c r="P263" s="3">
        <v>0</v>
      </c>
      <c r="Q263" s="3">
        <v>0</v>
      </c>
      <c r="R263" s="3">
        <v>0</v>
      </c>
      <c r="S263" s="3">
        <f>R263*20%</f>
      </c>
      <c r="T263" s="3">
        <v>1</v>
      </c>
      <c r="U263" s="3">
        <f>N263+Q263+S263</f>
      </c>
      <c r="V263" s="3">
        <f>I263-J263-O263-P263-Q263-R263-S263-T263</f>
      </c>
      <c r="W263" s="3">
        <f>(V263-AE263)/H263*100</f>
      </c>
      <c r="X263" s="3">
        <f>J263-U263</f>
      </c>
      <c r="Y263" t="s">
        <v>1</v>
      </c>
      <c r="Z263" t="s">
        <v>83</v>
      </c>
      <c r="AF263" s="3">
        <f>V263-AE263</f>
      </c>
      <c r="AG263" t="s">
        <v>59</v>
      </c>
      <c r="AH263" t="s">
        <v>69</v>
      </c>
    </row>
    <row r="264" spans="1:34" x14ac:dyDescent="0.25">
      <c r="A264" s="7">
        <v>46191.5</v>
      </c>
      <c r="B264" t="s">
        <v>1944</v>
      </c>
      <c r="C264" t="s">
        <v>1</v>
      </c>
      <c r="D264" s="8" t="s">
        <v>1</v>
      </c>
      <c r="E264" t="s">
        <v>57</v>
      </c>
      <c r="F264">
        <v>1</v>
      </c>
      <c r="G264" s="3">
        <v>167</v>
      </c>
      <c r="H264" s="3">
        <v>200.4</v>
      </c>
      <c r="I264" s="3">
        <f>H264-G264</f>
      </c>
      <c r="J264" s="3">
        <f>I264*16.67%</f>
      </c>
      <c r="K264" s="3">
        <f>(H264*6.9%)-(H264*6.9%)*10%</f>
      </c>
      <c r="L264" s="3">
        <f>H264*0.35%</f>
      </c>
      <c r="M264" s="3">
        <v>0.4</v>
      </c>
      <c r="N264" s="3">
        <f>(K264+L264+M264)*20%</f>
      </c>
      <c r="O264" s="3">
        <f>K264+L264+M264+N264</f>
      </c>
      <c r="P264" s="3">
        <v>0</v>
      </c>
      <c r="Q264" s="3">
        <v>0</v>
      </c>
      <c r="R264" s="3">
        <v>0</v>
      </c>
      <c r="S264" s="3">
        <f>R264*20%</f>
      </c>
      <c r="T264" s="3">
        <v>1</v>
      </c>
      <c r="U264" s="3">
        <f>N264+Q264+S264</f>
      </c>
      <c r="V264" s="3">
        <f>I264-J264-O264-P264-Q264-R264-S264-T264</f>
      </c>
      <c r="W264" s="3">
        <f>(V264-AE264)/H264*100</f>
      </c>
      <c r="X264" s="3">
        <f>J264-U264</f>
      </c>
      <c r="Y264" t="s">
        <v>1</v>
      </c>
      <c r="Z264" t="s">
        <v>1</v>
      </c>
      <c r="AF264" s="3">
        <f>V264-AE264</f>
      </c>
      <c r="AG264" t="s">
        <v>1</v>
      </c>
      <c r="AH264" t="s">
        <v>1</v>
      </c>
    </row>
    <row r="265" spans="1:34" x14ac:dyDescent="0.25">
      <c r="A265" s="7">
        <v>46190.5</v>
      </c>
      <c r="B265" t="s">
        <v>1945</v>
      </c>
      <c r="C265" t="s">
        <v>1</v>
      </c>
      <c r="D265" s="8" t="s">
        <v>1946</v>
      </c>
      <c r="E265" t="s">
        <v>77</v>
      </c>
      <c r="F265">
        <v>1</v>
      </c>
      <c r="G265" s="3">
        <v>249</v>
      </c>
      <c r="H265" s="3">
        <v>338.64</v>
      </c>
      <c r="I265" s="3">
        <f>H265-G265</f>
      </c>
      <c r="J265" s="3">
        <f>I265*16.67%</f>
      </c>
      <c r="K265" s="3">
        <f>(H265*6.9%)-(H265*6.9%)*10%</f>
      </c>
      <c r="L265" s="3">
        <f>H265*0.35%</f>
      </c>
      <c r="M265" s="3">
        <v>0.4</v>
      </c>
      <c r="N265" s="3">
        <f>(K265+L265+M265)*20%</f>
      </c>
      <c r="O265" s="3">
        <f>K265+L265+M265+N265</f>
      </c>
      <c r="P265" s="3">
        <v>0</v>
      </c>
      <c r="Q265" s="3">
        <v>0</v>
      </c>
      <c r="R265" s="3">
        <v>0</v>
      </c>
      <c r="S265" s="3">
        <f>R265*20%</f>
      </c>
      <c r="T265" s="3">
        <v>1</v>
      </c>
      <c r="U265" s="3">
        <f>N265+Q265+S265</f>
      </c>
      <c r="V265" s="3">
        <f>I265-J265-O265-P265-Q265-R265-S265-T265</f>
      </c>
      <c r="W265" s="3">
        <f>(V265-AE265)/H265*100</f>
      </c>
      <c r="X265" s="3">
        <f>J265-U265</f>
      </c>
      <c r="Y265" t="s">
        <v>1</v>
      </c>
      <c r="Z265" t="s">
        <v>124</v>
      </c>
      <c r="AF265" s="3">
        <f>V265-AE265</f>
      </c>
      <c r="AG265" t="s">
        <v>125</v>
      </c>
      <c r="AH265" t="s">
        <v>60</v>
      </c>
    </row>
    <row r="266" spans="1:34" x14ac:dyDescent="0.25">
      <c r="A266" s="7">
        <v>46190.5</v>
      </c>
      <c r="B266" t="s">
        <v>1947</v>
      </c>
      <c r="C266" t="s">
        <v>1</v>
      </c>
      <c r="D266" s="8" t="s">
        <v>1948</v>
      </c>
      <c r="E266" t="s">
        <v>57</v>
      </c>
      <c r="F266">
        <v>1</v>
      </c>
      <c r="G266" s="3">
        <v>126</v>
      </c>
      <c r="H266" s="3">
        <v>172.62</v>
      </c>
      <c r="I266" s="3">
        <f>H266-G266</f>
      </c>
      <c r="J266" s="3">
        <f>I266*16.67%</f>
      </c>
      <c r="K266" s="3">
        <f>(H266*6.9%)-(H266*6.9%)*10%</f>
      </c>
      <c r="L266" s="3">
        <f>H266*0.35%</f>
      </c>
      <c r="M266" s="3">
        <v>0.4</v>
      </c>
      <c r="N266" s="3">
        <f>(K266+L266+M266)*20%</f>
      </c>
      <c r="O266" s="3">
        <f>K266+L266+M266+N266</f>
      </c>
      <c r="P266" s="3">
        <v>0</v>
      </c>
      <c r="Q266" s="3">
        <v>0</v>
      </c>
      <c r="R266" s="3">
        <v>0</v>
      </c>
      <c r="S266" s="3">
        <f>R266*20%</f>
      </c>
      <c r="T266" s="3">
        <v>1</v>
      </c>
      <c r="U266" s="3">
        <f>N266+Q266+S266</f>
      </c>
      <c r="V266" s="3">
        <f>I266-J266-O266-P266-Q266-R266-S266-T266</f>
      </c>
      <c r="W266" s="3">
        <f>(V266-AE266)/H266*100</f>
      </c>
      <c r="X266" s="3">
        <f>J266-U266</f>
      </c>
      <c r="Y266" t="s">
        <v>1</v>
      </c>
      <c r="Z266" t="s">
        <v>133</v>
      </c>
      <c r="AF266" s="3">
        <f>V266-AE266</f>
      </c>
      <c r="AG266" t="s">
        <v>94</v>
      </c>
      <c r="AH266" t="s">
        <v>87</v>
      </c>
    </row>
    <row r="267" spans="1:34" x14ac:dyDescent="0.25">
      <c r="A267" s="7">
        <v>46190.5</v>
      </c>
      <c r="B267" t="s">
        <v>1949</v>
      </c>
      <c r="C267" t="s">
        <v>1</v>
      </c>
      <c r="D267" s="8" t="s">
        <v>1950</v>
      </c>
      <c r="E267" t="s">
        <v>101</v>
      </c>
      <c r="F267">
        <v>1</v>
      </c>
      <c r="G267" s="3">
        <v>227</v>
      </c>
      <c r="H267" s="3">
        <v>274.67</v>
      </c>
      <c r="I267" s="3">
        <f>H267-G267</f>
      </c>
      <c r="J267" s="3">
        <f>I267*16.67%</f>
      </c>
      <c r="K267" s="3">
        <f>(H267*6.9%)-(H267*6.9%)*10%</f>
      </c>
      <c r="L267" s="3">
        <f>H267*0.35%</f>
      </c>
      <c r="M267" s="3">
        <v>0.4</v>
      </c>
      <c r="N267" s="3">
        <f>(K267+L267+M267)*20%</f>
      </c>
      <c r="O267" s="3">
        <f>K267+L267+M267+N267</f>
      </c>
      <c r="P267" s="3">
        <v>0</v>
      </c>
      <c r="Q267" s="3">
        <v>0</v>
      </c>
      <c r="R267" s="3">
        <v>0</v>
      </c>
      <c r="S267" s="3">
        <f>R267*20%</f>
      </c>
      <c r="T267" s="3">
        <v>1</v>
      </c>
      <c r="U267" s="3">
        <f>N267+Q267+S267</f>
      </c>
      <c r="V267" s="3">
        <f>I267-J267-O267-P267-Q267-R267-S267-T267</f>
      </c>
      <c r="W267" s="3">
        <f>(V267-AE267)/H267*100</f>
      </c>
      <c r="X267" s="3">
        <f>J267-U267</f>
      </c>
      <c r="Y267" t="s">
        <v>1</v>
      </c>
      <c r="Z267" t="s">
        <v>113</v>
      </c>
      <c r="AF267" s="3">
        <f>V267-AE267</f>
      </c>
      <c r="AG267" t="s">
        <v>59</v>
      </c>
      <c r="AH267" t="s">
        <v>74</v>
      </c>
    </row>
    <row r="268" spans="1:34" x14ac:dyDescent="0.25">
      <c r="A268" s="7">
        <v>46189.5</v>
      </c>
      <c r="B268" t="s">
        <v>1951</v>
      </c>
      <c r="C268" t="s">
        <v>1</v>
      </c>
      <c r="D268" s="8" t="s">
        <v>1952</v>
      </c>
      <c r="E268" t="s">
        <v>63</v>
      </c>
      <c r="F268">
        <v>1</v>
      </c>
      <c r="G268" s="3">
        <v>351</v>
      </c>
      <c r="H268" s="3">
        <v>403.65</v>
      </c>
      <c r="I268" s="3">
        <f>H268-G268</f>
      </c>
      <c r="J268" s="3">
        <f>I268*16.67%</f>
      </c>
      <c r="K268" s="3">
        <f>(H268*6.9%)-(H268*6.9%)*10%</f>
      </c>
      <c r="L268" s="3">
        <f>H268*0.35%</f>
      </c>
      <c r="M268" s="3">
        <v>0.4</v>
      </c>
      <c r="N268" s="3">
        <f>(K268+L268+M268)*20%</f>
      </c>
      <c r="O268" s="3">
        <f>K268+L268+M268+N268</f>
      </c>
      <c r="P268" s="3">
        <v>0</v>
      </c>
      <c r="Q268" s="3">
        <v>0</v>
      </c>
      <c r="R268" s="3">
        <v>0</v>
      </c>
      <c r="S268" s="3">
        <f>R268*20%</f>
      </c>
      <c r="T268" s="3">
        <v>1</v>
      </c>
      <c r="U268" s="3">
        <f>N268+Q268+S268</f>
      </c>
      <c r="V268" s="3">
        <f>I268-J268-O268-P268-Q268-R268-S268-T268</f>
      </c>
      <c r="W268" s="3">
        <f>(V268-AE268)/H268*100</f>
      </c>
      <c r="X268" s="3">
        <f>J268-U268</f>
      </c>
      <c r="Y268" t="s">
        <v>1</v>
      </c>
      <c r="Z268" t="s">
        <v>138</v>
      </c>
      <c r="AF268" s="3">
        <f>V268-AE268</f>
      </c>
      <c r="AG268" t="s">
        <v>59</v>
      </c>
      <c r="AH268" t="s">
        <v>74</v>
      </c>
    </row>
    <row r="269" spans="1:34" x14ac:dyDescent="0.25">
      <c r="A269" s="7">
        <v>46189.5</v>
      </c>
      <c r="B269" t="s">
        <v>1953</v>
      </c>
      <c r="C269" t="s">
        <v>1</v>
      </c>
      <c r="D269" s="8" t="s">
        <v>1954</v>
      </c>
      <c r="E269" t="s">
        <v>101</v>
      </c>
      <c r="F269">
        <v>1</v>
      </c>
      <c r="G269" s="3">
        <v>231</v>
      </c>
      <c r="H269" s="3">
        <v>307.23</v>
      </c>
      <c r="I269" s="3">
        <f>H269-G269</f>
      </c>
      <c r="J269" s="3">
        <f>I269*16.67%</f>
      </c>
      <c r="K269" s="3">
        <f>(H269*6.9%)-(H269*6.9%)*10%</f>
      </c>
      <c r="L269" s="3">
        <f>H269*0.35%</f>
      </c>
      <c r="M269" s="3">
        <v>0.4</v>
      </c>
      <c r="N269" s="3">
        <f>(K269+L269+M269)*20%</f>
      </c>
      <c r="O269" s="3">
        <f>K269+L269+M269+N269</f>
      </c>
      <c r="P269" s="3">
        <v>0</v>
      </c>
      <c r="Q269" s="3">
        <v>0</v>
      </c>
      <c r="R269" s="3">
        <v>0</v>
      </c>
      <c r="S269" s="3">
        <f>R269*20%</f>
      </c>
      <c r="T269" s="3">
        <v>1</v>
      </c>
      <c r="U269" s="3">
        <f>N269+Q269+S269</f>
      </c>
      <c r="V269" s="3">
        <f>I269-J269-O269-P269-Q269-R269-S269-T269</f>
      </c>
      <c r="W269" s="3">
        <f>(V269-AE269)/H269*100</f>
      </c>
      <c r="X269" s="3">
        <f>J269-U269</f>
      </c>
      <c r="Y269" t="s">
        <v>1</v>
      </c>
      <c r="Z269" t="s">
        <v>113</v>
      </c>
      <c r="AF269" s="3">
        <f>V269-AE269</f>
      </c>
      <c r="AG269" t="s">
        <v>94</v>
      </c>
      <c r="AH269" t="s">
        <v>69</v>
      </c>
    </row>
    <row r="270" spans="1:34" x14ac:dyDescent="0.25">
      <c r="A270" s="7">
        <v>46189.5</v>
      </c>
      <c r="B270" t="s">
        <v>1955</v>
      </c>
      <c r="C270" t="s">
        <v>1</v>
      </c>
      <c r="D270" s="8" t="s">
        <v>1956</v>
      </c>
      <c r="E270" t="s">
        <v>101</v>
      </c>
      <c r="F270">
        <v>1</v>
      </c>
      <c r="G270" s="3">
        <v>106</v>
      </c>
      <c r="H270" s="3">
        <v>129.32</v>
      </c>
      <c r="I270" s="3">
        <f>H270-G270</f>
      </c>
      <c r="J270" s="3">
        <f>I270*16.67%</f>
      </c>
      <c r="K270" s="3">
        <f>(H270*6.9%)-(H270*6.9%)*10%</f>
      </c>
      <c r="L270" s="3">
        <f>H270*0.35%</f>
      </c>
      <c r="M270" s="3">
        <v>0.4</v>
      </c>
      <c r="N270" s="3">
        <f>(K270+L270+M270)*20%</f>
      </c>
      <c r="O270" s="3">
        <f>K270+L270+M270+N270</f>
      </c>
      <c r="P270" s="3">
        <v>0</v>
      </c>
      <c r="Q270" s="3">
        <v>0</v>
      </c>
      <c r="R270" s="3">
        <v>0</v>
      </c>
      <c r="S270" s="3">
        <f>R270*20%</f>
      </c>
      <c r="T270" s="3">
        <v>1</v>
      </c>
      <c r="U270" s="3">
        <f>N270+Q270+S270</f>
      </c>
      <c r="V270" s="3">
        <f>I270-J270-O270-P270-Q270-R270-S270-T270</f>
      </c>
      <c r="W270" s="3">
        <f>(V270-AE270)/H270*100</f>
      </c>
      <c r="X270" s="3">
        <f>J270-U270</f>
      </c>
      <c r="Y270" t="s">
        <v>1</v>
      </c>
      <c r="Z270" t="s">
        <v>133</v>
      </c>
      <c r="AF270" s="3">
        <f>V270-AE270</f>
      </c>
      <c r="AG270" t="s">
        <v>94</v>
      </c>
      <c r="AH270" t="s">
        <v>87</v>
      </c>
    </row>
    <row r="271" spans="1:34" x14ac:dyDescent="0.25">
      <c r="A271" s="7">
        <v>46189.5</v>
      </c>
      <c r="B271" t="s">
        <v>1957</v>
      </c>
      <c r="C271" t="s">
        <v>176</v>
      </c>
      <c r="D271" s="8" t="s">
        <v>1</v>
      </c>
      <c r="E271" t="s">
        <v>77</v>
      </c>
      <c r="F271">
        <v>1</v>
      </c>
      <c r="G271" s="3">
        <v>0.15</v>
      </c>
      <c r="H271" s="3">
        <v>0.2</v>
      </c>
      <c r="I271" s="3">
        <f>H271-G271</f>
      </c>
      <c r="J271" s="3">
        <f>I271*16.67%</f>
      </c>
      <c r="K271" s="3">
        <f>(H271*6.9%)-(H271*6.9%)*10%</f>
      </c>
      <c r="L271" s="3">
        <f>H271*0.35%</f>
      </c>
      <c r="M271" s="3">
        <v>0.4</v>
      </c>
      <c r="N271" s="3">
        <f>(K271+L271+M271)*20%</f>
      </c>
      <c r="O271" s="3">
        <f>K271+L271+M271+N271</f>
      </c>
      <c r="P271" s="3">
        <v>0</v>
      </c>
      <c r="Q271" s="3">
        <v>0</v>
      </c>
      <c r="R271" s="3">
        <v>0</v>
      </c>
      <c r="S271" s="3">
        <f>R271*20%</f>
      </c>
      <c r="T271" s="3">
        <v>1</v>
      </c>
      <c r="U271" s="3">
        <f>N271+Q271+S271</f>
      </c>
      <c r="V271" s="3">
        <f>I271-J271-O271-P271-Q271-R271-S271-T271</f>
      </c>
      <c r="W271" s="3">
        <f>(V271-AE271)/H271*100</f>
      </c>
      <c r="X271" s="3">
        <f>J271-U271</f>
      </c>
      <c r="Y271" t="s">
        <v>1</v>
      </c>
      <c r="Z271" t="s">
        <v>176</v>
      </c>
      <c r="AF271" s="3">
        <f>V271-AE271</f>
      </c>
      <c r="AG271" t="s">
        <v>1</v>
      </c>
      <c r="AH271" t="s">
        <v>1</v>
      </c>
    </row>
    <row r="272" spans="1:34" x14ac:dyDescent="0.25">
      <c r="A272" s="7">
        <v>46189.5</v>
      </c>
      <c r="B272" t="s">
        <v>1958</v>
      </c>
      <c r="C272" t="s">
        <v>176</v>
      </c>
      <c r="D272" s="8" t="s">
        <v>1</v>
      </c>
      <c r="E272" t="s">
        <v>77</v>
      </c>
      <c r="F272">
        <v>1</v>
      </c>
      <c r="G272" s="3">
        <v>0.15</v>
      </c>
      <c r="H272" s="3">
        <v>0.2</v>
      </c>
      <c r="I272" s="3">
        <f>H272-G272</f>
      </c>
      <c r="J272" s="3">
        <f>I272*16.67%</f>
      </c>
      <c r="K272" s="3">
        <f>(H272*6.9%)-(H272*6.9%)*10%</f>
      </c>
      <c r="L272" s="3">
        <f>H272*0.35%</f>
      </c>
      <c r="M272" s="3">
        <v>0.4</v>
      </c>
      <c r="N272" s="3">
        <f>(K272+L272+M272)*20%</f>
      </c>
      <c r="O272" s="3">
        <f>K272+L272+M272+N272</f>
      </c>
      <c r="P272" s="3">
        <v>0</v>
      </c>
      <c r="Q272" s="3">
        <v>0</v>
      </c>
      <c r="R272" s="3">
        <v>0</v>
      </c>
      <c r="S272" s="3">
        <f>R272*20%</f>
      </c>
      <c r="T272" s="3">
        <v>1</v>
      </c>
      <c r="U272" s="3">
        <f>N272+Q272+S272</f>
      </c>
      <c r="V272" s="3">
        <f>I272-J272-O272-P272-Q272-R272-S272-T272</f>
      </c>
      <c r="W272" s="3">
        <f>(V272-AE272)/H272*100</f>
      </c>
      <c r="X272" s="3">
        <f>J272-U272</f>
      </c>
      <c r="Y272" t="s">
        <v>1</v>
      </c>
      <c r="Z272" t="s">
        <v>176</v>
      </c>
      <c r="AF272" s="3">
        <f>V272-AE272</f>
      </c>
      <c r="AG272" t="s">
        <v>1</v>
      </c>
      <c r="AH272" t="s">
        <v>1</v>
      </c>
    </row>
    <row r="273" spans="1:34" x14ac:dyDescent="0.25">
      <c r="A273" s="7">
        <v>46189.5</v>
      </c>
      <c r="B273" t="s">
        <v>1959</v>
      </c>
      <c r="C273" t="s">
        <v>184</v>
      </c>
      <c r="D273" s="8" t="s">
        <v>1</v>
      </c>
      <c r="E273" t="s">
        <v>101</v>
      </c>
      <c r="F273">
        <v>1</v>
      </c>
      <c r="G273" s="3">
        <v>1.2</v>
      </c>
      <c r="H273" s="3">
        <v>1.4</v>
      </c>
      <c r="I273" s="3">
        <f>H273-G273</f>
      </c>
      <c r="J273" s="3">
        <f>I273*16.67%</f>
      </c>
      <c r="K273" s="3">
        <f>(H273*6.9%)-(H273*6.9%)*10%</f>
      </c>
      <c r="L273" s="3">
        <f>H273*0.35%</f>
      </c>
      <c r="M273" s="3">
        <v>0.4</v>
      </c>
      <c r="N273" s="3">
        <f>(K273+L273+M273)*20%</f>
      </c>
      <c r="O273" s="3">
        <f>K273+L273+M273+N273</f>
      </c>
      <c r="P273" s="3">
        <v>0</v>
      </c>
      <c r="Q273" s="3">
        <v>0</v>
      </c>
      <c r="R273" s="3">
        <v>0</v>
      </c>
      <c r="S273" s="3">
        <f>R273*20%</f>
      </c>
      <c r="T273" s="3">
        <v>1</v>
      </c>
      <c r="U273" s="3">
        <f>N273+Q273+S273</f>
      </c>
      <c r="V273" s="3">
        <f>I273-J273-O273-P273-Q273-R273-S273-T273</f>
      </c>
      <c r="W273" s="3">
        <f>(V273-AE273)/H273*100</f>
      </c>
      <c r="X273" s="3">
        <f>J273-U273</f>
      </c>
      <c r="Y273" t="s">
        <v>1</v>
      </c>
      <c r="Z273" t="s">
        <v>184</v>
      </c>
      <c r="AF273" s="3">
        <f>V273-AE273</f>
      </c>
      <c r="AG273" t="s">
        <v>1</v>
      </c>
      <c r="AH273" t="s">
        <v>1</v>
      </c>
    </row>
    <row r="274" spans="1:34" x14ac:dyDescent="0.25">
      <c r="A274" s="7">
        <v>46189.5</v>
      </c>
      <c r="B274" t="s">
        <v>1960</v>
      </c>
      <c r="C274" t="s">
        <v>1</v>
      </c>
      <c r="D274" s="8" t="s">
        <v>1</v>
      </c>
      <c r="E274" t="s">
        <v>57</v>
      </c>
      <c r="F274">
        <v>1</v>
      </c>
      <c r="G274" s="3">
        <v>172</v>
      </c>
      <c r="H274" s="3">
        <v>220.16</v>
      </c>
      <c r="I274" s="3">
        <f>H274-G274</f>
      </c>
      <c r="J274" s="3">
        <f>I274*16.67%</f>
      </c>
      <c r="K274" s="3">
        <f>(H274*6.9%)-(H274*6.9%)*10%</f>
      </c>
      <c r="L274" s="3">
        <f>H274*0.35%</f>
      </c>
      <c r="M274" s="3">
        <v>0.4</v>
      </c>
      <c r="N274" s="3">
        <f>(K274+L274+M274)*20%</f>
      </c>
      <c r="O274" s="3">
        <f>K274+L274+M274+N274</f>
      </c>
      <c r="P274" s="3">
        <v>0</v>
      </c>
      <c r="Q274" s="3">
        <v>0</v>
      </c>
      <c r="R274" s="3">
        <v>0</v>
      </c>
      <c r="S274" s="3">
        <f>R274*20%</f>
      </c>
      <c r="T274" s="3">
        <v>1</v>
      </c>
      <c r="U274" s="3">
        <f>N274+Q274+S274</f>
      </c>
      <c r="V274" s="3">
        <f>I274-J274-O274-P274-Q274-R274-S274-T274</f>
      </c>
      <c r="W274" s="3">
        <f>(V274-AE274)/H274*100</f>
      </c>
      <c r="X274" s="3">
        <f>J274-U274</f>
      </c>
      <c r="Y274" t="s">
        <v>1</v>
      </c>
      <c r="Z274" t="s">
        <v>1</v>
      </c>
      <c r="AF274" s="3">
        <f>V274-AE274</f>
      </c>
      <c r="AG274" t="s">
        <v>1</v>
      </c>
      <c r="AH274" t="s">
        <v>1</v>
      </c>
    </row>
    <row r="275" spans="1:34" x14ac:dyDescent="0.25">
      <c r="A275" s="7">
        <v>46188.5</v>
      </c>
      <c r="B275" t="s">
        <v>1961</v>
      </c>
      <c r="C275" t="s">
        <v>1</v>
      </c>
      <c r="D275" s="8" t="s">
        <v>1962</v>
      </c>
      <c r="E275" t="s">
        <v>63</v>
      </c>
      <c r="F275">
        <v>1</v>
      </c>
      <c r="G275" s="3">
        <v>568</v>
      </c>
      <c r="H275" s="3">
        <v>778.16</v>
      </c>
      <c r="I275" s="3">
        <f>H275-G275</f>
      </c>
      <c r="J275" s="3">
        <f>I275*16.67%</f>
      </c>
      <c r="K275" s="3">
        <f>(H275*6.9%)-(H275*6.9%)*10%</f>
      </c>
      <c r="L275" s="3">
        <f>H275*0.35%</f>
      </c>
      <c r="M275" s="3">
        <v>0.4</v>
      </c>
      <c r="N275" s="3">
        <f>(K275+L275+M275)*20%</f>
      </c>
      <c r="O275" s="3">
        <f>K275+L275+M275+N275</f>
      </c>
      <c r="P275" s="3">
        <v>0</v>
      </c>
      <c r="Q275" s="3">
        <v>0</v>
      </c>
      <c r="R275" s="3">
        <v>0</v>
      </c>
      <c r="S275" s="3">
        <f>R275*20%</f>
      </c>
      <c r="T275" s="3">
        <v>1</v>
      </c>
      <c r="U275" s="3">
        <f>N275+Q275+S275</f>
      </c>
      <c r="V275" s="3">
        <f>I275-J275-O275-P275-Q275-R275-S275-T275</f>
      </c>
      <c r="W275" s="3">
        <f>(V275-AE275)/H275*100</f>
      </c>
      <c r="X275" s="3">
        <f>J275-U275</f>
      </c>
      <c r="Y275" t="s">
        <v>1</v>
      </c>
      <c r="Z275" t="s">
        <v>80</v>
      </c>
      <c r="AF275" s="3">
        <f>V275-AE275</f>
      </c>
      <c r="AG275" t="s">
        <v>65</v>
      </c>
      <c r="AH275" t="s">
        <v>87</v>
      </c>
    </row>
    <row r="276" spans="1:34" x14ac:dyDescent="0.25">
      <c r="A276" s="7">
        <v>46188.5</v>
      </c>
      <c r="B276" t="s">
        <v>1963</v>
      </c>
      <c r="C276" t="s">
        <v>1</v>
      </c>
      <c r="D276" s="8" t="s">
        <v>1964</v>
      </c>
      <c r="E276" t="s">
        <v>57</v>
      </c>
      <c r="F276">
        <v>1</v>
      </c>
      <c r="G276" s="3">
        <v>194</v>
      </c>
      <c r="H276" s="3">
        <v>234.74</v>
      </c>
      <c r="I276" s="3">
        <f>H276-G276</f>
      </c>
      <c r="J276" s="3">
        <f>I276*16.67%</f>
      </c>
      <c r="K276" s="3">
        <f>(H276*6.9%)-(H276*6.9%)*10%</f>
      </c>
      <c r="L276" s="3">
        <f>H276*0.35%</f>
      </c>
      <c r="M276" s="3">
        <v>0.4</v>
      </c>
      <c r="N276" s="3">
        <f>(K276+L276+M276)*20%</f>
      </c>
      <c r="O276" s="3">
        <f>K276+L276+M276+N276</f>
      </c>
      <c r="P276" s="3">
        <v>0</v>
      </c>
      <c r="Q276" s="3">
        <v>0</v>
      </c>
      <c r="R276" s="3">
        <v>0</v>
      </c>
      <c r="S276" s="3">
        <f>R276*20%</f>
      </c>
      <c r="T276" s="3">
        <v>1</v>
      </c>
      <c r="U276" s="3">
        <f>N276+Q276+S276</f>
      </c>
      <c r="V276" s="3">
        <f>I276-J276-O276-P276-Q276-R276-S276-T276</f>
      </c>
      <c r="W276" s="3">
        <f>(V276-AE276)/H276*100</f>
      </c>
      <c r="X276" s="3">
        <f>J276-U276</f>
      </c>
      <c r="Y276" t="s">
        <v>1</v>
      </c>
      <c r="Z276" t="s">
        <v>291</v>
      </c>
      <c r="AF276" s="3">
        <f>V276-AE276</f>
      </c>
      <c r="AG276" t="s">
        <v>125</v>
      </c>
      <c r="AH276" t="s">
        <v>104</v>
      </c>
    </row>
    <row r="277" spans="1:34" x14ac:dyDescent="0.25">
      <c r="A277" s="7">
        <v>46188.5</v>
      </c>
      <c r="B277" t="s">
        <v>1965</v>
      </c>
      <c r="C277" t="s">
        <v>1</v>
      </c>
      <c r="D277" s="8" t="s">
        <v>1966</v>
      </c>
      <c r="E277" t="s">
        <v>72</v>
      </c>
      <c r="F277">
        <v>1</v>
      </c>
      <c r="G277" s="3">
        <v>280</v>
      </c>
      <c r="H277" s="3">
        <v>380.8</v>
      </c>
      <c r="I277" s="3">
        <f>H277-G277</f>
      </c>
      <c r="J277" s="3">
        <f>I277*16.67%</f>
      </c>
      <c r="K277" s="3">
        <f>(H277*6.9%)-(H277*6.9%)*10%</f>
      </c>
      <c r="L277" s="3">
        <f>H277*0.35%</f>
      </c>
      <c r="M277" s="3">
        <v>0.4</v>
      </c>
      <c r="N277" s="3">
        <f>(K277+L277+M277)*20%</f>
      </c>
      <c r="O277" s="3">
        <f>K277+L277+M277+N277</f>
      </c>
      <c r="P277" s="3">
        <v>0</v>
      </c>
      <c r="Q277" s="3">
        <v>0</v>
      </c>
      <c r="R277" s="3">
        <v>0</v>
      </c>
      <c r="S277" s="3">
        <f>R277*20%</f>
      </c>
      <c r="T277" s="3">
        <v>1</v>
      </c>
      <c r="U277" s="3">
        <f>N277+Q277+S277</f>
      </c>
      <c r="V277" s="3">
        <f>I277-J277-O277-P277-Q277-R277-S277-T277</f>
      </c>
      <c r="W277" s="3">
        <f>(V277-AE277)/H277*100</f>
      </c>
      <c r="X277" s="3">
        <f>J277-U277</f>
      </c>
      <c r="Y277" t="s">
        <v>1</v>
      </c>
      <c r="Z277" t="s">
        <v>97</v>
      </c>
      <c r="AF277" s="3">
        <f>V277-AE277</f>
      </c>
      <c r="AG277" t="s">
        <v>65</v>
      </c>
      <c r="AH277" t="s">
        <v>74</v>
      </c>
    </row>
    <row r="278" spans="1:34" x14ac:dyDescent="0.25">
      <c r="A278" s="7">
        <v>46188.5</v>
      </c>
      <c r="B278" t="s">
        <v>1967</v>
      </c>
      <c r="C278" t="s">
        <v>253</v>
      </c>
      <c r="D278" s="8" t="s">
        <v>1</v>
      </c>
      <c r="E278" t="s">
        <v>57</v>
      </c>
      <c r="F278">
        <v>4</v>
      </c>
      <c r="G278" s="3">
        <v>3.2</v>
      </c>
      <c r="H278" s="3">
        <v>4.64</v>
      </c>
      <c r="I278" s="3">
        <f>H278-G278</f>
      </c>
      <c r="J278" s="3">
        <f>I278*16.67%</f>
      </c>
      <c r="K278" s="3">
        <f>(H278*6.9%)-(H278*6.9%)*10%</f>
      </c>
      <c r="L278" s="3">
        <f>H278*0.35%</f>
      </c>
      <c r="M278" s="3">
        <v>0.4</v>
      </c>
      <c r="N278" s="3">
        <f>(K278+L278+M278)*20%</f>
      </c>
      <c r="O278" s="3">
        <f>K278+L278+M278+N278</f>
      </c>
      <c r="P278" s="3">
        <v>0</v>
      </c>
      <c r="Q278" s="3">
        <v>0</v>
      </c>
      <c r="R278" s="3">
        <v>0</v>
      </c>
      <c r="S278" s="3">
        <f>R278*20%</f>
      </c>
      <c r="T278" s="3">
        <v>1</v>
      </c>
      <c r="U278" s="3">
        <f>N278+Q278+S278</f>
      </c>
      <c r="V278" s="3">
        <f>I278-J278-O278-P278-Q278-R278-S278-T278</f>
      </c>
      <c r="W278" s="3">
        <f>(V278-AE278)/H278*100</f>
      </c>
      <c r="X278" s="3">
        <f>J278-U278</f>
      </c>
      <c r="Y278" t="s">
        <v>1</v>
      </c>
      <c r="Z278" t="s">
        <v>253</v>
      </c>
      <c r="AF278" s="3">
        <f>V278-AE278</f>
      </c>
      <c r="AG278" t="s">
        <v>1</v>
      </c>
      <c r="AH278" t="s">
        <v>1</v>
      </c>
    </row>
    <row r="279" spans="1:34" x14ac:dyDescent="0.25">
      <c r="A279" s="7">
        <v>46188.5</v>
      </c>
      <c r="B279" t="s">
        <v>1968</v>
      </c>
      <c r="C279" t="s">
        <v>1</v>
      </c>
      <c r="D279" s="8" t="s">
        <v>1</v>
      </c>
      <c r="E279" t="s">
        <v>77</v>
      </c>
      <c r="F279">
        <v>1</v>
      </c>
      <c r="G279" s="3">
        <v>656</v>
      </c>
      <c r="H279" s="3">
        <v>767.52</v>
      </c>
      <c r="I279" s="3">
        <f>H279-G279</f>
      </c>
      <c r="J279" s="3">
        <f>I279*16.67%</f>
      </c>
      <c r="K279" s="3">
        <f>(H279*6.9%)-(H279*6.9%)*10%</f>
      </c>
      <c r="L279" s="3">
        <f>H279*0.35%</f>
      </c>
      <c r="M279" s="3">
        <v>0.4</v>
      </c>
      <c r="N279" s="3">
        <f>(K279+L279+M279)*20%</f>
      </c>
      <c r="O279" s="3">
        <f>K279+L279+M279+N279</f>
      </c>
      <c r="P279" s="3">
        <v>0</v>
      </c>
      <c r="Q279" s="3">
        <v>0</v>
      </c>
      <c r="R279" s="3">
        <v>0</v>
      </c>
      <c r="S279" s="3">
        <f>R279*20%</f>
      </c>
      <c r="T279" s="3">
        <v>1</v>
      </c>
      <c r="U279" s="3">
        <f>N279+Q279+S279</f>
      </c>
      <c r="V279" s="3">
        <f>I279-J279-O279-P279-Q279-R279-S279-T279</f>
      </c>
      <c r="W279" s="3">
        <f>(V279-AE279)/H279*100</f>
      </c>
      <c r="X279" s="3">
        <f>J279-U279</f>
      </c>
      <c r="Y279" t="s">
        <v>1</v>
      </c>
      <c r="Z279" t="s">
        <v>1</v>
      </c>
      <c r="AF279" s="3">
        <f>V279-AE279</f>
      </c>
      <c r="AG279" t="s">
        <v>1</v>
      </c>
      <c r="AH279" t="s">
        <v>1</v>
      </c>
    </row>
    <row r="280" spans="1:34" x14ac:dyDescent="0.25">
      <c r="A280" s="7">
        <v>46187.5</v>
      </c>
      <c r="B280" t="s">
        <v>1969</v>
      </c>
      <c r="C280" t="s">
        <v>1</v>
      </c>
      <c r="D280" s="8" t="s">
        <v>1970</v>
      </c>
      <c r="E280" t="s">
        <v>72</v>
      </c>
      <c r="F280">
        <v>1</v>
      </c>
      <c r="G280" s="3">
        <v>504</v>
      </c>
      <c r="H280" s="3">
        <v>680.4</v>
      </c>
      <c r="I280" s="3">
        <f>H280-G280</f>
      </c>
      <c r="J280" s="3">
        <f>I280*16.67%</f>
      </c>
      <c r="K280" s="3">
        <f>(H280*6.9%)-(H280*6.9%)*10%</f>
      </c>
      <c r="L280" s="3">
        <f>H280*0.35%</f>
      </c>
      <c r="M280" s="3">
        <v>0.4</v>
      </c>
      <c r="N280" s="3">
        <f>(K280+L280+M280)*20%</f>
      </c>
      <c r="O280" s="3">
        <f>K280+L280+M280+N280</f>
      </c>
      <c r="P280" s="3">
        <v>0</v>
      </c>
      <c r="Q280" s="3">
        <v>0</v>
      </c>
      <c r="R280" s="3">
        <v>0</v>
      </c>
      <c r="S280" s="3">
        <f>R280*20%</f>
      </c>
      <c r="T280" s="3">
        <v>1</v>
      </c>
      <c r="U280" s="3">
        <f>N280+Q280+S280</f>
      </c>
      <c r="V280" s="3">
        <f>I280-J280-O280-P280-Q280-R280-S280-T280</f>
      </c>
      <c r="W280" s="3">
        <f>(V280-AE280)/H280*100</f>
      </c>
      <c r="X280" s="3">
        <f>J280-U280</f>
      </c>
      <c r="Y280" t="s">
        <v>1</v>
      </c>
      <c r="Z280" t="s">
        <v>68</v>
      </c>
      <c r="AF280" s="3">
        <f>V280-AE280</f>
      </c>
      <c r="AG280" t="s">
        <v>59</v>
      </c>
      <c r="AH280" t="s">
        <v>98</v>
      </c>
    </row>
    <row r="281" spans="1:34" x14ac:dyDescent="0.25">
      <c r="A281" s="7">
        <v>46187.5</v>
      </c>
      <c r="B281" t="s">
        <v>1971</v>
      </c>
      <c r="C281" t="s">
        <v>253</v>
      </c>
      <c r="D281" s="8" t="s">
        <v>1</v>
      </c>
      <c r="E281" t="s">
        <v>57</v>
      </c>
      <c r="F281">
        <v>3</v>
      </c>
      <c r="G281" s="3">
        <v>2.4</v>
      </c>
      <c r="H281" s="3">
        <v>2.81</v>
      </c>
      <c r="I281" s="3">
        <f>H281-G281</f>
      </c>
      <c r="J281" s="3">
        <f>I281*16.67%</f>
      </c>
      <c r="K281" s="3">
        <f>(H281*6.9%)-(H281*6.9%)*10%</f>
      </c>
      <c r="L281" s="3">
        <f>H281*0.35%</f>
      </c>
      <c r="M281" s="3">
        <v>0.4</v>
      </c>
      <c r="N281" s="3">
        <f>(K281+L281+M281)*20%</f>
      </c>
      <c r="O281" s="3">
        <f>K281+L281+M281+N281</f>
      </c>
      <c r="P281" s="3">
        <v>0</v>
      </c>
      <c r="Q281" s="3">
        <v>0</v>
      </c>
      <c r="R281" s="3">
        <v>0</v>
      </c>
      <c r="S281" s="3">
        <f>R281*20%</f>
      </c>
      <c r="T281" s="3">
        <v>1</v>
      </c>
      <c r="U281" s="3">
        <f>N281+Q281+S281</f>
      </c>
      <c r="V281" s="3">
        <f>I281-J281-O281-P281-Q281-R281-S281-T281</f>
      </c>
      <c r="W281" s="3">
        <f>(V281-AE281)/H281*100</f>
      </c>
      <c r="X281" s="3">
        <f>J281-U281</f>
      </c>
      <c r="Y281" t="s">
        <v>1</v>
      </c>
      <c r="Z281" t="s">
        <v>253</v>
      </c>
      <c r="AF281" s="3">
        <f>V281-AE281</f>
      </c>
      <c r="AG281" t="s">
        <v>1</v>
      </c>
      <c r="AH281" t="s">
        <v>1</v>
      </c>
    </row>
    <row r="282" spans="1:34" x14ac:dyDescent="0.25">
      <c r="A282" s="7">
        <v>46187.5</v>
      </c>
      <c r="B282" t="s">
        <v>1972</v>
      </c>
      <c r="C282" t="s">
        <v>253</v>
      </c>
      <c r="D282" s="8" t="s">
        <v>1</v>
      </c>
      <c r="E282" t="s">
        <v>57</v>
      </c>
      <c r="F282">
        <v>4</v>
      </c>
      <c r="G282" s="3">
        <v>3.2</v>
      </c>
      <c r="H282" s="3">
        <v>4.42</v>
      </c>
      <c r="I282" s="3">
        <f>H282-G282</f>
      </c>
      <c r="J282" s="3">
        <f>I282*16.67%</f>
      </c>
      <c r="K282" s="3">
        <f>(H282*6.9%)-(H282*6.9%)*10%</f>
      </c>
      <c r="L282" s="3">
        <f>H282*0.35%</f>
      </c>
      <c r="M282" s="3">
        <v>0.4</v>
      </c>
      <c r="N282" s="3">
        <f>(K282+L282+M282)*20%</f>
      </c>
      <c r="O282" s="3">
        <f>K282+L282+M282+N282</f>
      </c>
      <c r="P282" s="3">
        <v>0</v>
      </c>
      <c r="Q282" s="3">
        <v>0</v>
      </c>
      <c r="R282" s="3">
        <v>0</v>
      </c>
      <c r="S282" s="3">
        <f>R282*20%</f>
      </c>
      <c r="T282" s="3">
        <v>1</v>
      </c>
      <c r="U282" s="3">
        <f>N282+Q282+S282</f>
      </c>
      <c r="V282" s="3">
        <f>I282-J282-O282-P282-Q282-R282-S282-T282</f>
      </c>
      <c r="W282" s="3">
        <f>(V282-AE282)/H282*100</f>
      </c>
      <c r="X282" s="3">
        <f>J282-U282</f>
      </c>
      <c r="Y282" t="s">
        <v>1</v>
      </c>
      <c r="Z282" t="s">
        <v>253</v>
      </c>
      <c r="AF282" s="3">
        <f>V282-AE282</f>
      </c>
      <c r="AG282" t="s">
        <v>1</v>
      </c>
      <c r="AH282" t="s">
        <v>1</v>
      </c>
    </row>
    <row r="283" spans="1:34" x14ac:dyDescent="0.25">
      <c r="A283" s="7">
        <v>46187.5</v>
      </c>
      <c r="B283" t="s">
        <v>1973</v>
      </c>
      <c r="C283" t="s">
        <v>181</v>
      </c>
      <c r="D283" s="8" t="s">
        <v>1</v>
      </c>
      <c r="E283" t="s">
        <v>72</v>
      </c>
      <c r="F283">
        <v>1</v>
      </c>
      <c r="G283" s="3">
        <v>1.9</v>
      </c>
      <c r="H283" s="3">
        <v>2.56</v>
      </c>
      <c r="I283" s="3">
        <f>H283-G283</f>
      </c>
      <c r="J283" s="3">
        <f>I283*16.67%</f>
      </c>
      <c r="K283" s="3">
        <f>(H283*6.9%)-(H283*6.9%)*10%</f>
      </c>
      <c r="L283" s="3">
        <f>H283*0.35%</f>
      </c>
      <c r="M283" s="3">
        <v>0.4</v>
      </c>
      <c r="N283" s="3">
        <f>(K283+L283+M283)*20%</f>
      </c>
      <c r="O283" s="3">
        <f>K283+L283+M283+N283</f>
      </c>
      <c r="P283" s="3">
        <v>0</v>
      </c>
      <c r="Q283" s="3">
        <v>0</v>
      </c>
      <c r="R283" s="3">
        <v>0</v>
      </c>
      <c r="S283" s="3">
        <f>R283*20%</f>
      </c>
      <c r="T283" s="3">
        <v>1</v>
      </c>
      <c r="U283" s="3">
        <f>N283+Q283+S283</f>
      </c>
      <c r="V283" s="3">
        <f>I283-J283-O283-P283-Q283-R283-S283-T283</f>
      </c>
      <c r="W283" s="3">
        <f>(V283-AE283)/H283*100</f>
      </c>
      <c r="X283" s="3">
        <f>J283-U283</f>
      </c>
      <c r="Y283" t="s">
        <v>1</v>
      </c>
      <c r="Z283" t="s">
        <v>181</v>
      </c>
      <c r="AF283" s="3">
        <f>V283-AE283</f>
      </c>
      <c r="AG283" t="s">
        <v>1</v>
      </c>
      <c r="AH283" t="s">
        <v>1</v>
      </c>
    </row>
    <row r="284" spans="1:34" x14ac:dyDescent="0.25">
      <c r="A284" s="7">
        <v>46187.5</v>
      </c>
      <c r="B284" t="s">
        <v>1974</v>
      </c>
      <c r="C284" t="s">
        <v>1</v>
      </c>
      <c r="D284" s="8" t="s">
        <v>1</v>
      </c>
      <c r="E284" t="s">
        <v>57</v>
      </c>
      <c r="F284">
        <v>1</v>
      </c>
      <c r="G284" s="3">
        <v>101</v>
      </c>
      <c r="H284" s="3">
        <v>125.24</v>
      </c>
      <c r="I284" s="3">
        <f>H284-G284</f>
      </c>
      <c r="J284" s="3">
        <f>I284*16.67%</f>
      </c>
      <c r="K284" s="3">
        <f>(H284*6.9%)-(H284*6.9%)*10%</f>
      </c>
      <c r="L284" s="3">
        <f>H284*0.35%</f>
      </c>
      <c r="M284" s="3">
        <v>0.4</v>
      </c>
      <c r="N284" s="3">
        <f>(K284+L284+M284)*20%</f>
      </c>
      <c r="O284" s="3">
        <f>K284+L284+M284+N284</f>
      </c>
      <c r="P284" s="3">
        <v>0</v>
      </c>
      <c r="Q284" s="3">
        <v>0</v>
      </c>
      <c r="R284" s="3">
        <v>0</v>
      </c>
      <c r="S284" s="3">
        <f>R284*20%</f>
      </c>
      <c r="T284" s="3">
        <v>1</v>
      </c>
      <c r="U284" s="3">
        <f>N284+Q284+S284</f>
      </c>
      <c r="V284" s="3">
        <f>I284-J284-O284-P284-Q284-R284-S284-T284</f>
      </c>
      <c r="W284" s="3">
        <f>(V284-AE284)/H284*100</f>
      </c>
      <c r="X284" s="3">
        <f>J284-U284</f>
      </c>
      <c r="Y284" t="s">
        <v>1</v>
      </c>
      <c r="Z284" t="s">
        <v>1</v>
      </c>
      <c r="AF284" s="3">
        <f>V284-AE284</f>
      </c>
      <c r="AG284" t="s">
        <v>1</v>
      </c>
      <c r="AH284" t="s">
        <v>1</v>
      </c>
    </row>
    <row r="285" spans="1:34" x14ac:dyDescent="0.25">
      <c r="A285" s="7">
        <v>46186.5</v>
      </c>
      <c r="B285" t="s">
        <v>1975</v>
      </c>
      <c r="C285" t="s">
        <v>1</v>
      </c>
      <c r="D285" s="8" t="s">
        <v>1976</v>
      </c>
      <c r="E285" t="s">
        <v>77</v>
      </c>
      <c r="F285">
        <v>1</v>
      </c>
      <c r="G285" s="3">
        <v>456</v>
      </c>
      <c r="H285" s="3">
        <v>551.76</v>
      </c>
      <c r="I285" s="3">
        <f>H285-G285</f>
      </c>
      <c r="J285" s="3">
        <f>I285*16.67%</f>
      </c>
      <c r="K285" s="3">
        <f>(H285*6.9%)-(H285*6.9%)*10%</f>
      </c>
      <c r="L285" s="3">
        <f>H285*0.35%</f>
      </c>
      <c r="M285" s="3">
        <v>0.4</v>
      </c>
      <c r="N285" s="3">
        <f>(K285+L285+M285)*20%</f>
      </c>
      <c r="O285" s="3">
        <f>K285+L285+M285+N285</f>
      </c>
      <c r="P285" s="3">
        <v>0</v>
      </c>
      <c r="Q285" s="3">
        <v>0</v>
      </c>
      <c r="R285" s="3">
        <v>0</v>
      </c>
      <c r="S285" s="3">
        <f>R285*20%</f>
      </c>
      <c r="T285" s="3">
        <v>1</v>
      </c>
      <c r="U285" s="3">
        <f>N285+Q285+S285</f>
      </c>
      <c r="V285" s="3">
        <f>I285-J285-O285-P285-Q285-R285-S285-T285</f>
      </c>
      <c r="W285" s="3">
        <f>(V285-AE285)/H285*100</f>
      </c>
      <c r="X285" s="3">
        <f>J285-U285</f>
      </c>
      <c r="Y285" t="s">
        <v>1</v>
      </c>
      <c r="Z285" t="s">
        <v>58</v>
      </c>
      <c r="AF285" s="3">
        <f>V285-AE285</f>
      </c>
      <c r="AG285" t="s">
        <v>59</v>
      </c>
      <c r="AH285" t="s">
        <v>98</v>
      </c>
    </row>
    <row r="286" spans="1:34" x14ac:dyDescent="0.25">
      <c r="A286" s="7">
        <v>46186.5</v>
      </c>
      <c r="B286" t="s">
        <v>1977</v>
      </c>
      <c r="C286" t="s">
        <v>1</v>
      </c>
      <c r="D286" s="8" t="s">
        <v>1978</v>
      </c>
      <c r="E286" t="s">
        <v>101</v>
      </c>
      <c r="F286">
        <v>1</v>
      </c>
      <c r="G286" s="3">
        <v>337</v>
      </c>
      <c r="H286" s="3">
        <v>475.17</v>
      </c>
      <c r="I286" s="3">
        <f>H286-G286</f>
      </c>
      <c r="J286" s="3">
        <f>I286*16.67%</f>
      </c>
      <c r="K286" s="3">
        <f>(H286*6.9%)-(H286*6.9%)*10%</f>
      </c>
      <c r="L286" s="3">
        <f>H286*0.35%</f>
      </c>
      <c r="M286" s="3">
        <v>0.4</v>
      </c>
      <c r="N286" s="3">
        <f>(K286+L286+M286)*20%</f>
      </c>
      <c r="O286" s="3">
        <f>K286+L286+M286+N286</f>
      </c>
      <c r="P286" s="3">
        <v>0</v>
      </c>
      <c r="Q286" s="3">
        <v>0</v>
      </c>
      <c r="R286" s="3">
        <v>0</v>
      </c>
      <c r="S286" s="3">
        <f>R286*20%</f>
      </c>
      <c r="T286" s="3">
        <v>1</v>
      </c>
      <c r="U286" s="3">
        <f>N286+Q286+S286</f>
      </c>
      <c r="V286" s="3">
        <f>I286-J286-O286-P286-Q286-R286-S286-T286</f>
      </c>
      <c r="W286" s="3">
        <f>(V286-AE286)/H286*100</f>
      </c>
      <c r="X286" s="3">
        <f>J286-U286</f>
      </c>
      <c r="Y286" t="s">
        <v>1</v>
      </c>
      <c r="Z286" t="s">
        <v>73</v>
      </c>
      <c r="AF286" s="3">
        <f>V286-AE286</f>
      </c>
      <c r="AG286" t="s">
        <v>59</v>
      </c>
      <c r="AH286" t="s">
        <v>87</v>
      </c>
    </row>
    <row r="287" spans="1:34" x14ac:dyDescent="0.25">
      <c r="A287" s="7">
        <v>46186.5</v>
      </c>
      <c r="B287" t="s">
        <v>1979</v>
      </c>
      <c r="C287" t="s">
        <v>1</v>
      </c>
      <c r="D287" s="8" t="s">
        <v>1980</v>
      </c>
      <c r="E287" t="s">
        <v>72</v>
      </c>
      <c r="F287">
        <v>1</v>
      </c>
      <c r="G287" s="3">
        <v>320</v>
      </c>
      <c r="H287" s="3">
        <v>368</v>
      </c>
      <c r="I287" s="3">
        <f>H287-G287</f>
      </c>
      <c r="J287" s="3">
        <f>I287*16.67%</f>
      </c>
      <c r="K287" s="3">
        <f>(H287*6.9%)-(H287*6.9%)*10%</f>
      </c>
      <c r="L287" s="3">
        <f>H287*0.35%</f>
      </c>
      <c r="M287" s="3">
        <v>0.4</v>
      </c>
      <c r="N287" s="3">
        <f>(K287+L287+M287)*20%</f>
      </c>
      <c r="O287" s="3">
        <f>K287+L287+M287+N287</f>
      </c>
      <c r="P287" s="3">
        <v>0</v>
      </c>
      <c r="Q287" s="3">
        <v>0</v>
      </c>
      <c r="R287" s="3">
        <v>0</v>
      </c>
      <c r="S287" s="3">
        <f>R287*20%</f>
      </c>
      <c r="T287" s="3">
        <v>1</v>
      </c>
      <c r="U287" s="3">
        <f>N287+Q287+S287</f>
      </c>
      <c r="V287" s="3">
        <f>I287-J287-O287-P287-Q287-R287-S287-T287</f>
      </c>
      <c r="W287" s="3">
        <f>(V287-AE287)/H287*100</f>
      </c>
      <c r="X287" s="3">
        <f>J287-U287</f>
      </c>
      <c r="Y287" t="s">
        <v>1</v>
      </c>
      <c r="Z287" t="s">
        <v>97</v>
      </c>
      <c r="AF287" s="3">
        <f>V287-AE287</f>
      </c>
      <c r="AG287" t="s">
        <v>59</v>
      </c>
      <c r="AH287" t="s">
        <v>60</v>
      </c>
    </row>
    <row r="288" spans="1:34" x14ac:dyDescent="0.25">
      <c r="A288" s="7">
        <v>46186.5</v>
      </c>
      <c r="B288" t="s">
        <v>1981</v>
      </c>
      <c r="C288" t="s">
        <v>1</v>
      </c>
      <c r="D288" s="8" t="s">
        <v>1982</v>
      </c>
      <c r="E288" t="s">
        <v>63</v>
      </c>
      <c r="F288">
        <v>1</v>
      </c>
      <c r="G288" s="3">
        <v>140</v>
      </c>
      <c r="H288" s="3">
        <v>179.2</v>
      </c>
      <c r="I288" s="3">
        <f>H288-G288</f>
      </c>
      <c r="J288" s="3">
        <f>I288*16.67%</f>
      </c>
      <c r="K288" s="3">
        <f>(H288*6.9%)-(H288*6.9%)*10%</f>
      </c>
      <c r="L288" s="3">
        <f>H288*0.35%</f>
      </c>
      <c r="M288" s="3">
        <v>0.4</v>
      </c>
      <c r="N288" s="3">
        <f>(K288+L288+M288)*20%</f>
      </c>
      <c r="O288" s="3">
        <f>K288+L288+M288+N288</f>
      </c>
      <c r="P288" s="3">
        <v>0</v>
      </c>
      <c r="Q288" s="3">
        <v>0</v>
      </c>
      <c r="R288" s="3">
        <v>0</v>
      </c>
      <c r="S288" s="3">
        <f>R288*20%</f>
      </c>
      <c r="T288" s="3">
        <v>1</v>
      </c>
      <c r="U288" s="3">
        <f>N288+Q288+S288</f>
      </c>
      <c r="V288" s="3">
        <f>I288-J288-O288-P288-Q288-R288-S288-T288</f>
      </c>
      <c r="W288" s="3">
        <f>(V288-AE288)/H288*100</f>
      </c>
      <c r="X288" s="3">
        <f>J288-U288</f>
      </c>
      <c r="Y288" t="s">
        <v>1</v>
      </c>
      <c r="Z288" t="s">
        <v>171</v>
      </c>
      <c r="AF288" s="3">
        <f>V288-AE288</f>
      </c>
      <c r="AG288" t="s">
        <v>65</v>
      </c>
      <c r="AH288" t="s">
        <v>84</v>
      </c>
    </row>
    <row r="289" spans="1:34" x14ac:dyDescent="0.25">
      <c r="A289" s="7">
        <v>46186.5</v>
      </c>
      <c r="B289" t="s">
        <v>1983</v>
      </c>
      <c r="C289" t="s">
        <v>1</v>
      </c>
      <c r="D289" s="8" t="s">
        <v>1984</v>
      </c>
      <c r="E289" t="s">
        <v>57</v>
      </c>
      <c r="F289">
        <v>1</v>
      </c>
      <c r="G289" s="3">
        <v>119</v>
      </c>
      <c r="H289" s="3">
        <v>168.98</v>
      </c>
      <c r="I289" s="3">
        <f>H289-G289</f>
      </c>
      <c r="J289" s="3">
        <f>I289*16.67%</f>
      </c>
      <c r="K289" s="3">
        <f>(H289*6.9%)-(H289*6.9%)*10%</f>
      </c>
      <c r="L289" s="3">
        <f>H289*0.35%</f>
      </c>
      <c r="M289" s="3">
        <v>0.4</v>
      </c>
      <c r="N289" s="3">
        <f>(K289+L289+M289)*20%</f>
      </c>
      <c r="O289" s="3">
        <f>K289+L289+M289+N289</f>
      </c>
      <c r="P289" s="3">
        <v>0</v>
      </c>
      <c r="Q289" s="3">
        <v>0</v>
      </c>
      <c r="R289" s="3">
        <v>0</v>
      </c>
      <c r="S289" s="3">
        <f>R289*20%</f>
      </c>
      <c r="T289" s="3">
        <v>1</v>
      </c>
      <c r="U289" s="3">
        <f>N289+Q289+S289</f>
      </c>
      <c r="V289" s="3">
        <f>I289-J289-O289-P289-Q289-R289-S289-T289</f>
      </c>
      <c r="W289" s="3">
        <f>(V289-AE289)/H289*100</f>
      </c>
      <c r="X289" s="3">
        <f>J289-U289</f>
      </c>
      <c r="Y289" t="s">
        <v>1</v>
      </c>
      <c r="Z289" t="s">
        <v>133</v>
      </c>
      <c r="AF289" s="3">
        <f>V289-AE289</f>
      </c>
      <c r="AG289" t="s">
        <v>65</v>
      </c>
      <c r="AH289" t="s">
        <v>74</v>
      </c>
    </row>
    <row r="290" spans="1:34" x14ac:dyDescent="0.25">
      <c r="A290" s="7">
        <v>46186.5</v>
      </c>
      <c r="B290" t="s">
        <v>1985</v>
      </c>
      <c r="C290" t="s">
        <v>176</v>
      </c>
      <c r="D290" s="8" t="s">
        <v>1</v>
      </c>
      <c r="E290" t="s">
        <v>77</v>
      </c>
      <c r="F290">
        <v>4</v>
      </c>
      <c r="G290" s="3">
        <v>0.6</v>
      </c>
      <c r="H290" s="3">
        <v>0.85</v>
      </c>
      <c r="I290" s="3">
        <f>H290-G290</f>
      </c>
      <c r="J290" s="3">
        <f>I290*16.67%</f>
      </c>
      <c r="K290" s="3">
        <f>(H290*6.9%)-(H290*6.9%)*10%</f>
      </c>
      <c r="L290" s="3">
        <f>H290*0.35%</f>
      </c>
      <c r="M290" s="3">
        <v>0.4</v>
      </c>
      <c r="N290" s="3">
        <f>(K290+L290+M290)*20%</f>
      </c>
      <c r="O290" s="3">
        <f>K290+L290+M290+N290</f>
      </c>
      <c r="P290" s="3">
        <v>0</v>
      </c>
      <c r="Q290" s="3">
        <v>0</v>
      </c>
      <c r="R290" s="3">
        <v>0</v>
      </c>
      <c r="S290" s="3">
        <f>R290*20%</f>
      </c>
      <c r="T290" s="3">
        <v>1</v>
      </c>
      <c r="U290" s="3">
        <f>N290+Q290+S290</f>
      </c>
      <c r="V290" s="3">
        <f>I290-J290-O290-P290-Q290-R290-S290-T290</f>
      </c>
      <c r="W290" s="3">
        <f>(V290-AE290)/H290*100</f>
      </c>
      <c r="X290" s="3">
        <f>J290-U290</f>
      </c>
      <c r="Y290" t="s">
        <v>1</v>
      </c>
      <c r="Z290" t="s">
        <v>176</v>
      </c>
      <c r="AF290" s="3">
        <f>V290-AE290</f>
      </c>
      <c r="AG290" t="s">
        <v>1</v>
      </c>
      <c r="AH290" t="s">
        <v>1</v>
      </c>
    </row>
    <row r="291" spans="1:34" x14ac:dyDescent="0.25">
      <c r="A291" s="7">
        <v>46185.5</v>
      </c>
      <c r="B291" t="s">
        <v>1986</v>
      </c>
      <c r="C291" t="s">
        <v>1</v>
      </c>
      <c r="D291" s="8" t="s">
        <v>1987</v>
      </c>
      <c r="E291" t="s">
        <v>77</v>
      </c>
      <c r="F291">
        <v>1</v>
      </c>
      <c r="G291" s="3">
        <v>371</v>
      </c>
      <c r="H291" s="3">
        <v>534.24</v>
      </c>
      <c r="I291" s="3">
        <f>H291-G291</f>
      </c>
      <c r="J291" s="3">
        <f>I291*16.67%</f>
      </c>
      <c r="K291" s="3">
        <f>(H291*6.9%)-(H291*6.9%)*10%</f>
      </c>
      <c r="L291" s="3">
        <f>H291*0.35%</f>
      </c>
      <c r="M291" s="3">
        <v>0.4</v>
      </c>
      <c r="N291" s="3">
        <f>(K291+L291+M291)*20%</f>
      </c>
      <c r="O291" s="3">
        <f>K291+L291+M291+N291</f>
      </c>
      <c r="P291" s="3">
        <v>0</v>
      </c>
      <c r="Q291" s="3">
        <v>0</v>
      </c>
      <c r="R291" s="3">
        <v>0</v>
      </c>
      <c r="S291" s="3">
        <f>R291*20%</f>
      </c>
      <c r="T291" s="3">
        <v>1</v>
      </c>
      <c r="U291" s="3">
        <f>N291+Q291+S291</f>
      </c>
      <c r="V291" s="3">
        <f>I291-J291-O291-P291-Q291-R291-S291-T291</f>
      </c>
      <c r="W291" s="3">
        <f>(V291-AE291)/H291*100</f>
      </c>
      <c r="X291" s="3">
        <f>J291-U291</f>
      </c>
      <c r="Y291" t="s">
        <v>1</v>
      </c>
      <c r="Z291" t="s">
        <v>73</v>
      </c>
      <c r="AF291" s="3">
        <f>V291-AE291</f>
      </c>
      <c r="AG291" t="s">
        <v>59</v>
      </c>
      <c r="AH291" t="s">
        <v>74</v>
      </c>
    </row>
    <row r="292" spans="1:34" x14ac:dyDescent="0.25">
      <c r="A292" s="7">
        <v>46185.5</v>
      </c>
      <c r="B292" t="s">
        <v>1988</v>
      </c>
      <c r="C292" t="s">
        <v>1</v>
      </c>
      <c r="D292" s="8" t="s">
        <v>1989</v>
      </c>
      <c r="E292" t="s">
        <v>101</v>
      </c>
      <c r="F292">
        <v>1</v>
      </c>
      <c r="G292" s="3">
        <v>194</v>
      </c>
      <c r="H292" s="3">
        <v>232.8</v>
      </c>
      <c r="I292" s="3">
        <f>H292-G292</f>
      </c>
      <c r="J292" s="3">
        <f>I292*16.67%</f>
      </c>
      <c r="K292" s="3">
        <f>(H292*6.9%)-(H292*6.9%)*10%</f>
      </c>
      <c r="L292" s="3">
        <f>H292*0.35%</f>
      </c>
      <c r="M292" s="3">
        <v>0.4</v>
      </c>
      <c r="N292" s="3">
        <f>(K292+L292+M292)*20%</f>
      </c>
      <c r="O292" s="3">
        <f>K292+L292+M292+N292</f>
      </c>
      <c r="P292" s="3">
        <v>0</v>
      </c>
      <c r="Q292" s="3">
        <v>0</v>
      </c>
      <c r="R292" s="3">
        <v>0</v>
      </c>
      <c r="S292" s="3">
        <f>R292*20%</f>
      </c>
      <c r="T292" s="3">
        <v>1</v>
      </c>
      <c r="U292" s="3">
        <f>N292+Q292+S292</f>
      </c>
      <c r="V292" s="3">
        <f>I292-J292-O292-P292-Q292-R292-S292-T292</f>
      </c>
      <c r="W292" s="3">
        <f>(V292-AE292)/H292*100</f>
      </c>
      <c r="X292" s="3">
        <f>J292-U292</f>
      </c>
      <c r="Y292" t="s">
        <v>1</v>
      </c>
      <c r="Z292" t="s">
        <v>113</v>
      </c>
      <c r="AF292" s="3">
        <f>V292-AE292</f>
      </c>
      <c r="AG292" t="s">
        <v>94</v>
      </c>
      <c r="AH292" t="s">
        <v>69</v>
      </c>
    </row>
    <row r="293" spans="1:34" x14ac:dyDescent="0.25">
      <c r="A293" s="7">
        <v>46185.5</v>
      </c>
      <c r="B293" t="s">
        <v>1990</v>
      </c>
      <c r="C293" t="s">
        <v>1</v>
      </c>
      <c r="D293" s="8" t="s">
        <v>1991</v>
      </c>
      <c r="E293" t="s">
        <v>101</v>
      </c>
      <c r="F293">
        <v>1</v>
      </c>
      <c r="G293" s="3">
        <v>458</v>
      </c>
      <c r="H293" s="3">
        <v>645.78</v>
      </c>
      <c r="I293" s="3">
        <f>H293-G293</f>
      </c>
      <c r="J293" s="3">
        <f>I293*16.67%</f>
      </c>
      <c r="K293" s="3">
        <f>(H293*6.9%)-(H293*6.9%)*10%</f>
      </c>
      <c r="L293" s="3">
        <f>H293*0.35%</f>
      </c>
      <c r="M293" s="3">
        <v>0.4</v>
      </c>
      <c r="N293" s="3">
        <f>(K293+L293+M293)*20%</f>
      </c>
      <c r="O293" s="3">
        <f>K293+L293+M293+N293</f>
      </c>
      <c r="P293" s="3">
        <v>0</v>
      </c>
      <c r="Q293" s="3">
        <v>0</v>
      </c>
      <c r="R293" s="3">
        <v>0</v>
      </c>
      <c r="S293" s="3">
        <f>R293*20%</f>
      </c>
      <c r="T293" s="3">
        <v>1</v>
      </c>
      <c r="U293" s="3">
        <f>N293+Q293+S293</f>
      </c>
      <c r="V293" s="3">
        <f>I293-J293-O293-P293-Q293-R293-S293-T293</f>
      </c>
      <c r="W293" s="3">
        <f>(V293-AE293)/H293*100</f>
      </c>
      <c r="X293" s="3">
        <f>J293-U293</f>
      </c>
      <c r="Y293" t="s">
        <v>1</v>
      </c>
      <c r="Z293" t="s">
        <v>58</v>
      </c>
      <c r="AF293" s="3">
        <f>V293-AE293</f>
      </c>
      <c r="AG293" t="s">
        <v>59</v>
      </c>
      <c r="AH293" t="s">
        <v>87</v>
      </c>
    </row>
    <row r="294" spans="1:34" x14ac:dyDescent="0.25">
      <c r="A294" s="7">
        <v>46185.5</v>
      </c>
      <c r="B294" t="s">
        <v>1992</v>
      </c>
      <c r="C294" t="s">
        <v>1</v>
      </c>
      <c r="D294" s="8" t="s">
        <v>1993</v>
      </c>
      <c r="E294" t="s">
        <v>77</v>
      </c>
      <c r="F294">
        <v>1</v>
      </c>
      <c r="G294" s="3">
        <v>179</v>
      </c>
      <c r="H294" s="3">
        <v>220.17</v>
      </c>
      <c r="I294" s="3">
        <f>H294-G294</f>
      </c>
      <c r="J294" s="3">
        <f>I294*16.67%</f>
      </c>
      <c r="K294" s="3">
        <f>(H294*6.9%)-(H294*6.9%)*10%</f>
      </c>
      <c r="L294" s="3">
        <f>H294*0.35%</f>
      </c>
      <c r="M294" s="3">
        <v>0.4</v>
      </c>
      <c r="N294" s="3">
        <f>(K294+L294+M294)*20%</f>
      </c>
      <c r="O294" s="3">
        <f>K294+L294+M294+N294</f>
      </c>
      <c r="P294" s="3">
        <v>0</v>
      </c>
      <c r="Q294" s="3">
        <v>0</v>
      </c>
      <c r="R294" s="3">
        <v>0</v>
      </c>
      <c r="S294" s="3">
        <f>R294*20%</f>
      </c>
      <c r="T294" s="3">
        <v>1</v>
      </c>
      <c r="U294" s="3">
        <f>N294+Q294+S294</f>
      </c>
      <c r="V294" s="3">
        <f>I294-J294-O294-P294-Q294-R294-S294-T294</f>
      </c>
      <c r="W294" s="3">
        <f>(V294-AE294)/H294*100</f>
      </c>
      <c r="X294" s="3">
        <f>J294-U294</f>
      </c>
      <c r="Y294" t="s">
        <v>1</v>
      </c>
      <c r="Z294" t="s">
        <v>291</v>
      </c>
      <c r="AF294" s="3">
        <f>V294-AE294</f>
      </c>
      <c r="AG294" t="s">
        <v>125</v>
      </c>
      <c r="AH294" t="s">
        <v>60</v>
      </c>
    </row>
    <row r="295" spans="1:34" x14ac:dyDescent="0.25">
      <c r="A295" s="7">
        <v>46185.5</v>
      </c>
      <c r="B295" t="s">
        <v>1994</v>
      </c>
      <c r="C295" t="s">
        <v>1</v>
      </c>
      <c r="D295" s="8" t="s">
        <v>1995</v>
      </c>
      <c r="E295" t="s">
        <v>57</v>
      </c>
      <c r="F295">
        <v>1</v>
      </c>
      <c r="G295" s="3">
        <v>89</v>
      </c>
      <c r="H295" s="3">
        <v>128.16</v>
      </c>
      <c r="I295" s="3">
        <f>H295-G295</f>
      </c>
      <c r="J295" s="3">
        <f>I295*16.67%</f>
      </c>
      <c r="K295" s="3">
        <f>(H295*6.9%)-(H295*6.9%)*10%</f>
      </c>
      <c r="L295" s="3">
        <f>H295*0.35%</f>
      </c>
      <c r="M295" s="3">
        <v>0.4</v>
      </c>
      <c r="N295" s="3">
        <f>(K295+L295+M295)*20%</f>
      </c>
      <c r="O295" s="3">
        <f>K295+L295+M295+N295</f>
      </c>
      <c r="P295" s="3">
        <v>0</v>
      </c>
      <c r="Q295" s="3">
        <v>0</v>
      </c>
      <c r="R295" s="3">
        <v>0</v>
      </c>
      <c r="S295" s="3">
        <f>R295*20%</f>
      </c>
      <c r="T295" s="3">
        <v>1</v>
      </c>
      <c r="U295" s="3">
        <f>N295+Q295+S295</f>
      </c>
      <c r="V295" s="3">
        <f>I295-J295-O295-P295-Q295-R295-S295-T295</f>
      </c>
      <c r="W295" s="3">
        <f>(V295-AE295)/H295*100</f>
      </c>
      <c r="X295" s="3">
        <f>J295-U295</f>
      </c>
      <c r="Y295" t="s">
        <v>1</v>
      </c>
      <c r="Z295" t="s">
        <v>93</v>
      </c>
      <c r="AF295" s="3">
        <f>V295-AE295</f>
      </c>
      <c r="AG295" t="s">
        <v>94</v>
      </c>
      <c r="AH295" t="s">
        <v>84</v>
      </c>
    </row>
    <row r="296" spans="1:34" x14ac:dyDescent="0.25">
      <c r="A296" s="7">
        <v>46185.5</v>
      </c>
      <c r="B296" t="s">
        <v>1996</v>
      </c>
      <c r="C296" t="s">
        <v>1</v>
      </c>
      <c r="D296" s="8" t="s">
        <v>1997</v>
      </c>
      <c r="E296" t="s">
        <v>63</v>
      </c>
      <c r="F296">
        <v>1</v>
      </c>
      <c r="G296" s="3">
        <v>190</v>
      </c>
      <c r="H296" s="3">
        <v>231.8</v>
      </c>
      <c r="I296" s="3">
        <f>H296-G296</f>
      </c>
      <c r="J296" s="3">
        <f>I296*16.67%</f>
      </c>
      <c r="K296" s="3">
        <f>(H296*6.9%)-(H296*6.9%)*10%</f>
      </c>
      <c r="L296" s="3">
        <f>H296*0.35%</f>
      </c>
      <c r="M296" s="3">
        <v>0.4</v>
      </c>
      <c r="N296" s="3">
        <f>(K296+L296+M296)*20%</f>
      </c>
      <c r="O296" s="3">
        <f>K296+L296+M296+N296</f>
      </c>
      <c r="P296" s="3">
        <v>0</v>
      </c>
      <c r="Q296" s="3">
        <v>0</v>
      </c>
      <c r="R296" s="3">
        <v>0</v>
      </c>
      <c r="S296" s="3">
        <f>R296*20%</f>
      </c>
      <c r="T296" s="3">
        <v>1</v>
      </c>
      <c r="U296" s="3">
        <f>N296+Q296+S296</f>
      </c>
      <c r="V296" s="3">
        <f>I296-J296-O296-P296-Q296-R296-S296-T296</f>
      </c>
      <c r="W296" s="3">
        <f>(V296-AE296)/H296*100</f>
      </c>
      <c r="X296" s="3">
        <f>J296-U296</f>
      </c>
      <c r="Y296" t="s">
        <v>1</v>
      </c>
      <c r="Z296" t="s">
        <v>113</v>
      </c>
      <c r="AF296" s="3">
        <f>V296-AE296</f>
      </c>
      <c r="AG296" t="s">
        <v>59</v>
      </c>
      <c r="AH296" t="s">
        <v>74</v>
      </c>
    </row>
    <row r="297" spans="1:34" x14ac:dyDescent="0.25">
      <c r="A297" s="7">
        <v>46185.5</v>
      </c>
      <c r="B297" t="s">
        <v>1998</v>
      </c>
      <c r="C297" t="s">
        <v>253</v>
      </c>
      <c r="D297" s="8" t="s">
        <v>1</v>
      </c>
      <c r="E297" t="s">
        <v>57</v>
      </c>
      <c r="F297">
        <v>4</v>
      </c>
      <c r="G297" s="3">
        <v>3.2</v>
      </c>
      <c r="H297" s="3">
        <v>3.94</v>
      </c>
      <c r="I297" s="3">
        <f>H297-G297</f>
      </c>
      <c r="J297" s="3">
        <f>I297*16.67%</f>
      </c>
      <c r="K297" s="3">
        <f>(H297*6.9%)-(H297*6.9%)*10%</f>
      </c>
      <c r="L297" s="3">
        <f>H297*0.35%</f>
      </c>
      <c r="M297" s="3">
        <v>0.4</v>
      </c>
      <c r="N297" s="3">
        <f>(K297+L297+M297)*20%</f>
      </c>
      <c r="O297" s="3">
        <f>K297+L297+M297+N297</f>
      </c>
      <c r="P297" s="3">
        <v>0</v>
      </c>
      <c r="Q297" s="3">
        <v>0</v>
      </c>
      <c r="R297" s="3">
        <v>0</v>
      </c>
      <c r="S297" s="3">
        <f>R297*20%</f>
      </c>
      <c r="T297" s="3">
        <v>1</v>
      </c>
      <c r="U297" s="3">
        <f>N297+Q297+S297</f>
      </c>
      <c r="V297" s="3">
        <f>I297-J297-O297-P297-Q297-R297-S297-T297</f>
      </c>
      <c r="W297" s="3">
        <f>(V297-AE297)/H297*100</f>
      </c>
      <c r="X297" s="3">
        <f>J297-U297</f>
      </c>
      <c r="Y297" t="s">
        <v>1</v>
      </c>
      <c r="Z297" t="s">
        <v>253</v>
      </c>
      <c r="AF297" s="3">
        <f>V297-AE297</f>
      </c>
      <c r="AG297" t="s">
        <v>1</v>
      </c>
      <c r="AH297" t="s">
        <v>1</v>
      </c>
    </row>
    <row r="298" spans="1:34" x14ac:dyDescent="0.25">
      <c r="A298" s="7">
        <v>46185.5</v>
      </c>
      <c r="B298" t="s">
        <v>1999</v>
      </c>
      <c r="C298" t="s">
        <v>184</v>
      </c>
      <c r="D298" s="8" t="s">
        <v>1</v>
      </c>
      <c r="E298" t="s">
        <v>101</v>
      </c>
      <c r="F298">
        <v>1</v>
      </c>
      <c r="G298" s="3">
        <v>1.2</v>
      </c>
      <c r="H298" s="3">
        <v>1.63</v>
      </c>
      <c r="I298" s="3">
        <f>H298-G298</f>
      </c>
      <c r="J298" s="3">
        <f>I298*16.67%</f>
      </c>
      <c r="K298" s="3">
        <f>(H298*6.9%)-(H298*6.9%)*10%</f>
      </c>
      <c r="L298" s="3">
        <f>H298*0.35%</f>
      </c>
      <c r="M298" s="3">
        <v>0.4</v>
      </c>
      <c r="N298" s="3">
        <f>(K298+L298+M298)*20%</f>
      </c>
      <c r="O298" s="3">
        <f>K298+L298+M298+N298</f>
      </c>
      <c r="P298" s="3">
        <v>0</v>
      </c>
      <c r="Q298" s="3">
        <v>0</v>
      </c>
      <c r="R298" s="3">
        <v>0</v>
      </c>
      <c r="S298" s="3">
        <f>R298*20%</f>
      </c>
      <c r="T298" s="3">
        <v>1</v>
      </c>
      <c r="U298" s="3">
        <f>N298+Q298+S298</f>
      </c>
      <c r="V298" s="3">
        <f>I298-J298-O298-P298-Q298-R298-S298-T298</f>
      </c>
      <c r="W298" s="3">
        <f>(V298-AE298)/H298*100</f>
      </c>
      <c r="X298" s="3">
        <f>J298-U298</f>
      </c>
      <c r="Y298" t="s">
        <v>1</v>
      </c>
      <c r="Z298" t="s">
        <v>184</v>
      </c>
      <c r="AF298" s="3">
        <f>V298-AE298</f>
      </c>
      <c r="AG298" t="s">
        <v>1</v>
      </c>
      <c r="AH298" t="s">
        <v>1</v>
      </c>
    </row>
    <row r="299" spans="1:34" x14ac:dyDescent="0.25">
      <c r="A299" s="7">
        <v>46184.5</v>
      </c>
      <c r="B299" t="s">
        <v>2000</v>
      </c>
      <c r="C299" t="s">
        <v>1</v>
      </c>
      <c r="D299" s="8" t="s">
        <v>2001</v>
      </c>
      <c r="E299" t="s">
        <v>63</v>
      </c>
      <c r="F299">
        <v>1</v>
      </c>
      <c r="G299" s="3">
        <v>339</v>
      </c>
      <c r="H299" s="3">
        <v>393.24</v>
      </c>
      <c r="I299" s="3">
        <f>H299-G299</f>
      </c>
      <c r="J299" s="3">
        <f>I299*16.67%</f>
      </c>
      <c r="K299" s="3">
        <f>(H299*6.9%)-(H299*6.9%)*10%</f>
      </c>
      <c r="L299" s="3">
        <f>H299*0.35%</f>
      </c>
      <c r="M299" s="3">
        <v>0.4</v>
      </c>
      <c r="N299" s="3">
        <f>(K299+L299+M299)*20%</f>
      </c>
      <c r="O299" s="3">
        <f>K299+L299+M299+N299</f>
      </c>
      <c r="P299" s="3">
        <v>0</v>
      </c>
      <c r="Q299" s="3">
        <v>0</v>
      </c>
      <c r="R299" s="3">
        <v>0</v>
      </c>
      <c r="S299" s="3">
        <f>R299*20%</f>
      </c>
      <c r="T299" s="3">
        <v>1</v>
      </c>
      <c r="U299" s="3">
        <f>N299+Q299+S299</f>
      </c>
      <c r="V299" s="3">
        <f>I299-J299-O299-P299-Q299-R299-S299-T299</f>
      </c>
      <c r="W299" s="3">
        <f>(V299-AE299)/H299*100</f>
      </c>
      <c r="X299" s="3">
        <f>J299-U299</f>
      </c>
      <c r="Y299" t="s">
        <v>1</v>
      </c>
      <c r="Z299" t="s">
        <v>73</v>
      </c>
      <c r="AF299" s="3">
        <f>V299-AE299</f>
      </c>
      <c r="AG299" t="s">
        <v>59</v>
      </c>
      <c r="AH299" t="s">
        <v>74</v>
      </c>
    </row>
    <row r="300" spans="1:34" x14ac:dyDescent="0.25">
      <c r="A300" s="7">
        <v>46184.5</v>
      </c>
      <c r="B300" t="s">
        <v>2002</v>
      </c>
      <c r="C300" t="s">
        <v>1</v>
      </c>
      <c r="D300" s="8" t="s">
        <v>2003</v>
      </c>
      <c r="E300" t="s">
        <v>77</v>
      </c>
      <c r="F300">
        <v>1</v>
      </c>
      <c r="G300" s="3">
        <v>242</v>
      </c>
      <c r="H300" s="3">
        <v>292.82</v>
      </c>
      <c r="I300" s="3">
        <f>H300-G300</f>
      </c>
      <c r="J300" s="3">
        <f>I300*16.67%</f>
      </c>
      <c r="K300" s="3">
        <f>(H300*6.9%)-(H300*6.9%)*10%</f>
      </c>
      <c r="L300" s="3">
        <f>H300*0.35%</f>
      </c>
      <c r="M300" s="3">
        <v>0.4</v>
      </c>
      <c r="N300" s="3">
        <f>(K300+L300+M300)*20%</f>
      </c>
      <c r="O300" s="3">
        <f>K300+L300+M300+N300</f>
      </c>
      <c r="P300" s="3">
        <v>0</v>
      </c>
      <c r="Q300" s="3">
        <v>0</v>
      </c>
      <c r="R300" s="3">
        <v>0</v>
      </c>
      <c r="S300" s="3">
        <f>R300*20%</f>
      </c>
      <c r="T300" s="3">
        <v>1</v>
      </c>
      <c r="U300" s="3">
        <f>N300+Q300+S300</f>
      </c>
      <c r="V300" s="3">
        <f>I300-J300-O300-P300-Q300-R300-S300-T300</f>
      </c>
      <c r="W300" s="3">
        <f>(V300-AE300)/H300*100</f>
      </c>
      <c r="X300" s="3">
        <f>J300-U300</f>
      </c>
      <c r="Y300" t="s">
        <v>1</v>
      </c>
      <c r="Z300" t="s">
        <v>64</v>
      </c>
      <c r="AF300" s="3">
        <f>V300-AE300</f>
      </c>
      <c r="AG300" t="s">
        <v>65</v>
      </c>
      <c r="AH300" t="s">
        <v>87</v>
      </c>
    </row>
    <row r="301" spans="1:34" x14ac:dyDescent="0.25">
      <c r="A301" s="7">
        <v>46184.5</v>
      </c>
      <c r="B301" t="s">
        <v>2004</v>
      </c>
      <c r="C301" t="s">
        <v>1</v>
      </c>
      <c r="D301" s="8" t="s">
        <v>2005</v>
      </c>
      <c r="E301" t="s">
        <v>72</v>
      </c>
      <c r="F301">
        <v>1</v>
      </c>
      <c r="G301" s="3">
        <v>479</v>
      </c>
      <c r="H301" s="3">
        <v>593.96</v>
      </c>
      <c r="I301" s="3">
        <f>H301-G301</f>
      </c>
      <c r="J301" s="3">
        <f>I301*16.67%</f>
      </c>
      <c r="K301" s="3">
        <f>(H301*6.9%)-(H301*6.9%)*10%</f>
      </c>
      <c r="L301" s="3">
        <f>H301*0.35%</f>
      </c>
      <c r="M301" s="3">
        <v>0.4</v>
      </c>
      <c r="N301" s="3">
        <f>(K301+L301+M301)*20%</f>
      </c>
      <c r="O301" s="3">
        <f>K301+L301+M301+N301</f>
      </c>
      <c r="P301" s="3">
        <v>0</v>
      </c>
      <c r="Q301" s="3">
        <v>0</v>
      </c>
      <c r="R301" s="3">
        <v>0</v>
      </c>
      <c r="S301" s="3">
        <f>R301*20%</f>
      </c>
      <c r="T301" s="3">
        <v>1</v>
      </c>
      <c r="U301" s="3">
        <f>N301+Q301+S301</f>
      </c>
      <c r="V301" s="3">
        <f>I301-J301-O301-P301-Q301-R301-S301-T301</f>
      </c>
      <c r="W301" s="3">
        <f>(V301-AE301)/H301*100</f>
      </c>
      <c r="X301" s="3">
        <f>J301-U301</f>
      </c>
      <c r="Y301" t="s">
        <v>1</v>
      </c>
      <c r="Z301" t="s">
        <v>58</v>
      </c>
      <c r="AF301" s="3">
        <f>V301-AE301</f>
      </c>
      <c r="AG301" t="s">
        <v>59</v>
      </c>
      <c r="AH301" t="s">
        <v>74</v>
      </c>
    </row>
    <row r="302" spans="1:34" x14ac:dyDescent="0.25">
      <c r="A302" s="7">
        <v>46184.5</v>
      </c>
      <c r="B302" t="s">
        <v>2006</v>
      </c>
      <c r="C302" t="s">
        <v>1</v>
      </c>
      <c r="D302" s="8" t="s">
        <v>2007</v>
      </c>
      <c r="E302" t="s">
        <v>72</v>
      </c>
      <c r="F302">
        <v>1</v>
      </c>
      <c r="G302" s="3">
        <v>162</v>
      </c>
      <c r="H302" s="3">
        <v>210.6</v>
      </c>
      <c r="I302" s="3">
        <f>H302-G302</f>
      </c>
      <c r="J302" s="3">
        <f>I302*16.67%</f>
      </c>
      <c r="K302" s="3">
        <f>(H302*6.9%)-(H302*6.9%)*10%</f>
      </c>
      <c r="L302" s="3">
        <f>H302*0.35%</f>
      </c>
      <c r="M302" s="3">
        <v>0.4</v>
      </c>
      <c r="N302" s="3">
        <f>(K302+L302+M302)*20%</f>
      </c>
      <c r="O302" s="3">
        <f>K302+L302+M302+N302</f>
      </c>
      <c r="P302" s="3">
        <v>0</v>
      </c>
      <c r="Q302" s="3">
        <v>0</v>
      </c>
      <c r="R302" s="3">
        <v>0</v>
      </c>
      <c r="S302" s="3">
        <f>R302*20%</f>
      </c>
      <c r="T302" s="3">
        <v>1</v>
      </c>
      <c r="U302" s="3">
        <f>N302+Q302+S302</f>
      </c>
      <c r="V302" s="3">
        <f>I302-J302-O302-P302-Q302-R302-S302-T302</f>
      </c>
      <c r="W302" s="3">
        <f>(V302-AE302)/H302*100</f>
      </c>
      <c r="X302" s="3">
        <f>J302-U302</f>
      </c>
      <c r="Y302" t="s">
        <v>1</v>
      </c>
      <c r="Z302" t="s">
        <v>171</v>
      </c>
      <c r="AF302" s="3">
        <f>V302-AE302</f>
      </c>
      <c r="AG302" t="s">
        <v>65</v>
      </c>
      <c r="AH302" t="s">
        <v>98</v>
      </c>
    </row>
    <row r="303" spans="1:34" x14ac:dyDescent="0.25">
      <c r="A303" s="7">
        <v>46184.5</v>
      </c>
      <c r="B303" t="s">
        <v>2008</v>
      </c>
      <c r="C303" t="s">
        <v>1</v>
      </c>
      <c r="D303" s="8" t="s">
        <v>2009</v>
      </c>
      <c r="E303" t="s">
        <v>63</v>
      </c>
      <c r="F303">
        <v>1</v>
      </c>
      <c r="G303" s="3">
        <v>377</v>
      </c>
      <c r="H303" s="3">
        <v>456.17</v>
      </c>
      <c r="I303" s="3">
        <f>H303-G303</f>
      </c>
      <c r="J303" s="3">
        <f>I303*16.67%</f>
      </c>
      <c r="K303" s="3">
        <f>(H303*6.9%)-(H303*6.9%)*10%</f>
      </c>
      <c r="L303" s="3">
        <f>H303*0.35%</f>
      </c>
      <c r="M303" s="3">
        <v>0.4</v>
      </c>
      <c r="N303" s="3">
        <f>(K303+L303+M303)*20%</f>
      </c>
      <c r="O303" s="3">
        <f>K303+L303+M303+N303</f>
      </c>
      <c r="P303" s="3">
        <v>0</v>
      </c>
      <c r="Q303" s="3">
        <v>0</v>
      </c>
      <c r="R303" s="3">
        <v>0</v>
      </c>
      <c r="S303" s="3">
        <f>R303*20%</f>
      </c>
      <c r="T303" s="3">
        <v>1</v>
      </c>
      <c r="U303" s="3">
        <f>N303+Q303+S303</f>
      </c>
      <c r="V303" s="3">
        <f>I303-J303-O303-P303-Q303-R303-S303-T303</f>
      </c>
      <c r="W303" s="3">
        <f>(V303-AE303)/H303*100</f>
      </c>
      <c r="X303" s="3">
        <f>J303-U303</f>
      </c>
      <c r="Y303" t="s">
        <v>1</v>
      </c>
      <c r="Z303" t="s">
        <v>138</v>
      </c>
      <c r="AF303" s="3">
        <f>V303-AE303</f>
      </c>
      <c r="AG303" t="s">
        <v>59</v>
      </c>
      <c r="AH303" t="s">
        <v>87</v>
      </c>
    </row>
    <row r="304" spans="1:34" x14ac:dyDescent="0.25">
      <c r="A304" s="7">
        <v>46184.5</v>
      </c>
      <c r="B304" t="s">
        <v>2010</v>
      </c>
      <c r="C304" t="s">
        <v>173</v>
      </c>
      <c r="D304" s="8" t="s">
        <v>1</v>
      </c>
      <c r="E304" t="s">
        <v>63</v>
      </c>
      <c r="F304">
        <v>3</v>
      </c>
      <c r="G304" s="3">
        <v>12.75</v>
      </c>
      <c r="H304" s="3">
        <v>16.19</v>
      </c>
      <c r="I304" s="3">
        <f>H304-G304</f>
      </c>
      <c r="J304" s="3">
        <f>I304*16.67%</f>
      </c>
      <c r="K304" s="3">
        <f>(H304*6.9%)-(H304*6.9%)*10%</f>
      </c>
      <c r="L304" s="3">
        <f>H304*0.35%</f>
      </c>
      <c r="M304" s="3">
        <v>0.4</v>
      </c>
      <c r="N304" s="3">
        <f>(K304+L304+M304)*20%</f>
      </c>
      <c r="O304" s="3">
        <f>K304+L304+M304+N304</f>
      </c>
      <c r="P304" s="3">
        <v>0</v>
      </c>
      <c r="Q304" s="3">
        <v>0</v>
      </c>
      <c r="R304" s="3">
        <v>0</v>
      </c>
      <c r="S304" s="3">
        <f>R304*20%</f>
      </c>
      <c r="T304" s="3">
        <v>1</v>
      </c>
      <c r="U304" s="3">
        <f>N304+Q304+S304</f>
      </c>
      <c r="V304" s="3">
        <f>I304-J304-O304-P304-Q304-R304-S304-T304</f>
      </c>
      <c r="W304" s="3">
        <f>(V304-AE304)/H304*100</f>
      </c>
      <c r="X304" s="3">
        <f>J304-U304</f>
      </c>
      <c r="Y304" t="s">
        <v>1</v>
      </c>
      <c r="Z304" t="s">
        <v>173</v>
      </c>
      <c r="AF304" s="3">
        <f>V304-AE304</f>
      </c>
      <c r="AG304" t="s">
        <v>1</v>
      </c>
      <c r="AH304" t="s">
        <v>1</v>
      </c>
    </row>
    <row r="305" spans="1:34" x14ac:dyDescent="0.25">
      <c r="A305" s="7">
        <v>46183.5</v>
      </c>
      <c r="B305" t="s">
        <v>2011</v>
      </c>
      <c r="C305" t="s">
        <v>1</v>
      </c>
      <c r="D305" s="8" t="s">
        <v>2012</v>
      </c>
      <c r="E305" t="s">
        <v>63</v>
      </c>
      <c r="F305">
        <v>1</v>
      </c>
      <c r="G305" s="3">
        <v>60</v>
      </c>
      <c r="H305" s="3">
        <v>82.8</v>
      </c>
      <c r="I305" s="3">
        <f>H305-G305</f>
      </c>
      <c r="J305" s="3">
        <f>I305*16.67%</f>
      </c>
      <c r="K305" s="3">
        <f>(H305*6.9%)-(H305*6.9%)*10%</f>
      </c>
      <c r="L305" s="3">
        <f>H305*0.35%</f>
      </c>
      <c r="M305" s="3">
        <v>0.4</v>
      </c>
      <c r="N305" s="3">
        <f>(K305+L305+M305)*20%</f>
      </c>
      <c r="O305" s="3">
        <f>K305+L305+M305+N305</f>
      </c>
      <c r="P305" s="3">
        <v>0</v>
      </c>
      <c r="Q305" s="3">
        <v>0</v>
      </c>
      <c r="R305" s="3">
        <v>0</v>
      </c>
      <c r="S305" s="3">
        <f>R305*20%</f>
      </c>
      <c r="T305" s="3">
        <v>1</v>
      </c>
      <c r="U305" s="3">
        <f>N305+Q305+S305</f>
      </c>
      <c r="V305" s="3">
        <f>I305-J305-O305-P305-Q305-R305-S305-T305</f>
      </c>
      <c r="W305" s="3">
        <f>(V305-AE305)/H305*100</f>
      </c>
      <c r="X305" s="3">
        <f>J305-U305</f>
      </c>
      <c r="Y305" t="s">
        <v>1</v>
      </c>
      <c r="Z305" t="s">
        <v>93</v>
      </c>
      <c r="AF305" s="3">
        <f>V305-AE305</f>
      </c>
      <c r="AG305" t="s">
        <v>94</v>
      </c>
      <c r="AH305" t="s">
        <v>84</v>
      </c>
    </row>
    <row r="306" spans="1:34" x14ac:dyDescent="0.25">
      <c r="A306" s="7">
        <v>46183.5</v>
      </c>
      <c r="B306" t="s">
        <v>2013</v>
      </c>
      <c r="C306" t="s">
        <v>1</v>
      </c>
      <c r="D306" s="8" t="s">
        <v>2014</v>
      </c>
      <c r="E306" t="s">
        <v>57</v>
      </c>
      <c r="F306">
        <v>1</v>
      </c>
      <c r="G306" s="3">
        <v>180</v>
      </c>
      <c r="H306" s="3">
        <v>212.4</v>
      </c>
      <c r="I306" s="3">
        <f>H306-G306</f>
      </c>
      <c r="J306" s="3">
        <f>I306*16.67%</f>
      </c>
      <c r="K306" s="3">
        <f>(H306*6.9%)-(H306*6.9%)*10%</f>
      </c>
      <c r="L306" s="3">
        <f>H306*0.35%</f>
      </c>
      <c r="M306" s="3">
        <v>0.4</v>
      </c>
      <c r="N306" s="3">
        <f>(K306+L306+M306)*20%</f>
      </c>
      <c r="O306" s="3">
        <f>K306+L306+M306+N306</f>
      </c>
      <c r="P306" s="3">
        <v>0</v>
      </c>
      <c r="Q306" s="3">
        <v>0</v>
      </c>
      <c r="R306" s="3">
        <v>0</v>
      </c>
      <c r="S306" s="3">
        <f>R306*20%</f>
      </c>
      <c r="T306" s="3">
        <v>1</v>
      </c>
      <c r="U306" s="3">
        <f>N306+Q306+S306</f>
      </c>
      <c r="V306" s="3">
        <f>I306-J306-O306-P306-Q306-R306-S306-T306</f>
      </c>
      <c r="W306" s="3">
        <f>(V306-AE306)/H306*100</f>
      </c>
      <c r="X306" s="3">
        <f>J306-U306</f>
      </c>
      <c r="Y306" t="s">
        <v>1</v>
      </c>
      <c r="Z306" t="s">
        <v>171</v>
      </c>
      <c r="AF306" s="3">
        <f>V306-AE306</f>
      </c>
      <c r="AG306" t="s">
        <v>65</v>
      </c>
      <c r="AH306" t="s">
        <v>69</v>
      </c>
    </row>
    <row r="307" spans="1:34" x14ac:dyDescent="0.25">
      <c r="A307" s="7">
        <v>46182.5</v>
      </c>
      <c r="B307" t="s">
        <v>2015</v>
      </c>
      <c r="C307" t="s">
        <v>1</v>
      </c>
      <c r="D307" s="8" t="s">
        <v>2016</v>
      </c>
      <c r="E307" t="s">
        <v>72</v>
      </c>
      <c r="F307">
        <v>1</v>
      </c>
      <c r="G307" s="3">
        <v>173</v>
      </c>
      <c r="H307" s="3">
        <v>233.55</v>
      </c>
      <c r="I307" s="3">
        <f>H307-G307</f>
      </c>
      <c r="J307" s="3">
        <f>I307*16.67%</f>
      </c>
      <c r="K307" s="3">
        <f>(H307*6.9%)-(H307*6.9%)*10%</f>
      </c>
      <c r="L307" s="3">
        <f>H307*0.35%</f>
      </c>
      <c r="M307" s="3">
        <v>0.4</v>
      </c>
      <c r="N307" s="3">
        <f>(K307+L307+M307)*20%</f>
      </c>
      <c r="O307" s="3">
        <f>K307+L307+M307+N307</f>
      </c>
      <c r="P307" s="3">
        <v>0</v>
      </c>
      <c r="Q307" s="3">
        <v>0</v>
      </c>
      <c r="R307" s="3">
        <v>0</v>
      </c>
      <c r="S307" s="3">
        <f>R307*20%</f>
      </c>
      <c r="T307" s="3">
        <v>1</v>
      </c>
      <c r="U307" s="3">
        <f>N307+Q307+S307</f>
      </c>
      <c r="V307" s="3">
        <f>I307-J307-O307-P307-Q307-R307-S307-T307</f>
      </c>
      <c r="W307" s="3">
        <f>(V307-AE307)/H307*100</f>
      </c>
      <c r="X307" s="3">
        <f>J307-U307</f>
      </c>
      <c r="Y307" t="s">
        <v>1</v>
      </c>
      <c r="Z307" t="s">
        <v>233</v>
      </c>
      <c r="AF307" s="3">
        <f>V307-AE307</f>
      </c>
      <c r="AG307" t="s">
        <v>65</v>
      </c>
      <c r="AH307" t="s">
        <v>69</v>
      </c>
    </row>
    <row r="308" spans="1:34" x14ac:dyDescent="0.25">
      <c r="A308" s="7">
        <v>46181.5</v>
      </c>
      <c r="B308" t="s">
        <v>2017</v>
      </c>
      <c r="C308" t="s">
        <v>1</v>
      </c>
      <c r="D308" s="8" t="s">
        <v>2018</v>
      </c>
      <c r="E308" t="s">
        <v>77</v>
      </c>
      <c r="F308">
        <v>1</v>
      </c>
      <c r="G308" s="3">
        <v>424</v>
      </c>
      <c r="H308" s="3">
        <v>555.44</v>
      </c>
      <c r="I308" s="3">
        <f>H308-G308</f>
      </c>
      <c r="J308" s="3">
        <f>I308*16.67%</f>
      </c>
      <c r="K308" s="3">
        <f>(H308*6.9%)-(H308*6.9%)*10%</f>
      </c>
      <c r="L308" s="3">
        <f>H308*0.35%</f>
      </c>
      <c r="M308" s="3">
        <v>0.4</v>
      </c>
      <c r="N308" s="3">
        <f>(K308+L308+M308)*20%</f>
      </c>
      <c r="O308" s="3">
        <f>K308+L308+M308+N308</f>
      </c>
      <c r="P308" s="3">
        <v>0</v>
      </c>
      <c r="Q308" s="3">
        <v>0</v>
      </c>
      <c r="R308" s="3">
        <v>0</v>
      </c>
      <c r="S308" s="3">
        <f>R308*20%</f>
      </c>
      <c r="T308" s="3">
        <v>1</v>
      </c>
      <c r="U308" s="3">
        <f>N308+Q308+S308</f>
      </c>
      <c r="V308" s="3">
        <f>I308-J308-O308-P308-Q308-R308-S308-T308</f>
      </c>
      <c r="W308" s="3">
        <f>(V308-AE308)/H308*100</f>
      </c>
      <c r="X308" s="3">
        <f>J308-U308</f>
      </c>
      <c r="Y308" t="s">
        <v>1</v>
      </c>
      <c r="Z308" t="s">
        <v>58</v>
      </c>
      <c r="AF308" s="3">
        <f>V308-AE308</f>
      </c>
      <c r="AG308" t="s">
        <v>59</v>
      </c>
      <c r="AH308" t="s">
        <v>74</v>
      </c>
    </row>
    <row r="309" spans="1:34" x14ac:dyDescent="0.25">
      <c r="A309" s="7">
        <v>46181.5</v>
      </c>
      <c r="B309" t="s">
        <v>2019</v>
      </c>
      <c r="C309" t="s">
        <v>1</v>
      </c>
      <c r="D309" s="8" t="s">
        <v>2020</v>
      </c>
      <c r="E309" t="s">
        <v>77</v>
      </c>
      <c r="F309">
        <v>1</v>
      </c>
      <c r="G309" s="3">
        <v>434</v>
      </c>
      <c r="H309" s="3">
        <v>529.48</v>
      </c>
      <c r="I309" s="3">
        <f>H309-G309</f>
      </c>
      <c r="J309" s="3">
        <f>I309*16.67%</f>
      </c>
      <c r="K309" s="3">
        <f>(H309*6.9%)-(H309*6.9%)*10%</f>
      </c>
      <c r="L309" s="3">
        <f>H309*0.35%</f>
      </c>
      <c r="M309" s="3">
        <v>0.4</v>
      </c>
      <c r="N309" s="3">
        <f>(K309+L309+M309)*20%</f>
      </c>
      <c r="O309" s="3">
        <f>K309+L309+M309+N309</f>
      </c>
      <c r="P309" s="3">
        <v>0</v>
      </c>
      <c r="Q309" s="3">
        <v>0</v>
      </c>
      <c r="R309" s="3">
        <v>0</v>
      </c>
      <c r="S309" s="3">
        <f>R309*20%</f>
      </c>
      <c r="T309" s="3">
        <v>1</v>
      </c>
      <c r="U309" s="3">
        <f>N309+Q309+S309</f>
      </c>
      <c r="V309" s="3">
        <f>I309-J309-O309-P309-Q309-R309-S309-T309</f>
      </c>
      <c r="W309" s="3">
        <f>(V309-AE309)/H309*100</f>
      </c>
      <c r="X309" s="3">
        <f>J309-U309</f>
      </c>
      <c r="Y309" t="s">
        <v>1</v>
      </c>
      <c r="Z309" t="s">
        <v>58</v>
      </c>
      <c r="AF309" s="3">
        <f>V309-AE309</f>
      </c>
      <c r="AG309" t="s">
        <v>59</v>
      </c>
      <c r="AH309" t="s">
        <v>87</v>
      </c>
    </row>
    <row r="310" spans="1:34" x14ac:dyDescent="0.25">
      <c r="A310" s="7">
        <v>46181.5</v>
      </c>
      <c r="B310" t="s">
        <v>2021</v>
      </c>
      <c r="C310" t="s">
        <v>176</v>
      </c>
      <c r="D310" s="8" t="s">
        <v>1</v>
      </c>
      <c r="E310" t="s">
        <v>77</v>
      </c>
      <c r="F310">
        <v>3</v>
      </c>
      <c r="G310" s="3">
        <v>0.45</v>
      </c>
      <c r="H310" s="3">
        <v>0.52</v>
      </c>
      <c r="I310" s="3">
        <f>H310-G310</f>
      </c>
      <c r="J310" s="3">
        <f>I310*16.67%</f>
      </c>
      <c r="K310" s="3">
        <f>(H310*6.9%)-(H310*6.9%)*10%</f>
      </c>
      <c r="L310" s="3">
        <f>H310*0.35%</f>
      </c>
      <c r="M310" s="3">
        <v>0.4</v>
      </c>
      <c r="N310" s="3">
        <f>(K310+L310+M310)*20%</f>
      </c>
      <c r="O310" s="3">
        <f>K310+L310+M310+N310</f>
      </c>
      <c r="P310" s="3">
        <v>0</v>
      </c>
      <c r="Q310" s="3">
        <v>0</v>
      </c>
      <c r="R310" s="3">
        <v>0</v>
      </c>
      <c r="S310" s="3">
        <f>R310*20%</f>
      </c>
      <c r="T310" s="3">
        <v>1</v>
      </c>
      <c r="U310" s="3">
        <f>N310+Q310+S310</f>
      </c>
      <c r="V310" s="3">
        <f>I310-J310-O310-P310-Q310-R310-S310-T310</f>
      </c>
      <c r="W310" s="3">
        <f>(V310-AE310)/H310*100</f>
      </c>
      <c r="X310" s="3">
        <f>J310-U310</f>
      </c>
      <c r="Y310" t="s">
        <v>1</v>
      </c>
      <c r="Z310" t="s">
        <v>176</v>
      </c>
      <c r="AF310" s="3">
        <f>V310-AE310</f>
      </c>
      <c r="AG310" t="s">
        <v>1</v>
      </c>
      <c r="AH310" t="s">
        <v>1</v>
      </c>
    </row>
    <row r="311" spans="1:34" x14ac:dyDescent="0.25">
      <c r="A311" s="7">
        <v>46180.5</v>
      </c>
      <c r="B311" t="s">
        <v>2022</v>
      </c>
      <c r="C311" t="s">
        <v>1</v>
      </c>
      <c r="D311" s="8" t="s">
        <v>2023</v>
      </c>
      <c r="E311" t="s">
        <v>63</v>
      </c>
      <c r="F311">
        <v>1</v>
      </c>
      <c r="G311" s="3">
        <v>135</v>
      </c>
      <c r="H311" s="3">
        <v>176.85</v>
      </c>
      <c r="I311" s="3">
        <f>H311-G311</f>
      </c>
      <c r="J311" s="3">
        <f>I311*16.67%</f>
      </c>
      <c r="K311" s="3">
        <f>(H311*6.9%)-(H311*6.9%)*10%</f>
      </c>
      <c r="L311" s="3">
        <f>H311*0.35%</f>
      </c>
      <c r="M311" s="3">
        <v>0.4</v>
      </c>
      <c r="N311" s="3">
        <f>(K311+L311+M311)*20%</f>
      </c>
      <c r="O311" s="3">
        <f>K311+L311+M311+N311</f>
      </c>
      <c r="P311" s="3">
        <v>0</v>
      </c>
      <c r="Q311" s="3">
        <v>0</v>
      </c>
      <c r="R311" s="3">
        <v>0</v>
      </c>
      <c r="S311" s="3">
        <f>R311*20%</f>
      </c>
      <c r="T311" s="3">
        <v>1</v>
      </c>
      <c r="U311" s="3">
        <f>N311+Q311+S311</f>
      </c>
      <c r="V311" s="3">
        <f>I311-J311-O311-P311-Q311-R311-S311-T311</f>
      </c>
      <c r="W311" s="3">
        <f>(V311-AE311)/H311*100</f>
      </c>
      <c r="X311" s="3">
        <f>J311-U311</f>
      </c>
      <c r="Y311" t="s">
        <v>1</v>
      </c>
      <c r="Z311" t="s">
        <v>133</v>
      </c>
      <c r="AF311" s="3">
        <f>V311-AE311</f>
      </c>
      <c r="AG311" t="s">
        <v>94</v>
      </c>
      <c r="AH311" t="s">
        <v>104</v>
      </c>
    </row>
    <row r="312" spans="1:34" x14ac:dyDescent="0.25">
      <c r="A312" s="7">
        <v>46180.5</v>
      </c>
      <c r="B312" t="s">
        <v>2024</v>
      </c>
      <c r="C312" t="s">
        <v>1</v>
      </c>
      <c r="D312" s="8" t="s">
        <v>2025</v>
      </c>
      <c r="E312" t="s">
        <v>77</v>
      </c>
      <c r="F312">
        <v>1</v>
      </c>
      <c r="G312" s="3">
        <v>559</v>
      </c>
      <c r="H312" s="3">
        <v>765.83</v>
      </c>
      <c r="I312" s="3">
        <f>H312-G312</f>
      </c>
      <c r="J312" s="3">
        <f>I312*16.67%</f>
      </c>
      <c r="K312" s="3">
        <f>(H312*6.9%)-(H312*6.9%)*10%</f>
      </c>
      <c r="L312" s="3">
        <f>H312*0.35%</f>
      </c>
      <c r="M312" s="3">
        <v>0.4</v>
      </c>
      <c r="N312" s="3">
        <f>(K312+L312+M312)*20%</f>
      </c>
      <c r="O312" s="3">
        <f>K312+L312+M312+N312</f>
      </c>
      <c r="P312" s="3">
        <v>0</v>
      </c>
      <c r="Q312" s="3">
        <v>0</v>
      </c>
      <c r="R312" s="3">
        <v>0</v>
      </c>
      <c r="S312" s="3">
        <f>R312*20%</f>
      </c>
      <c r="T312" s="3">
        <v>1</v>
      </c>
      <c r="U312" s="3">
        <f>N312+Q312+S312</f>
      </c>
      <c r="V312" s="3">
        <f>I312-J312-O312-P312-Q312-R312-S312-T312</f>
      </c>
      <c r="W312" s="3">
        <f>(V312-AE312)/H312*100</f>
      </c>
      <c r="X312" s="3">
        <f>J312-U312</f>
      </c>
      <c r="Y312" t="s">
        <v>1</v>
      </c>
      <c r="Z312" t="s">
        <v>80</v>
      </c>
      <c r="AF312" s="3">
        <f>V312-AE312</f>
      </c>
      <c r="AG312" t="s">
        <v>59</v>
      </c>
      <c r="AH312" t="s">
        <v>69</v>
      </c>
    </row>
    <row r="313" spans="1:34" x14ac:dyDescent="0.25">
      <c r="A313" s="7">
        <v>46180.5</v>
      </c>
      <c r="B313" t="s">
        <v>2026</v>
      </c>
      <c r="C313" t="s">
        <v>1</v>
      </c>
      <c r="D313" s="8" t="s">
        <v>2027</v>
      </c>
      <c r="E313" t="s">
        <v>101</v>
      </c>
      <c r="F313">
        <v>1</v>
      </c>
      <c r="G313" s="3">
        <v>187</v>
      </c>
      <c r="H313" s="3">
        <v>263.67</v>
      </c>
      <c r="I313" s="3">
        <f>H313-G313</f>
      </c>
      <c r="J313" s="3">
        <f>I313*16.67%</f>
      </c>
      <c r="K313" s="3">
        <f>(H313*6.9%)-(H313*6.9%)*10%</f>
      </c>
      <c r="L313" s="3">
        <f>H313*0.35%</f>
      </c>
      <c r="M313" s="3">
        <v>0.4</v>
      </c>
      <c r="N313" s="3">
        <f>(K313+L313+M313)*20%</f>
      </c>
      <c r="O313" s="3">
        <f>K313+L313+M313+N313</f>
      </c>
      <c r="P313" s="3">
        <v>0</v>
      </c>
      <c r="Q313" s="3">
        <v>0</v>
      </c>
      <c r="R313" s="3">
        <v>0</v>
      </c>
      <c r="S313" s="3">
        <f>R313*20%</f>
      </c>
      <c r="T313" s="3">
        <v>1</v>
      </c>
      <c r="U313" s="3">
        <f>N313+Q313+S313</f>
      </c>
      <c r="V313" s="3">
        <f>I313-J313-O313-P313-Q313-R313-S313-T313</f>
      </c>
      <c r="W313" s="3">
        <f>(V313-AE313)/H313*100</f>
      </c>
      <c r="X313" s="3">
        <f>J313-U313</f>
      </c>
      <c r="Y313" t="s">
        <v>1</v>
      </c>
      <c r="Z313" t="s">
        <v>291</v>
      </c>
      <c r="AF313" s="3">
        <f>V313-AE313</f>
      </c>
      <c r="AG313" t="s">
        <v>125</v>
      </c>
      <c r="AH313" t="s">
        <v>69</v>
      </c>
    </row>
    <row r="314" spans="1:34" x14ac:dyDescent="0.25">
      <c r="A314" s="7">
        <v>46180.5</v>
      </c>
      <c r="B314" t="s">
        <v>2028</v>
      </c>
      <c r="C314" t="s">
        <v>1</v>
      </c>
      <c r="D314" s="8" t="s">
        <v>2029</v>
      </c>
      <c r="E314" t="s">
        <v>63</v>
      </c>
      <c r="F314">
        <v>1</v>
      </c>
      <c r="G314" s="3">
        <v>187</v>
      </c>
      <c r="H314" s="3">
        <v>261.8</v>
      </c>
      <c r="I314" s="3">
        <f>H314-G314</f>
      </c>
      <c r="J314" s="3">
        <f>I314*16.67%</f>
      </c>
      <c r="K314" s="3">
        <f>(H314*6.9%)-(H314*6.9%)*10%</f>
      </c>
      <c r="L314" s="3">
        <f>H314*0.35%</f>
      </c>
      <c r="M314" s="3">
        <v>0.4</v>
      </c>
      <c r="N314" s="3">
        <f>(K314+L314+M314)*20%</f>
      </c>
      <c r="O314" s="3">
        <f>K314+L314+M314+N314</f>
      </c>
      <c r="P314" s="3">
        <v>0</v>
      </c>
      <c r="Q314" s="3">
        <v>0</v>
      </c>
      <c r="R314" s="3">
        <v>0</v>
      </c>
      <c r="S314" s="3">
        <f>R314*20%</f>
      </c>
      <c r="T314" s="3">
        <v>1</v>
      </c>
      <c r="U314" s="3">
        <f>N314+Q314+S314</f>
      </c>
      <c r="V314" s="3">
        <f>I314-J314-O314-P314-Q314-R314-S314-T314</f>
      </c>
      <c r="W314" s="3">
        <f>(V314-AE314)/H314*100</f>
      </c>
      <c r="X314" s="3">
        <f>J314-U314</f>
      </c>
      <c r="Y314" t="s">
        <v>1</v>
      </c>
      <c r="Z314" t="s">
        <v>291</v>
      </c>
      <c r="AF314" s="3">
        <f>V314-AE314</f>
      </c>
      <c r="AG314" t="s">
        <v>125</v>
      </c>
      <c r="AH314" t="s">
        <v>104</v>
      </c>
    </row>
    <row r="315" spans="1:34" x14ac:dyDescent="0.25">
      <c r="A315" s="7">
        <v>46180.5</v>
      </c>
      <c r="B315" t="s">
        <v>2030</v>
      </c>
      <c r="C315" t="s">
        <v>1</v>
      </c>
      <c r="D315" s="8" t="s">
        <v>2031</v>
      </c>
      <c r="E315" t="s">
        <v>63</v>
      </c>
      <c r="F315">
        <v>1</v>
      </c>
      <c r="G315" s="3">
        <v>96</v>
      </c>
      <c r="H315" s="3">
        <v>122.88</v>
      </c>
      <c r="I315" s="3">
        <f>H315-G315</f>
      </c>
      <c r="J315" s="3">
        <f>I315*16.67%</f>
      </c>
      <c r="K315" s="3">
        <f>(H315*6.9%)-(H315*6.9%)*10%</f>
      </c>
      <c r="L315" s="3">
        <f>H315*0.35%</f>
      </c>
      <c r="M315" s="3">
        <v>0.4</v>
      </c>
      <c r="N315" s="3">
        <f>(K315+L315+M315)*20%</f>
      </c>
      <c r="O315" s="3">
        <f>K315+L315+M315+N315</f>
      </c>
      <c r="P315" s="3">
        <v>0</v>
      </c>
      <c r="Q315" s="3">
        <v>0</v>
      </c>
      <c r="R315" s="3">
        <v>0</v>
      </c>
      <c r="S315" s="3">
        <f>R315*20%</f>
      </c>
      <c r="T315" s="3">
        <v>1</v>
      </c>
      <c r="U315" s="3">
        <f>N315+Q315+S315</f>
      </c>
      <c r="V315" s="3">
        <f>I315-J315-O315-P315-Q315-R315-S315-T315</f>
      </c>
      <c r="W315" s="3">
        <f>(V315-AE315)/H315*100</f>
      </c>
      <c r="X315" s="3">
        <f>J315-U315</f>
      </c>
      <c r="Y315" t="s">
        <v>1</v>
      </c>
      <c r="Z315" t="s">
        <v>90</v>
      </c>
      <c r="AF315" s="3">
        <f>V315-AE315</f>
      </c>
      <c r="AG315" t="s">
        <v>65</v>
      </c>
      <c r="AH315" t="s">
        <v>104</v>
      </c>
    </row>
    <row r="316" spans="1:34" x14ac:dyDescent="0.25">
      <c r="A316" s="7">
        <v>46180.5</v>
      </c>
      <c r="B316" t="s">
        <v>2032</v>
      </c>
      <c r="C316" t="s">
        <v>173</v>
      </c>
      <c r="D316" s="8" t="s">
        <v>1</v>
      </c>
      <c r="E316" t="s">
        <v>63</v>
      </c>
      <c r="F316">
        <v>1</v>
      </c>
      <c r="G316" s="3">
        <v>4.25</v>
      </c>
      <c r="H316" s="3">
        <v>5.14</v>
      </c>
      <c r="I316" s="3">
        <f>H316-G316</f>
      </c>
      <c r="J316" s="3">
        <f>I316*16.67%</f>
      </c>
      <c r="K316" s="3">
        <f>(H316*6.9%)-(H316*6.9%)*10%</f>
      </c>
      <c r="L316" s="3">
        <f>H316*0.35%</f>
      </c>
      <c r="M316" s="3">
        <v>0.4</v>
      </c>
      <c r="N316" s="3">
        <f>(K316+L316+M316)*20%</f>
      </c>
      <c r="O316" s="3">
        <f>K316+L316+M316+N316</f>
      </c>
      <c r="P316" s="3">
        <v>0</v>
      </c>
      <c r="Q316" s="3">
        <v>0</v>
      </c>
      <c r="R316" s="3">
        <v>0</v>
      </c>
      <c r="S316" s="3">
        <f>R316*20%</f>
      </c>
      <c r="T316" s="3">
        <v>1</v>
      </c>
      <c r="U316" s="3">
        <f>N316+Q316+S316</f>
      </c>
      <c r="V316" s="3">
        <f>I316-J316-O316-P316-Q316-R316-S316-T316</f>
      </c>
      <c r="W316" s="3">
        <f>(V316-AE316)/H316*100</f>
      </c>
      <c r="X316" s="3">
        <f>J316-U316</f>
      </c>
      <c r="Y316" t="s">
        <v>1</v>
      </c>
      <c r="Z316" t="s">
        <v>173</v>
      </c>
      <c r="AF316" s="3">
        <f>V316-AE316</f>
      </c>
      <c r="AG316" t="s">
        <v>1</v>
      </c>
      <c r="AH316" t="s">
        <v>1</v>
      </c>
    </row>
    <row r="317" spans="1:34" x14ac:dyDescent="0.25">
      <c r="A317" s="7">
        <v>46180.5</v>
      </c>
      <c r="B317" t="s">
        <v>2033</v>
      </c>
      <c r="C317" t="s">
        <v>184</v>
      </c>
      <c r="D317" s="8" t="s">
        <v>1</v>
      </c>
      <c r="E317" t="s">
        <v>101</v>
      </c>
      <c r="F317">
        <v>1</v>
      </c>
      <c r="G317" s="3">
        <v>1.2</v>
      </c>
      <c r="H317" s="3">
        <v>1.39</v>
      </c>
      <c r="I317" s="3">
        <f>H317-G317</f>
      </c>
      <c r="J317" s="3">
        <f>I317*16.67%</f>
      </c>
      <c r="K317" s="3">
        <f>(H317*6.9%)-(H317*6.9%)*10%</f>
      </c>
      <c r="L317" s="3">
        <f>H317*0.35%</f>
      </c>
      <c r="M317" s="3">
        <v>0.4</v>
      </c>
      <c r="N317" s="3">
        <f>(K317+L317+M317)*20%</f>
      </c>
      <c r="O317" s="3">
        <f>K317+L317+M317+N317</f>
      </c>
      <c r="P317" s="3">
        <v>0</v>
      </c>
      <c r="Q317" s="3">
        <v>0</v>
      </c>
      <c r="R317" s="3">
        <v>0</v>
      </c>
      <c r="S317" s="3">
        <f>R317*20%</f>
      </c>
      <c r="T317" s="3">
        <v>1</v>
      </c>
      <c r="U317" s="3">
        <f>N317+Q317+S317</f>
      </c>
      <c r="V317" s="3">
        <f>I317-J317-O317-P317-Q317-R317-S317-T317</f>
      </c>
      <c r="W317" s="3">
        <f>(V317-AE317)/H317*100</f>
      </c>
      <c r="X317" s="3">
        <f>J317-U317</f>
      </c>
      <c r="Y317" t="s">
        <v>1</v>
      </c>
      <c r="Z317" t="s">
        <v>184</v>
      </c>
      <c r="AF317" s="3">
        <f>V317-AE317</f>
      </c>
      <c r="AG317" t="s">
        <v>1</v>
      </c>
      <c r="AH317" t="s">
        <v>1</v>
      </c>
    </row>
    <row r="318" spans="1:34" x14ac:dyDescent="0.25">
      <c r="A318" s="7">
        <v>46179.5</v>
      </c>
      <c r="B318" t="s">
        <v>2034</v>
      </c>
      <c r="C318" t="s">
        <v>1</v>
      </c>
      <c r="D318" s="8" t="s">
        <v>2035</v>
      </c>
      <c r="E318" t="s">
        <v>101</v>
      </c>
      <c r="F318">
        <v>1</v>
      </c>
      <c r="G318" s="3">
        <v>372</v>
      </c>
      <c r="H318" s="3">
        <v>531.96</v>
      </c>
      <c r="I318" s="3">
        <f>H318-G318</f>
      </c>
      <c r="J318" s="3">
        <f>I318*16.67%</f>
      </c>
      <c r="K318" s="3">
        <f>(H318*6.9%)-(H318*6.9%)*10%</f>
      </c>
      <c r="L318" s="3">
        <f>H318*0.35%</f>
      </c>
      <c r="M318" s="3">
        <v>0.4</v>
      </c>
      <c r="N318" s="3">
        <f>(K318+L318+M318)*20%</f>
      </c>
      <c r="O318" s="3">
        <f>K318+L318+M318+N318</f>
      </c>
      <c r="P318" s="3">
        <v>0</v>
      </c>
      <c r="Q318" s="3">
        <v>0</v>
      </c>
      <c r="R318" s="3">
        <v>0</v>
      </c>
      <c r="S318" s="3">
        <f>R318*20%</f>
      </c>
      <c r="T318" s="3">
        <v>1</v>
      </c>
      <c r="U318" s="3">
        <f>N318+Q318+S318</f>
      </c>
      <c r="V318" s="3">
        <f>I318-J318-O318-P318-Q318-R318-S318-T318</f>
      </c>
      <c r="W318" s="3">
        <f>(V318-AE318)/H318*100</f>
      </c>
      <c r="X318" s="3">
        <f>J318-U318</f>
      </c>
      <c r="Y318" t="s">
        <v>1</v>
      </c>
      <c r="Z318" t="s">
        <v>73</v>
      </c>
      <c r="AF318" s="3">
        <f>V318-AE318</f>
      </c>
      <c r="AG318" t="s">
        <v>59</v>
      </c>
      <c r="AH318" t="s">
        <v>104</v>
      </c>
    </row>
    <row r="319" spans="1:34" x14ac:dyDescent="0.25">
      <c r="A319" s="7">
        <v>46179.5</v>
      </c>
      <c r="B319" t="s">
        <v>2036</v>
      </c>
      <c r="C319" t="s">
        <v>1</v>
      </c>
      <c r="D319" s="8" t="s">
        <v>2037</v>
      </c>
      <c r="E319" t="s">
        <v>101</v>
      </c>
      <c r="F319">
        <v>1</v>
      </c>
      <c r="G319" s="3">
        <v>289</v>
      </c>
      <c r="H319" s="3">
        <v>398.82</v>
      </c>
      <c r="I319" s="3">
        <f>H319-G319</f>
      </c>
      <c r="J319" s="3">
        <f>I319*16.67%</f>
      </c>
      <c r="K319" s="3">
        <f>(H319*6.9%)-(H319*6.9%)*10%</f>
      </c>
      <c r="L319" s="3">
        <f>H319*0.35%</f>
      </c>
      <c r="M319" s="3">
        <v>0.4</v>
      </c>
      <c r="N319" s="3">
        <f>(K319+L319+M319)*20%</f>
      </c>
      <c r="O319" s="3">
        <f>K319+L319+M319+N319</f>
      </c>
      <c r="P319" s="3">
        <v>0</v>
      </c>
      <c r="Q319" s="3">
        <v>0</v>
      </c>
      <c r="R319" s="3">
        <v>0</v>
      </c>
      <c r="S319" s="3">
        <f>R319*20%</f>
      </c>
      <c r="T319" s="3">
        <v>1</v>
      </c>
      <c r="U319" s="3">
        <f>N319+Q319+S319</f>
      </c>
      <c r="V319" s="3">
        <f>I319-J319-O319-P319-Q319-R319-S319-T319</f>
      </c>
      <c r="W319" s="3">
        <f>(V319-AE319)/H319*100</f>
      </c>
      <c r="X319" s="3">
        <f>J319-U319</f>
      </c>
      <c r="Y319" t="s">
        <v>1</v>
      </c>
      <c r="Z319" t="s">
        <v>97</v>
      </c>
      <c r="AF319" s="3">
        <f>V319-AE319</f>
      </c>
      <c r="AG319" t="s">
        <v>59</v>
      </c>
      <c r="AH319" t="s">
        <v>84</v>
      </c>
    </row>
    <row r="320" spans="1:34" x14ac:dyDescent="0.25">
      <c r="A320" s="7">
        <v>46179.5</v>
      </c>
      <c r="B320" t="s">
        <v>2038</v>
      </c>
      <c r="C320" t="s">
        <v>1</v>
      </c>
      <c r="D320" s="8" t="s">
        <v>2039</v>
      </c>
      <c r="E320" t="s">
        <v>57</v>
      </c>
      <c r="F320">
        <v>1</v>
      </c>
      <c r="G320" s="3">
        <v>326</v>
      </c>
      <c r="H320" s="3">
        <v>466.18</v>
      </c>
      <c r="I320" s="3">
        <f>H320-G320</f>
      </c>
      <c r="J320" s="3">
        <f>I320*16.67%</f>
      </c>
      <c r="K320" s="3">
        <f>(H320*6.9%)-(H320*6.9%)*10%</f>
      </c>
      <c r="L320" s="3">
        <f>H320*0.35%</f>
      </c>
      <c r="M320" s="3">
        <v>0.4</v>
      </c>
      <c r="N320" s="3">
        <f>(K320+L320+M320)*20%</f>
      </c>
      <c r="O320" s="3">
        <f>K320+L320+M320+N320</f>
      </c>
      <c r="P320" s="3">
        <v>0</v>
      </c>
      <c r="Q320" s="3">
        <v>0</v>
      </c>
      <c r="R320" s="3">
        <v>0</v>
      </c>
      <c r="S320" s="3">
        <f>R320*20%</f>
      </c>
      <c r="T320" s="3">
        <v>1</v>
      </c>
      <c r="U320" s="3">
        <f>N320+Q320+S320</f>
      </c>
      <c r="V320" s="3">
        <f>I320-J320-O320-P320-Q320-R320-S320-T320</f>
      </c>
      <c r="W320" s="3">
        <f>(V320-AE320)/H320*100</f>
      </c>
      <c r="X320" s="3">
        <f>J320-U320</f>
      </c>
      <c r="Y320" t="s">
        <v>1</v>
      </c>
      <c r="Z320" t="s">
        <v>97</v>
      </c>
      <c r="AF320" s="3">
        <f>V320-AE320</f>
      </c>
      <c r="AG320" t="s">
        <v>59</v>
      </c>
      <c r="AH320" t="s">
        <v>69</v>
      </c>
    </row>
    <row r="321" spans="1:34" x14ac:dyDescent="0.25">
      <c r="A321" s="7">
        <v>46179.5</v>
      </c>
      <c r="B321" t="s">
        <v>2040</v>
      </c>
      <c r="C321" t="s">
        <v>1</v>
      </c>
      <c r="D321" s="8" t="s">
        <v>1</v>
      </c>
      <c r="E321" t="s">
        <v>77</v>
      </c>
      <c r="F321">
        <v>1</v>
      </c>
      <c r="G321" s="3">
        <v>80</v>
      </c>
      <c r="H321" s="3">
        <v>100.8</v>
      </c>
      <c r="I321" s="3">
        <f>H321-G321</f>
      </c>
      <c r="J321" s="3">
        <f>I321*16.67%</f>
      </c>
      <c r="K321" s="3">
        <f>(H321*6.9%)-(H321*6.9%)*10%</f>
      </c>
      <c r="L321" s="3">
        <f>H321*0.35%</f>
      </c>
      <c r="M321" s="3">
        <v>0.4</v>
      </c>
      <c r="N321" s="3">
        <f>(K321+L321+M321)*20%</f>
      </c>
      <c r="O321" s="3">
        <f>K321+L321+M321+N321</f>
      </c>
      <c r="P321" s="3">
        <v>0</v>
      </c>
      <c r="Q321" s="3">
        <v>0</v>
      </c>
      <c r="R321" s="3">
        <v>0</v>
      </c>
      <c r="S321" s="3">
        <f>R321*20%</f>
      </c>
      <c r="T321" s="3">
        <v>1</v>
      </c>
      <c r="U321" s="3">
        <f>N321+Q321+S321</f>
      </c>
      <c r="V321" s="3">
        <f>I321-J321-O321-P321-Q321-R321-S321-T321</f>
      </c>
      <c r="W321" s="3">
        <f>(V321-AE321)/H321*100</f>
      </c>
      <c r="X321" s="3">
        <f>J321-U321</f>
      </c>
      <c r="Y321" t="s">
        <v>1</v>
      </c>
      <c r="Z321" t="s">
        <v>1</v>
      </c>
      <c r="AF321" s="3">
        <f>V321-AE321</f>
      </c>
      <c r="AG321" t="s">
        <v>1</v>
      </c>
      <c r="AH321" t="s">
        <v>1</v>
      </c>
    </row>
    <row r="322" spans="1:34" x14ac:dyDescent="0.25">
      <c r="A322" s="7">
        <v>46178.5</v>
      </c>
      <c r="B322" t="s">
        <v>2041</v>
      </c>
      <c r="C322" t="s">
        <v>1</v>
      </c>
      <c r="D322" s="8" t="s">
        <v>2042</v>
      </c>
      <c r="E322" t="s">
        <v>101</v>
      </c>
      <c r="F322">
        <v>1</v>
      </c>
      <c r="G322" s="3">
        <v>304</v>
      </c>
      <c r="H322" s="3">
        <v>407.36</v>
      </c>
      <c r="I322" s="3">
        <f>H322-G322</f>
      </c>
      <c r="J322" s="3">
        <f>I322*16.67%</f>
      </c>
      <c r="K322" s="3">
        <f>(H322*6.9%)-(H322*6.9%)*10%</f>
      </c>
      <c r="L322" s="3">
        <f>H322*0.35%</f>
      </c>
      <c r="M322" s="3">
        <v>0.4</v>
      </c>
      <c r="N322" s="3">
        <f>(K322+L322+M322)*20%</f>
      </c>
      <c r="O322" s="3">
        <f>K322+L322+M322+N322</f>
      </c>
      <c r="P322" s="3">
        <v>0</v>
      </c>
      <c r="Q322" s="3">
        <v>0</v>
      </c>
      <c r="R322" s="3">
        <v>0</v>
      </c>
      <c r="S322" s="3">
        <f>R322*20%</f>
      </c>
      <c r="T322" s="3">
        <v>1</v>
      </c>
      <c r="U322" s="3">
        <f>N322+Q322+S322</f>
      </c>
      <c r="V322" s="3">
        <f>I322-J322-O322-P322-Q322-R322-S322-T322</f>
      </c>
      <c r="W322" s="3">
        <f>(V322-AE322)/H322*100</f>
      </c>
      <c r="X322" s="3">
        <f>J322-U322</f>
      </c>
      <c r="Y322" t="s">
        <v>1</v>
      </c>
      <c r="Z322" t="s">
        <v>138</v>
      </c>
      <c r="AF322" s="3">
        <f>V322-AE322</f>
      </c>
      <c r="AG322" t="s">
        <v>59</v>
      </c>
      <c r="AH322" t="s">
        <v>74</v>
      </c>
    </row>
    <row r="323" spans="1:34" x14ac:dyDescent="0.25">
      <c r="A323" s="7">
        <v>46178.5</v>
      </c>
      <c r="B323" t="s">
        <v>2043</v>
      </c>
      <c r="C323" t="s">
        <v>1</v>
      </c>
      <c r="D323" s="8" t="s">
        <v>2044</v>
      </c>
      <c r="E323" t="s">
        <v>101</v>
      </c>
      <c r="F323">
        <v>1</v>
      </c>
      <c r="G323" s="3">
        <v>266</v>
      </c>
      <c r="H323" s="3">
        <v>332.5</v>
      </c>
      <c r="I323" s="3">
        <f>H323-G323</f>
      </c>
      <c r="J323" s="3">
        <f>I323*16.67%</f>
      </c>
      <c r="K323" s="3">
        <f>(H323*6.9%)-(H323*6.9%)*10%</f>
      </c>
      <c r="L323" s="3">
        <f>H323*0.35%</f>
      </c>
      <c r="M323" s="3">
        <v>0.4</v>
      </c>
      <c r="N323" s="3">
        <f>(K323+L323+M323)*20%</f>
      </c>
      <c r="O323" s="3">
        <f>K323+L323+M323+N323</f>
      </c>
      <c r="P323" s="3">
        <v>0</v>
      </c>
      <c r="Q323" s="3">
        <v>0</v>
      </c>
      <c r="R323" s="3">
        <v>0</v>
      </c>
      <c r="S323" s="3">
        <f>R323*20%</f>
      </c>
      <c r="T323" s="3">
        <v>1</v>
      </c>
      <c r="U323" s="3">
        <f>N323+Q323+S323</f>
      </c>
      <c r="V323" s="3">
        <f>I323-J323-O323-P323-Q323-R323-S323-T323</f>
      </c>
      <c r="W323" s="3">
        <f>(V323-AE323)/H323*100</f>
      </c>
      <c r="X323" s="3">
        <f>J323-U323</f>
      </c>
      <c r="Y323" t="s">
        <v>1</v>
      </c>
      <c r="Z323" t="s">
        <v>124</v>
      </c>
      <c r="AF323" s="3">
        <f>V323-AE323</f>
      </c>
      <c r="AG323" t="s">
        <v>125</v>
      </c>
      <c r="AH323" t="s">
        <v>74</v>
      </c>
    </row>
    <row r="324" spans="1:34" x14ac:dyDescent="0.25">
      <c r="A324" s="7">
        <v>46178.5</v>
      </c>
      <c r="B324" t="s">
        <v>2045</v>
      </c>
      <c r="C324" t="s">
        <v>173</v>
      </c>
      <c r="D324" s="8" t="s">
        <v>1</v>
      </c>
      <c r="E324" t="s">
        <v>63</v>
      </c>
      <c r="F324">
        <v>1</v>
      </c>
      <c r="G324" s="3">
        <v>4.25</v>
      </c>
      <c r="H324" s="3">
        <v>5.48</v>
      </c>
      <c r="I324" s="3">
        <f>H324-G324</f>
      </c>
      <c r="J324" s="3">
        <f>I324*16.67%</f>
      </c>
      <c r="K324" s="3">
        <f>(H324*6.9%)-(H324*6.9%)*10%</f>
      </c>
      <c r="L324" s="3">
        <f>H324*0.35%</f>
      </c>
      <c r="M324" s="3">
        <v>0.4</v>
      </c>
      <c r="N324" s="3">
        <f>(K324+L324+M324)*20%</f>
      </c>
      <c r="O324" s="3">
        <f>K324+L324+M324+N324</f>
      </c>
      <c r="P324" s="3">
        <v>0</v>
      </c>
      <c r="Q324" s="3">
        <v>0</v>
      </c>
      <c r="R324" s="3">
        <v>0</v>
      </c>
      <c r="S324" s="3">
        <f>R324*20%</f>
      </c>
      <c r="T324" s="3">
        <v>1</v>
      </c>
      <c r="U324" s="3">
        <f>N324+Q324+S324</f>
      </c>
      <c r="V324" s="3">
        <f>I324-J324-O324-P324-Q324-R324-S324-T324</f>
      </c>
      <c r="W324" s="3">
        <f>(V324-AE324)/H324*100</f>
      </c>
      <c r="X324" s="3">
        <f>J324-U324</f>
      </c>
      <c r="Y324" t="s">
        <v>1</v>
      </c>
      <c r="Z324" t="s">
        <v>173</v>
      </c>
      <c r="AF324" s="3">
        <f>V324-AE324</f>
      </c>
      <c r="AG324" t="s">
        <v>1</v>
      </c>
      <c r="AH324" t="s">
        <v>1</v>
      </c>
    </row>
    <row r="325" spans="1:34" x14ac:dyDescent="0.25">
      <c r="A325" s="7">
        <v>46178.5</v>
      </c>
      <c r="B325" t="s">
        <v>2046</v>
      </c>
      <c r="C325" t="s">
        <v>188</v>
      </c>
      <c r="D325" s="8" t="s">
        <v>1</v>
      </c>
      <c r="E325" t="s">
        <v>63</v>
      </c>
      <c r="F325">
        <v>3</v>
      </c>
      <c r="G325" s="3">
        <v>10.5</v>
      </c>
      <c r="H325" s="3">
        <v>15.22</v>
      </c>
      <c r="I325" s="3">
        <f>H325-G325</f>
      </c>
      <c r="J325" s="3">
        <f>I325*16.67%</f>
      </c>
      <c r="K325" s="3">
        <f>(H325*6.9%)-(H325*6.9%)*10%</f>
      </c>
      <c r="L325" s="3">
        <f>H325*0.35%</f>
      </c>
      <c r="M325" s="3">
        <v>0.4</v>
      </c>
      <c r="N325" s="3">
        <f>(K325+L325+M325)*20%</f>
      </c>
      <c r="O325" s="3">
        <f>K325+L325+M325+N325</f>
      </c>
      <c r="P325" s="3">
        <v>0</v>
      </c>
      <c r="Q325" s="3">
        <v>0</v>
      </c>
      <c r="R325" s="3">
        <v>0</v>
      </c>
      <c r="S325" s="3">
        <f>R325*20%</f>
      </c>
      <c r="T325" s="3">
        <v>1</v>
      </c>
      <c r="U325" s="3">
        <f>N325+Q325+S325</f>
      </c>
      <c r="V325" s="3">
        <f>I325-J325-O325-P325-Q325-R325-S325-T325</f>
      </c>
      <c r="W325" s="3">
        <f>(V325-AE325)/H325*100</f>
      </c>
      <c r="X325" s="3">
        <f>J325-U325</f>
      </c>
      <c r="Y325" t="s">
        <v>1</v>
      </c>
      <c r="Z325" t="s">
        <v>188</v>
      </c>
      <c r="AF325" s="3">
        <f>V325-AE325</f>
      </c>
      <c r="AG325" t="s">
        <v>1</v>
      </c>
      <c r="AH325" t="s">
        <v>1</v>
      </c>
    </row>
    <row r="326" spans="1:34" x14ac:dyDescent="0.25">
      <c r="A326" s="7">
        <v>46177.5</v>
      </c>
      <c r="B326" t="s">
        <v>2047</v>
      </c>
      <c r="C326" t="s">
        <v>1</v>
      </c>
      <c r="D326" s="8" t="s">
        <v>2048</v>
      </c>
      <c r="E326" t="s">
        <v>63</v>
      </c>
      <c r="F326">
        <v>1</v>
      </c>
      <c r="G326" s="3">
        <v>167</v>
      </c>
      <c r="H326" s="3">
        <v>232.13</v>
      </c>
      <c r="I326" s="3">
        <f>H326-G326</f>
      </c>
      <c r="J326" s="3">
        <f>I326*16.67%</f>
      </c>
      <c r="K326" s="3">
        <f>(H326*6.9%)-(H326*6.9%)*10%</f>
      </c>
      <c r="L326" s="3">
        <f>H326*0.35%</f>
      </c>
      <c r="M326" s="3">
        <v>0.4</v>
      </c>
      <c r="N326" s="3">
        <f>(K326+L326+M326)*20%</f>
      </c>
      <c r="O326" s="3">
        <f>K326+L326+M326+N326</f>
      </c>
      <c r="P326" s="3">
        <v>0</v>
      </c>
      <c r="Q326" s="3">
        <v>0</v>
      </c>
      <c r="R326" s="3">
        <v>0</v>
      </c>
      <c r="S326" s="3">
        <f>R326*20%</f>
      </c>
      <c r="T326" s="3">
        <v>1</v>
      </c>
      <c r="U326" s="3">
        <f>N326+Q326+S326</f>
      </c>
      <c r="V326" s="3">
        <f>I326-J326-O326-P326-Q326-R326-S326-T326</f>
      </c>
      <c r="W326" s="3">
        <f>(V326-AE326)/H326*100</f>
      </c>
      <c r="X326" s="3">
        <f>J326-U326</f>
      </c>
      <c r="Y326" t="s">
        <v>1</v>
      </c>
      <c r="Z326" t="s">
        <v>171</v>
      </c>
      <c r="AF326" s="3">
        <f>V326-AE326</f>
      </c>
      <c r="AG326" t="s">
        <v>65</v>
      </c>
      <c r="AH326" t="s">
        <v>69</v>
      </c>
    </row>
    <row r="327" spans="1:34" x14ac:dyDescent="0.25">
      <c r="A327" s="7">
        <v>46177.5</v>
      </c>
      <c r="B327" t="s">
        <v>2049</v>
      </c>
      <c r="C327" t="s">
        <v>1</v>
      </c>
      <c r="D327" s="8" t="s">
        <v>2050</v>
      </c>
      <c r="E327" t="s">
        <v>63</v>
      </c>
      <c r="F327">
        <v>1</v>
      </c>
      <c r="G327" s="3">
        <v>266</v>
      </c>
      <c r="H327" s="3">
        <v>308.56</v>
      </c>
      <c r="I327" s="3">
        <f>H327-G327</f>
      </c>
      <c r="J327" s="3">
        <f>I327*16.67%</f>
      </c>
      <c r="K327" s="3">
        <f>(H327*6.9%)-(H327*6.9%)*10%</f>
      </c>
      <c r="L327" s="3">
        <f>H327*0.35%</f>
      </c>
      <c r="M327" s="3">
        <v>0.4</v>
      </c>
      <c r="N327" s="3">
        <f>(K327+L327+M327)*20%</f>
      </c>
      <c r="O327" s="3">
        <f>K327+L327+M327+N327</f>
      </c>
      <c r="P327" s="3">
        <v>0</v>
      </c>
      <c r="Q327" s="3">
        <v>0</v>
      </c>
      <c r="R327" s="3">
        <v>0</v>
      </c>
      <c r="S327" s="3">
        <f>R327*20%</f>
      </c>
      <c r="T327" s="3">
        <v>1</v>
      </c>
      <c r="U327" s="3">
        <f>N327+Q327+S327</f>
      </c>
      <c r="V327" s="3">
        <f>I327-J327-O327-P327-Q327-R327-S327-T327</f>
      </c>
      <c r="W327" s="3">
        <f>(V327-AE327)/H327*100</f>
      </c>
      <c r="X327" s="3">
        <f>J327-U327</f>
      </c>
      <c r="Y327" t="s">
        <v>1</v>
      </c>
      <c r="Z327" t="s">
        <v>124</v>
      </c>
      <c r="AF327" s="3">
        <f>V327-AE327</f>
      </c>
      <c r="AG327" t="s">
        <v>125</v>
      </c>
      <c r="AH327" t="s">
        <v>60</v>
      </c>
    </row>
    <row r="328" spans="1:34" x14ac:dyDescent="0.25">
      <c r="A328" s="7">
        <v>46177.5</v>
      </c>
      <c r="B328" t="s">
        <v>2051</v>
      </c>
      <c r="C328" t="s">
        <v>1</v>
      </c>
      <c r="D328" s="8" t="s">
        <v>2052</v>
      </c>
      <c r="E328" t="s">
        <v>101</v>
      </c>
      <c r="F328">
        <v>1</v>
      </c>
      <c r="G328" s="3">
        <v>190</v>
      </c>
      <c r="H328" s="3">
        <v>264.1</v>
      </c>
      <c r="I328" s="3">
        <f>H328-G328</f>
      </c>
      <c r="J328" s="3">
        <f>I328*16.67%</f>
      </c>
      <c r="K328" s="3">
        <f>(H328*6.9%)-(H328*6.9%)*10%</f>
      </c>
      <c r="L328" s="3">
        <f>H328*0.35%</f>
      </c>
      <c r="M328" s="3">
        <v>0.4</v>
      </c>
      <c r="N328" s="3">
        <f>(K328+L328+M328)*20%</f>
      </c>
      <c r="O328" s="3">
        <f>K328+L328+M328+N328</f>
      </c>
      <c r="P328" s="3">
        <v>0</v>
      </c>
      <c r="Q328" s="3">
        <v>0</v>
      </c>
      <c r="R328" s="3">
        <v>0</v>
      </c>
      <c r="S328" s="3">
        <f>R328*20%</f>
      </c>
      <c r="T328" s="3">
        <v>1</v>
      </c>
      <c r="U328" s="3">
        <f>N328+Q328+S328</f>
      </c>
      <c r="V328" s="3">
        <f>I328-J328-O328-P328-Q328-R328-S328-T328</f>
      </c>
      <c r="W328" s="3">
        <f>(V328-AE328)/H328*100</f>
      </c>
      <c r="X328" s="3">
        <f>J328-U328</f>
      </c>
      <c r="Y328" t="s">
        <v>1</v>
      </c>
      <c r="Z328" t="s">
        <v>291</v>
      </c>
      <c r="AF328" s="3">
        <f>V328-AE328</f>
      </c>
      <c r="AG328" t="s">
        <v>125</v>
      </c>
      <c r="AH328" t="s">
        <v>87</v>
      </c>
    </row>
    <row r="329" spans="1:34" x14ac:dyDescent="0.25">
      <c r="A329" s="7">
        <v>46177.5</v>
      </c>
      <c r="B329" t="s">
        <v>2053</v>
      </c>
      <c r="C329" t="s">
        <v>1</v>
      </c>
      <c r="D329" s="8" t="s">
        <v>2054</v>
      </c>
      <c r="E329" t="s">
        <v>101</v>
      </c>
      <c r="F329">
        <v>1</v>
      </c>
      <c r="G329" s="3">
        <v>102</v>
      </c>
      <c r="H329" s="3">
        <v>130.56</v>
      </c>
      <c r="I329" s="3">
        <f>H329-G329</f>
      </c>
      <c r="J329" s="3">
        <f>I329*16.67%</f>
      </c>
      <c r="K329" s="3">
        <f>(H329*6.9%)-(H329*6.9%)*10%</f>
      </c>
      <c r="L329" s="3">
        <f>H329*0.35%</f>
      </c>
      <c r="M329" s="3">
        <v>0.4</v>
      </c>
      <c r="N329" s="3">
        <f>(K329+L329+M329)*20%</f>
      </c>
      <c r="O329" s="3">
        <f>K329+L329+M329+N329</f>
      </c>
      <c r="P329" s="3">
        <v>0</v>
      </c>
      <c r="Q329" s="3">
        <v>0</v>
      </c>
      <c r="R329" s="3">
        <v>0</v>
      </c>
      <c r="S329" s="3">
        <f>R329*20%</f>
      </c>
      <c r="T329" s="3">
        <v>1</v>
      </c>
      <c r="U329" s="3">
        <f>N329+Q329+S329</f>
      </c>
      <c r="V329" s="3">
        <f>I329-J329-O329-P329-Q329-R329-S329-T329</f>
      </c>
      <c r="W329" s="3">
        <f>(V329-AE329)/H329*100</f>
      </c>
      <c r="X329" s="3">
        <f>J329-U329</f>
      </c>
      <c r="Y329" t="s">
        <v>1</v>
      </c>
      <c r="Z329" t="s">
        <v>90</v>
      </c>
      <c r="AF329" s="3">
        <f>V329-AE329</f>
      </c>
      <c r="AG329" t="s">
        <v>65</v>
      </c>
      <c r="AH329" t="s">
        <v>69</v>
      </c>
    </row>
    <row r="330" spans="1:34" x14ac:dyDescent="0.25">
      <c r="A330" s="7">
        <v>46177.5</v>
      </c>
      <c r="B330" t="s">
        <v>2055</v>
      </c>
      <c r="C330" t="s">
        <v>1</v>
      </c>
      <c r="D330" s="8" t="s">
        <v>2056</v>
      </c>
      <c r="E330" t="s">
        <v>72</v>
      </c>
      <c r="F330">
        <v>1</v>
      </c>
      <c r="G330" s="3">
        <v>156</v>
      </c>
      <c r="H330" s="3">
        <v>226.2</v>
      </c>
      <c r="I330" s="3">
        <f>H330-G330</f>
      </c>
      <c r="J330" s="3">
        <f>I330*16.67%</f>
      </c>
      <c r="K330" s="3">
        <f>(H330*6.9%)-(H330*6.9%)*10%</f>
      </c>
      <c r="L330" s="3">
        <f>H330*0.35%</f>
      </c>
      <c r="M330" s="3">
        <v>0.4</v>
      </c>
      <c r="N330" s="3">
        <f>(K330+L330+M330)*20%</f>
      </c>
      <c r="O330" s="3">
        <f>K330+L330+M330+N330</f>
      </c>
      <c r="P330" s="3">
        <v>0</v>
      </c>
      <c r="Q330" s="3">
        <v>0</v>
      </c>
      <c r="R330" s="3">
        <v>0</v>
      </c>
      <c r="S330" s="3">
        <f>R330*20%</f>
      </c>
      <c r="T330" s="3">
        <v>1</v>
      </c>
      <c r="U330" s="3">
        <f>N330+Q330+S330</f>
      </c>
      <c r="V330" s="3">
        <f>I330-J330-O330-P330-Q330-R330-S330-T330</f>
      </c>
      <c r="W330" s="3">
        <f>(V330-AE330)/H330*100</f>
      </c>
      <c r="X330" s="3">
        <f>J330-U330</f>
      </c>
      <c r="Y330" t="s">
        <v>1</v>
      </c>
      <c r="Z330" t="s">
        <v>291</v>
      </c>
      <c r="AF330" s="3">
        <f>V330-AE330</f>
      </c>
      <c r="AG330" t="s">
        <v>125</v>
      </c>
      <c r="AH330" t="s">
        <v>74</v>
      </c>
    </row>
    <row r="331" spans="1:34" x14ac:dyDescent="0.25">
      <c r="A331" s="7">
        <v>46177.5</v>
      </c>
      <c r="B331" t="s">
        <v>2057</v>
      </c>
      <c r="C331" t="s">
        <v>253</v>
      </c>
      <c r="D331" s="8" t="s">
        <v>1</v>
      </c>
      <c r="E331" t="s">
        <v>57</v>
      </c>
      <c r="F331">
        <v>2</v>
      </c>
      <c r="G331" s="3">
        <v>1.6</v>
      </c>
      <c r="H331" s="3">
        <v>2.02</v>
      </c>
      <c r="I331" s="3">
        <f>H331-G331</f>
      </c>
      <c r="J331" s="3">
        <f>I331*16.67%</f>
      </c>
      <c r="K331" s="3">
        <f>(H331*6.9%)-(H331*6.9%)*10%</f>
      </c>
      <c r="L331" s="3">
        <f>H331*0.35%</f>
      </c>
      <c r="M331" s="3">
        <v>0.4</v>
      </c>
      <c r="N331" s="3">
        <f>(K331+L331+M331)*20%</f>
      </c>
      <c r="O331" s="3">
        <f>K331+L331+M331+N331</f>
      </c>
      <c r="P331" s="3">
        <v>0</v>
      </c>
      <c r="Q331" s="3">
        <v>0</v>
      </c>
      <c r="R331" s="3">
        <v>0</v>
      </c>
      <c r="S331" s="3">
        <f>R331*20%</f>
      </c>
      <c r="T331" s="3">
        <v>1</v>
      </c>
      <c r="U331" s="3">
        <f>N331+Q331+S331</f>
      </c>
      <c r="V331" s="3">
        <f>I331-J331-O331-P331-Q331-R331-S331-T331</f>
      </c>
      <c r="W331" s="3">
        <f>(V331-AE331)/H331*100</f>
      </c>
      <c r="X331" s="3">
        <f>J331-U331</f>
      </c>
      <c r="Y331" t="s">
        <v>1</v>
      </c>
      <c r="Z331" t="s">
        <v>253</v>
      </c>
      <c r="AF331" s="3">
        <f>V331-AE331</f>
      </c>
      <c r="AG331" t="s">
        <v>1</v>
      </c>
      <c r="AH331" t="s">
        <v>1</v>
      </c>
    </row>
    <row r="332" spans="1:34" x14ac:dyDescent="0.25">
      <c r="A332" s="7">
        <v>46176.5</v>
      </c>
      <c r="B332" t="s">
        <v>2058</v>
      </c>
      <c r="C332" t="s">
        <v>1</v>
      </c>
      <c r="D332" s="8" t="s">
        <v>2059</v>
      </c>
      <c r="E332" t="s">
        <v>63</v>
      </c>
      <c r="F332">
        <v>1</v>
      </c>
      <c r="G332" s="3">
        <v>338</v>
      </c>
      <c r="H332" s="3">
        <v>473.2</v>
      </c>
      <c r="I332" s="3">
        <f>H332-G332</f>
      </c>
      <c r="J332" s="3">
        <f>I332*16.67%</f>
      </c>
      <c r="K332" s="3">
        <f>(H332*6.9%)-(H332*6.9%)*10%</f>
      </c>
      <c r="L332" s="3">
        <f>H332*0.35%</f>
      </c>
      <c r="M332" s="3">
        <v>0.4</v>
      </c>
      <c r="N332" s="3">
        <f>(K332+L332+M332)*20%</f>
      </c>
      <c r="O332" s="3">
        <f>K332+L332+M332+N332</f>
      </c>
      <c r="P332" s="3">
        <v>0</v>
      </c>
      <c r="Q332" s="3">
        <v>0</v>
      </c>
      <c r="R332" s="3">
        <v>0</v>
      </c>
      <c r="S332" s="3">
        <f>R332*20%</f>
      </c>
      <c r="T332" s="3">
        <v>1</v>
      </c>
      <c r="U332" s="3">
        <f>N332+Q332+S332</f>
      </c>
      <c r="V332" s="3">
        <f>I332-J332-O332-P332-Q332-R332-S332-T332</f>
      </c>
      <c r="W332" s="3">
        <f>(V332-AE332)/H332*100</f>
      </c>
      <c r="X332" s="3">
        <f>J332-U332</f>
      </c>
      <c r="Y332" t="s">
        <v>1</v>
      </c>
      <c r="Z332" t="s">
        <v>73</v>
      </c>
      <c r="AF332" s="3">
        <f>V332-AE332</f>
      </c>
      <c r="AG332" t="s">
        <v>59</v>
      </c>
      <c r="AH332" t="s">
        <v>84</v>
      </c>
    </row>
    <row r="333" spans="1:34" x14ac:dyDescent="0.25">
      <c r="A333" s="7">
        <v>46176.5</v>
      </c>
      <c r="B333" t="s">
        <v>2060</v>
      </c>
      <c r="C333" t="s">
        <v>1</v>
      </c>
      <c r="D333" s="8" t="s">
        <v>2061</v>
      </c>
      <c r="E333" t="s">
        <v>57</v>
      </c>
      <c r="F333">
        <v>1</v>
      </c>
      <c r="G333" s="3">
        <v>296</v>
      </c>
      <c r="H333" s="3">
        <v>396.64</v>
      </c>
      <c r="I333" s="3">
        <f>H333-G333</f>
      </c>
      <c r="J333" s="3">
        <f>I333*16.67%</f>
      </c>
      <c r="K333" s="3">
        <f>(H333*6.9%)-(H333*6.9%)*10%</f>
      </c>
      <c r="L333" s="3">
        <f>H333*0.35%</f>
      </c>
      <c r="M333" s="3">
        <v>0.4</v>
      </c>
      <c r="N333" s="3">
        <f>(K333+L333+M333)*20%</f>
      </c>
      <c r="O333" s="3">
        <f>K333+L333+M333+N333</f>
      </c>
      <c r="P333" s="3">
        <v>0</v>
      </c>
      <c r="Q333" s="3">
        <v>0</v>
      </c>
      <c r="R333" s="3">
        <v>0</v>
      </c>
      <c r="S333" s="3">
        <f>R333*20%</f>
      </c>
      <c r="T333" s="3">
        <v>1</v>
      </c>
      <c r="U333" s="3">
        <f>N333+Q333+S333</f>
      </c>
      <c r="V333" s="3">
        <f>I333-J333-O333-P333-Q333-R333-S333-T333</f>
      </c>
      <c r="W333" s="3">
        <f>(V333-AE333)/H333*100</f>
      </c>
      <c r="X333" s="3">
        <f>J333-U333</f>
      </c>
      <c r="Y333" t="s">
        <v>1</v>
      </c>
      <c r="Z333" t="s">
        <v>130</v>
      </c>
      <c r="AF333" s="3">
        <f>V333-AE333</f>
      </c>
      <c r="AG333" t="s">
        <v>59</v>
      </c>
      <c r="AH333" t="s">
        <v>60</v>
      </c>
    </row>
    <row r="334" spans="1:34" x14ac:dyDescent="0.25">
      <c r="A334" s="7">
        <v>46176.5</v>
      </c>
      <c r="B334" t="s">
        <v>2062</v>
      </c>
      <c r="C334" t="s">
        <v>1</v>
      </c>
      <c r="D334" s="8" t="s">
        <v>2063</v>
      </c>
      <c r="E334" t="s">
        <v>63</v>
      </c>
      <c r="F334">
        <v>1</v>
      </c>
      <c r="G334" s="3">
        <v>307</v>
      </c>
      <c r="H334" s="3">
        <v>383.75</v>
      </c>
      <c r="I334" s="3">
        <f>H334-G334</f>
      </c>
      <c r="J334" s="3">
        <f>I334*16.67%</f>
      </c>
      <c r="K334" s="3">
        <f>(H334*6.9%)-(H334*6.9%)*10%</f>
      </c>
      <c r="L334" s="3">
        <f>H334*0.35%</f>
      </c>
      <c r="M334" s="3">
        <v>0.4</v>
      </c>
      <c r="N334" s="3">
        <f>(K334+L334+M334)*20%</f>
      </c>
      <c r="O334" s="3">
        <f>K334+L334+M334+N334</f>
      </c>
      <c r="P334" s="3">
        <v>0</v>
      </c>
      <c r="Q334" s="3">
        <v>0</v>
      </c>
      <c r="R334" s="3">
        <v>0</v>
      </c>
      <c r="S334" s="3">
        <f>R334*20%</f>
      </c>
      <c r="T334" s="3">
        <v>1</v>
      </c>
      <c r="U334" s="3">
        <f>N334+Q334+S334</f>
      </c>
      <c r="V334" s="3">
        <f>I334-J334-O334-P334-Q334-R334-S334-T334</f>
      </c>
      <c r="W334" s="3">
        <f>(V334-AE334)/H334*100</f>
      </c>
      <c r="X334" s="3">
        <f>J334-U334</f>
      </c>
      <c r="Y334" t="s">
        <v>1</v>
      </c>
      <c r="Z334" t="s">
        <v>130</v>
      </c>
      <c r="AF334" s="3">
        <f>V334-AE334</f>
      </c>
      <c r="AG334" t="s">
        <v>65</v>
      </c>
      <c r="AH334" t="s">
        <v>74</v>
      </c>
    </row>
    <row r="335" spans="1:34" x14ac:dyDescent="0.25">
      <c r="A335" s="7">
        <v>46176.5</v>
      </c>
      <c r="B335" t="s">
        <v>2064</v>
      </c>
      <c r="C335" t="s">
        <v>1</v>
      </c>
      <c r="D335" s="8" t="s">
        <v>2065</v>
      </c>
      <c r="E335" t="s">
        <v>63</v>
      </c>
      <c r="F335">
        <v>1</v>
      </c>
      <c r="G335" s="3">
        <v>207</v>
      </c>
      <c r="H335" s="3">
        <v>254.61</v>
      </c>
      <c r="I335" s="3">
        <f>H335-G335</f>
      </c>
      <c r="J335" s="3">
        <f>I335*16.67%</f>
      </c>
      <c r="K335" s="3">
        <f>(H335*6.9%)-(H335*6.9%)*10%</f>
      </c>
      <c r="L335" s="3">
        <f>H335*0.35%</f>
      </c>
      <c r="M335" s="3">
        <v>0.4</v>
      </c>
      <c r="N335" s="3">
        <f>(K335+L335+M335)*20%</f>
      </c>
      <c r="O335" s="3">
        <f>K335+L335+M335+N335</f>
      </c>
      <c r="P335" s="3">
        <v>0</v>
      </c>
      <c r="Q335" s="3">
        <v>0</v>
      </c>
      <c r="R335" s="3">
        <v>0</v>
      </c>
      <c r="S335" s="3">
        <f>R335*20%</f>
      </c>
      <c r="T335" s="3">
        <v>1</v>
      </c>
      <c r="U335" s="3">
        <f>N335+Q335+S335</f>
      </c>
      <c r="V335" s="3">
        <f>I335-J335-O335-P335-Q335-R335-S335-T335</f>
      </c>
      <c r="W335" s="3">
        <f>(V335-AE335)/H335*100</f>
      </c>
      <c r="X335" s="3">
        <f>J335-U335</f>
      </c>
      <c r="Y335" t="s">
        <v>1</v>
      </c>
      <c r="Z335" t="s">
        <v>291</v>
      </c>
      <c r="AF335" s="3">
        <f>V335-AE335</f>
      </c>
      <c r="AG335" t="s">
        <v>125</v>
      </c>
      <c r="AH335" t="s">
        <v>87</v>
      </c>
    </row>
    <row r="336" spans="1:34" x14ac:dyDescent="0.25">
      <c r="A336" s="7">
        <v>46176.5</v>
      </c>
      <c r="B336" t="s">
        <v>2066</v>
      </c>
      <c r="C336" t="s">
        <v>1</v>
      </c>
      <c r="D336" s="8" t="s">
        <v>2067</v>
      </c>
      <c r="E336" t="s">
        <v>77</v>
      </c>
      <c r="F336">
        <v>1</v>
      </c>
      <c r="G336" s="3">
        <v>158</v>
      </c>
      <c r="H336" s="3">
        <v>213.3</v>
      </c>
      <c r="I336" s="3">
        <f>H336-G336</f>
      </c>
      <c r="J336" s="3">
        <f>I336*16.67%</f>
      </c>
      <c r="K336" s="3">
        <f>(H336*6.9%)-(H336*6.9%)*10%</f>
      </c>
      <c r="L336" s="3">
        <f>H336*0.35%</f>
      </c>
      <c r="M336" s="3">
        <v>0.4</v>
      </c>
      <c r="N336" s="3">
        <f>(K336+L336+M336)*20%</f>
      </c>
      <c r="O336" s="3">
        <f>K336+L336+M336+N336</f>
      </c>
      <c r="P336" s="3">
        <v>0</v>
      </c>
      <c r="Q336" s="3">
        <v>0</v>
      </c>
      <c r="R336" s="3">
        <v>0</v>
      </c>
      <c r="S336" s="3">
        <f>R336*20%</f>
      </c>
      <c r="T336" s="3">
        <v>1</v>
      </c>
      <c r="U336" s="3">
        <f>N336+Q336+S336</f>
      </c>
      <c r="V336" s="3">
        <f>I336-J336-O336-P336-Q336-R336-S336-T336</f>
      </c>
      <c r="W336" s="3">
        <f>(V336-AE336)/H336*100</f>
      </c>
      <c r="X336" s="3">
        <f>J336-U336</f>
      </c>
      <c r="Y336" t="s">
        <v>1</v>
      </c>
      <c r="Z336" t="s">
        <v>171</v>
      </c>
      <c r="AF336" s="3">
        <f>V336-AE336</f>
      </c>
      <c r="AG336" t="s">
        <v>65</v>
      </c>
      <c r="AH336" t="s">
        <v>104</v>
      </c>
    </row>
    <row r="337" spans="1:34" x14ac:dyDescent="0.25">
      <c r="A337" s="7">
        <v>46176.5</v>
      </c>
      <c r="B337" t="s">
        <v>2068</v>
      </c>
      <c r="C337" t="s">
        <v>184</v>
      </c>
      <c r="D337" s="8" t="s">
        <v>1</v>
      </c>
      <c r="E337" t="s">
        <v>101</v>
      </c>
      <c r="F337">
        <v>1</v>
      </c>
      <c r="G337" s="3">
        <v>1.2</v>
      </c>
      <c r="H337" s="3">
        <v>1.39</v>
      </c>
      <c r="I337" s="3">
        <f>H337-G337</f>
      </c>
      <c r="J337" s="3">
        <f>I337*16.67%</f>
      </c>
      <c r="K337" s="3">
        <f>(H337*6.9%)-(H337*6.9%)*10%</f>
      </c>
      <c r="L337" s="3">
        <f>H337*0.35%</f>
      </c>
      <c r="M337" s="3">
        <v>0.4</v>
      </c>
      <c r="N337" s="3">
        <f>(K337+L337+M337)*20%</f>
      </c>
      <c r="O337" s="3">
        <f>K337+L337+M337+N337</f>
      </c>
      <c r="P337" s="3">
        <v>0</v>
      </c>
      <c r="Q337" s="3">
        <v>0</v>
      </c>
      <c r="R337" s="3">
        <v>0</v>
      </c>
      <c r="S337" s="3">
        <f>R337*20%</f>
      </c>
      <c r="T337" s="3">
        <v>1</v>
      </c>
      <c r="U337" s="3">
        <f>N337+Q337+S337</f>
      </c>
      <c r="V337" s="3">
        <f>I337-J337-O337-P337-Q337-R337-S337-T337</f>
      </c>
      <c r="W337" s="3">
        <f>(V337-AE337)/H337*100</f>
      </c>
      <c r="X337" s="3">
        <f>J337-U337</f>
      </c>
      <c r="Y337" t="s">
        <v>1</v>
      </c>
      <c r="Z337" t="s">
        <v>184</v>
      </c>
      <c r="AF337" s="3">
        <f>V337-AE337</f>
      </c>
      <c r="AG337" t="s">
        <v>1</v>
      </c>
      <c r="AH337" t="s">
        <v>1</v>
      </c>
    </row>
    <row r="338" spans="1:34" x14ac:dyDescent="0.25">
      <c r="A338" s="7">
        <v>46176.5</v>
      </c>
      <c r="B338" t="s">
        <v>2069</v>
      </c>
      <c r="C338" t="s">
        <v>173</v>
      </c>
      <c r="D338" s="8" t="s">
        <v>1</v>
      </c>
      <c r="E338" t="s">
        <v>63</v>
      </c>
      <c r="F338">
        <v>2</v>
      </c>
      <c r="G338" s="3">
        <v>8.5</v>
      </c>
      <c r="H338" s="3">
        <v>11.98</v>
      </c>
      <c r="I338" s="3">
        <f>H338-G338</f>
      </c>
      <c r="J338" s="3">
        <f>I338*16.67%</f>
      </c>
      <c r="K338" s="3">
        <f>(H338*6.9%)-(H338*6.9%)*10%</f>
      </c>
      <c r="L338" s="3">
        <f>H338*0.35%</f>
      </c>
      <c r="M338" s="3">
        <v>0.4</v>
      </c>
      <c r="N338" s="3">
        <f>(K338+L338+M338)*20%</f>
      </c>
      <c r="O338" s="3">
        <f>K338+L338+M338+N338</f>
      </c>
      <c r="P338" s="3">
        <v>0</v>
      </c>
      <c r="Q338" s="3">
        <v>0</v>
      </c>
      <c r="R338" s="3">
        <v>0</v>
      </c>
      <c r="S338" s="3">
        <f>R338*20%</f>
      </c>
      <c r="T338" s="3">
        <v>1</v>
      </c>
      <c r="U338" s="3">
        <f>N338+Q338+S338</f>
      </c>
      <c r="V338" s="3">
        <f>I338-J338-O338-P338-Q338-R338-S338-T338</f>
      </c>
      <c r="W338" s="3">
        <f>(V338-AE338)/H338*100</f>
      </c>
      <c r="X338" s="3">
        <f>J338-U338</f>
      </c>
      <c r="Y338" t="s">
        <v>1</v>
      </c>
      <c r="Z338" t="s">
        <v>173</v>
      </c>
      <c r="AF338" s="3">
        <f>V338-AE338</f>
      </c>
      <c r="AG338" t="s">
        <v>1</v>
      </c>
      <c r="AH338" t="s">
        <v>1</v>
      </c>
    </row>
    <row r="339" spans="1:34" x14ac:dyDescent="0.25">
      <c r="A339" s="7">
        <v>46175.5</v>
      </c>
      <c r="B339" t="s">
        <v>2070</v>
      </c>
      <c r="C339" t="s">
        <v>1</v>
      </c>
      <c r="D339" s="8" t="s">
        <v>2071</v>
      </c>
      <c r="E339" t="s">
        <v>77</v>
      </c>
      <c r="F339">
        <v>1</v>
      </c>
      <c r="G339" s="3">
        <v>165</v>
      </c>
      <c r="H339" s="3">
        <v>199.65</v>
      </c>
      <c r="I339" s="3">
        <f>H339-G339</f>
      </c>
      <c r="J339" s="3">
        <f>I339*16.67%</f>
      </c>
      <c r="K339" s="3">
        <f>(H339*6.9%)-(H339*6.9%)*10%</f>
      </c>
      <c r="L339" s="3">
        <f>H339*0.35%</f>
      </c>
      <c r="M339" s="3">
        <v>0.4</v>
      </c>
      <c r="N339" s="3">
        <f>(K339+L339+M339)*20%</f>
      </c>
      <c r="O339" s="3">
        <f>K339+L339+M339+N339</f>
      </c>
      <c r="P339" s="3">
        <v>0</v>
      </c>
      <c r="Q339" s="3">
        <v>0</v>
      </c>
      <c r="R339" s="3">
        <v>0</v>
      </c>
      <c r="S339" s="3">
        <f>R339*20%</f>
      </c>
      <c r="T339" s="3">
        <v>1</v>
      </c>
      <c r="U339" s="3">
        <f>N339+Q339+S339</f>
      </c>
      <c r="V339" s="3">
        <f>I339-J339-O339-P339-Q339-R339-S339-T339</f>
      </c>
      <c r="W339" s="3">
        <f>(V339-AE339)/H339*100</f>
      </c>
      <c r="X339" s="3">
        <f>J339-U339</f>
      </c>
      <c r="Y339" t="s">
        <v>1</v>
      </c>
      <c r="Z339" t="s">
        <v>233</v>
      </c>
      <c r="AF339" s="3">
        <f>V339-AE339</f>
      </c>
      <c r="AG339" t="s">
        <v>65</v>
      </c>
      <c r="AH339" t="s">
        <v>69</v>
      </c>
    </row>
    <row r="340" spans="1:34" x14ac:dyDescent="0.25">
      <c r="A340" s="7">
        <v>46174.5</v>
      </c>
      <c r="B340" t="s">
        <v>2072</v>
      </c>
      <c r="C340" t="s">
        <v>1</v>
      </c>
      <c r="D340" s="8" t="s">
        <v>2073</v>
      </c>
      <c r="E340" t="s">
        <v>72</v>
      </c>
      <c r="F340">
        <v>1</v>
      </c>
      <c r="G340" s="3">
        <v>278</v>
      </c>
      <c r="H340" s="3">
        <v>391.98</v>
      </c>
      <c r="I340" s="3">
        <f>H340-G340</f>
      </c>
      <c r="J340" s="3">
        <f>I340*16.67%</f>
      </c>
      <c r="K340" s="3">
        <f>(H340*6.9%)-(H340*6.9%)*10%</f>
      </c>
      <c r="L340" s="3">
        <f>H340*0.35%</f>
      </c>
      <c r="M340" s="3">
        <v>0.4</v>
      </c>
      <c r="N340" s="3">
        <f>(K340+L340+M340)*20%</f>
      </c>
      <c r="O340" s="3">
        <f>K340+L340+M340+N340</f>
      </c>
      <c r="P340" s="3">
        <v>0</v>
      </c>
      <c r="Q340" s="3">
        <v>0</v>
      </c>
      <c r="R340" s="3">
        <v>0</v>
      </c>
      <c r="S340" s="3">
        <f>R340*20%</f>
      </c>
      <c r="T340" s="3">
        <v>1</v>
      </c>
      <c r="U340" s="3">
        <f>N340+Q340+S340</f>
      </c>
      <c r="V340" s="3">
        <f>I340-J340-O340-P340-Q340-R340-S340-T340</f>
      </c>
      <c r="W340" s="3">
        <f>(V340-AE340)/H340*100</f>
      </c>
      <c r="X340" s="3">
        <f>J340-U340</f>
      </c>
      <c r="Y340" t="s">
        <v>1</v>
      </c>
      <c r="Z340" t="s">
        <v>130</v>
      </c>
      <c r="AF340" s="3">
        <f>V340-AE340</f>
      </c>
      <c r="AG340" t="s">
        <v>65</v>
      </c>
      <c r="AH340" t="s">
        <v>60</v>
      </c>
    </row>
    <row r="341" spans="1:34" x14ac:dyDescent="0.25">
      <c r="A341" s="7">
        <v>46174.5</v>
      </c>
      <c r="B341" t="s">
        <v>2074</v>
      </c>
      <c r="C341" t="s">
        <v>1</v>
      </c>
      <c r="D341" s="8" t="s">
        <v>2075</v>
      </c>
      <c r="E341" t="s">
        <v>72</v>
      </c>
      <c r="F341">
        <v>1</v>
      </c>
      <c r="G341" s="3">
        <v>719</v>
      </c>
      <c r="H341" s="3">
        <v>927.51</v>
      </c>
      <c r="I341" s="3">
        <f>H341-G341</f>
      </c>
      <c r="J341" s="3">
        <f>I341*16.67%</f>
      </c>
      <c r="K341" s="3">
        <f>(H341*6.9%)-(H341*6.9%)*10%</f>
      </c>
      <c r="L341" s="3">
        <f>H341*0.35%</f>
      </c>
      <c r="M341" s="3">
        <v>0.4</v>
      </c>
      <c r="N341" s="3">
        <f>(K341+L341+M341)*20%</f>
      </c>
      <c r="O341" s="3">
        <f>K341+L341+M341+N341</f>
      </c>
      <c r="P341" s="3">
        <v>0</v>
      </c>
      <c r="Q341" s="3">
        <v>0</v>
      </c>
      <c r="R341" s="3">
        <v>0</v>
      </c>
      <c r="S341" s="3">
        <f>R341*20%</f>
      </c>
      <c r="T341" s="3">
        <v>1</v>
      </c>
      <c r="U341" s="3">
        <f>N341+Q341+S341</f>
      </c>
      <c r="V341" s="3">
        <f>I341-J341-O341-P341-Q341-R341-S341-T341</f>
      </c>
      <c r="W341" s="3">
        <f>(V341-AE341)/H341*100</f>
      </c>
      <c r="X341" s="3">
        <f>J341-U341</f>
      </c>
      <c r="Y341" t="s">
        <v>1</v>
      </c>
      <c r="Z341" t="s">
        <v>83</v>
      </c>
      <c r="AF341" s="3">
        <f>V341-AE341</f>
      </c>
      <c r="AG341" t="s">
        <v>59</v>
      </c>
      <c r="AH341" t="s">
        <v>87</v>
      </c>
    </row>
    <row r="342" spans="1:34" x14ac:dyDescent="0.25">
      <c r="A342" s="7">
        <v>46174.5</v>
      </c>
      <c r="B342" t="s">
        <v>2076</v>
      </c>
      <c r="C342" t="s">
        <v>1</v>
      </c>
      <c r="D342" s="8" t="s">
        <v>2077</v>
      </c>
      <c r="E342" t="s">
        <v>101</v>
      </c>
      <c r="F342">
        <v>1</v>
      </c>
      <c r="G342" s="3">
        <v>233</v>
      </c>
      <c r="H342" s="3">
        <v>321.54</v>
      </c>
      <c r="I342" s="3">
        <f>H342-G342</f>
      </c>
      <c r="J342" s="3">
        <f>I342*16.67%</f>
      </c>
      <c r="K342" s="3">
        <f>(H342*6.9%)-(H342*6.9%)*10%</f>
      </c>
      <c r="L342" s="3">
        <f>H342*0.35%</f>
      </c>
      <c r="M342" s="3">
        <v>0.4</v>
      </c>
      <c r="N342" s="3">
        <f>(K342+L342+M342)*20%</f>
      </c>
      <c r="O342" s="3">
        <f>K342+L342+M342+N342</f>
      </c>
      <c r="P342" s="3">
        <v>0</v>
      </c>
      <c r="Q342" s="3">
        <v>0</v>
      </c>
      <c r="R342" s="3">
        <v>0</v>
      </c>
      <c r="S342" s="3">
        <f>R342*20%</f>
      </c>
      <c r="T342" s="3">
        <v>1</v>
      </c>
      <c r="U342" s="3">
        <f>N342+Q342+S342</f>
      </c>
      <c r="V342" s="3">
        <f>I342-J342-O342-P342-Q342-R342-S342-T342</f>
      </c>
      <c r="W342" s="3">
        <f>(V342-AE342)/H342*100</f>
      </c>
      <c r="X342" s="3">
        <f>J342-U342</f>
      </c>
      <c r="Y342" t="s">
        <v>1</v>
      </c>
      <c r="Z342" t="s">
        <v>113</v>
      </c>
      <c r="AF342" s="3">
        <f>V342-AE342</f>
      </c>
      <c r="AG342" t="s">
        <v>94</v>
      </c>
      <c r="AH342" t="s">
        <v>60</v>
      </c>
    </row>
    <row r="343" spans="1:34" x14ac:dyDescent="0.25">
      <c r="A343" s="7">
        <v>46174.5</v>
      </c>
      <c r="B343" t="s">
        <v>2078</v>
      </c>
      <c r="C343" t="s">
        <v>1</v>
      </c>
      <c r="D343" s="8" t="s">
        <v>2079</v>
      </c>
      <c r="E343" t="s">
        <v>72</v>
      </c>
      <c r="F343">
        <v>1</v>
      </c>
      <c r="G343" s="3">
        <v>337</v>
      </c>
      <c r="H343" s="3">
        <v>468.43</v>
      </c>
      <c r="I343" s="3">
        <f>H343-G343</f>
      </c>
      <c r="J343" s="3">
        <f>I343*16.67%</f>
      </c>
      <c r="K343" s="3">
        <f>(H343*6.9%)-(H343*6.9%)*10%</f>
      </c>
      <c r="L343" s="3">
        <f>H343*0.35%</f>
      </c>
      <c r="M343" s="3">
        <v>0.4</v>
      </c>
      <c r="N343" s="3">
        <f>(K343+L343+M343)*20%</f>
      </c>
      <c r="O343" s="3">
        <f>K343+L343+M343+N343</f>
      </c>
      <c r="P343" s="3">
        <v>0</v>
      </c>
      <c r="Q343" s="3">
        <v>0</v>
      </c>
      <c r="R343" s="3">
        <v>0</v>
      </c>
      <c r="S343" s="3">
        <f>R343*20%</f>
      </c>
      <c r="T343" s="3">
        <v>1</v>
      </c>
      <c r="U343" s="3">
        <f>N343+Q343+S343</f>
      </c>
      <c r="V343" s="3">
        <f>I343-J343-O343-P343-Q343-R343-S343-T343</f>
      </c>
      <c r="W343" s="3">
        <f>(V343-AE343)/H343*100</f>
      </c>
      <c r="X343" s="3">
        <f>J343-U343</f>
      </c>
      <c r="Y343" t="s">
        <v>1</v>
      </c>
      <c r="Z343" t="s">
        <v>73</v>
      </c>
      <c r="AF343" s="3">
        <f>V343-AE343</f>
      </c>
      <c r="AG343" t="s">
        <v>59</v>
      </c>
      <c r="AH343" t="s">
        <v>87</v>
      </c>
    </row>
    <row r="344" spans="1:34" x14ac:dyDescent="0.25">
      <c r="A344" s="7">
        <v>46174.5</v>
      </c>
      <c r="B344" t="s">
        <v>2080</v>
      </c>
      <c r="C344" t="s">
        <v>1</v>
      </c>
      <c r="D344" s="8" t="s">
        <v>2081</v>
      </c>
      <c r="E344" t="s">
        <v>101</v>
      </c>
      <c r="F344">
        <v>1</v>
      </c>
      <c r="G344" s="3">
        <v>74</v>
      </c>
      <c r="H344" s="3">
        <v>98.42</v>
      </c>
      <c r="I344" s="3">
        <f>H344-G344</f>
      </c>
      <c r="J344" s="3">
        <f>I344*16.67%</f>
      </c>
      <c r="K344" s="3">
        <f>(H344*6.9%)-(H344*6.9%)*10%</f>
      </c>
      <c r="L344" s="3">
        <f>H344*0.35%</f>
      </c>
      <c r="M344" s="3">
        <v>0.4</v>
      </c>
      <c r="N344" s="3">
        <f>(K344+L344+M344)*20%</f>
      </c>
      <c r="O344" s="3">
        <f>K344+L344+M344+N344</f>
      </c>
      <c r="P344" s="3">
        <v>0</v>
      </c>
      <c r="Q344" s="3">
        <v>0</v>
      </c>
      <c r="R344" s="3">
        <v>0</v>
      </c>
      <c r="S344" s="3">
        <f>R344*20%</f>
      </c>
      <c r="T344" s="3">
        <v>1</v>
      </c>
      <c r="U344" s="3">
        <f>N344+Q344+S344</f>
      </c>
      <c r="V344" s="3">
        <f>I344-J344-O344-P344-Q344-R344-S344-T344</f>
      </c>
      <c r="W344" s="3">
        <f>(V344-AE344)/H344*100</f>
      </c>
      <c r="X344" s="3">
        <f>J344-U344</f>
      </c>
      <c r="Y344" t="s">
        <v>1</v>
      </c>
      <c r="Z344" t="s">
        <v>93</v>
      </c>
      <c r="AF344" s="3">
        <f>V344-AE344</f>
      </c>
      <c r="AG344" t="s">
        <v>94</v>
      </c>
      <c r="AH344" t="s">
        <v>74</v>
      </c>
    </row>
    <row r="345" spans="1:34" x14ac:dyDescent="0.25">
      <c r="A345" s="7">
        <v>46174.5</v>
      </c>
      <c r="B345" t="s">
        <v>2082</v>
      </c>
      <c r="C345" t="s">
        <v>1</v>
      </c>
      <c r="D345" s="8" t="s">
        <v>2083</v>
      </c>
      <c r="E345" t="s">
        <v>57</v>
      </c>
      <c r="F345">
        <v>1</v>
      </c>
      <c r="G345" s="3">
        <v>140</v>
      </c>
      <c r="H345" s="3">
        <v>172.2</v>
      </c>
      <c r="I345" s="3">
        <f>H345-G345</f>
      </c>
      <c r="J345" s="3">
        <f>I345*16.67%</f>
      </c>
      <c r="K345" s="3">
        <f>(H345*6.9%)-(H345*6.9%)*10%</f>
      </c>
      <c r="L345" s="3">
        <f>H345*0.35%</f>
      </c>
      <c r="M345" s="3">
        <v>0.4</v>
      </c>
      <c r="N345" s="3">
        <f>(K345+L345+M345)*20%</f>
      </c>
      <c r="O345" s="3">
        <f>K345+L345+M345+N345</f>
      </c>
      <c r="P345" s="3">
        <v>0</v>
      </c>
      <c r="Q345" s="3">
        <v>0</v>
      </c>
      <c r="R345" s="3">
        <v>0</v>
      </c>
      <c r="S345" s="3">
        <f>R345*20%</f>
      </c>
      <c r="T345" s="3">
        <v>1</v>
      </c>
      <c r="U345" s="3">
        <f>N345+Q345+S345</f>
      </c>
      <c r="V345" s="3">
        <f>I345-J345-O345-P345-Q345-R345-S345-T345</f>
      </c>
      <c r="W345" s="3">
        <f>(V345-AE345)/H345*100</f>
      </c>
      <c r="X345" s="3">
        <f>J345-U345</f>
      </c>
      <c r="Y345" t="s">
        <v>1</v>
      </c>
      <c r="Z345" t="s">
        <v>90</v>
      </c>
      <c r="AF345" s="3">
        <f>V345-AE345</f>
      </c>
      <c r="AG345" t="s">
        <v>94</v>
      </c>
      <c r="AH345" t="s">
        <v>60</v>
      </c>
    </row>
    <row r="346" spans="1:34" x14ac:dyDescent="0.25">
      <c r="A346" s="7">
        <v>46173.5</v>
      </c>
      <c r="B346" t="s">
        <v>2084</v>
      </c>
      <c r="C346" t="s">
        <v>1</v>
      </c>
      <c r="D346" s="8" t="s">
        <v>2085</v>
      </c>
      <c r="E346" t="s">
        <v>77</v>
      </c>
      <c r="F346">
        <v>1</v>
      </c>
      <c r="G346" s="3">
        <v>111</v>
      </c>
      <c r="H346" s="3">
        <v>156.51</v>
      </c>
      <c r="I346" s="3">
        <f>H346-G346</f>
      </c>
      <c r="J346" s="3">
        <f>I346*16.67%</f>
      </c>
      <c r="K346" s="3">
        <f>(H346*6.9%)-(H346*6.9%)*10%</f>
      </c>
      <c r="L346" s="3">
        <f>H346*0.35%</f>
      </c>
      <c r="M346" s="3">
        <v>0.4</v>
      </c>
      <c r="N346" s="3">
        <f>(K346+L346+M346)*20%</f>
      </c>
      <c r="O346" s="3">
        <f>K346+L346+M346+N346</f>
      </c>
      <c r="P346" s="3">
        <v>0</v>
      </c>
      <c r="Q346" s="3">
        <v>0</v>
      </c>
      <c r="R346" s="3">
        <v>0</v>
      </c>
      <c r="S346" s="3">
        <f>R346*20%</f>
      </c>
      <c r="T346" s="3">
        <v>1</v>
      </c>
      <c r="U346" s="3">
        <f>N346+Q346+S346</f>
      </c>
      <c r="V346" s="3">
        <f>I346-J346-O346-P346-Q346-R346-S346-T346</f>
      </c>
      <c r="W346" s="3">
        <f>(V346-AE346)/H346*100</f>
      </c>
      <c r="X346" s="3">
        <f>J346-U346</f>
      </c>
      <c r="Y346" t="s">
        <v>1</v>
      </c>
      <c r="Z346" t="s">
        <v>90</v>
      </c>
      <c r="AF346" s="3">
        <f>V346-AE346</f>
      </c>
      <c r="AG346" t="s">
        <v>65</v>
      </c>
      <c r="AH346" t="s">
        <v>87</v>
      </c>
    </row>
    <row r="347" spans="1:34" x14ac:dyDescent="0.25">
      <c r="A347" s="7">
        <v>46173.5</v>
      </c>
      <c r="B347" t="s">
        <v>2086</v>
      </c>
      <c r="C347" t="s">
        <v>1</v>
      </c>
      <c r="D347" s="8" t="s">
        <v>2087</v>
      </c>
      <c r="E347" t="s">
        <v>77</v>
      </c>
      <c r="F347">
        <v>1</v>
      </c>
      <c r="G347" s="3">
        <v>139</v>
      </c>
      <c r="H347" s="3">
        <v>201.55</v>
      </c>
      <c r="I347" s="3">
        <f>H347-G347</f>
      </c>
      <c r="J347" s="3">
        <f>I347*16.67%</f>
      </c>
      <c r="K347" s="3">
        <f>(H347*6.9%)-(H347*6.9%)*10%</f>
      </c>
      <c r="L347" s="3">
        <f>H347*0.35%</f>
      </c>
      <c r="M347" s="3">
        <v>0.4</v>
      </c>
      <c r="N347" s="3">
        <f>(K347+L347+M347)*20%</f>
      </c>
      <c r="O347" s="3">
        <f>K347+L347+M347+N347</f>
      </c>
      <c r="P347" s="3">
        <v>0</v>
      </c>
      <c r="Q347" s="3">
        <v>0</v>
      </c>
      <c r="R347" s="3">
        <v>0</v>
      </c>
      <c r="S347" s="3">
        <f>R347*20%</f>
      </c>
      <c r="T347" s="3">
        <v>1</v>
      </c>
      <c r="U347" s="3">
        <f>N347+Q347+S347</f>
      </c>
      <c r="V347" s="3">
        <f>I347-J347-O347-P347-Q347-R347-S347-T347</f>
      </c>
      <c r="W347" s="3">
        <f>(V347-AE347)/H347*100</f>
      </c>
      <c r="X347" s="3">
        <f>J347-U347</f>
      </c>
      <c r="Y347" t="s">
        <v>1</v>
      </c>
      <c r="Z347" t="s">
        <v>90</v>
      </c>
      <c r="AF347" s="3">
        <f>V347-AE347</f>
      </c>
      <c r="AG347" t="s">
        <v>65</v>
      </c>
      <c r="AH347" t="s">
        <v>84</v>
      </c>
    </row>
    <row r="348" spans="1:34" x14ac:dyDescent="0.25">
      <c r="A348" s="7">
        <v>46173.5</v>
      </c>
      <c r="B348" t="s">
        <v>2088</v>
      </c>
      <c r="C348" t="s">
        <v>1</v>
      </c>
      <c r="D348" s="8" t="s">
        <v>2089</v>
      </c>
      <c r="E348" t="s">
        <v>63</v>
      </c>
      <c r="F348">
        <v>1</v>
      </c>
      <c r="G348" s="3">
        <v>332</v>
      </c>
      <c r="H348" s="3">
        <v>421.64</v>
      </c>
      <c r="I348" s="3">
        <f>H348-G348</f>
      </c>
      <c r="J348" s="3">
        <f>I348*16.67%</f>
      </c>
      <c r="K348" s="3">
        <f>(H348*6.9%)-(H348*6.9%)*10%</f>
      </c>
      <c r="L348" s="3">
        <f>H348*0.35%</f>
      </c>
      <c r="M348" s="3">
        <v>0.4</v>
      </c>
      <c r="N348" s="3">
        <f>(K348+L348+M348)*20%</f>
      </c>
      <c r="O348" s="3">
        <f>K348+L348+M348+N348</f>
      </c>
      <c r="P348" s="3">
        <v>0</v>
      </c>
      <c r="Q348" s="3">
        <v>0</v>
      </c>
      <c r="R348" s="3">
        <v>0</v>
      </c>
      <c r="S348" s="3">
        <f>R348*20%</f>
      </c>
      <c r="T348" s="3">
        <v>1</v>
      </c>
      <c r="U348" s="3">
        <f>N348+Q348+S348</f>
      </c>
      <c r="V348" s="3">
        <f>I348-J348-O348-P348-Q348-R348-S348-T348</f>
      </c>
      <c r="W348" s="3">
        <f>(V348-AE348)/H348*100</f>
      </c>
      <c r="X348" s="3">
        <f>J348-U348</f>
      </c>
      <c r="Y348" t="s">
        <v>1</v>
      </c>
      <c r="Z348" t="s">
        <v>73</v>
      </c>
      <c r="AF348" s="3">
        <f>V348-AE348</f>
      </c>
      <c r="AG348" t="s">
        <v>59</v>
      </c>
      <c r="AH348" t="s">
        <v>87</v>
      </c>
    </row>
    <row r="349" spans="1:34" x14ac:dyDescent="0.25">
      <c r="A349" s="7">
        <v>46173.5</v>
      </c>
      <c r="B349" t="s">
        <v>2090</v>
      </c>
      <c r="C349" t="s">
        <v>253</v>
      </c>
      <c r="D349" s="8" t="s">
        <v>1</v>
      </c>
      <c r="E349" t="s">
        <v>57</v>
      </c>
      <c r="F349">
        <v>2</v>
      </c>
      <c r="G349" s="3">
        <v>1.6</v>
      </c>
      <c r="H349" s="3">
        <v>2.32</v>
      </c>
      <c r="I349" s="3">
        <f>H349-G349</f>
      </c>
      <c r="J349" s="3">
        <f>I349*16.67%</f>
      </c>
      <c r="K349" s="3">
        <f>(H349*6.9%)-(H349*6.9%)*10%</f>
      </c>
      <c r="L349" s="3">
        <f>H349*0.35%</f>
      </c>
      <c r="M349" s="3">
        <v>0.4</v>
      </c>
      <c r="N349" s="3">
        <f>(K349+L349+M349)*20%</f>
      </c>
      <c r="O349" s="3">
        <f>K349+L349+M349+N349</f>
      </c>
      <c r="P349" s="3">
        <v>0</v>
      </c>
      <c r="Q349" s="3">
        <v>0</v>
      </c>
      <c r="R349" s="3">
        <v>0</v>
      </c>
      <c r="S349" s="3">
        <f>R349*20%</f>
      </c>
      <c r="T349" s="3">
        <v>1</v>
      </c>
      <c r="U349" s="3">
        <f>N349+Q349+S349</f>
      </c>
      <c r="V349" s="3">
        <f>I349-J349-O349-P349-Q349-R349-S349-T349</f>
      </c>
      <c r="W349" s="3">
        <f>(V349-AE349)/H349*100</f>
      </c>
      <c r="X349" s="3">
        <f>J349-U349</f>
      </c>
      <c r="Y349" t="s">
        <v>1</v>
      </c>
      <c r="Z349" t="s">
        <v>253</v>
      </c>
      <c r="AF349" s="3">
        <f>V349-AE349</f>
      </c>
      <c r="AG349" t="s">
        <v>1</v>
      </c>
      <c r="AH349" t="s">
        <v>1</v>
      </c>
    </row>
    <row r="350" spans="1:34" x14ac:dyDescent="0.25">
      <c r="A350" s="7">
        <v>46172.5</v>
      </c>
      <c r="B350" t="s">
        <v>2091</v>
      </c>
      <c r="C350" t="s">
        <v>1</v>
      </c>
      <c r="D350" s="8" t="s">
        <v>2092</v>
      </c>
      <c r="E350" t="s">
        <v>77</v>
      </c>
      <c r="F350">
        <v>1</v>
      </c>
      <c r="G350" s="3">
        <v>237</v>
      </c>
      <c r="H350" s="3">
        <v>296.25</v>
      </c>
      <c r="I350" s="3">
        <f>H350-G350</f>
      </c>
      <c r="J350" s="3">
        <f>I350*16.67%</f>
      </c>
      <c r="K350" s="3">
        <f>(H350*6.9%)-(H350*6.9%)*10%</f>
      </c>
      <c r="L350" s="3">
        <f>H350*0.35%</f>
      </c>
      <c r="M350" s="3">
        <v>0.4</v>
      </c>
      <c r="N350" s="3">
        <f>(K350+L350+M350)*20%</f>
      </c>
      <c r="O350" s="3">
        <f>K350+L350+M350+N350</f>
      </c>
      <c r="P350" s="3">
        <v>0</v>
      </c>
      <c r="Q350" s="3">
        <v>0</v>
      </c>
      <c r="R350" s="3">
        <v>0</v>
      </c>
      <c r="S350" s="3">
        <f>R350*20%</f>
      </c>
      <c r="T350" s="3">
        <v>1</v>
      </c>
      <c r="U350" s="3">
        <f>N350+Q350+S350</f>
      </c>
      <c r="V350" s="3">
        <f>I350-J350-O350-P350-Q350-R350-S350-T350</f>
      </c>
      <c r="W350" s="3">
        <f>(V350-AE350)/H350*100</f>
      </c>
      <c r="X350" s="3">
        <f>J350-U350</f>
      </c>
      <c r="Y350" t="s">
        <v>1</v>
      </c>
      <c r="Z350" t="s">
        <v>124</v>
      </c>
      <c r="AF350" s="3">
        <f>V350-AE350</f>
      </c>
      <c r="AG350" t="s">
        <v>125</v>
      </c>
      <c r="AH350" t="s">
        <v>74</v>
      </c>
    </row>
    <row r="351" spans="1:34" x14ac:dyDescent="0.25">
      <c r="A351" s="7">
        <v>46172.5</v>
      </c>
      <c r="B351" t="s">
        <v>2093</v>
      </c>
      <c r="C351" t="s">
        <v>1</v>
      </c>
      <c r="D351" s="8" t="s">
        <v>2094</v>
      </c>
      <c r="E351" t="s">
        <v>63</v>
      </c>
      <c r="F351">
        <v>1</v>
      </c>
      <c r="G351" s="3">
        <v>179</v>
      </c>
      <c r="H351" s="3">
        <v>213.01</v>
      </c>
      <c r="I351" s="3">
        <f>H351-G351</f>
      </c>
      <c r="J351" s="3">
        <f>I351*16.67%</f>
      </c>
      <c r="K351" s="3">
        <f>(H351*6.9%)-(H351*6.9%)*10%</f>
      </c>
      <c r="L351" s="3">
        <f>H351*0.35%</f>
      </c>
      <c r="M351" s="3">
        <v>0.4</v>
      </c>
      <c r="N351" s="3">
        <f>(K351+L351+M351)*20%</f>
      </c>
      <c r="O351" s="3">
        <f>K351+L351+M351+N351</f>
      </c>
      <c r="P351" s="3">
        <v>0</v>
      </c>
      <c r="Q351" s="3">
        <v>0</v>
      </c>
      <c r="R351" s="3">
        <v>0</v>
      </c>
      <c r="S351" s="3">
        <f>R351*20%</f>
      </c>
      <c r="T351" s="3">
        <v>1</v>
      </c>
      <c r="U351" s="3">
        <f>N351+Q351+S351</f>
      </c>
      <c r="V351" s="3">
        <f>I351-J351-O351-P351-Q351-R351-S351-T351</f>
      </c>
      <c r="W351" s="3">
        <f>(V351-AE351)/H351*100</f>
      </c>
      <c r="X351" s="3">
        <f>J351-U351</f>
      </c>
      <c r="Y351" t="s">
        <v>1</v>
      </c>
      <c r="Z351" t="s">
        <v>291</v>
      </c>
      <c r="AF351" s="3">
        <f>V351-AE351</f>
      </c>
      <c r="AG351" t="s">
        <v>125</v>
      </c>
      <c r="AH351" t="s">
        <v>98</v>
      </c>
    </row>
    <row r="352" spans="1:34" x14ac:dyDescent="0.25">
      <c r="A352" s="7">
        <v>46172.5</v>
      </c>
      <c r="B352" t="s">
        <v>2095</v>
      </c>
      <c r="C352" t="s">
        <v>1</v>
      </c>
      <c r="D352" s="8" t="s">
        <v>2096</v>
      </c>
      <c r="E352" t="s">
        <v>77</v>
      </c>
      <c r="F352">
        <v>1</v>
      </c>
      <c r="G352" s="3">
        <v>288</v>
      </c>
      <c r="H352" s="3">
        <v>371.52</v>
      </c>
      <c r="I352" s="3">
        <f>H352-G352</f>
      </c>
      <c r="J352" s="3">
        <f>I352*16.67%</f>
      </c>
      <c r="K352" s="3">
        <f>(H352*6.9%)-(H352*6.9%)*10%</f>
      </c>
      <c r="L352" s="3">
        <f>H352*0.35%</f>
      </c>
      <c r="M352" s="3">
        <v>0.4</v>
      </c>
      <c r="N352" s="3">
        <f>(K352+L352+M352)*20%</f>
      </c>
      <c r="O352" s="3">
        <f>K352+L352+M352+N352</f>
      </c>
      <c r="P352" s="3">
        <v>0</v>
      </c>
      <c r="Q352" s="3">
        <v>0</v>
      </c>
      <c r="R352" s="3">
        <v>0</v>
      </c>
      <c r="S352" s="3">
        <f>R352*20%</f>
      </c>
      <c r="T352" s="3">
        <v>1</v>
      </c>
      <c r="U352" s="3">
        <f>N352+Q352+S352</f>
      </c>
      <c r="V352" s="3">
        <f>I352-J352-O352-P352-Q352-R352-S352-T352</f>
      </c>
      <c r="W352" s="3">
        <f>(V352-AE352)/H352*100</f>
      </c>
      <c r="X352" s="3">
        <f>J352-U352</f>
      </c>
      <c r="Y352" t="s">
        <v>1</v>
      </c>
      <c r="Z352" t="s">
        <v>124</v>
      </c>
      <c r="AF352" s="3">
        <f>V352-AE352</f>
      </c>
      <c r="AG352" t="s">
        <v>125</v>
      </c>
      <c r="AH352" t="s">
        <v>69</v>
      </c>
    </row>
    <row r="353" spans="1:34" x14ac:dyDescent="0.25">
      <c r="A353" s="7">
        <v>46172.5</v>
      </c>
      <c r="B353" t="s">
        <v>2097</v>
      </c>
      <c r="C353" t="s">
        <v>1</v>
      </c>
      <c r="D353" s="8" t="s">
        <v>2098</v>
      </c>
      <c r="E353" t="s">
        <v>72</v>
      </c>
      <c r="F353">
        <v>1</v>
      </c>
      <c r="G353" s="3">
        <v>720</v>
      </c>
      <c r="H353" s="3">
        <v>849.6</v>
      </c>
      <c r="I353" s="3">
        <f>H353-G353</f>
      </c>
      <c r="J353" s="3">
        <f>I353*16.67%</f>
      </c>
      <c r="K353" s="3">
        <f>(H353*6.9%)-(H353*6.9%)*10%</f>
      </c>
      <c r="L353" s="3">
        <f>H353*0.35%</f>
      </c>
      <c r="M353" s="3">
        <v>0.4</v>
      </c>
      <c r="N353" s="3">
        <f>(K353+L353+M353)*20%</f>
      </c>
      <c r="O353" s="3">
        <f>K353+L353+M353+N353</f>
      </c>
      <c r="P353" s="3">
        <v>0</v>
      </c>
      <c r="Q353" s="3">
        <v>0</v>
      </c>
      <c r="R353" s="3">
        <v>0</v>
      </c>
      <c r="S353" s="3">
        <f>R353*20%</f>
      </c>
      <c r="T353" s="3">
        <v>1</v>
      </c>
      <c r="U353" s="3">
        <f>N353+Q353+S353</f>
      </c>
      <c r="V353" s="3">
        <f>I353-J353-O353-P353-Q353-R353-S353-T353</f>
      </c>
      <c r="W353" s="3">
        <f>(V353-AE353)/H353*100</f>
      </c>
      <c r="X353" s="3">
        <f>J353-U353</f>
      </c>
      <c r="Y353" t="s">
        <v>1</v>
      </c>
      <c r="Z353" t="s">
        <v>83</v>
      </c>
      <c r="AF353" s="3">
        <f>V353-AE353</f>
      </c>
      <c r="AG353" t="s">
        <v>59</v>
      </c>
      <c r="AH353" t="s">
        <v>98</v>
      </c>
    </row>
    <row r="354" spans="1:34" x14ac:dyDescent="0.25">
      <c r="A354" s="7">
        <v>46172.5</v>
      </c>
      <c r="B354" t="s">
        <v>2099</v>
      </c>
      <c r="C354" t="s">
        <v>1</v>
      </c>
      <c r="D354" s="8" t="s">
        <v>2100</v>
      </c>
      <c r="E354" t="s">
        <v>101</v>
      </c>
      <c r="F354">
        <v>1</v>
      </c>
      <c r="G354" s="3">
        <v>296</v>
      </c>
      <c r="H354" s="3">
        <v>405.52</v>
      </c>
      <c r="I354" s="3">
        <f>H354-G354</f>
      </c>
      <c r="J354" s="3">
        <f>I354*16.67%</f>
      </c>
      <c r="K354" s="3">
        <f>(H354*6.9%)-(H354*6.9%)*10%</f>
      </c>
      <c r="L354" s="3">
        <f>H354*0.35%</f>
      </c>
      <c r="M354" s="3">
        <v>0.4</v>
      </c>
      <c r="N354" s="3">
        <f>(K354+L354+M354)*20%</f>
      </c>
      <c r="O354" s="3">
        <f>K354+L354+M354+N354</f>
      </c>
      <c r="P354" s="3">
        <v>0</v>
      </c>
      <c r="Q354" s="3">
        <v>0</v>
      </c>
      <c r="R354" s="3">
        <v>0</v>
      </c>
      <c r="S354" s="3">
        <f>R354*20%</f>
      </c>
      <c r="T354" s="3">
        <v>1</v>
      </c>
      <c r="U354" s="3">
        <f>N354+Q354+S354</f>
      </c>
      <c r="V354" s="3">
        <f>I354-J354-O354-P354-Q354-R354-S354-T354</f>
      </c>
      <c r="W354" s="3">
        <f>(V354-AE354)/H354*100</f>
      </c>
      <c r="X354" s="3">
        <f>J354-U354</f>
      </c>
      <c r="Y354" t="s">
        <v>1</v>
      </c>
      <c r="Z354" t="s">
        <v>97</v>
      </c>
      <c r="AF354" s="3">
        <f>V354-AE354</f>
      </c>
      <c r="AG354" t="s">
        <v>59</v>
      </c>
      <c r="AH354" t="s">
        <v>98</v>
      </c>
    </row>
    <row r="355" spans="1:34" x14ac:dyDescent="0.25">
      <c r="A355" s="7">
        <v>46172.5</v>
      </c>
      <c r="B355" t="s">
        <v>2101</v>
      </c>
      <c r="C355" t="s">
        <v>1</v>
      </c>
      <c r="D355" s="8" t="s">
        <v>2102</v>
      </c>
      <c r="E355" t="s">
        <v>77</v>
      </c>
      <c r="F355">
        <v>1</v>
      </c>
      <c r="G355" s="3">
        <v>570</v>
      </c>
      <c r="H355" s="3">
        <v>666.9</v>
      </c>
      <c r="I355" s="3">
        <f>H355-G355</f>
      </c>
      <c r="J355" s="3">
        <f>I355*16.67%</f>
      </c>
      <c r="K355" s="3">
        <f>(H355*6.9%)-(H355*6.9%)*10%</f>
      </c>
      <c r="L355" s="3">
        <f>H355*0.35%</f>
      </c>
      <c r="M355" s="3">
        <v>0.4</v>
      </c>
      <c r="N355" s="3">
        <f>(K355+L355+M355)*20%</f>
      </c>
      <c r="O355" s="3">
        <f>K355+L355+M355+N355</f>
      </c>
      <c r="P355" s="3">
        <v>0</v>
      </c>
      <c r="Q355" s="3">
        <v>0</v>
      </c>
      <c r="R355" s="3">
        <v>0</v>
      </c>
      <c r="S355" s="3">
        <f>R355*20%</f>
      </c>
      <c r="T355" s="3">
        <v>1</v>
      </c>
      <c r="U355" s="3">
        <f>N355+Q355+S355</f>
      </c>
      <c r="V355" s="3">
        <f>I355-J355-O355-P355-Q355-R355-S355-T355</f>
      </c>
      <c r="W355" s="3">
        <f>(V355-AE355)/H355*100</f>
      </c>
      <c r="X355" s="3">
        <f>J355-U355</f>
      </c>
      <c r="Y355" t="s">
        <v>1</v>
      </c>
      <c r="Z355" t="s">
        <v>80</v>
      </c>
      <c r="AF355" s="3">
        <f>V355-AE355</f>
      </c>
      <c r="AG355" t="s">
        <v>59</v>
      </c>
      <c r="AH355" t="s">
        <v>60</v>
      </c>
    </row>
    <row r="356" spans="1:34" x14ac:dyDescent="0.25">
      <c r="A356" s="7">
        <v>46172.5</v>
      </c>
      <c r="B356" t="s">
        <v>2103</v>
      </c>
      <c r="C356" t="s">
        <v>1</v>
      </c>
      <c r="D356" s="8" t="s">
        <v>2104</v>
      </c>
      <c r="E356" t="s">
        <v>72</v>
      </c>
      <c r="F356">
        <v>1</v>
      </c>
      <c r="G356" s="3">
        <v>323</v>
      </c>
      <c r="H356" s="3">
        <v>468.35</v>
      </c>
      <c r="I356" s="3">
        <f>H356-G356</f>
      </c>
      <c r="J356" s="3">
        <f>I356*16.67%</f>
      </c>
      <c r="K356" s="3">
        <f>(H356*6.9%)-(H356*6.9%)*10%</f>
      </c>
      <c r="L356" s="3">
        <f>H356*0.35%</f>
      </c>
      <c r="M356" s="3">
        <v>0.4</v>
      </c>
      <c r="N356" s="3">
        <f>(K356+L356+M356)*20%</f>
      </c>
      <c r="O356" s="3">
        <f>K356+L356+M356+N356</f>
      </c>
      <c r="P356" s="3">
        <v>0</v>
      </c>
      <c r="Q356" s="3">
        <v>0</v>
      </c>
      <c r="R356" s="3">
        <v>0</v>
      </c>
      <c r="S356" s="3">
        <f>R356*20%</f>
      </c>
      <c r="T356" s="3">
        <v>1</v>
      </c>
      <c r="U356" s="3">
        <f>N356+Q356+S356</f>
      </c>
      <c r="V356" s="3">
        <f>I356-J356-O356-P356-Q356-R356-S356-T356</f>
      </c>
      <c r="W356" s="3">
        <f>(V356-AE356)/H356*100</f>
      </c>
      <c r="X356" s="3">
        <f>J356-U356</f>
      </c>
      <c r="Y356" t="s">
        <v>1</v>
      </c>
      <c r="Z356" t="s">
        <v>73</v>
      </c>
      <c r="AF356" s="3">
        <f>V356-AE356</f>
      </c>
      <c r="AG356" t="s">
        <v>59</v>
      </c>
      <c r="AH356" t="s">
        <v>84</v>
      </c>
    </row>
    <row r="357" spans="1:34" x14ac:dyDescent="0.25">
      <c r="A357" s="7">
        <v>46172.5</v>
      </c>
      <c r="B357" t="s">
        <v>2105</v>
      </c>
      <c r="C357" t="s">
        <v>1</v>
      </c>
      <c r="D357" s="8" t="s">
        <v>2106</v>
      </c>
      <c r="E357" t="s">
        <v>77</v>
      </c>
      <c r="F357">
        <v>1</v>
      </c>
      <c r="G357" s="3">
        <v>723</v>
      </c>
      <c r="H357" s="3">
        <v>838.68</v>
      </c>
      <c r="I357" s="3">
        <f>H357-G357</f>
      </c>
      <c r="J357" s="3">
        <f>I357*16.67%</f>
      </c>
      <c r="K357" s="3">
        <f>(H357*6.9%)-(H357*6.9%)*10%</f>
      </c>
      <c r="L357" s="3">
        <f>H357*0.35%</f>
      </c>
      <c r="M357" s="3">
        <v>0.4</v>
      </c>
      <c r="N357" s="3">
        <f>(K357+L357+M357)*20%</f>
      </c>
      <c r="O357" s="3">
        <f>K357+L357+M357+N357</f>
      </c>
      <c r="P357" s="3">
        <v>0</v>
      </c>
      <c r="Q357" s="3">
        <v>0</v>
      </c>
      <c r="R357" s="3">
        <v>0</v>
      </c>
      <c r="S357" s="3">
        <f>R357*20%</f>
      </c>
      <c r="T357" s="3">
        <v>1</v>
      </c>
      <c r="U357" s="3">
        <f>N357+Q357+S357</f>
      </c>
      <c r="V357" s="3">
        <f>I357-J357-O357-P357-Q357-R357-S357-T357</f>
      </c>
      <c r="W357" s="3">
        <f>(V357-AE357)/H357*100</f>
      </c>
      <c r="X357" s="3">
        <f>J357-U357</f>
      </c>
      <c r="Y357" t="s">
        <v>1</v>
      </c>
      <c r="Z357" t="s">
        <v>83</v>
      </c>
      <c r="AF357" s="3">
        <f>V357-AE357</f>
      </c>
      <c r="AG357" t="s">
        <v>59</v>
      </c>
      <c r="AH357" t="s">
        <v>87</v>
      </c>
    </row>
    <row r="358" spans="1:34" x14ac:dyDescent="0.25">
      <c r="A358" s="7">
        <v>46172.5</v>
      </c>
      <c r="B358" t="s">
        <v>2107</v>
      </c>
      <c r="C358" t="s">
        <v>1</v>
      </c>
      <c r="D358" s="8" t="s">
        <v>2108</v>
      </c>
      <c r="E358" t="s">
        <v>101</v>
      </c>
      <c r="F358">
        <v>1</v>
      </c>
      <c r="G358" s="3">
        <v>738</v>
      </c>
      <c r="H358" s="3">
        <v>907.74</v>
      </c>
      <c r="I358" s="3">
        <f>H358-G358</f>
      </c>
      <c r="J358" s="3">
        <f>I358*16.67%</f>
      </c>
      <c r="K358" s="3">
        <f>(H358*6.9%)-(H358*6.9%)*10%</f>
      </c>
      <c r="L358" s="3">
        <f>H358*0.35%</f>
      </c>
      <c r="M358" s="3">
        <v>0.4</v>
      </c>
      <c r="N358" s="3">
        <f>(K358+L358+M358)*20%</f>
      </c>
      <c r="O358" s="3">
        <f>K358+L358+M358+N358</f>
      </c>
      <c r="P358" s="3">
        <v>0</v>
      </c>
      <c r="Q358" s="3">
        <v>0</v>
      </c>
      <c r="R358" s="3">
        <v>0</v>
      </c>
      <c r="S358" s="3">
        <f>R358*20%</f>
      </c>
      <c r="T358" s="3">
        <v>1</v>
      </c>
      <c r="U358" s="3">
        <f>N358+Q358+S358</f>
      </c>
      <c r="V358" s="3">
        <f>I358-J358-O358-P358-Q358-R358-S358-T358</f>
      </c>
      <c r="W358" s="3">
        <f>(V358-AE358)/H358*100</f>
      </c>
      <c r="X358" s="3">
        <f>J358-U358</f>
      </c>
      <c r="Y358" t="s">
        <v>1</v>
      </c>
      <c r="Z358" t="s">
        <v>83</v>
      </c>
      <c r="AF358" s="3">
        <f>V358-AE358</f>
      </c>
      <c r="AG358" t="s">
        <v>59</v>
      </c>
      <c r="AH358" t="s">
        <v>74</v>
      </c>
    </row>
    <row r="359" spans="1:34" x14ac:dyDescent="0.25">
      <c r="A359" s="7">
        <v>46172.5</v>
      </c>
      <c r="B359" t="s">
        <v>2109</v>
      </c>
      <c r="C359" t="s">
        <v>1</v>
      </c>
      <c r="D359" s="8" t="s">
        <v>1</v>
      </c>
      <c r="E359" t="s">
        <v>77</v>
      </c>
      <c r="F359">
        <v>1</v>
      </c>
      <c r="G359" s="3">
        <v>315</v>
      </c>
      <c r="H359" s="3">
        <v>400.05</v>
      </c>
      <c r="I359" s="3">
        <f>H359-G359</f>
      </c>
      <c r="J359" s="3">
        <f>I359*16.67%</f>
      </c>
      <c r="K359" s="3">
        <f>(H359*6.9%)-(H359*6.9%)*10%</f>
      </c>
      <c r="L359" s="3">
        <f>H359*0.35%</f>
      </c>
      <c r="M359" s="3">
        <v>0.4</v>
      </c>
      <c r="N359" s="3">
        <f>(K359+L359+M359)*20%</f>
      </c>
      <c r="O359" s="3">
        <f>K359+L359+M359+N359</f>
      </c>
      <c r="P359" s="3">
        <v>0</v>
      </c>
      <c r="Q359" s="3">
        <v>0</v>
      </c>
      <c r="R359" s="3">
        <v>0</v>
      </c>
      <c r="S359" s="3">
        <f>R359*20%</f>
      </c>
      <c r="T359" s="3">
        <v>1</v>
      </c>
      <c r="U359" s="3">
        <f>N359+Q359+S359</f>
      </c>
      <c r="V359" s="3">
        <f>I359-J359-O359-P359-Q359-R359-S359-T359</f>
      </c>
      <c r="W359" s="3">
        <f>(V359-AE359)/H359*100</f>
      </c>
      <c r="X359" s="3">
        <f>J359-U359</f>
      </c>
      <c r="Y359" t="s">
        <v>1</v>
      </c>
      <c r="Z359" t="s">
        <v>1</v>
      </c>
      <c r="AF359" s="3">
        <f>V359-AE359</f>
      </c>
      <c r="AG359" t="s">
        <v>1</v>
      </c>
      <c r="AH359" t="s">
        <v>1</v>
      </c>
    </row>
    <row r="360" spans="1:34" x14ac:dyDescent="0.25">
      <c r="A360" s="7">
        <v>46171.5</v>
      </c>
      <c r="B360" t="s">
        <v>2110</v>
      </c>
      <c r="C360" t="s">
        <v>1</v>
      </c>
      <c r="D360" s="8" t="s">
        <v>2111</v>
      </c>
      <c r="E360" t="s">
        <v>63</v>
      </c>
      <c r="F360">
        <v>1</v>
      </c>
      <c r="G360" s="3">
        <v>328</v>
      </c>
      <c r="H360" s="3">
        <v>429.68</v>
      </c>
      <c r="I360" s="3">
        <f>H360-G360</f>
      </c>
      <c r="J360" s="3">
        <f>I360*16.67%</f>
      </c>
      <c r="K360" s="3">
        <f>(H360*6.9%)-(H360*6.9%)*10%</f>
      </c>
      <c r="L360" s="3">
        <f>H360*0.35%</f>
      </c>
      <c r="M360" s="3">
        <v>0.4</v>
      </c>
      <c r="N360" s="3">
        <f>(K360+L360+M360)*20%</f>
      </c>
      <c r="O360" s="3">
        <f>K360+L360+M360+N360</f>
      </c>
      <c r="P360" s="3">
        <v>0</v>
      </c>
      <c r="Q360" s="3">
        <v>0</v>
      </c>
      <c r="R360" s="3">
        <v>0</v>
      </c>
      <c r="S360" s="3">
        <f>R360*20%</f>
      </c>
      <c r="T360" s="3">
        <v>1</v>
      </c>
      <c r="U360" s="3">
        <f>N360+Q360+S360</f>
      </c>
      <c r="V360" s="3">
        <f>I360-J360-O360-P360-Q360-R360-S360-T360</f>
      </c>
      <c r="W360" s="3">
        <f>(V360-AE360)/H360*100</f>
      </c>
      <c r="X360" s="3">
        <f>J360-U360</f>
      </c>
      <c r="Y360" t="s">
        <v>1</v>
      </c>
      <c r="Z360" t="s">
        <v>138</v>
      </c>
      <c r="AF360" s="3">
        <f>V360-AE360</f>
      </c>
      <c r="AG360" t="s">
        <v>59</v>
      </c>
      <c r="AH360" t="s">
        <v>104</v>
      </c>
    </row>
    <row r="361" spans="1:34" x14ac:dyDescent="0.25">
      <c r="A361" s="7">
        <v>46171.5</v>
      </c>
      <c r="B361" t="s">
        <v>2112</v>
      </c>
      <c r="C361" t="s">
        <v>1</v>
      </c>
      <c r="D361" s="8" t="s">
        <v>2113</v>
      </c>
      <c r="E361" t="s">
        <v>72</v>
      </c>
      <c r="F361">
        <v>1</v>
      </c>
      <c r="G361" s="3">
        <v>135</v>
      </c>
      <c r="H361" s="3">
        <v>187.65</v>
      </c>
      <c r="I361" s="3">
        <f>H361-G361</f>
      </c>
      <c r="J361" s="3">
        <f>I361*16.67%</f>
      </c>
      <c r="K361" s="3">
        <f>(H361*6.9%)-(H361*6.9%)*10%</f>
      </c>
      <c r="L361" s="3">
        <f>H361*0.35%</f>
      </c>
      <c r="M361" s="3">
        <v>0.4</v>
      </c>
      <c r="N361" s="3">
        <f>(K361+L361+M361)*20%</f>
      </c>
      <c r="O361" s="3">
        <f>K361+L361+M361+N361</f>
      </c>
      <c r="P361" s="3">
        <v>0</v>
      </c>
      <c r="Q361" s="3">
        <v>0</v>
      </c>
      <c r="R361" s="3">
        <v>0</v>
      </c>
      <c r="S361" s="3">
        <f>R361*20%</f>
      </c>
      <c r="T361" s="3">
        <v>1</v>
      </c>
      <c r="U361" s="3">
        <f>N361+Q361+S361</f>
      </c>
      <c r="V361" s="3">
        <f>I361-J361-O361-P361-Q361-R361-S361-T361</f>
      </c>
      <c r="W361" s="3">
        <f>(V361-AE361)/H361*100</f>
      </c>
      <c r="X361" s="3">
        <f>J361-U361</f>
      </c>
      <c r="Y361" t="s">
        <v>1</v>
      </c>
      <c r="Z361" t="s">
        <v>90</v>
      </c>
      <c r="AF361" s="3">
        <f>V361-AE361</f>
      </c>
      <c r="AG361" t="s">
        <v>65</v>
      </c>
      <c r="AH361" t="s">
        <v>98</v>
      </c>
    </row>
    <row r="362" spans="1:34" x14ac:dyDescent="0.25">
      <c r="A362" s="7">
        <v>46171.5</v>
      </c>
      <c r="B362" t="s">
        <v>2114</v>
      </c>
      <c r="C362" t="s">
        <v>1</v>
      </c>
      <c r="D362" s="8" t="s">
        <v>2115</v>
      </c>
      <c r="E362" t="s">
        <v>72</v>
      </c>
      <c r="F362">
        <v>1</v>
      </c>
      <c r="G362" s="3">
        <v>229</v>
      </c>
      <c r="H362" s="3">
        <v>265.64</v>
      </c>
      <c r="I362" s="3">
        <f>H362-G362</f>
      </c>
      <c r="J362" s="3">
        <f>I362*16.67%</f>
      </c>
      <c r="K362" s="3">
        <f>(H362*6.9%)-(H362*6.9%)*10%</f>
      </c>
      <c r="L362" s="3">
        <f>H362*0.35%</f>
      </c>
      <c r="M362" s="3">
        <v>0.4</v>
      </c>
      <c r="N362" s="3">
        <f>(K362+L362+M362)*20%</f>
      </c>
      <c r="O362" s="3">
        <f>K362+L362+M362+N362</f>
      </c>
      <c r="P362" s="3">
        <v>0</v>
      </c>
      <c r="Q362" s="3">
        <v>0</v>
      </c>
      <c r="R362" s="3">
        <v>0</v>
      </c>
      <c r="S362" s="3">
        <f>R362*20%</f>
      </c>
      <c r="T362" s="3">
        <v>1</v>
      </c>
      <c r="U362" s="3">
        <f>N362+Q362+S362</f>
      </c>
      <c r="V362" s="3">
        <f>I362-J362-O362-P362-Q362-R362-S362-T362</f>
      </c>
      <c r="W362" s="3">
        <f>(V362-AE362)/H362*100</f>
      </c>
      <c r="X362" s="3">
        <f>J362-U362</f>
      </c>
      <c r="Y362" t="s">
        <v>1</v>
      </c>
      <c r="Z362" t="s">
        <v>64</v>
      </c>
      <c r="AF362" s="3">
        <f>V362-AE362</f>
      </c>
      <c r="AG362" t="s">
        <v>65</v>
      </c>
      <c r="AH362" t="s">
        <v>104</v>
      </c>
    </row>
    <row r="363" spans="1:34" x14ac:dyDescent="0.25">
      <c r="A363" s="7">
        <v>46171.5</v>
      </c>
      <c r="B363" t="s">
        <v>2116</v>
      </c>
      <c r="C363" t="s">
        <v>176</v>
      </c>
      <c r="D363" s="8" t="s">
        <v>1</v>
      </c>
      <c r="E363" t="s">
        <v>77</v>
      </c>
      <c r="F363">
        <v>1</v>
      </c>
      <c r="G363" s="3">
        <v>0.15</v>
      </c>
      <c r="H363" s="3">
        <v>0.18</v>
      </c>
      <c r="I363" s="3">
        <f>H363-G363</f>
      </c>
      <c r="J363" s="3">
        <f>I363*16.67%</f>
      </c>
      <c r="K363" s="3">
        <f>(H363*6.9%)-(H363*6.9%)*10%</f>
      </c>
      <c r="L363" s="3">
        <f>H363*0.35%</f>
      </c>
      <c r="M363" s="3">
        <v>0.4</v>
      </c>
      <c r="N363" s="3">
        <f>(K363+L363+M363)*20%</f>
      </c>
      <c r="O363" s="3">
        <f>K363+L363+M363+N363</f>
      </c>
      <c r="P363" s="3">
        <v>0</v>
      </c>
      <c r="Q363" s="3">
        <v>0</v>
      </c>
      <c r="R363" s="3">
        <v>0</v>
      </c>
      <c r="S363" s="3">
        <f>R363*20%</f>
      </c>
      <c r="T363" s="3">
        <v>1</v>
      </c>
      <c r="U363" s="3">
        <f>N363+Q363+S363</f>
      </c>
      <c r="V363" s="3">
        <f>I363-J363-O363-P363-Q363-R363-S363-T363</f>
      </c>
      <c r="W363" s="3">
        <f>(V363-AE363)/H363*100</f>
      </c>
      <c r="X363" s="3">
        <f>J363-U363</f>
      </c>
      <c r="Y363" t="s">
        <v>1</v>
      </c>
      <c r="Z363" t="s">
        <v>176</v>
      </c>
      <c r="AF363" s="3">
        <f>V363-AE363</f>
      </c>
      <c r="AG363" t="s">
        <v>1</v>
      </c>
      <c r="AH363" t="s">
        <v>1</v>
      </c>
    </row>
    <row r="364" spans="1:34" x14ac:dyDescent="0.25">
      <c r="A364" s="7">
        <v>46171.5</v>
      </c>
      <c r="B364" t="s">
        <v>2117</v>
      </c>
      <c r="C364" t="s">
        <v>253</v>
      </c>
      <c r="D364" s="8" t="s">
        <v>1</v>
      </c>
      <c r="E364" t="s">
        <v>57</v>
      </c>
      <c r="F364">
        <v>1</v>
      </c>
      <c r="G364" s="3">
        <v>0.8</v>
      </c>
      <c r="H364" s="3">
        <v>1.15</v>
      </c>
      <c r="I364" s="3">
        <f>H364-G364</f>
      </c>
      <c r="J364" s="3">
        <f>I364*16.67%</f>
      </c>
      <c r="K364" s="3">
        <f>(H364*6.9%)-(H364*6.9%)*10%</f>
      </c>
      <c r="L364" s="3">
        <f>H364*0.35%</f>
      </c>
      <c r="M364" s="3">
        <v>0.4</v>
      </c>
      <c r="N364" s="3">
        <f>(K364+L364+M364)*20%</f>
      </c>
      <c r="O364" s="3">
        <f>K364+L364+M364+N364</f>
      </c>
      <c r="P364" s="3">
        <v>0</v>
      </c>
      <c r="Q364" s="3">
        <v>0</v>
      </c>
      <c r="R364" s="3">
        <v>0</v>
      </c>
      <c r="S364" s="3">
        <f>R364*20%</f>
      </c>
      <c r="T364" s="3">
        <v>1</v>
      </c>
      <c r="U364" s="3">
        <f>N364+Q364+S364</f>
      </c>
      <c r="V364" s="3">
        <f>I364-J364-O364-P364-Q364-R364-S364-T364</f>
      </c>
      <c r="W364" s="3">
        <f>(V364-AE364)/H364*100</f>
      </c>
      <c r="X364" s="3">
        <f>J364-U364</f>
      </c>
      <c r="Y364" t="s">
        <v>1</v>
      </c>
      <c r="Z364" t="s">
        <v>253</v>
      </c>
      <c r="AF364" s="3">
        <f>V364-AE364</f>
      </c>
      <c r="AG364" t="s">
        <v>1</v>
      </c>
      <c r="AH364" t="s">
        <v>1</v>
      </c>
    </row>
    <row r="365" spans="1:34" x14ac:dyDescent="0.25">
      <c r="A365" s="7">
        <v>46171.5</v>
      </c>
      <c r="B365" t="s">
        <v>2118</v>
      </c>
      <c r="C365" t="s">
        <v>1</v>
      </c>
      <c r="D365" s="8" t="s">
        <v>1</v>
      </c>
      <c r="E365" t="s">
        <v>63</v>
      </c>
      <c r="F365">
        <v>1</v>
      </c>
      <c r="G365" s="3">
        <v>259</v>
      </c>
      <c r="H365" s="3">
        <v>365.19</v>
      </c>
      <c r="I365" s="3">
        <f>H365-G365</f>
      </c>
      <c r="J365" s="3">
        <f>I365*16.67%</f>
      </c>
      <c r="K365" s="3">
        <f>(H365*6.9%)-(H365*6.9%)*10%</f>
      </c>
      <c r="L365" s="3">
        <f>H365*0.35%</f>
      </c>
      <c r="M365" s="3">
        <v>0.4</v>
      </c>
      <c r="N365" s="3">
        <f>(K365+L365+M365)*20%</f>
      </c>
      <c r="O365" s="3">
        <f>K365+L365+M365+N365</f>
      </c>
      <c r="P365" s="3">
        <v>0</v>
      </c>
      <c r="Q365" s="3">
        <v>0</v>
      </c>
      <c r="R365" s="3">
        <v>0</v>
      </c>
      <c r="S365" s="3">
        <f>R365*20%</f>
      </c>
      <c r="T365" s="3">
        <v>1</v>
      </c>
      <c r="U365" s="3">
        <f>N365+Q365+S365</f>
      </c>
      <c r="V365" s="3">
        <f>I365-J365-O365-P365-Q365-R365-S365-T365</f>
      </c>
      <c r="W365" s="3">
        <f>(V365-AE365)/H365*100</f>
      </c>
      <c r="X365" s="3">
        <f>J365-U365</f>
      </c>
      <c r="Y365" t="s">
        <v>1</v>
      </c>
      <c r="Z365" t="s">
        <v>1</v>
      </c>
      <c r="AF365" s="3">
        <f>V365-AE365</f>
      </c>
      <c r="AG365" t="s">
        <v>1</v>
      </c>
      <c r="AH365" t="s">
        <v>1</v>
      </c>
    </row>
    <row r="366" spans="1:34" x14ac:dyDescent="0.25">
      <c r="A366" s="7">
        <v>46170.5</v>
      </c>
      <c r="B366" t="s">
        <v>2119</v>
      </c>
      <c r="C366" t="s">
        <v>1</v>
      </c>
      <c r="D366" s="8" t="s">
        <v>2120</v>
      </c>
      <c r="E366" t="s">
        <v>72</v>
      </c>
      <c r="F366">
        <v>1</v>
      </c>
      <c r="G366" s="3">
        <v>65</v>
      </c>
      <c r="H366" s="3">
        <v>91</v>
      </c>
      <c r="I366" s="3">
        <f>H366-G366</f>
      </c>
      <c r="J366" s="3">
        <f>I366*16.67%</f>
      </c>
      <c r="K366" s="3">
        <f>(H366*6.9%)-(H366*6.9%)*10%</f>
      </c>
      <c r="L366" s="3">
        <f>H366*0.35%</f>
      </c>
      <c r="M366" s="3">
        <v>0.4</v>
      </c>
      <c r="N366" s="3">
        <f>(K366+L366+M366)*20%</f>
      </c>
      <c r="O366" s="3">
        <f>K366+L366+M366+N366</f>
      </c>
      <c r="P366" s="3">
        <v>0</v>
      </c>
      <c r="Q366" s="3">
        <v>0</v>
      </c>
      <c r="R366" s="3">
        <v>0</v>
      </c>
      <c r="S366" s="3">
        <f>R366*20%</f>
      </c>
      <c r="T366" s="3">
        <v>1</v>
      </c>
      <c r="U366" s="3">
        <f>N366+Q366+S366</f>
      </c>
      <c r="V366" s="3">
        <f>I366-J366-O366-P366-Q366-R366-S366-T366</f>
      </c>
      <c r="W366" s="3">
        <f>(V366-AE366)/H366*100</f>
      </c>
      <c r="X366" s="3">
        <f>J366-U366</f>
      </c>
      <c r="Y366" t="s">
        <v>1</v>
      </c>
      <c r="Z366" t="s">
        <v>93</v>
      </c>
      <c r="AF366" s="3">
        <f>V366-AE366</f>
      </c>
      <c r="AG366" t="s">
        <v>94</v>
      </c>
      <c r="AH366" t="s">
        <v>104</v>
      </c>
    </row>
    <row r="367" spans="1:34" x14ac:dyDescent="0.25">
      <c r="A367" s="7">
        <v>46170.5</v>
      </c>
      <c r="B367" t="s">
        <v>2121</v>
      </c>
      <c r="C367" t="s">
        <v>1</v>
      </c>
      <c r="D367" s="8" t="s">
        <v>2122</v>
      </c>
      <c r="E367" t="s">
        <v>57</v>
      </c>
      <c r="F367">
        <v>1</v>
      </c>
      <c r="G367" s="3">
        <v>775</v>
      </c>
      <c r="H367" s="3">
        <v>1046.25</v>
      </c>
      <c r="I367" s="3">
        <f>H367-G367</f>
      </c>
      <c r="J367" s="3">
        <f>I367*16.67%</f>
      </c>
      <c r="K367" s="3">
        <f>(H367*6.9%)-(H367*6.9%)*10%</f>
      </c>
      <c r="L367" s="3">
        <f>H367*0.35%</f>
      </c>
      <c r="M367" s="3">
        <v>0.4</v>
      </c>
      <c r="N367" s="3">
        <f>(K367+L367+M367)*20%</f>
      </c>
      <c r="O367" s="3">
        <f>K367+L367+M367+N367</f>
      </c>
      <c r="P367" s="3">
        <v>0</v>
      </c>
      <c r="Q367" s="3">
        <v>0</v>
      </c>
      <c r="R367" s="3">
        <v>0</v>
      </c>
      <c r="S367" s="3">
        <f>R367*20%</f>
      </c>
      <c r="T367" s="3">
        <v>1</v>
      </c>
      <c r="U367" s="3">
        <f>N367+Q367+S367</f>
      </c>
      <c r="V367" s="3">
        <f>I367-J367-O367-P367-Q367-R367-S367-T367</f>
      </c>
      <c r="W367" s="3">
        <f>(V367-AE367)/H367*100</f>
      </c>
      <c r="X367" s="3">
        <f>J367-U367</f>
      </c>
      <c r="Y367" t="s">
        <v>1</v>
      </c>
      <c r="Z367" t="s">
        <v>83</v>
      </c>
      <c r="AF367" s="3">
        <f>V367-AE367</f>
      </c>
      <c r="AG367" t="s">
        <v>59</v>
      </c>
      <c r="AH367" t="s">
        <v>98</v>
      </c>
    </row>
    <row r="368" spans="1:34" x14ac:dyDescent="0.25">
      <c r="A368" s="7">
        <v>46170.5</v>
      </c>
      <c r="B368" t="s">
        <v>2123</v>
      </c>
      <c r="C368" t="s">
        <v>1</v>
      </c>
      <c r="D368" s="8" t="s">
        <v>2124</v>
      </c>
      <c r="E368" t="s">
        <v>72</v>
      </c>
      <c r="F368">
        <v>1</v>
      </c>
      <c r="G368" s="3">
        <v>169</v>
      </c>
      <c r="H368" s="3">
        <v>245.05</v>
      </c>
      <c r="I368" s="3">
        <f>H368-G368</f>
      </c>
      <c r="J368" s="3">
        <f>I368*16.67%</f>
      </c>
      <c r="K368" s="3">
        <f>(H368*6.9%)-(H368*6.9%)*10%</f>
      </c>
      <c r="L368" s="3">
        <f>H368*0.35%</f>
      </c>
      <c r="M368" s="3">
        <v>0.4</v>
      </c>
      <c r="N368" s="3">
        <f>(K368+L368+M368)*20%</f>
      </c>
      <c r="O368" s="3">
        <f>K368+L368+M368+N368</f>
      </c>
      <c r="P368" s="3">
        <v>0</v>
      </c>
      <c r="Q368" s="3">
        <v>0</v>
      </c>
      <c r="R368" s="3">
        <v>0</v>
      </c>
      <c r="S368" s="3">
        <f>R368*20%</f>
      </c>
      <c r="T368" s="3">
        <v>1</v>
      </c>
      <c r="U368" s="3">
        <f>N368+Q368+S368</f>
      </c>
      <c r="V368" s="3">
        <f>I368-J368-O368-P368-Q368-R368-S368-T368</f>
      </c>
      <c r="W368" s="3">
        <f>(V368-AE368)/H368*100</f>
      </c>
      <c r="X368" s="3">
        <f>J368-U368</f>
      </c>
      <c r="Y368" t="s">
        <v>1</v>
      </c>
      <c r="Z368" t="s">
        <v>233</v>
      </c>
      <c r="AF368" s="3">
        <f>V368-AE368</f>
      </c>
      <c r="AG368" t="s">
        <v>65</v>
      </c>
      <c r="AH368" t="s">
        <v>69</v>
      </c>
    </row>
    <row r="369" spans="1:34" x14ac:dyDescent="0.25">
      <c r="A369" s="7">
        <v>46170.5</v>
      </c>
      <c r="B369" t="s">
        <v>2125</v>
      </c>
      <c r="C369" t="s">
        <v>1</v>
      </c>
      <c r="D369" s="8" t="s">
        <v>2126</v>
      </c>
      <c r="E369" t="s">
        <v>57</v>
      </c>
      <c r="F369">
        <v>1</v>
      </c>
      <c r="G369" s="3">
        <v>173</v>
      </c>
      <c r="H369" s="3">
        <v>238.74</v>
      </c>
      <c r="I369" s="3">
        <f>H369-G369</f>
      </c>
      <c r="J369" s="3">
        <f>I369*16.67%</f>
      </c>
      <c r="K369" s="3">
        <f>(H369*6.9%)-(H369*6.9%)*10%</f>
      </c>
      <c r="L369" s="3">
        <f>H369*0.35%</f>
      </c>
      <c r="M369" s="3">
        <v>0.4</v>
      </c>
      <c r="N369" s="3">
        <f>(K369+L369+M369)*20%</f>
      </c>
      <c r="O369" s="3">
        <f>K369+L369+M369+N369</f>
      </c>
      <c r="P369" s="3">
        <v>0</v>
      </c>
      <c r="Q369" s="3">
        <v>0</v>
      </c>
      <c r="R369" s="3">
        <v>0</v>
      </c>
      <c r="S369" s="3">
        <f>R369*20%</f>
      </c>
      <c r="T369" s="3">
        <v>1</v>
      </c>
      <c r="U369" s="3">
        <f>N369+Q369+S369</f>
      </c>
      <c r="V369" s="3">
        <f>I369-J369-O369-P369-Q369-R369-S369-T369</f>
      </c>
      <c r="W369" s="3">
        <f>(V369-AE369)/H369*100</f>
      </c>
      <c r="X369" s="3">
        <f>J369-U369</f>
      </c>
      <c r="Y369" t="s">
        <v>1</v>
      </c>
      <c r="Z369" t="s">
        <v>171</v>
      </c>
      <c r="AF369" s="3">
        <f>V369-AE369</f>
      </c>
      <c r="AG369" t="s">
        <v>65</v>
      </c>
      <c r="AH369" t="s">
        <v>87</v>
      </c>
    </row>
    <row r="370" spans="1:34" x14ac:dyDescent="0.25">
      <c r="A370" s="7">
        <v>46170.5</v>
      </c>
      <c r="B370" t="s">
        <v>2127</v>
      </c>
      <c r="C370" t="s">
        <v>1</v>
      </c>
      <c r="D370" s="8" t="s">
        <v>2128</v>
      </c>
      <c r="E370" t="s">
        <v>72</v>
      </c>
      <c r="F370">
        <v>1</v>
      </c>
      <c r="G370" s="3">
        <v>151</v>
      </c>
      <c r="H370" s="3">
        <v>193.28</v>
      </c>
      <c r="I370" s="3">
        <f>H370-G370</f>
      </c>
      <c r="J370" s="3">
        <f>I370*16.67%</f>
      </c>
      <c r="K370" s="3">
        <f>(H370*6.9%)-(H370*6.9%)*10%</f>
      </c>
      <c r="L370" s="3">
        <f>H370*0.35%</f>
      </c>
      <c r="M370" s="3">
        <v>0.4</v>
      </c>
      <c r="N370" s="3">
        <f>(K370+L370+M370)*20%</f>
      </c>
      <c r="O370" s="3">
        <f>K370+L370+M370+N370</f>
      </c>
      <c r="P370" s="3">
        <v>0</v>
      </c>
      <c r="Q370" s="3">
        <v>0</v>
      </c>
      <c r="R370" s="3">
        <v>0</v>
      </c>
      <c r="S370" s="3">
        <f>R370*20%</f>
      </c>
      <c r="T370" s="3">
        <v>1</v>
      </c>
      <c r="U370" s="3">
        <f>N370+Q370+S370</f>
      </c>
      <c r="V370" s="3">
        <f>I370-J370-O370-P370-Q370-R370-S370-T370</f>
      </c>
      <c r="W370" s="3">
        <f>(V370-AE370)/H370*100</f>
      </c>
      <c r="X370" s="3">
        <f>J370-U370</f>
      </c>
      <c r="Y370" t="s">
        <v>1</v>
      </c>
      <c r="Z370" t="s">
        <v>291</v>
      </c>
      <c r="AF370" s="3">
        <f>V370-AE370</f>
      </c>
      <c r="AG370" t="s">
        <v>125</v>
      </c>
      <c r="AH370" t="s">
        <v>74</v>
      </c>
    </row>
    <row r="371" spans="1:34" x14ac:dyDescent="0.25">
      <c r="A371" s="7">
        <v>46170.5</v>
      </c>
      <c r="B371" t="s">
        <v>2129</v>
      </c>
      <c r="C371" t="s">
        <v>1</v>
      </c>
      <c r="D371" s="8" t="s">
        <v>2130</v>
      </c>
      <c r="E371" t="s">
        <v>77</v>
      </c>
      <c r="F371">
        <v>1</v>
      </c>
      <c r="G371" s="3">
        <v>157</v>
      </c>
      <c r="H371" s="3">
        <v>197.82</v>
      </c>
      <c r="I371" s="3">
        <f>H371-G371</f>
      </c>
      <c r="J371" s="3">
        <f>I371*16.67%</f>
      </c>
      <c r="K371" s="3">
        <f>(H371*6.9%)-(H371*6.9%)*10%</f>
      </c>
      <c r="L371" s="3">
        <f>H371*0.35%</f>
      </c>
      <c r="M371" s="3">
        <v>0.4</v>
      </c>
      <c r="N371" s="3">
        <f>(K371+L371+M371)*20%</f>
      </c>
      <c r="O371" s="3">
        <f>K371+L371+M371+N371</f>
      </c>
      <c r="P371" s="3">
        <v>0</v>
      </c>
      <c r="Q371" s="3">
        <v>0</v>
      </c>
      <c r="R371" s="3">
        <v>0</v>
      </c>
      <c r="S371" s="3">
        <f>R371*20%</f>
      </c>
      <c r="T371" s="3">
        <v>1</v>
      </c>
      <c r="U371" s="3">
        <f>N371+Q371+S371</f>
      </c>
      <c r="V371" s="3">
        <f>I371-J371-O371-P371-Q371-R371-S371-T371</f>
      </c>
      <c r="W371" s="3">
        <f>(V371-AE371)/H371*100</f>
      </c>
      <c r="X371" s="3">
        <f>J371-U371</f>
      </c>
      <c r="Y371" t="s">
        <v>1</v>
      </c>
      <c r="Z371" t="s">
        <v>171</v>
      </c>
      <c r="AF371" s="3">
        <f>V371-AE371</f>
      </c>
      <c r="AG371" t="s">
        <v>65</v>
      </c>
      <c r="AH371" t="s">
        <v>87</v>
      </c>
    </row>
    <row r="372" spans="1:34" x14ac:dyDescent="0.25">
      <c r="A372" s="7">
        <v>46170.5</v>
      </c>
      <c r="B372" t="s">
        <v>2131</v>
      </c>
      <c r="C372" t="s">
        <v>181</v>
      </c>
      <c r="D372" s="8" t="s">
        <v>1</v>
      </c>
      <c r="E372" t="s">
        <v>72</v>
      </c>
      <c r="F372">
        <v>4</v>
      </c>
      <c r="G372" s="3">
        <v>7.6</v>
      </c>
      <c r="H372" s="3">
        <v>9.27</v>
      </c>
      <c r="I372" s="3">
        <f>H372-G372</f>
      </c>
      <c r="J372" s="3">
        <f>I372*16.67%</f>
      </c>
      <c r="K372" s="3">
        <f>(H372*6.9%)-(H372*6.9%)*10%</f>
      </c>
      <c r="L372" s="3">
        <f>H372*0.35%</f>
      </c>
      <c r="M372" s="3">
        <v>0.4</v>
      </c>
      <c r="N372" s="3">
        <f>(K372+L372+M372)*20%</f>
      </c>
      <c r="O372" s="3">
        <f>K372+L372+M372+N372</f>
      </c>
      <c r="P372" s="3">
        <v>0</v>
      </c>
      <c r="Q372" s="3">
        <v>0</v>
      </c>
      <c r="R372" s="3">
        <v>0</v>
      </c>
      <c r="S372" s="3">
        <f>R372*20%</f>
      </c>
      <c r="T372" s="3">
        <v>1</v>
      </c>
      <c r="U372" s="3">
        <f>N372+Q372+S372</f>
      </c>
      <c r="V372" s="3">
        <f>I372-J372-O372-P372-Q372-R372-S372-T372</f>
      </c>
      <c r="W372" s="3">
        <f>(V372-AE372)/H372*100</f>
      </c>
      <c r="X372" s="3">
        <f>J372-U372</f>
      </c>
      <c r="Y372" t="s">
        <v>1</v>
      </c>
      <c r="Z372" t="s">
        <v>181</v>
      </c>
      <c r="AF372" s="3">
        <f>V372-AE372</f>
      </c>
      <c r="AG372" t="s">
        <v>1</v>
      </c>
      <c r="AH372" t="s">
        <v>1</v>
      </c>
    </row>
    <row r="373" spans="1:34" x14ac:dyDescent="0.25">
      <c r="A373" s="7">
        <v>46170.5</v>
      </c>
      <c r="B373" t="s">
        <v>2132</v>
      </c>
      <c r="C373" t="s">
        <v>173</v>
      </c>
      <c r="D373" s="8" t="s">
        <v>1</v>
      </c>
      <c r="E373" t="s">
        <v>63</v>
      </c>
      <c r="F373">
        <v>2</v>
      </c>
      <c r="G373" s="3">
        <v>8.5</v>
      </c>
      <c r="H373" s="3">
        <v>10.37</v>
      </c>
      <c r="I373" s="3">
        <f>H373-G373</f>
      </c>
      <c r="J373" s="3">
        <f>I373*16.67%</f>
      </c>
      <c r="K373" s="3">
        <f>(H373*6.9%)-(H373*6.9%)*10%</f>
      </c>
      <c r="L373" s="3">
        <f>H373*0.35%</f>
      </c>
      <c r="M373" s="3">
        <v>0.4</v>
      </c>
      <c r="N373" s="3">
        <f>(K373+L373+M373)*20%</f>
      </c>
      <c r="O373" s="3">
        <f>K373+L373+M373+N373</f>
      </c>
      <c r="P373" s="3">
        <v>0</v>
      </c>
      <c r="Q373" s="3">
        <v>0</v>
      </c>
      <c r="R373" s="3">
        <v>0</v>
      </c>
      <c r="S373" s="3">
        <f>R373*20%</f>
      </c>
      <c r="T373" s="3">
        <v>1</v>
      </c>
      <c r="U373" s="3">
        <f>N373+Q373+S373</f>
      </c>
      <c r="V373" s="3">
        <f>I373-J373-O373-P373-Q373-R373-S373-T373</f>
      </c>
      <c r="W373" s="3">
        <f>(V373-AE373)/H373*100</f>
      </c>
      <c r="X373" s="3">
        <f>J373-U373</f>
      </c>
      <c r="Y373" t="s">
        <v>1</v>
      </c>
      <c r="Z373" t="s">
        <v>173</v>
      </c>
      <c r="AF373" s="3">
        <f>V373-AE373</f>
      </c>
      <c r="AG373" t="s">
        <v>1</v>
      </c>
      <c r="AH373" t="s">
        <v>1</v>
      </c>
    </row>
    <row r="374" spans="1:34" x14ac:dyDescent="0.25">
      <c r="A374" s="7">
        <v>46170.5</v>
      </c>
      <c r="B374" t="s">
        <v>2133</v>
      </c>
      <c r="C374" t="s">
        <v>1</v>
      </c>
      <c r="D374" s="8" t="s">
        <v>1</v>
      </c>
      <c r="E374" t="s">
        <v>63</v>
      </c>
      <c r="F374">
        <v>1</v>
      </c>
      <c r="G374" s="3">
        <v>324</v>
      </c>
      <c r="H374" s="3">
        <v>398.52</v>
      </c>
      <c r="I374" s="3">
        <f>H374-G374</f>
      </c>
      <c r="J374" s="3">
        <f>I374*16.67%</f>
      </c>
      <c r="K374" s="3">
        <f>(H374*6.9%)-(H374*6.9%)*10%</f>
      </c>
      <c r="L374" s="3">
        <f>H374*0.35%</f>
      </c>
      <c r="M374" s="3">
        <v>0.4</v>
      </c>
      <c r="N374" s="3">
        <f>(K374+L374+M374)*20%</f>
      </c>
      <c r="O374" s="3">
        <f>K374+L374+M374+N374</f>
      </c>
      <c r="P374" s="3">
        <v>0</v>
      </c>
      <c r="Q374" s="3">
        <v>0</v>
      </c>
      <c r="R374" s="3">
        <v>0</v>
      </c>
      <c r="S374" s="3">
        <f>R374*20%</f>
      </c>
      <c r="T374" s="3">
        <v>1</v>
      </c>
      <c r="U374" s="3">
        <f>N374+Q374+S374</f>
      </c>
      <c r="V374" s="3">
        <f>I374-J374-O374-P374-Q374-R374-S374-T374</f>
      </c>
      <c r="W374" s="3">
        <f>(V374-AE374)/H374*100</f>
      </c>
      <c r="X374" s="3">
        <f>J374-U374</f>
      </c>
      <c r="Y374" t="s">
        <v>1</v>
      </c>
      <c r="Z374" t="s">
        <v>1</v>
      </c>
      <c r="AF374" s="3">
        <f>V374-AE374</f>
      </c>
      <c r="AG374" t="s">
        <v>1</v>
      </c>
      <c r="AH374" t="s">
        <v>1</v>
      </c>
    </row>
    <row r="375" spans="1:34" x14ac:dyDescent="0.25">
      <c r="A375" s="7">
        <v>46169.5</v>
      </c>
      <c r="B375" t="s">
        <v>2134</v>
      </c>
      <c r="C375" t="s">
        <v>1</v>
      </c>
      <c r="D375" s="8" t="s">
        <v>2135</v>
      </c>
      <c r="E375" t="s">
        <v>57</v>
      </c>
      <c r="F375">
        <v>1</v>
      </c>
      <c r="G375" s="3">
        <v>329</v>
      </c>
      <c r="H375" s="3">
        <v>414.54</v>
      </c>
      <c r="I375" s="3">
        <f>H375-G375</f>
      </c>
      <c r="J375" s="3">
        <f>I375*16.67%</f>
      </c>
      <c r="K375" s="3">
        <f>(H375*6.9%)-(H375*6.9%)*10%</f>
      </c>
      <c r="L375" s="3">
        <f>H375*0.35%</f>
      </c>
      <c r="M375" s="3">
        <v>0.4</v>
      </c>
      <c r="N375" s="3">
        <f>(K375+L375+M375)*20%</f>
      </c>
      <c r="O375" s="3">
        <f>K375+L375+M375+N375</f>
      </c>
      <c r="P375" s="3">
        <v>0</v>
      </c>
      <c r="Q375" s="3">
        <v>0</v>
      </c>
      <c r="R375" s="3">
        <v>0</v>
      </c>
      <c r="S375" s="3">
        <f>R375*20%</f>
      </c>
      <c r="T375" s="3">
        <v>1</v>
      </c>
      <c r="U375" s="3">
        <f>N375+Q375+S375</f>
      </c>
      <c r="V375" s="3">
        <f>I375-J375-O375-P375-Q375-R375-S375-T375</f>
      </c>
      <c r="W375" s="3">
        <f>(V375-AE375)/H375*100</f>
      </c>
      <c r="X375" s="3">
        <f>J375-U375</f>
      </c>
      <c r="Y375" t="s">
        <v>1</v>
      </c>
      <c r="Z375" t="s">
        <v>73</v>
      </c>
      <c r="AF375" s="3">
        <f>V375-AE375</f>
      </c>
      <c r="AG375" t="s">
        <v>59</v>
      </c>
      <c r="AH375" t="s">
        <v>87</v>
      </c>
    </row>
    <row r="376" spans="1:34" x14ac:dyDescent="0.25">
      <c r="A376" s="7">
        <v>46169.5</v>
      </c>
      <c r="B376" t="s">
        <v>2136</v>
      </c>
      <c r="C376" t="s">
        <v>1</v>
      </c>
      <c r="D376" s="8" t="s">
        <v>2137</v>
      </c>
      <c r="E376" t="s">
        <v>77</v>
      </c>
      <c r="F376">
        <v>1</v>
      </c>
      <c r="G376" s="3">
        <v>328</v>
      </c>
      <c r="H376" s="3">
        <v>469.04</v>
      </c>
      <c r="I376" s="3">
        <f>H376-G376</f>
      </c>
      <c r="J376" s="3">
        <f>I376*16.67%</f>
      </c>
      <c r="K376" s="3">
        <f>(H376*6.9%)-(H376*6.9%)*10%</f>
      </c>
      <c r="L376" s="3">
        <f>H376*0.35%</f>
      </c>
      <c r="M376" s="3">
        <v>0.4</v>
      </c>
      <c r="N376" s="3">
        <f>(K376+L376+M376)*20%</f>
      </c>
      <c r="O376" s="3">
        <f>K376+L376+M376+N376</f>
      </c>
      <c r="P376" s="3">
        <v>0</v>
      </c>
      <c r="Q376" s="3">
        <v>0</v>
      </c>
      <c r="R376" s="3">
        <v>0</v>
      </c>
      <c r="S376" s="3">
        <f>R376*20%</f>
      </c>
      <c r="T376" s="3">
        <v>1</v>
      </c>
      <c r="U376" s="3">
        <f>N376+Q376+S376</f>
      </c>
      <c r="V376" s="3">
        <f>I376-J376-O376-P376-Q376-R376-S376-T376</f>
      </c>
      <c r="W376" s="3">
        <f>(V376-AE376)/H376*100</f>
      </c>
      <c r="X376" s="3">
        <f>J376-U376</f>
      </c>
      <c r="Y376" t="s">
        <v>1</v>
      </c>
      <c r="Z376" t="s">
        <v>138</v>
      </c>
      <c r="AF376" s="3">
        <f>V376-AE376</f>
      </c>
      <c r="AG376" t="s">
        <v>59</v>
      </c>
      <c r="AH376" t="s">
        <v>104</v>
      </c>
    </row>
    <row r="377" spans="1:34" x14ac:dyDescent="0.25">
      <c r="A377" s="7">
        <v>46169.5</v>
      </c>
      <c r="B377" t="s">
        <v>2138</v>
      </c>
      <c r="C377" t="s">
        <v>1</v>
      </c>
      <c r="D377" s="8" t="s">
        <v>2139</v>
      </c>
      <c r="E377" t="s">
        <v>77</v>
      </c>
      <c r="F377">
        <v>1</v>
      </c>
      <c r="G377" s="3">
        <v>105</v>
      </c>
      <c r="H377" s="3">
        <v>122.85</v>
      </c>
      <c r="I377" s="3">
        <f>H377-G377</f>
      </c>
      <c r="J377" s="3">
        <f>I377*16.67%</f>
      </c>
      <c r="K377" s="3">
        <f>(H377*6.9%)-(H377*6.9%)*10%</f>
      </c>
      <c r="L377" s="3">
        <f>H377*0.35%</f>
      </c>
      <c r="M377" s="3">
        <v>0.4</v>
      </c>
      <c r="N377" s="3">
        <f>(K377+L377+M377)*20%</f>
      </c>
      <c r="O377" s="3">
        <f>K377+L377+M377+N377</f>
      </c>
      <c r="P377" s="3">
        <v>0</v>
      </c>
      <c r="Q377" s="3">
        <v>0</v>
      </c>
      <c r="R377" s="3">
        <v>0</v>
      </c>
      <c r="S377" s="3">
        <f>R377*20%</f>
      </c>
      <c r="T377" s="3">
        <v>1</v>
      </c>
      <c r="U377" s="3">
        <f>N377+Q377+S377</f>
      </c>
      <c r="V377" s="3">
        <f>I377-J377-O377-P377-Q377-R377-S377-T377</f>
      </c>
      <c r="W377" s="3">
        <f>(V377-AE377)/H377*100</f>
      </c>
      <c r="X377" s="3">
        <f>J377-U377</f>
      </c>
      <c r="Y377" t="s">
        <v>1</v>
      </c>
      <c r="Z377" t="s">
        <v>90</v>
      </c>
      <c r="AF377" s="3">
        <f>V377-AE377</f>
      </c>
      <c r="AG377" t="s">
        <v>94</v>
      </c>
      <c r="AH377" t="s">
        <v>60</v>
      </c>
    </row>
    <row r="378" spans="1:34" x14ac:dyDescent="0.25">
      <c r="A378" s="7">
        <v>46169.5</v>
      </c>
      <c r="B378" t="s">
        <v>2140</v>
      </c>
      <c r="C378" t="s">
        <v>1</v>
      </c>
      <c r="D378" s="8" t="s">
        <v>2141</v>
      </c>
      <c r="E378" t="s">
        <v>101</v>
      </c>
      <c r="F378">
        <v>1</v>
      </c>
      <c r="G378" s="3">
        <v>349</v>
      </c>
      <c r="H378" s="3">
        <v>422.29</v>
      </c>
      <c r="I378" s="3">
        <f>H378-G378</f>
      </c>
      <c r="J378" s="3">
        <f>I378*16.67%</f>
      </c>
      <c r="K378" s="3">
        <f>(H378*6.9%)-(H378*6.9%)*10%</f>
      </c>
      <c r="L378" s="3">
        <f>H378*0.35%</f>
      </c>
      <c r="M378" s="3">
        <v>0.4</v>
      </c>
      <c r="N378" s="3">
        <f>(K378+L378+M378)*20%</f>
      </c>
      <c r="O378" s="3">
        <f>K378+L378+M378+N378</f>
      </c>
      <c r="P378" s="3">
        <v>0</v>
      </c>
      <c r="Q378" s="3">
        <v>0</v>
      </c>
      <c r="R378" s="3">
        <v>0</v>
      </c>
      <c r="S378" s="3">
        <f>R378*20%</f>
      </c>
      <c r="T378" s="3">
        <v>1</v>
      </c>
      <c r="U378" s="3">
        <f>N378+Q378+S378</f>
      </c>
      <c r="V378" s="3">
        <f>I378-J378-O378-P378-Q378-R378-S378-T378</f>
      </c>
      <c r="W378" s="3">
        <f>(V378-AE378)/H378*100</f>
      </c>
      <c r="X378" s="3">
        <f>J378-U378</f>
      </c>
      <c r="Y378" t="s">
        <v>1</v>
      </c>
      <c r="Z378" t="s">
        <v>73</v>
      </c>
      <c r="AF378" s="3">
        <f>V378-AE378</f>
      </c>
      <c r="AG378" t="s">
        <v>59</v>
      </c>
      <c r="AH378" t="s">
        <v>69</v>
      </c>
    </row>
    <row r="379" spans="1:34" x14ac:dyDescent="0.25">
      <c r="A379" s="7">
        <v>46169.5</v>
      </c>
      <c r="B379" t="s">
        <v>2142</v>
      </c>
      <c r="C379" t="s">
        <v>1</v>
      </c>
      <c r="D379" s="8" t="s">
        <v>2143</v>
      </c>
      <c r="E379" t="s">
        <v>72</v>
      </c>
      <c r="F379">
        <v>1</v>
      </c>
      <c r="G379" s="3">
        <v>137</v>
      </c>
      <c r="H379" s="3">
        <v>158.92</v>
      </c>
      <c r="I379" s="3">
        <f>H379-G379</f>
      </c>
      <c r="J379" s="3">
        <f>I379*16.67%</f>
      </c>
      <c r="K379" s="3">
        <f>(H379*6.9%)-(H379*6.9%)*10%</f>
      </c>
      <c r="L379" s="3">
        <f>H379*0.35%</f>
      </c>
      <c r="M379" s="3">
        <v>0.4</v>
      </c>
      <c r="N379" s="3">
        <f>(K379+L379+M379)*20%</f>
      </c>
      <c r="O379" s="3">
        <f>K379+L379+M379+N379</f>
      </c>
      <c r="P379" s="3">
        <v>0</v>
      </c>
      <c r="Q379" s="3">
        <v>0</v>
      </c>
      <c r="R379" s="3">
        <v>0</v>
      </c>
      <c r="S379" s="3">
        <f>R379*20%</f>
      </c>
      <c r="T379" s="3">
        <v>1</v>
      </c>
      <c r="U379" s="3">
        <f>N379+Q379+S379</f>
      </c>
      <c r="V379" s="3">
        <f>I379-J379-O379-P379-Q379-R379-S379-T379</f>
      </c>
      <c r="W379" s="3">
        <f>(V379-AE379)/H379*100</f>
      </c>
      <c r="X379" s="3">
        <f>J379-U379</f>
      </c>
      <c r="Y379" t="s">
        <v>1</v>
      </c>
      <c r="Z379" t="s">
        <v>133</v>
      </c>
      <c r="AF379" s="3">
        <f>V379-AE379</f>
      </c>
      <c r="AG379" t="s">
        <v>65</v>
      </c>
      <c r="AH379" t="s">
        <v>84</v>
      </c>
    </row>
    <row r="380" spans="1:34" x14ac:dyDescent="0.25">
      <c r="A380" s="7">
        <v>46169.5</v>
      </c>
      <c r="B380" t="s">
        <v>2144</v>
      </c>
      <c r="C380" t="s">
        <v>184</v>
      </c>
      <c r="D380" s="8" t="s">
        <v>1</v>
      </c>
      <c r="E380" t="s">
        <v>101</v>
      </c>
      <c r="F380">
        <v>3</v>
      </c>
      <c r="G380" s="3">
        <v>3.6</v>
      </c>
      <c r="H380" s="3">
        <v>4.39</v>
      </c>
      <c r="I380" s="3">
        <f>H380-G380</f>
      </c>
      <c r="J380" s="3">
        <f>I380*16.67%</f>
      </c>
      <c r="K380" s="3">
        <f>(H380*6.9%)-(H380*6.9%)*10%</f>
      </c>
      <c r="L380" s="3">
        <f>H380*0.35%</f>
      </c>
      <c r="M380" s="3">
        <v>0.4</v>
      </c>
      <c r="N380" s="3">
        <f>(K380+L380+M380)*20%</f>
      </c>
      <c r="O380" s="3">
        <f>K380+L380+M380+N380</f>
      </c>
      <c r="P380" s="3">
        <v>0</v>
      </c>
      <c r="Q380" s="3">
        <v>0</v>
      </c>
      <c r="R380" s="3">
        <v>0</v>
      </c>
      <c r="S380" s="3">
        <f>R380*20%</f>
      </c>
      <c r="T380" s="3">
        <v>1</v>
      </c>
      <c r="U380" s="3">
        <f>N380+Q380+S380</f>
      </c>
      <c r="V380" s="3">
        <f>I380-J380-O380-P380-Q380-R380-S380-T380</f>
      </c>
      <c r="W380" s="3">
        <f>(V380-AE380)/H380*100</f>
      </c>
      <c r="X380" s="3">
        <f>J380-U380</f>
      </c>
      <c r="Y380" t="s">
        <v>1</v>
      </c>
      <c r="Z380" t="s">
        <v>184</v>
      </c>
      <c r="AF380" s="3">
        <f>V380-AE380</f>
      </c>
      <c r="AG380" t="s">
        <v>1</v>
      </c>
      <c r="AH380" t="s">
        <v>1</v>
      </c>
    </row>
    <row r="381" spans="1:34" x14ac:dyDescent="0.25">
      <c r="A381" s="7">
        <v>46168.5</v>
      </c>
      <c r="B381" t="s">
        <v>2145</v>
      </c>
      <c r="C381" t="s">
        <v>1</v>
      </c>
      <c r="D381" s="8" t="s">
        <v>2146</v>
      </c>
      <c r="E381" t="s">
        <v>101</v>
      </c>
      <c r="F381">
        <v>1</v>
      </c>
      <c r="G381" s="3">
        <v>237</v>
      </c>
      <c r="H381" s="3">
        <v>327.06</v>
      </c>
      <c r="I381" s="3">
        <f>H381-G381</f>
      </c>
      <c r="J381" s="3">
        <f>I381*16.67%</f>
      </c>
      <c r="K381" s="3">
        <f>(H381*6.9%)-(H381*6.9%)*10%</f>
      </c>
      <c r="L381" s="3">
        <f>H381*0.35%</f>
      </c>
      <c r="M381" s="3">
        <v>0.4</v>
      </c>
      <c r="N381" s="3">
        <f>(K381+L381+M381)*20%</f>
      </c>
      <c r="O381" s="3">
        <f>K381+L381+M381+N381</f>
      </c>
      <c r="P381" s="3">
        <v>0</v>
      </c>
      <c r="Q381" s="3">
        <v>0</v>
      </c>
      <c r="R381" s="3">
        <v>0</v>
      </c>
      <c r="S381" s="3">
        <f>R381*20%</f>
      </c>
      <c r="T381" s="3">
        <v>1</v>
      </c>
      <c r="U381" s="3">
        <f>N381+Q381+S381</f>
      </c>
      <c r="V381" s="3">
        <f>I381-J381-O381-P381-Q381-R381-S381-T381</f>
      </c>
      <c r="W381" s="3">
        <f>(V381-AE381)/H381*100</f>
      </c>
      <c r="X381" s="3">
        <f>J381-U381</f>
      </c>
      <c r="Y381" t="s">
        <v>1</v>
      </c>
      <c r="Z381" t="s">
        <v>113</v>
      </c>
      <c r="AF381" s="3">
        <f>V381-AE381</f>
      </c>
      <c r="AG381" t="s">
        <v>59</v>
      </c>
      <c r="AH381" t="s">
        <v>87</v>
      </c>
    </row>
    <row r="382" spans="1:34" x14ac:dyDescent="0.25">
      <c r="A382" s="7">
        <v>46168.5</v>
      </c>
      <c r="B382" t="s">
        <v>2147</v>
      </c>
      <c r="C382" t="s">
        <v>1</v>
      </c>
      <c r="D382" s="8" t="s">
        <v>2148</v>
      </c>
      <c r="E382" t="s">
        <v>72</v>
      </c>
      <c r="F382">
        <v>1</v>
      </c>
      <c r="G382" s="3">
        <v>233</v>
      </c>
      <c r="H382" s="3">
        <v>272.61</v>
      </c>
      <c r="I382" s="3">
        <f>H382-G382</f>
      </c>
      <c r="J382" s="3">
        <f>I382*16.67%</f>
      </c>
      <c r="K382" s="3">
        <f>(H382*6.9%)-(H382*6.9%)*10%</f>
      </c>
      <c r="L382" s="3">
        <f>H382*0.35%</f>
      </c>
      <c r="M382" s="3">
        <v>0.4</v>
      </c>
      <c r="N382" s="3">
        <f>(K382+L382+M382)*20%</f>
      </c>
      <c r="O382" s="3">
        <f>K382+L382+M382+N382</f>
      </c>
      <c r="P382" s="3">
        <v>0</v>
      </c>
      <c r="Q382" s="3">
        <v>0</v>
      </c>
      <c r="R382" s="3">
        <v>0</v>
      </c>
      <c r="S382" s="3">
        <f>R382*20%</f>
      </c>
      <c r="T382" s="3">
        <v>1</v>
      </c>
      <c r="U382" s="3">
        <f>N382+Q382+S382</f>
      </c>
      <c r="V382" s="3">
        <f>I382-J382-O382-P382-Q382-R382-S382-T382</f>
      </c>
      <c r="W382" s="3">
        <f>(V382-AE382)/H382*100</f>
      </c>
      <c r="X382" s="3">
        <f>J382-U382</f>
      </c>
      <c r="Y382" t="s">
        <v>1</v>
      </c>
      <c r="Z382" t="s">
        <v>64</v>
      </c>
      <c r="AF382" s="3">
        <f>V382-AE382</f>
      </c>
      <c r="AG382" t="s">
        <v>65</v>
      </c>
      <c r="AH382" t="s">
        <v>87</v>
      </c>
    </row>
    <row r="383" spans="1:34" x14ac:dyDescent="0.25">
      <c r="A383" s="7">
        <v>46168.5</v>
      </c>
      <c r="B383" t="s">
        <v>2149</v>
      </c>
      <c r="C383" t="s">
        <v>1</v>
      </c>
      <c r="D383" s="8" t="s">
        <v>2150</v>
      </c>
      <c r="E383" t="s">
        <v>57</v>
      </c>
      <c r="F383">
        <v>1</v>
      </c>
      <c r="G383" s="3">
        <v>308</v>
      </c>
      <c r="H383" s="3">
        <v>363.44</v>
      </c>
      <c r="I383" s="3">
        <f>H383-G383</f>
      </c>
      <c r="J383" s="3">
        <f>I383*16.67%</f>
      </c>
      <c r="K383" s="3">
        <f>(H383*6.9%)-(H383*6.9%)*10%</f>
      </c>
      <c r="L383" s="3">
        <f>H383*0.35%</f>
      </c>
      <c r="M383" s="3">
        <v>0.4</v>
      </c>
      <c r="N383" s="3">
        <f>(K383+L383+M383)*20%</f>
      </c>
      <c r="O383" s="3">
        <f>K383+L383+M383+N383</f>
      </c>
      <c r="P383" s="3">
        <v>0</v>
      </c>
      <c r="Q383" s="3">
        <v>0</v>
      </c>
      <c r="R383" s="3">
        <v>0</v>
      </c>
      <c r="S383" s="3">
        <f>R383*20%</f>
      </c>
      <c r="T383" s="3">
        <v>1</v>
      </c>
      <c r="U383" s="3">
        <f>N383+Q383+S383</f>
      </c>
      <c r="V383" s="3">
        <f>I383-J383-O383-P383-Q383-R383-S383-T383</f>
      </c>
      <c r="W383" s="3">
        <f>(V383-AE383)/H383*100</f>
      </c>
      <c r="X383" s="3">
        <f>J383-U383</f>
      </c>
      <c r="Y383" t="s">
        <v>1</v>
      </c>
      <c r="Z383" t="s">
        <v>138</v>
      </c>
      <c r="AF383" s="3">
        <f>V383-AE383</f>
      </c>
      <c r="AG383" t="s">
        <v>59</v>
      </c>
      <c r="AH383" t="s">
        <v>98</v>
      </c>
    </row>
    <row r="384" spans="1:34" x14ac:dyDescent="0.25">
      <c r="A384" s="7">
        <v>46168.5</v>
      </c>
      <c r="B384" t="s">
        <v>2151</v>
      </c>
      <c r="C384" t="s">
        <v>1</v>
      </c>
      <c r="D384" s="8" t="s">
        <v>2152</v>
      </c>
      <c r="E384" t="s">
        <v>63</v>
      </c>
      <c r="F384">
        <v>1</v>
      </c>
      <c r="G384" s="3">
        <v>120</v>
      </c>
      <c r="H384" s="3">
        <v>154.8</v>
      </c>
      <c r="I384" s="3">
        <f>H384-G384</f>
      </c>
      <c r="J384" s="3">
        <f>I384*16.67%</f>
      </c>
      <c r="K384" s="3">
        <f>(H384*6.9%)-(H384*6.9%)*10%</f>
      </c>
      <c r="L384" s="3">
        <f>H384*0.35%</f>
      </c>
      <c r="M384" s="3">
        <v>0.4</v>
      </c>
      <c r="N384" s="3">
        <f>(K384+L384+M384)*20%</f>
      </c>
      <c r="O384" s="3">
        <f>K384+L384+M384+N384</f>
      </c>
      <c r="P384" s="3">
        <v>0</v>
      </c>
      <c r="Q384" s="3">
        <v>0</v>
      </c>
      <c r="R384" s="3">
        <v>0</v>
      </c>
      <c r="S384" s="3">
        <f>R384*20%</f>
      </c>
      <c r="T384" s="3">
        <v>1</v>
      </c>
      <c r="U384" s="3">
        <f>N384+Q384+S384</f>
      </c>
      <c r="V384" s="3">
        <f>I384-J384-O384-P384-Q384-R384-S384-T384</f>
      </c>
      <c r="W384" s="3">
        <f>(V384-AE384)/H384*100</f>
      </c>
      <c r="X384" s="3">
        <f>J384-U384</f>
      </c>
      <c r="Y384" t="s">
        <v>1</v>
      </c>
      <c r="Z384" t="s">
        <v>133</v>
      </c>
      <c r="AF384" s="3">
        <f>V384-AE384</f>
      </c>
      <c r="AG384" t="s">
        <v>94</v>
      </c>
      <c r="AH384" t="s">
        <v>74</v>
      </c>
    </row>
    <row r="385" spans="1:34" x14ac:dyDescent="0.25">
      <c r="A385" s="7">
        <v>46168.5</v>
      </c>
      <c r="B385" t="s">
        <v>2153</v>
      </c>
      <c r="C385" t="s">
        <v>1</v>
      </c>
      <c r="D385" s="8" t="s">
        <v>2154</v>
      </c>
      <c r="E385" t="s">
        <v>77</v>
      </c>
      <c r="F385">
        <v>1</v>
      </c>
      <c r="G385" s="3">
        <v>142</v>
      </c>
      <c r="H385" s="3">
        <v>173.24</v>
      </c>
      <c r="I385" s="3">
        <f>H385-G385</f>
      </c>
      <c r="J385" s="3">
        <f>I385*16.67%</f>
      </c>
      <c r="K385" s="3">
        <f>(H385*6.9%)-(H385*6.9%)*10%</f>
      </c>
      <c r="L385" s="3">
        <f>H385*0.35%</f>
      </c>
      <c r="M385" s="3">
        <v>0.4</v>
      </c>
      <c r="N385" s="3">
        <f>(K385+L385+M385)*20%</f>
      </c>
      <c r="O385" s="3">
        <f>K385+L385+M385+N385</f>
      </c>
      <c r="P385" s="3">
        <v>0</v>
      </c>
      <c r="Q385" s="3">
        <v>0</v>
      </c>
      <c r="R385" s="3">
        <v>0</v>
      </c>
      <c r="S385" s="3">
        <f>R385*20%</f>
      </c>
      <c r="T385" s="3">
        <v>1</v>
      </c>
      <c r="U385" s="3">
        <f>N385+Q385+S385</f>
      </c>
      <c r="V385" s="3">
        <f>I385-J385-O385-P385-Q385-R385-S385-T385</f>
      </c>
      <c r="W385" s="3">
        <f>(V385-AE385)/H385*100</f>
      </c>
      <c r="X385" s="3">
        <f>J385-U385</f>
      </c>
      <c r="Y385" t="s">
        <v>1</v>
      </c>
      <c r="Z385" t="s">
        <v>171</v>
      </c>
      <c r="AF385" s="3">
        <f>V385-AE385</f>
      </c>
      <c r="AG385" t="s">
        <v>65</v>
      </c>
      <c r="AH385" t="s">
        <v>69</v>
      </c>
    </row>
    <row r="386" spans="1:34" x14ac:dyDescent="0.25">
      <c r="A386" s="7">
        <v>46167.5</v>
      </c>
      <c r="B386" t="s">
        <v>2155</v>
      </c>
      <c r="C386" t="s">
        <v>1</v>
      </c>
      <c r="D386" s="8" t="s">
        <v>2156</v>
      </c>
      <c r="E386" t="s">
        <v>63</v>
      </c>
      <c r="F386">
        <v>1</v>
      </c>
      <c r="G386" s="3">
        <v>73</v>
      </c>
      <c r="H386" s="3">
        <v>84.68</v>
      </c>
      <c r="I386" s="3">
        <f>H386-G386</f>
      </c>
      <c r="J386" s="3">
        <f>I386*16.67%</f>
      </c>
      <c r="K386" s="3">
        <f>(H386*6.9%)-(H386*6.9%)*10%</f>
      </c>
      <c r="L386" s="3">
        <f>H386*0.35%</f>
      </c>
      <c r="M386" s="3">
        <v>0.4</v>
      </c>
      <c r="N386" s="3">
        <f>(K386+L386+M386)*20%</f>
      </c>
      <c r="O386" s="3">
        <f>K386+L386+M386+N386</f>
      </c>
      <c r="P386" s="3">
        <v>0</v>
      </c>
      <c r="Q386" s="3">
        <v>0</v>
      </c>
      <c r="R386" s="3">
        <v>0</v>
      </c>
      <c r="S386" s="3">
        <f>R386*20%</f>
      </c>
      <c r="T386" s="3">
        <v>1</v>
      </c>
      <c r="U386" s="3">
        <f>N386+Q386+S386</f>
      </c>
      <c r="V386" s="3">
        <f>I386-J386-O386-P386-Q386-R386-S386-T386</f>
      </c>
      <c r="W386" s="3">
        <f>(V386-AE386)/H386*100</f>
      </c>
      <c r="X386" s="3">
        <f>J386-U386</f>
      </c>
      <c r="Y386" t="s">
        <v>1</v>
      </c>
      <c r="Z386" t="s">
        <v>93</v>
      </c>
      <c r="AF386" s="3">
        <f>V386-AE386</f>
      </c>
      <c r="AG386" t="s">
        <v>94</v>
      </c>
      <c r="AH386" t="s">
        <v>69</v>
      </c>
    </row>
    <row r="387" spans="1:34" x14ac:dyDescent="0.25">
      <c r="A387" s="7">
        <v>46167.5</v>
      </c>
      <c r="B387" t="s">
        <v>2157</v>
      </c>
      <c r="C387" t="s">
        <v>176</v>
      </c>
      <c r="D387" s="8" t="s">
        <v>1</v>
      </c>
      <c r="E387" t="s">
        <v>77</v>
      </c>
      <c r="F387">
        <v>4</v>
      </c>
      <c r="G387" s="3">
        <v>0.6</v>
      </c>
      <c r="H387" s="3">
        <v>0.76</v>
      </c>
      <c r="I387" s="3">
        <f>H387-G387</f>
      </c>
      <c r="J387" s="3">
        <f>I387*16.67%</f>
      </c>
      <c r="K387" s="3">
        <f>(H387*6.9%)-(H387*6.9%)*10%</f>
      </c>
      <c r="L387" s="3">
        <f>H387*0.35%</f>
      </c>
      <c r="M387" s="3">
        <v>0.4</v>
      </c>
      <c r="N387" s="3">
        <f>(K387+L387+M387)*20%</f>
      </c>
      <c r="O387" s="3">
        <f>K387+L387+M387+N387</f>
      </c>
      <c r="P387" s="3">
        <v>0</v>
      </c>
      <c r="Q387" s="3">
        <v>0</v>
      </c>
      <c r="R387" s="3">
        <v>0</v>
      </c>
      <c r="S387" s="3">
        <f>R387*20%</f>
      </c>
      <c r="T387" s="3">
        <v>1</v>
      </c>
      <c r="U387" s="3">
        <f>N387+Q387+S387</f>
      </c>
      <c r="V387" s="3">
        <f>I387-J387-O387-P387-Q387-R387-S387-T387</f>
      </c>
      <c r="W387" s="3">
        <f>(V387-AE387)/H387*100</f>
      </c>
      <c r="X387" s="3">
        <f>J387-U387</f>
      </c>
      <c r="Y387" t="s">
        <v>1</v>
      </c>
      <c r="Z387" t="s">
        <v>176</v>
      </c>
      <c r="AF387" s="3">
        <f>V387-AE387</f>
      </c>
      <c r="AG387" t="s">
        <v>1</v>
      </c>
      <c r="AH387" t="s">
        <v>1</v>
      </c>
    </row>
    <row r="388" spans="1:34" x14ac:dyDescent="0.25">
      <c r="A388" s="7">
        <v>46167.5</v>
      </c>
      <c r="B388" t="s">
        <v>2158</v>
      </c>
      <c r="C388" t="s">
        <v>181</v>
      </c>
      <c r="D388" s="8" t="s">
        <v>1</v>
      </c>
      <c r="E388" t="s">
        <v>72</v>
      </c>
      <c r="F388">
        <v>4</v>
      </c>
      <c r="G388" s="3">
        <v>7.6</v>
      </c>
      <c r="H388" s="3">
        <v>9.58</v>
      </c>
      <c r="I388" s="3">
        <f>H388-G388</f>
      </c>
      <c r="J388" s="3">
        <f>I388*16.67%</f>
      </c>
      <c r="K388" s="3">
        <f>(H388*6.9%)-(H388*6.9%)*10%</f>
      </c>
      <c r="L388" s="3">
        <f>H388*0.35%</f>
      </c>
      <c r="M388" s="3">
        <v>0.4</v>
      </c>
      <c r="N388" s="3">
        <f>(K388+L388+M388)*20%</f>
      </c>
      <c r="O388" s="3">
        <f>K388+L388+M388+N388</f>
      </c>
      <c r="P388" s="3">
        <v>0</v>
      </c>
      <c r="Q388" s="3">
        <v>0</v>
      </c>
      <c r="R388" s="3">
        <v>0</v>
      </c>
      <c r="S388" s="3">
        <f>R388*20%</f>
      </c>
      <c r="T388" s="3">
        <v>1</v>
      </c>
      <c r="U388" s="3">
        <f>N388+Q388+S388</f>
      </c>
      <c r="V388" s="3">
        <f>I388-J388-O388-P388-Q388-R388-S388-T388</f>
      </c>
      <c r="W388" s="3">
        <f>(V388-AE388)/H388*100</f>
      </c>
      <c r="X388" s="3">
        <f>J388-U388</f>
      </c>
      <c r="Y388" t="s">
        <v>1</v>
      </c>
      <c r="Z388" t="s">
        <v>181</v>
      </c>
      <c r="AF388" s="3">
        <f>V388-AE388</f>
      </c>
      <c r="AG388" t="s">
        <v>1</v>
      </c>
      <c r="AH388" t="s">
        <v>1</v>
      </c>
    </row>
    <row r="389" spans="1:34" x14ac:dyDescent="0.25">
      <c r="A389" s="7">
        <v>46166.5</v>
      </c>
      <c r="B389" t="s">
        <v>2159</v>
      </c>
      <c r="C389" t="s">
        <v>1</v>
      </c>
      <c r="D389" s="8" t="s">
        <v>2160</v>
      </c>
      <c r="E389" t="s">
        <v>57</v>
      </c>
      <c r="F389">
        <v>1</v>
      </c>
      <c r="G389" s="3">
        <v>176</v>
      </c>
      <c r="H389" s="3">
        <v>221.76</v>
      </c>
      <c r="I389" s="3">
        <f>H389-G389</f>
      </c>
      <c r="J389" s="3">
        <f>I389*16.67%</f>
      </c>
      <c r="K389" s="3">
        <f>(H389*6.9%)-(H389*6.9%)*10%</f>
      </c>
      <c r="L389" s="3">
        <f>H389*0.35%</f>
      </c>
      <c r="M389" s="3">
        <v>0.4</v>
      </c>
      <c r="N389" s="3">
        <f>(K389+L389+M389)*20%</f>
      </c>
      <c r="O389" s="3">
        <f>K389+L389+M389+N389</f>
      </c>
      <c r="P389" s="3">
        <v>0</v>
      </c>
      <c r="Q389" s="3">
        <v>0</v>
      </c>
      <c r="R389" s="3">
        <v>0</v>
      </c>
      <c r="S389" s="3">
        <f>R389*20%</f>
      </c>
      <c r="T389" s="3">
        <v>1</v>
      </c>
      <c r="U389" s="3">
        <f>N389+Q389+S389</f>
      </c>
      <c r="V389" s="3">
        <f>I389-J389-O389-P389-Q389-R389-S389-T389</f>
      </c>
      <c r="W389" s="3">
        <f>(V389-AE389)/H389*100</f>
      </c>
      <c r="X389" s="3">
        <f>J389-U389</f>
      </c>
      <c r="Y389" t="s">
        <v>1</v>
      </c>
      <c r="Z389" t="s">
        <v>233</v>
      </c>
      <c r="AF389" s="3">
        <f>V389-AE389</f>
      </c>
      <c r="AG389" t="s">
        <v>65</v>
      </c>
      <c r="AH389" t="s">
        <v>60</v>
      </c>
    </row>
    <row r="390" spans="1:34" x14ac:dyDescent="0.25">
      <c r="A390" s="7">
        <v>46166.5</v>
      </c>
      <c r="B390" t="s">
        <v>2161</v>
      </c>
      <c r="C390" t="s">
        <v>1</v>
      </c>
      <c r="D390" s="8" t="s">
        <v>2162</v>
      </c>
      <c r="E390" t="s">
        <v>57</v>
      </c>
      <c r="F390">
        <v>1</v>
      </c>
      <c r="G390" s="3">
        <v>185</v>
      </c>
      <c r="H390" s="3">
        <v>259</v>
      </c>
      <c r="I390" s="3">
        <f>H390-G390</f>
      </c>
      <c r="J390" s="3">
        <f>I390*16.67%</f>
      </c>
      <c r="K390" s="3">
        <f>(H390*6.9%)-(H390*6.9%)*10%</f>
      </c>
      <c r="L390" s="3">
        <f>H390*0.35%</f>
      </c>
      <c r="M390" s="3">
        <v>0.4</v>
      </c>
      <c r="N390" s="3">
        <f>(K390+L390+M390)*20%</f>
      </c>
      <c r="O390" s="3">
        <f>K390+L390+M390+N390</f>
      </c>
      <c r="P390" s="3">
        <v>0</v>
      </c>
      <c r="Q390" s="3">
        <v>0</v>
      </c>
      <c r="R390" s="3">
        <v>0</v>
      </c>
      <c r="S390" s="3">
        <f>R390*20%</f>
      </c>
      <c r="T390" s="3">
        <v>1</v>
      </c>
      <c r="U390" s="3">
        <f>N390+Q390+S390</f>
      </c>
      <c r="V390" s="3">
        <f>I390-J390-O390-P390-Q390-R390-S390-T390</f>
      </c>
      <c r="W390" s="3">
        <f>(V390-AE390)/H390*100</f>
      </c>
      <c r="X390" s="3">
        <f>J390-U390</f>
      </c>
      <c r="Y390" t="s">
        <v>1</v>
      </c>
      <c r="Z390" t="s">
        <v>233</v>
      </c>
      <c r="AF390" s="3">
        <f>V390-AE390</f>
      </c>
      <c r="AG390" t="s">
        <v>65</v>
      </c>
      <c r="AH390" t="s">
        <v>60</v>
      </c>
    </row>
    <row r="391" spans="1:34" x14ac:dyDescent="0.25">
      <c r="A391" s="7">
        <v>46166.5</v>
      </c>
      <c r="B391" t="s">
        <v>2163</v>
      </c>
      <c r="C391" t="s">
        <v>1</v>
      </c>
      <c r="D391" s="8" t="s">
        <v>2164</v>
      </c>
      <c r="E391" t="s">
        <v>63</v>
      </c>
      <c r="F391">
        <v>1</v>
      </c>
      <c r="G391" s="3">
        <v>362</v>
      </c>
      <c r="H391" s="3">
        <v>470.6</v>
      </c>
      <c r="I391" s="3">
        <f>H391-G391</f>
      </c>
      <c r="J391" s="3">
        <f>I391*16.67%</f>
      </c>
      <c r="K391" s="3">
        <f>(H391*6.9%)-(H391*6.9%)*10%</f>
      </c>
      <c r="L391" s="3">
        <f>H391*0.35%</f>
      </c>
      <c r="M391" s="3">
        <v>0.4</v>
      </c>
      <c r="N391" s="3">
        <f>(K391+L391+M391)*20%</f>
      </c>
      <c r="O391" s="3">
        <f>K391+L391+M391+N391</f>
      </c>
      <c r="P391" s="3">
        <v>0</v>
      </c>
      <c r="Q391" s="3">
        <v>0</v>
      </c>
      <c r="R391" s="3">
        <v>0</v>
      </c>
      <c r="S391" s="3">
        <f>R391*20%</f>
      </c>
      <c r="T391" s="3">
        <v>1</v>
      </c>
      <c r="U391" s="3">
        <f>N391+Q391+S391</f>
      </c>
      <c r="V391" s="3">
        <f>I391-J391-O391-P391-Q391-R391-S391-T391</f>
      </c>
      <c r="W391" s="3">
        <f>(V391-AE391)/H391*100</f>
      </c>
      <c r="X391" s="3">
        <f>J391-U391</f>
      </c>
      <c r="Y391" t="s">
        <v>1</v>
      </c>
      <c r="Z391" t="s">
        <v>138</v>
      </c>
      <c r="AF391" s="3">
        <f>V391-AE391</f>
      </c>
      <c r="AG391" t="s">
        <v>59</v>
      </c>
      <c r="AH391" t="s">
        <v>74</v>
      </c>
    </row>
    <row r="392" spans="1:34" x14ac:dyDescent="0.25">
      <c r="A392" s="7">
        <v>46166.5</v>
      </c>
      <c r="B392" t="s">
        <v>2165</v>
      </c>
      <c r="C392" t="s">
        <v>1</v>
      </c>
      <c r="D392" s="8" t="s">
        <v>2166</v>
      </c>
      <c r="E392" t="s">
        <v>57</v>
      </c>
      <c r="F392">
        <v>1</v>
      </c>
      <c r="G392" s="3">
        <v>451</v>
      </c>
      <c r="H392" s="3">
        <v>608.85</v>
      </c>
      <c r="I392" s="3">
        <f>H392-G392</f>
      </c>
      <c r="J392" s="3">
        <f>I392*16.67%</f>
      </c>
      <c r="K392" s="3">
        <f>(H392*6.9%)-(H392*6.9%)*10%</f>
      </c>
      <c r="L392" s="3">
        <f>H392*0.35%</f>
      </c>
      <c r="M392" s="3">
        <v>0.4</v>
      </c>
      <c r="N392" s="3">
        <f>(K392+L392+M392)*20%</f>
      </c>
      <c r="O392" s="3">
        <f>K392+L392+M392+N392</f>
      </c>
      <c r="P392" s="3">
        <v>0</v>
      </c>
      <c r="Q392" s="3">
        <v>0</v>
      </c>
      <c r="R392" s="3">
        <v>0</v>
      </c>
      <c r="S392" s="3">
        <f>R392*20%</f>
      </c>
      <c r="T392" s="3">
        <v>1</v>
      </c>
      <c r="U392" s="3">
        <f>N392+Q392+S392</f>
      </c>
      <c r="V392" s="3">
        <f>I392-J392-O392-P392-Q392-R392-S392-T392</f>
      </c>
      <c r="W392" s="3">
        <f>(V392-AE392)/H392*100</f>
      </c>
      <c r="X392" s="3">
        <f>J392-U392</f>
      </c>
      <c r="Y392" t="s">
        <v>1</v>
      </c>
      <c r="Z392" t="s">
        <v>58</v>
      </c>
      <c r="AF392" s="3">
        <f>V392-AE392</f>
      </c>
      <c r="AG392" t="s">
        <v>59</v>
      </c>
      <c r="AH392" t="s">
        <v>74</v>
      </c>
    </row>
    <row r="393" spans="1:34" x14ac:dyDescent="0.25">
      <c r="A393" s="7">
        <v>46166.5</v>
      </c>
      <c r="B393" t="s">
        <v>2167</v>
      </c>
      <c r="C393" t="s">
        <v>1</v>
      </c>
      <c r="D393" s="8" t="s">
        <v>2168</v>
      </c>
      <c r="E393" t="s">
        <v>101</v>
      </c>
      <c r="F393">
        <v>1</v>
      </c>
      <c r="G393" s="3">
        <v>355</v>
      </c>
      <c r="H393" s="3">
        <v>486.35</v>
      </c>
      <c r="I393" s="3">
        <f>H393-G393</f>
      </c>
      <c r="J393" s="3">
        <f>I393*16.67%</f>
      </c>
      <c r="K393" s="3">
        <f>(H393*6.9%)-(H393*6.9%)*10%</f>
      </c>
      <c r="L393" s="3">
        <f>H393*0.35%</f>
      </c>
      <c r="M393" s="3">
        <v>0.4</v>
      </c>
      <c r="N393" s="3">
        <f>(K393+L393+M393)*20%</f>
      </c>
      <c r="O393" s="3">
        <f>K393+L393+M393+N393</f>
      </c>
      <c r="P393" s="3">
        <v>0</v>
      </c>
      <c r="Q393" s="3">
        <v>0</v>
      </c>
      <c r="R393" s="3">
        <v>0</v>
      </c>
      <c r="S393" s="3">
        <f>R393*20%</f>
      </c>
      <c r="T393" s="3">
        <v>1</v>
      </c>
      <c r="U393" s="3">
        <f>N393+Q393+S393</f>
      </c>
      <c r="V393" s="3">
        <f>I393-J393-O393-P393-Q393-R393-S393-T393</f>
      </c>
      <c r="W393" s="3">
        <f>(V393-AE393)/H393*100</f>
      </c>
      <c r="X393" s="3">
        <f>J393-U393</f>
      </c>
      <c r="Y393" t="s">
        <v>1</v>
      </c>
      <c r="Z393" t="s">
        <v>73</v>
      </c>
      <c r="AF393" s="3">
        <f>V393-AE393</f>
      </c>
      <c r="AG393" t="s">
        <v>59</v>
      </c>
      <c r="AH393" t="s">
        <v>98</v>
      </c>
    </row>
    <row r="394" spans="1:34" x14ac:dyDescent="0.25">
      <c r="A394" s="7">
        <v>46166.5</v>
      </c>
      <c r="B394" t="s">
        <v>2169</v>
      </c>
      <c r="C394" t="s">
        <v>1</v>
      </c>
      <c r="D394" s="8" t="s">
        <v>2170</v>
      </c>
      <c r="E394" t="s">
        <v>57</v>
      </c>
      <c r="F394">
        <v>1</v>
      </c>
      <c r="G394" s="3">
        <v>282</v>
      </c>
      <c r="H394" s="3">
        <v>344.04</v>
      </c>
      <c r="I394" s="3">
        <f>H394-G394</f>
      </c>
      <c r="J394" s="3">
        <f>I394*16.67%</f>
      </c>
      <c r="K394" s="3">
        <f>(H394*6.9%)-(H394*6.9%)*10%</f>
      </c>
      <c r="L394" s="3">
        <f>H394*0.35%</f>
      </c>
      <c r="M394" s="3">
        <v>0.4</v>
      </c>
      <c r="N394" s="3">
        <f>(K394+L394+M394)*20%</f>
      </c>
      <c r="O394" s="3">
        <f>K394+L394+M394+N394</f>
      </c>
      <c r="P394" s="3">
        <v>0</v>
      </c>
      <c r="Q394" s="3">
        <v>0</v>
      </c>
      <c r="R394" s="3">
        <v>0</v>
      </c>
      <c r="S394" s="3">
        <f>R394*20%</f>
      </c>
      <c r="T394" s="3">
        <v>1</v>
      </c>
      <c r="U394" s="3">
        <f>N394+Q394+S394</f>
      </c>
      <c r="V394" s="3">
        <f>I394-J394-O394-P394-Q394-R394-S394-T394</f>
      </c>
      <c r="W394" s="3">
        <f>(V394-AE394)/H394*100</f>
      </c>
      <c r="X394" s="3">
        <f>J394-U394</f>
      </c>
      <c r="Y394" t="s">
        <v>1</v>
      </c>
      <c r="Z394" t="s">
        <v>130</v>
      </c>
      <c r="AF394" s="3">
        <f>V394-AE394</f>
      </c>
      <c r="AG394" t="s">
        <v>65</v>
      </c>
      <c r="AH394" t="s">
        <v>98</v>
      </c>
    </row>
    <row r="395" spans="1:34" x14ac:dyDescent="0.25">
      <c r="A395" s="7">
        <v>46166.5</v>
      </c>
      <c r="B395" t="s">
        <v>2171</v>
      </c>
      <c r="C395" t="s">
        <v>1</v>
      </c>
      <c r="D395" s="8" t="s">
        <v>2172</v>
      </c>
      <c r="E395" t="s">
        <v>57</v>
      </c>
      <c r="F395">
        <v>1</v>
      </c>
      <c r="G395" s="3">
        <v>86</v>
      </c>
      <c r="H395" s="3">
        <v>104.06</v>
      </c>
      <c r="I395" s="3">
        <f>H395-G395</f>
      </c>
      <c r="J395" s="3">
        <f>I395*16.67%</f>
      </c>
      <c r="K395" s="3">
        <f>(H395*6.9%)-(H395*6.9%)*10%</f>
      </c>
      <c r="L395" s="3">
        <f>H395*0.35%</f>
      </c>
      <c r="M395" s="3">
        <v>0.4</v>
      </c>
      <c r="N395" s="3">
        <f>(K395+L395+M395)*20%</f>
      </c>
      <c r="O395" s="3">
        <f>K395+L395+M395+N395</f>
      </c>
      <c r="P395" s="3">
        <v>0</v>
      </c>
      <c r="Q395" s="3">
        <v>0</v>
      </c>
      <c r="R395" s="3">
        <v>0</v>
      </c>
      <c r="S395" s="3">
        <f>R395*20%</f>
      </c>
      <c r="T395" s="3">
        <v>1</v>
      </c>
      <c r="U395" s="3">
        <f>N395+Q395+S395</f>
      </c>
      <c r="V395" s="3">
        <f>I395-J395-O395-P395-Q395-R395-S395-T395</f>
      </c>
      <c r="W395" s="3">
        <f>(V395-AE395)/H395*100</f>
      </c>
      <c r="X395" s="3">
        <f>J395-U395</f>
      </c>
      <c r="Y395" t="s">
        <v>1</v>
      </c>
      <c r="Z395" t="s">
        <v>93</v>
      </c>
      <c r="AF395" s="3">
        <f>V395-AE395</f>
      </c>
      <c r="AG395" t="s">
        <v>94</v>
      </c>
      <c r="AH395" t="s">
        <v>84</v>
      </c>
    </row>
    <row r="396" spans="1:34" x14ac:dyDescent="0.25">
      <c r="A396" s="7">
        <v>46166.5</v>
      </c>
      <c r="B396" t="s">
        <v>2173</v>
      </c>
      <c r="C396" t="s">
        <v>1</v>
      </c>
      <c r="D396" s="8" t="s">
        <v>2174</v>
      </c>
      <c r="E396" t="s">
        <v>57</v>
      </c>
      <c r="F396">
        <v>1</v>
      </c>
      <c r="G396" s="3">
        <v>235</v>
      </c>
      <c r="H396" s="3">
        <v>321.95</v>
      </c>
      <c r="I396" s="3">
        <f>H396-G396</f>
      </c>
      <c r="J396" s="3">
        <f>I396*16.67%</f>
      </c>
      <c r="K396" s="3">
        <f>(H396*6.9%)-(H396*6.9%)*10%</f>
      </c>
      <c r="L396" s="3">
        <f>H396*0.35%</f>
      </c>
      <c r="M396" s="3">
        <v>0.4</v>
      </c>
      <c r="N396" s="3">
        <f>(K396+L396+M396)*20%</f>
      </c>
      <c r="O396" s="3">
        <f>K396+L396+M396+N396</f>
      </c>
      <c r="P396" s="3">
        <v>0</v>
      </c>
      <c r="Q396" s="3">
        <v>0</v>
      </c>
      <c r="R396" s="3">
        <v>0</v>
      </c>
      <c r="S396" s="3">
        <f>R396*20%</f>
      </c>
      <c r="T396" s="3">
        <v>1</v>
      </c>
      <c r="U396" s="3">
        <f>N396+Q396+S396</f>
      </c>
      <c r="V396" s="3">
        <f>I396-J396-O396-P396-Q396-R396-S396-T396</f>
      </c>
      <c r="W396" s="3">
        <f>(V396-AE396)/H396*100</f>
      </c>
      <c r="X396" s="3">
        <f>J396-U396</f>
      </c>
      <c r="Y396" t="s">
        <v>1</v>
      </c>
      <c r="Z396" t="s">
        <v>124</v>
      </c>
      <c r="AF396" s="3">
        <f>V396-AE396</f>
      </c>
      <c r="AG396" t="s">
        <v>125</v>
      </c>
      <c r="AH396" t="s">
        <v>74</v>
      </c>
    </row>
    <row r="397" spans="1:34" x14ac:dyDescent="0.25">
      <c r="A397" s="7">
        <v>46165.5</v>
      </c>
      <c r="B397" t="s">
        <v>2175</v>
      </c>
      <c r="C397" t="s">
        <v>1</v>
      </c>
      <c r="D397" s="8" t="s">
        <v>2176</v>
      </c>
      <c r="E397" t="s">
        <v>63</v>
      </c>
      <c r="F397">
        <v>1</v>
      </c>
      <c r="G397" s="3">
        <v>164</v>
      </c>
      <c r="H397" s="3">
        <v>188.6</v>
      </c>
      <c r="I397" s="3">
        <f>H397-G397</f>
      </c>
      <c r="J397" s="3">
        <f>I397*16.67%</f>
      </c>
      <c r="K397" s="3">
        <f>(H397*6.9%)-(H397*6.9%)*10%</f>
      </c>
      <c r="L397" s="3">
        <f>H397*0.35%</f>
      </c>
      <c r="M397" s="3">
        <v>0.4</v>
      </c>
      <c r="N397" s="3">
        <f>(K397+L397+M397)*20%</f>
      </c>
      <c r="O397" s="3">
        <f>K397+L397+M397+N397</f>
      </c>
      <c r="P397" s="3">
        <v>0</v>
      </c>
      <c r="Q397" s="3">
        <v>0</v>
      </c>
      <c r="R397" s="3">
        <v>0</v>
      </c>
      <c r="S397" s="3">
        <f>R397*20%</f>
      </c>
      <c r="T397" s="3">
        <v>1</v>
      </c>
      <c r="U397" s="3">
        <f>N397+Q397+S397</f>
      </c>
      <c r="V397" s="3">
        <f>I397-J397-O397-P397-Q397-R397-S397-T397</f>
      </c>
      <c r="W397" s="3">
        <f>(V397-AE397)/H397*100</f>
      </c>
      <c r="X397" s="3">
        <f>J397-U397</f>
      </c>
      <c r="Y397" t="s">
        <v>1</v>
      </c>
      <c r="Z397" t="s">
        <v>233</v>
      </c>
      <c r="AF397" s="3">
        <f>V397-AE397</f>
      </c>
      <c r="AG397" t="s">
        <v>65</v>
      </c>
      <c r="AH397" t="s">
        <v>74</v>
      </c>
    </row>
    <row r="398" spans="1:34" x14ac:dyDescent="0.25">
      <c r="A398" s="7">
        <v>46165.5</v>
      </c>
      <c r="B398" t="s">
        <v>2177</v>
      </c>
      <c r="C398" t="s">
        <v>1</v>
      </c>
      <c r="D398" s="8" t="s">
        <v>2178</v>
      </c>
      <c r="E398" t="s">
        <v>72</v>
      </c>
      <c r="F398">
        <v>1</v>
      </c>
      <c r="G398" s="3">
        <v>370</v>
      </c>
      <c r="H398" s="3">
        <v>462.5</v>
      </c>
      <c r="I398" s="3">
        <f>H398-G398</f>
      </c>
      <c r="J398" s="3">
        <f>I398*16.67%</f>
      </c>
      <c r="K398" s="3">
        <f>(H398*6.9%)-(H398*6.9%)*10%</f>
      </c>
      <c r="L398" s="3">
        <f>H398*0.35%</f>
      </c>
      <c r="M398" s="3">
        <v>0.4</v>
      </c>
      <c r="N398" s="3">
        <f>(K398+L398+M398)*20%</f>
      </c>
      <c r="O398" s="3">
        <f>K398+L398+M398+N398</f>
      </c>
      <c r="P398" s="3">
        <v>0</v>
      </c>
      <c r="Q398" s="3">
        <v>0</v>
      </c>
      <c r="R398" s="3">
        <v>0</v>
      </c>
      <c r="S398" s="3">
        <f>R398*20%</f>
      </c>
      <c r="T398" s="3">
        <v>1</v>
      </c>
      <c r="U398" s="3">
        <f>N398+Q398+S398</f>
      </c>
      <c r="V398" s="3">
        <f>I398-J398-O398-P398-Q398-R398-S398-T398</f>
      </c>
      <c r="W398" s="3">
        <f>(V398-AE398)/H398*100</f>
      </c>
      <c r="X398" s="3">
        <f>J398-U398</f>
      </c>
      <c r="Y398" t="s">
        <v>1</v>
      </c>
      <c r="Z398" t="s">
        <v>138</v>
      </c>
      <c r="AF398" s="3">
        <f>V398-AE398</f>
      </c>
      <c r="AG398" t="s">
        <v>59</v>
      </c>
      <c r="AH398" t="s">
        <v>69</v>
      </c>
    </row>
    <row r="399" spans="1:34" x14ac:dyDescent="0.25">
      <c r="A399" s="7">
        <v>46165.5</v>
      </c>
      <c r="B399" t="s">
        <v>2179</v>
      </c>
      <c r="C399" t="s">
        <v>184</v>
      </c>
      <c r="D399" s="8" t="s">
        <v>1</v>
      </c>
      <c r="E399" t="s">
        <v>101</v>
      </c>
      <c r="F399">
        <v>1</v>
      </c>
      <c r="G399" s="3">
        <v>1.2</v>
      </c>
      <c r="H399" s="3">
        <v>1.4</v>
      </c>
      <c r="I399" s="3">
        <f>H399-G399</f>
      </c>
      <c r="J399" s="3">
        <f>I399*16.67%</f>
      </c>
      <c r="K399" s="3">
        <f>(H399*6.9%)-(H399*6.9%)*10%</f>
      </c>
      <c r="L399" s="3">
        <f>H399*0.35%</f>
      </c>
      <c r="M399" s="3">
        <v>0.4</v>
      </c>
      <c r="N399" s="3">
        <f>(K399+L399+M399)*20%</f>
      </c>
      <c r="O399" s="3">
        <f>K399+L399+M399+N399</f>
      </c>
      <c r="P399" s="3">
        <v>0</v>
      </c>
      <c r="Q399" s="3">
        <v>0</v>
      </c>
      <c r="R399" s="3">
        <v>0</v>
      </c>
      <c r="S399" s="3">
        <f>R399*20%</f>
      </c>
      <c r="T399" s="3">
        <v>1</v>
      </c>
      <c r="U399" s="3">
        <f>N399+Q399+S399</f>
      </c>
      <c r="V399" s="3">
        <f>I399-J399-O399-P399-Q399-R399-S399-T399</f>
      </c>
      <c r="W399" s="3">
        <f>(V399-AE399)/H399*100</f>
      </c>
      <c r="X399" s="3">
        <f>J399-U399</f>
      </c>
      <c r="Y399" t="s">
        <v>1</v>
      </c>
      <c r="Z399" t="s">
        <v>184</v>
      </c>
      <c r="AF399" s="3">
        <f>V399-AE399</f>
      </c>
      <c r="AG399" t="s">
        <v>1</v>
      </c>
      <c r="AH399" t="s">
        <v>1</v>
      </c>
    </row>
    <row r="400" spans="1:34" x14ac:dyDescent="0.25">
      <c r="A400" s="7">
        <v>46164.5</v>
      </c>
      <c r="B400" t="s">
        <v>2180</v>
      </c>
      <c r="C400" t="s">
        <v>1</v>
      </c>
      <c r="D400" s="8" t="s">
        <v>2181</v>
      </c>
      <c r="E400" t="s">
        <v>72</v>
      </c>
      <c r="F400">
        <v>1</v>
      </c>
      <c r="G400" s="3">
        <v>326</v>
      </c>
      <c r="H400" s="3">
        <v>472.7</v>
      </c>
      <c r="I400" s="3">
        <f>H400-G400</f>
      </c>
      <c r="J400" s="3">
        <f>I400*16.67%</f>
      </c>
      <c r="K400" s="3">
        <f>(H400*6.9%)-(H400*6.9%)*10%</f>
      </c>
      <c r="L400" s="3">
        <f>H400*0.35%</f>
      </c>
      <c r="M400" s="3">
        <v>0.4</v>
      </c>
      <c r="N400" s="3">
        <f>(K400+L400+M400)*20%</f>
      </c>
      <c r="O400" s="3">
        <f>K400+L400+M400+N400</f>
      </c>
      <c r="P400" s="3">
        <v>0</v>
      </c>
      <c r="Q400" s="3">
        <v>0</v>
      </c>
      <c r="R400" s="3">
        <v>0</v>
      </c>
      <c r="S400" s="3">
        <f>R400*20%</f>
      </c>
      <c r="T400" s="3">
        <v>1</v>
      </c>
      <c r="U400" s="3">
        <f>N400+Q400+S400</f>
      </c>
      <c r="V400" s="3">
        <f>I400-J400-O400-P400-Q400-R400-S400-T400</f>
      </c>
      <c r="W400" s="3">
        <f>(V400-AE400)/H400*100</f>
      </c>
      <c r="X400" s="3">
        <f>J400-U400</f>
      </c>
      <c r="Y400" t="s">
        <v>1</v>
      </c>
      <c r="Z400" t="s">
        <v>73</v>
      </c>
      <c r="AF400" s="3">
        <f>V400-AE400</f>
      </c>
      <c r="AG400" t="s">
        <v>59</v>
      </c>
      <c r="AH400" t="s">
        <v>104</v>
      </c>
    </row>
    <row r="401" spans="1:34" x14ac:dyDescent="0.25">
      <c r="A401" s="7">
        <v>46164.5</v>
      </c>
      <c r="B401" t="s">
        <v>2182</v>
      </c>
      <c r="C401" t="s">
        <v>1</v>
      </c>
      <c r="D401" s="8" t="s">
        <v>2183</v>
      </c>
      <c r="E401" t="s">
        <v>63</v>
      </c>
      <c r="F401">
        <v>1</v>
      </c>
      <c r="G401" s="3">
        <v>223</v>
      </c>
      <c r="H401" s="3">
        <v>260.91</v>
      </c>
      <c r="I401" s="3">
        <f>H401-G401</f>
      </c>
      <c r="J401" s="3">
        <f>I401*16.67%</f>
      </c>
      <c r="K401" s="3">
        <f>(H401*6.9%)-(H401*6.9%)*10%</f>
      </c>
      <c r="L401" s="3">
        <f>H401*0.35%</f>
      </c>
      <c r="M401" s="3">
        <v>0.4</v>
      </c>
      <c r="N401" s="3">
        <f>(K401+L401+M401)*20%</f>
      </c>
      <c r="O401" s="3">
        <f>K401+L401+M401+N401</f>
      </c>
      <c r="P401" s="3">
        <v>0</v>
      </c>
      <c r="Q401" s="3">
        <v>0</v>
      </c>
      <c r="R401" s="3">
        <v>0</v>
      </c>
      <c r="S401" s="3">
        <f>R401*20%</f>
      </c>
      <c r="T401" s="3">
        <v>1</v>
      </c>
      <c r="U401" s="3">
        <f>N401+Q401+S401</f>
      </c>
      <c r="V401" s="3">
        <f>I401-J401-O401-P401-Q401-R401-S401-T401</f>
      </c>
      <c r="W401" s="3">
        <f>(V401-AE401)/H401*100</f>
      </c>
      <c r="X401" s="3">
        <f>J401-U401</f>
      </c>
      <c r="Y401" t="s">
        <v>1</v>
      </c>
      <c r="Z401" t="s">
        <v>64</v>
      </c>
      <c r="AF401" s="3">
        <f>V401-AE401</f>
      </c>
      <c r="AG401" t="s">
        <v>65</v>
      </c>
      <c r="AH401" t="s">
        <v>87</v>
      </c>
    </row>
    <row r="402" spans="1:34" x14ac:dyDescent="0.25">
      <c r="A402" s="7">
        <v>46164.5</v>
      </c>
      <c r="B402" t="s">
        <v>2184</v>
      </c>
      <c r="C402" t="s">
        <v>1</v>
      </c>
      <c r="D402" s="8" t="s">
        <v>2185</v>
      </c>
      <c r="E402" t="s">
        <v>72</v>
      </c>
      <c r="F402">
        <v>1</v>
      </c>
      <c r="G402" s="3">
        <v>302</v>
      </c>
      <c r="H402" s="3">
        <v>389.58</v>
      </c>
      <c r="I402" s="3">
        <f>H402-G402</f>
      </c>
      <c r="J402" s="3">
        <f>I402*16.67%</f>
      </c>
      <c r="K402" s="3">
        <f>(H402*6.9%)-(H402*6.9%)*10%</f>
      </c>
      <c r="L402" s="3">
        <f>H402*0.35%</f>
      </c>
      <c r="M402" s="3">
        <v>0.4</v>
      </c>
      <c r="N402" s="3">
        <f>(K402+L402+M402)*20%</f>
      </c>
      <c r="O402" s="3">
        <f>K402+L402+M402+N402</f>
      </c>
      <c r="P402" s="3">
        <v>0</v>
      </c>
      <c r="Q402" s="3">
        <v>0</v>
      </c>
      <c r="R402" s="3">
        <v>0</v>
      </c>
      <c r="S402" s="3">
        <f>R402*20%</f>
      </c>
      <c r="T402" s="3">
        <v>1</v>
      </c>
      <c r="U402" s="3">
        <f>N402+Q402+S402</f>
      </c>
      <c r="V402" s="3">
        <f>I402-J402-O402-P402-Q402-R402-S402-T402</f>
      </c>
      <c r="W402" s="3">
        <f>(V402-AE402)/H402*100</f>
      </c>
      <c r="X402" s="3">
        <f>J402-U402</f>
      </c>
      <c r="Y402" t="s">
        <v>1</v>
      </c>
      <c r="Z402" t="s">
        <v>130</v>
      </c>
      <c r="AF402" s="3">
        <f>V402-AE402</f>
      </c>
      <c r="AG402" t="s">
        <v>65</v>
      </c>
      <c r="AH402" t="s">
        <v>104</v>
      </c>
    </row>
    <row r="403" spans="1:34" x14ac:dyDescent="0.25">
      <c r="A403" s="7">
        <v>46164.5</v>
      </c>
      <c r="B403" t="s">
        <v>2186</v>
      </c>
      <c r="C403" t="s">
        <v>173</v>
      </c>
      <c r="D403" s="8" t="s">
        <v>1</v>
      </c>
      <c r="E403" t="s">
        <v>63</v>
      </c>
      <c r="F403">
        <v>3</v>
      </c>
      <c r="G403" s="3">
        <v>12.75</v>
      </c>
      <c r="H403" s="3">
        <v>15.43</v>
      </c>
      <c r="I403" s="3">
        <f>H403-G403</f>
      </c>
      <c r="J403" s="3">
        <f>I403*16.67%</f>
      </c>
      <c r="K403" s="3">
        <f>(H403*6.9%)-(H403*6.9%)*10%</f>
      </c>
      <c r="L403" s="3">
        <f>H403*0.35%</f>
      </c>
      <c r="M403" s="3">
        <v>0.4</v>
      </c>
      <c r="N403" s="3">
        <f>(K403+L403+M403)*20%</f>
      </c>
      <c r="O403" s="3">
        <f>K403+L403+M403+N403</f>
      </c>
      <c r="P403" s="3">
        <v>0</v>
      </c>
      <c r="Q403" s="3">
        <v>0</v>
      </c>
      <c r="R403" s="3">
        <v>0</v>
      </c>
      <c r="S403" s="3">
        <f>R403*20%</f>
      </c>
      <c r="T403" s="3">
        <v>1</v>
      </c>
      <c r="U403" s="3">
        <f>N403+Q403+S403</f>
      </c>
      <c r="V403" s="3">
        <f>I403-J403-O403-P403-Q403-R403-S403-T403</f>
      </c>
      <c r="W403" s="3">
        <f>(V403-AE403)/H403*100</f>
      </c>
      <c r="X403" s="3">
        <f>J403-U403</f>
      </c>
      <c r="Y403" t="s">
        <v>1</v>
      </c>
      <c r="Z403" t="s">
        <v>173</v>
      </c>
      <c r="AF403" s="3">
        <f>V403-AE403</f>
      </c>
      <c r="AG403" t="s">
        <v>1</v>
      </c>
      <c r="AH403" t="s">
        <v>1</v>
      </c>
    </row>
    <row r="404" spans="1:34" x14ac:dyDescent="0.25">
      <c r="A404" s="7">
        <v>46163.5</v>
      </c>
      <c r="B404" t="s">
        <v>2187</v>
      </c>
      <c r="C404" t="s">
        <v>1</v>
      </c>
      <c r="D404" s="8" t="s">
        <v>2188</v>
      </c>
      <c r="E404" t="s">
        <v>77</v>
      </c>
      <c r="F404">
        <v>1</v>
      </c>
      <c r="G404" s="3">
        <v>449</v>
      </c>
      <c r="H404" s="3">
        <v>606.15</v>
      </c>
      <c r="I404" s="3">
        <f>H404-G404</f>
      </c>
      <c r="J404" s="3">
        <f>I404*16.67%</f>
      </c>
      <c r="K404" s="3">
        <f>(H404*6.9%)-(H404*6.9%)*10%</f>
      </c>
      <c r="L404" s="3">
        <f>H404*0.35%</f>
      </c>
      <c r="M404" s="3">
        <v>0.4</v>
      </c>
      <c r="N404" s="3">
        <f>(K404+L404+M404)*20%</f>
      </c>
      <c r="O404" s="3">
        <f>K404+L404+M404+N404</f>
      </c>
      <c r="P404" s="3">
        <v>0</v>
      </c>
      <c r="Q404" s="3">
        <v>0</v>
      </c>
      <c r="R404" s="3">
        <v>0</v>
      </c>
      <c r="S404" s="3">
        <f>R404*20%</f>
      </c>
      <c r="T404" s="3">
        <v>1</v>
      </c>
      <c r="U404" s="3">
        <f>N404+Q404+S404</f>
      </c>
      <c r="V404" s="3">
        <f>I404-J404-O404-P404-Q404-R404-S404-T404</f>
      </c>
      <c r="W404" s="3">
        <f>(V404-AE404)/H404*100</f>
      </c>
      <c r="X404" s="3">
        <f>J404-U404</f>
      </c>
      <c r="Y404" t="s">
        <v>1</v>
      </c>
      <c r="Z404" t="s">
        <v>58</v>
      </c>
      <c r="AF404" s="3">
        <f>V404-AE404</f>
      </c>
      <c r="AG404" t="s">
        <v>59</v>
      </c>
      <c r="AH404" t="s">
        <v>74</v>
      </c>
    </row>
    <row r="405" spans="1:34" x14ac:dyDescent="0.25">
      <c r="A405" s="7">
        <v>46163.5</v>
      </c>
      <c r="B405" t="s">
        <v>2189</v>
      </c>
      <c r="C405" t="s">
        <v>176</v>
      </c>
      <c r="D405" s="8" t="s">
        <v>1</v>
      </c>
      <c r="E405" t="s">
        <v>77</v>
      </c>
      <c r="F405">
        <v>2</v>
      </c>
      <c r="G405" s="3">
        <v>0.3</v>
      </c>
      <c r="H405" s="3">
        <v>0.37</v>
      </c>
      <c r="I405" s="3">
        <f>H405-G405</f>
      </c>
      <c r="J405" s="3">
        <f>I405*16.67%</f>
      </c>
      <c r="K405" s="3">
        <f>(H405*6.9%)-(H405*6.9%)*10%</f>
      </c>
      <c r="L405" s="3">
        <f>H405*0.35%</f>
      </c>
      <c r="M405" s="3">
        <v>0.4</v>
      </c>
      <c r="N405" s="3">
        <f>(K405+L405+M405)*20%</f>
      </c>
      <c r="O405" s="3">
        <f>K405+L405+M405+N405</f>
      </c>
      <c r="P405" s="3">
        <v>0</v>
      </c>
      <c r="Q405" s="3">
        <v>0</v>
      </c>
      <c r="R405" s="3">
        <v>0</v>
      </c>
      <c r="S405" s="3">
        <f>R405*20%</f>
      </c>
      <c r="T405" s="3">
        <v>1</v>
      </c>
      <c r="U405" s="3">
        <f>N405+Q405+S405</f>
      </c>
      <c r="V405" s="3">
        <f>I405-J405-O405-P405-Q405-R405-S405-T405</f>
      </c>
      <c r="W405" s="3">
        <f>(V405-AE405)/H405*100</f>
      </c>
      <c r="X405" s="3">
        <f>J405-U405</f>
      </c>
      <c r="Y405" t="s">
        <v>1</v>
      </c>
      <c r="Z405" t="s">
        <v>176</v>
      </c>
      <c r="AF405" s="3">
        <f>V405-AE405</f>
      </c>
      <c r="AG405" t="s">
        <v>1</v>
      </c>
      <c r="AH405" t="s">
        <v>1</v>
      </c>
    </row>
    <row r="406" spans="1:34" x14ac:dyDescent="0.25">
      <c r="A406" s="9">
        <v>46162.5</v>
      </c>
      <c r="B406" s="10" t="s">
        <v>2190</v>
      </c>
      <c r="C406" s="10" t="s">
        <v>1</v>
      </c>
      <c r="D406" s="11" t="s">
        <v>2191</v>
      </c>
      <c r="E406" s="10" t="s">
        <v>101</v>
      </c>
      <c r="F406" s="10">
        <v>1</v>
      </c>
      <c r="G406" s="12">
        <v>90</v>
      </c>
      <c r="H406" s="12">
        <v>106.2</v>
      </c>
      <c r="I406" s="12">
        <f>H406-G406</f>
      </c>
      <c r="J406" s="12">
        <f>I406*16.67%</f>
      </c>
      <c r="K406" s="12">
        <f>(H406*6.9%)-(H406*6.9%)*10%</f>
      </c>
      <c r="L406" s="12">
        <f>H406*0.35%</f>
      </c>
      <c r="M406" s="12">
        <v>0.4</v>
      </c>
      <c r="N406" s="12">
        <f>(K406+L406+M406)*20%</f>
      </c>
      <c r="O406" s="12">
        <f>K406+L406+M406+N406</f>
      </c>
      <c r="P406" s="12">
        <v>0</v>
      </c>
      <c r="Q406" s="12">
        <v>0</v>
      </c>
      <c r="R406" s="12">
        <v>0</v>
      </c>
      <c r="S406" s="12">
        <f>R406*20%</f>
      </c>
      <c r="T406" s="12">
        <v>1</v>
      </c>
      <c r="U406" s="12">
        <f>N406+Q406+S406</f>
      </c>
      <c r="V406" s="12">
        <f>I406-J406-O406-P406-Q406-R406-S406-T406</f>
      </c>
      <c r="W406" s="12">
        <f>(V406-AE406)/H406*100</f>
      </c>
      <c r="X406" s="12">
        <f>J406-U406</f>
      </c>
      <c r="Y406" s="10" t="s">
        <v>1</v>
      </c>
      <c r="Z406" s="10" t="s">
        <v>93</v>
      </c>
      <c r="AA406" s="9">
        <v>46237.5</v>
      </c>
      <c r="AB406" s="10" t="s">
        <v>669</v>
      </c>
      <c r="AC406" s="10" t="s">
        <v>670</v>
      </c>
      <c r="AD406" s="10">
        <v>2</v>
      </c>
      <c r="AE406" s="10"/>
      <c r="AF406" s="12">
        <f>V406-AE406</f>
      </c>
      <c r="AG406" s="10" t="s">
        <v>94</v>
      </c>
      <c r="AH406" s="10" t="s">
        <v>60</v>
      </c>
    </row>
    <row r="407" spans="1:34" x14ac:dyDescent="0.25">
      <c r="A407" s="7">
        <v>46162.5</v>
      </c>
      <c r="B407" t="s">
        <v>2192</v>
      </c>
      <c r="C407" t="s">
        <v>1</v>
      </c>
      <c r="D407" s="8" t="s">
        <v>2193</v>
      </c>
      <c r="E407" t="s">
        <v>63</v>
      </c>
      <c r="F407">
        <v>1</v>
      </c>
      <c r="G407" s="3">
        <v>109</v>
      </c>
      <c r="H407" s="3">
        <v>141.7</v>
      </c>
      <c r="I407" s="3">
        <f>H407-G407</f>
      </c>
      <c r="J407" s="3">
        <f>I407*16.67%</f>
      </c>
      <c r="K407" s="3">
        <f>(H407*6.9%)-(H407*6.9%)*10%</f>
      </c>
      <c r="L407" s="3">
        <f>H407*0.35%</f>
      </c>
      <c r="M407" s="3">
        <v>0.4</v>
      </c>
      <c r="N407" s="3">
        <f>(K407+L407+M407)*20%</f>
      </c>
      <c r="O407" s="3">
        <f>K407+L407+M407+N407</f>
      </c>
      <c r="P407" s="3">
        <v>0</v>
      </c>
      <c r="Q407" s="3">
        <v>0</v>
      </c>
      <c r="R407" s="3">
        <v>0</v>
      </c>
      <c r="S407" s="3">
        <f>R407*20%</f>
      </c>
      <c r="T407" s="3">
        <v>1</v>
      </c>
      <c r="U407" s="3">
        <f>N407+Q407+S407</f>
      </c>
      <c r="V407" s="3">
        <f>I407-J407-O407-P407-Q407-R407-S407-T407</f>
      </c>
      <c r="W407" s="3">
        <f>(V407-AE407)/H407*100</f>
      </c>
      <c r="X407" s="3">
        <f>J407-U407</f>
      </c>
      <c r="Y407" t="s">
        <v>1</v>
      </c>
      <c r="Z407" t="s">
        <v>90</v>
      </c>
      <c r="AF407" s="3">
        <f>V407-AE407</f>
      </c>
      <c r="AG407" t="s">
        <v>65</v>
      </c>
      <c r="AH407" t="s">
        <v>87</v>
      </c>
    </row>
    <row r="408" spans="1:34" x14ac:dyDescent="0.25">
      <c r="A408" s="7">
        <v>46162.5</v>
      </c>
      <c r="B408" t="s">
        <v>2194</v>
      </c>
      <c r="C408" t="s">
        <v>1</v>
      </c>
      <c r="D408" s="8" t="s">
        <v>2195</v>
      </c>
      <c r="E408" t="s">
        <v>101</v>
      </c>
      <c r="F408">
        <v>1</v>
      </c>
      <c r="G408" s="3">
        <v>594</v>
      </c>
      <c r="H408" s="3">
        <v>807.84</v>
      </c>
      <c r="I408" s="3">
        <f>H408-G408</f>
      </c>
      <c r="J408" s="3">
        <f>I408*16.67%</f>
      </c>
      <c r="K408" s="3">
        <f>(H408*6.9%)-(H408*6.9%)*10%</f>
      </c>
      <c r="L408" s="3">
        <f>H408*0.35%</f>
      </c>
      <c r="M408" s="3">
        <v>0.4</v>
      </c>
      <c r="N408" s="3">
        <f>(K408+L408+M408)*20%</f>
      </c>
      <c r="O408" s="3">
        <f>K408+L408+M408+N408</f>
      </c>
      <c r="P408" s="3">
        <v>0</v>
      </c>
      <c r="Q408" s="3">
        <v>0</v>
      </c>
      <c r="R408" s="3">
        <v>0</v>
      </c>
      <c r="S408" s="3">
        <f>R408*20%</f>
      </c>
      <c r="T408" s="3">
        <v>1</v>
      </c>
      <c r="U408" s="3">
        <f>N408+Q408+S408</f>
      </c>
      <c r="V408" s="3">
        <f>I408-J408-O408-P408-Q408-R408-S408-T408</f>
      </c>
      <c r="W408" s="3">
        <f>(V408-AE408)/H408*100</f>
      </c>
      <c r="X408" s="3">
        <f>J408-U408</f>
      </c>
      <c r="Y408" t="s">
        <v>1</v>
      </c>
      <c r="Z408" t="s">
        <v>80</v>
      </c>
      <c r="AF408" s="3">
        <f>V408-AE408</f>
      </c>
      <c r="AG408" t="s">
        <v>65</v>
      </c>
      <c r="AH408" t="s">
        <v>98</v>
      </c>
    </row>
    <row r="409" spans="1:34" x14ac:dyDescent="0.25">
      <c r="A409" s="7">
        <v>46162.5</v>
      </c>
      <c r="B409" t="s">
        <v>2196</v>
      </c>
      <c r="C409" t="s">
        <v>1</v>
      </c>
      <c r="D409" s="8" t="s">
        <v>2197</v>
      </c>
      <c r="E409" t="s">
        <v>101</v>
      </c>
      <c r="F409">
        <v>1</v>
      </c>
      <c r="G409" s="3">
        <v>164</v>
      </c>
      <c r="H409" s="3">
        <v>201.72</v>
      </c>
      <c r="I409" s="3">
        <f>H409-G409</f>
      </c>
      <c r="J409" s="3">
        <f>I409*16.67%</f>
      </c>
      <c r="K409" s="3">
        <f>(H409*6.9%)-(H409*6.9%)*10%</f>
      </c>
      <c r="L409" s="3">
        <f>H409*0.35%</f>
      </c>
      <c r="M409" s="3">
        <v>0.4</v>
      </c>
      <c r="N409" s="3">
        <f>(K409+L409+M409)*20%</f>
      </c>
      <c r="O409" s="3">
        <f>K409+L409+M409+N409</f>
      </c>
      <c r="P409" s="3">
        <v>0</v>
      </c>
      <c r="Q409" s="3">
        <v>0</v>
      </c>
      <c r="R409" s="3">
        <v>0</v>
      </c>
      <c r="S409" s="3">
        <f>R409*20%</f>
      </c>
      <c r="T409" s="3">
        <v>1</v>
      </c>
      <c r="U409" s="3">
        <f>N409+Q409+S409</f>
      </c>
      <c r="V409" s="3">
        <f>I409-J409-O409-P409-Q409-R409-S409-T409</f>
      </c>
      <c r="W409" s="3">
        <f>(V409-AE409)/H409*100</f>
      </c>
      <c r="X409" s="3">
        <f>J409-U409</f>
      </c>
      <c r="Y409" t="s">
        <v>1</v>
      </c>
      <c r="Z409" t="s">
        <v>291</v>
      </c>
      <c r="AF409" s="3">
        <f>V409-AE409</f>
      </c>
      <c r="AG409" t="s">
        <v>125</v>
      </c>
      <c r="AH409" t="s">
        <v>87</v>
      </c>
    </row>
    <row r="410" spans="1:34" x14ac:dyDescent="0.25">
      <c r="A410" s="7">
        <v>46161.5</v>
      </c>
      <c r="B410" t="s">
        <v>2198</v>
      </c>
      <c r="C410" t="s">
        <v>1</v>
      </c>
      <c r="D410" s="8" t="s">
        <v>2199</v>
      </c>
      <c r="E410" t="s">
        <v>77</v>
      </c>
      <c r="F410">
        <v>1</v>
      </c>
      <c r="G410" s="3">
        <v>165</v>
      </c>
      <c r="H410" s="3">
        <v>214.5</v>
      </c>
      <c r="I410" s="3">
        <f>H410-G410</f>
      </c>
      <c r="J410" s="3">
        <f>I410*16.67%</f>
      </c>
      <c r="K410" s="3">
        <f>(H410*6.9%)-(H410*6.9%)*10%</f>
      </c>
      <c r="L410" s="3">
        <f>H410*0.35%</f>
      </c>
      <c r="M410" s="3">
        <v>0.4</v>
      </c>
      <c r="N410" s="3">
        <f>(K410+L410+M410)*20%</f>
      </c>
      <c r="O410" s="3">
        <f>K410+L410+M410+N410</f>
      </c>
      <c r="P410" s="3">
        <v>0</v>
      </c>
      <c r="Q410" s="3">
        <v>0</v>
      </c>
      <c r="R410" s="3">
        <v>0</v>
      </c>
      <c r="S410" s="3">
        <f>R410*20%</f>
      </c>
      <c r="T410" s="3">
        <v>1</v>
      </c>
      <c r="U410" s="3">
        <f>N410+Q410+S410</f>
      </c>
      <c r="V410" s="3">
        <f>I410-J410-O410-P410-Q410-R410-S410-T410</f>
      </c>
      <c r="W410" s="3">
        <f>(V410-AE410)/H410*100</f>
      </c>
      <c r="X410" s="3">
        <f>J410-U410</f>
      </c>
      <c r="Y410" t="s">
        <v>1</v>
      </c>
      <c r="Z410" t="s">
        <v>291</v>
      </c>
      <c r="AF410" s="3">
        <f>V410-AE410</f>
      </c>
      <c r="AG410" t="s">
        <v>125</v>
      </c>
      <c r="AH410" t="s">
        <v>69</v>
      </c>
    </row>
    <row r="411" spans="1:34" x14ac:dyDescent="0.25">
      <c r="A411" s="7">
        <v>46161.5</v>
      </c>
      <c r="B411" t="s">
        <v>2200</v>
      </c>
      <c r="C411" t="s">
        <v>1</v>
      </c>
      <c r="D411" s="8" t="s">
        <v>2201</v>
      </c>
      <c r="E411" t="s">
        <v>101</v>
      </c>
      <c r="F411">
        <v>1</v>
      </c>
      <c r="G411" s="3">
        <v>171</v>
      </c>
      <c r="H411" s="3">
        <v>239.4</v>
      </c>
      <c r="I411" s="3">
        <f>H411-G411</f>
      </c>
      <c r="J411" s="3">
        <f>I411*16.67%</f>
      </c>
      <c r="K411" s="3">
        <f>(H411*6.9%)-(H411*6.9%)*10%</f>
      </c>
      <c r="L411" s="3">
        <f>H411*0.35%</f>
      </c>
      <c r="M411" s="3">
        <v>0.4</v>
      </c>
      <c r="N411" s="3">
        <f>(K411+L411+M411)*20%</f>
      </c>
      <c r="O411" s="3">
        <f>K411+L411+M411+N411</f>
      </c>
      <c r="P411" s="3">
        <v>0</v>
      </c>
      <c r="Q411" s="3">
        <v>0</v>
      </c>
      <c r="R411" s="3">
        <v>0</v>
      </c>
      <c r="S411" s="3">
        <f>R411*20%</f>
      </c>
      <c r="T411" s="3">
        <v>1</v>
      </c>
      <c r="U411" s="3">
        <f>N411+Q411+S411</f>
      </c>
      <c r="V411" s="3">
        <f>I411-J411-O411-P411-Q411-R411-S411-T411</f>
      </c>
      <c r="W411" s="3">
        <f>(V411-AE411)/H411*100</f>
      </c>
      <c r="X411" s="3">
        <f>J411-U411</f>
      </c>
      <c r="Y411" t="s">
        <v>1</v>
      </c>
      <c r="Z411" t="s">
        <v>171</v>
      </c>
      <c r="AF411" s="3">
        <f>V411-AE411</f>
      </c>
      <c r="AG411" t="s">
        <v>65</v>
      </c>
      <c r="AH411" t="s">
        <v>87</v>
      </c>
    </row>
    <row r="412" spans="1:34" x14ac:dyDescent="0.25">
      <c r="A412" s="7">
        <v>46161.5</v>
      </c>
      <c r="B412" t="s">
        <v>2202</v>
      </c>
      <c r="C412" t="s">
        <v>1</v>
      </c>
      <c r="D412" s="8" t="s">
        <v>2203</v>
      </c>
      <c r="E412" t="s">
        <v>72</v>
      </c>
      <c r="F412">
        <v>1</v>
      </c>
      <c r="G412" s="3">
        <v>81</v>
      </c>
      <c r="H412" s="3">
        <v>117.45</v>
      </c>
      <c r="I412" s="3">
        <f>H412-G412</f>
      </c>
      <c r="J412" s="3">
        <f>I412*16.67%</f>
      </c>
      <c r="K412" s="3">
        <f>(H412*6.9%)-(H412*6.9%)*10%</f>
      </c>
      <c r="L412" s="3">
        <f>H412*0.35%</f>
      </c>
      <c r="M412" s="3">
        <v>0.4</v>
      </c>
      <c r="N412" s="3">
        <f>(K412+L412+M412)*20%</f>
      </c>
      <c r="O412" s="3">
        <f>K412+L412+M412+N412</f>
      </c>
      <c r="P412" s="3">
        <v>0</v>
      </c>
      <c r="Q412" s="3">
        <v>0</v>
      </c>
      <c r="R412" s="3">
        <v>0</v>
      </c>
      <c r="S412" s="3">
        <f>R412*20%</f>
      </c>
      <c r="T412" s="3">
        <v>1</v>
      </c>
      <c r="U412" s="3">
        <f>N412+Q412+S412</f>
      </c>
      <c r="V412" s="3">
        <f>I412-J412-O412-P412-Q412-R412-S412-T412</f>
      </c>
      <c r="W412" s="3">
        <f>(V412-AE412)/H412*100</f>
      </c>
      <c r="X412" s="3">
        <f>J412-U412</f>
      </c>
      <c r="Y412" t="s">
        <v>1</v>
      </c>
      <c r="Z412" t="s">
        <v>93</v>
      </c>
      <c r="AF412" s="3">
        <f>V412-AE412</f>
      </c>
      <c r="AG412" t="s">
        <v>94</v>
      </c>
      <c r="AH412" t="s">
        <v>104</v>
      </c>
    </row>
    <row r="413" spans="1:34" x14ac:dyDescent="0.25">
      <c r="A413" s="7">
        <v>46161.5</v>
      </c>
      <c r="B413" t="s">
        <v>2204</v>
      </c>
      <c r="C413" t="s">
        <v>173</v>
      </c>
      <c r="D413" s="8" t="s">
        <v>1</v>
      </c>
      <c r="E413" t="s">
        <v>63</v>
      </c>
      <c r="F413">
        <v>4</v>
      </c>
      <c r="G413" s="3">
        <v>17</v>
      </c>
      <c r="H413" s="3">
        <v>21.08</v>
      </c>
      <c r="I413" s="3">
        <f>H413-G413</f>
      </c>
      <c r="J413" s="3">
        <f>I413*16.67%</f>
      </c>
      <c r="K413" s="3">
        <f>(H413*6.9%)-(H413*6.9%)*10%</f>
      </c>
      <c r="L413" s="3">
        <f>H413*0.35%</f>
      </c>
      <c r="M413" s="3">
        <v>0.4</v>
      </c>
      <c r="N413" s="3">
        <f>(K413+L413+M413)*20%</f>
      </c>
      <c r="O413" s="3">
        <f>K413+L413+M413+N413</f>
      </c>
      <c r="P413" s="3">
        <v>0</v>
      </c>
      <c r="Q413" s="3">
        <v>0</v>
      </c>
      <c r="R413" s="3">
        <v>0</v>
      </c>
      <c r="S413" s="3">
        <f>R413*20%</f>
      </c>
      <c r="T413" s="3">
        <v>1</v>
      </c>
      <c r="U413" s="3">
        <f>N413+Q413+S413</f>
      </c>
      <c r="V413" s="3">
        <f>I413-J413-O413-P413-Q413-R413-S413-T413</f>
      </c>
      <c r="W413" s="3">
        <f>(V413-AE413)/H413*100</f>
      </c>
      <c r="X413" s="3">
        <f>J413-U413</f>
      </c>
      <c r="Y413" t="s">
        <v>1</v>
      </c>
      <c r="Z413" t="s">
        <v>173</v>
      </c>
      <c r="AF413" s="3">
        <f>V413-AE413</f>
      </c>
      <c r="AG413" t="s">
        <v>1</v>
      </c>
      <c r="AH413" t="s">
        <v>1</v>
      </c>
    </row>
    <row r="414" spans="1:34" x14ac:dyDescent="0.25">
      <c r="A414" s="7">
        <v>46161.5</v>
      </c>
      <c r="B414" t="s">
        <v>2205</v>
      </c>
      <c r="C414" t="s">
        <v>184</v>
      </c>
      <c r="D414" s="8" t="s">
        <v>1</v>
      </c>
      <c r="E414" t="s">
        <v>101</v>
      </c>
      <c r="F414">
        <v>1</v>
      </c>
      <c r="G414" s="3">
        <v>1.2</v>
      </c>
      <c r="H414" s="3">
        <v>1.64</v>
      </c>
      <c r="I414" s="3">
        <f>H414-G414</f>
      </c>
      <c r="J414" s="3">
        <f>I414*16.67%</f>
      </c>
      <c r="K414" s="3">
        <f>(H414*6.9%)-(H414*6.9%)*10%</f>
      </c>
      <c r="L414" s="3">
        <f>H414*0.35%</f>
      </c>
      <c r="M414" s="3">
        <v>0.4</v>
      </c>
      <c r="N414" s="3">
        <f>(K414+L414+M414)*20%</f>
      </c>
      <c r="O414" s="3">
        <f>K414+L414+M414+N414</f>
      </c>
      <c r="P414" s="3">
        <v>0</v>
      </c>
      <c r="Q414" s="3">
        <v>0</v>
      </c>
      <c r="R414" s="3">
        <v>0</v>
      </c>
      <c r="S414" s="3">
        <f>R414*20%</f>
      </c>
      <c r="T414" s="3">
        <v>1</v>
      </c>
      <c r="U414" s="3">
        <f>N414+Q414+S414</f>
      </c>
      <c r="V414" s="3">
        <f>I414-J414-O414-P414-Q414-R414-S414-T414</f>
      </c>
      <c r="W414" s="3">
        <f>(V414-AE414)/H414*100</f>
      </c>
      <c r="X414" s="3">
        <f>J414-U414</f>
      </c>
      <c r="Y414" t="s">
        <v>1</v>
      </c>
      <c r="Z414" t="s">
        <v>184</v>
      </c>
      <c r="AF414" s="3">
        <f>V414-AE414</f>
      </c>
      <c r="AG414" t="s">
        <v>1</v>
      </c>
      <c r="AH414" t="s">
        <v>1</v>
      </c>
    </row>
    <row r="415" spans="1:34" x14ac:dyDescent="0.25">
      <c r="A415" s="7">
        <v>46161.5</v>
      </c>
      <c r="B415" t="s">
        <v>2206</v>
      </c>
      <c r="C415" t="s">
        <v>1</v>
      </c>
      <c r="D415" s="8" t="s">
        <v>1</v>
      </c>
      <c r="E415" t="s">
        <v>63</v>
      </c>
      <c r="F415">
        <v>1</v>
      </c>
      <c r="G415" s="3">
        <v>332</v>
      </c>
      <c r="H415" s="3">
        <v>471.44</v>
      </c>
      <c r="I415" s="3">
        <f>H415-G415</f>
      </c>
      <c r="J415" s="3">
        <f>I415*16.67%</f>
      </c>
      <c r="K415" s="3">
        <f>(H415*6.9%)-(H415*6.9%)*10%</f>
      </c>
      <c r="L415" s="3">
        <f>H415*0.35%</f>
      </c>
      <c r="M415" s="3">
        <v>0.4</v>
      </c>
      <c r="N415" s="3">
        <f>(K415+L415+M415)*20%</f>
      </c>
      <c r="O415" s="3">
        <f>K415+L415+M415+N415</f>
      </c>
      <c r="P415" s="3">
        <v>0</v>
      </c>
      <c r="Q415" s="3">
        <v>0</v>
      </c>
      <c r="R415" s="3">
        <v>0</v>
      </c>
      <c r="S415" s="3">
        <f>R415*20%</f>
      </c>
      <c r="T415" s="3">
        <v>1</v>
      </c>
      <c r="U415" s="3">
        <f>N415+Q415+S415</f>
      </c>
      <c r="V415" s="3">
        <f>I415-J415-O415-P415-Q415-R415-S415-T415</f>
      </c>
      <c r="W415" s="3">
        <f>(V415-AE415)/H415*100</f>
      </c>
      <c r="X415" s="3">
        <f>J415-U415</f>
      </c>
      <c r="Y415" t="s">
        <v>1</v>
      </c>
      <c r="Z415" t="s">
        <v>1</v>
      </c>
      <c r="AF415" s="3">
        <f>V415-AE415</f>
      </c>
      <c r="AG415" t="s">
        <v>1</v>
      </c>
      <c r="AH415" t="s">
        <v>1</v>
      </c>
    </row>
    <row r="416" spans="1:34" x14ac:dyDescent="0.25">
      <c r="A416" s="7">
        <v>46160.5</v>
      </c>
      <c r="B416" t="s">
        <v>2207</v>
      </c>
      <c r="C416" t="s">
        <v>1</v>
      </c>
      <c r="D416" s="8" t="s">
        <v>2208</v>
      </c>
      <c r="E416" t="s">
        <v>101</v>
      </c>
      <c r="F416">
        <v>1</v>
      </c>
      <c r="G416" s="3">
        <v>267</v>
      </c>
      <c r="H416" s="3">
        <v>360.45</v>
      </c>
      <c r="I416" s="3">
        <f>H416-G416</f>
      </c>
      <c r="J416" s="3">
        <f>I416*16.67%</f>
      </c>
      <c r="K416" s="3">
        <f>(H416*6.9%)-(H416*6.9%)*10%</f>
      </c>
      <c r="L416" s="3">
        <f>H416*0.35%</f>
      </c>
      <c r="M416" s="3">
        <v>0.4</v>
      </c>
      <c r="N416" s="3">
        <f>(K416+L416+M416)*20%</f>
      </c>
      <c r="O416" s="3">
        <f>K416+L416+M416+N416</f>
      </c>
      <c r="P416" s="3">
        <v>0</v>
      </c>
      <c r="Q416" s="3">
        <v>0</v>
      </c>
      <c r="R416" s="3">
        <v>0</v>
      </c>
      <c r="S416" s="3">
        <f>R416*20%</f>
      </c>
      <c r="T416" s="3">
        <v>1</v>
      </c>
      <c r="U416" s="3">
        <f>N416+Q416+S416</f>
      </c>
      <c r="V416" s="3">
        <f>I416-J416-O416-P416-Q416-R416-S416-T416</f>
      </c>
      <c r="W416" s="3">
        <f>(V416-AE416)/H416*100</f>
      </c>
      <c r="X416" s="3">
        <f>J416-U416</f>
      </c>
      <c r="Y416" t="s">
        <v>1</v>
      </c>
      <c r="Z416" t="s">
        <v>130</v>
      </c>
      <c r="AF416" s="3">
        <f>V416-AE416</f>
      </c>
      <c r="AG416" t="s">
        <v>65</v>
      </c>
      <c r="AH416" t="s">
        <v>98</v>
      </c>
    </row>
    <row r="417" spans="1:34" x14ac:dyDescent="0.25">
      <c r="A417" s="7">
        <v>46160.5</v>
      </c>
      <c r="B417" t="s">
        <v>2209</v>
      </c>
      <c r="C417" t="s">
        <v>1</v>
      </c>
      <c r="D417" s="8" t="s">
        <v>2210</v>
      </c>
      <c r="E417" t="s">
        <v>57</v>
      </c>
      <c r="F417">
        <v>1</v>
      </c>
      <c r="G417" s="3">
        <v>172</v>
      </c>
      <c r="H417" s="3">
        <v>239.08</v>
      </c>
      <c r="I417" s="3">
        <f>H417-G417</f>
      </c>
      <c r="J417" s="3">
        <f>I417*16.67%</f>
      </c>
      <c r="K417" s="3">
        <f>(H417*6.9%)-(H417*6.9%)*10%</f>
      </c>
      <c r="L417" s="3">
        <f>H417*0.35%</f>
      </c>
      <c r="M417" s="3">
        <v>0.4</v>
      </c>
      <c r="N417" s="3">
        <f>(K417+L417+M417)*20%</f>
      </c>
      <c r="O417" s="3">
        <f>K417+L417+M417+N417</f>
      </c>
      <c r="P417" s="3">
        <v>0</v>
      </c>
      <c r="Q417" s="3">
        <v>0</v>
      </c>
      <c r="R417" s="3">
        <v>0</v>
      </c>
      <c r="S417" s="3">
        <f>R417*20%</f>
      </c>
      <c r="T417" s="3">
        <v>1</v>
      </c>
      <c r="U417" s="3">
        <f>N417+Q417+S417</f>
      </c>
      <c r="V417" s="3">
        <f>I417-J417-O417-P417-Q417-R417-S417-T417</f>
      </c>
      <c r="W417" s="3">
        <f>(V417-AE417)/H417*100</f>
      </c>
      <c r="X417" s="3">
        <f>J417-U417</f>
      </c>
      <c r="Y417" t="s">
        <v>1</v>
      </c>
      <c r="Z417" t="s">
        <v>291</v>
      </c>
      <c r="AF417" s="3">
        <f>V417-AE417</f>
      </c>
      <c r="AG417" t="s">
        <v>125</v>
      </c>
      <c r="AH417" t="s">
        <v>74</v>
      </c>
    </row>
    <row r="418" spans="1:34" x14ac:dyDescent="0.25">
      <c r="A418" s="7">
        <v>46160.5</v>
      </c>
      <c r="B418" t="s">
        <v>2211</v>
      </c>
      <c r="C418" t="s">
        <v>1</v>
      </c>
      <c r="D418" s="8" t="s">
        <v>2212</v>
      </c>
      <c r="E418" t="s">
        <v>63</v>
      </c>
      <c r="F418">
        <v>1</v>
      </c>
      <c r="G418" s="3">
        <v>152</v>
      </c>
      <c r="H418" s="3">
        <v>203.68</v>
      </c>
      <c r="I418" s="3">
        <f>H418-G418</f>
      </c>
      <c r="J418" s="3">
        <f>I418*16.67%</f>
      </c>
      <c r="K418" s="3">
        <f>(H418*6.9%)-(H418*6.9%)*10%</f>
      </c>
      <c r="L418" s="3">
        <f>H418*0.35%</f>
      </c>
      <c r="M418" s="3">
        <v>0.4</v>
      </c>
      <c r="N418" s="3">
        <f>(K418+L418+M418)*20%</f>
      </c>
      <c r="O418" s="3">
        <f>K418+L418+M418+N418</f>
      </c>
      <c r="P418" s="3">
        <v>0</v>
      </c>
      <c r="Q418" s="3">
        <v>0</v>
      </c>
      <c r="R418" s="3">
        <v>0</v>
      </c>
      <c r="S418" s="3">
        <f>R418*20%</f>
      </c>
      <c r="T418" s="3">
        <v>1</v>
      </c>
      <c r="U418" s="3">
        <f>N418+Q418+S418</f>
      </c>
      <c r="V418" s="3">
        <f>I418-J418-O418-P418-Q418-R418-S418-T418</f>
      </c>
      <c r="W418" s="3">
        <f>(V418-AE418)/H418*100</f>
      </c>
      <c r="X418" s="3">
        <f>J418-U418</f>
      </c>
      <c r="Y418" t="s">
        <v>1</v>
      </c>
      <c r="Z418" t="s">
        <v>291</v>
      </c>
      <c r="AF418" s="3">
        <f>V418-AE418</f>
      </c>
      <c r="AG418" t="s">
        <v>125</v>
      </c>
      <c r="AH418" t="s">
        <v>60</v>
      </c>
    </row>
    <row r="419" spans="1:34" x14ac:dyDescent="0.25">
      <c r="A419" s="7">
        <v>46160.5</v>
      </c>
      <c r="B419" t="s">
        <v>2213</v>
      </c>
      <c r="C419" t="s">
        <v>1</v>
      </c>
      <c r="D419" s="8" t="s">
        <v>2214</v>
      </c>
      <c r="E419" t="s">
        <v>101</v>
      </c>
      <c r="F419">
        <v>1</v>
      </c>
      <c r="G419" s="3">
        <v>106</v>
      </c>
      <c r="H419" s="3">
        <v>134.62</v>
      </c>
      <c r="I419" s="3">
        <f>H419-G419</f>
      </c>
      <c r="J419" s="3">
        <f>I419*16.67%</f>
      </c>
      <c r="K419" s="3">
        <f>(H419*6.9%)-(H419*6.9%)*10%</f>
      </c>
      <c r="L419" s="3">
        <f>H419*0.35%</f>
      </c>
      <c r="M419" s="3">
        <v>0.4</v>
      </c>
      <c r="N419" s="3">
        <f>(K419+L419+M419)*20%</f>
      </c>
      <c r="O419" s="3">
        <f>K419+L419+M419+N419</f>
      </c>
      <c r="P419" s="3">
        <v>0</v>
      </c>
      <c r="Q419" s="3">
        <v>0</v>
      </c>
      <c r="R419" s="3">
        <v>0</v>
      </c>
      <c r="S419" s="3">
        <f>R419*20%</f>
      </c>
      <c r="T419" s="3">
        <v>1</v>
      </c>
      <c r="U419" s="3">
        <f>N419+Q419+S419</f>
      </c>
      <c r="V419" s="3">
        <f>I419-J419-O419-P419-Q419-R419-S419-T419</f>
      </c>
      <c r="W419" s="3">
        <f>(V419-AE419)/H419*100</f>
      </c>
      <c r="X419" s="3">
        <f>J419-U419</f>
      </c>
      <c r="Y419" t="s">
        <v>1</v>
      </c>
      <c r="Z419" t="s">
        <v>133</v>
      </c>
      <c r="AF419" s="3">
        <f>V419-AE419</f>
      </c>
      <c r="AG419" t="s">
        <v>94</v>
      </c>
      <c r="AH419" t="s">
        <v>60</v>
      </c>
    </row>
    <row r="420" spans="1:34" x14ac:dyDescent="0.25">
      <c r="A420" s="7">
        <v>46160.5</v>
      </c>
      <c r="B420" t="s">
        <v>2215</v>
      </c>
      <c r="C420" t="s">
        <v>1</v>
      </c>
      <c r="D420" s="8" t="s">
        <v>2216</v>
      </c>
      <c r="E420" t="s">
        <v>77</v>
      </c>
      <c r="F420">
        <v>1</v>
      </c>
      <c r="G420" s="3">
        <v>234</v>
      </c>
      <c r="H420" s="3">
        <v>304.2</v>
      </c>
      <c r="I420" s="3">
        <f>H420-G420</f>
      </c>
      <c r="J420" s="3">
        <f>I420*16.67%</f>
      </c>
      <c r="K420" s="3">
        <f>(H420*6.9%)-(H420*6.9%)*10%</f>
      </c>
      <c r="L420" s="3">
        <f>H420*0.35%</f>
      </c>
      <c r="M420" s="3">
        <v>0.4</v>
      </c>
      <c r="N420" s="3">
        <f>(K420+L420+M420)*20%</f>
      </c>
      <c r="O420" s="3">
        <f>K420+L420+M420+N420</f>
      </c>
      <c r="P420" s="3">
        <v>0</v>
      </c>
      <c r="Q420" s="3">
        <v>0</v>
      </c>
      <c r="R420" s="3">
        <v>0</v>
      </c>
      <c r="S420" s="3">
        <f>R420*20%</f>
      </c>
      <c r="T420" s="3">
        <v>1</v>
      </c>
      <c r="U420" s="3">
        <f>N420+Q420+S420</f>
      </c>
      <c r="V420" s="3">
        <f>I420-J420-O420-P420-Q420-R420-S420-T420</f>
      </c>
      <c r="W420" s="3">
        <f>(V420-AE420)/H420*100</f>
      </c>
      <c r="X420" s="3">
        <f>J420-U420</f>
      </c>
      <c r="Y420" t="s">
        <v>1</v>
      </c>
      <c r="Z420" t="s">
        <v>124</v>
      </c>
      <c r="AF420" s="3">
        <f>V420-AE420</f>
      </c>
      <c r="AG420" t="s">
        <v>125</v>
      </c>
      <c r="AH420" t="s">
        <v>87</v>
      </c>
    </row>
    <row r="421" spans="1:34" x14ac:dyDescent="0.25">
      <c r="A421" s="7">
        <v>46160.5</v>
      </c>
      <c r="B421" t="s">
        <v>2217</v>
      </c>
      <c r="C421" t="s">
        <v>1</v>
      </c>
      <c r="D421" s="8" t="s">
        <v>2218</v>
      </c>
      <c r="E421" t="s">
        <v>63</v>
      </c>
      <c r="F421">
        <v>1</v>
      </c>
      <c r="G421" s="3">
        <v>176</v>
      </c>
      <c r="H421" s="3">
        <v>205.92</v>
      </c>
      <c r="I421" s="3">
        <f>H421-G421</f>
      </c>
      <c r="J421" s="3">
        <f>I421*16.67%</f>
      </c>
      <c r="K421" s="3">
        <f>(H421*6.9%)-(H421*6.9%)*10%</f>
      </c>
      <c r="L421" s="3">
        <f>H421*0.35%</f>
      </c>
      <c r="M421" s="3">
        <v>0.4</v>
      </c>
      <c r="N421" s="3">
        <f>(K421+L421+M421)*20%</f>
      </c>
      <c r="O421" s="3">
        <f>K421+L421+M421+N421</f>
      </c>
      <c r="P421" s="3">
        <v>0</v>
      </c>
      <c r="Q421" s="3">
        <v>0</v>
      </c>
      <c r="R421" s="3">
        <v>0</v>
      </c>
      <c r="S421" s="3">
        <f>R421*20%</f>
      </c>
      <c r="T421" s="3">
        <v>1</v>
      </c>
      <c r="U421" s="3">
        <f>N421+Q421+S421</f>
      </c>
      <c r="V421" s="3">
        <f>I421-J421-O421-P421-Q421-R421-S421-T421</f>
      </c>
      <c r="W421" s="3">
        <f>(V421-AE421)/H421*100</f>
      </c>
      <c r="X421" s="3">
        <f>J421-U421</f>
      </c>
      <c r="Y421" t="s">
        <v>1</v>
      </c>
      <c r="Z421" t="s">
        <v>171</v>
      </c>
      <c r="AF421" s="3">
        <f>V421-AE421</f>
      </c>
      <c r="AG421" t="s">
        <v>65</v>
      </c>
      <c r="AH421" t="s">
        <v>69</v>
      </c>
    </row>
    <row r="422" spans="1:34" x14ac:dyDescent="0.25">
      <c r="A422" s="7">
        <v>46160.5</v>
      </c>
      <c r="B422" t="s">
        <v>2219</v>
      </c>
      <c r="C422" t="s">
        <v>1</v>
      </c>
      <c r="D422" s="8" t="s">
        <v>2220</v>
      </c>
      <c r="E422" t="s">
        <v>72</v>
      </c>
      <c r="F422">
        <v>1</v>
      </c>
      <c r="G422" s="3">
        <v>496</v>
      </c>
      <c r="H422" s="3">
        <v>615.04</v>
      </c>
      <c r="I422" s="3">
        <f>H422-G422</f>
      </c>
      <c r="J422" s="3">
        <f>I422*16.67%</f>
      </c>
      <c r="K422" s="3">
        <f>(H422*6.9%)-(H422*6.9%)*10%</f>
      </c>
      <c r="L422" s="3">
        <f>H422*0.35%</f>
      </c>
      <c r="M422" s="3">
        <v>0.4</v>
      </c>
      <c r="N422" s="3">
        <f>(K422+L422+M422)*20%</f>
      </c>
      <c r="O422" s="3">
        <f>K422+L422+M422+N422</f>
      </c>
      <c r="P422" s="3">
        <v>0</v>
      </c>
      <c r="Q422" s="3">
        <v>0</v>
      </c>
      <c r="R422" s="3">
        <v>0</v>
      </c>
      <c r="S422" s="3">
        <f>R422*20%</f>
      </c>
      <c r="T422" s="3">
        <v>1</v>
      </c>
      <c r="U422" s="3">
        <f>N422+Q422+S422</f>
      </c>
      <c r="V422" s="3">
        <f>I422-J422-O422-P422-Q422-R422-S422-T422</f>
      </c>
      <c r="W422" s="3">
        <f>(V422-AE422)/H422*100</f>
      </c>
      <c r="X422" s="3">
        <f>J422-U422</f>
      </c>
      <c r="Y422" t="s">
        <v>1</v>
      </c>
      <c r="Z422" t="s">
        <v>68</v>
      </c>
      <c r="AF422" s="3">
        <f>V422-AE422</f>
      </c>
      <c r="AG422" t="s">
        <v>59</v>
      </c>
      <c r="AH422" t="s">
        <v>98</v>
      </c>
    </row>
    <row r="423" spans="1:34" x14ac:dyDescent="0.25">
      <c r="A423" s="7">
        <v>46160.5</v>
      </c>
      <c r="B423" t="s">
        <v>2221</v>
      </c>
      <c r="C423" t="s">
        <v>173</v>
      </c>
      <c r="D423" s="8" t="s">
        <v>1</v>
      </c>
      <c r="E423" t="s">
        <v>63</v>
      </c>
      <c r="F423">
        <v>2</v>
      </c>
      <c r="G423" s="3">
        <v>8.5</v>
      </c>
      <c r="H423" s="3">
        <v>11.3</v>
      </c>
      <c r="I423" s="3">
        <f>H423-G423</f>
      </c>
      <c r="J423" s="3">
        <f>I423*16.67%</f>
      </c>
      <c r="K423" s="3">
        <f>(H423*6.9%)-(H423*6.9%)*10%</f>
      </c>
      <c r="L423" s="3">
        <f>H423*0.35%</f>
      </c>
      <c r="M423" s="3">
        <v>0.4</v>
      </c>
      <c r="N423" s="3">
        <f>(K423+L423+M423)*20%</f>
      </c>
      <c r="O423" s="3">
        <f>K423+L423+M423+N423</f>
      </c>
      <c r="P423" s="3">
        <v>0</v>
      </c>
      <c r="Q423" s="3">
        <v>0</v>
      </c>
      <c r="R423" s="3">
        <v>0</v>
      </c>
      <c r="S423" s="3">
        <f>R423*20%</f>
      </c>
      <c r="T423" s="3">
        <v>1</v>
      </c>
      <c r="U423" s="3">
        <f>N423+Q423+S423</f>
      </c>
      <c r="V423" s="3">
        <f>I423-J423-O423-P423-Q423-R423-S423-T423</f>
      </c>
      <c r="W423" s="3">
        <f>(V423-AE423)/H423*100</f>
      </c>
      <c r="X423" s="3">
        <f>J423-U423</f>
      </c>
      <c r="Y423" t="s">
        <v>1</v>
      </c>
      <c r="Z423" t="s">
        <v>173</v>
      </c>
      <c r="AF423" s="3">
        <f>V423-AE423</f>
      </c>
      <c r="AG423" t="s">
        <v>1</v>
      </c>
      <c r="AH423" t="s">
        <v>1</v>
      </c>
    </row>
    <row r="424" spans="1:34" x14ac:dyDescent="0.25">
      <c r="A424" s="7">
        <v>46160.5</v>
      </c>
      <c r="B424" t="s">
        <v>2222</v>
      </c>
      <c r="C424" t="s">
        <v>176</v>
      </c>
      <c r="D424" s="8" t="s">
        <v>1</v>
      </c>
      <c r="E424" t="s">
        <v>77</v>
      </c>
      <c r="F424">
        <v>3</v>
      </c>
      <c r="G424" s="3">
        <v>0.45</v>
      </c>
      <c r="H424" s="3">
        <v>0.58</v>
      </c>
      <c r="I424" s="3">
        <f>H424-G424</f>
      </c>
      <c r="J424" s="3">
        <f>I424*16.67%</f>
      </c>
      <c r="K424" s="3">
        <f>(H424*6.9%)-(H424*6.9%)*10%</f>
      </c>
      <c r="L424" s="3">
        <f>H424*0.35%</f>
      </c>
      <c r="M424" s="3">
        <v>0.4</v>
      </c>
      <c r="N424" s="3">
        <f>(K424+L424+M424)*20%</f>
      </c>
      <c r="O424" s="3">
        <f>K424+L424+M424+N424</f>
      </c>
      <c r="P424" s="3">
        <v>0</v>
      </c>
      <c r="Q424" s="3">
        <v>0</v>
      </c>
      <c r="R424" s="3">
        <v>0</v>
      </c>
      <c r="S424" s="3">
        <f>R424*20%</f>
      </c>
      <c r="T424" s="3">
        <v>1</v>
      </c>
      <c r="U424" s="3">
        <f>N424+Q424+S424</f>
      </c>
      <c r="V424" s="3">
        <f>I424-J424-O424-P424-Q424-R424-S424-T424</f>
      </c>
      <c r="W424" s="3">
        <f>(V424-AE424)/H424*100</f>
      </c>
      <c r="X424" s="3">
        <f>J424-U424</f>
      </c>
      <c r="Y424" t="s">
        <v>1</v>
      </c>
      <c r="Z424" t="s">
        <v>176</v>
      </c>
      <c r="AF424" s="3">
        <f>V424-AE424</f>
      </c>
      <c r="AG424" t="s">
        <v>1</v>
      </c>
      <c r="AH424" t="s">
        <v>1</v>
      </c>
    </row>
    <row r="425" spans="1:34" x14ac:dyDescent="0.25">
      <c r="A425" s="7">
        <v>46159.5</v>
      </c>
      <c r="B425" t="s">
        <v>2223</v>
      </c>
      <c r="C425" t="s">
        <v>1</v>
      </c>
      <c r="D425" s="8" t="s">
        <v>2224</v>
      </c>
      <c r="E425" t="s">
        <v>77</v>
      </c>
      <c r="F425">
        <v>1</v>
      </c>
      <c r="G425" s="3">
        <v>543</v>
      </c>
      <c r="H425" s="3">
        <v>695.04</v>
      </c>
      <c r="I425" s="3">
        <f>H425-G425</f>
      </c>
      <c r="J425" s="3">
        <f>I425*16.67%</f>
      </c>
      <c r="K425" s="3">
        <f>(H425*6.9%)-(H425*6.9%)*10%</f>
      </c>
      <c r="L425" s="3">
        <f>H425*0.35%</f>
      </c>
      <c r="M425" s="3">
        <v>0.4</v>
      </c>
      <c r="N425" s="3">
        <f>(K425+L425+M425)*20%</f>
      </c>
      <c r="O425" s="3">
        <f>K425+L425+M425+N425</f>
      </c>
      <c r="P425" s="3">
        <v>0</v>
      </c>
      <c r="Q425" s="3">
        <v>0</v>
      </c>
      <c r="R425" s="3">
        <v>0</v>
      </c>
      <c r="S425" s="3">
        <f>R425*20%</f>
      </c>
      <c r="T425" s="3">
        <v>1</v>
      </c>
      <c r="U425" s="3">
        <f>N425+Q425+S425</f>
      </c>
      <c r="V425" s="3">
        <f>I425-J425-O425-P425-Q425-R425-S425-T425</f>
      </c>
      <c r="W425" s="3">
        <f>(V425-AE425)/H425*100</f>
      </c>
      <c r="X425" s="3">
        <f>J425-U425</f>
      </c>
      <c r="Y425" t="s">
        <v>1</v>
      </c>
      <c r="Z425" t="s">
        <v>80</v>
      </c>
      <c r="AF425" s="3">
        <f>V425-AE425</f>
      </c>
      <c r="AG425" t="s">
        <v>65</v>
      </c>
      <c r="AH425" t="s">
        <v>69</v>
      </c>
    </row>
    <row r="426" spans="1:34" x14ac:dyDescent="0.25">
      <c r="A426" s="7">
        <v>46159.5</v>
      </c>
      <c r="B426" t="s">
        <v>2225</v>
      </c>
      <c r="C426" t="s">
        <v>1</v>
      </c>
      <c r="D426" s="8" t="s">
        <v>2226</v>
      </c>
      <c r="E426" t="s">
        <v>77</v>
      </c>
      <c r="F426">
        <v>1</v>
      </c>
      <c r="G426" s="3">
        <v>262</v>
      </c>
      <c r="H426" s="3">
        <v>319.64</v>
      </c>
      <c r="I426" s="3">
        <f>H426-G426</f>
      </c>
      <c r="J426" s="3">
        <f>I426*16.67%</f>
      </c>
      <c r="K426" s="3">
        <f>(H426*6.9%)-(H426*6.9%)*10%</f>
      </c>
      <c r="L426" s="3">
        <f>H426*0.35%</f>
      </c>
      <c r="M426" s="3">
        <v>0.4</v>
      </c>
      <c r="N426" s="3">
        <f>(K426+L426+M426)*20%</f>
      </c>
      <c r="O426" s="3">
        <f>K426+L426+M426+N426</f>
      </c>
      <c r="P426" s="3">
        <v>0</v>
      </c>
      <c r="Q426" s="3">
        <v>0</v>
      </c>
      <c r="R426" s="3">
        <v>0</v>
      </c>
      <c r="S426" s="3">
        <f>R426*20%</f>
      </c>
      <c r="T426" s="3">
        <v>1</v>
      </c>
      <c r="U426" s="3">
        <f>N426+Q426+S426</f>
      </c>
      <c r="V426" s="3">
        <f>I426-J426-O426-P426-Q426-R426-S426-T426</f>
      </c>
      <c r="W426" s="3">
        <f>(V426-AE426)/H426*100</f>
      </c>
      <c r="X426" s="3">
        <f>J426-U426</f>
      </c>
      <c r="Y426" t="s">
        <v>1</v>
      </c>
      <c r="Z426" t="s">
        <v>124</v>
      </c>
      <c r="AF426" s="3">
        <f>V426-AE426</f>
      </c>
      <c r="AG426" t="s">
        <v>125</v>
      </c>
      <c r="AH426" t="s">
        <v>98</v>
      </c>
    </row>
    <row r="427" spans="1:34" x14ac:dyDescent="0.25">
      <c r="A427" s="7">
        <v>46159.5</v>
      </c>
      <c r="B427" t="s">
        <v>2227</v>
      </c>
      <c r="C427" t="s">
        <v>1</v>
      </c>
      <c r="D427" s="8" t="s">
        <v>2228</v>
      </c>
      <c r="E427" t="s">
        <v>77</v>
      </c>
      <c r="F427">
        <v>1</v>
      </c>
      <c r="G427" s="3">
        <v>474</v>
      </c>
      <c r="H427" s="3">
        <v>554.58</v>
      </c>
      <c r="I427" s="3">
        <f>H427-G427</f>
      </c>
      <c r="J427" s="3">
        <f>I427*16.67%</f>
      </c>
      <c r="K427" s="3">
        <f>(H427*6.9%)-(H427*6.9%)*10%</f>
      </c>
      <c r="L427" s="3">
        <f>H427*0.35%</f>
      </c>
      <c r="M427" s="3">
        <v>0.4</v>
      </c>
      <c r="N427" s="3">
        <f>(K427+L427+M427)*20%</f>
      </c>
      <c r="O427" s="3">
        <f>K427+L427+M427+N427</f>
      </c>
      <c r="P427" s="3">
        <v>0</v>
      </c>
      <c r="Q427" s="3">
        <v>0</v>
      </c>
      <c r="R427" s="3">
        <v>0</v>
      </c>
      <c r="S427" s="3">
        <f>R427*20%</f>
      </c>
      <c r="T427" s="3">
        <v>1</v>
      </c>
      <c r="U427" s="3">
        <f>N427+Q427+S427</f>
      </c>
      <c r="V427" s="3">
        <f>I427-J427-O427-P427-Q427-R427-S427-T427</f>
      </c>
      <c r="W427" s="3">
        <f>(V427-AE427)/H427*100</f>
      </c>
      <c r="X427" s="3">
        <f>J427-U427</f>
      </c>
      <c r="Y427" t="s">
        <v>1</v>
      </c>
      <c r="Z427" t="s">
        <v>58</v>
      </c>
      <c r="AF427" s="3">
        <f>V427-AE427</f>
      </c>
      <c r="AG427" t="s">
        <v>59</v>
      </c>
      <c r="AH427" t="s">
        <v>74</v>
      </c>
    </row>
    <row r="428" spans="1:34" x14ac:dyDescent="0.25">
      <c r="A428" s="7">
        <v>46159.5</v>
      </c>
      <c r="B428" t="s">
        <v>2229</v>
      </c>
      <c r="C428" t="s">
        <v>1</v>
      </c>
      <c r="D428" s="8" t="s">
        <v>2230</v>
      </c>
      <c r="E428" t="s">
        <v>77</v>
      </c>
      <c r="F428">
        <v>1</v>
      </c>
      <c r="G428" s="3">
        <v>241</v>
      </c>
      <c r="H428" s="3">
        <v>301.25</v>
      </c>
      <c r="I428" s="3">
        <f>H428-G428</f>
      </c>
      <c r="J428" s="3">
        <f>I428*16.67%</f>
      </c>
      <c r="K428" s="3">
        <f>(H428*6.9%)-(H428*6.9%)*10%</f>
      </c>
      <c r="L428" s="3">
        <f>H428*0.35%</f>
      </c>
      <c r="M428" s="3">
        <v>0.4</v>
      </c>
      <c r="N428" s="3">
        <f>(K428+L428+M428)*20%</f>
      </c>
      <c r="O428" s="3">
        <f>K428+L428+M428+N428</f>
      </c>
      <c r="P428" s="3">
        <v>0</v>
      </c>
      <c r="Q428" s="3">
        <v>0</v>
      </c>
      <c r="R428" s="3">
        <v>0</v>
      </c>
      <c r="S428" s="3">
        <f>R428*20%</f>
      </c>
      <c r="T428" s="3">
        <v>1</v>
      </c>
      <c r="U428" s="3">
        <f>N428+Q428+S428</f>
      </c>
      <c r="V428" s="3">
        <f>I428-J428-O428-P428-Q428-R428-S428-T428</f>
      </c>
      <c r="W428" s="3">
        <f>(V428-AE428)/H428*100</f>
      </c>
      <c r="X428" s="3">
        <f>J428-U428</f>
      </c>
      <c r="Y428" t="s">
        <v>1</v>
      </c>
      <c r="Z428" t="s">
        <v>64</v>
      </c>
      <c r="AF428" s="3">
        <f>V428-AE428</f>
      </c>
      <c r="AG428" t="s">
        <v>65</v>
      </c>
      <c r="AH428" t="s">
        <v>74</v>
      </c>
    </row>
    <row r="429" spans="1:34" x14ac:dyDescent="0.25">
      <c r="A429" s="7">
        <v>46159.5</v>
      </c>
      <c r="B429" t="s">
        <v>2231</v>
      </c>
      <c r="C429" t="s">
        <v>176</v>
      </c>
      <c r="D429" s="8" t="s">
        <v>1</v>
      </c>
      <c r="E429" t="s">
        <v>77</v>
      </c>
      <c r="F429">
        <v>3</v>
      </c>
      <c r="G429" s="3">
        <v>0.45</v>
      </c>
      <c r="H429" s="3">
        <v>0.63</v>
      </c>
      <c r="I429" s="3">
        <f>H429-G429</f>
      </c>
      <c r="J429" s="3">
        <f>I429*16.67%</f>
      </c>
      <c r="K429" s="3">
        <f>(H429*6.9%)-(H429*6.9%)*10%</f>
      </c>
      <c r="L429" s="3">
        <f>H429*0.35%</f>
      </c>
      <c r="M429" s="3">
        <v>0.4</v>
      </c>
      <c r="N429" s="3">
        <f>(K429+L429+M429)*20%</f>
      </c>
      <c r="O429" s="3">
        <f>K429+L429+M429+N429</f>
      </c>
      <c r="P429" s="3">
        <v>0</v>
      </c>
      <c r="Q429" s="3">
        <v>0</v>
      </c>
      <c r="R429" s="3">
        <v>0</v>
      </c>
      <c r="S429" s="3">
        <f>R429*20%</f>
      </c>
      <c r="T429" s="3">
        <v>1</v>
      </c>
      <c r="U429" s="3">
        <f>N429+Q429+S429</f>
      </c>
      <c r="V429" s="3">
        <f>I429-J429-O429-P429-Q429-R429-S429-T429</f>
      </c>
      <c r="W429" s="3">
        <f>(V429-AE429)/H429*100</f>
      </c>
      <c r="X429" s="3">
        <f>J429-U429</f>
      </c>
      <c r="Y429" t="s">
        <v>1</v>
      </c>
      <c r="Z429" t="s">
        <v>176</v>
      </c>
      <c r="AF429" s="3">
        <f>V429-AE429</f>
      </c>
      <c r="AG429" t="s">
        <v>1</v>
      </c>
      <c r="AH429" t="s">
        <v>1</v>
      </c>
    </row>
    <row r="430" spans="1:34" x14ac:dyDescent="0.25">
      <c r="A430" s="7">
        <v>46159.5</v>
      </c>
      <c r="B430" t="s">
        <v>2232</v>
      </c>
      <c r="C430" t="s">
        <v>181</v>
      </c>
      <c r="D430" s="8" t="s">
        <v>1</v>
      </c>
      <c r="E430" t="s">
        <v>72</v>
      </c>
      <c r="F430">
        <v>3</v>
      </c>
      <c r="G430" s="3">
        <v>5.7</v>
      </c>
      <c r="H430" s="3">
        <v>7.92</v>
      </c>
      <c r="I430" s="3">
        <f>H430-G430</f>
      </c>
      <c r="J430" s="3">
        <f>I430*16.67%</f>
      </c>
      <c r="K430" s="3">
        <f>(H430*6.9%)-(H430*6.9%)*10%</f>
      </c>
      <c r="L430" s="3">
        <f>H430*0.35%</f>
      </c>
      <c r="M430" s="3">
        <v>0.4</v>
      </c>
      <c r="N430" s="3">
        <f>(K430+L430+M430)*20%</f>
      </c>
      <c r="O430" s="3">
        <f>K430+L430+M430+N430</f>
      </c>
      <c r="P430" s="3">
        <v>0</v>
      </c>
      <c r="Q430" s="3">
        <v>0</v>
      </c>
      <c r="R430" s="3">
        <v>0</v>
      </c>
      <c r="S430" s="3">
        <f>R430*20%</f>
      </c>
      <c r="T430" s="3">
        <v>1</v>
      </c>
      <c r="U430" s="3">
        <f>N430+Q430+S430</f>
      </c>
      <c r="V430" s="3">
        <f>I430-J430-O430-P430-Q430-R430-S430-T430</f>
      </c>
      <c r="W430" s="3">
        <f>(V430-AE430)/H430*100</f>
      </c>
      <c r="X430" s="3">
        <f>J430-U430</f>
      </c>
      <c r="Y430" t="s">
        <v>1</v>
      </c>
      <c r="Z430" t="s">
        <v>181</v>
      </c>
      <c r="AF430" s="3">
        <f>V430-AE430</f>
      </c>
      <c r="AG430" t="s">
        <v>1</v>
      </c>
      <c r="AH430" t="s">
        <v>1</v>
      </c>
    </row>
    <row r="431" spans="1:34" x14ac:dyDescent="0.25">
      <c r="A431" s="7">
        <v>46159.5</v>
      </c>
      <c r="B431" t="s">
        <v>2233</v>
      </c>
      <c r="C431" t="s">
        <v>184</v>
      </c>
      <c r="D431" s="8" t="s">
        <v>1</v>
      </c>
      <c r="E431" t="s">
        <v>101</v>
      </c>
      <c r="F431">
        <v>2</v>
      </c>
      <c r="G431" s="3">
        <v>2.4</v>
      </c>
      <c r="H431" s="3">
        <v>3.07</v>
      </c>
      <c r="I431" s="3">
        <f>H431-G431</f>
      </c>
      <c r="J431" s="3">
        <f>I431*16.67%</f>
      </c>
      <c r="K431" s="3">
        <f>(H431*6.9%)-(H431*6.9%)*10%</f>
      </c>
      <c r="L431" s="3">
        <f>H431*0.35%</f>
      </c>
      <c r="M431" s="3">
        <v>0.4</v>
      </c>
      <c r="N431" s="3">
        <f>(K431+L431+M431)*20%</f>
      </c>
      <c r="O431" s="3">
        <f>K431+L431+M431+N431</f>
      </c>
      <c r="P431" s="3">
        <v>0</v>
      </c>
      <c r="Q431" s="3">
        <v>0</v>
      </c>
      <c r="R431" s="3">
        <v>0</v>
      </c>
      <c r="S431" s="3">
        <f>R431*20%</f>
      </c>
      <c r="T431" s="3">
        <v>1</v>
      </c>
      <c r="U431" s="3">
        <f>N431+Q431+S431</f>
      </c>
      <c r="V431" s="3">
        <f>I431-J431-O431-P431-Q431-R431-S431-T431</f>
      </c>
      <c r="W431" s="3">
        <f>(V431-AE431)/H431*100</f>
      </c>
      <c r="X431" s="3">
        <f>J431-U431</f>
      </c>
      <c r="Y431" t="s">
        <v>1</v>
      </c>
      <c r="Z431" t="s">
        <v>184</v>
      </c>
      <c r="AF431" s="3">
        <f>V431-AE431</f>
      </c>
      <c r="AG431" t="s">
        <v>1</v>
      </c>
      <c r="AH431" t="s">
        <v>1</v>
      </c>
    </row>
    <row r="432" spans="1:34" x14ac:dyDescent="0.25">
      <c r="A432" s="7">
        <v>46158.5</v>
      </c>
      <c r="B432" t="s">
        <v>2234</v>
      </c>
      <c r="C432" t="s">
        <v>1</v>
      </c>
      <c r="D432" s="8" t="s">
        <v>2235</v>
      </c>
      <c r="E432" t="s">
        <v>101</v>
      </c>
      <c r="F432">
        <v>1</v>
      </c>
      <c r="G432" s="3">
        <v>242</v>
      </c>
      <c r="H432" s="3">
        <v>324.28</v>
      </c>
      <c r="I432" s="3">
        <f>H432-G432</f>
      </c>
      <c r="J432" s="3">
        <f>I432*16.67%</f>
      </c>
      <c r="K432" s="3">
        <f>(H432*6.9%)-(H432*6.9%)*10%</f>
      </c>
      <c r="L432" s="3">
        <f>H432*0.35%</f>
      </c>
      <c r="M432" s="3">
        <v>0.4</v>
      </c>
      <c r="N432" s="3">
        <f>(K432+L432+M432)*20%</f>
      </c>
      <c r="O432" s="3">
        <f>K432+L432+M432+N432</f>
      </c>
      <c r="P432" s="3">
        <v>0</v>
      </c>
      <c r="Q432" s="3">
        <v>0</v>
      </c>
      <c r="R432" s="3">
        <v>0</v>
      </c>
      <c r="S432" s="3">
        <f>R432*20%</f>
      </c>
      <c r="T432" s="3">
        <v>1</v>
      </c>
      <c r="U432" s="3">
        <f>N432+Q432+S432</f>
      </c>
      <c r="V432" s="3">
        <f>I432-J432-O432-P432-Q432-R432-S432-T432</f>
      </c>
      <c r="W432" s="3">
        <f>(V432-AE432)/H432*100</f>
      </c>
      <c r="X432" s="3">
        <f>J432-U432</f>
      </c>
      <c r="Y432" t="s">
        <v>1</v>
      </c>
      <c r="Z432" t="s">
        <v>64</v>
      </c>
      <c r="AF432" s="3">
        <f>V432-AE432</f>
      </c>
      <c r="AG432" t="s">
        <v>65</v>
      </c>
      <c r="AH432" t="s">
        <v>84</v>
      </c>
    </row>
    <row r="433" spans="1:34" x14ac:dyDescent="0.25">
      <c r="A433" s="7">
        <v>46158.5</v>
      </c>
      <c r="B433" t="s">
        <v>2236</v>
      </c>
      <c r="C433" t="s">
        <v>1</v>
      </c>
      <c r="D433" s="8" t="s">
        <v>2237</v>
      </c>
      <c r="E433" t="s">
        <v>63</v>
      </c>
      <c r="F433">
        <v>1</v>
      </c>
      <c r="G433" s="3">
        <v>271</v>
      </c>
      <c r="H433" s="3">
        <v>371.27</v>
      </c>
      <c r="I433" s="3">
        <f>H433-G433</f>
      </c>
      <c r="J433" s="3">
        <f>I433*16.67%</f>
      </c>
      <c r="K433" s="3">
        <f>(H433*6.9%)-(H433*6.9%)*10%</f>
      </c>
      <c r="L433" s="3">
        <f>H433*0.35%</f>
      </c>
      <c r="M433" s="3">
        <v>0.4</v>
      </c>
      <c r="N433" s="3">
        <f>(K433+L433+M433)*20%</f>
      </c>
      <c r="O433" s="3">
        <f>K433+L433+M433+N433</f>
      </c>
      <c r="P433" s="3">
        <v>0</v>
      </c>
      <c r="Q433" s="3">
        <v>0</v>
      </c>
      <c r="R433" s="3">
        <v>0</v>
      </c>
      <c r="S433" s="3">
        <f>R433*20%</f>
      </c>
      <c r="T433" s="3">
        <v>1</v>
      </c>
      <c r="U433" s="3">
        <f>N433+Q433+S433</f>
      </c>
      <c r="V433" s="3">
        <f>I433-J433-O433-P433-Q433-R433-S433-T433</f>
      </c>
      <c r="W433" s="3">
        <f>(V433-AE433)/H433*100</f>
      </c>
      <c r="X433" s="3">
        <f>J433-U433</f>
      </c>
      <c r="Y433" t="s">
        <v>1</v>
      </c>
      <c r="Z433" t="s">
        <v>130</v>
      </c>
      <c r="AF433" s="3">
        <f>V433-AE433</f>
      </c>
      <c r="AG433" t="s">
        <v>65</v>
      </c>
      <c r="AH433" t="s">
        <v>98</v>
      </c>
    </row>
    <row r="434" spans="1:34" x14ac:dyDescent="0.25">
      <c r="A434" s="7">
        <v>46158.5</v>
      </c>
      <c r="B434" t="s">
        <v>2238</v>
      </c>
      <c r="C434" t="s">
        <v>1</v>
      </c>
      <c r="D434" s="8" t="s">
        <v>2239</v>
      </c>
      <c r="E434" t="s">
        <v>63</v>
      </c>
      <c r="F434">
        <v>1</v>
      </c>
      <c r="G434" s="3">
        <v>128</v>
      </c>
      <c r="H434" s="3">
        <v>177.92</v>
      </c>
      <c r="I434" s="3">
        <f>H434-G434</f>
      </c>
      <c r="J434" s="3">
        <f>I434*16.67%</f>
      </c>
      <c r="K434" s="3">
        <f>(H434*6.9%)-(H434*6.9%)*10%</f>
      </c>
      <c r="L434" s="3">
        <f>H434*0.35%</f>
      </c>
      <c r="M434" s="3">
        <v>0.4</v>
      </c>
      <c r="N434" s="3">
        <f>(K434+L434+M434)*20%</f>
      </c>
      <c r="O434" s="3">
        <f>K434+L434+M434+N434</f>
      </c>
      <c r="P434" s="3">
        <v>0</v>
      </c>
      <c r="Q434" s="3">
        <v>0</v>
      </c>
      <c r="R434" s="3">
        <v>0</v>
      </c>
      <c r="S434" s="3">
        <f>R434*20%</f>
      </c>
      <c r="T434" s="3">
        <v>1</v>
      </c>
      <c r="U434" s="3">
        <f>N434+Q434+S434</f>
      </c>
      <c r="V434" s="3">
        <f>I434-J434-O434-P434-Q434-R434-S434-T434</f>
      </c>
      <c r="W434" s="3">
        <f>(V434-AE434)/H434*100</f>
      </c>
      <c r="X434" s="3">
        <f>J434-U434</f>
      </c>
      <c r="Y434" t="s">
        <v>1</v>
      </c>
      <c r="Z434" t="s">
        <v>90</v>
      </c>
      <c r="AF434" s="3">
        <f>V434-AE434</f>
      </c>
      <c r="AG434" t="s">
        <v>94</v>
      </c>
      <c r="AH434" t="s">
        <v>60</v>
      </c>
    </row>
    <row r="435" spans="1:34" x14ac:dyDescent="0.25">
      <c r="A435" s="7">
        <v>46158.5</v>
      </c>
      <c r="B435" t="s">
        <v>2240</v>
      </c>
      <c r="C435" t="s">
        <v>176</v>
      </c>
      <c r="D435" s="8" t="s">
        <v>1</v>
      </c>
      <c r="E435" t="s">
        <v>77</v>
      </c>
      <c r="F435">
        <v>2</v>
      </c>
      <c r="G435" s="3">
        <v>0.3</v>
      </c>
      <c r="H435" s="3">
        <v>0.36</v>
      </c>
      <c r="I435" s="3">
        <f>H435-G435</f>
      </c>
      <c r="J435" s="3">
        <f>I435*16.67%</f>
      </c>
      <c r="K435" s="3">
        <f>(H435*6.9%)-(H435*6.9%)*10%</f>
      </c>
      <c r="L435" s="3">
        <f>H435*0.35%</f>
      </c>
      <c r="M435" s="3">
        <v>0.4</v>
      </c>
      <c r="N435" s="3">
        <f>(K435+L435+M435)*20%</f>
      </c>
      <c r="O435" s="3">
        <f>K435+L435+M435+N435</f>
      </c>
      <c r="P435" s="3">
        <v>0</v>
      </c>
      <c r="Q435" s="3">
        <v>0</v>
      </c>
      <c r="R435" s="3">
        <v>0</v>
      </c>
      <c r="S435" s="3">
        <f>R435*20%</f>
      </c>
      <c r="T435" s="3">
        <v>1</v>
      </c>
      <c r="U435" s="3">
        <f>N435+Q435+S435</f>
      </c>
      <c r="V435" s="3">
        <f>I435-J435-O435-P435-Q435-R435-S435-T435</f>
      </c>
      <c r="W435" s="3">
        <f>(V435-AE435)/H435*100</f>
      </c>
      <c r="X435" s="3">
        <f>J435-U435</f>
      </c>
      <c r="Y435" t="s">
        <v>1</v>
      </c>
      <c r="Z435" t="s">
        <v>176</v>
      </c>
      <c r="AF435" s="3">
        <f>V435-AE435</f>
      </c>
      <c r="AG435" t="s">
        <v>1</v>
      </c>
      <c r="AH435" t="s">
        <v>1</v>
      </c>
    </row>
    <row r="436" spans="1:34" x14ac:dyDescent="0.25">
      <c r="A436" s="7">
        <v>46158.5</v>
      </c>
      <c r="B436" t="s">
        <v>2241</v>
      </c>
      <c r="C436" t="s">
        <v>181</v>
      </c>
      <c r="D436" s="8" t="s">
        <v>1</v>
      </c>
      <c r="E436" t="s">
        <v>72</v>
      </c>
      <c r="F436">
        <v>4</v>
      </c>
      <c r="G436" s="3">
        <v>7.6</v>
      </c>
      <c r="H436" s="3">
        <v>8.74</v>
      </c>
      <c r="I436" s="3">
        <f>H436-G436</f>
      </c>
      <c r="J436" s="3">
        <f>I436*16.67%</f>
      </c>
      <c r="K436" s="3">
        <f>(H436*6.9%)-(H436*6.9%)*10%</f>
      </c>
      <c r="L436" s="3">
        <f>H436*0.35%</f>
      </c>
      <c r="M436" s="3">
        <v>0.4</v>
      </c>
      <c r="N436" s="3">
        <f>(K436+L436+M436)*20%</f>
      </c>
      <c r="O436" s="3">
        <f>K436+L436+M436+N436</f>
      </c>
      <c r="P436" s="3">
        <v>0</v>
      </c>
      <c r="Q436" s="3">
        <v>0</v>
      </c>
      <c r="R436" s="3">
        <v>0</v>
      </c>
      <c r="S436" s="3">
        <f>R436*20%</f>
      </c>
      <c r="T436" s="3">
        <v>1</v>
      </c>
      <c r="U436" s="3">
        <f>N436+Q436+S436</f>
      </c>
      <c r="V436" s="3">
        <f>I436-J436-O436-P436-Q436-R436-S436-T436</f>
      </c>
      <c r="W436" s="3">
        <f>(V436-AE436)/H436*100</f>
      </c>
      <c r="X436" s="3">
        <f>J436-U436</f>
      </c>
      <c r="Y436" t="s">
        <v>1</v>
      </c>
      <c r="Z436" t="s">
        <v>181</v>
      </c>
      <c r="AF436" s="3">
        <f>V436-AE436</f>
      </c>
      <c r="AG436" t="s">
        <v>1</v>
      </c>
      <c r="AH436" t="s">
        <v>1</v>
      </c>
    </row>
    <row r="437" spans="1:34" x14ac:dyDescent="0.25">
      <c r="A437" s="9">
        <v>46157.5</v>
      </c>
      <c r="B437" s="10" t="s">
        <v>2242</v>
      </c>
      <c r="C437" s="10" t="s">
        <v>1</v>
      </c>
      <c r="D437" s="11" t="s">
        <v>2243</v>
      </c>
      <c r="E437" s="10" t="s">
        <v>57</v>
      </c>
      <c r="F437" s="10">
        <v>1</v>
      </c>
      <c r="G437" s="12">
        <v>443</v>
      </c>
      <c r="H437" s="12">
        <v>602.48</v>
      </c>
      <c r="I437" s="12">
        <f>H437-G437</f>
      </c>
      <c r="J437" s="12">
        <f>I437*16.67%</f>
      </c>
      <c r="K437" s="12">
        <f>(H437*6.9%)-(H437*6.9%)*10%</f>
      </c>
      <c r="L437" s="12">
        <f>H437*0.35%</f>
      </c>
      <c r="M437" s="12">
        <v>0.4</v>
      </c>
      <c r="N437" s="12">
        <f>(K437+L437+M437)*20%</f>
      </c>
      <c r="O437" s="12">
        <f>K437+L437+M437+N437</f>
      </c>
      <c r="P437" s="12">
        <v>0</v>
      </c>
      <c r="Q437" s="12">
        <v>0</v>
      </c>
      <c r="R437" s="12">
        <v>0</v>
      </c>
      <c r="S437" s="12">
        <f>R437*20%</f>
      </c>
      <c r="T437" s="12">
        <v>1</v>
      </c>
      <c r="U437" s="12">
        <f>N437+Q437+S437</f>
      </c>
      <c r="V437" s="12">
        <f>I437-J437-O437-P437-Q437-R437-S437-T437</f>
      </c>
      <c r="W437" s="12">
        <f>(V437-AE437)/H437*100</f>
      </c>
      <c r="X437" s="12">
        <f>J437-U437</f>
      </c>
      <c r="Y437" s="10" t="s">
        <v>1</v>
      </c>
      <c r="Z437" s="10" t="s">
        <v>58</v>
      </c>
      <c r="AA437" s="9">
        <v>46237.5</v>
      </c>
      <c r="AB437" s="10" t="s">
        <v>669</v>
      </c>
      <c r="AC437" s="10" t="s">
        <v>670</v>
      </c>
      <c r="AD437" s="10">
        <v>2</v>
      </c>
      <c r="AE437" s="10"/>
      <c r="AF437" s="12">
        <f>V437-AE437</f>
      </c>
      <c r="AG437" s="10" t="s">
        <v>59</v>
      </c>
      <c r="AH437" s="10" t="s">
        <v>60</v>
      </c>
    </row>
    <row r="438" spans="1:34" x14ac:dyDescent="0.25">
      <c r="A438" s="7">
        <v>46157.5</v>
      </c>
      <c r="B438" t="s">
        <v>2244</v>
      </c>
      <c r="C438" t="s">
        <v>1</v>
      </c>
      <c r="D438" s="8" t="s">
        <v>2245</v>
      </c>
      <c r="E438" t="s">
        <v>101</v>
      </c>
      <c r="F438">
        <v>1</v>
      </c>
      <c r="G438" s="3">
        <v>102</v>
      </c>
      <c r="H438" s="3">
        <v>126.48</v>
      </c>
      <c r="I438" s="3">
        <f>H438-G438</f>
      </c>
      <c r="J438" s="3">
        <f>I438*16.67%</f>
      </c>
      <c r="K438" s="3">
        <f>(H438*6.9%)-(H438*6.9%)*10%</f>
      </c>
      <c r="L438" s="3">
        <f>H438*0.35%</f>
      </c>
      <c r="M438" s="3">
        <v>0.4</v>
      </c>
      <c r="N438" s="3">
        <f>(K438+L438+M438)*20%</f>
      </c>
      <c r="O438" s="3">
        <f>K438+L438+M438+N438</f>
      </c>
      <c r="P438" s="3">
        <v>0</v>
      </c>
      <c r="Q438" s="3">
        <v>0</v>
      </c>
      <c r="R438" s="3">
        <v>0</v>
      </c>
      <c r="S438" s="3">
        <f>R438*20%</f>
      </c>
      <c r="T438" s="3">
        <v>1</v>
      </c>
      <c r="U438" s="3">
        <f>N438+Q438+S438</f>
      </c>
      <c r="V438" s="3">
        <f>I438-J438-O438-P438-Q438-R438-S438-T438</f>
      </c>
      <c r="W438" s="3">
        <f>(V438-AE438)/H438*100</f>
      </c>
      <c r="X438" s="3">
        <f>J438-U438</f>
      </c>
      <c r="Y438" t="s">
        <v>1</v>
      </c>
      <c r="Z438" t="s">
        <v>90</v>
      </c>
      <c r="AF438" s="3">
        <f>V438-AE438</f>
      </c>
      <c r="AG438" t="s">
        <v>65</v>
      </c>
      <c r="AH438" t="s">
        <v>69</v>
      </c>
    </row>
    <row r="439" spans="1:34" x14ac:dyDescent="0.25">
      <c r="A439" s="7">
        <v>46157.5</v>
      </c>
      <c r="B439" t="s">
        <v>2246</v>
      </c>
      <c r="C439" t="s">
        <v>1</v>
      </c>
      <c r="D439" s="8" t="s">
        <v>2247</v>
      </c>
      <c r="E439" t="s">
        <v>57</v>
      </c>
      <c r="F439">
        <v>1</v>
      </c>
      <c r="G439" s="3">
        <v>333</v>
      </c>
      <c r="H439" s="3">
        <v>402.93</v>
      </c>
      <c r="I439" s="3">
        <f>H439-G439</f>
      </c>
      <c r="J439" s="3">
        <f>I439*16.67%</f>
      </c>
      <c r="K439" s="3">
        <f>(H439*6.9%)-(H439*6.9%)*10%</f>
      </c>
      <c r="L439" s="3">
        <f>H439*0.35%</f>
      </c>
      <c r="M439" s="3">
        <v>0.4</v>
      </c>
      <c r="N439" s="3">
        <f>(K439+L439+M439)*20%</f>
      </c>
      <c r="O439" s="3">
        <f>K439+L439+M439+N439</f>
      </c>
      <c r="P439" s="3">
        <v>0</v>
      </c>
      <c r="Q439" s="3">
        <v>0</v>
      </c>
      <c r="R439" s="3">
        <v>0</v>
      </c>
      <c r="S439" s="3">
        <f>R439*20%</f>
      </c>
      <c r="T439" s="3">
        <v>1</v>
      </c>
      <c r="U439" s="3">
        <f>N439+Q439+S439</f>
      </c>
      <c r="V439" s="3">
        <f>I439-J439-O439-P439-Q439-R439-S439-T439</f>
      </c>
      <c r="W439" s="3">
        <f>(V439-AE439)/H439*100</f>
      </c>
      <c r="X439" s="3">
        <f>J439-U439</f>
      </c>
      <c r="Y439" t="s">
        <v>1</v>
      </c>
      <c r="Z439" t="s">
        <v>97</v>
      </c>
      <c r="AF439" s="3">
        <f>V439-AE439</f>
      </c>
      <c r="AG439" t="s">
        <v>59</v>
      </c>
      <c r="AH439" t="s">
        <v>87</v>
      </c>
    </row>
    <row r="440" spans="1:34" x14ac:dyDescent="0.25">
      <c r="A440" s="9">
        <v>46157.5</v>
      </c>
      <c r="B440" s="10" t="s">
        <v>2248</v>
      </c>
      <c r="C440" s="10" t="s">
        <v>1</v>
      </c>
      <c r="D440" s="11" t="s">
        <v>2249</v>
      </c>
      <c r="E440" s="10" t="s">
        <v>101</v>
      </c>
      <c r="F440" s="10">
        <v>1</v>
      </c>
      <c r="G440" s="12">
        <v>118</v>
      </c>
      <c r="H440" s="12">
        <v>152.22</v>
      </c>
      <c r="I440" s="12">
        <f>H440-G440</f>
      </c>
      <c r="J440" s="12">
        <f>I440*16.67%</f>
      </c>
      <c r="K440" s="12">
        <f>(H440*6.9%)-(H440*6.9%)*10%</f>
      </c>
      <c r="L440" s="12">
        <f>H440*0.35%</f>
      </c>
      <c r="M440" s="12">
        <v>0.4</v>
      </c>
      <c r="N440" s="12">
        <f>(K440+L440+M440)*20%</f>
      </c>
      <c r="O440" s="12">
        <f>K440+L440+M440+N440</f>
      </c>
      <c r="P440" s="12">
        <v>0</v>
      </c>
      <c r="Q440" s="12">
        <v>0</v>
      </c>
      <c r="R440" s="12">
        <v>0</v>
      </c>
      <c r="S440" s="12">
        <f>R440*20%</f>
      </c>
      <c r="T440" s="12">
        <v>1</v>
      </c>
      <c r="U440" s="12">
        <f>N440+Q440+S440</f>
      </c>
      <c r="V440" s="12">
        <f>I440-J440-O440-P440-Q440-R440-S440-T440</f>
      </c>
      <c r="W440" s="12">
        <f>(V440-AE440)/H440*100</f>
      </c>
      <c r="X440" s="12">
        <f>J440-U440</f>
      </c>
      <c r="Y440" s="10" t="s">
        <v>1</v>
      </c>
      <c r="Z440" s="10" t="s">
        <v>133</v>
      </c>
      <c r="AA440" s="9">
        <v>46237.5</v>
      </c>
      <c r="AB440" s="10" t="s">
        <v>669</v>
      </c>
      <c r="AC440" s="10" t="s">
        <v>670</v>
      </c>
      <c r="AD440" s="10">
        <v>2</v>
      </c>
      <c r="AE440" s="10"/>
      <c r="AF440" s="12">
        <f>V440-AE440</f>
      </c>
      <c r="AG440" s="10" t="s">
        <v>94</v>
      </c>
      <c r="AH440" s="10" t="s">
        <v>98</v>
      </c>
    </row>
    <row r="441" spans="1:34" x14ac:dyDescent="0.25">
      <c r="A441" s="7">
        <v>46157.5</v>
      </c>
      <c r="B441" t="s">
        <v>2250</v>
      </c>
      <c r="C441" t="s">
        <v>188</v>
      </c>
      <c r="D441" s="8" t="s">
        <v>1</v>
      </c>
      <c r="E441" t="s">
        <v>63</v>
      </c>
      <c r="F441">
        <v>1</v>
      </c>
      <c r="G441" s="3">
        <v>3.5</v>
      </c>
      <c r="H441" s="3">
        <v>4.34</v>
      </c>
      <c r="I441" s="3">
        <f>H441-G441</f>
      </c>
      <c r="J441" s="3">
        <f>I441*16.67%</f>
      </c>
      <c r="K441" s="3">
        <f>(H441*6.9%)-(H441*6.9%)*10%</f>
      </c>
      <c r="L441" s="3">
        <f>H441*0.35%</f>
      </c>
      <c r="M441" s="3">
        <v>0.4</v>
      </c>
      <c r="N441" s="3">
        <f>(K441+L441+M441)*20%</f>
      </c>
      <c r="O441" s="3">
        <f>K441+L441+M441+N441</f>
      </c>
      <c r="P441" s="3">
        <v>0</v>
      </c>
      <c r="Q441" s="3">
        <v>0</v>
      </c>
      <c r="R441" s="3">
        <v>0</v>
      </c>
      <c r="S441" s="3">
        <f>R441*20%</f>
      </c>
      <c r="T441" s="3">
        <v>1</v>
      </c>
      <c r="U441" s="3">
        <f>N441+Q441+S441</f>
      </c>
      <c r="V441" s="3">
        <f>I441-J441-O441-P441-Q441-R441-S441-T441</f>
      </c>
      <c r="W441" s="3">
        <f>(V441-AE441)/H441*100</f>
      </c>
      <c r="X441" s="3">
        <f>J441-U441</f>
      </c>
      <c r="Y441" t="s">
        <v>1</v>
      </c>
      <c r="Z441" t="s">
        <v>188</v>
      </c>
      <c r="AF441" s="3">
        <f>V441-AE441</f>
      </c>
      <c r="AG441" t="s">
        <v>1</v>
      </c>
      <c r="AH441" t="s">
        <v>1</v>
      </c>
    </row>
    <row r="442" spans="1:34" x14ac:dyDescent="0.25">
      <c r="A442" s="7">
        <v>46157.5</v>
      </c>
      <c r="B442" t="s">
        <v>2251</v>
      </c>
      <c r="C442" t="s">
        <v>181</v>
      </c>
      <c r="D442" s="8" t="s">
        <v>1</v>
      </c>
      <c r="E442" t="s">
        <v>72</v>
      </c>
      <c r="F442">
        <v>1</v>
      </c>
      <c r="G442" s="3">
        <v>1.9</v>
      </c>
      <c r="H442" s="3">
        <v>2.32</v>
      </c>
      <c r="I442" s="3">
        <f>H442-G442</f>
      </c>
      <c r="J442" s="3">
        <f>I442*16.67%</f>
      </c>
      <c r="K442" s="3">
        <f>(H442*6.9%)-(H442*6.9%)*10%</f>
      </c>
      <c r="L442" s="3">
        <f>H442*0.35%</f>
      </c>
      <c r="M442" s="3">
        <v>0.4</v>
      </c>
      <c r="N442" s="3">
        <f>(K442+L442+M442)*20%</f>
      </c>
      <c r="O442" s="3">
        <f>K442+L442+M442+N442</f>
      </c>
      <c r="P442" s="3">
        <v>0</v>
      </c>
      <c r="Q442" s="3">
        <v>0</v>
      </c>
      <c r="R442" s="3">
        <v>0</v>
      </c>
      <c r="S442" s="3">
        <f>R442*20%</f>
      </c>
      <c r="T442" s="3">
        <v>1</v>
      </c>
      <c r="U442" s="3">
        <f>N442+Q442+S442</f>
      </c>
      <c r="V442" s="3">
        <f>I442-J442-O442-P442-Q442-R442-S442-T442</f>
      </c>
      <c r="W442" s="3">
        <f>(V442-AE442)/H442*100</f>
      </c>
      <c r="X442" s="3">
        <f>J442-U442</f>
      </c>
      <c r="Y442" t="s">
        <v>1</v>
      </c>
      <c r="Z442" t="s">
        <v>181</v>
      </c>
      <c r="AF442" s="3">
        <f>V442-AE442</f>
      </c>
      <c r="AG442" t="s">
        <v>1</v>
      </c>
      <c r="AH442" t="s">
        <v>1</v>
      </c>
    </row>
    <row r="443" spans="1:34" x14ac:dyDescent="0.25">
      <c r="A443" s="7">
        <v>46156.5</v>
      </c>
      <c r="B443" t="s">
        <v>2252</v>
      </c>
      <c r="C443" t="s">
        <v>1</v>
      </c>
      <c r="D443" s="8" t="s">
        <v>2253</v>
      </c>
      <c r="E443" t="s">
        <v>101</v>
      </c>
      <c r="F443">
        <v>1</v>
      </c>
      <c r="G443" s="3">
        <v>283</v>
      </c>
      <c r="H443" s="3">
        <v>401.86</v>
      </c>
      <c r="I443" s="3">
        <f>H443-G443</f>
      </c>
      <c r="J443" s="3">
        <f>I443*16.67%</f>
      </c>
      <c r="K443" s="3">
        <f>(H443*6.9%)-(H443*6.9%)*10%</f>
      </c>
      <c r="L443" s="3">
        <f>H443*0.35%</f>
      </c>
      <c r="M443" s="3">
        <v>0.4</v>
      </c>
      <c r="N443" s="3">
        <f>(K443+L443+M443)*20%</f>
      </c>
      <c r="O443" s="3">
        <f>K443+L443+M443+N443</f>
      </c>
      <c r="P443" s="3">
        <v>0</v>
      </c>
      <c r="Q443" s="3">
        <v>0</v>
      </c>
      <c r="R443" s="3">
        <v>0</v>
      </c>
      <c r="S443" s="3">
        <f>R443*20%</f>
      </c>
      <c r="T443" s="3">
        <v>1</v>
      </c>
      <c r="U443" s="3">
        <f>N443+Q443+S443</f>
      </c>
      <c r="V443" s="3">
        <f>I443-J443-O443-P443-Q443-R443-S443-T443</f>
      </c>
      <c r="W443" s="3">
        <f>(V443-AE443)/H443*100</f>
      </c>
      <c r="X443" s="3">
        <f>J443-U443</f>
      </c>
      <c r="Y443" t="s">
        <v>1</v>
      </c>
      <c r="Z443" t="s">
        <v>124</v>
      </c>
      <c r="AF443" s="3">
        <f>V443-AE443</f>
      </c>
      <c r="AG443" t="s">
        <v>125</v>
      </c>
      <c r="AH443" t="s">
        <v>84</v>
      </c>
    </row>
    <row r="444" spans="1:34" x14ac:dyDescent="0.25">
      <c r="A444" s="7">
        <v>46156.5</v>
      </c>
      <c r="B444" t="s">
        <v>2254</v>
      </c>
      <c r="C444" t="s">
        <v>1</v>
      </c>
      <c r="D444" s="8" t="s">
        <v>2255</v>
      </c>
      <c r="E444" t="s">
        <v>101</v>
      </c>
      <c r="F444">
        <v>1</v>
      </c>
      <c r="G444" s="3">
        <v>344</v>
      </c>
      <c r="H444" s="3">
        <v>402.48</v>
      </c>
      <c r="I444" s="3">
        <f>H444-G444</f>
      </c>
      <c r="J444" s="3">
        <f>I444*16.67%</f>
      </c>
      <c r="K444" s="3">
        <f>(H444*6.9%)-(H444*6.9%)*10%</f>
      </c>
      <c r="L444" s="3">
        <f>H444*0.35%</f>
      </c>
      <c r="M444" s="3">
        <v>0.4</v>
      </c>
      <c r="N444" s="3">
        <f>(K444+L444+M444)*20%</f>
      </c>
      <c r="O444" s="3">
        <f>K444+L444+M444+N444</f>
      </c>
      <c r="P444" s="3">
        <v>0</v>
      </c>
      <c r="Q444" s="3">
        <v>0</v>
      </c>
      <c r="R444" s="3">
        <v>0</v>
      </c>
      <c r="S444" s="3">
        <f>R444*20%</f>
      </c>
      <c r="T444" s="3">
        <v>1</v>
      </c>
      <c r="U444" s="3">
        <f>N444+Q444+S444</f>
      </c>
      <c r="V444" s="3">
        <f>I444-J444-O444-P444-Q444-R444-S444-T444</f>
      </c>
      <c r="W444" s="3">
        <f>(V444-AE444)/H444*100</f>
      </c>
      <c r="X444" s="3">
        <f>J444-U444</f>
      </c>
      <c r="Y444" t="s">
        <v>1</v>
      </c>
      <c r="Z444" t="s">
        <v>138</v>
      </c>
      <c r="AF444" s="3">
        <f>V444-AE444</f>
      </c>
      <c r="AG444" t="s">
        <v>59</v>
      </c>
      <c r="AH444" t="s">
        <v>60</v>
      </c>
    </row>
    <row r="445" spans="1:34" x14ac:dyDescent="0.25">
      <c r="A445" s="7">
        <v>46156.5</v>
      </c>
      <c r="B445" t="s">
        <v>2256</v>
      </c>
      <c r="C445" t="s">
        <v>1</v>
      </c>
      <c r="D445" s="8" t="s">
        <v>2257</v>
      </c>
      <c r="E445" t="s">
        <v>101</v>
      </c>
      <c r="F445">
        <v>1</v>
      </c>
      <c r="G445" s="3">
        <v>279</v>
      </c>
      <c r="H445" s="3">
        <v>382.23</v>
      </c>
      <c r="I445" s="3">
        <f>H445-G445</f>
      </c>
      <c r="J445" s="3">
        <f>I445*16.67%</f>
      </c>
      <c r="K445" s="3">
        <f>(H445*6.9%)-(H445*6.9%)*10%</f>
      </c>
      <c r="L445" s="3">
        <f>H445*0.35%</f>
      </c>
      <c r="M445" s="3">
        <v>0.4</v>
      </c>
      <c r="N445" s="3">
        <f>(K445+L445+M445)*20%</f>
      </c>
      <c r="O445" s="3">
        <f>K445+L445+M445+N445</f>
      </c>
      <c r="P445" s="3">
        <v>0</v>
      </c>
      <c r="Q445" s="3">
        <v>0</v>
      </c>
      <c r="R445" s="3">
        <v>0</v>
      </c>
      <c r="S445" s="3">
        <f>R445*20%</f>
      </c>
      <c r="T445" s="3">
        <v>1</v>
      </c>
      <c r="U445" s="3">
        <f>N445+Q445+S445</f>
      </c>
      <c r="V445" s="3">
        <f>I445-J445-O445-P445-Q445-R445-S445-T445</f>
      </c>
      <c r="W445" s="3">
        <f>(V445-AE445)/H445*100</f>
      </c>
      <c r="X445" s="3">
        <f>J445-U445</f>
      </c>
      <c r="Y445" t="s">
        <v>1</v>
      </c>
      <c r="Z445" t="s">
        <v>124</v>
      </c>
      <c r="AF445" s="3">
        <f>V445-AE445</f>
      </c>
      <c r="AG445" t="s">
        <v>125</v>
      </c>
      <c r="AH445" t="s">
        <v>60</v>
      </c>
    </row>
    <row r="446" spans="1:34" x14ac:dyDescent="0.25">
      <c r="A446" s="7">
        <v>46156.5</v>
      </c>
      <c r="B446" t="s">
        <v>2258</v>
      </c>
      <c r="C446" t="s">
        <v>1</v>
      </c>
      <c r="D446" s="8" t="s">
        <v>2259</v>
      </c>
      <c r="E446" t="s">
        <v>57</v>
      </c>
      <c r="F446">
        <v>1</v>
      </c>
      <c r="G446" s="3">
        <v>234</v>
      </c>
      <c r="H446" s="3">
        <v>332.28</v>
      </c>
      <c r="I446" s="3">
        <f>H446-G446</f>
      </c>
      <c r="J446" s="3">
        <f>I446*16.67%</f>
      </c>
      <c r="K446" s="3">
        <f>(H446*6.9%)-(H446*6.9%)*10%</f>
      </c>
      <c r="L446" s="3">
        <f>H446*0.35%</f>
      </c>
      <c r="M446" s="3">
        <v>0.4</v>
      </c>
      <c r="N446" s="3">
        <f>(K446+L446+M446)*20%</f>
      </c>
      <c r="O446" s="3">
        <f>K446+L446+M446+N446</f>
      </c>
      <c r="P446" s="3">
        <v>0</v>
      </c>
      <c r="Q446" s="3">
        <v>0</v>
      </c>
      <c r="R446" s="3">
        <v>0</v>
      </c>
      <c r="S446" s="3">
        <f>R446*20%</f>
      </c>
      <c r="T446" s="3">
        <v>1</v>
      </c>
      <c r="U446" s="3">
        <f>N446+Q446+S446</f>
      </c>
      <c r="V446" s="3">
        <f>I446-J446-O446-P446-Q446-R446-S446-T446</f>
      </c>
      <c r="W446" s="3">
        <f>(V446-AE446)/H446*100</f>
      </c>
      <c r="X446" s="3">
        <f>J446-U446</f>
      </c>
      <c r="Y446" t="s">
        <v>1</v>
      </c>
      <c r="Z446" t="s">
        <v>64</v>
      </c>
      <c r="AF446" s="3">
        <f>V446-AE446</f>
      </c>
      <c r="AG446" t="s">
        <v>65</v>
      </c>
      <c r="AH446" t="s">
        <v>98</v>
      </c>
    </row>
    <row r="447" spans="1:34" x14ac:dyDescent="0.25">
      <c r="A447" s="7">
        <v>46156.5</v>
      </c>
      <c r="B447" t="s">
        <v>2260</v>
      </c>
      <c r="C447" t="s">
        <v>1</v>
      </c>
      <c r="D447" s="8" t="s">
        <v>2261</v>
      </c>
      <c r="E447" t="s">
        <v>101</v>
      </c>
      <c r="F447">
        <v>1</v>
      </c>
      <c r="G447" s="3">
        <v>285</v>
      </c>
      <c r="H447" s="3">
        <v>413.25</v>
      </c>
      <c r="I447" s="3">
        <f>H447-G447</f>
      </c>
      <c r="J447" s="3">
        <f>I447*16.67%</f>
      </c>
      <c r="K447" s="3">
        <f>(H447*6.9%)-(H447*6.9%)*10%</f>
      </c>
      <c r="L447" s="3">
        <f>H447*0.35%</f>
      </c>
      <c r="M447" s="3">
        <v>0.4</v>
      </c>
      <c r="N447" s="3">
        <f>(K447+L447+M447)*20%</f>
      </c>
      <c r="O447" s="3">
        <f>K447+L447+M447+N447</f>
      </c>
      <c r="P447" s="3">
        <v>0</v>
      </c>
      <c r="Q447" s="3">
        <v>0</v>
      </c>
      <c r="R447" s="3">
        <v>0</v>
      </c>
      <c r="S447" s="3">
        <f>R447*20%</f>
      </c>
      <c r="T447" s="3">
        <v>1</v>
      </c>
      <c r="U447" s="3">
        <f>N447+Q447+S447</f>
      </c>
      <c r="V447" s="3">
        <f>I447-J447-O447-P447-Q447-R447-S447-T447</f>
      </c>
      <c r="W447" s="3">
        <f>(V447-AE447)/H447*100</f>
      </c>
      <c r="X447" s="3">
        <f>J447-U447</f>
      </c>
      <c r="Y447" t="s">
        <v>1</v>
      </c>
      <c r="Z447" t="s">
        <v>97</v>
      </c>
      <c r="AF447" s="3">
        <f>V447-AE447</f>
      </c>
      <c r="AG447" t="s">
        <v>65</v>
      </c>
      <c r="AH447" t="s">
        <v>74</v>
      </c>
    </row>
    <row r="448" spans="1:34" x14ac:dyDescent="0.25">
      <c r="A448" s="7">
        <v>46156.5</v>
      </c>
      <c r="B448" t="s">
        <v>2262</v>
      </c>
      <c r="C448" t="s">
        <v>253</v>
      </c>
      <c r="D448" s="8" t="s">
        <v>1</v>
      </c>
      <c r="E448" t="s">
        <v>57</v>
      </c>
      <c r="F448">
        <v>3</v>
      </c>
      <c r="G448" s="3">
        <v>2.4</v>
      </c>
      <c r="H448" s="3">
        <v>3.34</v>
      </c>
      <c r="I448" s="3">
        <f>H448-G448</f>
      </c>
      <c r="J448" s="3">
        <f>I448*16.67%</f>
      </c>
      <c r="K448" s="3">
        <f>(H448*6.9%)-(H448*6.9%)*10%</f>
      </c>
      <c r="L448" s="3">
        <f>H448*0.35%</f>
      </c>
      <c r="M448" s="3">
        <v>0.4</v>
      </c>
      <c r="N448" s="3">
        <f>(K448+L448+M448)*20%</f>
      </c>
      <c r="O448" s="3">
        <f>K448+L448+M448+N448</f>
      </c>
      <c r="P448" s="3">
        <v>0</v>
      </c>
      <c r="Q448" s="3">
        <v>0</v>
      </c>
      <c r="R448" s="3">
        <v>0</v>
      </c>
      <c r="S448" s="3">
        <f>R448*20%</f>
      </c>
      <c r="T448" s="3">
        <v>1</v>
      </c>
      <c r="U448" s="3">
        <f>N448+Q448+S448</f>
      </c>
      <c r="V448" s="3">
        <f>I448-J448-O448-P448-Q448-R448-S448-T448</f>
      </c>
      <c r="W448" s="3">
        <f>(V448-AE448)/H448*100</f>
      </c>
      <c r="X448" s="3">
        <f>J448-U448</f>
      </c>
      <c r="Y448" t="s">
        <v>1</v>
      </c>
      <c r="Z448" t="s">
        <v>253</v>
      </c>
      <c r="AF448" s="3">
        <f>V448-AE448</f>
      </c>
      <c r="AG448" t="s">
        <v>1</v>
      </c>
      <c r="AH448" t="s">
        <v>1</v>
      </c>
    </row>
    <row r="449" spans="1:34" x14ac:dyDescent="0.25">
      <c r="A449" s="7">
        <v>46155.5</v>
      </c>
      <c r="B449" t="s">
        <v>2263</v>
      </c>
      <c r="C449" t="s">
        <v>1</v>
      </c>
      <c r="D449" s="8" t="s">
        <v>2264</v>
      </c>
      <c r="E449" t="s">
        <v>72</v>
      </c>
      <c r="F449">
        <v>1</v>
      </c>
      <c r="G449" s="3">
        <v>238</v>
      </c>
      <c r="H449" s="3">
        <v>276.08</v>
      </c>
      <c r="I449" s="3">
        <f>H449-G449</f>
      </c>
      <c r="J449" s="3">
        <f>I449*16.67%</f>
      </c>
      <c r="K449" s="3">
        <f>(H449*6.9%)-(H449*6.9%)*10%</f>
      </c>
      <c r="L449" s="3">
        <f>H449*0.35%</f>
      </c>
      <c r="M449" s="3">
        <v>0.4</v>
      </c>
      <c r="N449" s="3">
        <f>(K449+L449+M449)*20%</f>
      </c>
      <c r="O449" s="3">
        <f>K449+L449+M449+N449</f>
      </c>
      <c r="P449" s="3">
        <v>0</v>
      </c>
      <c r="Q449" s="3">
        <v>0</v>
      </c>
      <c r="R449" s="3">
        <v>0</v>
      </c>
      <c r="S449" s="3">
        <f>R449*20%</f>
      </c>
      <c r="T449" s="3">
        <v>1</v>
      </c>
      <c r="U449" s="3">
        <f>N449+Q449+S449</f>
      </c>
      <c r="V449" s="3">
        <f>I449-J449-O449-P449-Q449-R449-S449-T449</f>
      </c>
      <c r="W449" s="3">
        <f>(V449-AE449)/H449*100</f>
      </c>
      <c r="X449" s="3">
        <f>J449-U449</f>
      </c>
      <c r="Y449" t="s">
        <v>1</v>
      </c>
      <c r="Z449" t="s">
        <v>113</v>
      </c>
      <c r="AF449" s="3">
        <f>V449-AE449</f>
      </c>
      <c r="AG449" t="s">
        <v>94</v>
      </c>
      <c r="AH449" t="s">
        <v>69</v>
      </c>
    </row>
    <row r="450" spans="1:34" x14ac:dyDescent="0.25">
      <c r="A450" s="7">
        <v>46154.5</v>
      </c>
      <c r="B450" t="s">
        <v>2265</v>
      </c>
      <c r="C450" t="s">
        <v>1</v>
      </c>
      <c r="D450" s="8" t="s">
        <v>2266</v>
      </c>
      <c r="E450" t="s">
        <v>72</v>
      </c>
      <c r="F450">
        <v>1</v>
      </c>
      <c r="G450" s="3">
        <v>170</v>
      </c>
      <c r="H450" s="3">
        <v>232.9</v>
      </c>
      <c r="I450" s="3">
        <f>H450-G450</f>
      </c>
      <c r="J450" s="3">
        <f>I450*16.67%</f>
      </c>
      <c r="K450" s="3">
        <f>(H450*6.9%)-(H450*6.9%)*10%</f>
      </c>
      <c r="L450" s="3">
        <f>H450*0.35%</f>
      </c>
      <c r="M450" s="3">
        <v>0.4</v>
      </c>
      <c r="N450" s="3">
        <f>(K450+L450+M450)*20%</f>
      </c>
      <c r="O450" s="3">
        <f>K450+L450+M450+N450</f>
      </c>
      <c r="P450" s="3">
        <v>0</v>
      </c>
      <c r="Q450" s="3">
        <v>0</v>
      </c>
      <c r="R450" s="3">
        <v>0</v>
      </c>
      <c r="S450" s="3">
        <f>R450*20%</f>
      </c>
      <c r="T450" s="3">
        <v>1</v>
      </c>
      <c r="U450" s="3">
        <f>N450+Q450+S450</f>
      </c>
      <c r="V450" s="3">
        <f>I450-J450-O450-P450-Q450-R450-S450-T450</f>
      </c>
      <c r="W450" s="3">
        <f>(V450-AE450)/H450*100</f>
      </c>
      <c r="X450" s="3">
        <f>J450-U450</f>
      </c>
      <c r="Y450" t="s">
        <v>1</v>
      </c>
      <c r="Z450" t="s">
        <v>171</v>
      </c>
      <c r="AF450" s="3">
        <f>V450-AE450</f>
      </c>
      <c r="AG450" t="s">
        <v>65</v>
      </c>
      <c r="AH450" t="s">
        <v>74</v>
      </c>
    </row>
    <row r="451" spans="1:34" x14ac:dyDescent="0.25">
      <c r="A451" s="7">
        <v>46154.5</v>
      </c>
      <c r="B451" t="s">
        <v>2267</v>
      </c>
      <c r="C451" t="s">
        <v>1</v>
      </c>
      <c r="D451" s="8" t="s">
        <v>2268</v>
      </c>
      <c r="E451" t="s">
        <v>63</v>
      </c>
      <c r="F451">
        <v>1</v>
      </c>
      <c r="G451" s="3">
        <v>144</v>
      </c>
      <c r="H451" s="3">
        <v>198.72</v>
      </c>
      <c r="I451" s="3">
        <f>H451-G451</f>
      </c>
      <c r="J451" s="3">
        <f>I451*16.67%</f>
      </c>
      <c r="K451" s="3">
        <f>(H451*6.9%)-(H451*6.9%)*10%</f>
      </c>
      <c r="L451" s="3">
        <f>H451*0.35%</f>
      </c>
      <c r="M451" s="3">
        <v>0.4</v>
      </c>
      <c r="N451" s="3">
        <f>(K451+L451+M451)*20%</f>
      </c>
      <c r="O451" s="3">
        <f>K451+L451+M451+N451</f>
      </c>
      <c r="P451" s="3">
        <v>0</v>
      </c>
      <c r="Q451" s="3">
        <v>0</v>
      </c>
      <c r="R451" s="3">
        <v>0</v>
      </c>
      <c r="S451" s="3">
        <f>R451*20%</f>
      </c>
      <c r="T451" s="3">
        <v>1</v>
      </c>
      <c r="U451" s="3">
        <f>N451+Q451+S451</f>
      </c>
      <c r="V451" s="3">
        <f>I451-J451-O451-P451-Q451-R451-S451-T451</f>
      </c>
      <c r="W451" s="3">
        <f>(V451-AE451)/H451*100</f>
      </c>
      <c r="X451" s="3">
        <f>J451-U451</f>
      </c>
      <c r="Y451" t="s">
        <v>1</v>
      </c>
      <c r="Z451" t="s">
        <v>171</v>
      </c>
      <c r="AF451" s="3">
        <f>V451-AE451</f>
      </c>
      <c r="AG451" t="s">
        <v>65</v>
      </c>
      <c r="AH451" t="s">
        <v>69</v>
      </c>
    </row>
    <row r="452" spans="1:34" x14ac:dyDescent="0.25">
      <c r="A452" s="7">
        <v>46154.5</v>
      </c>
      <c r="B452" t="s">
        <v>2269</v>
      </c>
      <c r="C452" t="s">
        <v>1</v>
      </c>
      <c r="D452" s="8" t="s">
        <v>1</v>
      </c>
      <c r="E452" t="s">
        <v>57</v>
      </c>
      <c r="F452">
        <v>1</v>
      </c>
      <c r="G452" s="3">
        <v>735</v>
      </c>
      <c r="H452" s="3">
        <v>962.85</v>
      </c>
      <c r="I452" s="3">
        <f>H452-G452</f>
      </c>
      <c r="J452" s="3">
        <f>I452*16.67%</f>
      </c>
      <c r="K452" s="3">
        <f>(H452*6.9%)-(H452*6.9%)*10%</f>
      </c>
      <c r="L452" s="3">
        <f>H452*0.35%</f>
      </c>
      <c r="M452" s="3">
        <v>0.4</v>
      </c>
      <c r="N452" s="3">
        <f>(K452+L452+M452)*20%</f>
      </c>
      <c r="O452" s="3">
        <f>K452+L452+M452+N452</f>
      </c>
      <c r="P452" s="3">
        <v>0</v>
      </c>
      <c r="Q452" s="3">
        <v>0</v>
      </c>
      <c r="R452" s="3">
        <v>0</v>
      </c>
      <c r="S452" s="3">
        <f>R452*20%</f>
      </c>
      <c r="T452" s="3">
        <v>1</v>
      </c>
      <c r="U452" s="3">
        <f>N452+Q452+S452</f>
      </c>
      <c r="V452" s="3">
        <f>I452-J452-O452-P452-Q452-R452-S452-T452</f>
      </c>
      <c r="W452" s="3">
        <f>(V452-AE452)/H452*100</f>
      </c>
      <c r="X452" s="3">
        <f>J452-U452</f>
      </c>
      <c r="Y452" t="s">
        <v>1</v>
      </c>
      <c r="Z452" t="s">
        <v>1</v>
      </c>
      <c r="AF452" s="3">
        <f>V452-AE452</f>
      </c>
      <c r="AG452" t="s">
        <v>1</v>
      </c>
      <c r="AH452" t="s">
        <v>1</v>
      </c>
    </row>
    <row r="453" spans="1:34" x14ac:dyDescent="0.25">
      <c r="A453" s="7">
        <v>46153.5</v>
      </c>
      <c r="B453" t="s">
        <v>2270</v>
      </c>
      <c r="C453" t="s">
        <v>1</v>
      </c>
      <c r="D453" s="8" t="s">
        <v>2271</v>
      </c>
      <c r="E453" t="s">
        <v>101</v>
      </c>
      <c r="F453">
        <v>1</v>
      </c>
      <c r="G453" s="3">
        <v>534</v>
      </c>
      <c r="H453" s="3">
        <v>742.26</v>
      </c>
      <c r="I453" s="3">
        <f>H453-G453</f>
      </c>
      <c r="J453" s="3">
        <f>I453*16.67%</f>
      </c>
      <c r="K453" s="3">
        <f>(H453*6.9%)-(H453*6.9%)*10%</f>
      </c>
      <c r="L453" s="3">
        <f>H453*0.35%</f>
      </c>
      <c r="M453" s="3">
        <v>0.4</v>
      </c>
      <c r="N453" s="3">
        <f>(K453+L453+M453)*20%</f>
      </c>
      <c r="O453" s="3">
        <f>K453+L453+M453+N453</f>
      </c>
      <c r="P453" s="3">
        <v>0</v>
      </c>
      <c r="Q453" s="3">
        <v>0</v>
      </c>
      <c r="R453" s="3">
        <v>0</v>
      </c>
      <c r="S453" s="3">
        <f>R453*20%</f>
      </c>
      <c r="T453" s="3">
        <v>1</v>
      </c>
      <c r="U453" s="3">
        <f>N453+Q453+S453</f>
      </c>
      <c r="V453" s="3">
        <f>I453-J453-O453-P453-Q453-R453-S453-T453</f>
      </c>
      <c r="W453" s="3">
        <f>(V453-AE453)/H453*100</f>
      </c>
      <c r="X453" s="3">
        <f>J453-U453</f>
      </c>
      <c r="Y453" t="s">
        <v>1</v>
      </c>
      <c r="Z453" t="s">
        <v>80</v>
      </c>
      <c r="AF453" s="3">
        <f>V453-AE453</f>
      </c>
      <c r="AG453" t="s">
        <v>59</v>
      </c>
      <c r="AH453" t="s">
        <v>98</v>
      </c>
    </row>
    <row r="454" spans="1:34" x14ac:dyDescent="0.25">
      <c r="A454" s="7">
        <v>46153.5</v>
      </c>
      <c r="B454" t="s">
        <v>2272</v>
      </c>
      <c r="C454" t="s">
        <v>1</v>
      </c>
      <c r="D454" s="8" t="s">
        <v>2273</v>
      </c>
      <c r="E454" t="s">
        <v>72</v>
      </c>
      <c r="F454">
        <v>1</v>
      </c>
      <c r="G454" s="3">
        <v>729</v>
      </c>
      <c r="H454" s="3">
        <v>1013.31</v>
      </c>
      <c r="I454" s="3">
        <f>H454-G454</f>
      </c>
      <c r="J454" s="3">
        <f>I454*16.67%</f>
      </c>
      <c r="K454" s="3">
        <f>(H454*6.9%)-(H454*6.9%)*10%</f>
      </c>
      <c r="L454" s="3">
        <f>H454*0.35%</f>
      </c>
      <c r="M454" s="3">
        <v>0.4</v>
      </c>
      <c r="N454" s="3">
        <f>(K454+L454+M454)*20%</f>
      </c>
      <c r="O454" s="3">
        <f>K454+L454+M454+N454</f>
      </c>
      <c r="P454" s="3">
        <v>0</v>
      </c>
      <c r="Q454" s="3">
        <v>0</v>
      </c>
      <c r="R454" s="3">
        <v>0</v>
      </c>
      <c r="S454" s="3">
        <f>R454*20%</f>
      </c>
      <c r="T454" s="3">
        <v>1</v>
      </c>
      <c r="U454" s="3">
        <f>N454+Q454+S454</f>
      </c>
      <c r="V454" s="3">
        <f>I454-J454-O454-P454-Q454-R454-S454-T454</f>
      </c>
      <c r="W454" s="3">
        <f>(V454-AE454)/H454*100</f>
      </c>
      <c r="X454" s="3">
        <f>J454-U454</f>
      </c>
      <c r="Y454" t="s">
        <v>1</v>
      </c>
      <c r="Z454" t="s">
        <v>83</v>
      </c>
      <c r="AF454" s="3">
        <f>V454-AE454</f>
      </c>
      <c r="AG454" t="s">
        <v>59</v>
      </c>
      <c r="AH454" t="s">
        <v>69</v>
      </c>
    </row>
    <row r="455" spans="1:34" x14ac:dyDescent="0.25">
      <c r="A455" s="7">
        <v>46153.5</v>
      </c>
      <c r="B455" t="s">
        <v>2274</v>
      </c>
      <c r="C455" t="s">
        <v>1</v>
      </c>
      <c r="D455" s="8" t="s">
        <v>2275</v>
      </c>
      <c r="E455" t="s">
        <v>77</v>
      </c>
      <c r="F455">
        <v>1</v>
      </c>
      <c r="G455" s="3">
        <v>556</v>
      </c>
      <c r="H455" s="3">
        <v>667.2</v>
      </c>
      <c r="I455" s="3">
        <f>H455-G455</f>
      </c>
      <c r="J455" s="3">
        <f>I455*16.67%</f>
      </c>
      <c r="K455" s="3">
        <f>(H455*6.9%)-(H455*6.9%)*10%</f>
      </c>
      <c r="L455" s="3">
        <f>H455*0.35%</f>
      </c>
      <c r="M455" s="3">
        <v>0.4</v>
      </c>
      <c r="N455" s="3">
        <f>(K455+L455+M455)*20%</f>
      </c>
      <c r="O455" s="3">
        <f>K455+L455+M455+N455</f>
      </c>
      <c r="P455" s="3">
        <v>0</v>
      </c>
      <c r="Q455" s="3">
        <v>0</v>
      </c>
      <c r="R455" s="3">
        <v>0</v>
      </c>
      <c r="S455" s="3">
        <f>R455*20%</f>
      </c>
      <c r="T455" s="3">
        <v>1</v>
      </c>
      <c r="U455" s="3">
        <f>N455+Q455+S455</f>
      </c>
      <c r="V455" s="3">
        <f>I455-J455-O455-P455-Q455-R455-S455-T455</f>
      </c>
      <c r="W455" s="3">
        <f>(V455-AE455)/H455*100</f>
      </c>
      <c r="X455" s="3">
        <f>J455-U455</f>
      </c>
      <c r="Y455" t="s">
        <v>1</v>
      </c>
      <c r="Z455" t="s">
        <v>68</v>
      </c>
      <c r="AF455" s="3">
        <f>V455-AE455</f>
      </c>
      <c r="AG455" t="s">
        <v>59</v>
      </c>
      <c r="AH455" t="s">
        <v>87</v>
      </c>
    </row>
    <row r="456" spans="1:34" x14ac:dyDescent="0.25">
      <c r="A456" s="7">
        <v>46153.5</v>
      </c>
      <c r="B456" t="s">
        <v>2276</v>
      </c>
      <c r="C456" t="s">
        <v>1</v>
      </c>
      <c r="D456" s="8" t="s">
        <v>2277</v>
      </c>
      <c r="E456" t="s">
        <v>57</v>
      </c>
      <c r="F456">
        <v>1</v>
      </c>
      <c r="G456" s="3">
        <v>560</v>
      </c>
      <c r="H456" s="3">
        <v>677.6</v>
      </c>
      <c r="I456" s="3">
        <f>H456-G456</f>
      </c>
      <c r="J456" s="3">
        <f>I456*16.67%</f>
      </c>
      <c r="K456" s="3">
        <f>(H456*6.9%)-(H456*6.9%)*10%</f>
      </c>
      <c r="L456" s="3">
        <f>H456*0.35%</f>
      </c>
      <c r="M456" s="3">
        <v>0.4</v>
      </c>
      <c r="N456" s="3">
        <f>(K456+L456+M456)*20%</f>
      </c>
      <c r="O456" s="3">
        <f>K456+L456+M456+N456</f>
      </c>
      <c r="P456" s="3">
        <v>0</v>
      </c>
      <c r="Q456" s="3">
        <v>0</v>
      </c>
      <c r="R456" s="3">
        <v>0</v>
      </c>
      <c r="S456" s="3">
        <f>R456*20%</f>
      </c>
      <c r="T456" s="3">
        <v>1</v>
      </c>
      <c r="U456" s="3">
        <f>N456+Q456+S456</f>
      </c>
      <c r="V456" s="3">
        <f>I456-J456-O456-P456-Q456-R456-S456-T456</f>
      </c>
      <c r="W456" s="3">
        <f>(V456-AE456)/H456*100</f>
      </c>
      <c r="X456" s="3">
        <f>J456-U456</f>
      </c>
      <c r="Y456" t="s">
        <v>1</v>
      </c>
      <c r="Z456" t="s">
        <v>80</v>
      </c>
      <c r="AF456" s="3">
        <f>V456-AE456</f>
      </c>
      <c r="AG456" t="s">
        <v>59</v>
      </c>
      <c r="AH456" t="s">
        <v>98</v>
      </c>
    </row>
    <row r="457" spans="1:34" x14ac:dyDescent="0.25">
      <c r="A457" s="7">
        <v>46152.5</v>
      </c>
      <c r="B457" t="s">
        <v>2278</v>
      </c>
      <c r="C457" t="s">
        <v>1</v>
      </c>
      <c r="D457" s="8" t="s">
        <v>2279</v>
      </c>
      <c r="E457" t="s">
        <v>57</v>
      </c>
      <c r="F457">
        <v>1</v>
      </c>
      <c r="G457" s="3">
        <v>767</v>
      </c>
      <c r="H457" s="3">
        <v>951.08</v>
      </c>
      <c r="I457" s="3">
        <f>H457-G457</f>
      </c>
      <c r="J457" s="3">
        <f>I457*16.67%</f>
      </c>
      <c r="K457" s="3">
        <f>(H457*6.9%)-(H457*6.9%)*10%</f>
      </c>
      <c r="L457" s="3">
        <f>H457*0.35%</f>
      </c>
      <c r="M457" s="3">
        <v>0.4</v>
      </c>
      <c r="N457" s="3">
        <f>(K457+L457+M457)*20%</f>
      </c>
      <c r="O457" s="3">
        <f>K457+L457+M457+N457</f>
      </c>
      <c r="P457" s="3">
        <v>0</v>
      </c>
      <c r="Q457" s="3">
        <v>0</v>
      </c>
      <c r="R457" s="3">
        <v>0</v>
      </c>
      <c r="S457" s="3">
        <f>R457*20%</f>
      </c>
      <c r="T457" s="3">
        <v>1</v>
      </c>
      <c r="U457" s="3">
        <f>N457+Q457+S457</f>
      </c>
      <c r="V457" s="3">
        <f>I457-J457-O457-P457-Q457-R457-S457-T457</f>
      </c>
      <c r="W457" s="3">
        <f>(V457-AE457)/H457*100</f>
      </c>
      <c r="X457" s="3">
        <f>J457-U457</f>
      </c>
      <c r="Y457" t="s">
        <v>1</v>
      </c>
      <c r="Z457" t="s">
        <v>83</v>
      </c>
      <c r="AF457" s="3">
        <f>V457-AE457</f>
      </c>
      <c r="AG457" t="s">
        <v>59</v>
      </c>
      <c r="AH457" t="s">
        <v>69</v>
      </c>
    </row>
    <row r="458" spans="1:34" x14ac:dyDescent="0.25">
      <c r="A458" s="7">
        <v>46152.5</v>
      </c>
      <c r="B458" t="s">
        <v>2280</v>
      </c>
      <c r="C458" t="s">
        <v>1</v>
      </c>
      <c r="D458" s="8" t="s">
        <v>2281</v>
      </c>
      <c r="E458" t="s">
        <v>101</v>
      </c>
      <c r="F458">
        <v>1</v>
      </c>
      <c r="G458" s="3">
        <v>117</v>
      </c>
      <c r="H458" s="3">
        <v>135.72</v>
      </c>
      <c r="I458" s="3">
        <f>H458-G458</f>
      </c>
      <c r="J458" s="3">
        <f>I458*16.67%</f>
      </c>
      <c r="K458" s="3">
        <f>(H458*6.9%)-(H458*6.9%)*10%</f>
      </c>
      <c r="L458" s="3">
        <f>H458*0.35%</f>
      </c>
      <c r="M458" s="3">
        <v>0.4</v>
      </c>
      <c r="N458" s="3">
        <f>(K458+L458+M458)*20%</f>
      </c>
      <c r="O458" s="3">
        <f>K458+L458+M458+N458</f>
      </c>
      <c r="P458" s="3">
        <v>0</v>
      </c>
      <c r="Q458" s="3">
        <v>0</v>
      </c>
      <c r="R458" s="3">
        <v>0</v>
      </c>
      <c r="S458" s="3">
        <f>R458*20%</f>
      </c>
      <c r="T458" s="3">
        <v>1</v>
      </c>
      <c r="U458" s="3">
        <f>N458+Q458+S458</f>
      </c>
      <c r="V458" s="3">
        <f>I458-J458-O458-P458-Q458-R458-S458-T458</f>
      </c>
      <c r="W458" s="3">
        <f>(V458-AE458)/H458*100</f>
      </c>
      <c r="X458" s="3">
        <f>J458-U458</f>
      </c>
      <c r="Y458" t="s">
        <v>1</v>
      </c>
      <c r="Z458" t="s">
        <v>133</v>
      </c>
      <c r="AF458" s="3">
        <f>V458-AE458</f>
      </c>
      <c r="AG458" t="s">
        <v>65</v>
      </c>
      <c r="AH458" t="s">
        <v>87</v>
      </c>
    </row>
    <row r="459" spans="1:34" x14ac:dyDescent="0.25">
      <c r="A459" s="7">
        <v>46152.5</v>
      </c>
      <c r="B459" t="s">
        <v>2282</v>
      </c>
      <c r="C459" t="s">
        <v>1</v>
      </c>
      <c r="D459" s="8" t="s">
        <v>2283</v>
      </c>
      <c r="E459" t="s">
        <v>72</v>
      </c>
      <c r="F459">
        <v>1</v>
      </c>
      <c r="G459" s="3">
        <v>163</v>
      </c>
      <c r="H459" s="3">
        <v>224.94</v>
      </c>
      <c r="I459" s="3">
        <f>H459-G459</f>
      </c>
      <c r="J459" s="3">
        <f>I459*16.67%</f>
      </c>
      <c r="K459" s="3">
        <f>(H459*6.9%)-(H459*6.9%)*10%</f>
      </c>
      <c r="L459" s="3">
        <f>H459*0.35%</f>
      </c>
      <c r="M459" s="3">
        <v>0.4</v>
      </c>
      <c r="N459" s="3">
        <f>(K459+L459+M459)*20%</f>
      </c>
      <c r="O459" s="3">
        <f>K459+L459+M459+N459</f>
      </c>
      <c r="P459" s="3">
        <v>0</v>
      </c>
      <c r="Q459" s="3">
        <v>0</v>
      </c>
      <c r="R459" s="3">
        <v>0</v>
      </c>
      <c r="S459" s="3">
        <f>R459*20%</f>
      </c>
      <c r="T459" s="3">
        <v>1</v>
      </c>
      <c r="U459" s="3">
        <f>N459+Q459+S459</f>
      </c>
      <c r="V459" s="3">
        <f>I459-J459-O459-P459-Q459-R459-S459-T459</f>
      </c>
      <c r="W459" s="3">
        <f>(V459-AE459)/H459*100</f>
      </c>
      <c r="X459" s="3">
        <f>J459-U459</f>
      </c>
      <c r="Y459" t="s">
        <v>1</v>
      </c>
      <c r="Z459" t="s">
        <v>291</v>
      </c>
      <c r="AF459" s="3">
        <f>V459-AE459</f>
      </c>
      <c r="AG459" t="s">
        <v>125</v>
      </c>
      <c r="AH459" t="s">
        <v>87</v>
      </c>
    </row>
    <row r="460" spans="1:34" x14ac:dyDescent="0.25">
      <c r="A460" s="7">
        <v>46152.5</v>
      </c>
      <c r="B460" t="s">
        <v>2284</v>
      </c>
      <c r="C460" t="s">
        <v>184</v>
      </c>
      <c r="D460" s="8" t="s">
        <v>1</v>
      </c>
      <c r="E460" t="s">
        <v>101</v>
      </c>
      <c r="F460">
        <v>4</v>
      </c>
      <c r="G460" s="3">
        <v>4.8</v>
      </c>
      <c r="H460" s="3">
        <v>6.19</v>
      </c>
      <c r="I460" s="3">
        <f>H460-G460</f>
      </c>
      <c r="J460" s="3">
        <f>I460*16.67%</f>
      </c>
      <c r="K460" s="3">
        <f>(H460*6.9%)-(H460*6.9%)*10%</f>
      </c>
      <c r="L460" s="3">
        <f>H460*0.35%</f>
      </c>
      <c r="M460" s="3">
        <v>0.4</v>
      </c>
      <c r="N460" s="3">
        <f>(K460+L460+M460)*20%</f>
      </c>
      <c r="O460" s="3">
        <f>K460+L460+M460+N460</f>
      </c>
      <c r="P460" s="3">
        <v>0</v>
      </c>
      <c r="Q460" s="3">
        <v>0</v>
      </c>
      <c r="R460" s="3">
        <v>0</v>
      </c>
      <c r="S460" s="3">
        <f>R460*20%</f>
      </c>
      <c r="T460" s="3">
        <v>1</v>
      </c>
      <c r="U460" s="3">
        <f>N460+Q460+S460</f>
      </c>
      <c r="V460" s="3">
        <f>I460-J460-O460-P460-Q460-R460-S460-T460</f>
      </c>
      <c r="W460" s="3">
        <f>(V460-AE460)/H460*100</f>
      </c>
      <c r="X460" s="3">
        <f>J460-U460</f>
      </c>
      <c r="Y460" t="s">
        <v>1</v>
      </c>
      <c r="Z460" t="s">
        <v>184</v>
      </c>
      <c r="AF460" s="3">
        <f>V460-AE460</f>
      </c>
      <c r="AG460" t="s">
        <v>1</v>
      </c>
      <c r="AH460" t="s">
        <v>1</v>
      </c>
    </row>
    <row r="461" spans="1:34" x14ac:dyDescent="0.25">
      <c r="A461" s="7">
        <v>46152.5</v>
      </c>
      <c r="B461" t="s">
        <v>2285</v>
      </c>
      <c r="C461" t="s">
        <v>173</v>
      </c>
      <c r="D461" s="8" t="s">
        <v>1</v>
      </c>
      <c r="E461" t="s">
        <v>63</v>
      </c>
      <c r="F461">
        <v>4</v>
      </c>
      <c r="G461" s="3">
        <v>17</v>
      </c>
      <c r="H461" s="3">
        <v>20.23</v>
      </c>
      <c r="I461" s="3">
        <f>H461-G461</f>
      </c>
      <c r="J461" s="3">
        <f>I461*16.67%</f>
      </c>
      <c r="K461" s="3">
        <f>(H461*6.9%)-(H461*6.9%)*10%</f>
      </c>
      <c r="L461" s="3">
        <f>H461*0.35%</f>
      </c>
      <c r="M461" s="3">
        <v>0.4</v>
      </c>
      <c r="N461" s="3">
        <f>(K461+L461+M461)*20%</f>
      </c>
      <c r="O461" s="3">
        <f>K461+L461+M461+N461</f>
      </c>
      <c r="P461" s="3">
        <v>0</v>
      </c>
      <c r="Q461" s="3">
        <v>0</v>
      </c>
      <c r="R461" s="3">
        <v>0</v>
      </c>
      <c r="S461" s="3">
        <f>R461*20%</f>
      </c>
      <c r="T461" s="3">
        <v>1</v>
      </c>
      <c r="U461" s="3">
        <f>N461+Q461+S461</f>
      </c>
      <c r="V461" s="3">
        <f>I461-J461-O461-P461-Q461-R461-S461-T461</f>
      </c>
      <c r="W461" s="3">
        <f>(V461-AE461)/H461*100</f>
      </c>
      <c r="X461" s="3">
        <f>J461-U461</f>
      </c>
      <c r="Y461" t="s">
        <v>1</v>
      </c>
      <c r="Z461" t="s">
        <v>173</v>
      </c>
      <c r="AF461" s="3">
        <f>V461-AE461</f>
      </c>
      <c r="AG461" t="s">
        <v>1</v>
      </c>
      <c r="AH461" t="s">
        <v>1</v>
      </c>
    </row>
    <row r="462" spans="1:34" x14ac:dyDescent="0.25">
      <c r="A462" s="7">
        <v>46152.5</v>
      </c>
      <c r="B462" t="s">
        <v>2286</v>
      </c>
      <c r="C462" t="s">
        <v>176</v>
      </c>
      <c r="D462" s="8" t="s">
        <v>1</v>
      </c>
      <c r="E462" t="s">
        <v>77</v>
      </c>
      <c r="F462">
        <v>3</v>
      </c>
      <c r="G462" s="3">
        <v>0.45</v>
      </c>
      <c r="H462" s="3">
        <v>0.55</v>
      </c>
      <c r="I462" s="3">
        <f>H462-G462</f>
      </c>
      <c r="J462" s="3">
        <f>I462*16.67%</f>
      </c>
      <c r="K462" s="3">
        <f>(H462*6.9%)-(H462*6.9%)*10%</f>
      </c>
      <c r="L462" s="3">
        <f>H462*0.35%</f>
      </c>
      <c r="M462" s="3">
        <v>0.4</v>
      </c>
      <c r="N462" s="3">
        <f>(K462+L462+M462)*20%</f>
      </c>
      <c r="O462" s="3">
        <f>K462+L462+M462+N462</f>
      </c>
      <c r="P462" s="3">
        <v>0</v>
      </c>
      <c r="Q462" s="3">
        <v>0</v>
      </c>
      <c r="R462" s="3">
        <v>0</v>
      </c>
      <c r="S462" s="3">
        <f>R462*20%</f>
      </c>
      <c r="T462" s="3">
        <v>1</v>
      </c>
      <c r="U462" s="3">
        <f>N462+Q462+S462</f>
      </c>
      <c r="V462" s="3">
        <f>I462-J462-O462-P462-Q462-R462-S462-T462</f>
      </c>
      <c r="W462" s="3">
        <f>(V462-AE462)/H462*100</f>
      </c>
      <c r="X462" s="3">
        <f>J462-U462</f>
      </c>
      <c r="Y462" t="s">
        <v>1</v>
      </c>
      <c r="Z462" t="s">
        <v>176</v>
      </c>
      <c r="AF462" s="3">
        <f>V462-AE462</f>
      </c>
      <c r="AG462" t="s">
        <v>1</v>
      </c>
      <c r="AH462" t="s">
        <v>1</v>
      </c>
    </row>
    <row r="463" spans="1:34" x14ac:dyDescent="0.25">
      <c r="A463" s="7">
        <v>46151.5</v>
      </c>
      <c r="B463" t="s">
        <v>2287</v>
      </c>
      <c r="C463" t="s">
        <v>1</v>
      </c>
      <c r="D463" s="8" t="s">
        <v>2288</v>
      </c>
      <c r="E463" t="s">
        <v>101</v>
      </c>
      <c r="F463">
        <v>1</v>
      </c>
      <c r="G463" s="3">
        <v>375</v>
      </c>
      <c r="H463" s="3">
        <v>453.75</v>
      </c>
      <c r="I463" s="3">
        <f>H463-G463</f>
      </c>
      <c r="J463" s="3">
        <f>I463*16.67%</f>
      </c>
      <c r="K463" s="3">
        <f>(H463*6.9%)-(H463*6.9%)*10%</f>
      </c>
      <c r="L463" s="3">
        <f>H463*0.35%</f>
      </c>
      <c r="M463" s="3">
        <v>0.4</v>
      </c>
      <c r="N463" s="3">
        <f>(K463+L463+M463)*20%</f>
      </c>
      <c r="O463" s="3">
        <f>K463+L463+M463+N463</f>
      </c>
      <c r="P463" s="3">
        <v>0</v>
      </c>
      <c r="Q463" s="3">
        <v>0</v>
      </c>
      <c r="R463" s="3">
        <v>0</v>
      </c>
      <c r="S463" s="3">
        <f>R463*20%</f>
      </c>
      <c r="T463" s="3">
        <v>1</v>
      </c>
      <c r="U463" s="3">
        <f>N463+Q463+S463</f>
      </c>
      <c r="V463" s="3">
        <f>I463-J463-O463-P463-Q463-R463-S463-T463</f>
      </c>
      <c r="W463" s="3">
        <f>(V463-AE463)/H463*100</f>
      </c>
      <c r="X463" s="3">
        <f>J463-U463</f>
      </c>
      <c r="Y463" t="s">
        <v>1</v>
      </c>
      <c r="Z463" t="s">
        <v>73</v>
      </c>
      <c r="AF463" s="3">
        <f>V463-AE463</f>
      </c>
      <c r="AG463" t="s">
        <v>59</v>
      </c>
      <c r="AH463" t="s">
        <v>98</v>
      </c>
    </row>
    <row r="464" spans="1:34" x14ac:dyDescent="0.25">
      <c r="A464" s="7">
        <v>46151.5</v>
      </c>
      <c r="B464" t="s">
        <v>2289</v>
      </c>
      <c r="C464" t="s">
        <v>1</v>
      </c>
      <c r="D464" s="8" t="s">
        <v>2290</v>
      </c>
      <c r="E464" t="s">
        <v>63</v>
      </c>
      <c r="F464">
        <v>1</v>
      </c>
      <c r="G464" s="3">
        <v>555</v>
      </c>
      <c r="H464" s="3">
        <v>699.3</v>
      </c>
      <c r="I464" s="3">
        <f>H464-G464</f>
      </c>
      <c r="J464" s="3">
        <f>I464*16.67%</f>
      </c>
      <c r="K464" s="3">
        <f>(H464*6.9%)-(H464*6.9%)*10%</f>
      </c>
      <c r="L464" s="3">
        <f>H464*0.35%</f>
      </c>
      <c r="M464" s="3">
        <v>0.4</v>
      </c>
      <c r="N464" s="3">
        <f>(K464+L464+M464)*20%</f>
      </c>
      <c r="O464" s="3">
        <f>K464+L464+M464+N464</f>
      </c>
      <c r="P464" s="3">
        <v>0</v>
      </c>
      <c r="Q464" s="3">
        <v>0</v>
      </c>
      <c r="R464" s="3">
        <v>0</v>
      </c>
      <c r="S464" s="3">
        <f>R464*20%</f>
      </c>
      <c r="T464" s="3">
        <v>1</v>
      </c>
      <c r="U464" s="3">
        <f>N464+Q464+S464</f>
      </c>
      <c r="V464" s="3">
        <f>I464-J464-O464-P464-Q464-R464-S464-T464</f>
      </c>
      <c r="W464" s="3">
        <f>(V464-AE464)/H464*100</f>
      </c>
      <c r="X464" s="3">
        <f>J464-U464</f>
      </c>
      <c r="Y464" t="s">
        <v>1</v>
      </c>
      <c r="Z464" t="s">
        <v>68</v>
      </c>
      <c r="AF464" s="3">
        <f>V464-AE464</f>
      </c>
      <c r="AG464" t="s">
        <v>59</v>
      </c>
      <c r="AH464" t="s">
        <v>69</v>
      </c>
    </row>
    <row r="465" spans="1:34" x14ac:dyDescent="0.25">
      <c r="A465" s="9">
        <v>46150.5</v>
      </c>
      <c r="B465" s="10" t="s">
        <v>2291</v>
      </c>
      <c r="C465" s="10" t="s">
        <v>1</v>
      </c>
      <c r="D465" s="11" t="s">
        <v>2292</v>
      </c>
      <c r="E465" s="10" t="s">
        <v>101</v>
      </c>
      <c r="F465" s="10">
        <v>1</v>
      </c>
      <c r="G465" s="12">
        <v>327</v>
      </c>
      <c r="H465" s="12">
        <v>395.67</v>
      </c>
      <c r="I465" s="12">
        <f>H465-G465</f>
      </c>
      <c r="J465" s="12">
        <f>I465*16.67%</f>
      </c>
      <c r="K465" s="12">
        <f>(H465*6.9%)-(H465*6.9%)*10%</f>
      </c>
      <c r="L465" s="12">
        <f>H465*0.35%</f>
      </c>
      <c r="M465" s="12">
        <v>0.4</v>
      </c>
      <c r="N465" s="12">
        <f>(K465+L465+M465)*20%</f>
      </c>
      <c r="O465" s="12">
        <f>K465+L465+M465+N465</f>
      </c>
      <c r="P465" s="12">
        <v>0</v>
      </c>
      <c r="Q465" s="12">
        <v>0</v>
      </c>
      <c r="R465" s="12">
        <v>0</v>
      </c>
      <c r="S465" s="12">
        <f>R465*20%</f>
      </c>
      <c r="T465" s="12">
        <v>1</v>
      </c>
      <c r="U465" s="12">
        <f>N465+Q465+S465</f>
      </c>
      <c r="V465" s="12">
        <f>I465-J465-O465-P465-Q465-R465-S465-T465</f>
      </c>
      <c r="W465" s="12">
        <f>(V465-AE465)/H465*100</f>
      </c>
      <c r="X465" s="12">
        <f>J465-U465</f>
      </c>
      <c r="Y465" s="10" t="s">
        <v>1</v>
      </c>
      <c r="Z465" s="10" t="s">
        <v>130</v>
      </c>
      <c r="AA465" s="9">
        <v>46237.5</v>
      </c>
      <c r="AB465" s="10" t="s">
        <v>669</v>
      </c>
      <c r="AC465" s="10" t="s">
        <v>670</v>
      </c>
      <c r="AD465" s="10">
        <v>2</v>
      </c>
      <c r="AE465" s="10"/>
      <c r="AF465" s="12">
        <f>V465-AE465</f>
      </c>
      <c r="AG465" s="10" t="s">
        <v>65</v>
      </c>
      <c r="AH465" s="10" t="s">
        <v>98</v>
      </c>
    </row>
    <row r="466" spans="1:34" x14ac:dyDescent="0.25">
      <c r="A466" s="7">
        <v>46150.5</v>
      </c>
      <c r="B466" t="s">
        <v>2293</v>
      </c>
      <c r="C466" t="s">
        <v>1</v>
      </c>
      <c r="D466" s="8" t="s">
        <v>2294</v>
      </c>
      <c r="E466" t="s">
        <v>63</v>
      </c>
      <c r="F466">
        <v>1</v>
      </c>
      <c r="G466" s="3">
        <v>473</v>
      </c>
      <c r="H466" s="3">
        <v>548.68</v>
      </c>
      <c r="I466" s="3">
        <f>H466-G466</f>
      </c>
      <c r="J466" s="3">
        <f>I466*16.67%</f>
      </c>
      <c r="K466" s="3">
        <f>(H466*6.9%)-(H466*6.9%)*10%</f>
      </c>
      <c r="L466" s="3">
        <f>H466*0.35%</f>
      </c>
      <c r="M466" s="3">
        <v>0.4</v>
      </c>
      <c r="N466" s="3">
        <f>(K466+L466+M466)*20%</f>
      </c>
      <c r="O466" s="3">
        <f>K466+L466+M466+N466</f>
      </c>
      <c r="P466" s="3">
        <v>0</v>
      </c>
      <c r="Q466" s="3">
        <v>0</v>
      </c>
      <c r="R466" s="3">
        <v>0</v>
      </c>
      <c r="S466" s="3">
        <f>R466*20%</f>
      </c>
      <c r="T466" s="3">
        <v>1</v>
      </c>
      <c r="U466" s="3">
        <f>N466+Q466+S466</f>
      </c>
      <c r="V466" s="3">
        <f>I466-J466-O466-P466-Q466-R466-S466-T466</f>
      </c>
      <c r="W466" s="3">
        <f>(V466-AE466)/H466*100</f>
      </c>
      <c r="X466" s="3">
        <f>J466-U466</f>
      </c>
      <c r="Y466" t="s">
        <v>1</v>
      </c>
      <c r="Z466" t="s">
        <v>58</v>
      </c>
      <c r="AF466" s="3">
        <f>V466-AE466</f>
      </c>
      <c r="AG466" t="s">
        <v>59</v>
      </c>
      <c r="AH466" t="s">
        <v>84</v>
      </c>
    </row>
    <row r="467" spans="1:34" x14ac:dyDescent="0.25">
      <c r="A467" s="7">
        <v>46150.5</v>
      </c>
      <c r="B467" t="s">
        <v>2295</v>
      </c>
      <c r="C467" t="s">
        <v>1</v>
      </c>
      <c r="D467" s="8" t="s">
        <v>2296</v>
      </c>
      <c r="E467" t="s">
        <v>77</v>
      </c>
      <c r="F467">
        <v>1</v>
      </c>
      <c r="G467" s="3">
        <v>64</v>
      </c>
      <c r="H467" s="3">
        <v>77.44</v>
      </c>
      <c r="I467" s="3">
        <f>H467-G467</f>
      </c>
      <c r="J467" s="3">
        <f>I467*16.67%</f>
      </c>
      <c r="K467" s="3">
        <f>(H467*6.9%)-(H467*6.9%)*10%</f>
      </c>
      <c r="L467" s="3">
        <f>H467*0.35%</f>
      </c>
      <c r="M467" s="3">
        <v>0.4</v>
      </c>
      <c r="N467" s="3">
        <f>(K467+L467+M467)*20%</f>
      </c>
      <c r="O467" s="3">
        <f>K467+L467+M467+N467</f>
      </c>
      <c r="P467" s="3">
        <v>0</v>
      </c>
      <c r="Q467" s="3">
        <v>0</v>
      </c>
      <c r="R467" s="3">
        <v>0</v>
      </c>
      <c r="S467" s="3">
        <f>R467*20%</f>
      </c>
      <c r="T467" s="3">
        <v>1</v>
      </c>
      <c r="U467" s="3">
        <f>N467+Q467+S467</f>
      </c>
      <c r="V467" s="3">
        <f>I467-J467-O467-P467-Q467-R467-S467-T467</f>
      </c>
      <c r="W467" s="3">
        <f>(V467-AE467)/H467*100</f>
      </c>
      <c r="X467" s="3">
        <f>J467-U467</f>
      </c>
      <c r="Y467" t="s">
        <v>1</v>
      </c>
      <c r="Z467" t="s">
        <v>93</v>
      </c>
      <c r="AF467" s="3">
        <f>V467-AE467</f>
      </c>
      <c r="AG467" t="s">
        <v>94</v>
      </c>
      <c r="AH467" t="s">
        <v>98</v>
      </c>
    </row>
    <row r="468" spans="1:34" x14ac:dyDescent="0.25">
      <c r="A468" s="7">
        <v>46150.5</v>
      </c>
      <c r="B468" t="s">
        <v>2297</v>
      </c>
      <c r="C468" t="s">
        <v>1</v>
      </c>
      <c r="D468" s="8" t="s">
        <v>2298</v>
      </c>
      <c r="E468" t="s">
        <v>72</v>
      </c>
      <c r="F468">
        <v>1</v>
      </c>
      <c r="G468" s="3">
        <v>128</v>
      </c>
      <c r="H468" s="3">
        <v>148.48</v>
      </c>
      <c r="I468" s="3">
        <f>H468-G468</f>
      </c>
      <c r="J468" s="3">
        <f>I468*16.67%</f>
      </c>
      <c r="K468" s="3">
        <f>(H468*6.9%)-(H468*6.9%)*10%</f>
      </c>
      <c r="L468" s="3">
        <f>H468*0.35%</f>
      </c>
      <c r="M468" s="3">
        <v>0.4</v>
      </c>
      <c r="N468" s="3">
        <f>(K468+L468+M468)*20%</f>
      </c>
      <c r="O468" s="3">
        <f>K468+L468+M468+N468</f>
      </c>
      <c r="P468" s="3">
        <v>0</v>
      </c>
      <c r="Q468" s="3">
        <v>0</v>
      </c>
      <c r="R468" s="3">
        <v>0</v>
      </c>
      <c r="S468" s="3">
        <f>R468*20%</f>
      </c>
      <c r="T468" s="3">
        <v>1</v>
      </c>
      <c r="U468" s="3">
        <f>N468+Q468+S468</f>
      </c>
      <c r="V468" s="3">
        <f>I468-J468-O468-P468-Q468-R468-S468-T468</f>
      </c>
      <c r="W468" s="3">
        <f>(V468-AE468)/H468*100</f>
      </c>
      <c r="X468" s="3">
        <f>J468-U468</f>
      </c>
      <c r="Y468" t="s">
        <v>1</v>
      </c>
      <c r="Z468" t="s">
        <v>133</v>
      </c>
      <c r="AF468" s="3">
        <f>V468-AE468</f>
      </c>
      <c r="AG468" t="s">
        <v>65</v>
      </c>
      <c r="AH468" t="s">
        <v>74</v>
      </c>
    </row>
    <row r="469" spans="1:34" x14ac:dyDescent="0.25">
      <c r="A469" s="7">
        <v>46150.5</v>
      </c>
      <c r="B469" t="s">
        <v>2299</v>
      </c>
      <c r="C469" t="s">
        <v>1</v>
      </c>
      <c r="D469" s="8" t="s">
        <v>2300</v>
      </c>
      <c r="E469" t="s">
        <v>77</v>
      </c>
      <c r="F469">
        <v>1</v>
      </c>
      <c r="G469" s="3">
        <v>496</v>
      </c>
      <c r="H469" s="3">
        <v>684.48</v>
      </c>
      <c r="I469" s="3">
        <f>H469-G469</f>
      </c>
      <c r="J469" s="3">
        <f>I469*16.67%</f>
      </c>
      <c r="K469" s="3">
        <f>(H469*6.9%)-(H469*6.9%)*10%</f>
      </c>
      <c r="L469" s="3">
        <f>H469*0.35%</f>
      </c>
      <c r="M469" s="3">
        <v>0.4</v>
      </c>
      <c r="N469" s="3">
        <f>(K469+L469+M469)*20%</f>
      </c>
      <c r="O469" s="3">
        <f>K469+L469+M469+N469</f>
      </c>
      <c r="P469" s="3">
        <v>0</v>
      </c>
      <c r="Q469" s="3">
        <v>0</v>
      </c>
      <c r="R469" s="3">
        <v>0</v>
      </c>
      <c r="S469" s="3">
        <f>R469*20%</f>
      </c>
      <c r="T469" s="3">
        <v>1</v>
      </c>
      <c r="U469" s="3">
        <f>N469+Q469+S469</f>
      </c>
      <c r="V469" s="3">
        <f>I469-J469-O469-P469-Q469-R469-S469-T469</f>
      </c>
      <c r="W469" s="3">
        <f>(V469-AE469)/H469*100</f>
      </c>
      <c r="X469" s="3">
        <f>J469-U469</f>
      </c>
      <c r="Y469" t="s">
        <v>1</v>
      </c>
      <c r="Z469" t="s">
        <v>68</v>
      </c>
      <c r="AF469" s="3">
        <f>V469-AE469</f>
      </c>
      <c r="AG469" t="s">
        <v>59</v>
      </c>
      <c r="AH469" t="s">
        <v>98</v>
      </c>
    </row>
    <row r="470" spans="1:34" x14ac:dyDescent="0.25">
      <c r="A470" s="7">
        <v>46150.5</v>
      </c>
      <c r="B470" t="s">
        <v>2301</v>
      </c>
      <c r="C470" t="s">
        <v>184</v>
      </c>
      <c r="D470" s="8" t="s">
        <v>1</v>
      </c>
      <c r="E470" t="s">
        <v>101</v>
      </c>
      <c r="F470">
        <v>4</v>
      </c>
      <c r="G470" s="3">
        <v>4.8</v>
      </c>
      <c r="H470" s="3">
        <v>6.91</v>
      </c>
      <c r="I470" s="3">
        <f>H470-G470</f>
      </c>
      <c r="J470" s="3">
        <f>I470*16.67%</f>
      </c>
      <c r="K470" s="3">
        <f>(H470*6.9%)-(H470*6.9%)*10%</f>
      </c>
      <c r="L470" s="3">
        <f>H470*0.35%</f>
      </c>
      <c r="M470" s="3">
        <v>0.4</v>
      </c>
      <c r="N470" s="3">
        <f>(K470+L470+M470)*20%</f>
      </c>
      <c r="O470" s="3">
        <f>K470+L470+M470+N470</f>
      </c>
      <c r="P470" s="3">
        <v>0</v>
      </c>
      <c r="Q470" s="3">
        <v>0</v>
      </c>
      <c r="R470" s="3">
        <v>0</v>
      </c>
      <c r="S470" s="3">
        <f>R470*20%</f>
      </c>
      <c r="T470" s="3">
        <v>1</v>
      </c>
      <c r="U470" s="3">
        <f>N470+Q470+S470</f>
      </c>
      <c r="V470" s="3">
        <f>I470-J470-O470-P470-Q470-R470-S470-T470</f>
      </c>
      <c r="W470" s="3">
        <f>(V470-AE470)/H470*100</f>
      </c>
      <c r="X470" s="3">
        <f>J470-U470</f>
      </c>
      <c r="Y470" t="s">
        <v>1</v>
      </c>
      <c r="Z470" t="s">
        <v>184</v>
      </c>
      <c r="AF470" s="3">
        <f>V470-AE470</f>
      </c>
      <c r="AG470" t="s">
        <v>1</v>
      </c>
      <c r="AH470" t="s">
        <v>1</v>
      </c>
    </row>
    <row r="471" spans="1:34" x14ac:dyDescent="0.25">
      <c r="A471" s="7">
        <v>46149.5</v>
      </c>
      <c r="B471" t="s">
        <v>2302</v>
      </c>
      <c r="C471" t="s">
        <v>1</v>
      </c>
      <c r="D471" s="8" t="s">
        <v>2303</v>
      </c>
      <c r="E471" t="s">
        <v>101</v>
      </c>
      <c r="F471">
        <v>1</v>
      </c>
      <c r="G471" s="3">
        <v>265</v>
      </c>
      <c r="H471" s="3">
        <v>307.4</v>
      </c>
      <c r="I471" s="3">
        <f>H471-G471</f>
      </c>
      <c r="J471" s="3">
        <f>I471*16.67%</f>
      </c>
      <c r="K471" s="3">
        <f>(H471*6.9%)-(H471*6.9%)*10%</f>
      </c>
      <c r="L471" s="3">
        <f>H471*0.35%</f>
      </c>
      <c r="M471" s="3">
        <v>0.4</v>
      </c>
      <c r="N471" s="3">
        <f>(K471+L471+M471)*20%</f>
      </c>
      <c r="O471" s="3">
        <f>K471+L471+M471+N471</f>
      </c>
      <c r="P471" s="3">
        <v>0</v>
      </c>
      <c r="Q471" s="3">
        <v>0</v>
      </c>
      <c r="R471" s="3">
        <v>0</v>
      </c>
      <c r="S471" s="3">
        <f>R471*20%</f>
      </c>
      <c r="T471" s="3">
        <v>1</v>
      </c>
      <c r="U471" s="3">
        <f>N471+Q471+S471</f>
      </c>
      <c r="V471" s="3">
        <f>I471-J471-O471-P471-Q471-R471-S471-T471</f>
      </c>
      <c r="W471" s="3">
        <f>(V471-AE471)/H471*100</f>
      </c>
      <c r="X471" s="3">
        <f>J471-U471</f>
      </c>
      <c r="Y471" t="s">
        <v>1</v>
      </c>
      <c r="Z471" t="s">
        <v>130</v>
      </c>
      <c r="AF471" s="3">
        <f>V471-AE471</f>
      </c>
      <c r="AG471" t="s">
        <v>65</v>
      </c>
      <c r="AH471" t="s">
        <v>104</v>
      </c>
    </row>
    <row r="472" spans="1:34" x14ac:dyDescent="0.25">
      <c r="A472" s="7">
        <v>46149.5</v>
      </c>
      <c r="B472" t="s">
        <v>2304</v>
      </c>
      <c r="C472" t="s">
        <v>1</v>
      </c>
      <c r="D472" s="8" t="s">
        <v>2305</v>
      </c>
      <c r="E472" t="s">
        <v>77</v>
      </c>
      <c r="F472">
        <v>1</v>
      </c>
      <c r="G472" s="3">
        <v>154</v>
      </c>
      <c r="H472" s="3">
        <v>206.36</v>
      </c>
      <c r="I472" s="3">
        <f>H472-G472</f>
      </c>
      <c r="J472" s="3">
        <f>I472*16.67%</f>
      </c>
      <c r="K472" s="3">
        <f>(H472*6.9%)-(H472*6.9%)*10%</f>
      </c>
      <c r="L472" s="3">
        <f>H472*0.35%</f>
      </c>
      <c r="M472" s="3">
        <v>0.4</v>
      </c>
      <c r="N472" s="3">
        <f>(K472+L472+M472)*20%</f>
      </c>
      <c r="O472" s="3">
        <f>K472+L472+M472+N472</f>
      </c>
      <c r="P472" s="3">
        <v>0</v>
      </c>
      <c r="Q472" s="3">
        <v>0</v>
      </c>
      <c r="R472" s="3">
        <v>0</v>
      </c>
      <c r="S472" s="3">
        <f>R472*20%</f>
      </c>
      <c r="T472" s="3">
        <v>1</v>
      </c>
      <c r="U472" s="3">
        <f>N472+Q472+S472</f>
      </c>
      <c r="V472" s="3">
        <f>I472-J472-O472-P472-Q472-R472-S472-T472</f>
      </c>
      <c r="W472" s="3">
        <f>(V472-AE472)/H472*100</f>
      </c>
      <c r="X472" s="3">
        <f>J472-U472</f>
      </c>
      <c r="Y472" t="s">
        <v>1</v>
      </c>
      <c r="Z472" t="s">
        <v>233</v>
      </c>
      <c r="AF472" s="3">
        <f>V472-AE472</f>
      </c>
      <c r="AG472" t="s">
        <v>65</v>
      </c>
      <c r="AH472" t="s">
        <v>87</v>
      </c>
    </row>
    <row r="473" spans="1:34" x14ac:dyDescent="0.25">
      <c r="A473" s="7">
        <v>46147.5</v>
      </c>
      <c r="B473" t="s">
        <v>2306</v>
      </c>
      <c r="C473" t="s">
        <v>1</v>
      </c>
      <c r="D473" s="8" t="s">
        <v>2307</v>
      </c>
      <c r="E473" t="s">
        <v>101</v>
      </c>
      <c r="F473">
        <v>1</v>
      </c>
      <c r="G473" s="3">
        <v>188</v>
      </c>
      <c r="H473" s="3">
        <v>229.36</v>
      </c>
      <c r="I473" s="3">
        <f>H473-G473</f>
      </c>
      <c r="J473" s="3">
        <f>I473*16.67%</f>
      </c>
      <c r="K473" s="3">
        <f>(H473*6.9%)-(H473*6.9%)*10%</f>
      </c>
      <c r="L473" s="3">
        <f>H473*0.35%</f>
      </c>
      <c r="M473" s="3">
        <v>0.4</v>
      </c>
      <c r="N473" s="3">
        <f>(K473+L473+M473)*20%</f>
      </c>
      <c r="O473" s="3">
        <f>K473+L473+M473+N473</f>
      </c>
      <c r="P473" s="3">
        <v>0</v>
      </c>
      <c r="Q473" s="3">
        <v>0</v>
      </c>
      <c r="R473" s="3">
        <v>0</v>
      </c>
      <c r="S473" s="3">
        <f>R473*20%</f>
      </c>
      <c r="T473" s="3">
        <v>1</v>
      </c>
      <c r="U473" s="3">
        <f>N473+Q473+S473</f>
      </c>
      <c r="V473" s="3">
        <f>I473-J473-O473-P473-Q473-R473-S473-T473</f>
      </c>
      <c r="W473" s="3">
        <f>(V473-AE473)/H473*100</f>
      </c>
      <c r="X473" s="3">
        <f>J473-U473</f>
      </c>
      <c r="Y473" t="s">
        <v>1</v>
      </c>
      <c r="Z473" t="s">
        <v>233</v>
      </c>
      <c r="AF473" s="3">
        <f>V473-AE473</f>
      </c>
      <c r="AG473" t="s">
        <v>65</v>
      </c>
      <c r="AH473" t="s">
        <v>87</v>
      </c>
    </row>
    <row r="474" spans="1:34" x14ac:dyDescent="0.25">
      <c r="A474" s="7">
        <v>46147.5</v>
      </c>
      <c r="B474" t="s">
        <v>2308</v>
      </c>
      <c r="C474" t="s">
        <v>1</v>
      </c>
      <c r="D474" s="8" t="s">
        <v>2309</v>
      </c>
      <c r="E474" t="s">
        <v>57</v>
      </c>
      <c r="F474">
        <v>1</v>
      </c>
      <c r="G474" s="3">
        <v>563</v>
      </c>
      <c r="H474" s="3">
        <v>788.2</v>
      </c>
      <c r="I474" s="3">
        <f>H474-G474</f>
      </c>
      <c r="J474" s="3">
        <f>I474*16.67%</f>
      </c>
      <c r="K474" s="3">
        <f>(H474*6.9%)-(H474*6.9%)*10%</f>
      </c>
      <c r="L474" s="3">
        <f>H474*0.35%</f>
      </c>
      <c r="M474" s="3">
        <v>0.4</v>
      </c>
      <c r="N474" s="3">
        <f>(K474+L474+M474)*20%</f>
      </c>
      <c r="O474" s="3">
        <f>K474+L474+M474+N474</f>
      </c>
      <c r="P474" s="3">
        <v>0</v>
      </c>
      <c r="Q474" s="3">
        <v>0</v>
      </c>
      <c r="R474" s="3">
        <v>0</v>
      </c>
      <c r="S474" s="3">
        <f>R474*20%</f>
      </c>
      <c r="T474" s="3">
        <v>1</v>
      </c>
      <c r="U474" s="3">
        <f>N474+Q474+S474</f>
      </c>
      <c r="V474" s="3">
        <f>I474-J474-O474-P474-Q474-R474-S474-T474</f>
      </c>
      <c r="W474" s="3">
        <f>(V474-AE474)/H474*100</f>
      </c>
      <c r="X474" s="3">
        <f>J474-U474</f>
      </c>
      <c r="Y474" t="s">
        <v>1</v>
      </c>
      <c r="Z474" t="s">
        <v>80</v>
      </c>
      <c r="AF474" s="3">
        <f>V474-AE474</f>
      </c>
      <c r="AG474" t="s">
        <v>59</v>
      </c>
      <c r="AH474" t="s">
        <v>60</v>
      </c>
    </row>
    <row r="475" spans="1:34" x14ac:dyDescent="0.25">
      <c r="A475" s="7">
        <v>46147.5</v>
      </c>
      <c r="B475" t="s">
        <v>2310</v>
      </c>
      <c r="C475" t="s">
        <v>1</v>
      </c>
      <c r="D475" s="8" t="s">
        <v>2311</v>
      </c>
      <c r="E475" t="s">
        <v>63</v>
      </c>
      <c r="F475">
        <v>1</v>
      </c>
      <c r="G475" s="3">
        <v>754</v>
      </c>
      <c r="H475" s="3">
        <v>897.26</v>
      </c>
      <c r="I475" s="3">
        <f>H475-G475</f>
      </c>
      <c r="J475" s="3">
        <f>I475*16.67%</f>
      </c>
      <c r="K475" s="3">
        <f>(H475*6.9%)-(H475*6.9%)*10%</f>
      </c>
      <c r="L475" s="3">
        <f>H475*0.35%</f>
      </c>
      <c r="M475" s="3">
        <v>0.4</v>
      </c>
      <c r="N475" s="3">
        <f>(K475+L475+M475)*20%</f>
      </c>
      <c r="O475" s="3">
        <f>K475+L475+M475+N475</f>
      </c>
      <c r="P475" s="3">
        <v>0</v>
      </c>
      <c r="Q475" s="3">
        <v>0</v>
      </c>
      <c r="R475" s="3">
        <v>0</v>
      </c>
      <c r="S475" s="3">
        <f>R475*20%</f>
      </c>
      <c r="T475" s="3">
        <v>1</v>
      </c>
      <c r="U475" s="3">
        <f>N475+Q475+S475</f>
      </c>
      <c r="V475" s="3">
        <f>I475-J475-O475-P475-Q475-R475-S475-T475</f>
      </c>
      <c r="W475" s="3">
        <f>(V475-AE475)/H475*100</f>
      </c>
      <c r="X475" s="3">
        <f>J475-U475</f>
      </c>
      <c r="Y475" t="s">
        <v>1</v>
      </c>
      <c r="Z475" t="s">
        <v>83</v>
      </c>
      <c r="AF475" s="3">
        <f>V475-AE475</f>
      </c>
      <c r="AG475" t="s">
        <v>59</v>
      </c>
      <c r="AH475" t="s">
        <v>60</v>
      </c>
    </row>
    <row r="476" spans="1:34" x14ac:dyDescent="0.25">
      <c r="A476" s="7">
        <v>46147.5</v>
      </c>
      <c r="B476" t="s">
        <v>2312</v>
      </c>
      <c r="C476" t="s">
        <v>1</v>
      </c>
      <c r="D476" s="8" t="s">
        <v>2313</v>
      </c>
      <c r="E476" t="s">
        <v>101</v>
      </c>
      <c r="F476">
        <v>1</v>
      </c>
      <c r="G476" s="3">
        <v>151</v>
      </c>
      <c r="H476" s="3">
        <v>179.69</v>
      </c>
      <c r="I476" s="3">
        <f>H476-G476</f>
      </c>
      <c r="J476" s="3">
        <f>I476*16.67%</f>
      </c>
      <c r="K476" s="3">
        <f>(H476*6.9%)-(H476*6.9%)*10%</f>
      </c>
      <c r="L476" s="3">
        <f>H476*0.35%</f>
      </c>
      <c r="M476" s="3">
        <v>0.4</v>
      </c>
      <c r="N476" s="3">
        <f>(K476+L476+M476)*20%</f>
      </c>
      <c r="O476" s="3">
        <f>K476+L476+M476+N476</f>
      </c>
      <c r="P476" s="3">
        <v>0</v>
      </c>
      <c r="Q476" s="3">
        <v>0</v>
      </c>
      <c r="R476" s="3">
        <v>0</v>
      </c>
      <c r="S476" s="3">
        <f>R476*20%</f>
      </c>
      <c r="T476" s="3">
        <v>1</v>
      </c>
      <c r="U476" s="3">
        <f>N476+Q476+S476</f>
      </c>
      <c r="V476" s="3">
        <f>I476-J476-O476-P476-Q476-R476-S476-T476</f>
      </c>
      <c r="W476" s="3">
        <f>(V476-AE476)/H476*100</f>
      </c>
      <c r="X476" s="3">
        <f>J476-U476</f>
      </c>
      <c r="Y476" t="s">
        <v>1</v>
      </c>
      <c r="Z476" t="s">
        <v>291</v>
      </c>
      <c r="AF476" s="3">
        <f>V476-AE476</f>
      </c>
      <c r="AG476" t="s">
        <v>125</v>
      </c>
      <c r="AH476" t="s">
        <v>74</v>
      </c>
    </row>
    <row r="477" spans="1:34" x14ac:dyDescent="0.25">
      <c r="A477" s="7">
        <v>46147.5</v>
      </c>
      <c r="B477" t="s">
        <v>2314</v>
      </c>
      <c r="C477" t="s">
        <v>176</v>
      </c>
      <c r="D477" s="8" t="s">
        <v>1</v>
      </c>
      <c r="E477" t="s">
        <v>77</v>
      </c>
      <c r="F477">
        <v>1</v>
      </c>
      <c r="G477" s="3">
        <v>0.15</v>
      </c>
      <c r="H477" s="3">
        <v>0.21</v>
      </c>
      <c r="I477" s="3">
        <f>H477-G477</f>
      </c>
      <c r="J477" s="3">
        <f>I477*16.67%</f>
      </c>
      <c r="K477" s="3">
        <f>(H477*6.9%)-(H477*6.9%)*10%</f>
      </c>
      <c r="L477" s="3">
        <f>H477*0.35%</f>
      </c>
      <c r="M477" s="3">
        <v>0.4</v>
      </c>
      <c r="N477" s="3">
        <f>(K477+L477+M477)*20%</f>
      </c>
      <c r="O477" s="3">
        <f>K477+L477+M477+N477</f>
      </c>
      <c r="P477" s="3">
        <v>0</v>
      </c>
      <c r="Q477" s="3">
        <v>0</v>
      </c>
      <c r="R477" s="3">
        <v>0</v>
      </c>
      <c r="S477" s="3">
        <f>R477*20%</f>
      </c>
      <c r="T477" s="3">
        <v>1</v>
      </c>
      <c r="U477" s="3">
        <f>N477+Q477+S477</f>
      </c>
      <c r="V477" s="3">
        <f>I477-J477-O477-P477-Q477-R477-S477-T477</f>
      </c>
      <c r="W477" s="3">
        <f>(V477-AE477)/H477*100</f>
      </c>
      <c r="X477" s="3">
        <f>J477-U477</f>
      </c>
      <c r="Y477" t="s">
        <v>1</v>
      </c>
      <c r="Z477" t="s">
        <v>176</v>
      </c>
      <c r="AF477" s="3">
        <f>V477-AE477</f>
      </c>
      <c r="AG477" t="s">
        <v>1</v>
      </c>
      <c r="AH477" t="s">
        <v>1</v>
      </c>
    </row>
    <row r="478" spans="1:34" x14ac:dyDescent="0.25">
      <c r="A478" s="7">
        <v>46147.5</v>
      </c>
      <c r="B478" t="s">
        <v>2315</v>
      </c>
      <c r="C478" t="s">
        <v>184</v>
      </c>
      <c r="D478" s="8" t="s">
        <v>1</v>
      </c>
      <c r="E478" t="s">
        <v>101</v>
      </c>
      <c r="F478">
        <v>4</v>
      </c>
      <c r="G478" s="3">
        <v>4.8</v>
      </c>
      <c r="H478" s="3">
        <v>6.91</v>
      </c>
      <c r="I478" s="3">
        <f>H478-G478</f>
      </c>
      <c r="J478" s="3">
        <f>I478*16.67%</f>
      </c>
      <c r="K478" s="3">
        <f>(H478*6.9%)-(H478*6.9%)*10%</f>
      </c>
      <c r="L478" s="3">
        <f>H478*0.35%</f>
      </c>
      <c r="M478" s="3">
        <v>0.4</v>
      </c>
      <c r="N478" s="3">
        <f>(K478+L478+M478)*20%</f>
      </c>
      <c r="O478" s="3">
        <f>K478+L478+M478+N478</f>
      </c>
      <c r="P478" s="3">
        <v>0</v>
      </c>
      <c r="Q478" s="3">
        <v>0</v>
      </c>
      <c r="R478" s="3">
        <v>0</v>
      </c>
      <c r="S478" s="3">
        <f>R478*20%</f>
      </c>
      <c r="T478" s="3">
        <v>1</v>
      </c>
      <c r="U478" s="3">
        <f>N478+Q478+S478</f>
      </c>
      <c r="V478" s="3">
        <f>I478-J478-O478-P478-Q478-R478-S478-T478</f>
      </c>
      <c r="W478" s="3">
        <f>(V478-AE478)/H478*100</f>
      </c>
      <c r="X478" s="3">
        <f>J478-U478</f>
      </c>
      <c r="Y478" t="s">
        <v>1</v>
      </c>
      <c r="Z478" t="s">
        <v>184</v>
      </c>
      <c r="AF478" s="3">
        <f>V478-AE478</f>
      </c>
      <c r="AG478" t="s">
        <v>1</v>
      </c>
      <c r="AH478" t="s">
        <v>1</v>
      </c>
    </row>
    <row r="479" spans="1:34" x14ac:dyDescent="0.25">
      <c r="A479" s="7">
        <v>46147.5</v>
      </c>
      <c r="B479" t="s">
        <v>2316</v>
      </c>
      <c r="C479" t="s">
        <v>1</v>
      </c>
      <c r="D479" s="8" t="s">
        <v>1</v>
      </c>
      <c r="E479" t="s">
        <v>63</v>
      </c>
      <c r="F479">
        <v>1</v>
      </c>
      <c r="G479" s="3">
        <v>318</v>
      </c>
      <c r="H479" s="3">
        <v>400.68</v>
      </c>
      <c r="I479" s="3">
        <f>H479-G479</f>
      </c>
      <c r="J479" s="3">
        <f>I479*16.67%</f>
      </c>
      <c r="K479" s="3">
        <f>(H479*6.9%)-(H479*6.9%)*10%</f>
      </c>
      <c r="L479" s="3">
        <f>H479*0.35%</f>
      </c>
      <c r="M479" s="3">
        <v>0.4</v>
      </c>
      <c r="N479" s="3">
        <f>(K479+L479+M479)*20%</f>
      </c>
      <c r="O479" s="3">
        <f>K479+L479+M479+N479</f>
      </c>
      <c r="P479" s="3">
        <v>0</v>
      </c>
      <c r="Q479" s="3">
        <v>0</v>
      </c>
      <c r="R479" s="3">
        <v>0</v>
      </c>
      <c r="S479" s="3">
        <f>R479*20%</f>
      </c>
      <c r="T479" s="3">
        <v>1</v>
      </c>
      <c r="U479" s="3">
        <f>N479+Q479+S479</f>
      </c>
      <c r="V479" s="3">
        <f>I479-J479-O479-P479-Q479-R479-S479-T479</f>
      </c>
      <c r="W479" s="3">
        <f>(V479-AE479)/H479*100</f>
      </c>
      <c r="X479" s="3">
        <f>J479-U479</f>
      </c>
      <c r="Y479" t="s">
        <v>1</v>
      </c>
      <c r="Z479" t="s">
        <v>1</v>
      </c>
      <c r="AF479" s="3">
        <f>V479-AE479</f>
      </c>
      <c r="AG479" t="s">
        <v>1</v>
      </c>
      <c r="AH479" t="s">
        <v>1</v>
      </c>
    </row>
    <row r="480" spans="1:34" x14ac:dyDescent="0.25">
      <c r="A480" s="7">
        <v>46146.5</v>
      </c>
      <c r="B480" t="s">
        <v>2317</v>
      </c>
      <c r="C480" t="s">
        <v>176</v>
      </c>
      <c r="D480" s="8" t="s">
        <v>1</v>
      </c>
      <c r="E480" t="s">
        <v>77</v>
      </c>
      <c r="F480">
        <v>3</v>
      </c>
      <c r="G480" s="3">
        <v>0.45</v>
      </c>
      <c r="H480" s="3">
        <v>0.53</v>
      </c>
      <c r="I480" s="3">
        <f>H480-G480</f>
      </c>
      <c r="J480" s="3">
        <f>I480*16.67%</f>
      </c>
      <c r="K480" s="3">
        <f>(H480*6.9%)-(H480*6.9%)*10%</f>
      </c>
      <c r="L480" s="3">
        <f>H480*0.35%</f>
      </c>
      <c r="M480" s="3">
        <v>0.4</v>
      </c>
      <c r="N480" s="3">
        <f>(K480+L480+M480)*20%</f>
      </c>
      <c r="O480" s="3">
        <f>K480+L480+M480+N480</f>
      </c>
      <c r="P480" s="3">
        <v>0</v>
      </c>
      <c r="Q480" s="3">
        <v>0</v>
      </c>
      <c r="R480" s="3">
        <v>0</v>
      </c>
      <c r="S480" s="3">
        <f>R480*20%</f>
      </c>
      <c r="T480" s="3">
        <v>1</v>
      </c>
      <c r="U480" s="3">
        <f>N480+Q480+S480</f>
      </c>
      <c r="V480" s="3">
        <f>I480-J480-O480-P480-Q480-R480-S480-T480</f>
      </c>
      <c r="W480" s="3">
        <f>(V480-AE480)/H480*100</f>
      </c>
      <c r="X480" s="3">
        <f>J480-U480</f>
      </c>
      <c r="Y480" t="s">
        <v>1</v>
      </c>
      <c r="Z480" t="s">
        <v>176</v>
      </c>
      <c r="AF480" s="3">
        <f>V480-AE480</f>
      </c>
      <c r="AG480" t="s">
        <v>1</v>
      </c>
      <c r="AH480" t="s">
        <v>1</v>
      </c>
    </row>
    <row r="481" spans="1:34" x14ac:dyDescent="0.25">
      <c r="A481" s="7">
        <v>46145.5</v>
      </c>
      <c r="B481" t="s">
        <v>2318</v>
      </c>
      <c r="C481" t="s">
        <v>1</v>
      </c>
      <c r="D481" s="8" t="s">
        <v>2319</v>
      </c>
      <c r="E481" t="s">
        <v>72</v>
      </c>
      <c r="F481">
        <v>1</v>
      </c>
      <c r="G481" s="3">
        <v>257</v>
      </c>
      <c r="H481" s="3">
        <v>354.66</v>
      </c>
      <c r="I481" s="3">
        <f>H481-G481</f>
      </c>
      <c r="J481" s="3">
        <f>I481*16.67%</f>
      </c>
      <c r="K481" s="3">
        <f>(H481*6.9%)-(H481*6.9%)*10%</f>
      </c>
      <c r="L481" s="3">
        <f>H481*0.35%</f>
      </c>
      <c r="M481" s="3">
        <v>0.4</v>
      </c>
      <c r="N481" s="3">
        <f>(K481+L481+M481)*20%</f>
      </c>
      <c r="O481" s="3">
        <f>K481+L481+M481+N481</f>
      </c>
      <c r="P481" s="3">
        <v>0</v>
      </c>
      <c r="Q481" s="3">
        <v>0</v>
      </c>
      <c r="R481" s="3">
        <v>0</v>
      </c>
      <c r="S481" s="3">
        <f>R481*20%</f>
      </c>
      <c r="T481" s="3">
        <v>1</v>
      </c>
      <c r="U481" s="3">
        <f>N481+Q481+S481</f>
      </c>
      <c r="V481" s="3">
        <f>I481-J481-O481-P481-Q481-R481-S481-T481</f>
      </c>
      <c r="W481" s="3">
        <f>(V481-AE481)/H481*100</f>
      </c>
      <c r="X481" s="3">
        <f>J481-U481</f>
      </c>
      <c r="Y481" t="s">
        <v>1</v>
      </c>
      <c r="Z481" t="s">
        <v>124</v>
      </c>
      <c r="AF481" s="3">
        <f>V481-AE481</f>
      </c>
      <c r="AG481" t="s">
        <v>125</v>
      </c>
      <c r="AH481" t="s">
        <v>69</v>
      </c>
    </row>
    <row r="482" spans="1:34" x14ac:dyDescent="0.25">
      <c r="A482" s="7">
        <v>46145.5</v>
      </c>
      <c r="B482" t="s">
        <v>2320</v>
      </c>
      <c r="C482" t="s">
        <v>181</v>
      </c>
      <c r="D482" s="8" t="s">
        <v>1</v>
      </c>
      <c r="E482" t="s">
        <v>72</v>
      </c>
      <c r="F482">
        <v>3</v>
      </c>
      <c r="G482" s="3">
        <v>5.7</v>
      </c>
      <c r="H482" s="3">
        <v>6.73</v>
      </c>
      <c r="I482" s="3">
        <f>H482-G482</f>
      </c>
      <c r="J482" s="3">
        <f>I482*16.67%</f>
      </c>
      <c r="K482" s="3">
        <f>(H482*6.9%)-(H482*6.9%)*10%</f>
      </c>
      <c r="L482" s="3">
        <f>H482*0.35%</f>
      </c>
      <c r="M482" s="3">
        <v>0.4</v>
      </c>
      <c r="N482" s="3">
        <f>(K482+L482+M482)*20%</f>
      </c>
      <c r="O482" s="3">
        <f>K482+L482+M482+N482</f>
      </c>
      <c r="P482" s="3">
        <v>0</v>
      </c>
      <c r="Q482" s="3">
        <v>0</v>
      </c>
      <c r="R482" s="3">
        <v>0</v>
      </c>
      <c r="S482" s="3">
        <f>R482*20%</f>
      </c>
      <c r="T482" s="3">
        <v>1</v>
      </c>
      <c r="U482" s="3">
        <f>N482+Q482+S482</f>
      </c>
      <c r="V482" s="3">
        <f>I482-J482-O482-P482-Q482-R482-S482-T482</f>
      </c>
      <c r="W482" s="3">
        <f>(V482-AE482)/H482*100</f>
      </c>
      <c r="X482" s="3">
        <f>J482-U482</f>
      </c>
      <c r="Y482" t="s">
        <v>1</v>
      </c>
      <c r="Z482" t="s">
        <v>181</v>
      </c>
      <c r="AF482" s="3">
        <f>V482-AE482</f>
      </c>
      <c r="AG482" t="s">
        <v>1</v>
      </c>
      <c r="AH482" t="s">
        <v>1</v>
      </c>
    </row>
    <row r="483" spans="1:34" x14ac:dyDescent="0.25">
      <c r="A483" s="7">
        <v>46144.5</v>
      </c>
      <c r="B483" t="s">
        <v>2321</v>
      </c>
      <c r="C483" t="s">
        <v>173</v>
      </c>
      <c r="D483" s="8" t="s">
        <v>1</v>
      </c>
      <c r="E483" t="s">
        <v>63</v>
      </c>
      <c r="F483">
        <v>2</v>
      </c>
      <c r="G483" s="3">
        <v>8.5</v>
      </c>
      <c r="H483" s="3">
        <v>10.46</v>
      </c>
      <c r="I483" s="3">
        <f>H483-G483</f>
      </c>
      <c r="J483" s="3">
        <f>I483*16.67%</f>
      </c>
      <c r="K483" s="3">
        <f>(H483*6.9%)-(H483*6.9%)*10%</f>
      </c>
      <c r="L483" s="3">
        <f>H483*0.35%</f>
      </c>
      <c r="M483" s="3">
        <v>0.4</v>
      </c>
      <c r="N483" s="3">
        <f>(K483+L483+M483)*20%</f>
      </c>
      <c r="O483" s="3">
        <f>K483+L483+M483+N483</f>
      </c>
      <c r="P483" s="3">
        <v>0</v>
      </c>
      <c r="Q483" s="3">
        <v>0</v>
      </c>
      <c r="R483" s="3">
        <v>0</v>
      </c>
      <c r="S483" s="3">
        <f>R483*20%</f>
      </c>
      <c r="T483" s="3">
        <v>1</v>
      </c>
      <c r="U483" s="3">
        <f>N483+Q483+S483</f>
      </c>
      <c r="V483" s="3">
        <f>I483-J483-O483-P483-Q483-R483-S483-T483</f>
      </c>
      <c r="W483" s="3">
        <f>(V483-AE483)/H483*100</f>
      </c>
      <c r="X483" s="3">
        <f>J483-U483</f>
      </c>
      <c r="Y483" t="s">
        <v>1</v>
      </c>
      <c r="Z483" t="s">
        <v>173</v>
      </c>
      <c r="AF483" s="3">
        <f>V483-AE483</f>
      </c>
      <c r="AG483" t="s">
        <v>1</v>
      </c>
      <c r="AH483" t="s">
        <v>1</v>
      </c>
    </row>
    <row r="484" spans="1:34" x14ac:dyDescent="0.25">
      <c r="A484" s="7">
        <v>46144.5</v>
      </c>
      <c r="B484" t="s">
        <v>2322</v>
      </c>
      <c r="C484" t="s">
        <v>176</v>
      </c>
      <c r="D484" s="8" t="s">
        <v>1</v>
      </c>
      <c r="E484" t="s">
        <v>77</v>
      </c>
      <c r="F484">
        <v>2</v>
      </c>
      <c r="G484" s="3">
        <v>0.3</v>
      </c>
      <c r="H484" s="3">
        <v>0.43</v>
      </c>
      <c r="I484" s="3">
        <f>H484-G484</f>
      </c>
      <c r="J484" s="3">
        <f>I484*16.67%</f>
      </c>
      <c r="K484" s="3">
        <f>(H484*6.9%)-(H484*6.9%)*10%</f>
      </c>
      <c r="L484" s="3">
        <f>H484*0.35%</f>
      </c>
      <c r="M484" s="3">
        <v>0.4</v>
      </c>
      <c r="N484" s="3">
        <f>(K484+L484+M484)*20%</f>
      </c>
      <c r="O484" s="3">
        <f>K484+L484+M484+N484</f>
      </c>
      <c r="P484" s="3">
        <v>0</v>
      </c>
      <c r="Q484" s="3">
        <v>0</v>
      </c>
      <c r="R484" s="3">
        <v>0</v>
      </c>
      <c r="S484" s="3">
        <f>R484*20%</f>
      </c>
      <c r="T484" s="3">
        <v>1</v>
      </c>
      <c r="U484" s="3">
        <f>N484+Q484+S484</f>
      </c>
      <c r="V484" s="3">
        <f>I484-J484-O484-P484-Q484-R484-S484-T484</f>
      </c>
      <c r="W484" s="3">
        <f>(V484-AE484)/H484*100</f>
      </c>
      <c r="X484" s="3">
        <f>J484-U484</f>
      </c>
      <c r="Y484" t="s">
        <v>1</v>
      </c>
      <c r="Z484" t="s">
        <v>176</v>
      </c>
      <c r="AF484" s="3">
        <f>V484-AE484</f>
      </c>
      <c r="AG484" t="s">
        <v>1</v>
      </c>
      <c r="AH484" t="s">
        <v>1</v>
      </c>
    </row>
    <row r="485" spans="1:34" x14ac:dyDescent="0.25">
      <c r="A485" s="7">
        <v>46142.5</v>
      </c>
      <c r="B485" t="s">
        <v>2323</v>
      </c>
      <c r="C485" t="s">
        <v>184</v>
      </c>
      <c r="D485" s="8" t="s">
        <v>1</v>
      </c>
      <c r="E485" t="s">
        <v>101</v>
      </c>
      <c r="F485">
        <v>3</v>
      </c>
      <c r="G485" s="3">
        <v>3.6</v>
      </c>
      <c r="H485" s="3">
        <v>4.46</v>
      </c>
      <c r="I485" s="3">
        <f>H485-G485</f>
      </c>
      <c r="J485" s="3">
        <f>I485*16.67%</f>
      </c>
      <c r="K485" s="3">
        <f>(H485*6.9%)-(H485*6.9%)*10%</f>
      </c>
      <c r="L485" s="3">
        <f>H485*0.35%</f>
      </c>
      <c r="M485" s="3">
        <v>0.4</v>
      </c>
      <c r="N485" s="3">
        <f>(K485+L485+M485)*20%</f>
      </c>
      <c r="O485" s="3">
        <f>K485+L485+M485+N485</f>
      </c>
      <c r="P485" s="3">
        <v>0</v>
      </c>
      <c r="Q485" s="3">
        <v>0</v>
      </c>
      <c r="R485" s="3">
        <v>0</v>
      </c>
      <c r="S485" s="3">
        <f>R485*20%</f>
      </c>
      <c r="T485" s="3">
        <v>1</v>
      </c>
      <c r="U485" s="3">
        <f>N485+Q485+S485</f>
      </c>
      <c r="V485" s="3">
        <f>I485-J485-O485-P485-Q485-R485-S485-T485</f>
      </c>
      <c r="W485" s="3">
        <f>(V485-AE485)/H485*100</f>
      </c>
      <c r="X485" s="3">
        <f>J485-U485</f>
      </c>
      <c r="Y485" t="s">
        <v>1</v>
      </c>
      <c r="Z485" t="s">
        <v>184</v>
      </c>
      <c r="AF485" s="3">
        <f>V485-AE485</f>
      </c>
      <c r="AG485" t="s">
        <v>1</v>
      </c>
      <c r="AH485" t="s">
        <v>1</v>
      </c>
    </row>
    <row r="486" spans="1:34" x14ac:dyDescent="0.25">
      <c r="A486" s="7">
        <v>46142.5</v>
      </c>
      <c r="B486" t="s">
        <v>2324</v>
      </c>
      <c r="C486" t="s">
        <v>176</v>
      </c>
      <c r="D486" s="8" t="s">
        <v>1</v>
      </c>
      <c r="E486" t="s">
        <v>77</v>
      </c>
      <c r="F486">
        <v>2</v>
      </c>
      <c r="G486" s="3">
        <v>0.3</v>
      </c>
      <c r="H486" s="3">
        <v>0.42</v>
      </c>
      <c r="I486" s="3">
        <f>H486-G486</f>
      </c>
      <c r="J486" s="3">
        <f>I486*16.67%</f>
      </c>
      <c r="K486" s="3">
        <f>(H486*6.9%)-(H486*6.9%)*10%</f>
      </c>
      <c r="L486" s="3">
        <f>H486*0.35%</f>
      </c>
      <c r="M486" s="3">
        <v>0.4</v>
      </c>
      <c r="N486" s="3">
        <f>(K486+L486+M486)*20%</f>
      </c>
      <c r="O486" s="3">
        <f>K486+L486+M486+N486</f>
      </c>
      <c r="P486" s="3">
        <v>0</v>
      </c>
      <c r="Q486" s="3">
        <v>0</v>
      </c>
      <c r="R486" s="3">
        <v>0</v>
      </c>
      <c r="S486" s="3">
        <f>R486*20%</f>
      </c>
      <c r="T486" s="3">
        <v>1</v>
      </c>
      <c r="U486" s="3">
        <f>N486+Q486+S486</f>
      </c>
      <c r="V486" s="3">
        <f>I486-J486-O486-P486-Q486-R486-S486-T486</f>
      </c>
      <c r="W486" s="3">
        <f>(V486-AE486)/H486*100</f>
      </c>
      <c r="X486" s="3">
        <f>J486-U486</f>
      </c>
      <c r="Y486" t="s">
        <v>1</v>
      </c>
      <c r="Z486" t="s">
        <v>176</v>
      </c>
      <c r="AF486" s="3">
        <f>V486-AE486</f>
      </c>
      <c r="AG486" t="s">
        <v>1</v>
      </c>
      <c r="AH486" t="s">
        <v>1</v>
      </c>
    </row>
    <row r="487" spans="1:34" x14ac:dyDescent="0.25">
      <c r="A487" s="7">
        <v>46142.5</v>
      </c>
      <c r="B487" t="s">
        <v>2325</v>
      </c>
      <c r="C487" t="s">
        <v>253</v>
      </c>
      <c r="D487" s="8" t="s">
        <v>1</v>
      </c>
      <c r="E487" t="s">
        <v>57</v>
      </c>
      <c r="F487">
        <v>3</v>
      </c>
      <c r="G487" s="3">
        <v>2.4</v>
      </c>
      <c r="H487" s="3">
        <v>3.31</v>
      </c>
      <c r="I487" s="3">
        <f>H487-G487</f>
      </c>
      <c r="J487" s="3">
        <f>I487*16.67%</f>
      </c>
      <c r="K487" s="3">
        <f>(H487*6.9%)-(H487*6.9%)*10%</f>
      </c>
      <c r="L487" s="3">
        <f>H487*0.35%</f>
      </c>
      <c r="M487" s="3">
        <v>0.4</v>
      </c>
      <c r="N487" s="3">
        <f>(K487+L487+M487)*20%</f>
      </c>
      <c r="O487" s="3">
        <f>K487+L487+M487+N487</f>
      </c>
      <c r="P487" s="3">
        <v>0</v>
      </c>
      <c r="Q487" s="3">
        <v>0</v>
      </c>
      <c r="R487" s="3">
        <v>0</v>
      </c>
      <c r="S487" s="3">
        <f>R487*20%</f>
      </c>
      <c r="T487" s="3">
        <v>1</v>
      </c>
      <c r="U487" s="3">
        <f>N487+Q487+S487</f>
      </c>
      <c r="V487" s="3">
        <f>I487-J487-O487-P487-Q487-R487-S487-T487</f>
      </c>
      <c r="W487" s="3">
        <f>(V487-AE487)/H487*100</f>
      </c>
      <c r="X487" s="3">
        <f>J487-U487</f>
      </c>
      <c r="Y487" t="s">
        <v>1</v>
      </c>
      <c r="Z487" t="s">
        <v>253</v>
      </c>
      <c r="AF487" s="3">
        <f>V487-AE487</f>
      </c>
      <c r="AG487" t="s">
        <v>1</v>
      </c>
      <c r="AH487" t="s">
        <v>1</v>
      </c>
    </row>
    <row r="488" spans="1:34" x14ac:dyDescent="0.25">
      <c r="A488" s="7">
        <v>46142.5</v>
      </c>
      <c r="B488" t="s">
        <v>2326</v>
      </c>
      <c r="C488" t="s">
        <v>181</v>
      </c>
      <c r="D488" s="8" t="s">
        <v>1</v>
      </c>
      <c r="E488" t="s">
        <v>72</v>
      </c>
      <c r="F488">
        <v>4</v>
      </c>
      <c r="G488" s="3">
        <v>7.6</v>
      </c>
      <c r="H488" s="3">
        <v>9.8</v>
      </c>
      <c r="I488" s="3">
        <f>H488-G488</f>
      </c>
      <c r="J488" s="3">
        <f>I488*16.67%</f>
      </c>
      <c r="K488" s="3">
        <f>(H488*6.9%)-(H488*6.9%)*10%</f>
      </c>
      <c r="L488" s="3">
        <f>H488*0.35%</f>
      </c>
      <c r="M488" s="3">
        <v>0.4</v>
      </c>
      <c r="N488" s="3">
        <f>(K488+L488+M488)*20%</f>
      </c>
      <c r="O488" s="3">
        <f>K488+L488+M488+N488</f>
      </c>
      <c r="P488" s="3">
        <v>0</v>
      </c>
      <c r="Q488" s="3">
        <v>0</v>
      </c>
      <c r="R488" s="3">
        <v>0</v>
      </c>
      <c r="S488" s="3">
        <f>R488*20%</f>
      </c>
      <c r="T488" s="3">
        <v>1</v>
      </c>
      <c r="U488" s="3">
        <f>N488+Q488+S488</f>
      </c>
      <c r="V488" s="3">
        <f>I488-J488-O488-P488-Q488-R488-S488-T488</f>
      </c>
      <c r="W488" s="3">
        <f>(V488-AE488)/H488*100</f>
      </c>
      <c r="X488" s="3">
        <f>J488-U488</f>
      </c>
      <c r="Y488" t="s">
        <v>1</v>
      </c>
      <c r="Z488" t="s">
        <v>181</v>
      </c>
      <c r="AF488" s="3">
        <f>V488-AE488</f>
      </c>
      <c r="AG488" t="s">
        <v>1</v>
      </c>
      <c r="AH488" t="s">
        <v>1</v>
      </c>
    </row>
    <row r="489" spans="1:34" s="6" customFormat="1" x14ac:dyDescent="0.25">
      <c r="A489" s="2" t="s">
        <v>17</v>
      </c>
      <c r="B489" s="6"/>
      <c r="C489" s="6"/>
      <c r="D489" s="6"/>
      <c r="E489" s="6"/>
      <c r="F489" s="13">
        <f>SUM(F2:F488)</f>
      </c>
      <c r="G489" s="13">
        <f>SUM(G2:G488)</f>
      </c>
      <c r="H489" s="13">
        <f>SUM(H2:H488)</f>
      </c>
      <c r="I489" s="13">
        <f>SUM(I2:I488)</f>
      </c>
      <c r="J489" s="13">
        <f>SUM(J2:J488)</f>
      </c>
      <c r="K489" s="13">
        <f>SUM(K2:K488)</f>
      </c>
      <c r="L489" s="13">
        <f>SUM(L2:L488)</f>
      </c>
      <c r="M489" s="13">
        <f>SUM(M2:M488)</f>
      </c>
      <c r="N489" s="13">
        <f>SUM(N2:N488)</f>
      </c>
      <c r="O489" s="13">
        <f>SUM(O2:O488)</f>
      </c>
      <c r="P489" s="13">
        <f>SUM(P2:P488)</f>
      </c>
      <c r="Q489" s="13">
        <f>SUM(Q2:Q488)</f>
      </c>
      <c r="R489" s="13">
        <f>SUM(R2:R488)</f>
      </c>
      <c r="S489" s="13">
        <f>SUM(S2:S488)</f>
      </c>
      <c r="T489" s="13">
        <f>SUM(T2:T488)</f>
      </c>
      <c r="U489" s="13">
        <f>SUM(U2:U488)</f>
      </c>
      <c r="V489" s="13">
        <f>SUM(V2:V488)</f>
      </c>
      <c r="W489" s="13">
        <f>IFERROR((V489-AE489)/H489*100,0)</f>
      </c>
      <c r="X489" s="13">
        <f>SUM(X2:X488)</f>
      </c>
      <c r="Y489" s="6"/>
      <c r="Z489" s="6"/>
      <c r="AA489" s="6"/>
      <c r="AB489" s="6"/>
      <c r="AC489" s="6"/>
      <c r="AD489" s="6"/>
      <c r="AE489" s="13">
        <f>SUM(AE2:AE488)</f>
      </c>
      <c r="AF489" s="13">
        <f>SUM(AF2:AF488)</f>
      </c>
      <c r="AG489" s="6"/>
      <c r="AH48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9"/>
  <sheetFormatPr defaultRowHeight="15" outlineLevelRow="0" outlineLevelCol="0" x14ac:dyDescent="55"/>
  <sheetData>
    <row r="1" spans="1:2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2327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10</v>
      </c>
      <c r="AA1" t="s">
        <v>53</v>
      </c>
      <c r="AB1" t="s">
        <v>54</v>
      </c>
    </row>
    <row r="2" spans="1:28" x14ac:dyDescent="0.25">
      <c r="A2" s="7">
        <v>46231.5</v>
      </c>
      <c r="B2" t="s">
        <v>2328</v>
      </c>
      <c r="C2" t="s">
        <v>1</v>
      </c>
      <c r="D2" s="8" t="s">
        <v>2329</v>
      </c>
      <c r="E2" t="s">
        <v>57</v>
      </c>
      <c r="F2" s="3">
        <v>121</v>
      </c>
      <c r="G2" s="3">
        <v>148.83</v>
      </c>
      <c r="H2" s="3">
        <f>G2-F2</f>
      </c>
      <c r="I2" s="3">
        <f>H2*16.67%</f>
      </c>
      <c r="J2" s="3">
        <f>G2*7%</f>
      </c>
      <c r="K2" s="3">
        <f>J2*20%</f>
      </c>
      <c r="L2" s="3">
        <v>0</v>
      </c>
      <c r="M2" s="3">
        <f>L2*20%</f>
      </c>
      <c r="N2" s="3">
        <v>1</v>
      </c>
      <c r="O2" s="3">
        <f>K2+M2</f>
      </c>
      <c r="P2" s="3">
        <f>H2-I2-J2-K2-L2-M2-N2</f>
      </c>
      <c r="Q2" s="3">
        <f>(P2-Y2)/F2*100</f>
      </c>
      <c r="R2" s="3">
        <f>I2-O2</f>
      </c>
      <c r="S2" t="s">
        <v>1</v>
      </c>
      <c r="T2" t="s">
        <v>90</v>
      </c>
      <c r="Z2" s="3">
        <f>P2-Y2</f>
      </c>
      <c r="AA2" t="s">
        <v>94</v>
      </c>
      <c r="AB2" t="s">
        <v>69</v>
      </c>
    </row>
    <row r="3" spans="1:28" x14ac:dyDescent="0.25">
      <c r="A3" s="7">
        <v>46231.5</v>
      </c>
      <c r="B3" t="s">
        <v>2330</v>
      </c>
      <c r="C3" t="s">
        <v>1</v>
      </c>
      <c r="D3" s="8" t="s">
        <v>2331</v>
      </c>
      <c r="E3" t="s">
        <v>57</v>
      </c>
      <c r="F3" s="3">
        <v>162</v>
      </c>
      <c r="G3" s="3">
        <v>202.5</v>
      </c>
      <c r="H3" s="3">
        <f>G3-F3</f>
      </c>
      <c r="I3" s="3">
        <f>H3*16.67%</f>
      </c>
      <c r="J3" s="3">
        <f>G3*7%</f>
      </c>
      <c r="K3" s="3">
        <f>J3*20%</f>
      </c>
      <c r="L3" s="3">
        <v>0</v>
      </c>
      <c r="M3" s="3">
        <f>L3*20%</f>
      </c>
      <c r="N3" s="3">
        <v>1</v>
      </c>
      <c r="O3" s="3">
        <f>K3+M3</f>
      </c>
      <c r="P3" s="3">
        <f>H3-I3-J3-K3-L3-M3-N3</f>
      </c>
      <c r="Q3" s="3">
        <f>(P3-Y3)/F3*100</f>
      </c>
      <c r="R3" s="3">
        <f>I3-O3</f>
      </c>
      <c r="S3" t="s">
        <v>1</v>
      </c>
      <c r="T3" t="s">
        <v>233</v>
      </c>
      <c r="Z3" s="3">
        <f>P3-Y3</f>
      </c>
      <c r="AA3" t="s">
        <v>65</v>
      </c>
      <c r="AB3" t="s">
        <v>98</v>
      </c>
    </row>
    <row r="4" spans="1:28" x14ac:dyDescent="0.25">
      <c r="A4" s="7">
        <v>46231.5</v>
      </c>
      <c r="B4" t="s">
        <v>2332</v>
      </c>
      <c r="C4" t="s">
        <v>1</v>
      </c>
      <c r="D4" s="8" t="s">
        <v>2333</v>
      </c>
      <c r="E4" t="s">
        <v>63</v>
      </c>
      <c r="F4" s="3">
        <v>188</v>
      </c>
      <c r="G4" s="3">
        <v>257.56</v>
      </c>
      <c r="H4" s="3">
        <f>G4-F4</f>
      </c>
      <c r="I4" s="3">
        <f>H4*16.67%</f>
      </c>
      <c r="J4" s="3">
        <f>G4*7%</f>
      </c>
      <c r="K4" s="3">
        <f>J4*20%</f>
      </c>
      <c r="L4" s="3">
        <v>0</v>
      </c>
      <c r="M4" s="3">
        <f>L4*20%</f>
      </c>
      <c r="N4" s="3">
        <v>1</v>
      </c>
      <c r="O4" s="3">
        <f>K4+M4</f>
      </c>
      <c r="P4" s="3">
        <f>H4-I4-J4-K4-L4-M4-N4</f>
      </c>
      <c r="Q4" s="3">
        <f>(P4-Y4)/F4*100</f>
      </c>
      <c r="R4" s="3">
        <f>I4-O4</f>
      </c>
      <c r="S4" t="s">
        <v>1</v>
      </c>
      <c r="T4" t="s">
        <v>233</v>
      </c>
      <c r="Z4" s="3">
        <f>P4-Y4</f>
      </c>
      <c r="AA4" t="s">
        <v>65</v>
      </c>
      <c r="AB4" t="s">
        <v>84</v>
      </c>
    </row>
    <row r="5" spans="1:28" x14ac:dyDescent="0.25">
      <c r="A5" s="7">
        <v>46231.5</v>
      </c>
      <c r="B5" t="s">
        <v>2334</v>
      </c>
      <c r="C5" t="s">
        <v>1</v>
      </c>
      <c r="D5" s="8" t="s">
        <v>2335</v>
      </c>
      <c r="E5" t="s">
        <v>57</v>
      </c>
      <c r="F5" s="3">
        <v>266</v>
      </c>
      <c r="G5" s="3">
        <v>372.4</v>
      </c>
      <c r="H5" s="3">
        <f>G5-F5</f>
      </c>
      <c r="I5" s="3">
        <f>H5*16.67%</f>
      </c>
      <c r="J5" s="3">
        <f>G5*7%</f>
      </c>
      <c r="K5" s="3">
        <f>J5*20%</f>
      </c>
      <c r="L5" s="3">
        <v>0</v>
      </c>
      <c r="M5" s="3">
        <f>L5*20%</f>
      </c>
      <c r="N5" s="3">
        <v>1</v>
      </c>
      <c r="O5" s="3">
        <f>K5+M5</f>
      </c>
      <c r="P5" s="3">
        <f>H5-I5-J5-K5-L5-M5-N5</f>
      </c>
      <c r="Q5" s="3">
        <f>(P5-Y5)/F5*100</f>
      </c>
      <c r="R5" s="3">
        <f>I5-O5</f>
      </c>
      <c r="S5" t="s">
        <v>1</v>
      </c>
      <c r="T5" t="s">
        <v>130</v>
      </c>
      <c r="Z5" s="3">
        <f>P5-Y5</f>
      </c>
      <c r="AA5" t="s">
        <v>65</v>
      </c>
      <c r="AB5" t="s">
        <v>69</v>
      </c>
    </row>
    <row r="6" spans="1:28" x14ac:dyDescent="0.25">
      <c r="A6" s="7">
        <v>46231.5</v>
      </c>
      <c r="B6" t="s">
        <v>2336</v>
      </c>
      <c r="C6" t="s">
        <v>1</v>
      </c>
      <c r="D6" s="8" t="s">
        <v>2337</v>
      </c>
      <c r="E6" t="s">
        <v>63</v>
      </c>
      <c r="F6" s="3">
        <v>562</v>
      </c>
      <c r="G6" s="3">
        <v>809.28</v>
      </c>
      <c r="H6" s="3">
        <f>G6-F6</f>
      </c>
      <c r="I6" s="3">
        <f>H6*16.67%</f>
      </c>
      <c r="J6" s="3">
        <f>G6*7%</f>
      </c>
      <c r="K6" s="3">
        <f>J6*20%</f>
      </c>
      <c r="L6" s="3">
        <v>0</v>
      </c>
      <c r="M6" s="3">
        <f>L6*20%</f>
      </c>
      <c r="N6" s="3">
        <v>1</v>
      </c>
      <c r="O6" s="3">
        <f>K6+M6</f>
      </c>
      <c r="P6" s="3">
        <f>H6-I6-J6-K6-L6-M6-N6</f>
      </c>
      <c r="Q6" s="3">
        <f>(P6-Y6)/F6*100</f>
      </c>
      <c r="R6" s="3">
        <f>I6-O6</f>
      </c>
      <c r="S6" t="s">
        <v>1</v>
      </c>
      <c r="T6" t="s">
        <v>80</v>
      </c>
      <c r="Z6" s="3">
        <f>P6-Y6</f>
      </c>
      <c r="AA6" t="s">
        <v>65</v>
      </c>
      <c r="AB6" t="s">
        <v>60</v>
      </c>
    </row>
    <row r="7" spans="1:28" x14ac:dyDescent="0.25">
      <c r="A7" s="7">
        <v>46231.5</v>
      </c>
      <c r="B7" t="s">
        <v>2338</v>
      </c>
      <c r="C7" t="s">
        <v>1</v>
      </c>
      <c r="D7" s="8" t="s">
        <v>2339</v>
      </c>
      <c r="E7" t="s">
        <v>63</v>
      </c>
      <c r="F7" s="3">
        <v>172</v>
      </c>
      <c r="G7" s="3">
        <v>240.8</v>
      </c>
      <c r="H7" s="3">
        <f>G7-F7</f>
      </c>
      <c r="I7" s="3">
        <f>H7*16.67%</f>
      </c>
      <c r="J7" s="3">
        <f>G7*7%</f>
      </c>
      <c r="K7" s="3">
        <f>J7*20%</f>
      </c>
      <c r="L7" s="3">
        <v>0</v>
      </c>
      <c r="M7" s="3">
        <f>L7*20%</f>
      </c>
      <c r="N7" s="3">
        <v>1</v>
      </c>
      <c r="O7" s="3">
        <f>K7+M7</f>
      </c>
      <c r="P7" s="3">
        <f>H7-I7-J7-K7-L7-M7-N7</f>
      </c>
      <c r="Q7" s="3">
        <f>(P7-Y7)/F7*100</f>
      </c>
      <c r="R7" s="3">
        <f>I7-O7</f>
      </c>
      <c r="S7" t="s">
        <v>1</v>
      </c>
      <c r="T7" t="s">
        <v>233</v>
      </c>
      <c r="Z7" s="3">
        <f>P7-Y7</f>
      </c>
      <c r="AA7" t="s">
        <v>65</v>
      </c>
      <c r="AB7" t="s">
        <v>98</v>
      </c>
    </row>
    <row r="8" spans="1:28" x14ac:dyDescent="0.25">
      <c r="A8" s="7">
        <v>46231.5</v>
      </c>
      <c r="B8" t="s">
        <v>2340</v>
      </c>
      <c r="C8" t="s">
        <v>1</v>
      </c>
      <c r="D8" s="8" t="s">
        <v>2341</v>
      </c>
      <c r="E8" t="s">
        <v>57</v>
      </c>
      <c r="F8" s="3">
        <v>173</v>
      </c>
      <c r="G8" s="3">
        <v>198.95</v>
      </c>
      <c r="H8" s="3">
        <f>G8-F8</f>
      </c>
      <c r="I8" s="3">
        <f>H8*16.67%</f>
      </c>
      <c r="J8" s="3">
        <f>G8*7%</f>
      </c>
      <c r="K8" s="3">
        <f>J8*20%</f>
      </c>
      <c r="L8" s="3">
        <v>0</v>
      </c>
      <c r="M8" s="3">
        <f>L8*20%</f>
      </c>
      <c r="N8" s="3">
        <v>1</v>
      </c>
      <c r="O8" s="3">
        <f>K8+M8</f>
      </c>
      <c r="P8" s="3">
        <f>H8-I8-J8-K8-L8-M8-N8</f>
      </c>
      <c r="Q8" s="3">
        <f>(P8-Y8)/F8*100</f>
      </c>
      <c r="R8" s="3">
        <f>I8-O8</f>
      </c>
      <c r="S8" t="s">
        <v>1</v>
      </c>
      <c r="T8" t="s">
        <v>171</v>
      </c>
      <c r="Z8" s="3">
        <f>P8-Y8</f>
      </c>
      <c r="AA8" t="s">
        <v>65</v>
      </c>
      <c r="AB8" t="s">
        <v>84</v>
      </c>
    </row>
    <row r="9" spans="1:28" x14ac:dyDescent="0.25">
      <c r="A9" s="7">
        <v>46231.5</v>
      </c>
      <c r="B9" t="s">
        <v>2342</v>
      </c>
      <c r="C9" t="s">
        <v>1</v>
      </c>
      <c r="D9" s="8" t="s">
        <v>2343</v>
      </c>
      <c r="E9" t="s">
        <v>72</v>
      </c>
      <c r="F9" s="3">
        <v>313</v>
      </c>
      <c r="G9" s="3">
        <v>403.77</v>
      </c>
      <c r="H9" s="3">
        <f>G9-F9</f>
      </c>
      <c r="I9" s="3">
        <f>H9*16.67%</f>
      </c>
      <c r="J9" s="3">
        <f>G9*7%</f>
      </c>
      <c r="K9" s="3">
        <f>J9*20%</f>
      </c>
      <c r="L9" s="3">
        <v>0</v>
      </c>
      <c r="M9" s="3">
        <f>L9*20%</f>
      </c>
      <c r="N9" s="3">
        <v>1</v>
      </c>
      <c r="O9" s="3">
        <f>K9+M9</f>
      </c>
      <c r="P9" s="3">
        <f>H9-I9-J9-K9-L9-M9-N9</f>
      </c>
      <c r="Q9" s="3">
        <f>(P9-Y9)/F9*100</f>
      </c>
      <c r="R9" s="3">
        <f>I9-O9</f>
      </c>
      <c r="S9" t="s">
        <v>1</v>
      </c>
      <c r="T9" t="s">
        <v>130</v>
      </c>
      <c r="Z9" s="3">
        <f>P9-Y9</f>
      </c>
      <c r="AA9" t="s">
        <v>65</v>
      </c>
      <c r="AB9" t="s">
        <v>74</v>
      </c>
    </row>
    <row r="10" spans="1:28" x14ac:dyDescent="0.25">
      <c r="A10" s="7">
        <v>46231.5</v>
      </c>
      <c r="B10" t="s">
        <v>2344</v>
      </c>
      <c r="C10" t="s">
        <v>1</v>
      </c>
      <c r="D10" s="8" t="s">
        <v>2345</v>
      </c>
      <c r="E10" t="s">
        <v>101</v>
      </c>
      <c r="F10" s="3">
        <v>311</v>
      </c>
      <c r="G10" s="3">
        <v>366.98</v>
      </c>
      <c r="H10" s="3">
        <f>G10-F10</f>
      </c>
      <c r="I10" s="3">
        <f>H10*16.67%</f>
      </c>
      <c r="J10" s="3">
        <f>G10*7%</f>
      </c>
      <c r="K10" s="3">
        <f>J10*20%</f>
      </c>
      <c r="L10" s="3">
        <v>0</v>
      </c>
      <c r="M10" s="3">
        <f>L10*20%</f>
      </c>
      <c r="N10" s="3">
        <v>1</v>
      </c>
      <c r="O10" s="3">
        <f>K10+M10</f>
      </c>
      <c r="P10" s="3">
        <f>H10-I10-J10-K10-L10-M10-N10</f>
      </c>
      <c r="Q10" s="3">
        <f>(P10-Y10)/F10*100</f>
      </c>
      <c r="R10" s="3">
        <f>I10-O10</f>
      </c>
      <c r="S10" t="s">
        <v>1</v>
      </c>
      <c r="T10" t="s">
        <v>130</v>
      </c>
      <c r="Z10" s="3">
        <f>P10-Y10</f>
      </c>
      <c r="AA10" t="s">
        <v>59</v>
      </c>
      <c r="AB10" t="s">
        <v>104</v>
      </c>
    </row>
    <row r="11" spans="1:28" x14ac:dyDescent="0.25">
      <c r="A11" s="7">
        <v>46231.5</v>
      </c>
      <c r="B11" t="s">
        <v>2346</v>
      </c>
      <c r="C11" t="s">
        <v>1</v>
      </c>
      <c r="D11" s="8" t="s">
        <v>2347</v>
      </c>
      <c r="E11" t="s">
        <v>63</v>
      </c>
      <c r="F11" s="3">
        <v>547</v>
      </c>
      <c r="G11" s="3">
        <v>634.52</v>
      </c>
      <c r="H11" s="3">
        <f>G11-F11</f>
      </c>
      <c r="I11" s="3">
        <f>H11*16.67%</f>
      </c>
      <c r="J11" s="3">
        <f>G11*7%</f>
      </c>
      <c r="K11" s="3">
        <f>J11*20%</f>
      </c>
      <c r="L11" s="3">
        <v>0</v>
      </c>
      <c r="M11" s="3">
        <f>L11*20%</f>
      </c>
      <c r="N11" s="3">
        <v>1</v>
      </c>
      <c r="O11" s="3">
        <f>K11+M11</f>
      </c>
      <c r="P11" s="3">
        <f>H11-I11-J11-K11-L11-M11-N11</f>
      </c>
      <c r="Q11" s="3">
        <f>(P11-Y11)/F11*100</f>
      </c>
      <c r="R11" s="3">
        <f>I11-O11</f>
      </c>
      <c r="S11" t="s">
        <v>1</v>
      </c>
      <c r="T11" t="s">
        <v>68</v>
      </c>
      <c r="Z11" s="3">
        <f>P11-Y11</f>
      </c>
      <c r="AA11" t="s">
        <v>59</v>
      </c>
      <c r="AB11" t="s">
        <v>84</v>
      </c>
    </row>
    <row r="12" spans="1:28" x14ac:dyDescent="0.25">
      <c r="A12" s="7">
        <v>46231.5</v>
      </c>
      <c r="B12" t="s">
        <v>2348</v>
      </c>
      <c r="C12" t="s">
        <v>1</v>
      </c>
      <c r="D12" s="8" t="s">
        <v>2349</v>
      </c>
      <c r="E12" t="s">
        <v>72</v>
      </c>
      <c r="F12" s="3">
        <v>151</v>
      </c>
      <c r="G12" s="3">
        <v>214.42</v>
      </c>
      <c r="H12" s="3">
        <f>G12-F12</f>
      </c>
      <c r="I12" s="3">
        <f>H12*16.67%</f>
      </c>
      <c r="J12" s="3">
        <f>G12*7%</f>
      </c>
      <c r="K12" s="3">
        <f>J12*20%</f>
      </c>
      <c r="L12" s="3">
        <v>0</v>
      </c>
      <c r="M12" s="3">
        <f>L12*20%</f>
      </c>
      <c r="N12" s="3">
        <v>1</v>
      </c>
      <c r="O12" s="3">
        <f>K12+M12</f>
      </c>
      <c r="P12" s="3">
        <f>H12-I12-J12-K12-L12-M12-N12</f>
      </c>
      <c r="Q12" s="3">
        <f>(P12-Y12)/F12*100</f>
      </c>
      <c r="R12" s="3">
        <f>I12-O12</f>
      </c>
      <c r="S12" t="s">
        <v>1</v>
      </c>
      <c r="T12" t="s">
        <v>171</v>
      </c>
      <c r="Z12" s="3">
        <f>P12-Y12</f>
      </c>
      <c r="AA12" t="s">
        <v>65</v>
      </c>
      <c r="AB12" t="s">
        <v>74</v>
      </c>
    </row>
    <row r="13" spans="1:28" x14ac:dyDescent="0.25">
      <c r="A13" s="7">
        <v>46231.5</v>
      </c>
      <c r="B13" t="s">
        <v>2350</v>
      </c>
      <c r="C13" t="s">
        <v>1</v>
      </c>
      <c r="D13" s="8" t="s">
        <v>2351</v>
      </c>
      <c r="E13" t="s">
        <v>77</v>
      </c>
      <c r="F13" s="3">
        <v>319</v>
      </c>
      <c r="G13" s="3">
        <v>385.99</v>
      </c>
      <c r="H13" s="3">
        <f>G13-F13</f>
      </c>
      <c r="I13" s="3">
        <f>H13*16.67%</f>
      </c>
      <c r="J13" s="3">
        <f>G13*7%</f>
      </c>
      <c r="K13" s="3">
        <f>J13*20%</f>
      </c>
      <c r="L13" s="3">
        <v>0</v>
      </c>
      <c r="M13" s="3">
        <f>L13*20%</f>
      </c>
      <c r="N13" s="3">
        <v>1</v>
      </c>
      <c r="O13" s="3">
        <f>K13+M13</f>
      </c>
      <c r="P13" s="3">
        <f>H13-I13-J13-K13-L13-M13-N13</f>
      </c>
      <c r="Q13" s="3">
        <f>(P13-Y13)/F13*100</f>
      </c>
      <c r="R13" s="3">
        <f>I13-O13</f>
      </c>
      <c r="S13" t="s">
        <v>1</v>
      </c>
      <c r="T13" t="s">
        <v>138</v>
      </c>
      <c r="Z13" s="3">
        <f>P13-Y13</f>
      </c>
      <c r="AA13" t="s">
        <v>59</v>
      </c>
      <c r="AB13" t="s">
        <v>104</v>
      </c>
    </row>
    <row r="14" spans="1:28" x14ac:dyDescent="0.25">
      <c r="A14" s="7">
        <v>46231.5</v>
      </c>
      <c r="B14" t="s">
        <v>2352</v>
      </c>
      <c r="C14" t="s">
        <v>1</v>
      </c>
      <c r="D14" s="8" t="s">
        <v>2353</v>
      </c>
      <c r="E14" t="s">
        <v>63</v>
      </c>
      <c r="F14" s="3">
        <v>124</v>
      </c>
      <c r="G14" s="3">
        <v>174.84</v>
      </c>
      <c r="H14" s="3">
        <f>G14-F14</f>
      </c>
      <c r="I14" s="3">
        <f>H14*16.67%</f>
      </c>
      <c r="J14" s="3">
        <f>G14*7%</f>
      </c>
      <c r="K14" s="3">
        <f>J14*20%</f>
      </c>
      <c r="L14" s="3">
        <v>0</v>
      </c>
      <c r="M14" s="3">
        <f>L14*20%</f>
      </c>
      <c r="N14" s="3">
        <v>1</v>
      </c>
      <c r="O14" s="3">
        <f>K14+M14</f>
      </c>
      <c r="P14" s="3">
        <f>H14-I14-J14-K14-L14-M14-N14</f>
      </c>
      <c r="Q14" s="3">
        <f>(P14-Y14)/F14*100</f>
      </c>
      <c r="R14" s="3">
        <f>I14-O14</f>
      </c>
      <c r="S14" t="s">
        <v>1</v>
      </c>
      <c r="T14" t="s">
        <v>90</v>
      </c>
      <c r="Z14" s="3">
        <f>P14-Y14</f>
      </c>
      <c r="AA14" t="s">
        <v>65</v>
      </c>
      <c r="AB14" t="s">
        <v>60</v>
      </c>
    </row>
    <row r="15" spans="1:28" x14ac:dyDescent="0.25">
      <c r="A15" s="7">
        <v>46231.5</v>
      </c>
      <c r="B15" t="s">
        <v>2354</v>
      </c>
      <c r="C15" t="s">
        <v>1</v>
      </c>
      <c r="D15" s="8" t="s">
        <v>2355</v>
      </c>
      <c r="E15" t="s">
        <v>57</v>
      </c>
      <c r="F15" s="3">
        <v>180</v>
      </c>
      <c r="G15" s="3">
        <v>253.8</v>
      </c>
      <c r="H15" s="3">
        <f>G15-F15</f>
      </c>
      <c r="I15" s="3">
        <f>H15*16.67%</f>
      </c>
      <c r="J15" s="3">
        <f>G15*7%</f>
      </c>
      <c r="K15" s="3">
        <f>J15*20%</f>
      </c>
      <c r="L15" s="3">
        <v>0</v>
      </c>
      <c r="M15" s="3">
        <f>L15*20%</f>
      </c>
      <c r="N15" s="3">
        <v>1</v>
      </c>
      <c r="O15" s="3">
        <f>K15+M15</f>
      </c>
      <c r="P15" s="3">
        <f>H15-I15-J15-K15-L15-M15-N15</f>
      </c>
      <c r="Q15" s="3">
        <f>(P15-Y15)/F15*100</f>
      </c>
      <c r="R15" s="3">
        <f>I15-O15</f>
      </c>
      <c r="S15" t="s">
        <v>1</v>
      </c>
      <c r="T15" t="s">
        <v>233</v>
      </c>
      <c r="Z15" s="3">
        <f>P15-Y15</f>
      </c>
      <c r="AA15" t="s">
        <v>65</v>
      </c>
      <c r="AB15" t="s">
        <v>74</v>
      </c>
    </row>
    <row r="16" spans="1:28" x14ac:dyDescent="0.25">
      <c r="A16" s="7">
        <v>46231.5</v>
      </c>
      <c r="B16" t="s">
        <v>2356</v>
      </c>
      <c r="C16" t="s">
        <v>1</v>
      </c>
      <c r="D16" s="8" t="s">
        <v>2357</v>
      </c>
      <c r="E16" t="s">
        <v>77</v>
      </c>
      <c r="F16" s="3">
        <v>104</v>
      </c>
      <c r="G16" s="3">
        <v>121.68</v>
      </c>
      <c r="H16" s="3">
        <f>G16-F16</f>
      </c>
      <c r="I16" s="3">
        <f>H16*16.67%</f>
      </c>
      <c r="J16" s="3">
        <f>G16*7%</f>
      </c>
      <c r="K16" s="3">
        <f>J16*20%</f>
      </c>
      <c r="L16" s="3">
        <v>0</v>
      </c>
      <c r="M16" s="3">
        <f>L16*20%</f>
      </c>
      <c r="N16" s="3">
        <v>1</v>
      </c>
      <c r="O16" s="3">
        <f>K16+M16</f>
      </c>
      <c r="P16" s="3">
        <f>H16-I16-J16-K16-L16-M16-N16</f>
      </c>
      <c r="Q16" s="3">
        <f>(P16-Y16)/F16*100</f>
      </c>
      <c r="R16" s="3">
        <f>I16-O16</f>
      </c>
      <c r="S16" t="s">
        <v>1</v>
      </c>
      <c r="T16" t="s">
        <v>133</v>
      </c>
      <c r="Z16" s="3">
        <f>P16-Y16</f>
      </c>
      <c r="AA16" t="s">
        <v>94</v>
      </c>
      <c r="AB16" t="s">
        <v>84</v>
      </c>
    </row>
    <row r="17" spans="1:28" x14ac:dyDescent="0.25">
      <c r="A17" s="7">
        <v>46231.5</v>
      </c>
      <c r="B17" t="s">
        <v>2358</v>
      </c>
      <c r="C17" t="s">
        <v>1</v>
      </c>
      <c r="D17" s="8" t="s">
        <v>2359</v>
      </c>
      <c r="E17" t="s">
        <v>101</v>
      </c>
      <c r="F17" s="3">
        <v>164</v>
      </c>
      <c r="G17" s="3">
        <v>227.96</v>
      </c>
      <c r="H17" s="3">
        <f>G17-F17</f>
      </c>
      <c r="I17" s="3">
        <f>H17*16.67%</f>
      </c>
      <c r="J17" s="3">
        <f>G17*7%</f>
      </c>
      <c r="K17" s="3">
        <f>J17*20%</f>
      </c>
      <c r="L17" s="3">
        <v>0</v>
      </c>
      <c r="M17" s="3">
        <f>L17*20%</f>
      </c>
      <c r="N17" s="3">
        <v>1</v>
      </c>
      <c r="O17" s="3">
        <f>K17+M17</f>
      </c>
      <c r="P17" s="3">
        <f>H17-I17-J17-K17-L17-M17-N17</f>
      </c>
      <c r="Q17" s="3">
        <f>(P17-Y17)/F17*100</f>
      </c>
      <c r="R17" s="3">
        <f>I17-O17</f>
      </c>
      <c r="S17" t="s">
        <v>1</v>
      </c>
      <c r="T17" t="s">
        <v>291</v>
      </c>
      <c r="Z17" s="3">
        <f>P17-Y17</f>
      </c>
      <c r="AA17" t="s">
        <v>125</v>
      </c>
      <c r="AB17" t="s">
        <v>60</v>
      </c>
    </row>
    <row r="18" spans="1:28" x14ac:dyDescent="0.25">
      <c r="A18" s="7">
        <v>46231.5</v>
      </c>
      <c r="B18" t="s">
        <v>2360</v>
      </c>
      <c r="C18" t="s">
        <v>1</v>
      </c>
      <c r="D18" s="8" t="s">
        <v>2361</v>
      </c>
      <c r="E18" t="s">
        <v>72</v>
      </c>
      <c r="F18" s="3">
        <v>181</v>
      </c>
      <c r="G18" s="3">
        <v>247.97</v>
      </c>
      <c r="H18" s="3">
        <f>G18-F18</f>
      </c>
      <c r="I18" s="3">
        <f>H18*16.67%</f>
      </c>
      <c r="J18" s="3">
        <f>G18*7%</f>
      </c>
      <c r="K18" s="3">
        <f>J18*20%</f>
      </c>
      <c r="L18" s="3">
        <v>0</v>
      </c>
      <c r="M18" s="3">
        <f>L18*20%</f>
      </c>
      <c r="N18" s="3">
        <v>1</v>
      </c>
      <c r="O18" s="3">
        <f>K18+M18</f>
      </c>
      <c r="P18" s="3">
        <f>H18-I18-J18-K18-L18-M18-N18</f>
      </c>
      <c r="Q18" s="3">
        <f>(P18-Y18)/F18*100</f>
      </c>
      <c r="R18" s="3">
        <f>I18-O18</f>
      </c>
      <c r="S18" t="s">
        <v>1</v>
      </c>
      <c r="T18" t="s">
        <v>233</v>
      </c>
      <c r="Z18" s="3">
        <f>P18-Y18</f>
      </c>
      <c r="AA18" t="s">
        <v>65</v>
      </c>
      <c r="AB18" t="s">
        <v>104</v>
      </c>
    </row>
    <row r="19" spans="1:28" x14ac:dyDescent="0.25">
      <c r="A19" s="7">
        <v>46231.5</v>
      </c>
      <c r="B19" t="s">
        <v>2362</v>
      </c>
      <c r="C19" t="s">
        <v>1</v>
      </c>
      <c r="D19" s="8" t="s">
        <v>2363</v>
      </c>
      <c r="E19" t="s">
        <v>72</v>
      </c>
      <c r="F19" s="3">
        <v>698</v>
      </c>
      <c r="G19" s="3">
        <v>921.36</v>
      </c>
      <c r="H19" s="3">
        <f>G19-F19</f>
      </c>
      <c r="I19" s="3">
        <f>H19*16.67%</f>
      </c>
      <c r="J19" s="3">
        <f>G19*7%</f>
      </c>
      <c r="K19" s="3">
        <f>J19*20%</f>
      </c>
      <c r="L19" s="3">
        <v>0</v>
      </c>
      <c r="M19" s="3">
        <f>L19*20%</f>
      </c>
      <c r="N19" s="3">
        <v>1</v>
      </c>
      <c r="O19" s="3">
        <f>K19+M19</f>
      </c>
      <c r="P19" s="3">
        <f>H19-I19-J19-K19-L19-M19-N19</f>
      </c>
      <c r="Q19" s="3">
        <f>(P19-Y19)/F19*100</f>
      </c>
      <c r="R19" s="3">
        <f>I19-O19</f>
      </c>
      <c r="S19" t="s">
        <v>1</v>
      </c>
      <c r="T19" t="s">
        <v>83</v>
      </c>
      <c r="Z19" s="3">
        <f>P19-Y19</f>
      </c>
      <c r="AA19" t="s">
        <v>59</v>
      </c>
      <c r="AB19" t="s">
        <v>69</v>
      </c>
    </row>
    <row r="20" spans="1:28" x14ac:dyDescent="0.25">
      <c r="A20" s="7">
        <v>46231.5</v>
      </c>
      <c r="B20" t="s">
        <v>2364</v>
      </c>
      <c r="C20" t="s">
        <v>1</v>
      </c>
      <c r="D20" s="8" t="s">
        <v>2365</v>
      </c>
      <c r="E20" t="s">
        <v>57</v>
      </c>
      <c r="F20" s="3">
        <v>156</v>
      </c>
      <c r="G20" s="3">
        <v>182.52</v>
      </c>
      <c r="H20" s="3">
        <f>G20-F20</f>
      </c>
      <c r="I20" s="3">
        <f>H20*16.67%</f>
      </c>
      <c r="J20" s="3">
        <f>G20*7%</f>
      </c>
      <c r="K20" s="3">
        <f>J20*20%</f>
      </c>
      <c r="L20" s="3">
        <v>0</v>
      </c>
      <c r="M20" s="3">
        <f>L20*20%</f>
      </c>
      <c r="N20" s="3">
        <v>1</v>
      </c>
      <c r="O20" s="3">
        <f>K20+M20</f>
      </c>
      <c r="P20" s="3">
        <f>H20-I20-J20-K20-L20-M20-N20</f>
      </c>
      <c r="Q20" s="3">
        <f>(P20-Y20)/F20*100</f>
      </c>
      <c r="R20" s="3">
        <f>I20-O20</f>
      </c>
      <c r="S20" t="s">
        <v>1</v>
      </c>
      <c r="T20" t="s">
        <v>233</v>
      </c>
      <c r="Z20" s="3">
        <f>P20-Y20</f>
      </c>
      <c r="AA20" t="s">
        <v>65</v>
      </c>
      <c r="AB20" t="s">
        <v>69</v>
      </c>
    </row>
    <row r="21" spans="1:28" x14ac:dyDescent="0.25">
      <c r="A21" s="7">
        <v>46231.5</v>
      </c>
      <c r="B21" t="s">
        <v>2366</v>
      </c>
      <c r="C21" t="s">
        <v>1</v>
      </c>
      <c r="D21" s="8" t="s">
        <v>2367</v>
      </c>
      <c r="E21" t="s">
        <v>63</v>
      </c>
      <c r="F21" s="3">
        <v>275</v>
      </c>
      <c r="G21" s="3">
        <v>352</v>
      </c>
      <c r="H21" s="3">
        <f>G21-F21</f>
      </c>
      <c r="I21" s="3">
        <f>H21*16.67%</f>
      </c>
      <c r="J21" s="3">
        <f>G21*7%</f>
      </c>
      <c r="K21" s="3">
        <f>J21*20%</f>
      </c>
      <c r="L21" s="3">
        <v>0</v>
      </c>
      <c r="M21" s="3">
        <f>L21*20%</f>
      </c>
      <c r="N21" s="3">
        <v>1</v>
      </c>
      <c r="O21" s="3">
        <f>K21+M21</f>
      </c>
      <c r="P21" s="3">
        <f>H21-I21-J21-K21-L21-M21-N21</f>
      </c>
      <c r="Q21" s="3">
        <f>(P21-Y21)/F21*100</f>
      </c>
      <c r="R21" s="3">
        <f>I21-O21</f>
      </c>
      <c r="S21" t="s">
        <v>1</v>
      </c>
      <c r="T21" t="s">
        <v>124</v>
      </c>
      <c r="Z21" s="3">
        <f>P21-Y21</f>
      </c>
      <c r="AA21" t="s">
        <v>125</v>
      </c>
      <c r="AB21" t="s">
        <v>87</v>
      </c>
    </row>
    <row r="22" spans="1:28" x14ac:dyDescent="0.25">
      <c r="A22" s="7">
        <v>46231.5</v>
      </c>
      <c r="B22" t="s">
        <v>2368</v>
      </c>
      <c r="C22" t="s">
        <v>1</v>
      </c>
      <c r="D22" s="8" t="s">
        <v>2369</v>
      </c>
      <c r="E22" t="s">
        <v>101</v>
      </c>
      <c r="F22" s="3">
        <v>546</v>
      </c>
      <c r="G22" s="3">
        <v>726.18</v>
      </c>
      <c r="H22" s="3">
        <f>G22-F22</f>
      </c>
      <c r="I22" s="3">
        <f>H22*16.67%</f>
      </c>
      <c r="J22" s="3">
        <f>G22*7%</f>
      </c>
      <c r="K22" s="3">
        <f>J22*20%</f>
      </c>
      <c r="L22" s="3">
        <v>0</v>
      </c>
      <c r="M22" s="3">
        <f>L22*20%</f>
      </c>
      <c r="N22" s="3">
        <v>1</v>
      </c>
      <c r="O22" s="3">
        <f>K22+M22</f>
      </c>
      <c r="P22" s="3">
        <f>H22-I22-J22-K22-L22-M22-N22</f>
      </c>
      <c r="Q22" s="3">
        <f>(P22-Y22)/F22*100</f>
      </c>
      <c r="R22" s="3">
        <f>I22-O22</f>
      </c>
      <c r="S22" t="s">
        <v>1</v>
      </c>
      <c r="T22" t="s">
        <v>80</v>
      </c>
      <c r="Z22" s="3">
        <f>P22-Y22</f>
      </c>
      <c r="AA22" t="s">
        <v>65</v>
      </c>
      <c r="AB22" t="s">
        <v>87</v>
      </c>
    </row>
    <row r="23" spans="1:28" x14ac:dyDescent="0.25">
      <c r="A23" s="7">
        <v>46231.5</v>
      </c>
      <c r="B23" t="s">
        <v>2370</v>
      </c>
      <c r="C23" t="s">
        <v>1</v>
      </c>
      <c r="D23" s="8" t="s">
        <v>2371</v>
      </c>
      <c r="E23" t="s">
        <v>77</v>
      </c>
      <c r="F23" s="3">
        <v>328</v>
      </c>
      <c r="G23" s="3">
        <v>436.24</v>
      </c>
      <c r="H23" s="3">
        <f>G23-F23</f>
      </c>
      <c r="I23" s="3">
        <f>H23*16.67%</f>
      </c>
      <c r="J23" s="3">
        <f>G23*7%</f>
      </c>
      <c r="K23" s="3">
        <f>J23*20%</f>
      </c>
      <c r="L23" s="3">
        <v>0</v>
      </c>
      <c r="M23" s="3">
        <f>L23*20%</f>
      </c>
      <c r="N23" s="3">
        <v>1</v>
      </c>
      <c r="O23" s="3">
        <f>K23+M23</f>
      </c>
      <c r="P23" s="3">
        <f>H23-I23-J23-K23-L23-M23-N23</f>
      </c>
      <c r="Q23" s="3">
        <f>(P23-Y23)/F23*100</f>
      </c>
      <c r="R23" s="3">
        <f>I23-O23</f>
      </c>
      <c r="S23" t="s">
        <v>1</v>
      </c>
      <c r="T23" t="s">
        <v>73</v>
      </c>
      <c r="Z23" s="3">
        <f>P23-Y23</f>
      </c>
      <c r="AA23" t="s">
        <v>59</v>
      </c>
      <c r="AB23" t="s">
        <v>84</v>
      </c>
    </row>
    <row r="24" spans="1:28" x14ac:dyDescent="0.25">
      <c r="A24" s="7">
        <v>46231.5</v>
      </c>
      <c r="B24" t="s">
        <v>2372</v>
      </c>
      <c r="C24" t="s">
        <v>1</v>
      </c>
      <c r="D24" s="8" t="s">
        <v>2373</v>
      </c>
      <c r="E24" t="s">
        <v>101</v>
      </c>
      <c r="F24" s="3">
        <v>321</v>
      </c>
      <c r="G24" s="3">
        <v>381.99</v>
      </c>
      <c r="H24" s="3">
        <f>G24-F24</f>
      </c>
      <c r="I24" s="3">
        <f>H24*16.67%</f>
      </c>
      <c r="J24" s="3">
        <f>G24*7%</f>
      </c>
      <c r="K24" s="3">
        <f>J24*20%</f>
      </c>
      <c r="L24" s="3">
        <v>0</v>
      </c>
      <c r="M24" s="3">
        <f>L24*20%</f>
      </c>
      <c r="N24" s="3">
        <v>1</v>
      </c>
      <c r="O24" s="3">
        <f>K24+M24</f>
      </c>
      <c r="P24" s="3">
        <f>H24-I24-J24-K24-L24-M24-N24</f>
      </c>
      <c r="Q24" s="3">
        <f>(P24-Y24)/F24*100</f>
      </c>
      <c r="R24" s="3">
        <f>I24-O24</f>
      </c>
      <c r="S24" t="s">
        <v>1</v>
      </c>
      <c r="T24" t="s">
        <v>130</v>
      </c>
      <c r="Z24" s="3">
        <f>P24-Y24</f>
      </c>
      <c r="AA24" t="s">
        <v>65</v>
      </c>
      <c r="AB24" t="s">
        <v>87</v>
      </c>
    </row>
    <row r="25" spans="1:28" x14ac:dyDescent="0.25">
      <c r="A25" s="7">
        <v>46231.5</v>
      </c>
      <c r="B25" t="s">
        <v>2374</v>
      </c>
      <c r="C25" t="s">
        <v>1</v>
      </c>
      <c r="D25" s="8" t="s">
        <v>2375</v>
      </c>
      <c r="E25" t="s">
        <v>101</v>
      </c>
      <c r="F25" s="3">
        <v>70</v>
      </c>
      <c r="G25" s="3">
        <v>82.6</v>
      </c>
      <c r="H25" s="3">
        <f>G25-F25</f>
      </c>
      <c r="I25" s="3">
        <f>H25*16.67%</f>
      </c>
      <c r="J25" s="3">
        <f>G25*7%</f>
      </c>
      <c r="K25" s="3">
        <f>J25*20%</f>
      </c>
      <c r="L25" s="3">
        <v>0</v>
      </c>
      <c r="M25" s="3">
        <f>L25*20%</f>
      </c>
      <c r="N25" s="3">
        <v>1</v>
      </c>
      <c r="O25" s="3">
        <f>K25+M25</f>
      </c>
      <c r="P25" s="3">
        <f>H25-I25-J25-K25-L25-M25-N25</f>
      </c>
      <c r="Q25" s="3">
        <f>(P25-Y25)/F25*100</f>
      </c>
      <c r="R25" s="3">
        <f>I25-O25</f>
      </c>
      <c r="S25" t="s">
        <v>1</v>
      </c>
      <c r="T25" t="s">
        <v>93</v>
      </c>
      <c r="Z25" s="3">
        <f>P25-Y25</f>
      </c>
      <c r="AA25" t="s">
        <v>94</v>
      </c>
      <c r="AB25" t="s">
        <v>98</v>
      </c>
    </row>
    <row r="26" spans="1:28" x14ac:dyDescent="0.25">
      <c r="A26" s="7">
        <v>46231.5</v>
      </c>
      <c r="B26" t="s">
        <v>2376</v>
      </c>
      <c r="C26" t="s">
        <v>1</v>
      </c>
      <c r="D26" s="8" t="s">
        <v>2377</v>
      </c>
      <c r="E26" t="s">
        <v>72</v>
      </c>
      <c r="F26" s="3">
        <v>151</v>
      </c>
      <c r="G26" s="3">
        <v>190.26</v>
      </c>
      <c r="H26" s="3">
        <f>G26-F26</f>
      </c>
      <c r="I26" s="3">
        <f>H26*16.67%</f>
      </c>
      <c r="J26" s="3">
        <f>G26*7%</f>
      </c>
      <c r="K26" s="3">
        <f>J26*20%</f>
      </c>
      <c r="L26" s="3">
        <v>0</v>
      </c>
      <c r="M26" s="3">
        <f>L26*20%</f>
      </c>
      <c r="N26" s="3">
        <v>1</v>
      </c>
      <c r="O26" s="3">
        <f>K26+M26</f>
      </c>
      <c r="P26" s="3">
        <f>H26-I26-J26-K26-L26-M26-N26</f>
      </c>
      <c r="Q26" s="3">
        <f>(P26-Y26)/F26*100</f>
      </c>
      <c r="R26" s="3">
        <f>I26-O26</f>
      </c>
      <c r="S26" t="s">
        <v>1</v>
      </c>
      <c r="T26" t="s">
        <v>233</v>
      </c>
      <c r="Z26" s="3">
        <f>P26-Y26</f>
      </c>
      <c r="AA26" t="s">
        <v>65</v>
      </c>
      <c r="AB26" t="s">
        <v>69</v>
      </c>
    </row>
    <row r="27" spans="1:28" x14ac:dyDescent="0.25">
      <c r="A27" s="7">
        <v>46231.5</v>
      </c>
      <c r="B27" t="s">
        <v>2378</v>
      </c>
      <c r="C27" t="s">
        <v>1</v>
      </c>
      <c r="D27" s="8" t="s">
        <v>2379</v>
      </c>
      <c r="E27" t="s">
        <v>101</v>
      </c>
      <c r="F27" s="3">
        <v>232</v>
      </c>
      <c r="G27" s="3">
        <v>292.32</v>
      </c>
      <c r="H27" s="3">
        <f>G27-F27</f>
      </c>
      <c r="I27" s="3">
        <f>H27*16.67%</f>
      </c>
      <c r="J27" s="3">
        <f>G27*7%</f>
      </c>
      <c r="K27" s="3">
        <f>J27*20%</f>
      </c>
      <c r="L27" s="3">
        <v>0</v>
      </c>
      <c r="M27" s="3">
        <f>L27*20%</f>
      </c>
      <c r="N27" s="3">
        <v>1</v>
      </c>
      <c r="O27" s="3">
        <f>K27+M27</f>
      </c>
      <c r="P27" s="3">
        <f>H27-I27-J27-K27-L27-M27-N27</f>
      </c>
      <c r="Q27" s="3">
        <f>(P27-Y27)/F27*100</f>
      </c>
      <c r="R27" s="3">
        <f>I27-O27</f>
      </c>
      <c r="S27" t="s">
        <v>1</v>
      </c>
      <c r="T27" t="s">
        <v>113</v>
      </c>
      <c r="Z27" s="3">
        <f>P27-Y27</f>
      </c>
      <c r="AA27" t="s">
        <v>59</v>
      </c>
      <c r="AB27" t="s">
        <v>87</v>
      </c>
    </row>
    <row r="28" spans="1:28" x14ac:dyDescent="0.25">
      <c r="A28" s="7">
        <v>46231.5</v>
      </c>
      <c r="B28" t="s">
        <v>2380</v>
      </c>
      <c r="C28" t="s">
        <v>1</v>
      </c>
      <c r="D28" s="8" t="s">
        <v>2381</v>
      </c>
      <c r="E28" t="s">
        <v>101</v>
      </c>
      <c r="F28" s="3">
        <v>580</v>
      </c>
      <c r="G28" s="3">
        <v>667</v>
      </c>
      <c r="H28" s="3">
        <f>G28-F28</f>
      </c>
      <c r="I28" s="3">
        <f>H28*16.67%</f>
      </c>
      <c r="J28" s="3">
        <f>G28*7%</f>
      </c>
      <c r="K28" s="3">
        <f>J28*20%</f>
      </c>
      <c r="L28" s="3">
        <v>0</v>
      </c>
      <c r="M28" s="3">
        <f>L28*20%</f>
      </c>
      <c r="N28" s="3">
        <v>1</v>
      </c>
      <c r="O28" s="3">
        <f>K28+M28</f>
      </c>
      <c r="P28" s="3">
        <f>H28-I28-J28-K28-L28-M28-N28</f>
      </c>
      <c r="Q28" s="3">
        <f>(P28-Y28)/F28*100</f>
      </c>
      <c r="R28" s="3">
        <f>I28-O28</f>
      </c>
      <c r="S28" t="s">
        <v>1</v>
      </c>
      <c r="T28" t="s">
        <v>80</v>
      </c>
      <c r="Z28" s="3">
        <f>P28-Y28</f>
      </c>
      <c r="AA28" t="s">
        <v>65</v>
      </c>
      <c r="AB28" t="s">
        <v>104</v>
      </c>
    </row>
    <row r="29" spans="1:28" x14ac:dyDescent="0.25">
      <c r="A29" s="7">
        <v>46231.5</v>
      </c>
      <c r="B29" t="s">
        <v>2382</v>
      </c>
      <c r="C29" t="s">
        <v>1</v>
      </c>
      <c r="D29" s="8" t="s">
        <v>2383</v>
      </c>
      <c r="E29" t="s">
        <v>72</v>
      </c>
      <c r="F29" s="3">
        <v>331</v>
      </c>
      <c r="G29" s="3">
        <v>413.75</v>
      </c>
      <c r="H29" s="3">
        <f>G29-F29</f>
      </c>
      <c r="I29" s="3">
        <f>H29*16.67%</f>
      </c>
      <c r="J29" s="3">
        <f>G29*7%</f>
      </c>
      <c r="K29" s="3">
        <f>J29*20%</f>
      </c>
      <c r="L29" s="3">
        <v>0</v>
      </c>
      <c r="M29" s="3">
        <f>L29*20%</f>
      </c>
      <c r="N29" s="3">
        <v>1</v>
      </c>
      <c r="O29" s="3">
        <f>K29+M29</f>
      </c>
      <c r="P29" s="3">
        <f>H29-I29-J29-K29-L29-M29-N29</f>
      </c>
      <c r="Q29" s="3">
        <f>(P29-Y29)/F29*100</f>
      </c>
      <c r="R29" s="3">
        <f>I29-O29</f>
      </c>
      <c r="S29" t="s">
        <v>1</v>
      </c>
      <c r="T29" t="s">
        <v>73</v>
      </c>
      <c r="Z29" s="3">
        <f>P29-Y29</f>
      </c>
      <c r="AA29" t="s">
        <v>59</v>
      </c>
      <c r="AB29" t="s">
        <v>104</v>
      </c>
    </row>
    <row r="30" spans="1:28" x14ac:dyDescent="0.25">
      <c r="A30" s="7">
        <v>46231.5</v>
      </c>
      <c r="B30" t="s">
        <v>2384</v>
      </c>
      <c r="C30" t="s">
        <v>1</v>
      </c>
      <c r="D30" s="8" t="s">
        <v>2385</v>
      </c>
      <c r="E30" t="s">
        <v>77</v>
      </c>
      <c r="F30" s="3">
        <v>203</v>
      </c>
      <c r="G30" s="3">
        <v>255.78</v>
      </c>
      <c r="H30" s="3">
        <f>G30-F30</f>
      </c>
      <c r="I30" s="3">
        <f>H30*16.67%</f>
      </c>
      <c r="J30" s="3">
        <f>G30*7%</f>
      </c>
      <c r="K30" s="3">
        <f>J30*20%</f>
      </c>
      <c r="L30" s="3">
        <v>0</v>
      </c>
      <c r="M30" s="3">
        <f>L30*20%</f>
      </c>
      <c r="N30" s="3">
        <v>1</v>
      </c>
      <c r="O30" s="3">
        <f>K30+M30</f>
      </c>
      <c r="P30" s="3">
        <f>H30-I30-J30-K30-L30-M30-N30</f>
      </c>
      <c r="Q30" s="3">
        <f>(P30-Y30)/F30*100</f>
      </c>
      <c r="R30" s="3">
        <f>I30-O30</f>
      </c>
      <c r="S30" t="s">
        <v>1</v>
      </c>
      <c r="T30" t="s">
        <v>291</v>
      </c>
      <c r="Z30" s="3">
        <f>P30-Y30</f>
      </c>
      <c r="AA30" t="s">
        <v>125</v>
      </c>
      <c r="AB30" t="s">
        <v>87</v>
      </c>
    </row>
    <row r="31" spans="1:28" x14ac:dyDescent="0.25">
      <c r="A31" s="7">
        <v>46231.5</v>
      </c>
      <c r="B31" t="s">
        <v>2386</v>
      </c>
      <c r="C31" t="s">
        <v>1</v>
      </c>
      <c r="D31" s="8" t="s">
        <v>2387</v>
      </c>
      <c r="E31" t="s">
        <v>72</v>
      </c>
      <c r="F31" s="3">
        <v>377</v>
      </c>
      <c r="G31" s="3">
        <v>505.18</v>
      </c>
      <c r="H31" s="3">
        <f>G31-F31</f>
      </c>
      <c r="I31" s="3">
        <f>H31*16.67%</f>
      </c>
      <c r="J31" s="3">
        <f>G31*7%</f>
      </c>
      <c r="K31" s="3">
        <f>J31*20%</f>
      </c>
      <c r="L31" s="3">
        <v>0</v>
      </c>
      <c r="M31" s="3">
        <f>L31*20%</f>
      </c>
      <c r="N31" s="3">
        <v>1</v>
      </c>
      <c r="O31" s="3">
        <f>K31+M31</f>
      </c>
      <c r="P31" s="3">
        <f>H31-I31-J31-K31-L31-M31-N31</f>
      </c>
      <c r="Q31" s="3">
        <f>(P31-Y31)/F31*100</f>
      </c>
      <c r="R31" s="3">
        <f>I31-O31</f>
      </c>
      <c r="S31" t="s">
        <v>1</v>
      </c>
      <c r="T31" t="s">
        <v>138</v>
      </c>
      <c r="Z31" s="3">
        <f>P31-Y31</f>
      </c>
      <c r="AA31" t="s">
        <v>59</v>
      </c>
      <c r="AB31" t="s">
        <v>87</v>
      </c>
    </row>
    <row r="32" spans="1:28" x14ac:dyDescent="0.25">
      <c r="A32" s="7">
        <v>46231.5</v>
      </c>
      <c r="B32" t="s">
        <v>2388</v>
      </c>
      <c r="C32" t="s">
        <v>1</v>
      </c>
      <c r="D32" s="8" t="s">
        <v>2389</v>
      </c>
      <c r="E32" t="s">
        <v>57</v>
      </c>
      <c r="F32" s="3">
        <v>337</v>
      </c>
      <c r="G32" s="3">
        <v>454.95</v>
      </c>
      <c r="H32" s="3">
        <f>G32-F32</f>
      </c>
      <c r="I32" s="3">
        <f>H32*16.67%</f>
      </c>
      <c r="J32" s="3">
        <f>G32*7%</f>
      </c>
      <c r="K32" s="3">
        <f>J32*20%</f>
      </c>
      <c r="L32" s="3">
        <v>0</v>
      </c>
      <c r="M32" s="3">
        <f>L32*20%</f>
      </c>
      <c r="N32" s="3">
        <v>1</v>
      </c>
      <c r="O32" s="3">
        <f>K32+M32</f>
      </c>
      <c r="P32" s="3">
        <f>H32-I32-J32-K32-L32-M32-N32</f>
      </c>
      <c r="Q32" s="3">
        <f>(P32-Y32)/F32*100</f>
      </c>
      <c r="R32" s="3">
        <f>I32-O32</f>
      </c>
      <c r="S32" t="s">
        <v>1</v>
      </c>
      <c r="T32" t="s">
        <v>97</v>
      </c>
      <c r="Z32" s="3">
        <f>P32-Y32</f>
      </c>
      <c r="AA32" t="s">
        <v>65</v>
      </c>
      <c r="AB32" t="s">
        <v>69</v>
      </c>
    </row>
    <row r="33" spans="1:28" x14ac:dyDescent="0.25">
      <c r="A33" s="7">
        <v>46231.5</v>
      </c>
      <c r="B33" t="s">
        <v>2390</v>
      </c>
      <c r="C33" t="s">
        <v>1</v>
      </c>
      <c r="D33" s="8" t="s">
        <v>2391</v>
      </c>
      <c r="E33" t="s">
        <v>77</v>
      </c>
      <c r="F33" s="3">
        <v>689</v>
      </c>
      <c r="G33" s="3">
        <v>819.91</v>
      </c>
      <c r="H33" s="3">
        <f>G33-F33</f>
      </c>
      <c r="I33" s="3">
        <f>H33*16.67%</f>
      </c>
      <c r="J33" s="3">
        <f>G33*7%</f>
      </c>
      <c r="K33" s="3">
        <f>J33*20%</f>
      </c>
      <c r="L33" s="3">
        <v>0</v>
      </c>
      <c r="M33" s="3">
        <f>L33*20%</f>
      </c>
      <c r="N33" s="3">
        <v>1</v>
      </c>
      <c r="O33" s="3">
        <f>K33+M33</f>
      </c>
      <c r="P33" s="3">
        <f>H33-I33-J33-K33-L33-M33-N33</f>
      </c>
      <c r="Q33" s="3">
        <f>(P33-Y33)/F33*100</f>
      </c>
      <c r="R33" s="3">
        <f>I33-O33</f>
      </c>
      <c r="S33" t="s">
        <v>1</v>
      </c>
      <c r="T33" t="s">
        <v>83</v>
      </c>
      <c r="Z33" s="3">
        <f>P33-Y33</f>
      </c>
      <c r="AA33" t="s">
        <v>59</v>
      </c>
      <c r="AB33" t="s">
        <v>87</v>
      </c>
    </row>
    <row r="34" spans="1:28" x14ac:dyDescent="0.25">
      <c r="A34" s="7">
        <v>46231.5</v>
      </c>
      <c r="B34" t="s">
        <v>2392</v>
      </c>
      <c r="C34" t="s">
        <v>173</v>
      </c>
      <c r="D34" s="8" t="s">
        <v>1</v>
      </c>
      <c r="E34" t="s">
        <v>63</v>
      </c>
      <c r="F34" s="3">
        <v>4.25</v>
      </c>
      <c r="G34" s="3">
        <v>4.97</v>
      </c>
      <c r="H34" s="3">
        <f>G34-F34</f>
      </c>
      <c r="I34" s="3">
        <f>H34*16.67%</f>
      </c>
      <c r="J34" s="3">
        <f>G34*7%</f>
      </c>
      <c r="K34" s="3">
        <f>J34*20%</f>
      </c>
      <c r="L34" s="3">
        <v>0</v>
      </c>
      <c r="M34" s="3">
        <f>L34*20%</f>
      </c>
      <c r="N34" s="3">
        <v>1</v>
      </c>
      <c r="O34" s="3">
        <f>K34+M34</f>
      </c>
      <c r="P34" s="3">
        <f>H34-I34-J34-K34-L34-M34-N34</f>
      </c>
      <c r="Q34" s="3">
        <f>(P34-Y34)/F34*100</f>
      </c>
      <c r="R34" s="3">
        <f>I34-O34</f>
      </c>
      <c r="S34" t="s">
        <v>1</v>
      </c>
      <c r="T34" t="s">
        <v>173</v>
      </c>
      <c r="Z34" s="3">
        <f>P34-Y34</f>
      </c>
      <c r="AA34" t="s">
        <v>1</v>
      </c>
      <c r="AB34" t="s">
        <v>1</v>
      </c>
    </row>
    <row r="35" spans="1:28" x14ac:dyDescent="0.25">
      <c r="A35" s="7">
        <v>46231.5</v>
      </c>
      <c r="B35" t="s">
        <v>2393</v>
      </c>
      <c r="C35" t="s">
        <v>253</v>
      </c>
      <c r="D35" s="8" t="s">
        <v>1</v>
      </c>
      <c r="E35" t="s">
        <v>57</v>
      </c>
      <c r="F35" s="3">
        <v>0.8</v>
      </c>
      <c r="G35" s="3">
        <v>1.01</v>
      </c>
      <c r="H35" s="3">
        <f>G35-F35</f>
      </c>
      <c r="I35" s="3">
        <f>H35*16.67%</f>
      </c>
      <c r="J35" s="3">
        <f>G35*7%</f>
      </c>
      <c r="K35" s="3">
        <f>J35*20%</f>
      </c>
      <c r="L35" s="3">
        <v>0</v>
      </c>
      <c r="M35" s="3">
        <f>L35*20%</f>
      </c>
      <c r="N35" s="3">
        <v>1</v>
      </c>
      <c r="O35" s="3">
        <f>K35+M35</f>
      </c>
      <c r="P35" s="3">
        <f>H35-I35-J35-K35-L35-M35-N35</f>
      </c>
      <c r="Q35" s="3">
        <f>(P35-Y35)/F35*100</f>
      </c>
      <c r="R35" s="3">
        <f>I35-O35</f>
      </c>
      <c r="S35" t="s">
        <v>1</v>
      </c>
      <c r="T35" t="s">
        <v>253</v>
      </c>
      <c r="Z35" s="3">
        <f>P35-Y35</f>
      </c>
      <c r="AA35" t="s">
        <v>1</v>
      </c>
      <c r="AB35" t="s">
        <v>1</v>
      </c>
    </row>
    <row r="36" spans="1:28" x14ac:dyDescent="0.25">
      <c r="A36" s="7">
        <v>46231.5</v>
      </c>
      <c r="B36" t="s">
        <v>2394</v>
      </c>
      <c r="C36" t="s">
        <v>181</v>
      </c>
      <c r="D36" s="8" t="s">
        <v>1</v>
      </c>
      <c r="E36" t="s">
        <v>72</v>
      </c>
      <c r="F36" s="3">
        <v>1.9</v>
      </c>
      <c r="G36" s="3">
        <v>2.6</v>
      </c>
      <c r="H36" s="3">
        <f>G36-F36</f>
      </c>
      <c r="I36" s="3">
        <f>H36*16.67%</f>
      </c>
      <c r="J36" s="3">
        <f>G36*7%</f>
      </c>
      <c r="K36" s="3">
        <f>J36*20%</f>
      </c>
      <c r="L36" s="3">
        <v>0</v>
      </c>
      <c r="M36" s="3">
        <f>L36*20%</f>
      </c>
      <c r="N36" s="3">
        <v>1</v>
      </c>
      <c r="O36" s="3">
        <f>K36+M36</f>
      </c>
      <c r="P36" s="3">
        <f>H36-I36-J36-K36-L36-M36-N36</f>
      </c>
      <c r="Q36" s="3">
        <f>(P36-Y36)/F36*100</f>
      </c>
      <c r="R36" s="3">
        <f>I36-O36</f>
      </c>
      <c r="S36" t="s">
        <v>1</v>
      </c>
      <c r="T36" t="s">
        <v>181</v>
      </c>
      <c r="Z36" s="3">
        <f>P36-Y36</f>
      </c>
      <c r="AA36" t="s">
        <v>1</v>
      </c>
      <c r="AB36" t="s">
        <v>1</v>
      </c>
    </row>
    <row r="37" spans="1:28" x14ac:dyDescent="0.25">
      <c r="A37" s="7">
        <v>46231.5</v>
      </c>
      <c r="B37" t="s">
        <v>2395</v>
      </c>
      <c r="C37" t="s">
        <v>181</v>
      </c>
      <c r="D37" s="8" t="s">
        <v>1</v>
      </c>
      <c r="E37" t="s">
        <v>72</v>
      </c>
      <c r="F37" s="3">
        <v>1.9</v>
      </c>
      <c r="G37" s="3">
        <v>2.72</v>
      </c>
      <c r="H37" s="3">
        <f>G37-F37</f>
      </c>
      <c r="I37" s="3">
        <f>H37*16.67%</f>
      </c>
      <c r="J37" s="3">
        <f>G37*7%</f>
      </c>
      <c r="K37" s="3">
        <f>J37*20%</f>
      </c>
      <c r="L37" s="3">
        <v>0</v>
      </c>
      <c r="M37" s="3">
        <f>L37*20%</f>
      </c>
      <c r="N37" s="3">
        <v>1</v>
      </c>
      <c r="O37" s="3">
        <f>K37+M37</f>
      </c>
      <c r="P37" s="3">
        <f>H37-I37-J37-K37-L37-M37-N37</f>
      </c>
      <c r="Q37" s="3">
        <f>(P37-Y37)/F37*100</f>
      </c>
      <c r="R37" s="3">
        <f>I37-O37</f>
      </c>
      <c r="S37" t="s">
        <v>1</v>
      </c>
      <c r="T37" t="s">
        <v>181</v>
      </c>
      <c r="Z37" s="3">
        <f>P37-Y37</f>
      </c>
      <c r="AA37" t="s">
        <v>1</v>
      </c>
      <c r="AB37" t="s">
        <v>1</v>
      </c>
    </row>
    <row r="38" spans="1:28" x14ac:dyDescent="0.25">
      <c r="A38" s="7">
        <v>46231.5</v>
      </c>
      <c r="B38" t="s">
        <v>2396</v>
      </c>
      <c r="C38" t="s">
        <v>184</v>
      </c>
      <c r="D38" s="8" t="s">
        <v>1</v>
      </c>
      <c r="E38" t="s">
        <v>101</v>
      </c>
      <c r="F38" s="3">
        <v>1.2</v>
      </c>
      <c r="G38" s="3">
        <v>1.46</v>
      </c>
      <c r="H38" s="3">
        <f>G38-F38</f>
      </c>
      <c r="I38" s="3">
        <f>H38*16.67%</f>
      </c>
      <c r="J38" s="3">
        <f>G38*7%</f>
      </c>
      <c r="K38" s="3">
        <f>J38*20%</f>
      </c>
      <c r="L38" s="3">
        <v>0</v>
      </c>
      <c r="M38" s="3">
        <f>L38*20%</f>
      </c>
      <c r="N38" s="3">
        <v>1</v>
      </c>
      <c r="O38" s="3">
        <f>K38+M38</f>
      </c>
      <c r="P38" s="3">
        <f>H38-I38-J38-K38-L38-M38-N38</f>
      </c>
      <c r="Q38" s="3">
        <f>(P38-Y38)/F38*100</f>
      </c>
      <c r="R38" s="3">
        <f>I38-O38</f>
      </c>
      <c r="S38" t="s">
        <v>1</v>
      </c>
      <c r="T38" t="s">
        <v>184</v>
      </c>
      <c r="Z38" s="3">
        <f>P38-Y38</f>
      </c>
      <c r="AA38" t="s">
        <v>1</v>
      </c>
      <c r="AB38" t="s">
        <v>1</v>
      </c>
    </row>
    <row r="39" spans="1:28" x14ac:dyDescent="0.25">
      <c r="A39" s="7">
        <v>46231.5</v>
      </c>
      <c r="B39" t="s">
        <v>2397</v>
      </c>
      <c r="C39" t="s">
        <v>188</v>
      </c>
      <c r="D39" s="8" t="s">
        <v>1</v>
      </c>
      <c r="E39" t="s">
        <v>63</v>
      </c>
      <c r="F39" s="3">
        <v>3.5</v>
      </c>
      <c r="G39" s="3">
        <v>4.83</v>
      </c>
      <c r="H39" s="3">
        <f>G39-F39</f>
      </c>
      <c r="I39" s="3">
        <f>H39*16.67%</f>
      </c>
      <c r="J39" s="3">
        <f>G39*7%</f>
      </c>
      <c r="K39" s="3">
        <f>J39*20%</f>
      </c>
      <c r="L39" s="3">
        <v>0</v>
      </c>
      <c r="M39" s="3">
        <f>L39*20%</f>
      </c>
      <c r="N39" s="3">
        <v>1</v>
      </c>
      <c r="O39" s="3">
        <f>K39+M39</f>
      </c>
      <c r="P39" s="3">
        <f>H39-I39-J39-K39-L39-M39-N39</f>
      </c>
      <c r="Q39" s="3">
        <f>(P39-Y39)/F39*100</f>
      </c>
      <c r="R39" s="3">
        <f>I39-O39</f>
      </c>
      <c r="S39" t="s">
        <v>1</v>
      </c>
      <c r="T39" t="s">
        <v>188</v>
      </c>
      <c r="Z39" s="3">
        <f>P39-Y39</f>
      </c>
      <c r="AA39" t="s">
        <v>1</v>
      </c>
      <c r="AB39" t="s">
        <v>1</v>
      </c>
    </row>
    <row r="40" spans="1:28" x14ac:dyDescent="0.25">
      <c r="A40" s="7">
        <v>46231.5</v>
      </c>
      <c r="B40" t="s">
        <v>2398</v>
      </c>
      <c r="C40" t="s">
        <v>188</v>
      </c>
      <c r="D40" s="8" t="s">
        <v>1</v>
      </c>
      <c r="E40" t="s">
        <v>63</v>
      </c>
      <c r="F40" s="3">
        <v>3.5</v>
      </c>
      <c r="G40" s="3">
        <v>5.08</v>
      </c>
      <c r="H40" s="3">
        <f>G40-F40</f>
      </c>
      <c r="I40" s="3">
        <f>H40*16.67%</f>
      </c>
      <c r="J40" s="3">
        <f>G40*7%</f>
      </c>
      <c r="K40" s="3">
        <f>J40*20%</f>
      </c>
      <c r="L40" s="3">
        <v>0</v>
      </c>
      <c r="M40" s="3">
        <f>L40*20%</f>
      </c>
      <c r="N40" s="3">
        <v>1</v>
      </c>
      <c r="O40" s="3">
        <f>K40+M40</f>
      </c>
      <c r="P40" s="3">
        <f>H40-I40-J40-K40-L40-M40-N40</f>
      </c>
      <c r="Q40" s="3">
        <f>(P40-Y40)/F40*100</f>
      </c>
      <c r="R40" s="3">
        <f>I40-O40</f>
      </c>
      <c r="S40" t="s">
        <v>1</v>
      </c>
      <c r="T40" t="s">
        <v>188</v>
      </c>
      <c r="Z40" s="3">
        <f>P40-Y40</f>
      </c>
      <c r="AA40" t="s">
        <v>1</v>
      </c>
      <c r="AB40" t="s">
        <v>1</v>
      </c>
    </row>
    <row r="41" spans="1:28" x14ac:dyDescent="0.25">
      <c r="A41" s="7">
        <v>46231.5</v>
      </c>
      <c r="B41" t="s">
        <v>2399</v>
      </c>
      <c r="C41" t="s">
        <v>188</v>
      </c>
      <c r="D41" s="8" t="s">
        <v>1</v>
      </c>
      <c r="E41" t="s">
        <v>63</v>
      </c>
      <c r="F41" s="3">
        <v>3.5</v>
      </c>
      <c r="G41" s="3">
        <v>4.3</v>
      </c>
      <c r="H41" s="3">
        <f>G41-F41</f>
      </c>
      <c r="I41" s="3">
        <f>H41*16.67%</f>
      </c>
      <c r="J41" s="3">
        <f>G41*7%</f>
      </c>
      <c r="K41" s="3">
        <f>J41*20%</f>
      </c>
      <c r="L41" s="3">
        <v>0</v>
      </c>
      <c r="M41" s="3">
        <f>L41*20%</f>
      </c>
      <c r="N41" s="3">
        <v>1</v>
      </c>
      <c r="O41" s="3">
        <f>K41+M41</f>
      </c>
      <c r="P41" s="3">
        <f>H41-I41-J41-K41-L41-M41-N41</f>
      </c>
      <c r="Q41" s="3">
        <f>(P41-Y41)/F41*100</f>
      </c>
      <c r="R41" s="3">
        <f>I41-O41</f>
      </c>
      <c r="S41" t="s">
        <v>1</v>
      </c>
      <c r="T41" t="s">
        <v>188</v>
      </c>
      <c r="Z41" s="3">
        <f>P41-Y41</f>
      </c>
      <c r="AA41" t="s">
        <v>1</v>
      </c>
      <c r="AB41" t="s">
        <v>1</v>
      </c>
    </row>
    <row r="42" spans="1:28" x14ac:dyDescent="0.25">
      <c r="A42" s="7">
        <v>46231.5</v>
      </c>
      <c r="B42" t="s">
        <v>2400</v>
      </c>
      <c r="C42" t="s">
        <v>1</v>
      </c>
      <c r="D42" s="8" t="s">
        <v>1</v>
      </c>
      <c r="E42" t="s">
        <v>72</v>
      </c>
      <c r="F42" s="3">
        <v>607</v>
      </c>
      <c r="G42" s="3">
        <v>813.38</v>
      </c>
      <c r="H42" s="3">
        <f>G42-F42</f>
      </c>
      <c r="I42" s="3">
        <f>H42*16.67%</f>
      </c>
      <c r="J42" s="3">
        <f>G42*7%</f>
      </c>
      <c r="K42" s="3">
        <f>J42*20%</f>
      </c>
      <c r="L42" s="3">
        <v>0</v>
      </c>
      <c r="M42" s="3">
        <f>L42*20%</f>
      </c>
      <c r="N42" s="3">
        <v>1</v>
      </c>
      <c r="O42" s="3">
        <f>K42+M42</f>
      </c>
      <c r="P42" s="3">
        <f>H42-I42-J42-K42-L42-M42-N42</f>
      </c>
      <c r="Q42" s="3">
        <f>(P42-Y42)/F42*100</f>
      </c>
      <c r="R42" s="3">
        <f>I42-O42</f>
      </c>
      <c r="S42" t="s">
        <v>1</v>
      </c>
      <c r="T42" t="s">
        <v>1</v>
      </c>
      <c r="Z42" s="3">
        <f>P42-Y42</f>
      </c>
      <c r="AA42" t="s">
        <v>1</v>
      </c>
      <c r="AB42" t="s">
        <v>1</v>
      </c>
    </row>
    <row r="43" spans="1:28" x14ac:dyDescent="0.25">
      <c r="A43" s="7">
        <v>46231.5</v>
      </c>
      <c r="B43" t="s">
        <v>2401</v>
      </c>
      <c r="C43" t="s">
        <v>1</v>
      </c>
      <c r="D43" s="8" t="s">
        <v>1</v>
      </c>
      <c r="E43" t="s">
        <v>77</v>
      </c>
      <c r="F43" s="3">
        <v>193</v>
      </c>
      <c r="G43" s="3">
        <v>221.95</v>
      </c>
      <c r="H43" s="3">
        <f>G43-F43</f>
      </c>
      <c r="I43" s="3">
        <f>H43*16.67%</f>
      </c>
      <c r="J43" s="3">
        <f>G43*7%</f>
      </c>
      <c r="K43" s="3">
        <f>J43*20%</f>
      </c>
      <c r="L43" s="3">
        <v>0</v>
      </c>
      <c r="M43" s="3">
        <f>L43*20%</f>
      </c>
      <c r="N43" s="3">
        <v>1</v>
      </c>
      <c r="O43" s="3">
        <f>K43+M43</f>
      </c>
      <c r="P43" s="3">
        <f>H43-I43-J43-K43-L43-M43-N43</f>
      </c>
      <c r="Q43" s="3">
        <f>(P43-Y43)/F43*100</f>
      </c>
      <c r="R43" s="3">
        <f>I43-O43</f>
      </c>
      <c r="S43" t="s">
        <v>1</v>
      </c>
      <c r="T43" t="s">
        <v>1</v>
      </c>
      <c r="Z43" s="3">
        <f>P43-Y43</f>
      </c>
      <c r="AA43" t="s">
        <v>1</v>
      </c>
      <c r="AB43" t="s">
        <v>1</v>
      </c>
    </row>
    <row r="44" spans="1:28" x14ac:dyDescent="0.25">
      <c r="A44" s="7">
        <v>46229.5</v>
      </c>
      <c r="B44" t="s">
        <v>2402</v>
      </c>
      <c r="C44" t="s">
        <v>1</v>
      </c>
      <c r="D44" s="8" t="s">
        <v>2403</v>
      </c>
      <c r="E44" t="s">
        <v>57</v>
      </c>
      <c r="F44" s="3">
        <v>194</v>
      </c>
      <c r="G44" s="3">
        <v>248.32</v>
      </c>
      <c r="H44" s="3">
        <f>G44-F44</f>
      </c>
      <c r="I44" s="3">
        <f>H44*16.67%</f>
      </c>
      <c r="J44" s="3">
        <f>G44*7%</f>
      </c>
      <c r="K44" s="3">
        <f>J44*20%</f>
      </c>
      <c r="L44" s="3">
        <v>0</v>
      </c>
      <c r="M44" s="3">
        <f>L44*20%</f>
      </c>
      <c r="N44" s="3">
        <v>1</v>
      </c>
      <c r="O44" s="3">
        <f>K44+M44</f>
      </c>
      <c r="P44" s="3">
        <f>H44-I44-J44-K44-L44-M44-N44</f>
      </c>
      <c r="Q44" s="3">
        <f>(P44-Y44)/F44*100</f>
      </c>
      <c r="R44" s="3">
        <f>I44-O44</f>
      </c>
      <c r="S44" t="s">
        <v>1</v>
      </c>
      <c r="T44" t="s">
        <v>291</v>
      </c>
      <c r="Z44" s="3">
        <f>P44-Y44</f>
      </c>
      <c r="AA44" t="s">
        <v>125</v>
      </c>
      <c r="AB44" t="s">
        <v>60</v>
      </c>
    </row>
    <row r="45" spans="1:28" x14ac:dyDescent="0.25">
      <c r="A45" s="7">
        <v>46229.5</v>
      </c>
      <c r="B45" t="s">
        <v>2404</v>
      </c>
      <c r="C45" t="s">
        <v>1</v>
      </c>
      <c r="D45" s="8" t="s">
        <v>2405</v>
      </c>
      <c r="E45" t="s">
        <v>101</v>
      </c>
      <c r="F45" s="3">
        <v>335</v>
      </c>
      <c r="G45" s="3">
        <v>485.75</v>
      </c>
      <c r="H45" s="3">
        <f>G45-F45</f>
      </c>
      <c r="I45" s="3">
        <f>H45*16.67%</f>
      </c>
      <c r="J45" s="3">
        <f>G45*7%</f>
      </c>
      <c r="K45" s="3">
        <f>J45*20%</f>
      </c>
      <c r="L45" s="3">
        <v>0</v>
      </c>
      <c r="M45" s="3">
        <f>L45*20%</f>
      </c>
      <c r="N45" s="3">
        <v>1</v>
      </c>
      <c r="O45" s="3">
        <f>K45+M45</f>
      </c>
      <c r="P45" s="3">
        <f>H45-I45-J45-K45-L45-M45-N45</f>
      </c>
      <c r="Q45" s="3">
        <f>(P45-Y45)/F45*100</f>
      </c>
      <c r="R45" s="3">
        <f>I45-O45</f>
      </c>
      <c r="S45" t="s">
        <v>1</v>
      </c>
      <c r="T45" t="s">
        <v>130</v>
      </c>
      <c r="Z45" s="3">
        <f>P45-Y45</f>
      </c>
      <c r="AA45" t="s">
        <v>65</v>
      </c>
      <c r="AB45" t="s">
        <v>98</v>
      </c>
    </row>
    <row r="46" spans="1:28" x14ac:dyDescent="0.25">
      <c r="A46" s="7">
        <v>46229.5</v>
      </c>
      <c r="B46" t="s">
        <v>2406</v>
      </c>
      <c r="C46" t="s">
        <v>173</v>
      </c>
      <c r="D46" s="8" t="s">
        <v>1</v>
      </c>
      <c r="E46" t="s">
        <v>63</v>
      </c>
      <c r="F46" s="3">
        <v>4.25</v>
      </c>
      <c r="G46" s="3">
        <v>6.12</v>
      </c>
      <c r="H46" s="3">
        <f>G46-F46</f>
      </c>
      <c r="I46" s="3">
        <f>H46*16.67%</f>
      </c>
      <c r="J46" s="3">
        <f>G46*7%</f>
      </c>
      <c r="K46" s="3">
        <f>J46*20%</f>
      </c>
      <c r="L46" s="3">
        <v>0</v>
      </c>
      <c r="M46" s="3">
        <f>L46*20%</f>
      </c>
      <c r="N46" s="3">
        <v>1</v>
      </c>
      <c r="O46" s="3">
        <f>K46+M46</f>
      </c>
      <c r="P46" s="3">
        <f>H46-I46-J46-K46-L46-M46-N46</f>
      </c>
      <c r="Q46" s="3">
        <f>(P46-Y46)/F46*100</f>
      </c>
      <c r="R46" s="3">
        <f>I46-O46</f>
      </c>
      <c r="S46" t="s">
        <v>1</v>
      </c>
      <c r="T46" t="s">
        <v>173</v>
      </c>
      <c r="Z46" s="3">
        <f>P46-Y46</f>
      </c>
      <c r="AA46" t="s">
        <v>1</v>
      </c>
      <c r="AB46" t="s">
        <v>1</v>
      </c>
    </row>
    <row r="47" spans="1:28" x14ac:dyDescent="0.25">
      <c r="A47" s="7">
        <v>46229.5</v>
      </c>
      <c r="B47" t="s">
        <v>2407</v>
      </c>
      <c r="C47" t="s">
        <v>1</v>
      </c>
      <c r="D47" s="8" t="s">
        <v>1</v>
      </c>
      <c r="E47" t="s">
        <v>57</v>
      </c>
      <c r="F47" s="3">
        <v>155</v>
      </c>
      <c r="G47" s="3">
        <v>218.55</v>
      </c>
      <c r="H47" s="3">
        <f>G47-F47</f>
      </c>
      <c r="I47" s="3">
        <f>H47*16.67%</f>
      </c>
      <c r="J47" s="3">
        <f>G47*7%</f>
      </c>
      <c r="K47" s="3">
        <f>J47*20%</f>
      </c>
      <c r="L47" s="3">
        <v>0</v>
      </c>
      <c r="M47" s="3">
        <f>L47*20%</f>
      </c>
      <c r="N47" s="3">
        <v>1</v>
      </c>
      <c r="O47" s="3">
        <f>K47+M47</f>
      </c>
      <c r="P47" s="3">
        <f>H47-I47-J47-K47-L47-M47-N47</f>
      </c>
      <c r="Q47" s="3">
        <f>(P47-Y47)/F47*100</f>
      </c>
      <c r="R47" s="3">
        <f>I47-O47</f>
      </c>
      <c r="S47" t="s">
        <v>1</v>
      </c>
      <c r="T47" t="s">
        <v>1</v>
      </c>
      <c r="Z47" s="3">
        <f>P47-Y47</f>
      </c>
      <c r="AA47" t="s">
        <v>1</v>
      </c>
      <c r="AB47" t="s">
        <v>1</v>
      </c>
    </row>
    <row r="48" spans="1:28" x14ac:dyDescent="0.25">
      <c r="A48" s="7">
        <v>46228.5</v>
      </c>
      <c r="B48" t="s">
        <v>2408</v>
      </c>
      <c r="C48" t="s">
        <v>1</v>
      </c>
      <c r="D48" s="8" t="s">
        <v>2409</v>
      </c>
      <c r="E48" t="s">
        <v>101</v>
      </c>
      <c r="F48" s="3">
        <v>140</v>
      </c>
      <c r="G48" s="3">
        <v>194.6</v>
      </c>
      <c r="H48" s="3">
        <f>G48-F48</f>
      </c>
      <c r="I48" s="3">
        <f>H48*16.67%</f>
      </c>
      <c r="J48" s="3">
        <f>G48*7%</f>
      </c>
      <c r="K48" s="3">
        <f>J48*20%</f>
      </c>
      <c r="L48" s="3">
        <v>0</v>
      </c>
      <c r="M48" s="3">
        <f>L48*20%</f>
      </c>
      <c r="N48" s="3">
        <v>1</v>
      </c>
      <c r="O48" s="3">
        <f>K48+M48</f>
      </c>
      <c r="P48" s="3">
        <f>H48-I48-J48-K48-L48-M48-N48</f>
      </c>
      <c r="Q48" s="3">
        <f>(P48-Y48)/F48*100</f>
      </c>
      <c r="R48" s="3">
        <f>I48-O48</f>
      </c>
      <c r="S48" t="s">
        <v>1</v>
      </c>
      <c r="T48" t="s">
        <v>133</v>
      </c>
      <c r="Z48" s="3">
        <f>P48-Y48</f>
      </c>
      <c r="AA48" t="s">
        <v>65</v>
      </c>
      <c r="AB48" t="s">
        <v>87</v>
      </c>
    </row>
    <row r="49" spans="1:28" x14ac:dyDescent="0.25">
      <c r="A49" s="7">
        <v>46228.5</v>
      </c>
      <c r="B49" t="s">
        <v>2410</v>
      </c>
      <c r="C49" t="s">
        <v>1</v>
      </c>
      <c r="D49" s="8" t="s">
        <v>2411</v>
      </c>
      <c r="E49" t="s">
        <v>77</v>
      </c>
      <c r="F49" s="3">
        <v>174</v>
      </c>
      <c r="G49" s="3">
        <v>250.56</v>
      </c>
      <c r="H49" s="3">
        <f>G49-F49</f>
      </c>
      <c r="I49" s="3">
        <f>H49*16.67%</f>
      </c>
      <c r="J49" s="3">
        <f>G49*7%</f>
      </c>
      <c r="K49" s="3">
        <f>J49*20%</f>
      </c>
      <c r="L49" s="3">
        <v>0</v>
      </c>
      <c r="M49" s="3">
        <f>L49*20%</f>
      </c>
      <c r="N49" s="3">
        <v>1</v>
      </c>
      <c r="O49" s="3">
        <f>K49+M49</f>
      </c>
      <c r="P49" s="3">
        <f>H49-I49-J49-K49-L49-M49-N49</f>
      </c>
      <c r="Q49" s="3">
        <f>(P49-Y49)/F49*100</f>
      </c>
      <c r="R49" s="3">
        <f>I49-O49</f>
      </c>
      <c r="S49" t="s">
        <v>1</v>
      </c>
      <c r="T49" t="s">
        <v>171</v>
      </c>
      <c r="Z49" s="3">
        <f>P49-Y49</f>
      </c>
      <c r="AA49" t="s">
        <v>65</v>
      </c>
      <c r="AB49" t="s">
        <v>87</v>
      </c>
    </row>
    <row r="50" spans="1:28" x14ac:dyDescent="0.25">
      <c r="A50" s="7">
        <v>46228.5</v>
      </c>
      <c r="B50" t="s">
        <v>2412</v>
      </c>
      <c r="C50" t="s">
        <v>1</v>
      </c>
      <c r="D50" s="8" t="s">
        <v>2413</v>
      </c>
      <c r="E50" t="s">
        <v>101</v>
      </c>
      <c r="F50" s="3">
        <v>71</v>
      </c>
      <c r="G50" s="3">
        <v>84.49</v>
      </c>
      <c r="H50" s="3">
        <f>G50-F50</f>
      </c>
      <c r="I50" s="3">
        <f>H50*16.67%</f>
      </c>
      <c r="J50" s="3">
        <f>G50*7%</f>
      </c>
      <c r="K50" s="3">
        <f>J50*20%</f>
      </c>
      <c r="L50" s="3">
        <v>0</v>
      </c>
      <c r="M50" s="3">
        <f>L50*20%</f>
      </c>
      <c r="N50" s="3">
        <v>1</v>
      </c>
      <c r="O50" s="3">
        <f>K50+M50</f>
      </c>
      <c r="P50" s="3">
        <f>H50-I50-J50-K50-L50-M50-N50</f>
      </c>
      <c r="Q50" s="3">
        <f>(P50-Y50)/F50*100</f>
      </c>
      <c r="R50" s="3">
        <f>I50-O50</f>
      </c>
      <c r="S50" t="s">
        <v>1</v>
      </c>
      <c r="T50" t="s">
        <v>93</v>
      </c>
      <c r="Z50" s="3">
        <f>P50-Y50</f>
      </c>
      <c r="AA50" t="s">
        <v>94</v>
      </c>
      <c r="AB50" t="s">
        <v>104</v>
      </c>
    </row>
    <row r="51" spans="1:28" x14ac:dyDescent="0.25">
      <c r="A51" s="7">
        <v>46228.5</v>
      </c>
      <c r="B51" t="s">
        <v>2414</v>
      </c>
      <c r="C51" t="s">
        <v>1</v>
      </c>
      <c r="D51" s="8" t="s">
        <v>2415</v>
      </c>
      <c r="E51" t="s">
        <v>101</v>
      </c>
      <c r="F51" s="3">
        <v>306</v>
      </c>
      <c r="G51" s="3">
        <v>397.8</v>
      </c>
      <c r="H51" s="3">
        <f>G51-F51</f>
      </c>
      <c r="I51" s="3">
        <f>H51*16.67%</f>
      </c>
      <c r="J51" s="3">
        <f>G51*7%</f>
      </c>
      <c r="K51" s="3">
        <f>J51*20%</f>
      </c>
      <c r="L51" s="3">
        <v>0</v>
      </c>
      <c r="M51" s="3">
        <f>L51*20%</f>
      </c>
      <c r="N51" s="3">
        <v>1</v>
      </c>
      <c r="O51" s="3">
        <f>K51+M51</f>
      </c>
      <c r="P51" s="3">
        <f>H51-I51-J51-K51-L51-M51-N51</f>
      </c>
      <c r="Q51" s="3">
        <f>(P51-Y51)/F51*100</f>
      </c>
      <c r="R51" s="3">
        <f>I51-O51</f>
      </c>
      <c r="S51" t="s">
        <v>1</v>
      </c>
      <c r="T51" t="s">
        <v>97</v>
      </c>
      <c r="Z51" s="3">
        <f>P51-Y51</f>
      </c>
      <c r="AA51" t="s">
        <v>65</v>
      </c>
      <c r="AB51" t="s">
        <v>60</v>
      </c>
    </row>
    <row r="52" spans="1:28" x14ac:dyDescent="0.25">
      <c r="A52" s="7">
        <v>46228.5</v>
      </c>
      <c r="B52" t="s">
        <v>2416</v>
      </c>
      <c r="C52" t="s">
        <v>1</v>
      </c>
      <c r="D52" s="8" t="s">
        <v>2417</v>
      </c>
      <c r="E52" t="s">
        <v>77</v>
      </c>
      <c r="F52" s="3">
        <v>201</v>
      </c>
      <c r="G52" s="3">
        <v>269.34</v>
      </c>
      <c r="H52" s="3">
        <f>G52-F52</f>
      </c>
      <c r="I52" s="3">
        <f>H52*16.67%</f>
      </c>
      <c r="J52" s="3">
        <f>G52*7%</f>
      </c>
      <c r="K52" s="3">
        <f>J52*20%</f>
      </c>
      <c r="L52" s="3">
        <v>0</v>
      </c>
      <c r="M52" s="3">
        <f>L52*20%</f>
      </c>
      <c r="N52" s="3">
        <v>1</v>
      </c>
      <c r="O52" s="3">
        <f>K52+M52</f>
      </c>
      <c r="P52" s="3">
        <f>H52-I52-J52-K52-L52-M52-N52</f>
      </c>
      <c r="Q52" s="3">
        <f>(P52-Y52)/F52*100</f>
      </c>
      <c r="R52" s="3">
        <f>I52-O52</f>
      </c>
      <c r="S52" t="s">
        <v>1</v>
      </c>
      <c r="T52" t="s">
        <v>291</v>
      </c>
      <c r="Z52" s="3">
        <f>P52-Y52</f>
      </c>
      <c r="AA52" t="s">
        <v>125</v>
      </c>
      <c r="AB52" t="s">
        <v>69</v>
      </c>
    </row>
    <row r="53" spans="1:28" x14ac:dyDescent="0.25">
      <c r="A53" s="7">
        <v>46228.5</v>
      </c>
      <c r="B53" t="s">
        <v>2418</v>
      </c>
      <c r="C53" t="s">
        <v>188</v>
      </c>
      <c r="D53" s="8" t="s">
        <v>1</v>
      </c>
      <c r="E53" t="s">
        <v>63</v>
      </c>
      <c r="F53" s="3">
        <v>3.5</v>
      </c>
      <c r="G53" s="3">
        <v>4.97</v>
      </c>
      <c r="H53" s="3">
        <f>G53-F53</f>
      </c>
      <c r="I53" s="3">
        <f>H53*16.67%</f>
      </c>
      <c r="J53" s="3">
        <f>G53*7%</f>
      </c>
      <c r="K53" s="3">
        <f>J53*20%</f>
      </c>
      <c r="L53" s="3">
        <v>0</v>
      </c>
      <c r="M53" s="3">
        <f>L53*20%</f>
      </c>
      <c r="N53" s="3">
        <v>1</v>
      </c>
      <c r="O53" s="3">
        <f>K53+M53</f>
      </c>
      <c r="P53" s="3">
        <f>H53-I53-J53-K53-L53-M53-N53</f>
      </c>
      <c r="Q53" s="3">
        <f>(P53-Y53)/F53*100</f>
      </c>
      <c r="R53" s="3">
        <f>I53-O53</f>
      </c>
      <c r="S53" t="s">
        <v>1</v>
      </c>
      <c r="T53" t="s">
        <v>188</v>
      </c>
      <c r="Z53" s="3">
        <f>P53-Y53</f>
      </c>
      <c r="AA53" t="s">
        <v>1</v>
      </c>
      <c r="AB53" t="s">
        <v>1</v>
      </c>
    </row>
    <row r="54" spans="1:28" x14ac:dyDescent="0.25">
      <c r="A54" s="7">
        <v>46227.5</v>
      </c>
      <c r="B54" t="s">
        <v>2419</v>
      </c>
      <c r="C54" t="s">
        <v>1</v>
      </c>
      <c r="D54" s="8" t="s">
        <v>2420</v>
      </c>
      <c r="E54" t="s">
        <v>57</v>
      </c>
      <c r="F54" s="3">
        <v>110</v>
      </c>
      <c r="G54" s="3">
        <v>135.3</v>
      </c>
      <c r="H54" s="3">
        <f>G54-F54</f>
      </c>
      <c r="I54" s="3">
        <f>H54*16.67%</f>
      </c>
      <c r="J54" s="3">
        <f>G54*7%</f>
      </c>
      <c r="K54" s="3">
        <f>J54*20%</f>
      </c>
      <c r="L54" s="3">
        <v>0</v>
      </c>
      <c r="M54" s="3">
        <f>L54*20%</f>
      </c>
      <c r="N54" s="3">
        <v>1</v>
      </c>
      <c r="O54" s="3">
        <f>K54+M54</f>
      </c>
      <c r="P54" s="3">
        <f>H54-I54-J54-K54-L54-M54-N54</f>
      </c>
      <c r="Q54" s="3">
        <f>(P54-Y54)/F54*100</f>
      </c>
      <c r="R54" s="3">
        <f>I54-O54</f>
      </c>
      <c r="S54" t="s">
        <v>1</v>
      </c>
      <c r="T54" t="s">
        <v>133</v>
      </c>
      <c r="Z54" s="3">
        <f>P54-Y54</f>
      </c>
      <c r="AA54" t="s">
        <v>94</v>
      </c>
      <c r="AB54" t="s">
        <v>69</v>
      </c>
    </row>
    <row r="55" spans="1:28" x14ac:dyDescent="0.25">
      <c r="A55" s="7">
        <v>46227.5</v>
      </c>
      <c r="B55" t="s">
        <v>2421</v>
      </c>
      <c r="C55" t="s">
        <v>1</v>
      </c>
      <c r="D55" s="8" t="s">
        <v>2422</v>
      </c>
      <c r="E55" t="s">
        <v>101</v>
      </c>
      <c r="F55" s="3">
        <v>251</v>
      </c>
      <c r="G55" s="3">
        <v>333.83</v>
      </c>
      <c r="H55" s="3">
        <f>G55-F55</f>
      </c>
      <c r="I55" s="3">
        <f>H55*16.67%</f>
      </c>
      <c r="J55" s="3">
        <f>G55*7%</f>
      </c>
      <c r="K55" s="3">
        <f>J55*20%</f>
      </c>
      <c r="L55" s="3">
        <v>0</v>
      </c>
      <c r="M55" s="3">
        <f>L55*20%</f>
      </c>
      <c r="N55" s="3">
        <v>1</v>
      </c>
      <c r="O55" s="3">
        <f>K55+M55</f>
      </c>
      <c r="P55" s="3">
        <f>H55-I55-J55-K55-L55-M55-N55</f>
      </c>
      <c r="Q55" s="3">
        <f>(P55-Y55)/F55*100</f>
      </c>
      <c r="R55" s="3">
        <f>I55-O55</f>
      </c>
      <c r="S55" t="s">
        <v>1</v>
      </c>
      <c r="T55" t="s">
        <v>113</v>
      </c>
      <c r="Z55" s="3">
        <f>P55-Y55</f>
      </c>
      <c r="AA55" t="s">
        <v>59</v>
      </c>
      <c r="AB55" t="s">
        <v>84</v>
      </c>
    </row>
    <row r="56" spans="1:28" x14ac:dyDescent="0.25">
      <c r="A56" s="7">
        <v>46227.5</v>
      </c>
      <c r="B56" t="s">
        <v>2423</v>
      </c>
      <c r="C56" t="s">
        <v>1</v>
      </c>
      <c r="D56" s="8" t="s">
        <v>2424</v>
      </c>
      <c r="E56" t="s">
        <v>77</v>
      </c>
      <c r="F56" s="3">
        <v>260</v>
      </c>
      <c r="G56" s="3">
        <v>335.4</v>
      </c>
      <c r="H56" s="3">
        <f>G56-F56</f>
      </c>
      <c r="I56" s="3">
        <f>H56*16.67%</f>
      </c>
      <c r="J56" s="3">
        <f>G56*7%</f>
      </c>
      <c r="K56" s="3">
        <f>J56*20%</f>
      </c>
      <c r="L56" s="3">
        <v>0</v>
      </c>
      <c r="M56" s="3">
        <f>L56*20%</f>
      </c>
      <c r="N56" s="3">
        <v>1</v>
      </c>
      <c r="O56" s="3">
        <f>K56+M56</f>
      </c>
      <c r="P56" s="3">
        <f>H56-I56-J56-K56-L56-M56-N56</f>
      </c>
      <c r="Q56" s="3">
        <f>(P56-Y56)/F56*100</f>
      </c>
      <c r="R56" s="3">
        <f>I56-O56</f>
      </c>
      <c r="S56" t="s">
        <v>1</v>
      </c>
      <c r="T56" t="s">
        <v>130</v>
      </c>
      <c r="Z56" s="3">
        <f>P56-Y56</f>
      </c>
      <c r="AA56" t="s">
        <v>65</v>
      </c>
      <c r="AB56" t="s">
        <v>69</v>
      </c>
    </row>
    <row r="57" spans="1:28" x14ac:dyDescent="0.25">
      <c r="A57" s="7">
        <v>46227.5</v>
      </c>
      <c r="B57" t="s">
        <v>2425</v>
      </c>
      <c r="C57" t="s">
        <v>1</v>
      </c>
      <c r="D57" s="8" t="s">
        <v>2426</v>
      </c>
      <c r="E57" t="s">
        <v>72</v>
      </c>
      <c r="F57" s="3">
        <v>328</v>
      </c>
      <c r="G57" s="3">
        <v>387.04</v>
      </c>
      <c r="H57" s="3">
        <f>G57-F57</f>
      </c>
      <c r="I57" s="3">
        <f>H57*16.67%</f>
      </c>
      <c r="J57" s="3">
        <f>G57*7%</f>
      </c>
      <c r="K57" s="3">
        <f>J57*20%</f>
      </c>
      <c r="L57" s="3">
        <v>0</v>
      </c>
      <c r="M57" s="3">
        <f>L57*20%</f>
      </c>
      <c r="N57" s="3">
        <v>1</v>
      </c>
      <c r="O57" s="3">
        <f>K57+M57</f>
      </c>
      <c r="P57" s="3">
        <f>H57-I57-J57-K57-L57-M57-N57</f>
      </c>
      <c r="Q57" s="3">
        <f>(P57-Y57)/F57*100</f>
      </c>
      <c r="R57" s="3">
        <f>I57-O57</f>
      </c>
      <c r="S57" t="s">
        <v>1</v>
      </c>
      <c r="T57" t="s">
        <v>130</v>
      </c>
      <c r="Z57" s="3">
        <f>P57-Y57</f>
      </c>
      <c r="AA57" t="s">
        <v>65</v>
      </c>
      <c r="AB57" t="s">
        <v>87</v>
      </c>
    </row>
    <row r="58" spans="1:28" x14ac:dyDescent="0.25">
      <c r="A58" s="7">
        <v>46227.5</v>
      </c>
      <c r="B58" t="s">
        <v>2427</v>
      </c>
      <c r="C58" t="s">
        <v>1</v>
      </c>
      <c r="D58" s="8" t="s">
        <v>2428</v>
      </c>
      <c r="E58" t="s">
        <v>72</v>
      </c>
      <c r="F58" s="3">
        <v>194</v>
      </c>
      <c r="G58" s="3">
        <v>223.1</v>
      </c>
      <c r="H58" s="3">
        <f>G58-F58</f>
      </c>
      <c r="I58" s="3">
        <f>H58*16.67%</f>
      </c>
      <c r="J58" s="3">
        <f>G58*7%</f>
      </c>
      <c r="K58" s="3">
        <f>J58*20%</f>
      </c>
      <c r="L58" s="3">
        <v>0</v>
      </c>
      <c r="M58" s="3">
        <f>L58*20%</f>
      </c>
      <c r="N58" s="3">
        <v>1</v>
      </c>
      <c r="O58" s="3">
        <f>K58+M58</f>
      </c>
      <c r="P58" s="3">
        <f>H58-I58-J58-K58-L58-M58-N58</f>
      </c>
      <c r="Q58" s="3">
        <f>(P58-Y58)/F58*100</f>
      </c>
      <c r="R58" s="3">
        <f>I58-O58</f>
      </c>
      <c r="S58" t="s">
        <v>1</v>
      </c>
      <c r="T58" t="s">
        <v>291</v>
      </c>
      <c r="Z58" s="3">
        <f>P58-Y58</f>
      </c>
      <c r="AA58" t="s">
        <v>125</v>
      </c>
      <c r="AB58" t="s">
        <v>98</v>
      </c>
    </row>
    <row r="59" spans="1:28" x14ac:dyDescent="0.25">
      <c r="A59" s="7">
        <v>46227.5</v>
      </c>
      <c r="B59" t="s">
        <v>2429</v>
      </c>
      <c r="C59" t="s">
        <v>1</v>
      </c>
      <c r="D59" s="8" t="s">
        <v>2430</v>
      </c>
      <c r="E59" t="s">
        <v>72</v>
      </c>
      <c r="F59" s="3">
        <v>258</v>
      </c>
      <c r="G59" s="3">
        <v>337.98</v>
      </c>
      <c r="H59" s="3">
        <f>G59-F59</f>
      </c>
      <c r="I59" s="3">
        <f>H59*16.67%</f>
      </c>
      <c r="J59" s="3">
        <f>G59*7%</f>
      </c>
      <c r="K59" s="3">
        <f>J59*20%</f>
      </c>
      <c r="L59" s="3">
        <v>0</v>
      </c>
      <c r="M59" s="3">
        <f>L59*20%</f>
      </c>
      <c r="N59" s="3">
        <v>1</v>
      </c>
      <c r="O59" s="3">
        <f>K59+M59</f>
      </c>
      <c r="P59" s="3">
        <f>H59-I59-J59-K59-L59-M59-N59</f>
      </c>
      <c r="Q59" s="3">
        <f>(P59-Y59)/F59*100</f>
      </c>
      <c r="R59" s="3">
        <f>I59-O59</f>
      </c>
      <c r="S59" t="s">
        <v>1</v>
      </c>
      <c r="T59" t="s">
        <v>124</v>
      </c>
      <c r="Z59" s="3">
        <f>P59-Y59</f>
      </c>
      <c r="AA59" t="s">
        <v>125</v>
      </c>
      <c r="AB59" t="s">
        <v>69</v>
      </c>
    </row>
    <row r="60" spans="1:28" x14ac:dyDescent="0.25">
      <c r="A60" s="7">
        <v>46227.5</v>
      </c>
      <c r="B60" t="s">
        <v>2431</v>
      </c>
      <c r="C60" t="s">
        <v>176</v>
      </c>
      <c r="D60" s="8" t="s">
        <v>1</v>
      </c>
      <c r="E60" t="s">
        <v>77</v>
      </c>
      <c r="F60" s="3">
        <v>0.15</v>
      </c>
      <c r="G60" s="3">
        <v>0.18</v>
      </c>
      <c r="H60" s="3">
        <f>G60-F60</f>
      </c>
      <c r="I60" s="3">
        <f>H60*16.67%</f>
      </c>
      <c r="J60" s="3">
        <f>G60*7%</f>
      </c>
      <c r="K60" s="3">
        <f>J60*20%</f>
      </c>
      <c r="L60" s="3">
        <v>0</v>
      </c>
      <c r="M60" s="3">
        <f>L60*20%</f>
      </c>
      <c r="N60" s="3">
        <v>1</v>
      </c>
      <c r="O60" s="3">
        <f>K60+M60</f>
      </c>
      <c r="P60" s="3">
        <f>H60-I60-J60-K60-L60-M60-N60</f>
      </c>
      <c r="Q60" s="3">
        <f>(P60-Y60)/F60*100</f>
      </c>
      <c r="R60" s="3">
        <f>I60-O60</f>
      </c>
      <c r="S60" t="s">
        <v>1</v>
      </c>
      <c r="T60" t="s">
        <v>176</v>
      </c>
      <c r="Z60" s="3">
        <f>P60-Y60</f>
      </c>
      <c r="AA60" t="s">
        <v>1</v>
      </c>
      <c r="AB60" t="s">
        <v>1</v>
      </c>
    </row>
    <row r="61" spans="1:28" x14ac:dyDescent="0.25">
      <c r="A61" s="7">
        <v>46226.5</v>
      </c>
      <c r="B61" t="s">
        <v>2432</v>
      </c>
      <c r="C61" t="s">
        <v>1</v>
      </c>
      <c r="D61" s="8" t="s">
        <v>2433</v>
      </c>
      <c r="E61" t="s">
        <v>57</v>
      </c>
      <c r="F61" s="3">
        <v>752</v>
      </c>
      <c r="G61" s="3">
        <v>1037.76</v>
      </c>
      <c r="H61" s="3">
        <f>G61-F61</f>
      </c>
      <c r="I61" s="3">
        <f>H61*16.67%</f>
      </c>
      <c r="J61" s="3">
        <f>G61*7%</f>
      </c>
      <c r="K61" s="3">
        <f>J61*20%</f>
      </c>
      <c r="L61" s="3">
        <v>0</v>
      </c>
      <c r="M61" s="3">
        <f>L61*20%</f>
      </c>
      <c r="N61" s="3">
        <v>1</v>
      </c>
      <c r="O61" s="3">
        <f>K61+M61</f>
      </c>
      <c r="P61" s="3">
        <f>H61-I61-J61-K61-L61-M61-N61</f>
      </c>
      <c r="Q61" s="3">
        <f>(P61-Y61)/F61*100</f>
      </c>
      <c r="R61" s="3">
        <f>I61-O61</f>
      </c>
      <c r="S61" t="s">
        <v>1</v>
      </c>
      <c r="T61" t="s">
        <v>83</v>
      </c>
      <c r="Z61" s="3">
        <f>P61-Y61</f>
      </c>
      <c r="AA61" t="s">
        <v>59</v>
      </c>
      <c r="AB61" t="s">
        <v>84</v>
      </c>
    </row>
    <row r="62" spans="1:28" x14ac:dyDescent="0.25">
      <c r="A62" s="7">
        <v>46226.5</v>
      </c>
      <c r="B62" t="s">
        <v>2434</v>
      </c>
      <c r="C62" t="s">
        <v>1</v>
      </c>
      <c r="D62" s="8" t="s">
        <v>2435</v>
      </c>
      <c r="E62" t="s">
        <v>63</v>
      </c>
      <c r="F62" s="3">
        <v>184</v>
      </c>
      <c r="G62" s="3">
        <v>253.92</v>
      </c>
      <c r="H62" s="3">
        <f>G62-F62</f>
      </c>
      <c r="I62" s="3">
        <f>H62*16.67%</f>
      </c>
      <c r="J62" s="3">
        <f>G62*7%</f>
      </c>
      <c r="K62" s="3">
        <f>J62*20%</f>
      </c>
      <c r="L62" s="3">
        <v>0</v>
      </c>
      <c r="M62" s="3">
        <f>L62*20%</f>
      </c>
      <c r="N62" s="3">
        <v>1</v>
      </c>
      <c r="O62" s="3">
        <f>K62+M62</f>
      </c>
      <c r="P62" s="3">
        <f>H62-I62-J62-K62-L62-M62-N62</f>
      </c>
      <c r="Q62" s="3">
        <f>(P62-Y62)/F62*100</f>
      </c>
      <c r="R62" s="3">
        <f>I62-O62</f>
      </c>
      <c r="S62" t="s">
        <v>1</v>
      </c>
      <c r="T62" t="s">
        <v>113</v>
      </c>
      <c r="Z62" s="3">
        <f>P62-Y62</f>
      </c>
      <c r="AA62" t="s">
        <v>59</v>
      </c>
      <c r="AB62" t="s">
        <v>69</v>
      </c>
    </row>
    <row r="63" spans="1:28" x14ac:dyDescent="0.25">
      <c r="A63" s="7">
        <v>46226.5</v>
      </c>
      <c r="B63" t="s">
        <v>2436</v>
      </c>
      <c r="C63" t="s">
        <v>1</v>
      </c>
      <c r="D63" s="8" t="s">
        <v>2437</v>
      </c>
      <c r="E63" t="s">
        <v>77</v>
      </c>
      <c r="F63" s="3">
        <v>103</v>
      </c>
      <c r="G63" s="3">
        <v>130.81</v>
      </c>
      <c r="H63" s="3">
        <f>G63-F63</f>
      </c>
      <c r="I63" s="3">
        <f>H63*16.67%</f>
      </c>
      <c r="J63" s="3">
        <f>G63*7%</f>
      </c>
      <c r="K63" s="3">
        <f>J63*20%</f>
      </c>
      <c r="L63" s="3">
        <v>0</v>
      </c>
      <c r="M63" s="3">
        <f>L63*20%</f>
      </c>
      <c r="N63" s="3">
        <v>1</v>
      </c>
      <c r="O63" s="3">
        <f>K63+M63</f>
      </c>
      <c r="P63" s="3">
        <f>H63-I63-J63-K63-L63-M63-N63</f>
      </c>
      <c r="Q63" s="3">
        <f>(P63-Y63)/F63*100</f>
      </c>
      <c r="R63" s="3">
        <f>I63-O63</f>
      </c>
      <c r="S63" t="s">
        <v>1</v>
      </c>
      <c r="T63" t="s">
        <v>90</v>
      </c>
      <c r="Z63" s="3">
        <f>P63-Y63</f>
      </c>
      <c r="AA63" t="s">
        <v>94</v>
      </c>
      <c r="AB63" t="s">
        <v>69</v>
      </c>
    </row>
    <row r="64" spans="1:28" x14ac:dyDescent="0.25">
      <c r="A64" s="7">
        <v>46226.5</v>
      </c>
      <c r="B64" t="s">
        <v>2438</v>
      </c>
      <c r="C64" t="s">
        <v>1</v>
      </c>
      <c r="D64" s="8" t="s">
        <v>2439</v>
      </c>
      <c r="E64" t="s">
        <v>77</v>
      </c>
      <c r="F64" s="3">
        <v>282</v>
      </c>
      <c r="G64" s="3">
        <v>358.14</v>
      </c>
      <c r="H64" s="3">
        <f>G64-F64</f>
      </c>
      <c r="I64" s="3">
        <f>H64*16.67%</f>
      </c>
      <c r="J64" s="3">
        <f>G64*7%</f>
      </c>
      <c r="K64" s="3">
        <f>J64*20%</f>
      </c>
      <c r="L64" s="3">
        <v>0</v>
      </c>
      <c r="M64" s="3">
        <f>L64*20%</f>
      </c>
      <c r="N64" s="3">
        <v>1</v>
      </c>
      <c r="O64" s="3">
        <f>K64+M64</f>
      </c>
      <c r="P64" s="3">
        <f>H64-I64-J64-K64-L64-M64-N64</f>
      </c>
      <c r="Q64" s="3">
        <f>(P64-Y64)/F64*100</f>
      </c>
      <c r="R64" s="3">
        <f>I64-O64</f>
      </c>
      <c r="S64" t="s">
        <v>1</v>
      </c>
      <c r="T64" t="s">
        <v>130</v>
      </c>
      <c r="Z64" s="3">
        <f>P64-Y64</f>
      </c>
      <c r="AA64" t="s">
        <v>65</v>
      </c>
      <c r="AB64" t="s">
        <v>74</v>
      </c>
    </row>
    <row r="65" spans="1:28" x14ac:dyDescent="0.25">
      <c r="A65" s="7">
        <v>46225.5</v>
      </c>
      <c r="B65" t="s">
        <v>2440</v>
      </c>
      <c r="C65" t="s">
        <v>1</v>
      </c>
      <c r="D65" s="8" t="s">
        <v>2441</v>
      </c>
      <c r="E65" t="s">
        <v>63</v>
      </c>
      <c r="F65" s="3">
        <v>501</v>
      </c>
      <c r="G65" s="3">
        <v>626.25</v>
      </c>
      <c r="H65" s="3">
        <f>G65-F65</f>
      </c>
      <c r="I65" s="3">
        <f>H65*16.67%</f>
      </c>
      <c r="J65" s="3">
        <f>G65*7%</f>
      </c>
      <c r="K65" s="3">
        <f>J65*20%</f>
      </c>
      <c r="L65" s="3">
        <v>0</v>
      </c>
      <c r="M65" s="3">
        <f>L65*20%</f>
      </c>
      <c r="N65" s="3">
        <v>1</v>
      </c>
      <c r="O65" s="3">
        <f>K65+M65</f>
      </c>
      <c r="P65" s="3">
        <f>H65-I65-J65-K65-L65-M65-N65</f>
      </c>
      <c r="Q65" s="3">
        <f>(P65-Y65)/F65*100</f>
      </c>
      <c r="R65" s="3">
        <f>I65-O65</f>
      </c>
      <c r="S65" t="s">
        <v>1</v>
      </c>
      <c r="T65" t="s">
        <v>68</v>
      </c>
      <c r="Z65" s="3">
        <f>P65-Y65</f>
      </c>
      <c r="AA65" t="s">
        <v>59</v>
      </c>
      <c r="AB65" t="s">
        <v>98</v>
      </c>
    </row>
    <row r="66" spans="1:28" x14ac:dyDescent="0.25">
      <c r="A66" s="7">
        <v>46225.5</v>
      </c>
      <c r="B66" t="s">
        <v>2442</v>
      </c>
      <c r="C66" t="s">
        <v>1</v>
      </c>
      <c r="D66" s="8" t="s">
        <v>2443</v>
      </c>
      <c r="E66" t="s">
        <v>101</v>
      </c>
      <c r="F66" s="3">
        <v>68</v>
      </c>
      <c r="G66" s="3">
        <v>85.68</v>
      </c>
      <c r="H66" s="3">
        <f>G66-F66</f>
      </c>
      <c r="I66" s="3">
        <f>H66*16.67%</f>
      </c>
      <c r="J66" s="3">
        <f>G66*7%</f>
      </c>
      <c r="K66" s="3">
        <f>J66*20%</f>
      </c>
      <c r="L66" s="3">
        <v>0</v>
      </c>
      <c r="M66" s="3">
        <f>L66*20%</f>
      </c>
      <c r="N66" s="3">
        <v>1</v>
      </c>
      <c r="O66" s="3">
        <f>K66+M66</f>
      </c>
      <c r="P66" s="3">
        <f>H66-I66-J66-K66-L66-M66-N66</f>
      </c>
      <c r="Q66" s="3">
        <f>(P66-Y66)/F66*100</f>
      </c>
      <c r="R66" s="3">
        <f>I66-O66</f>
      </c>
      <c r="S66" t="s">
        <v>1</v>
      </c>
      <c r="T66" t="s">
        <v>93</v>
      </c>
      <c r="Z66" s="3">
        <f>P66-Y66</f>
      </c>
      <c r="AA66" t="s">
        <v>94</v>
      </c>
      <c r="AB66" t="s">
        <v>98</v>
      </c>
    </row>
    <row r="67" spans="1:28" x14ac:dyDescent="0.25">
      <c r="A67" s="7">
        <v>46225.5</v>
      </c>
      <c r="B67" t="s">
        <v>2444</v>
      </c>
      <c r="C67" t="s">
        <v>1</v>
      </c>
      <c r="D67" s="8" t="s">
        <v>2445</v>
      </c>
      <c r="E67" t="s">
        <v>101</v>
      </c>
      <c r="F67" s="3">
        <v>550</v>
      </c>
      <c r="G67" s="3">
        <v>797.5</v>
      </c>
      <c r="H67" s="3">
        <f>G67-F67</f>
      </c>
      <c r="I67" s="3">
        <f>H67*16.67%</f>
      </c>
      <c r="J67" s="3">
        <f>G67*7%</f>
      </c>
      <c r="K67" s="3">
        <f>J67*20%</f>
      </c>
      <c r="L67" s="3">
        <v>0</v>
      </c>
      <c r="M67" s="3">
        <f>L67*20%</f>
      </c>
      <c r="N67" s="3">
        <v>1</v>
      </c>
      <c r="O67" s="3">
        <f>K67+M67</f>
      </c>
      <c r="P67" s="3">
        <f>H67-I67-J67-K67-L67-M67-N67</f>
      </c>
      <c r="Q67" s="3">
        <f>(P67-Y67)/F67*100</f>
      </c>
      <c r="R67" s="3">
        <f>I67-O67</f>
      </c>
      <c r="S67" t="s">
        <v>1</v>
      </c>
      <c r="T67" t="s">
        <v>80</v>
      </c>
      <c r="Z67" s="3">
        <f>P67-Y67</f>
      </c>
      <c r="AA67" t="s">
        <v>65</v>
      </c>
      <c r="AB67" t="s">
        <v>104</v>
      </c>
    </row>
    <row r="68" spans="1:28" x14ac:dyDescent="0.25">
      <c r="A68" s="7">
        <v>46225.5</v>
      </c>
      <c r="B68" t="s">
        <v>2446</v>
      </c>
      <c r="C68" t="s">
        <v>1</v>
      </c>
      <c r="D68" s="8" t="s">
        <v>2447</v>
      </c>
      <c r="E68" t="s">
        <v>63</v>
      </c>
      <c r="F68" s="3">
        <v>353</v>
      </c>
      <c r="G68" s="3">
        <v>423.6</v>
      </c>
      <c r="H68" s="3">
        <f>G68-F68</f>
      </c>
      <c r="I68" s="3">
        <f>H68*16.67%</f>
      </c>
      <c r="J68" s="3">
        <f>G68*7%</f>
      </c>
      <c r="K68" s="3">
        <f>J68*20%</f>
      </c>
      <c r="L68" s="3">
        <v>0</v>
      </c>
      <c r="M68" s="3">
        <f>L68*20%</f>
      </c>
      <c r="N68" s="3">
        <v>1</v>
      </c>
      <c r="O68" s="3">
        <f>K68+M68</f>
      </c>
      <c r="P68" s="3">
        <f>H68-I68-J68-K68-L68-M68-N68</f>
      </c>
      <c r="Q68" s="3">
        <f>(P68-Y68)/F68*100</f>
      </c>
      <c r="R68" s="3">
        <f>I68-O68</f>
      </c>
      <c r="S68" t="s">
        <v>1</v>
      </c>
      <c r="T68" t="s">
        <v>73</v>
      </c>
      <c r="Z68" s="3">
        <f>P68-Y68</f>
      </c>
      <c r="AA68" t="s">
        <v>59</v>
      </c>
      <c r="AB68" t="s">
        <v>60</v>
      </c>
    </row>
    <row r="69" spans="1:28" x14ac:dyDescent="0.25">
      <c r="A69" s="7">
        <v>46225.5</v>
      </c>
      <c r="B69" t="s">
        <v>2448</v>
      </c>
      <c r="C69" t="s">
        <v>176</v>
      </c>
      <c r="D69" s="8" t="s">
        <v>1</v>
      </c>
      <c r="E69" t="s">
        <v>77</v>
      </c>
      <c r="F69" s="3">
        <v>0.15</v>
      </c>
      <c r="G69" s="3">
        <v>0.19</v>
      </c>
      <c r="H69" s="3">
        <f>G69-F69</f>
      </c>
      <c r="I69" s="3">
        <f>H69*16.67%</f>
      </c>
      <c r="J69" s="3">
        <f>G69*7%</f>
      </c>
      <c r="K69" s="3">
        <f>J69*20%</f>
      </c>
      <c r="L69" s="3">
        <v>0</v>
      </c>
      <c r="M69" s="3">
        <f>L69*20%</f>
      </c>
      <c r="N69" s="3">
        <v>1</v>
      </c>
      <c r="O69" s="3">
        <f>K69+M69</f>
      </c>
      <c r="P69" s="3">
        <f>H69-I69-J69-K69-L69-M69-N69</f>
      </c>
      <c r="Q69" s="3">
        <f>(P69-Y69)/F69*100</f>
      </c>
      <c r="R69" s="3">
        <f>I69-O69</f>
      </c>
      <c r="S69" t="s">
        <v>1</v>
      </c>
      <c r="T69" t="s">
        <v>176</v>
      </c>
      <c r="Z69" s="3">
        <f>P69-Y69</f>
      </c>
      <c r="AA69" t="s">
        <v>1</v>
      </c>
      <c r="AB69" t="s">
        <v>1</v>
      </c>
    </row>
    <row r="70" spans="1:28" x14ac:dyDescent="0.25">
      <c r="A70" s="7">
        <v>46225.5</v>
      </c>
      <c r="B70" t="s">
        <v>2449</v>
      </c>
      <c r="C70" t="s">
        <v>176</v>
      </c>
      <c r="D70" s="8" t="s">
        <v>1</v>
      </c>
      <c r="E70" t="s">
        <v>77</v>
      </c>
      <c r="F70" s="3">
        <v>0.15</v>
      </c>
      <c r="G70" s="3">
        <v>0.19</v>
      </c>
      <c r="H70" s="3">
        <f>G70-F70</f>
      </c>
      <c r="I70" s="3">
        <f>H70*16.67%</f>
      </c>
      <c r="J70" s="3">
        <f>G70*7%</f>
      </c>
      <c r="K70" s="3">
        <f>J70*20%</f>
      </c>
      <c r="L70" s="3">
        <v>0</v>
      </c>
      <c r="M70" s="3">
        <f>L70*20%</f>
      </c>
      <c r="N70" s="3">
        <v>1</v>
      </c>
      <c r="O70" s="3">
        <f>K70+M70</f>
      </c>
      <c r="P70" s="3">
        <f>H70-I70-J70-K70-L70-M70-N70</f>
      </c>
      <c r="Q70" s="3">
        <f>(P70-Y70)/F70*100</f>
      </c>
      <c r="R70" s="3">
        <f>I70-O70</f>
      </c>
      <c r="S70" t="s">
        <v>1</v>
      </c>
      <c r="T70" t="s">
        <v>176</v>
      </c>
      <c r="Z70" s="3">
        <f>P70-Y70</f>
      </c>
      <c r="AA70" t="s">
        <v>1</v>
      </c>
      <c r="AB70" t="s">
        <v>1</v>
      </c>
    </row>
    <row r="71" spans="1:28" x14ac:dyDescent="0.25">
      <c r="A71" s="7">
        <v>46224.5</v>
      </c>
      <c r="B71" t="s">
        <v>2450</v>
      </c>
      <c r="C71" t="s">
        <v>1</v>
      </c>
      <c r="D71" s="8" t="s">
        <v>2451</v>
      </c>
      <c r="E71" t="s">
        <v>77</v>
      </c>
      <c r="F71" s="3">
        <v>128</v>
      </c>
      <c r="G71" s="3">
        <v>184.32</v>
      </c>
      <c r="H71" s="3">
        <f>G71-F71</f>
      </c>
      <c r="I71" s="3">
        <f>H71*16.67%</f>
      </c>
      <c r="J71" s="3">
        <f>G71*7%</f>
      </c>
      <c r="K71" s="3">
        <f>J71*20%</f>
      </c>
      <c r="L71" s="3">
        <v>0</v>
      </c>
      <c r="M71" s="3">
        <f>L71*20%</f>
      </c>
      <c r="N71" s="3">
        <v>1</v>
      </c>
      <c r="O71" s="3">
        <f>K71+M71</f>
      </c>
      <c r="P71" s="3">
        <f>H71-I71-J71-K71-L71-M71-N71</f>
      </c>
      <c r="Q71" s="3">
        <f>(P71-Y71)/F71*100</f>
      </c>
      <c r="R71" s="3">
        <f>I71-O71</f>
      </c>
      <c r="S71" t="s">
        <v>1</v>
      </c>
      <c r="T71" t="s">
        <v>90</v>
      </c>
      <c r="Z71" s="3">
        <f>P71-Y71</f>
      </c>
      <c r="AA71" t="s">
        <v>65</v>
      </c>
      <c r="AB71" t="s">
        <v>60</v>
      </c>
    </row>
    <row r="72" spans="1:28" x14ac:dyDescent="0.25">
      <c r="A72" s="7">
        <v>46224.5</v>
      </c>
      <c r="B72" t="s">
        <v>2452</v>
      </c>
      <c r="C72" t="s">
        <v>1</v>
      </c>
      <c r="D72" s="8" t="s">
        <v>2453</v>
      </c>
      <c r="E72" t="s">
        <v>72</v>
      </c>
      <c r="F72" s="3">
        <v>429</v>
      </c>
      <c r="G72" s="3">
        <v>510.51</v>
      </c>
      <c r="H72" s="3">
        <f>G72-F72</f>
      </c>
      <c r="I72" s="3">
        <f>H72*16.67%</f>
      </c>
      <c r="J72" s="3">
        <f>G72*7%</f>
      </c>
      <c r="K72" s="3">
        <f>J72*20%</f>
      </c>
      <c r="L72" s="3">
        <v>0</v>
      </c>
      <c r="M72" s="3">
        <f>L72*20%</f>
      </c>
      <c r="N72" s="3">
        <v>1</v>
      </c>
      <c r="O72" s="3">
        <f>K72+M72</f>
      </c>
      <c r="P72" s="3">
        <f>H72-I72-J72-K72-L72-M72-N72</f>
      </c>
      <c r="Q72" s="3">
        <f>(P72-Y72)/F72*100</f>
      </c>
      <c r="R72" s="3">
        <f>I72-O72</f>
      </c>
      <c r="S72" t="s">
        <v>1</v>
      </c>
      <c r="T72" t="s">
        <v>58</v>
      </c>
      <c r="Z72" s="3">
        <f>P72-Y72</f>
      </c>
      <c r="AA72" t="s">
        <v>59</v>
      </c>
      <c r="AB72" t="s">
        <v>60</v>
      </c>
    </row>
    <row r="73" spans="1:28" x14ac:dyDescent="0.25">
      <c r="A73" s="7">
        <v>46224.5</v>
      </c>
      <c r="B73" t="s">
        <v>2454</v>
      </c>
      <c r="C73" t="s">
        <v>1</v>
      </c>
      <c r="D73" s="8" t="s">
        <v>2455</v>
      </c>
      <c r="E73" t="s">
        <v>57</v>
      </c>
      <c r="F73" s="3">
        <v>339</v>
      </c>
      <c r="G73" s="3">
        <v>491.55</v>
      </c>
      <c r="H73" s="3">
        <f>G73-F73</f>
      </c>
      <c r="I73" s="3">
        <f>H73*16.67%</f>
      </c>
      <c r="J73" s="3">
        <f>G73*7%</f>
      </c>
      <c r="K73" s="3">
        <f>J73*20%</f>
      </c>
      <c r="L73" s="3">
        <v>0</v>
      </c>
      <c r="M73" s="3">
        <f>L73*20%</f>
      </c>
      <c r="N73" s="3">
        <v>1</v>
      </c>
      <c r="O73" s="3">
        <f>K73+M73</f>
      </c>
      <c r="P73" s="3">
        <f>H73-I73-J73-K73-L73-M73-N73</f>
      </c>
      <c r="Q73" s="3">
        <f>(P73-Y73)/F73*100</f>
      </c>
      <c r="R73" s="3">
        <f>I73-O73</f>
      </c>
      <c r="S73" t="s">
        <v>1</v>
      </c>
      <c r="T73" t="s">
        <v>73</v>
      </c>
      <c r="Z73" s="3">
        <f>P73-Y73</f>
      </c>
      <c r="AA73" t="s">
        <v>59</v>
      </c>
      <c r="AB73" t="s">
        <v>69</v>
      </c>
    </row>
    <row r="74" spans="1:28" x14ac:dyDescent="0.25">
      <c r="A74" s="7">
        <v>46224.5</v>
      </c>
      <c r="B74" t="s">
        <v>2456</v>
      </c>
      <c r="C74" t="s">
        <v>1</v>
      </c>
      <c r="D74" s="8" t="s">
        <v>2457</v>
      </c>
      <c r="E74" t="s">
        <v>57</v>
      </c>
      <c r="F74" s="3">
        <v>325</v>
      </c>
      <c r="G74" s="3">
        <v>412.75</v>
      </c>
      <c r="H74" s="3">
        <f>G74-F74</f>
      </c>
      <c r="I74" s="3">
        <f>H74*16.67%</f>
      </c>
      <c r="J74" s="3">
        <f>G74*7%</f>
      </c>
      <c r="K74" s="3">
        <f>J74*20%</f>
      </c>
      <c r="L74" s="3">
        <v>0</v>
      </c>
      <c r="M74" s="3">
        <f>L74*20%</f>
      </c>
      <c r="N74" s="3">
        <v>1</v>
      </c>
      <c r="O74" s="3">
        <f>K74+M74</f>
      </c>
      <c r="P74" s="3">
        <f>H74-I74-J74-K74-L74-M74-N74</f>
      </c>
      <c r="Q74" s="3">
        <f>(P74-Y74)/F74*100</f>
      </c>
      <c r="R74" s="3">
        <f>I74-O74</f>
      </c>
      <c r="S74" t="s">
        <v>1</v>
      </c>
      <c r="T74" t="s">
        <v>130</v>
      </c>
      <c r="Z74" s="3">
        <f>P74-Y74</f>
      </c>
      <c r="AA74" t="s">
        <v>59</v>
      </c>
      <c r="AB74" t="s">
        <v>69</v>
      </c>
    </row>
    <row r="75" spans="1:28" x14ac:dyDescent="0.25">
      <c r="A75" s="7">
        <v>46224.5</v>
      </c>
      <c r="B75" t="s">
        <v>2458</v>
      </c>
      <c r="C75" t="s">
        <v>1</v>
      </c>
      <c r="D75" s="8" t="s">
        <v>2459</v>
      </c>
      <c r="E75" t="s">
        <v>101</v>
      </c>
      <c r="F75" s="3">
        <v>333</v>
      </c>
      <c r="G75" s="3">
        <v>479.52</v>
      </c>
      <c r="H75" s="3">
        <f>G75-F75</f>
      </c>
      <c r="I75" s="3">
        <f>H75*16.67%</f>
      </c>
      <c r="J75" s="3">
        <f>G75*7%</f>
      </c>
      <c r="K75" s="3">
        <f>J75*20%</f>
      </c>
      <c r="L75" s="3">
        <v>0</v>
      </c>
      <c r="M75" s="3">
        <f>L75*20%</f>
      </c>
      <c r="N75" s="3">
        <v>1</v>
      </c>
      <c r="O75" s="3">
        <f>K75+M75</f>
      </c>
      <c r="P75" s="3">
        <f>H75-I75-J75-K75-L75-M75-N75</f>
      </c>
      <c r="Q75" s="3">
        <f>(P75-Y75)/F75*100</f>
      </c>
      <c r="R75" s="3">
        <f>I75-O75</f>
      </c>
      <c r="S75" t="s">
        <v>1</v>
      </c>
      <c r="T75" t="s">
        <v>73</v>
      </c>
      <c r="Z75" s="3">
        <f>P75-Y75</f>
      </c>
      <c r="AA75" t="s">
        <v>59</v>
      </c>
      <c r="AB75" t="s">
        <v>87</v>
      </c>
    </row>
    <row r="76" spans="1:28" x14ac:dyDescent="0.25">
      <c r="A76" s="7">
        <v>46224.5</v>
      </c>
      <c r="B76" t="s">
        <v>2460</v>
      </c>
      <c r="C76" t="s">
        <v>1</v>
      </c>
      <c r="D76" s="8" t="s">
        <v>2461</v>
      </c>
      <c r="E76" t="s">
        <v>101</v>
      </c>
      <c r="F76" s="3">
        <v>266</v>
      </c>
      <c r="G76" s="3">
        <v>343.14</v>
      </c>
      <c r="H76" s="3">
        <f>G76-F76</f>
      </c>
      <c r="I76" s="3">
        <f>H76*16.67%</f>
      </c>
      <c r="J76" s="3">
        <f>G76*7%</f>
      </c>
      <c r="K76" s="3">
        <f>J76*20%</f>
      </c>
      <c r="L76" s="3">
        <v>0</v>
      </c>
      <c r="M76" s="3">
        <f>L76*20%</f>
      </c>
      <c r="N76" s="3">
        <v>1</v>
      </c>
      <c r="O76" s="3">
        <f>K76+M76</f>
      </c>
      <c r="P76" s="3">
        <f>H76-I76-J76-K76-L76-M76-N76</f>
      </c>
      <c r="Q76" s="3">
        <f>(P76-Y76)/F76*100</f>
      </c>
      <c r="R76" s="3">
        <f>I76-O76</f>
      </c>
      <c r="S76" t="s">
        <v>1</v>
      </c>
      <c r="T76" t="s">
        <v>124</v>
      </c>
      <c r="Z76" s="3">
        <f>P76-Y76</f>
      </c>
      <c r="AA76" t="s">
        <v>125</v>
      </c>
      <c r="AB76" t="s">
        <v>98</v>
      </c>
    </row>
    <row r="77" spans="1:28" x14ac:dyDescent="0.25">
      <c r="A77" s="7">
        <v>46224.5</v>
      </c>
      <c r="B77" t="s">
        <v>2462</v>
      </c>
      <c r="C77" t="s">
        <v>1</v>
      </c>
      <c r="D77" s="8" t="s">
        <v>2463</v>
      </c>
      <c r="E77" t="s">
        <v>57</v>
      </c>
      <c r="F77" s="3">
        <v>67</v>
      </c>
      <c r="G77" s="3">
        <v>87.77</v>
      </c>
      <c r="H77" s="3">
        <f>G77-F77</f>
      </c>
      <c r="I77" s="3">
        <f>H77*16.67%</f>
      </c>
      <c r="J77" s="3">
        <f>G77*7%</f>
      </c>
      <c r="K77" s="3">
        <f>J77*20%</f>
      </c>
      <c r="L77" s="3">
        <v>0</v>
      </c>
      <c r="M77" s="3">
        <f>L77*20%</f>
      </c>
      <c r="N77" s="3">
        <v>1</v>
      </c>
      <c r="O77" s="3">
        <f>K77+M77</f>
      </c>
      <c r="P77" s="3">
        <f>H77-I77-J77-K77-L77-M77-N77</f>
      </c>
      <c r="Q77" s="3">
        <f>(P77-Y77)/F77*100</f>
      </c>
      <c r="R77" s="3">
        <f>I77-O77</f>
      </c>
      <c r="S77" t="s">
        <v>1</v>
      </c>
      <c r="T77" t="s">
        <v>93</v>
      </c>
      <c r="Z77" s="3">
        <f>P77-Y77</f>
      </c>
      <c r="AA77" t="s">
        <v>94</v>
      </c>
      <c r="AB77" t="s">
        <v>98</v>
      </c>
    </row>
    <row r="78" spans="1:28" x14ac:dyDescent="0.25">
      <c r="A78" s="7">
        <v>46223.5</v>
      </c>
      <c r="B78" t="s">
        <v>2464</v>
      </c>
      <c r="C78" t="s">
        <v>1</v>
      </c>
      <c r="D78" s="8" t="s">
        <v>2465</v>
      </c>
      <c r="E78" t="s">
        <v>57</v>
      </c>
      <c r="F78" s="3">
        <v>339</v>
      </c>
      <c r="G78" s="3">
        <v>454.26</v>
      </c>
      <c r="H78" s="3">
        <f>G78-F78</f>
      </c>
      <c r="I78" s="3">
        <f>H78*16.67%</f>
      </c>
      <c r="J78" s="3">
        <f>G78*7%</f>
      </c>
      <c r="K78" s="3">
        <f>J78*20%</f>
      </c>
      <c r="L78" s="3">
        <v>0</v>
      </c>
      <c r="M78" s="3">
        <f>L78*20%</f>
      </c>
      <c r="N78" s="3">
        <v>1</v>
      </c>
      <c r="O78" s="3">
        <f>K78+M78</f>
      </c>
      <c r="P78" s="3">
        <f>H78-I78-J78-K78-L78-M78-N78</f>
      </c>
      <c r="Q78" s="3">
        <f>(P78-Y78)/F78*100</f>
      </c>
      <c r="R78" s="3">
        <f>I78-O78</f>
      </c>
      <c r="S78" t="s">
        <v>1</v>
      </c>
      <c r="T78" t="s">
        <v>97</v>
      </c>
      <c r="Z78" s="3">
        <f>P78-Y78</f>
      </c>
      <c r="AA78" t="s">
        <v>59</v>
      </c>
      <c r="AB78" t="s">
        <v>84</v>
      </c>
    </row>
    <row r="79" spans="1:28" x14ac:dyDescent="0.25">
      <c r="A79" s="7">
        <v>46223.5</v>
      </c>
      <c r="B79" t="s">
        <v>2466</v>
      </c>
      <c r="C79" t="s">
        <v>1</v>
      </c>
      <c r="D79" s="8" t="s">
        <v>2467</v>
      </c>
      <c r="E79" t="s">
        <v>63</v>
      </c>
      <c r="F79" s="3">
        <v>243</v>
      </c>
      <c r="G79" s="3">
        <v>325.62</v>
      </c>
      <c r="H79" s="3">
        <f>G79-F79</f>
      </c>
      <c r="I79" s="3">
        <f>H79*16.67%</f>
      </c>
      <c r="J79" s="3">
        <f>G79*7%</f>
      </c>
      <c r="K79" s="3">
        <f>J79*20%</f>
      </c>
      <c r="L79" s="3">
        <v>0</v>
      </c>
      <c r="M79" s="3">
        <f>L79*20%</f>
      </c>
      <c r="N79" s="3">
        <v>1</v>
      </c>
      <c r="O79" s="3">
        <f>K79+M79</f>
      </c>
      <c r="P79" s="3">
        <f>H79-I79-J79-K79-L79-M79-N79</f>
      </c>
      <c r="Q79" s="3">
        <f>(P79-Y79)/F79*100</f>
      </c>
      <c r="R79" s="3">
        <f>I79-O79</f>
      </c>
      <c r="S79" t="s">
        <v>1</v>
      </c>
      <c r="T79" t="s">
        <v>64</v>
      </c>
      <c r="Z79" s="3">
        <f>P79-Y79</f>
      </c>
      <c r="AA79" t="s">
        <v>65</v>
      </c>
      <c r="AB79" t="s">
        <v>60</v>
      </c>
    </row>
    <row r="80" spans="1:28" x14ac:dyDescent="0.25">
      <c r="A80" s="7">
        <v>46223.5</v>
      </c>
      <c r="B80" t="s">
        <v>2468</v>
      </c>
      <c r="C80" t="s">
        <v>1</v>
      </c>
      <c r="D80" s="8" t="s">
        <v>2469</v>
      </c>
      <c r="E80" t="s">
        <v>57</v>
      </c>
      <c r="F80" s="3">
        <v>179</v>
      </c>
      <c r="G80" s="3">
        <v>207.64</v>
      </c>
      <c r="H80" s="3">
        <f>G80-F80</f>
      </c>
      <c r="I80" s="3">
        <f>H80*16.67%</f>
      </c>
      <c r="J80" s="3">
        <f>G80*7%</f>
      </c>
      <c r="K80" s="3">
        <f>J80*20%</f>
      </c>
      <c r="L80" s="3">
        <v>0</v>
      </c>
      <c r="M80" s="3">
        <f>L80*20%</f>
      </c>
      <c r="N80" s="3">
        <v>1</v>
      </c>
      <c r="O80" s="3">
        <f>K80+M80</f>
      </c>
      <c r="P80" s="3">
        <f>H80-I80-J80-K80-L80-M80-N80</f>
      </c>
      <c r="Q80" s="3">
        <f>(P80-Y80)/F80*100</f>
      </c>
      <c r="R80" s="3">
        <f>I80-O80</f>
      </c>
      <c r="S80" t="s">
        <v>1</v>
      </c>
      <c r="T80" t="s">
        <v>171</v>
      </c>
      <c r="Z80" s="3">
        <f>P80-Y80</f>
      </c>
      <c r="AA80" t="s">
        <v>65</v>
      </c>
      <c r="AB80" t="s">
        <v>84</v>
      </c>
    </row>
    <row r="81" spans="1:28" x14ac:dyDescent="0.25">
      <c r="A81" s="7">
        <v>46222.5</v>
      </c>
      <c r="B81" t="s">
        <v>2470</v>
      </c>
      <c r="C81" t="s">
        <v>1</v>
      </c>
      <c r="D81" s="8" t="s">
        <v>2471</v>
      </c>
      <c r="E81" t="s">
        <v>63</v>
      </c>
      <c r="F81" s="3">
        <v>92</v>
      </c>
      <c r="G81" s="3">
        <v>117.76</v>
      </c>
      <c r="H81" s="3">
        <f>G81-F81</f>
      </c>
      <c r="I81" s="3">
        <f>H81*16.67%</f>
      </c>
      <c r="J81" s="3">
        <f>G81*7%</f>
      </c>
      <c r="K81" s="3">
        <f>J81*20%</f>
      </c>
      <c r="L81" s="3">
        <v>0</v>
      </c>
      <c r="M81" s="3">
        <f>L81*20%</f>
      </c>
      <c r="N81" s="3">
        <v>1</v>
      </c>
      <c r="O81" s="3">
        <f>K81+M81</f>
      </c>
      <c r="P81" s="3">
        <f>H81-I81-J81-K81-L81-M81-N81</f>
      </c>
      <c r="Q81" s="3">
        <f>(P81-Y81)/F81*100</f>
      </c>
      <c r="R81" s="3">
        <f>I81-O81</f>
      </c>
      <c r="S81" t="s">
        <v>1</v>
      </c>
      <c r="T81" t="s">
        <v>90</v>
      </c>
      <c r="Z81" s="3">
        <f>P81-Y81</f>
      </c>
      <c r="AA81" t="s">
        <v>65</v>
      </c>
      <c r="AB81" t="s">
        <v>98</v>
      </c>
    </row>
    <row r="82" spans="1:28" x14ac:dyDescent="0.25">
      <c r="A82" s="7">
        <v>46222.5</v>
      </c>
      <c r="B82" t="s">
        <v>2472</v>
      </c>
      <c r="C82" t="s">
        <v>1</v>
      </c>
      <c r="D82" s="8" t="s">
        <v>2473</v>
      </c>
      <c r="E82" t="s">
        <v>101</v>
      </c>
      <c r="F82" s="3">
        <v>123</v>
      </c>
      <c r="G82" s="3">
        <v>158.67</v>
      </c>
      <c r="H82" s="3">
        <f>G82-F82</f>
      </c>
      <c r="I82" s="3">
        <f>H82*16.67%</f>
      </c>
      <c r="J82" s="3">
        <f>G82*7%</f>
      </c>
      <c r="K82" s="3">
        <f>J82*20%</f>
      </c>
      <c r="L82" s="3">
        <v>0</v>
      </c>
      <c r="M82" s="3">
        <f>L82*20%</f>
      </c>
      <c r="N82" s="3">
        <v>1</v>
      </c>
      <c r="O82" s="3">
        <f>K82+M82</f>
      </c>
      <c r="P82" s="3">
        <f>H82-I82-J82-K82-L82-M82-N82</f>
      </c>
      <c r="Q82" s="3">
        <f>(P82-Y82)/F82*100</f>
      </c>
      <c r="R82" s="3">
        <f>I82-O82</f>
      </c>
      <c r="S82" t="s">
        <v>1</v>
      </c>
      <c r="T82" t="s">
        <v>90</v>
      </c>
      <c r="Z82" s="3">
        <f>P82-Y82</f>
      </c>
      <c r="AA82" t="s">
        <v>65</v>
      </c>
      <c r="AB82" t="s">
        <v>60</v>
      </c>
    </row>
    <row r="83" spans="1:28" x14ac:dyDescent="0.25">
      <c r="A83" s="7">
        <v>46222.5</v>
      </c>
      <c r="B83" t="s">
        <v>2474</v>
      </c>
      <c r="C83" t="s">
        <v>1</v>
      </c>
      <c r="D83" s="8" t="s">
        <v>2475</v>
      </c>
      <c r="E83" t="s">
        <v>101</v>
      </c>
      <c r="F83" s="3">
        <v>292</v>
      </c>
      <c r="G83" s="3">
        <v>365</v>
      </c>
      <c r="H83" s="3">
        <f>G83-F83</f>
      </c>
      <c r="I83" s="3">
        <f>H83*16.67%</f>
      </c>
      <c r="J83" s="3">
        <f>G83*7%</f>
      </c>
      <c r="K83" s="3">
        <f>J83*20%</f>
      </c>
      <c r="L83" s="3">
        <v>0</v>
      </c>
      <c r="M83" s="3">
        <f>L83*20%</f>
      </c>
      <c r="N83" s="3">
        <v>1</v>
      </c>
      <c r="O83" s="3">
        <f>K83+M83</f>
      </c>
      <c r="P83" s="3">
        <f>H83-I83-J83-K83-L83-M83-N83</f>
      </c>
      <c r="Q83" s="3">
        <f>(P83-Y83)/F83*100</f>
      </c>
      <c r="R83" s="3">
        <f>I83-O83</f>
      </c>
      <c r="S83" t="s">
        <v>1</v>
      </c>
      <c r="T83" t="s">
        <v>124</v>
      </c>
      <c r="Z83" s="3">
        <f>P83-Y83</f>
      </c>
      <c r="AA83" t="s">
        <v>125</v>
      </c>
      <c r="AB83" t="s">
        <v>104</v>
      </c>
    </row>
    <row r="84" spans="1:28" x14ac:dyDescent="0.25">
      <c r="A84" s="7">
        <v>46222.5</v>
      </c>
      <c r="B84" t="s">
        <v>2476</v>
      </c>
      <c r="C84" t="s">
        <v>1</v>
      </c>
      <c r="D84" s="8" t="s">
        <v>1</v>
      </c>
      <c r="E84" t="s">
        <v>63</v>
      </c>
      <c r="F84" s="3">
        <v>745</v>
      </c>
      <c r="G84" s="3">
        <v>975.95</v>
      </c>
      <c r="H84" s="3">
        <f>G84-F84</f>
      </c>
      <c r="I84" s="3">
        <f>H84*16.67%</f>
      </c>
      <c r="J84" s="3">
        <f>G84*7%</f>
      </c>
      <c r="K84" s="3">
        <f>J84*20%</f>
      </c>
      <c r="L84" s="3">
        <v>0</v>
      </c>
      <c r="M84" s="3">
        <f>L84*20%</f>
      </c>
      <c r="N84" s="3">
        <v>1</v>
      </c>
      <c r="O84" s="3">
        <f>K84+M84</f>
      </c>
      <c r="P84" s="3">
        <f>H84-I84-J84-K84-L84-M84-N84</f>
      </c>
      <c r="Q84" s="3">
        <f>(P84-Y84)/F84*100</f>
      </c>
      <c r="R84" s="3">
        <f>I84-O84</f>
      </c>
      <c r="S84" t="s">
        <v>1</v>
      </c>
      <c r="T84" t="s">
        <v>1</v>
      </c>
      <c r="Z84" s="3">
        <f>P84-Y84</f>
      </c>
      <c r="AA84" t="s">
        <v>1</v>
      </c>
      <c r="AB84" t="s">
        <v>1</v>
      </c>
    </row>
    <row r="85" spans="1:28" x14ac:dyDescent="0.25">
      <c r="A85" s="7">
        <v>46221.5</v>
      </c>
      <c r="B85" t="s">
        <v>2477</v>
      </c>
      <c r="C85" t="s">
        <v>1</v>
      </c>
      <c r="D85" s="8" t="s">
        <v>2478</v>
      </c>
      <c r="E85" t="s">
        <v>57</v>
      </c>
      <c r="F85" s="3">
        <v>252</v>
      </c>
      <c r="G85" s="3">
        <v>325.08</v>
      </c>
      <c r="H85" s="3">
        <f>G85-F85</f>
      </c>
      <c r="I85" s="3">
        <f>H85*16.67%</f>
      </c>
      <c r="J85" s="3">
        <f>G85*7%</f>
      </c>
      <c r="K85" s="3">
        <f>J85*20%</f>
      </c>
      <c r="L85" s="3">
        <v>0</v>
      </c>
      <c r="M85" s="3">
        <f>L85*20%</f>
      </c>
      <c r="N85" s="3">
        <v>1</v>
      </c>
      <c r="O85" s="3">
        <f>K85+M85</f>
      </c>
      <c r="P85" s="3">
        <f>H85-I85-J85-K85-L85-M85-N85</f>
      </c>
      <c r="Q85" s="3">
        <f>(P85-Y85)/F85*100</f>
      </c>
      <c r="R85" s="3">
        <f>I85-O85</f>
      </c>
      <c r="S85" t="s">
        <v>1</v>
      </c>
      <c r="T85" t="s">
        <v>113</v>
      </c>
      <c r="Z85" s="3">
        <f>P85-Y85</f>
      </c>
      <c r="AA85" t="s">
        <v>59</v>
      </c>
      <c r="AB85" t="s">
        <v>69</v>
      </c>
    </row>
    <row r="86" spans="1:28" x14ac:dyDescent="0.25">
      <c r="A86" s="7">
        <v>46221.5</v>
      </c>
      <c r="B86" t="s">
        <v>2479</v>
      </c>
      <c r="C86" t="s">
        <v>1</v>
      </c>
      <c r="D86" s="8" t="s">
        <v>2480</v>
      </c>
      <c r="E86" t="s">
        <v>72</v>
      </c>
      <c r="F86" s="3">
        <v>300</v>
      </c>
      <c r="G86" s="3">
        <v>414</v>
      </c>
      <c r="H86" s="3">
        <f>G86-F86</f>
      </c>
      <c r="I86" s="3">
        <f>H86*16.67%</f>
      </c>
      <c r="J86" s="3">
        <f>G86*7%</f>
      </c>
      <c r="K86" s="3">
        <f>J86*20%</f>
      </c>
      <c r="L86" s="3">
        <v>0</v>
      </c>
      <c r="M86" s="3">
        <f>L86*20%</f>
      </c>
      <c r="N86" s="3">
        <v>1</v>
      </c>
      <c r="O86" s="3">
        <f>K86+M86</f>
      </c>
      <c r="P86" s="3">
        <f>H86-I86-J86-K86-L86-M86-N86</f>
      </c>
      <c r="Q86" s="3">
        <f>(P86-Y86)/F86*100</f>
      </c>
      <c r="R86" s="3">
        <f>I86-O86</f>
      </c>
      <c r="S86" t="s">
        <v>1</v>
      </c>
      <c r="T86" t="s">
        <v>97</v>
      </c>
      <c r="Z86" s="3">
        <f>P86-Y86</f>
      </c>
      <c r="AA86" t="s">
        <v>65</v>
      </c>
      <c r="AB86" t="s">
        <v>69</v>
      </c>
    </row>
    <row r="87" spans="1:28" x14ac:dyDescent="0.25">
      <c r="A87" s="7">
        <v>46221.5</v>
      </c>
      <c r="B87" t="s">
        <v>2481</v>
      </c>
      <c r="C87" t="s">
        <v>181</v>
      </c>
      <c r="D87" s="8" t="s">
        <v>1</v>
      </c>
      <c r="E87" t="s">
        <v>72</v>
      </c>
      <c r="F87" s="3">
        <v>1.9</v>
      </c>
      <c r="G87" s="3">
        <v>2.34</v>
      </c>
      <c r="H87" s="3">
        <f>G87-F87</f>
      </c>
      <c r="I87" s="3">
        <f>H87*16.67%</f>
      </c>
      <c r="J87" s="3">
        <f>G87*7%</f>
      </c>
      <c r="K87" s="3">
        <f>J87*20%</f>
      </c>
      <c r="L87" s="3">
        <v>0</v>
      </c>
      <c r="M87" s="3">
        <f>L87*20%</f>
      </c>
      <c r="N87" s="3">
        <v>1</v>
      </c>
      <c r="O87" s="3">
        <f>K87+M87</f>
      </c>
      <c r="P87" s="3">
        <f>H87-I87-J87-K87-L87-M87-N87</f>
      </c>
      <c r="Q87" s="3">
        <f>(P87-Y87)/F87*100</f>
      </c>
      <c r="R87" s="3">
        <f>I87-O87</f>
      </c>
      <c r="S87" t="s">
        <v>1</v>
      </c>
      <c r="T87" t="s">
        <v>181</v>
      </c>
      <c r="Z87" s="3">
        <f>P87-Y87</f>
      </c>
      <c r="AA87" t="s">
        <v>1</v>
      </c>
      <c r="AB87" t="s">
        <v>1</v>
      </c>
    </row>
    <row r="88" spans="1:28" x14ac:dyDescent="0.25">
      <c r="A88" s="7">
        <v>46220.5</v>
      </c>
      <c r="B88" t="s">
        <v>2482</v>
      </c>
      <c r="C88" t="s">
        <v>1</v>
      </c>
      <c r="D88" s="8" t="s">
        <v>2483</v>
      </c>
      <c r="E88" t="s">
        <v>101</v>
      </c>
      <c r="F88" s="3">
        <v>176</v>
      </c>
      <c r="G88" s="3">
        <v>212.96</v>
      </c>
      <c r="H88" s="3">
        <f>G88-F88</f>
      </c>
      <c r="I88" s="3">
        <f>H88*16.67%</f>
      </c>
      <c r="J88" s="3">
        <f>G88*7%</f>
      </c>
      <c r="K88" s="3">
        <f>J88*20%</f>
      </c>
      <c r="L88" s="3">
        <v>0</v>
      </c>
      <c r="M88" s="3">
        <f>L88*20%</f>
      </c>
      <c r="N88" s="3">
        <v>1</v>
      </c>
      <c r="O88" s="3">
        <f>K88+M88</f>
      </c>
      <c r="P88" s="3">
        <f>H88-I88-J88-K88-L88-M88-N88</f>
      </c>
      <c r="Q88" s="3">
        <f>(P88-Y88)/F88*100</f>
      </c>
      <c r="R88" s="3">
        <f>I88-O88</f>
      </c>
      <c r="S88" t="s">
        <v>1</v>
      </c>
      <c r="T88" t="s">
        <v>291</v>
      </c>
      <c r="Z88" s="3">
        <f>P88-Y88</f>
      </c>
      <c r="AA88" t="s">
        <v>125</v>
      </c>
      <c r="AB88" t="s">
        <v>60</v>
      </c>
    </row>
    <row r="89" spans="1:28" x14ac:dyDescent="0.25">
      <c r="A89" s="7">
        <v>46220.5</v>
      </c>
      <c r="B89" t="s">
        <v>2484</v>
      </c>
      <c r="C89" t="s">
        <v>1</v>
      </c>
      <c r="D89" s="8" t="s">
        <v>2485</v>
      </c>
      <c r="E89" t="s">
        <v>72</v>
      </c>
      <c r="F89" s="3">
        <v>376</v>
      </c>
      <c r="G89" s="3">
        <v>466.24</v>
      </c>
      <c r="H89" s="3">
        <f>G89-F89</f>
      </c>
      <c r="I89" s="3">
        <f>H89*16.67%</f>
      </c>
      <c r="J89" s="3">
        <f>G89*7%</f>
      </c>
      <c r="K89" s="3">
        <f>J89*20%</f>
      </c>
      <c r="L89" s="3">
        <v>0</v>
      </c>
      <c r="M89" s="3">
        <f>L89*20%</f>
      </c>
      <c r="N89" s="3">
        <v>1</v>
      </c>
      <c r="O89" s="3">
        <f>K89+M89</f>
      </c>
      <c r="P89" s="3">
        <f>H89-I89-J89-K89-L89-M89-N89</f>
      </c>
      <c r="Q89" s="3">
        <f>(P89-Y89)/F89*100</f>
      </c>
      <c r="R89" s="3">
        <f>I89-O89</f>
      </c>
      <c r="S89" t="s">
        <v>1</v>
      </c>
      <c r="T89" t="s">
        <v>138</v>
      </c>
      <c r="Z89" s="3">
        <f>P89-Y89</f>
      </c>
      <c r="AA89" t="s">
        <v>65</v>
      </c>
      <c r="AB89" t="s">
        <v>74</v>
      </c>
    </row>
    <row r="90" spans="1:28" x14ac:dyDescent="0.25">
      <c r="A90" s="7">
        <v>46220.5</v>
      </c>
      <c r="B90" t="s">
        <v>2486</v>
      </c>
      <c r="C90" t="s">
        <v>1</v>
      </c>
      <c r="D90" s="8" t="s">
        <v>2487</v>
      </c>
      <c r="E90" t="s">
        <v>72</v>
      </c>
      <c r="F90" s="3">
        <v>266</v>
      </c>
      <c r="G90" s="3">
        <v>361.76</v>
      </c>
      <c r="H90" s="3">
        <f>G90-F90</f>
      </c>
      <c r="I90" s="3">
        <f>H90*16.67%</f>
      </c>
      <c r="J90" s="3">
        <f>G90*7%</f>
      </c>
      <c r="K90" s="3">
        <f>J90*20%</f>
      </c>
      <c r="L90" s="3">
        <v>0</v>
      </c>
      <c r="M90" s="3">
        <f>L90*20%</f>
      </c>
      <c r="N90" s="3">
        <v>1</v>
      </c>
      <c r="O90" s="3">
        <f>K90+M90</f>
      </c>
      <c r="P90" s="3">
        <f>H90-I90-J90-K90-L90-M90-N90</f>
      </c>
      <c r="Q90" s="3">
        <f>(P90-Y90)/F90*100</f>
      </c>
      <c r="R90" s="3">
        <f>I90-O90</f>
      </c>
      <c r="S90" t="s">
        <v>1</v>
      </c>
      <c r="T90" t="s">
        <v>124</v>
      </c>
      <c r="Z90" s="3">
        <f>P90-Y90</f>
      </c>
      <c r="AA90" t="s">
        <v>125</v>
      </c>
      <c r="AB90" t="s">
        <v>87</v>
      </c>
    </row>
    <row r="91" spans="1:28" x14ac:dyDescent="0.25">
      <c r="A91" s="7">
        <v>46220.5</v>
      </c>
      <c r="B91" t="s">
        <v>2488</v>
      </c>
      <c r="C91" t="s">
        <v>1</v>
      </c>
      <c r="D91" s="8" t="s">
        <v>1</v>
      </c>
      <c r="E91" t="s">
        <v>77</v>
      </c>
      <c r="F91" s="3">
        <v>519</v>
      </c>
      <c r="G91" s="3">
        <v>742.17</v>
      </c>
      <c r="H91" s="3">
        <f>G91-F91</f>
      </c>
      <c r="I91" s="3">
        <f>H91*16.67%</f>
      </c>
      <c r="J91" s="3">
        <f>G91*7%</f>
      </c>
      <c r="K91" s="3">
        <f>J91*20%</f>
      </c>
      <c r="L91" s="3">
        <v>0</v>
      </c>
      <c r="M91" s="3">
        <f>L91*20%</f>
      </c>
      <c r="N91" s="3">
        <v>1</v>
      </c>
      <c r="O91" s="3">
        <f>K91+M91</f>
      </c>
      <c r="P91" s="3">
        <f>H91-I91-J91-K91-L91-M91-N91</f>
      </c>
      <c r="Q91" s="3">
        <f>(P91-Y91)/F91*100</f>
      </c>
      <c r="R91" s="3">
        <f>I91-O91</f>
      </c>
      <c r="S91" t="s">
        <v>1</v>
      </c>
      <c r="T91" t="s">
        <v>1</v>
      </c>
      <c r="Z91" s="3">
        <f>P91-Y91</f>
      </c>
      <c r="AA91" t="s">
        <v>1</v>
      </c>
      <c r="AB91" t="s">
        <v>1</v>
      </c>
    </row>
    <row r="92" spans="1:28" x14ac:dyDescent="0.25">
      <c r="A92" s="7">
        <v>46219.5</v>
      </c>
      <c r="B92" t="s">
        <v>2489</v>
      </c>
      <c r="C92" t="s">
        <v>1</v>
      </c>
      <c r="D92" s="8" t="s">
        <v>2490</v>
      </c>
      <c r="E92" t="s">
        <v>101</v>
      </c>
      <c r="F92" s="3">
        <v>607</v>
      </c>
      <c r="G92" s="3">
        <v>831.59</v>
      </c>
      <c r="H92" s="3">
        <f>G92-F92</f>
      </c>
      <c r="I92" s="3">
        <f>H92*16.67%</f>
      </c>
      <c r="J92" s="3">
        <f>G92*7%</f>
      </c>
      <c r="K92" s="3">
        <f>J92*20%</f>
      </c>
      <c r="L92" s="3">
        <v>0</v>
      </c>
      <c r="M92" s="3">
        <f>L92*20%</f>
      </c>
      <c r="N92" s="3">
        <v>1</v>
      </c>
      <c r="O92" s="3">
        <f>K92+M92</f>
      </c>
      <c r="P92" s="3">
        <f>H92-I92-J92-K92-L92-M92-N92</f>
      </c>
      <c r="Q92" s="3">
        <f>(P92-Y92)/F92*100</f>
      </c>
      <c r="R92" s="3">
        <f>I92-O92</f>
      </c>
      <c r="S92" t="s">
        <v>1</v>
      </c>
      <c r="T92" t="s">
        <v>80</v>
      </c>
      <c r="Z92" s="3">
        <f>P92-Y92</f>
      </c>
      <c r="AA92" t="s">
        <v>65</v>
      </c>
      <c r="AB92" t="s">
        <v>60</v>
      </c>
    </row>
    <row r="93" spans="1:28" x14ac:dyDescent="0.25">
      <c r="A93" s="7">
        <v>46219.5</v>
      </c>
      <c r="B93" t="s">
        <v>2491</v>
      </c>
      <c r="C93" t="s">
        <v>1</v>
      </c>
      <c r="D93" s="8" t="s">
        <v>2492</v>
      </c>
      <c r="E93" t="s">
        <v>72</v>
      </c>
      <c r="F93" s="3">
        <v>190</v>
      </c>
      <c r="G93" s="3">
        <v>224.2</v>
      </c>
      <c r="H93" s="3">
        <f>G93-F93</f>
      </c>
      <c r="I93" s="3">
        <f>H93*16.67%</f>
      </c>
      <c r="J93" s="3">
        <f>G93*7%</f>
      </c>
      <c r="K93" s="3">
        <f>J93*20%</f>
      </c>
      <c r="L93" s="3">
        <v>0</v>
      </c>
      <c r="M93" s="3">
        <f>L93*20%</f>
      </c>
      <c r="N93" s="3">
        <v>1</v>
      </c>
      <c r="O93" s="3">
        <f>K93+M93</f>
      </c>
      <c r="P93" s="3">
        <f>H93-I93-J93-K93-L93-M93-N93</f>
      </c>
      <c r="Q93" s="3">
        <f>(P93-Y93)/F93*100</f>
      </c>
      <c r="R93" s="3">
        <f>I93-O93</f>
      </c>
      <c r="S93" t="s">
        <v>1</v>
      </c>
      <c r="T93" t="s">
        <v>233</v>
      </c>
      <c r="Z93" s="3">
        <f>P93-Y93</f>
      </c>
      <c r="AA93" t="s">
        <v>65</v>
      </c>
      <c r="AB93" t="s">
        <v>84</v>
      </c>
    </row>
    <row r="94" spans="1:28" x14ac:dyDescent="0.25">
      <c r="A94" s="7">
        <v>46218.5</v>
      </c>
      <c r="B94" t="s">
        <v>2493</v>
      </c>
      <c r="C94" t="s">
        <v>1</v>
      </c>
      <c r="D94" s="8" t="s">
        <v>2494</v>
      </c>
      <c r="E94" t="s">
        <v>72</v>
      </c>
      <c r="F94" s="3">
        <v>113</v>
      </c>
      <c r="G94" s="3">
        <v>152.55</v>
      </c>
      <c r="H94" s="3">
        <f>G94-F94</f>
      </c>
      <c r="I94" s="3">
        <f>H94*16.67%</f>
      </c>
      <c r="J94" s="3">
        <f>G94*7%</f>
      </c>
      <c r="K94" s="3">
        <f>J94*20%</f>
      </c>
      <c r="L94" s="3">
        <v>0</v>
      </c>
      <c r="M94" s="3">
        <f>L94*20%</f>
      </c>
      <c r="N94" s="3">
        <v>1</v>
      </c>
      <c r="O94" s="3">
        <f>K94+M94</f>
      </c>
      <c r="P94" s="3">
        <f>H94-I94-J94-K94-L94-M94-N94</f>
      </c>
      <c r="Q94" s="3">
        <f>(P94-Y94)/F94*100</f>
      </c>
      <c r="R94" s="3">
        <f>I94-O94</f>
      </c>
      <c r="S94" t="s">
        <v>1</v>
      </c>
      <c r="T94" t="s">
        <v>133</v>
      </c>
      <c r="Z94" s="3">
        <f>P94-Y94</f>
      </c>
      <c r="AA94" t="s">
        <v>94</v>
      </c>
      <c r="AB94" t="s">
        <v>87</v>
      </c>
    </row>
    <row r="95" spans="1:28" x14ac:dyDescent="0.25">
      <c r="A95" s="7">
        <v>46218.5</v>
      </c>
      <c r="B95" t="s">
        <v>2495</v>
      </c>
      <c r="C95" t="s">
        <v>1</v>
      </c>
      <c r="D95" s="8" t="s">
        <v>2496</v>
      </c>
      <c r="E95" t="s">
        <v>57</v>
      </c>
      <c r="F95" s="3">
        <v>120</v>
      </c>
      <c r="G95" s="3">
        <v>172.8</v>
      </c>
      <c r="H95" s="3">
        <f>G95-F95</f>
      </c>
      <c r="I95" s="3">
        <f>H95*16.67%</f>
      </c>
      <c r="J95" s="3">
        <f>G95*7%</f>
      </c>
      <c r="K95" s="3">
        <f>J95*20%</f>
      </c>
      <c r="L95" s="3">
        <v>0</v>
      </c>
      <c r="M95" s="3">
        <f>L95*20%</f>
      </c>
      <c r="N95" s="3">
        <v>1</v>
      </c>
      <c r="O95" s="3">
        <f>K95+M95</f>
      </c>
      <c r="P95" s="3">
        <f>H95-I95-J95-K95-L95-M95-N95</f>
      </c>
      <c r="Q95" s="3">
        <f>(P95-Y95)/F95*100</f>
      </c>
      <c r="R95" s="3">
        <f>I95-O95</f>
      </c>
      <c r="S95" t="s">
        <v>1</v>
      </c>
      <c r="T95" t="s">
        <v>133</v>
      </c>
      <c r="Z95" s="3">
        <f>P95-Y95</f>
      </c>
      <c r="AA95" t="s">
        <v>65</v>
      </c>
      <c r="AB95" t="s">
        <v>74</v>
      </c>
    </row>
    <row r="96" spans="1:28" x14ac:dyDescent="0.25">
      <c r="A96" s="7">
        <v>46218.5</v>
      </c>
      <c r="B96" t="s">
        <v>2497</v>
      </c>
      <c r="C96" t="s">
        <v>253</v>
      </c>
      <c r="D96" s="8" t="s">
        <v>1</v>
      </c>
      <c r="E96" t="s">
        <v>57</v>
      </c>
      <c r="F96" s="3">
        <v>0.8</v>
      </c>
      <c r="G96" s="3">
        <v>1.11</v>
      </c>
      <c r="H96" s="3">
        <f>G96-F96</f>
      </c>
      <c r="I96" s="3">
        <f>H96*16.67%</f>
      </c>
      <c r="J96" s="3">
        <f>G96*7%</f>
      </c>
      <c r="K96" s="3">
        <f>J96*20%</f>
      </c>
      <c r="L96" s="3">
        <v>0</v>
      </c>
      <c r="M96" s="3">
        <f>L96*20%</f>
      </c>
      <c r="N96" s="3">
        <v>1</v>
      </c>
      <c r="O96" s="3">
        <f>K96+M96</f>
      </c>
      <c r="P96" s="3">
        <f>H96-I96-J96-K96-L96-M96-N96</f>
      </c>
      <c r="Q96" s="3">
        <f>(P96-Y96)/F96*100</f>
      </c>
      <c r="R96" s="3">
        <f>I96-O96</f>
      </c>
      <c r="S96" t="s">
        <v>1</v>
      </c>
      <c r="T96" t="s">
        <v>253</v>
      </c>
      <c r="Z96" s="3">
        <f>P96-Y96</f>
      </c>
      <c r="AA96" t="s">
        <v>1</v>
      </c>
      <c r="AB96" t="s">
        <v>1</v>
      </c>
    </row>
    <row r="97" spans="1:28" x14ac:dyDescent="0.25">
      <c r="A97" s="7">
        <v>46218.5</v>
      </c>
      <c r="B97" t="s">
        <v>2498</v>
      </c>
      <c r="C97" t="s">
        <v>253</v>
      </c>
      <c r="D97" s="8" t="s">
        <v>1</v>
      </c>
      <c r="E97" t="s">
        <v>57</v>
      </c>
      <c r="F97" s="3">
        <v>0.8</v>
      </c>
      <c r="G97" s="3">
        <v>1.05</v>
      </c>
      <c r="H97" s="3">
        <f>G97-F97</f>
      </c>
      <c r="I97" s="3">
        <f>H97*16.67%</f>
      </c>
      <c r="J97" s="3">
        <f>G97*7%</f>
      </c>
      <c r="K97" s="3">
        <f>J97*20%</f>
      </c>
      <c r="L97" s="3">
        <v>0</v>
      </c>
      <c r="M97" s="3">
        <f>L97*20%</f>
      </c>
      <c r="N97" s="3">
        <v>1</v>
      </c>
      <c r="O97" s="3">
        <f>K97+M97</f>
      </c>
      <c r="P97" s="3">
        <f>H97-I97-J97-K97-L97-M97-N97</f>
      </c>
      <c r="Q97" s="3">
        <f>(P97-Y97)/F97*100</f>
      </c>
      <c r="R97" s="3">
        <f>I97-O97</f>
      </c>
      <c r="S97" t="s">
        <v>1</v>
      </c>
      <c r="T97" t="s">
        <v>253</v>
      </c>
      <c r="Z97" s="3">
        <f>P97-Y97</f>
      </c>
      <c r="AA97" t="s">
        <v>1</v>
      </c>
      <c r="AB97" t="s">
        <v>1</v>
      </c>
    </row>
    <row r="98" spans="1:28" x14ac:dyDescent="0.25">
      <c r="A98" s="7">
        <v>46218.5</v>
      </c>
      <c r="B98" t="s">
        <v>2499</v>
      </c>
      <c r="C98" t="s">
        <v>184</v>
      </c>
      <c r="D98" s="8" t="s">
        <v>1</v>
      </c>
      <c r="E98" t="s">
        <v>101</v>
      </c>
      <c r="F98" s="3">
        <v>1.2</v>
      </c>
      <c r="G98" s="3">
        <v>1.51</v>
      </c>
      <c r="H98" s="3">
        <f>G98-F98</f>
      </c>
      <c r="I98" s="3">
        <f>H98*16.67%</f>
      </c>
      <c r="J98" s="3">
        <f>G98*7%</f>
      </c>
      <c r="K98" s="3">
        <f>J98*20%</f>
      </c>
      <c r="L98" s="3">
        <v>0</v>
      </c>
      <c r="M98" s="3">
        <f>L98*20%</f>
      </c>
      <c r="N98" s="3">
        <v>1</v>
      </c>
      <c r="O98" s="3">
        <f>K98+M98</f>
      </c>
      <c r="P98" s="3">
        <f>H98-I98-J98-K98-L98-M98-N98</f>
      </c>
      <c r="Q98" s="3">
        <f>(P98-Y98)/F98*100</f>
      </c>
      <c r="R98" s="3">
        <f>I98-O98</f>
      </c>
      <c r="S98" t="s">
        <v>1</v>
      </c>
      <c r="T98" t="s">
        <v>184</v>
      </c>
      <c r="Z98" s="3">
        <f>P98-Y98</f>
      </c>
      <c r="AA98" t="s">
        <v>1</v>
      </c>
      <c r="AB98" t="s">
        <v>1</v>
      </c>
    </row>
    <row r="99" spans="1:28" x14ac:dyDescent="0.25">
      <c r="A99" s="7">
        <v>46217.5</v>
      </c>
      <c r="B99" t="s">
        <v>2500</v>
      </c>
      <c r="C99" t="s">
        <v>1</v>
      </c>
      <c r="D99" s="8" t="s">
        <v>2501</v>
      </c>
      <c r="E99" t="s">
        <v>57</v>
      </c>
      <c r="F99" s="3">
        <v>83</v>
      </c>
      <c r="G99" s="3">
        <v>109.56</v>
      </c>
      <c r="H99" s="3">
        <f>G99-F99</f>
      </c>
      <c r="I99" s="3">
        <f>H99*16.67%</f>
      </c>
      <c r="J99" s="3">
        <f>G99*7%</f>
      </c>
      <c r="K99" s="3">
        <f>J99*20%</f>
      </c>
      <c r="L99" s="3">
        <v>0</v>
      </c>
      <c r="M99" s="3">
        <f>L99*20%</f>
      </c>
      <c r="N99" s="3">
        <v>1</v>
      </c>
      <c r="O99" s="3">
        <f>K99+M99</f>
      </c>
      <c r="P99" s="3">
        <f>H99-I99-J99-K99-L99-M99-N99</f>
      </c>
      <c r="Q99" s="3">
        <f>(P99-Y99)/F99*100</f>
      </c>
      <c r="R99" s="3">
        <f>I99-O99</f>
      </c>
      <c r="S99" t="s">
        <v>1</v>
      </c>
      <c r="T99" t="s">
        <v>93</v>
      </c>
      <c r="Z99" s="3">
        <f>P99-Y99</f>
      </c>
      <c r="AA99" t="s">
        <v>94</v>
      </c>
      <c r="AB99" t="s">
        <v>69</v>
      </c>
    </row>
    <row r="100" spans="1:28" x14ac:dyDescent="0.25">
      <c r="A100" s="7">
        <v>46217.5</v>
      </c>
      <c r="B100" t="s">
        <v>2502</v>
      </c>
      <c r="C100" t="s">
        <v>1</v>
      </c>
      <c r="D100" s="8" t="s">
        <v>2503</v>
      </c>
      <c r="E100" t="s">
        <v>77</v>
      </c>
      <c r="F100" s="3">
        <v>512</v>
      </c>
      <c r="G100" s="3">
        <v>624.64</v>
      </c>
      <c r="H100" s="3">
        <f>G100-F100</f>
      </c>
      <c r="I100" s="3">
        <f>H100*16.67%</f>
      </c>
      <c r="J100" s="3">
        <f>G100*7%</f>
      </c>
      <c r="K100" s="3">
        <f>J100*20%</f>
      </c>
      <c r="L100" s="3">
        <v>0</v>
      </c>
      <c r="M100" s="3">
        <f>L100*20%</f>
      </c>
      <c r="N100" s="3">
        <v>1</v>
      </c>
      <c r="O100" s="3">
        <f>K100+M100</f>
      </c>
      <c r="P100" s="3">
        <f>H100-I100-J100-K100-L100-M100-N100</f>
      </c>
      <c r="Q100" s="3">
        <f>(P100-Y100)/F100*100</f>
      </c>
      <c r="R100" s="3">
        <f>I100-O100</f>
      </c>
      <c r="S100" t="s">
        <v>1</v>
      </c>
      <c r="T100" t="s">
        <v>68</v>
      </c>
      <c r="Z100" s="3">
        <f>P100-Y100</f>
      </c>
      <c r="AA100" t="s">
        <v>59</v>
      </c>
      <c r="AB100" t="s">
        <v>60</v>
      </c>
    </row>
    <row r="101" spans="1:28" x14ac:dyDescent="0.25">
      <c r="A101" s="7">
        <v>46217.5</v>
      </c>
      <c r="B101" t="s">
        <v>2504</v>
      </c>
      <c r="C101" t="s">
        <v>1</v>
      </c>
      <c r="D101" s="8" t="s">
        <v>2505</v>
      </c>
      <c r="E101" t="s">
        <v>72</v>
      </c>
      <c r="F101" s="3">
        <v>163</v>
      </c>
      <c r="G101" s="3">
        <v>187.45</v>
      </c>
      <c r="H101" s="3">
        <f>G101-F101</f>
      </c>
      <c r="I101" s="3">
        <f>H101*16.67%</f>
      </c>
      <c r="J101" s="3">
        <f>G101*7%</f>
      </c>
      <c r="K101" s="3">
        <f>J101*20%</f>
      </c>
      <c r="L101" s="3">
        <v>0</v>
      </c>
      <c r="M101" s="3">
        <f>L101*20%</f>
      </c>
      <c r="N101" s="3">
        <v>1</v>
      </c>
      <c r="O101" s="3">
        <f>K101+M101</f>
      </c>
      <c r="P101" s="3">
        <f>H101-I101-J101-K101-L101-M101-N101</f>
      </c>
      <c r="Q101" s="3">
        <f>(P101-Y101)/F101*100</f>
      </c>
      <c r="R101" s="3">
        <f>I101-O101</f>
      </c>
      <c r="S101" t="s">
        <v>1</v>
      </c>
      <c r="T101" t="s">
        <v>171</v>
      </c>
      <c r="Z101" s="3">
        <f>P101-Y101</f>
      </c>
      <c r="AA101" t="s">
        <v>65</v>
      </c>
      <c r="AB101" t="s">
        <v>87</v>
      </c>
    </row>
    <row r="102" spans="1:28" x14ac:dyDescent="0.25">
      <c r="A102" s="7">
        <v>46217.5</v>
      </c>
      <c r="B102" t="s">
        <v>2506</v>
      </c>
      <c r="C102" t="s">
        <v>1</v>
      </c>
      <c r="D102" s="8" t="s">
        <v>2507</v>
      </c>
      <c r="E102" t="s">
        <v>57</v>
      </c>
      <c r="F102" s="3">
        <v>290</v>
      </c>
      <c r="G102" s="3">
        <v>359.6</v>
      </c>
      <c r="H102" s="3">
        <f>G102-F102</f>
      </c>
      <c r="I102" s="3">
        <f>H102*16.67%</f>
      </c>
      <c r="J102" s="3">
        <f>G102*7%</f>
      </c>
      <c r="K102" s="3">
        <f>J102*20%</f>
      </c>
      <c r="L102" s="3">
        <v>0</v>
      </c>
      <c r="M102" s="3">
        <f>L102*20%</f>
      </c>
      <c r="N102" s="3">
        <v>1</v>
      </c>
      <c r="O102" s="3">
        <f>K102+M102</f>
      </c>
      <c r="P102" s="3">
        <f>H102-I102-J102-K102-L102-M102-N102</f>
      </c>
      <c r="Q102" s="3">
        <f>(P102-Y102)/F102*100</f>
      </c>
      <c r="R102" s="3">
        <f>I102-O102</f>
      </c>
      <c r="S102" t="s">
        <v>1</v>
      </c>
      <c r="T102" t="s">
        <v>130</v>
      </c>
      <c r="Z102" s="3">
        <f>P102-Y102</f>
      </c>
      <c r="AA102" t="s">
        <v>59</v>
      </c>
      <c r="AB102" t="s">
        <v>98</v>
      </c>
    </row>
    <row r="103" spans="1:28" x14ac:dyDescent="0.25">
      <c r="A103" s="7">
        <v>46217.5</v>
      </c>
      <c r="B103" t="s">
        <v>2508</v>
      </c>
      <c r="C103" t="s">
        <v>173</v>
      </c>
      <c r="D103" s="8" t="s">
        <v>1</v>
      </c>
      <c r="E103" t="s">
        <v>63</v>
      </c>
      <c r="F103" s="3">
        <v>4.25</v>
      </c>
      <c r="G103" s="3">
        <v>4.97</v>
      </c>
      <c r="H103" s="3">
        <f>G103-F103</f>
      </c>
      <c r="I103" s="3">
        <f>H103*16.67%</f>
      </c>
      <c r="J103" s="3">
        <f>G103*7%</f>
      </c>
      <c r="K103" s="3">
        <f>J103*20%</f>
      </c>
      <c r="L103" s="3">
        <v>0</v>
      </c>
      <c r="M103" s="3">
        <f>L103*20%</f>
      </c>
      <c r="N103" s="3">
        <v>1</v>
      </c>
      <c r="O103" s="3">
        <f>K103+M103</f>
      </c>
      <c r="P103" s="3">
        <f>H103-I103-J103-K103-L103-M103-N103</f>
      </c>
      <c r="Q103" s="3">
        <f>(P103-Y103)/F103*100</f>
      </c>
      <c r="R103" s="3">
        <f>I103-O103</f>
      </c>
      <c r="S103" t="s">
        <v>1</v>
      </c>
      <c r="T103" t="s">
        <v>173</v>
      </c>
      <c r="Z103" s="3">
        <f>P103-Y103</f>
      </c>
      <c r="AA103" t="s">
        <v>1</v>
      </c>
      <c r="AB103" t="s">
        <v>1</v>
      </c>
    </row>
    <row r="104" spans="1:28" x14ac:dyDescent="0.25">
      <c r="A104" s="7">
        <v>46217.5</v>
      </c>
      <c r="B104" t="s">
        <v>2509</v>
      </c>
      <c r="C104" t="s">
        <v>253</v>
      </c>
      <c r="D104" s="8" t="s">
        <v>1</v>
      </c>
      <c r="E104" t="s">
        <v>57</v>
      </c>
      <c r="F104" s="3">
        <v>0.8</v>
      </c>
      <c r="G104" s="3">
        <v>0.94</v>
      </c>
      <c r="H104" s="3">
        <f>G104-F104</f>
      </c>
      <c r="I104" s="3">
        <f>H104*16.67%</f>
      </c>
      <c r="J104" s="3">
        <f>G104*7%</f>
      </c>
      <c r="K104" s="3">
        <f>J104*20%</f>
      </c>
      <c r="L104" s="3">
        <v>0</v>
      </c>
      <c r="M104" s="3">
        <f>L104*20%</f>
      </c>
      <c r="N104" s="3">
        <v>1</v>
      </c>
      <c r="O104" s="3">
        <f>K104+M104</f>
      </c>
      <c r="P104" s="3">
        <f>H104-I104-J104-K104-L104-M104-N104</f>
      </c>
      <c r="Q104" s="3">
        <f>(P104-Y104)/F104*100</f>
      </c>
      <c r="R104" s="3">
        <f>I104-O104</f>
      </c>
      <c r="S104" t="s">
        <v>1</v>
      </c>
      <c r="T104" t="s">
        <v>253</v>
      </c>
      <c r="Z104" s="3">
        <f>P104-Y104</f>
      </c>
      <c r="AA104" t="s">
        <v>1</v>
      </c>
      <c r="AB104" t="s">
        <v>1</v>
      </c>
    </row>
    <row r="105" spans="1:28" x14ac:dyDescent="0.25">
      <c r="A105" s="7">
        <v>46217.5</v>
      </c>
      <c r="B105" t="s">
        <v>2510</v>
      </c>
      <c r="C105" t="s">
        <v>184</v>
      </c>
      <c r="D105" s="8" t="s">
        <v>1</v>
      </c>
      <c r="E105" t="s">
        <v>101</v>
      </c>
      <c r="F105" s="3">
        <v>1.2</v>
      </c>
      <c r="G105" s="3">
        <v>1.44</v>
      </c>
      <c r="H105" s="3">
        <f>G105-F105</f>
      </c>
      <c r="I105" s="3">
        <f>H105*16.67%</f>
      </c>
      <c r="J105" s="3">
        <f>G105*7%</f>
      </c>
      <c r="K105" s="3">
        <f>J105*20%</f>
      </c>
      <c r="L105" s="3">
        <v>0</v>
      </c>
      <c r="M105" s="3">
        <f>L105*20%</f>
      </c>
      <c r="N105" s="3">
        <v>1</v>
      </c>
      <c r="O105" s="3">
        <f>K105+M105</f>
      </c>
      <c r="P105" s="3">
        <f>H105-I105-J105-K105-L105-M105-N105</f>
      </c>
      <c r="Q105" s="3">
        <f>(P105-Y105)/F105*100</f>
      </c>
      <c r="R105" s="3">
        <f>I105-O105</f>
      </c>
      <c r="S105" t="s">
        <v>1</v>
      </c>
      <c r="T105" t="s">
        <v>184</v>
      </c>
      <c r="Z105" s="3">
        <f>P105-Y105</f>
      </c>
      <c r="AA105" t="s">
        <v>1</v>
      </c>
      <c r="AB105" t="s">
        <v>1</v>
      </c>
    </row>
    <row r="106" spans="1:28" x14ac:dyDescent="0.25">
      <c r="A106" s="7">
        <v>46216.5</v>
      </c>
      <c r="B106" t="s">
        <v>2511</v>
      </c>
      <c r="C106" t="s">
        <v>1</v>
      </c>
      <c r="D106" s="8" t="s">
        <v>2512</v>
      </c>
      <c r="E106" t="s">
        <v>57</v>
      </c>
      <c r="F106" s="3">
        <v>443</v>
      </c>
      <c r="G106" s="3">
        <v>629.06</v>
      </c>
      <c r="H106" s="3">
        <f>G106-F106</f>
      </c>
      <c r="I106" s="3">
        <f>H106*16.67%</f>
      </c>
      <c r="J106" s="3">
        <f>G106*7%</f>
      </c>
      <c r="K106" s="3">
        <f>J106*20%</f>
      </c>
      <c r="L106" s="3">
        <v>0</v>
      </c>
      <c r="M106" s="3">
        <f>L106*20%</f>
      </c>
      <c r="N106" s="3">
        <v>1</v>
      </c>
      <c r="O106" s="3">
        <f>K106+M106</f>
      </c>
      <c r="P106" s="3">
        <f>H106-I106-J106-K106-L106-M106-N106</f>
      </c>
      <c r="Q106" s="3">
        <f>(P106-Y106)/F106*100</f>
      </c>
      <c r="R106" s="3">
        <f>I106-O106</f>
      </c>
      <c r="S106" t="s">
        <v>1</v>
      </c>
      <c r="T106" t="s">
        <v>58</v>
      </c>
      <c r="Z106" s="3">
        <f>P106-Y106</f>
      </c>
      <c r="AA106" t="s">
        <v>59</v>
      </c>
      <c r="AB106" t="s">
        <v>60</v>
      </c>
    </row>
    <row r="107" spans="1:28" x14ac:dyDescent="0.25">
      <c r="A107" s="7">
        <v>46216.5</v>
      </c>
      <c r="B107" t="s">
        <v>2513</v>
      </c>
      <c r="C107" t="s">
        <v>1</v>
      </c>
      <c r="D107" s="8" t="s">
        <v>2514</v>
      </c>
      <c r="E107" t="s">
        <v>72</v>
      </c>
      <c r="F107" s="3">
        <v>88</v>
      </c>
      <c r="G107" s="3">
        <v>123.2</v>
      </c>
      <c r="H107" s="3">
        <f>G107-F107</f>
      </c>
      <c r="I107" s="3">
        <f>H107*16.67%</f>
      </c>
      <c r="J107" s="3">
        <f>G107*7%</f>
      </c>
      <c r="K107" s="3">
        <f>J107*20%</f>
      </c>
      <c r="L107" s="3">
        <v>0</v>
      </c>
      <c r="M107" s="3">
        <f>L107*20%</f>
      </c>
      <c r="N107" s="3">
        <v>1</v>
      </c>
      <c r="O107" s="3">
        <f>K107+M107</f>
      </c>
      <c r="P107" s="3">
        <f>H107-I107-J107-K107-L107-M107-N107</f>
      </c>
      <c r="Q107" s="3">
        <f>(P107-Y107)/F107*100</f>
      </c>
      <c r="R107" s="3">
        <f>I107-O107</f>
      </c>
      <c r="S107" t="s">
        <v>1</v>
      </c>
      <c r="T107" t="s">
        <v>93</v>
      </c>
      <c r="Z107" s="3">
        <f>P107-Y107</f>
      </c>
      <c r="AA107" t="s">
        <v>94</v>
      </c>
      <c r="AB107" t="s">
        <v>60</v>
      </c>
    </row>
    <row r="108" spans="1:28" x14ac:dyDescent="0.25">
      <c r="A108" s="7">
        <v>46216.5</v>
      </c>
      <c r="B108" t="s">
        <v>2515</v>
      </c>
      <c r="C108" t="s">
        <v>1</v>
      </c>
      <c r="D108" s="8" t="s">
        <v>2516</v>
      </c>
      <c r="E108" t="s">
        <v>101</v>
      </c>
      <c r="F108" s="3">
        <v>250</v>
      </c>
      <c r="G108" s="3">
        <v>357.5</v>
      </c>
      <c r="H108" s="3">
        <f>G108-F108</f>
      </c>
      <c r="I108" s="3">
        <f>H108*16.67%</f>
      </c>
      <c r="J108" s="3">
        <f>G108*7%</f>
      </c>
      <c r="K108" s="3">
        <f>J108*20%</f>
      </c>
      <c r="L108" s="3">
        <v>0</v>
      </c>
      <c r="M108" s="3">
        <f>L108*20%</f>
      </c>
      <c r="N108" s="3">
        <v>1</v>
      </c>
      <c r="O108" s="3">
        <f>K108+M108</f>
      </c>
      <c r="P108" s="3">
        <f>H108-I108-J108-K108-L108-M108-N108</f>
      </c>
      <c r="Q108" s="3">
        <f>(P108-Y108)/F108*100</f>
      </c>
      <c r="R108" s="3">
        <f>I108-O108</f>
      </c>
      <c r="S108" t="s">
        <v>1</v>
      </c>
      <c r="T108" t="s">
        <v>113</v>
      </c>
      <c r="Z108" s="3">
        <f>P108-Y108</f>
      </c>
      <c r="AA108" t="s">
        <v>94</v>
      </c>
      <c r="AB108" t="s">
        <v>69</v>
      </c>
    </row>
    <row r="109" spans="1:28" x14ac:dyDescent="0.25">
      <c r="A109" s="7">
        <v>46216.5</v>
      </c>
      <c r="B109" t="s">
        <v>2517</v>
      </c>
      <c r="C109" t="s">
        <v>1</v>
      </c>
      <c r="D109" s="8" t="s">
        <v>2518</v>
      </c>
      <c r="E109" t="s">
        <v>57</v>
      </c>
      <c r="F109" s="3">
        <v>150</v>
      </c>
      <c r="G109" s="3">
        <v>217.5</v>
      </c>
      <c r="H109" s="3">
        <f>G109-F109</f>
      </c>
      <c r="I109" s="3">
        <f>H109*16.67%</f>
      </c>
      <c r="J109" s="3">
        <f>G109*7%</f>
      </c>
      <c r="K109" s="3">
        <f>J109*20%</f>
      </c>
      <c r="L109" s="3">
        <v>0</v>
      </c>
      <c r="M109" s="3">
        <f>L109*20%</f>
      </c>
      <c r="N109" s="3">
        <v>1</v>
      </c>
      <c r="O109" s="3">
        <f>K109+M109</f>
      </c>
      <c r="P109" s="3">
        <f>H109-I109-J109-K109-L109-M109-N109</f>
      </c>
      <c r="Q109" s="3">
        <f>(P109-Y109)/F109*100</f>
      </c>
      <c r="R109" s="3">
        <f>I109-O109</f>
      </c>
      <c r="S109" t="s">
        <v>1</v>
      </c>
      <c r="T109" t="s">
        <v>291</v>
      </c>
      <c r="Z109" s="3">
        <f>P109-Y109</f>
      </c>
      <c r="AA109" t="s">
        <v>125</v>
      </c>
      <c r="AB109" t="s">
        <v>74</v>
      </c>
    </row>
    <row r="110" spans="1:28" x14ac:dyDescent="0.25">
      <c r="A110" s="7">
        <v>46216.5</v>
      </c>
      <c r="B110" t="s">
        <v>2519</v>
      </c>
      <c r="C110" t="s">
        <v>1</v>
      </c>
      <c r="D110" s="8" t="s">
        <v>2520</v>
      </c>
      <c r="E110" t="s">
        <v>101</v>
      </c>
      <c r="F110" s="3">
        <v>171</v>
      </c>
      <c r="G110" s="3">
        <v>201.78</v>
      </c>
      <c r="H110" s="3">
        <f>G110-F110</f>
      </c>
      <c r="I110" s="3">
        <f>H110*16.67%</f>
      </c>
      <c r="J110" s="3">
        <f>G110*7%</f>
      </c>
      <c r="K110" s="3">
        <f>J110*20%</f>
      </c>
      <c r="L110" s="3">
        <v>0</v>
      </c>
      <c r="M110" s="3">
        <f>L110*20%</f>
      </c>
      <c r="N110" s="3">
        <v>1</v>
      </c>
      <c r="O110" s="3">
        <f>K110+M110</f>
      </c>
      <c r="P110" s="3">
        <f>H110-I110-J110-K110-L110-M110-N110</f>
      </c>
      <c r="Q110" s="3">
        <f>(P110-Y110)/F110*100</f>
      </c>
      <c r="R110" s="3">
        <f>I110-O110</f>
      </c>
      <c r="S110" t="s">
        <v>1</v>
      </c>
      <c r="T110" t="s">
        <v>291</v>
      </c>
      <c r="Z110" s="3">
        <f>P110-Y110</f>
      </c>
      <c r="AA110" t="s">
        <v>125</v>
      </c>
      <c r="AB110" t="s">
        <v>98</v>
      </c>
    </row>
    <row r="111" spans="1:28" x14ac:dyDescent="0.25">
      <c r="A111" s="7">
        <v>46216.5</v>
      </c>
      <c r="B111" t="s">
        <v>2521</v>
      </c>
      <c r="C111" t="s">
        <v>1</v>
      </c>
      <c r="D111" s="8" t="s">
        <v>2522</v>
      </c>
      <c r="E111" t="s">
        <v>57</v>
      </c>
      <c r="F111" s="3">
        <v>335</v>
      </c>
      <c r="G111" s="3">
        <v>462.3</v>
      </c>
      <c r="H111" s="3">
        <f>G111-F111</f>
      </c>
      <c r="I111" s="3">
        <f>H111*16.67%</f>
      </c>
      <c r="J111" s="3">
        <f>G111*7%</f>
      </c>
      <c r="K111" s="3">
        <f>J111*20%</f>
      </c>
      <c r="L111" s="3">
        <v>0</v>
      </c>
      <c r="M111" s="3">
        <f>L111*20%</f>
      </c>
      <c r="N111" s="3">
        <v>1</v>
      </c>
      <c r="O111" s="3">
        <f>K111+M111</f>
      </c>
      <c r="P111" s="3">
        <f>H111-I111-J111-K111-L111-M111-N111</f>
      </c>
      <c r="Q111" s="3">
        <f>(P111-Y111)/F111*100</f>
      </c>
      <c r="R111" s="3">
        <f>I111-O111</f>
      </c>
      <c r="S111" t="s">
        <v>1</v>
      </c>
      <c r="T111" t="s">
        <v>73</v>
      </c>
      <c r="Z111" s="3">
        <f>P111-Y111</f>
      </c>
      <c r="AA111" t="s">
        <v>59</v>
      </c>
      <c r="AB111" t="s">
        <v>98</v>
      </c>
    </row>
    <row r="112" spans="1:28" x14ac:dyDescent="0.25">
      <c r="A112" s="7">
        <v>46216.5</v>
      </c>
      <c r="B112" t="s">
        <v>2523</v>
      </c>
      <c r="C112" t="s">
        <v>188</v>
      </c>
      <c r="D112" s="8" t="s">
        <v>1</v>
      </c>
      <c r="E112" t="s">
        <v>63</v>
      </c>
      <c r="F112" s="3">
        <v>3.5</v>
      </c>
      <c r="G112" s="3">
        <v>4.66</v>
      </c>
      <c r="H112" s="3">
        <f>G112-F112</f>
      </c>
      <c r="I112" s="3">
        <f>H112*16.67%</f>
      </c>
      <c r="J112" s="3">
        <f>G112*7%</f>
      </c>
      <c r="K112" s="3">
        <f>J112*20%</f>
      </c>
      <c r="L112" s="3">
        <v>0</v>
      </c>
      <c r="M112" s="3">
        <f>L112*20%</f>
      </c>
      <c r="N112" s="3">
        <v>1</v>
      </c>
      <c r="O112" s="3">
        <f>K112+M112</f>
      </c>
      <c r="P112" s="3">
        <f>H112-I112-J112-K112-L112-M112-N112</f>
      </c>
      <c r="Q112" s="3">
        <f>(P112-Y112)/F112*100</f>
      </c>
      <c r="R112" s="3">
        <f>I112-O112</f>
      </c>
      <c r="S112" t="s">
        <v>1</v>
      </c>
      <c r="T112" t="s">
        <v>188</v>
      </c>
      <c r="Z112" s="3">
        <f>P112-Y112</f>
      </c>
      <c r="AA112" t="s">
        <v>1</v>
      </c>
      <c r="AB112" t="s">
        <v>1</v>
      </c>
    </row>
    <row r="113" spans="1:28" x14ac:dyDescent="0.25">
      <c r="A113" s="7">
        <v>46216.5</v>
      </c>
      <c r="B113" t="s">
        <v>2524</v>
      </c>
      <c r="C113" t="s">
        <v>173</v>
      </c>
      <c r="D113" s="8" t="s">
        <v>1</v>
      </c>
      <c r="E113" t="s">
        <v>63</v>
      </c>
      <c r="F113" s="3">
        <v>4.25</v>
      </c>
      <c r="G113" s="3">
        <v>5.91</v>
      </c>
      <c r="H113" s="3">
        <f>G113-F113</f>
      </c>
      <c r="I113" s="3">
        <f>H113*16.67%</f>
      </c>
      <c r="J113" s="3">
        <f>G113*7%</f>
      </c>
      <c r="K113" s="3">
        <f>J113*20%</f>
      </c>
      <c r="L113" s="3">
        <v>0</v>
      </c>
      <c r="M113" s="3">
        <f>L113*20%</f>
      </c>
      <c r="N113" s="3">
        <v>1</v>
      </c>
      <c r="O113" s="3">
        <f>K113+M113</f>
      </c>
      <c r="P113" s="3">
        <f>H113-I113-J113-K113-L113-M113-N113</f>
      </c>
      <c r="Q113" s="3">
        <f>(P113-Y113)/F113*100</f>
      </c>
      <c r="R113" s="3">
        <f>I113-O113</f>
      </c>
      <c r="S113" t="s">
        <v>1</v>
      </c>
      <c r="T113" t="s">
        <v>173</v>
      </c>
      <c r="Z113" s="3">
        <f>P113-Y113</f>
      </c>
      <c r="AA113" t="s">
        <v>1</v>
      </c>
      <c r="AB113" t="s">
        <v>1</v>
      </c>
    </row>
    <row r="114" spans="1:28" x14ac:dyDescent="0.25">
      <c r="A114" s="7">
        <v>46216.5</v>
      </c>
      <c r="B114" t="s">
        <v>2525</v>
      </c>
      <c r="C114" t="s">
        <v>184</v>
      </c>
      <c r="D114" s="8" t="s">
        <v>1</v>
      </c>
      <c r="E114" t="s">
        <v>101</v>
      </c>
      <c r="F114" s="3">
        <v>1.2</v>
      </c>
      <c r="G114" s="3">
        <v>1.63</v>
      </c>
      <c r="H114" s="3">
        <f>G114-F114</f>
      </c>
      <c r="I114" s="3">
        <f>H114*16.67%</f>
      </c>
      <c r="J114" s="3">
        <f>G114*7%</f>
      </c>
      <c r="K114" s="3">
        <f>J114*20%</f>
      </c>
      <c r="L114" s="3">
        <v>0</v>
      </c>
      <c r="M114" s="3">
        <f>L114*20%</f>
      </c>
      <c r="N114" s="3">
        <v>1</v>
      </c>
      <c r="O114" s="3">
        <f>K114+M114</f>
      </c>
      <c r="P114" s="3">
        <f>H114-I114-J114-K114-L114-M114-N114</f>
      </c>
      <c r="Q114" s="3">
        <f>(P114-Y114)/F114*100</f>
      </c>
      <c r="R114" s="3">
        <f>I114-O114</f>
      </c>
      <c r="S114" t="s">
        <v>1</v>
      </c>
      <c r="T114" t="s">
        <v>184</v>
      </c>
      <c r="Z114" s="3">
        <f>P114-Y114</f>
      </c>
      <c r="AA114" t="s">
        <v>1</v>
      </c>
      <c r="AB114" t="s">
        <v>1</v>
      </c>
    </row>
    <row r="115" spans="1:28" x14ac:dyDescent="0.25">
      <c r="A115" s="7">
        <v>46216.5</v>
      </c>
      <c r="B115" t="s">
        <v>2526</v>
      </c>
      <c r="C115" t="s">
        <v>184</v>
      </c>
      <c r="D115" s="8" t="s">
        <v>1</v>
      </c>
      <c r="E115" t="s">
        <v>101</v>
      </c>
      <c r="F115" s="3">
        <v>1.2</v>
      </c>
      <c r="G115" s="3">
        <v>1.63</v>
      </c>
      <c r="H115" s="3">
        <f>G115-F115</f>
      </c>
      <c r="I115" s="3">
        <f>H115*16.67%</f>
      </c>
      <c r="J115" s="3">
        <f>G115*7%</f>
      </c>
      <c r="K115" s="3">
        <f>J115*20%</f>
      </c>
      <c r="L115" s="3">
        <v>0</v>
      </c>
      <c r="M115" s="3">
        <f>L115*20%</f>
      </c>
      <c r="N115" s="3">
        <v>1</v>
      </c>
      <c r="O115" s="3">
        <f>K115+M115</f>
      </c>
      <c r="P115" s="3">
        <f>H115-I115-J115-K115-L115-M115-N115</f>
      </c>
      <c r="Q115" s="3">
        <f>(P115-Y115)/F115*100</f>
      </c>
      <c r="R115" s="3">
        <f>I115-O115</f>
      </c>
      <c r="S115" t="s">
        <v>1</v>
      </c>
      <c r="T115" t="s">
        <v>184</v>
      </c>
      <c r="Z115" s="3">
        <f>P115-Y115</f>
      </c>
      <c r="AA115" t="s">
        <v>1</v>
      </c>
      <c r="AB115" t="s">
        <v>1</v>
      </c>
    </row>
    <row r="116" spans="1:28" x14ac:dyDescent="0.25">
      <c r="A116" s="7">
        <v>46215.5</v>
      </c>
      <c r="B116" t="s">
        <v>2527</v>
      </c>
      <c r="C116" t="s">
        <v>1</v>
      </c>
      <c r="D116" s="8" t="s">
        <v>2528</v>
      </c>
      <c r="E116" t="s">
        <v>57</v>
      </c>
      <c r="F116" s="3">
        <v>614</v>
      </c>
      <c r="G116" s="3">
        <v>730.66</v>
      </c>
      <c r="H116" s="3">
        <f>G116-F116</f>
      </c>
      <c r="I116" s="3">
        <f>H116*16.67%</f>
      </c>
      <c r="J116" s="3">
        <f>G116*7%</f>
      </c>
      <c r="K116" s="3">
        <f>J116*20%</f>
      </c>
      <c r="L116" s="3">
        <v>0</v>
      </c>
      <c r="M116" s="3">
        <f>L116*20%</f>
      </c>
      <c r="N116" s="3">
        <v>1</v>
      </c>
      <c r="O116" s="3">
        <f>K116+M116</f>
      </c>
      <c r="P116" s="3">
        <f>H116-I116-J116-K116-L116-M116-N116</f>
      </c>
      <c r="Q116" s="3">
        <f>(P116-Y116)/F116*100</f>
      </c>
      <c r="R116" s="3">
        <f>I116-O116</f>
      </c>
      <c r="S116" t="s">
        <v>1</v>
      </c>
      <c r="T116" t="s">
        <v>80</v>
      </c>
      <c r="Z116" s="3">
        <f>P116-Y116</f>
      </c>
      <c r="AA116" t="s">
        <v>59</v>
      </c>
      <c r="AB116" t="s">
        <v>104</v>
      </c>
    </row>
    <row r="117" spans="1:28" x14ac:dyDescent="0.25">
      <c r="A117" s="7">
        <v>46215.5</v>
      </c>
      <c r="B117" t="s">
        <v>2529</v>
      </c>
      <c r="C117" t="s">
        <v>1</v>
      </c>
      <c r="D117" s="8" t="s">
        <v>2530</v>
      </c>
      <c r="E117" t="s">
        <v>77</v>
      </c>
      <c r="F117" s="3">
        <v>211</v>
      </c>
      <c r="G117" s="3">
        <v>265.86</v>
      </c>
      <c r="H117" s="3">
        <f>G117-F117</f>
      </c>
      <c r="I117" s="3">
        <f>H117*16.67%</f>
      </c>
      <c r="J117" s="3">
        <f>G117*7%</f>
      </c>
      <c r="K117" s="3">
        <f>J117*20%</f>
      </c>
      <c r="L117" s="3">
        <v>0</v>
      </c>
      <c r="M117" s="3">
        <f>L117*20%</f>
      </c>
      <c r="N117" s="3">
        <v>1</v>
      </c>
      <c r="O117" s="3">
        <f>K117+M117</f>
      </c>
      <c r="P117" s="3">
        <f>H117-I117-J117-K117-L117-M117-N117</f>
      </c>
      <c r="Q117" s="3">
        <f>(P117-Y117)/F117*100</f>
      </c>
      <c r="R117" s="3">
        <f>I117-O117</f>
      </c>
      <c r="S117" t="s">
        <v>1</v>
      </c>
      <c r="T117" t="s">
        <v>113</v>
      </c>
      <c r="Z117" s="3">
        <f>P117-Y117</f>
      </c>
      <c r="AA117" t="s">
        <v>59</v>
      </c>
      <c r="AB117" t="s">
        <v>74</v>
      </c>
    </row>
    <row r="118" spans="1:28" x14ac:dyDescent="0.25">
      <c r="A118" s="7">
        <v>46215.5</v>
      </c>
      <c r="B118" t="s">
        <v>2531</v>
      </c>
      <c r="C118" t="s">
        <v>1</v>
      </c>
      <c r="D118" s="8" t="s">
        <v>2532</v>
      </c>
      <c r="E118" t="s">
        <v>72</v>
      </c>
      <c r="F118" s="3">
        <v>308</v>
      </c>
      <c r="G118" s="3">
        <v>360.36</v>
      </c>
      <c r="H118" s="3">
        <f>G118-F118</f>
      </c>
      <c r="I118" s="3">
        <f>H118*16.67%</f>
      </c>
      <c r="J118" s="3">
        <f>G118*7%</f>
      </c>
      <c r="K118" s="3">
        <f>J118*20%</f>
      </c>
      <c r="L118" s="3">
        <v>0</v>
      </c>
      <c r="M118" s="3">
        <f>L118*20%</f>
      </c>
      <c r="N118" s="3">
        <v>1</v>
      </c>
      <c r="O118" s="3">
        <f>K118+M118</f>
      </c>
      <c r="P118" s="3">
        <f>H118-I118-J118-K118-L118-M118-N118</f>
      </c>
      <c r="Q118" s="3">
        <f>(P118-Y118)/F118*100</f>
      </c>
      <c r="R118" s="3">
        <f>I118-O118</f>
      </c>
      <c r="S118" t="s">
        <v>1</v>
      </c>
      <c r="T118" t="s">
        <v>130</v>
      </c>
      <c r="Z118" s="3">
        <f>P118-Y118</f>
      </c>
      <c r="AA118" t="s">
        <v>59</v>
      </c>
      <c r="AB118" t="s">
        <v>104</v>
      </c>
    </row>
    <row r="119" spans="1:28" x14ac:dyDescent="0.25">
      <c r="A119" s="7">
        <v>46215.5</v>
      </c>
      <c r="B119" t="s">
        <v>2533</v>
      </c>
      <c r="C119" t="s">
        <v>1</v>
      </c>
      <c r="D119" s="8" t="s">
        <v>2534</v>
      </c>
      <c r="E119" t="s">
        <v>57</v>
      </c>
      <c r="F119" s="3">
        <v>712</v>
      </c>
      <c r="G119" s="3">
        <v>975.44</v>
      </c>
      <c r="H119" s="3">
        <f>G119-F119</f>
      </c>
      <c r="I119" s="3">
        <f>H119*16.67%</f>
      </c>
      <c r="J119" s="3">
        <f>G119*7%</f>
      </c>
      <c r="K119" s="3">
        <f>J119*20%</f>
      </c>
      <c r="L119" s="3">
        <v>0</v>
      </c>
      <c r="M119" s="3">
        <f>L119*20%</f>
      </c>
      <c r="N119" s="3">
        <v>1</v>
      </c>
      <c r="O119" s="3">
        <f>K119+M119</f>
      </c>
      <c r="P119" s="3">
        <f>H119-I119-J119-K119-L119-M119-N119</f>
      </c>
      <c r="Q119" s="3">
        <f>(P119-Y119)/F119*100</f>
      </c>
      <c r="R119" s="3">
        <f>I119-O119</f>
      </c>
      <c r="S119" t="s">
        <v>1</v>
      </c>
      <c r="T119" t="s">
        <v>83</v>
      </c>
      <c r="Z119" s="3">
        <f>P119-Y119</f>
      </c>
      <c r="AA119" t="s">
        <v>59</v>
      </c>
      <c r="AB119" t="s">
        <v>60</v>
      </c>
    </row>
    <row r="120" spans="1:28" x14ac:dyDescent="0.25">
      <c r="A120" s="7">
        <v>46214.5</v>
      </c>
      <c r="B120" t="s">
        <v>2535</v>
      </c>
      <c r="C120" t="s">
        <v>1</v>
      </c>
      <c r="D120" s="8" t="s">
        <v>2536</v>
      </c>
      <c r="E120" t="s">
        <v>77</v>
      </c>
      <c r="F120" s="3">
        <v>289</v>
      </c>
      <c r="G120" s="3">
        <v>378.59</v>
      </c>
      <c r="H120" s="3">
        <f>G120-F120</f>
      </c>
      <c r="I120" s="3">
        <f>H120*16.67%</f>
      </c>
      <c r="J120" s="3">
        <f>G120*7%</f>
      </c>
      <c r="K120" s="3">
        <f>J120*20%</f>
      </c>
      <c r="L120" s="3">
        <v>0</v>
      </c>
      <c r="M120" s="3">
        <f>L120*20%</f>
      </c>
      <c r="N120" s="3">
        <v>1</v>
      </c>
      <c r="O120" s="3">
        <f>K120+M120</f>
      </c>
      <c r="P120" s="3">
        <f>H120-I120-J120-K120-L120-M120-N120</f>
      </c>
      <c r="Q120" s="3">
        <f>(P120-Y120)/F120*100</f>
      </c>
      <c r="R120" s="3">
        <f>I120-O120</f>
      </c>
      <c r="S120" t="s">
        <v>1</v>
      </c>
      <c r="T120" t="s">
        <v>97</v>
      </c>
      <c r="Z120" s="3">
        <f>P120-Y120</f>
      </c>
      <c r="AA120" t="s">
        <v>65</v>
      </c>
      <c r="AB120" t="s">
        <v>87</v>
      </c>
    </row>
    <row r="121" spans="1:28" x14ac:dyDescent="0.25">
      <c r="A121" s="7">
        <v>46214.5</v>
      </c>
      <c r="B121" t="s">
        <v>2537</v>
      </c>
      <c r="C121" t="s">
        <v>1</v>
      </c>
      <c r="D121" s="8" t="s">
        <v>2538</v>
      </c>
      <c r="E121" t="s">
        <v>77</v>
      </c>
      <c r="F121" s="3">
        <v>228</v>
      </c>
      <c r="G121" s="3">
        <v>271.32</v>
      </c>
      <c r="H121" s="3">
        <f>G121-F121</f>
      </c>
      <c r="I121" s="3">
        <f>H121*16.67%</f>
      </c>
      <c r="J121" s="3">
        <f>G121*7%</f>
      </c>
      <c r="K121" s="3">
        <f>J121*20%</f>
      </c>
      <c r="L121" s="3">
        <v>0</v>
      </c>
      <c r="M121" s="3">
        <f>L121*20%</f>
      </c>
      <c r="N121" s="3">
        <v>1</v>
      </c>
      <c r="O121" s="3">
        <f>K121+M121</f>
      </c>
      <c r="P121" s="3">
        <f>H121-I121-J121-K121-L121-M121-N121</f>
      </c>
      <c r="Q121" s="3">
        <f>(P121-Y121)/F121*100</f>
      </c>
      <c r="R121" s="3">
        <f>I121-O121</f>
      </c>
      <c r="S121" t="s">
        <v>1</v>
      </c>
      <c r="T121" t="s">
        <v>113</v>
      </c>
      <c r="Z121" s="3">
        <f>P121-Y121</f>
      </c>
      <c r="AA121" t="s">
        <v>59</v>
      </c>
      <c r="AB121" t="s">
        <v>74</v>
      </c>
    </row>
    <row r="122" spans="1:28" x14ac:dyDescent="0.25">
      <c r="A122" s="7">
        <v>46214.5</v>
      </c>
      <c r="B122" t="s">
        <v>2539</v>
      </c>
      <c r="C122" t="s">
        <v>1</v>
      </c>
      <c r="D122" s="8" t="s">
        <v>2540</v>
      </c>
      <c r="E122" t="s">
        <v>101</v>
      </c>
      <c r="F122" s="3">
        <v>531</v>
      </c>
      <c r="G122" s="3">
        <v>748.71</v>
      </c>
      <c r="H122" s="3">
        <f>G122-F122</f>
      </c>
      <c r="I122" s="3">
        <f>H122*16.67%</f>
      </c>
      <c r="J122" s="3">
        <f>G122*7%</f>
      </c>
      <c r="K122" s="3">
        <f>J122*20%</f>
      </c>
      <c r="L122" s="3">
        <v>0</v>
      </c>
      <c r="M122" s="3">
        <f>L122*20%</f>
      </c>
      <c r="N122" s="3">
        <v>1</v>
      </c>
      <c r="O122" s="3">
        <f>K122+M122</f>
      </c>
      <c r="P122" s="3">
        <f>H122-I122-J122-K122-L122-M122-N122</f>
      </c>
      <c r="Q122" s="3">
        <f>(P122-Y122)/F122*100</f>
      </c>
      <c r="R122" s="3">
        <f>I122-O122</f>
      </c>
      <c r="S122" t="s">
        <v>1</v>
      </c>
      <c r="T122" t="s">
        <v>68</v>
      </c>
      <c r="Z122" s="3">
        <f>P122-Y122</f>
      </c>
      <c r="AA122" t="s">
        <v>59</v>
      </c>
      <c r="AB122" t="s">
        <v>74</v>
      </c>
    </row>
    <row r="123" spans="1:28" x14ac:dyDescent="0.25">
      <c r="A123" s="7">
        <v>46214.5</v>
      </c>
      <c r="B123" t="s">
        <v>2541</v>
      </c>
      <c r="C123" t="s">
        <v>1</v>
      </c>
      <c r="D123" s="8" t="s">
        <v>2542</v>
      </c>
      <c r="E123" t="s">
        <v>57</v>
      </c>
      <c r="F123" s="3">
        <v>221</v>
      </c>
      <c r="G123" s="3">
        <v>316.03</v>
      </c>
      <c r="H123" s="3">
        <f>G123-F123</f>
      </c>
      <c r="I123" s="3">
        <f>H123*16.67%</f>
      </c>
      <c r="J123" s="3">
        <f>G123*7%</f>
      </c>
      <c r="K123" s="3">
        <f>J123*20%</f>
      </c>
      <c r="L123" s="3">
        <v>0</v>
      </c>
      <c r="M123" s="3">
        <f>L123*20%</f>
      </c>
      <c r="N123" s="3">
        <v>1</v>
      </c>
      <c r="O123" s="3">
        <f>K123+M123</f>
      </c>
      <c r="P123" s="3">
        <f>H123-I123-J123-K123-L123-M123-N123</f>
      </c>
      <c r="Q123" s="3">
        <f>(P123-Y123)/F123*100</f>
      </c>
      <c r="R123" s="3">
        <f>I123-O123</f>
      </c>
      <c r="S123" t="s">
        <v>1</v>
      </c>
      <c r="T123" t="s">
        <v>113</v>
      </c>
      <c r="Z123" s="3">
        <f>P123-Y123</f>
      </c>
      <c r="AA123" t="s">
        <v>59</v>
      </c>
      <c r="AB123" t="s">
        <v>98</v>
      </c>
    </row>
    <row r="124" spans="1:28" x14ac:dyDescent="0.25">
      <c r="A124" s="7">
        <v>46214.5</v>
      </c>
      <c r="B124" t="s">
        <v>2543</v>
      </c>
      <c r="C124" t="s">
        <v>1</v>
      </c>
      <c r="D124" s="8" t="s">
        <v>2544</v>
      </c>
      <c r="E124" t="s">
        <v>57</v>
      </c>
      <c r="F124" s="3">
        <v>317</v>
      </c>
      <c r="G124" s="3">
        <v>437.46</v>
      </c>
      <c r="H124" s="3">
        <f>G124-F124</f>
      </c>
      <c r="I124" s="3">
        <f>H124*16.67%</f>
      </c>
      <c r="J124" s="3">
        <f>G124*7%</f>
      </c>
      <c r="K124" s="3">
        <f>J124*20%</f>
      </c>
      <c r="L124" s="3">
        <v>0</v>
      </c>
      <c r="M124" s="3">
        <f>L124*20%</f>
      </c>
      <c r="N124" s="3">
        <v>1</v>
      </c>
      <c r="O124" s="3">
        <f>K124+M124</f>
      </c>
      <c r="P124" s="3">
        <f>H124-I124-J124-K124-L124-M124-N124</f>
      </c>
      <c r="Q124" s="3">
        <f>(P124-Y124)/F124*100</f>
      </c>
      <c r="R124" s="3">
        <f>I124-O124</f>
      </c>
      <c r="S124" t="s">
        <v>1</v>
      </c>
      <c r="T124" t="s">
        <v>97</v>
      </c>
      <c r="Z124" s="3">
        <f>P124-Y124</f>
      </c>
      <c r="AA124" t="s">
        <v>65</v>
      </c>
      <c r="AB124" t="s">
        <v>84</v>
      </c>
    </row>
    <row r="125" spans="1:28" x14ac:dyDescent="0.25">
      <c r="A125" s="7">
        <v>46213.5</v>
      </c>
      <c r="B125" t="s">
        <v>2545</v>
      </c>
      <c r="C125" t="s">
        <v>1</v>
      </c>
      <c r="D125" s="8" t="s">
        <v>2546</v>
      </c>
      <c r="E125" t="s">
        <v>57</v>
      </c>
      <c r="F125" s="3">
        <v>205</v>
      </c>
      <c r="G125" s="3">
        <v>289.05</v>
      </c>
      <c r="H125" s="3">
        <f>G125-F125</f>
      </c>
      <c r="I125" s="3">
        <f>H125*16.67%</f>
      </c>
      <c r="J125" s="3">
        <f>G125*7%</f>
      </c>
      <c r="K125" s="3">
        <f>J125*20%</f>
      </c>
      <c r="L125" s="3">
        <v>0</v>
      </c>
      <c r="M125" s="3">
        <f>L125*20%</f>
      </c>
      <c r="N125" s="3">
        <v>1</v>
      </c>
      <c r="O125" s="3">
        <f>K125+M125</f>
      </c>
      <c r="P125" s="3">
        <f>H125-I125-J125-K125-L125-M125-N125</f>
      </c>
      <c r="Q125" s="3">
        <f>(P125-Y125)/F125*100</f>
      </c>
      <c r="R125" s="3">
        <f>I125-O125</f>
      </c>
      <c r="S125" t="s">
        <v>1</v>
      </c>
      <c r="T125" t="s">
        <v>113</v>
      </c>
      <c r="Z125" s="3">
        <f>P125-Y125</f>
      </c>
      <c r="AA125" t="s">
        <v>94</v>
      </c>
      <c r="AB125" t="s">
        <v>104</v>
      </c>
    </row>
    <row r="126" spans="1:28" x14ac:dyDescent="0.25">
      <c r="A126" s="7">
        <v>46213.5</v>
      </c>
      <c r="B126" t="s">
        <v>2547</v>
      </c>
      <c r="C126" t="s">
        <v>1</v>
      </c>
      <c r="D126" s="8" t="s">
        <v>2548</v>
      </c>
      <c r="E126" t="s">
        <v>101</v>
      </c>
      <c r="F126" s="3">
        <v>111</v>
      </c>
      <c r="G126" s="3">
        <v>150.96</v>
      </c>
      <c r="H126" s="3">
        <f>G126-F126</f>
      </c>
      <c r="I126" s="3">
        <f>H126*16.67%</f>
      </c>
      <c r="J126" s="3">
        <f>G126*7%</f>
      </c>
      <c r="K126" s="3">
        <f>J126*20%</f>
      </c>
      <c r="L126" s="3">
        <v>0</v>
      </c>
      <c r="M126" s="3">
        <f>L126*20%</f>
      </c>
      <c r="N126" s="3">
        <v>1</v>
      </c>
      <c r="O126" s="3">
        <f>K126+M126</f>
      </c>
      <c r="P126" s="3">
        <f>H126-I126-J126-K126-L126-M126-N126</f>
      </c>
      <c r="Q126" s="3">
        <f>(P126-Y126)/F126*100</f>
      </c>
      <c r="R126" s="3">
        <f>I126-O126</f>
      </c>
      <c r="S126" t="s">
        <v>1</v>
      </c>
      <c r="T126" t="s">
        <v>90</v>
      </c>
      <c r="Z126" s="3">
        <f>P126-Y126</f>
      </c>
      <c r="AA126" t="s">
        <v>65</v>
      </c>
      <c r="AB126" t="s">
        <v>84</v>
      </c>
    </row>
    <row r="127" spans="1:28" x14ac:dyDescent="0.25">
      <c r="A127" s="7">
        <v>46213.5</v>
      </c>
      <c r="B127" t="s">
        <v>2549</v>
      </c>
      <c r="C127" t="s">
        <v>173</v>
      </c>
      <c r="D127" s="8" t="s">
        <v>1</v>
      </c>
      <c r="E127" t="s">
        <v>63</v>
      </c>
      <c r="F127" s="3">
        <v>4.25</v>
      </c>
      <c r="G127" s="3">
        <v>5.86</v>
      </c>
      <c r="H127" s="3">
        <f>G127-F127</f>
      </c>
      <c r="I127" s="3">
        <f>H127*16.67%</f>
      </c>
      <c r="J127" s="3">
        <f>G127*7%</f>
      </c>
      <c r="K127" s="3">
        <f>J127*20%</f>
      </c>
      <c r="L127" s="3">
        <v>0</v>
      </c>
      <c r="M127" s="3">
        <f>L127*20%</f>
      </c>
      <c r="N127" s="3">
        <v>1</v>
      </c>
      <c r="O127" s="3">
        <f>K127+M127</f>
      </c>
      <c r="P127" s="3">
        <f>H127-I127-J127-K127-L127-M127-N127</f>
      </c>
      <c r="Q127" s="3">
        <f>(P127-Y127)/F127*100</f>
      </c>
      <c r="R127" s="3">
        <f>I127-O127</f>
      </c>
      <c r="S127" t="s">
        <v>1</v>
      </c>
      <c r="T127" t="s">
        <v>173</v>
      </c>
      <c r="Z127" s="3">
        <f>P127-Y127</f>
      </c>
      <c r="AA127" t="s">
        <v>1</v>
      </c>
      <c r="AB127" t="s">
        <v>1</v>
      </c>
    </row>
    <row r="128" spans="1:28" x14ac:dyDescent="0.25">
      <c r="A128" s="7">
        <v>46213.5</v>
      </c>
      <c r="B128" t="s">
        <v>2550</v>
      </c>
      <c r="C128" t="s">
        <v>1</v>
      </c>
      <c r="D128" s="8" t="s">
        <v>1</v>
      </c>
      <c r="E128" t="s">
        <v>77</v>
      </c>
      <c r="F128" s="3">
        <v>193</v>
      </c>
      <c r="G128" s="3">
        <v>229.67</v>
      </c>
      <c r="H128" s="3">
        <f>G128-F128</f>
      </c>
      <c r="I128" s="3">
        <f>H128*16.67%</f>
      </c>
      <c r="J128" s="3">
        <f>G128*7%</f>
      </c>
      <c r="K128" s="3">
        <f>J128*20%</f>
      </c>
      <c r="L128" s="3">
        <v>0</v>
      </c>
      <c r="M128" s="3">
        <f>L128*20%</f>
      </c>
      <c r="N128" s="3">
        <v>1</v>
      </c>
      <c r="O128" s="3">
        <f>K128+M128</f>
      </c>
      <c r="P128" s="3">
        <f>H128-I128-J128-K128-L128-M128-N128</f>
      </c>
      <c r="Q128" s="3">
        <f>(P128-Y128)/F128*100</f>
      </c>
      <c r="R128" s="3">
        <f>I128-O128</f>
      </c>
      <c r="S128" t="s">
        <v>1</v>
      </c>
      <c r="T128" t="s">
        <v>1</v>
      </c>
      <c r="Z128" s="3">
        <f>P128-Y128</f>
      </c>
      <c r="AA128" t="s">
        <v>1</v>
      </c>
      <c r="AB128" t="s">
        <v>1</v>
      </c>
    </row>
    <row r="129" spans="1:28" x14ac:dyDescent="0.25">
      <c r="A129" s="7">
        <v>46212.5</v>
      </c>
      <c r="B129" t="s">
        <v>2551</v>
      </c>
      <c r="C129" t="s">
        <v>1</v>
      </c>
      <c r="D129" s="8" t="s">
        <v>2552</v>
      </c>
      <c r="E129" t="s">
        <v>77</v>
      </c>
      <c r="F129" s="3">
        <v>247</v>
      </c>
      <c r="G129" s="3">
        <v>323.57</v>
      </c>
      <c r="H129" s="3">
        <f>G129-F129</f>
      </c>
      <c r="I129" s="3">
        <f>H129*16.67%</f>
      </c>
      <c r="J129" s="3">
        <f>G129*7%</f>
      </c>
      <c r="K129" s="3">
        <f>J129*20%</f>
      </c>
      <c r="L129" s="3">
        <v>0</v>
      </c>
      <c r="M129" s="3">
        <f>L129*20%</f>
      </c>
      <c r="N129" s="3">
        <v>1</v>
      </c>
      <c r="O129" s="3">
        <f>K129+M129</f>
      </c>
      <c r="P129" s="3">
        <f>H129-I129-J129-K129-L129-M129-N129</f>
      </c>
      <c r="Q129" s="3">
        <f>(P129-Y129)/F129*100</f>
      </c>
      <c r="R129" s="3">
        <f>I129-O129</f>
      </c>
      <c r="S129" t="s">
        <v>1</v>
      </c>
      <c r="T129" t="s">
        <v>64</v>
      </c>
      <c r="Z129" s="3">
        <f>P129-Y129</f>
      </c>
      <c r="AA129" t="s">
        <v>65</v>
      </c>
      <c r="AB129" t="s">
        <v>84</v>
      </c>
    </row>
    <row r="130" spans="1:28" x14ac:dyDescent="0.25">
      <c r="A130" s="7">
        <v>46212.5</v>
      </c>
      <c r="B130" t="s">
        <v>2553</v>
      </c>
      <c r="C130" t="s">
        <v>1</v>
      </c>
      <c r="D130" s="8" t="s">
        <v>2554</v>
      </c>
      <c r="E130" t="s">
        <v>77</v>
      </c>
      <c r="F130" s="3">
        <v>304</v>
      </c>
      <c r="G130" s="3">
        <v>428.64</v>
      </c>
      <c r="H130" s="3">
        <f>G130-F130</f>
      </c>
      <c r="I130" s="3">
        <f>H130*16.67%</f>
      </c>
      <c r="J130" s="3">
        <f>G130*7%</f>
      </c>
      <c r="K130" s="3">
        <f>J130*20%</f>
      </c>
      <c r="L130" s="3">
        <v>0</v>
      </c>
      <c r="M130" s="3">
        <f>L130*20%</f>
      </c>
      <c r="N130" s="3">
        <v>1</v>
      </c>
      <c r="O130" s="3">
        <f>K130+M130</f>
      </c>
      <c r="P130" s="3">
        <f>H130-I130-J130-K130-L130-M130-N130</f>
      </c>
      <c r="Q130" s="3">
        <f>(P130-Y130)/F130*100</f>
      </c>
      <c r="R130" s="3">
        <f>I130-O130</f>
      </c>
      <c r="S130" t="s">
        <v>1</v>
      </c>
      <c r="T130" t="s">
        <v>97</v>
      </c>
      <c r="Z130" s="3">
        <f>P130-Y130</f>
      </c>
      <c r="AA130" t="s">
        <v>59</v>
      </c>
      <c r="AB130" t="s">
        <v>74</v>
      </c>
    </row>
    <row r="131" spans="1:28" x14ac:dyDescent="0.25">
      <c r="A131" s="7">
        <v>46212.5</v>
      </c>
      <c r="B131" t="s">
        <v>2555</v>
      </c>
      <c r="C131" t="s">
        <v>1</v>
      </c>
      <c r="D131" s="8" t="s">
        <v>2556</v>
      </c>
      <c r="E131" t="s">
        <v>57</v>
      </c>
      <c r="F131" s="3">
        <v>701</v>
      </c>
      <c r="G131" s="3">
        <v>813.16</v>
      </c>
      <c r="H131" s="3">
        <f>G131-F131</f>
      </c>
      <c r="I131" s="3">
        <f>H131*16.67%</f>
      </c>
      <c r="J131" s="3">
        <f>G131*7%</f>
      </c>
      <c r="K131" s="3">
        <f>J131*20%</f>
      </c>
      <c r="L131" s="3">
        <v>0</v>
      </c>
      <c r="M131" s="3">
        <f>L131*20%</f>
      </c>
      <c r="N131" s="3">
        <v>1</v>
      </c>
      <c r="O131" s="3">
        <f>K131+M131</f>
      </c>
      <c r="P131" s="3">
        <f>H131-I131-J131-K131-L131-M131-N131</f>
      </c>
      <c r="Q131" s="3">
        <f>(P131-Y131)/F131*100</f>
      </c>
      <c r="R131" s="3">
        <f>I131-O131</f>
      </c>
      <c r="S131" t="s">
        <v>1</v>
      </c>
      <c r="T131" t="s">
        <v>83</v>
      </c>
      <c r="Z131" s="3">
        <f>P131-Y131</f>
      </c>
      <c r="AA131" t="s">
        <v>59</v>
      </c>
      <c r="AB131" t="s">
        <v>98</v>
      </c>
    </row>
    <row r="132" spans="1:28" x14ac:dyDescent="0.25">
      <c r="A132" s="7">
        <v>46212.5</v>
      </c>
      <c r="B132" t="s">
        <v>2557</v>
      </c>
      <c r="C132" t="s">
        <v>1</v>
      </c>
      <c r="D132" s="8" t="s">
        <v>2558</v>
      </c>
      <c r="E132" t="s">
        <v>101</v>
      </c>
      <c r="F132" s="3">
        <v>754</v>
      </c>
      <c r="G132" s="3">
        <v>1055.6</v>
      </c>
      <c r="H132" s="3">
        <f>G132-F132</f>
      </c>
      <c r="I132" s="3">
        <f>H132*16.67%</f>
      </c>
      <c r="J132" s="3">
        <f>G132*7%</f>
      </c>
      <c r="K132" s="3">
        <f>J132*20%</f>
      </c>
      <c r="L132" s="3">
        <v>0</v>
      </c>
      <c r="M132" s="3">
        <f>L132*20%</f>
      </c>
      <c r="N132" s="3">
        <v>1</v>
      </c>
      <c r="O132" s="3">
        <f>K132+M132</f>
      </c>
      <c r="P132" s="3">
        <f>H132-I132-J132-K132-L132-M132-N132</f>
      </c>
      <c r="Q132" s="3">
        <f>(P132-Y132)/F132*100</f>
      </c>
      <c r="R132" s="3">
        <f>I132-O132</f>
      </c>
      <c r="S132" t="s">
        <v>1</v>
      </c>
      <c r="T132" t="s">
        <v>83</v>
      </c>
      <c r="Z132" s="3">
        <f>P132-Y132</f>
      </c>
      <c r="AA132" t="s">
        <v>59</v>
      </c>
      <c r="AB132" t="s">
        <v>87</v>
      </c>
    </row>
    <row r="133" spans="1:28" x14ac:dyDescent="0.25">
      <c r="A133" s="7">
        <v>46212.5</v>
      </c>
      <c r="B133" t="s">
        <v>2559</v>
      </c>
      <c r="C133" t="s">
        <v>1</v>
      </c>
      <c r="D133" s="8" t="s">
        <v>2560</v>
      </c>
      <c r="E133" t="s">
        <v>72</v>
      </c>
      <c r="F133" s="3">
        <v>584</v>
      </c>
      <c r="G133" s="3">
        <v>829.28</v>
      </c>
      <c r="H133" s="3">
        <f>G133-F133</f>
      </c>
      <c r="I133" s="3">
        <f>H133*16.67%</f>
      </c>
      <c r="J133" s="3">
        <f>G133*7%</f>
      </c>
      <c r="K133" s="3">
        <f>J133*20%</f>
      </c>
      <c r="L133" s="3">
        <v>0</v>
      </c>
      <c r="M133" s="3">
        <f>L133*20%</f>
      </c>
      <c r="N133" s="3">
        <v>1</v>
      </c>
      <c r="O133" s="3">
        <f>K133+M133</f>
      </c>
      <c r="P133" s="3">
        <f>H133-I133-J133-K133-L133-M133-N133</f>
      </c>
      <c r="Q133" s="3">
        <f>(P133-Y133)/F133*100</f>
      </c>
      <c r="R133" s="3">
        <f>I133-O133</f>
      </c>
      <c r="S133" t="s">
        <v>1</v>
      </c>
      <c r="T133" t="s">
        <v>80</v>
      </c>
      <c r="Z133" s="3">
        <f>P133-Y133</f>
      </c>
      <c r="AA133" t="s">
        <v>59</v>
      </c>
      <c r="AB133" t="s">
        <v>60</v>
      </c>
    </row>
    <row r="134" spans="1:28" x14ac:dyDescent="0.25">
      <c r="A134" s="7">
        <v>46212.5</v>
      </c>
      <c r="B134" t="s">
        <v>2561</v>
      </c>
      <c r="C134" t="s">
        <v>188</v>
      </c>
      <c r="D134" s="8" t="s">
        <v>1</v>
      </c>
      <c r="E134" t="s">
        <v>63</v>
      </c>
      <c r="F134" s="3">
        <v>3.5</v>
      </c>
      <c r="G134" s="3">
        <v>4.55</v>
      </c>
      <c r="H134" s="3">
        <f>G134-F134</f>
      </c>
      <c r="I134" s="3">
        <f>H134*16.67%</f>
      </c>
      <c r="J134" s="3">
        <f>G134*7%</f>
      </c>
      <c r="K134" s="3">
        <f>J134*20%</f>
      </c>
      <c r="L134" s="3">
        <v>0</v>
      </c>
      <c r="M134" s="3">
        <f>L134*20%</f>
      </c>
      <c r="N134" s="3">
        <v>1</v>
      </c>
      <c r="O134" s="3">
        <f>K134+M134</f>
      </c>
      <c r="P134" s="3">
        <f>H134-I134-J134-K134-L134-M134-N134</f>
      </c>
      <c r="Q134" s="3">
        <f>(P134-Y134)/F134*100</f>
      </c>
      <c r="R134" s="3">
        <f>I134-O134</f>
      </c>
      <c r="S134" t="s">
        <v>1</v>
      </c>
      <c r="T134" t="s">
        <v>188</v>
      </c>
      <c r="Z134" s="3">
        <f>P134-Y134</f>
      </c>
      <c r="AA134" t="s">
        <v>1</v>
      </c>
      <c r="AB134" t="s">
        <v>1</v>
      </c>
    </row>
    <row r="135" spans="1:28" x14ac:dyDescent="0.25">
      <c r="A135" s="7">
        <v>46211.5</v>
      </c>
      <c r="B135" t="s">
        <v>2562</v>
      </c>
      <c r="C135" t="s">
        <v>1</v>
      </c>
      <c r="D135" s="8" t="s">
        <v>2563</v>
      </c>
      <c r="E135" t="s">
        <v>77</v>
      </c>
      <c r="F135" s="3">
        <v>256</v>
      </c>
      <c r="G135" s="3">
        <v>312.32</v>
      </c>
      <c r="H135" s="3">
        <f>G135-F135</f>
      </c>
      <c r="I135" s="3">
        <f>H135*16.67%</f>
      </c>
      <c r="J135" s="3">
        <f>G135*7%</f>
      </c>
      <c r="K135" s="3">
        <f>J135*20%</f>
      </c>
      <c r="L135" s="3">
        <v>0</v>
      </c>
      <c r="M135" s="3">
        <f>L135*20%</f>
      </c>
      <c r="N135" s="3">
        <v>1</v>
      </c>
      <c r="O135" s="3">
        <f>K135+M135</f>
      </c>
      <c r="P135" s="3">
        <f>H135-I135-J135-K135-L135-M135-N135</f>
      </c>
      <c r="Q135" s="3">
        <f>(P135-Y135)/F135*100</f>
      </c>
      <c r="R135" s="3">
        <f>I135-O135</f>
      </c>
      <c r="S135" t="s">
        <v>1</v>
      </c>
      <c r="T135" t="s">
        <v>113</v>
      </c>
      <c r="Z135" s="3">
        <f>P135-Y135</f>
      </c>
      <c r="AA135" t="s">
        <v>59</v>
      </c>
      <c r="AB135" t="s">
        <v>60</v>
      </c>
    </row>
    <row r="136" spans="1:28" x14ac:dyDescent="0.25">
      <c r="A136" s="7">
        <v>46211.5</v>
      </c>
      <c r="B136" t="s">
        <v>2564</v>
      </c>
      <c r="C136" t="s">
        <v>1</v>
      </c>
      <c r="D136" s="8" t="s">
        <v>2565</v>
      </c>
      <c r="E136" t="s">
        <v>101</v>
      </c>
      <c r="F136" s="3">
        <v>101</v>
      </c>
      <c r="G136" s="3">
        <v>146.45</v>
      </c>
      <c r="H136" s="3">
        <f>G136-F136</f>
      </c>
      <c r="I136" s="3">
        <f>H136*16.67%</f>
      </c>
      <c r="J136" s="3">
        <f>G136*7%</f>
      </c>
      <c r="K136" s="3">
        <f>J136*20%</f>
      </c>
      <c r="L136" s="3">
        <v>0</v>
      </c>
      <c r="M136" s="3">
        <f>L136*20%</f>
      </c>
      <c r="N136" s="3">
        <v>1</v>
      </c>
      <c r="O136" s="3">
        <f>K136+M136</f>
      </c>
      <c r="P136" s="3">
        <f>H136-I136-J136-K136-L136-M136-N136</f>
      </c>
      <c r="Q136" s="3">
        <f>(P136-Y136)/F136*100</f>
      </c>
      <c r="R136" s="3">
        <f>I136-O136</f>
      </c>
      <c r="S136" t="s">
        <v>1</v>
      </c>
      <c r="T136" t="s">
        <v>133</v>
      </c>
      <c r="Z136" s="3">
        <f>P136-Y136</f>
      </c>
      <c r="AA136" t="s">
        <v>65</v>
      </c>
      <c r="AB136" t="s">
        <v>87</v>
      </c>
    </row>
    <row r="137" spans="1:28" x14ac:dyDescent="0.25">
      <c r="A137" s="7">
        <v>46211.5</v>
      </c>
      <c r="B137" t="s">
        <v>2566</v>
      </c>
      <c r="C137" t="s">
        <v>1</v>
      </c>
      <c r="D137" s="8" t="s">
        <v>2567</v>
      </c>
      <c r="E137" t="s">
        <v>72</v>
      </c>
      <c r="F137" s="3">
        <v>505</v>
      </c>
      <c r="G137" s="3">
        <v>676.7</v>
      </c>
      <c r="H137" s="3">
        <f>G137-F137</f>
      </c>
      <c r="I137" s="3">
        <f>H137*16.67%</f>
      </c>
      <c r="J137" s="3">
        <f>G137*7%</f>
      </c>
      <c r="K137" s="3">
        <f>J137*20%</f>
      </c>
      <c r="L137" s="3">
        <v>0</v>
      </c>
      <c r="M137" s="3">
        <f>L137*20%</f>
      </c>
      <c r="N137" s="3">
        <v>1</v>
      </c>
      <c r="O137" s="3">
        <f>K137+M137</f>
      </c>
      <c r="P137" s="3">
        <f>H137-I137-J137-K137-L137-M137-N137</f>
      </c>
      <c r="Q137" s="3">
        <f>(P137-Y137)/F137*100</f>
      </c>
      <c r="R137" s="3">
        <f>I137-O137</f>
      </c>
      <c r="S137" t="s">
        <v>1</v>
      </c>
      <c r="T137" t="s">
        <v>68</v>
      </c>
      <c r="Z137" s="3">
        <f>P137-Y137</f>
      </c>
      <c r="AA137" t="s">
        <v>59</v>
      </c>
      <c r="AB137" t="s">
        <v>98</v>
      </c>
    </row>
    <row r="138" spans="1:28" x14ac:dyDescent="0.25">
      <c r="A138" s="7">
        <v>46211.5</v>
      </c>
      <c r="B138" t="s">
        <v>2568</v>
      </c>
      <c r="C138" t="s">
        <v>1</v>
      </c>
      <c r="D138" s="8" t="s">
        <v>1</v>
      </c>
      <c r="E138" t="s">
        <v>57</v>
      </c>
      <c r="F138" s="3">
        <v>258</v>
      </c>
      <c r="G138" s="3">
        <v>353.46</v>
      </c>
      <c r="H138" s="3">
        <f>G138-F138</f>
      </c>
      <c r="I138" s="3">
        <f>H138*16.67%</f>
      </c>
      <c r="J138" s="3">
        <f>G138*7%</f>
      </c>
      <c r="K138" s="3">
        <f>J138*20%</f>
      </c>
      <c r="L138" s="3">
        <v>0</v>
      </c>
      <c r="M138" s="3">
        <f>L138*20%</f>
      </c>
      <c r="N138" s="3">
        <v>1</v>
      </c>
      <c r="O138" s="3">
        <f>K138+M138</f>
      </c>
      <c r="P138" s="3">
        <f>H138-I138-J138-K138-L138-M138-N138</f>
      </c>
      <c r="Q138" s="3">
        <f>(P138-Y138)/F138*100</f>
      </c>
      <c r="R138" s="3">
        <f>I138-O138</f>
      </c>
      <c r="S138" t="s">
        <v>1</v>
      </c>
      <c r="T138" t="s">
        <v>1</v>
      </c>
      <c r="Z138" s="3">
        <f>P138-Y138</f>
      </c>
      <c r="AA138" t="s">
        <v>1</v>
      </c>
      <c r="AB138" t="s">
        <v>1</v>
      </c>
    </row>
    <row r="139" spans="1:28" x14ac:dyDescent="0.25">
      <c r="A139" s="7">
        <v>46210.5</v>
      </c>
      <c r="B139" t="s">
        <v>2569</v>
      </c>
      <c r="C139" t="s">
        <v>1</v>
      </c>
      <c r="D139" s="8" t="s">
        <v>2570</v>
      </c>
      <c r="E139" t="s">
        <v>63</v>
      </c>
      <c r="F139" s="3">
        <v>71</v>
      </c>
      <c r="G139" s="3">
        <v>92.3</v>
      </c>
      <c r="H139" s="3">
        <f>G139-F139</f>
      </c>
      <c r="I139" s="3">
        <f>H139*16.67%</f>
      </c>
      <c r="J139" s="3">
        <f>G139*7%</f>
      </c>
      <c r="K139" s="3">
        <f>J139*20%</f>
      </c>
      <c r="L139" s="3">
        <v>0</v>
      </c>
      <c r="M139" s="3">
        <f>L139*20%</f>
      </c>
      <c r="N139" s="3">
        <v>1</v>
      </c>
      <c r="O139" s="3">
        <f>K139+M139</f>
      </c>
      <c r="P139" s="3">
        <f>H139-I139-J139-K139-L139-M139-N139</f>
      </c>
      <c r="Q139" s="3">
        <f>(P139-Y139)/F139*100</f>
      </c>
      <c r="R139" s="3">
        <f>I139-O139</f>
      </c>
      <c r="S139" t="s">
        <v>1</v>
      </c>
      <c r="T139" t="s">
        <v>93</v>
      </c>
      <c r="Z139" s="3">
        <f>P139-Y139</f>
      </c>
      <c r="AA139" t="s">
        <v>94</v>
      </c>
      <c r="AB139" t="s">
        <v>60</v>
      </c>
    </row>
    <row r="140" spans="1:28" x14ac:dyDescent="0.25">
      <c r="A140" s="7">
        <v>46210.5</v>
      </c>
      <c r="B140" t="s">
        <v>2571</v>
      </c>
      <c r="C140" t="s">
        <v>1</v>
      </c>
      <c r="D140" s="8" t="s">
        <v>2572</v>
      </c>
      <c r="E140" t="s">
        <v>101</v>
      </c>
      <c r="F140" s="3">
        <v>602</v>
      </c>
      <c r="G140" s="3">
        <v>692.3</v>
      </c>
      <c r="H140" s="3">
        <f>G140-F140</f>
      </c>
      <c r="I140" s="3">
        <f>H140*16.67%</f>
      </c>
      <c r="J140" s="3">
        <f>G140*7%</f>
      </c>
      <c r="K140" s="3">
        <f>J140*20%</f>
      </c>
      <c r="L140" s="3">
        <v>0</v>
      </c>
      <c r="M140" s="3">
        <f>L140*20%</f>
      </c>
      <c r="N140" s="3">
        <v>1</v>
      </c>
      <c r="O140" s="3">
        <f>K140+M140</f>
      </c>
      <c r="P140" s="3">
        <f>H140-I140-J140-K140-L140-M140-N140</f>
      </c>
      <c r="Q140" s="3">
        <f>(P140-Y140)/F140*100</f>
      </c>
      <c r="R140" s="3">
        <f>I140-O140</f>
      </c>
      <c r="S140" t="s">
        <v>1</v>
      </c>
      <c r="T140" t="s">
        <v>80</v>
      </c>
      <c r="Z140" s="3">
        <f>P140-Y140</f>
      </c>
      <c r="AA140" t="s">
        <v>65</v>
      </c>
      <c r="AB140" t="s">
        <v>74</v>
      </c>
    </row>
    <row r="141" spans="1:28" x14ac:dyDescent="0.25">
      <c r="A141" s="7">
        <v>46210.5</v>
      </c>
      <c r="B141" t="s">
        <v>2573</v>
      </c>
      <c r="C141" t="s">
        <v>176</v>
      </c>
      <c r="D141" s="8" t="s">
        <v>1</v>
      </c>
      <c r="E141" t="s">
        <v>77</v>
      </c>
      <c r="F141" s="3">
        <v>0.15</v>
      </c>
      <c r="G141" s="3">
        <v>0.19</v>
      </c>
      <c r="H141" s="3">
        <f>G141-F141</f>
      </c>
      <c r="I141" s="3">
        <f>H141*16.67%</f>
      </c>
      <c r="J141" s="3">
        <f>G141*7%</f>
      </c>
      <c r="K141" s="3">
        <f>J141*20%</f>
      </c>
      <c r="L141" s="3">
        <v>0</v>
      </c>
      <c r="M141" s="3">
        <f>L141*20%</f>
      </c>
      <c r="N141" s="3">
        <v>1</v>
      </c>
      <c r="O141" s="3">
        <f>K141+M141</f>
      </c>
      <c r="P141" s="3">
        <f>H141-I141-J141-K141-L141-M141-N141</f>
      </c>
      <c r="Q141" s="3">
        <f>(P141-Y141)/F141*100</f>
      </c>
      <c r="R141" s="3">
        <f>I141-O141</f>
      </c>
      <c r="S141" t="s">
        <v>1</v>
      </c>
      <c r="T141" t="s">
        <v>176</v>
      </c>
      <c r="Z141" s="3">
        <f>P141-Y141</f>
      </c>
      <c r="AA141" t="s">
        <v>1</v>
      </c>
      <c r="AB141" t="s">
        <v>1</v>
      </c>
    </row>
    <row r="142" spans="1:28" x14ac:dyDescent="0.25">
      <c r="A142" s="7">
        <v>46209.5</v>
      </c>
      <c r="B142" t="s">
        <v>2574</v>
      </c>
      <c r="C142" t="s">
        <v>1</v>
      </c>
      <c r="D142" s="8" t="s">
        <v>2575</v>
      </c>
      <c r="E142" t="s">
        <v>101</v>
      </c>
      <c r="F142" s="3">
        <v>71</v>
      </c>
      <c r="G142" s="3">
        <v>99.4</v>
      </c>
      <c r="H142" s="3">
        <f>G142-F142</f>
      </c>
      <c r="I142" s="3">
        <f>H142*16.67%</f>
      </c>
      <c r="J142" s="3">
        <f>G142*7%</f>
      </c>
      <c r="K142" s="3">
        <f>J142*20%</f>
      </c>
      <c r="L142" s="3">
        <v>0</v>
      </c>
      <c r="M142" s="3">
        <f>L142*20%</f>
      </c>
      <c r="N142" s="3">
        <v>1</v>
      </c>
      <c r="O142" s="3">
        <f>K142+M142</f>
      </c>
      <c r="P142" s="3">
        <f>H142-I142-J142-K142-L142-M142-N142</f>
      </c>
      <c r="Q142" s="3">
        <f>(P142-Y142)/F142*100</f>
      </c>
      <c r="R142" s="3">
        <f>I142-O142</f>
      </c>
      <c r="S142" t="s">
        <v>1</v>
      </c>
      <c r="T142" t="s">
        <v>93</v>
      </c>
      <c r="Z142" s="3">
        <f>P142-Y142</f>
      </c>
      <c r="AA142" t="s">
        <v>94</v>
      </c>
      <c r="AB142" t="s">
        <v>84</v>
      </c>
    </row>
    <row r="143" spans="1:28" x14ac:dyDescent="0.25">
      <c r="A143" s="7">
        <v>46209.5</v>
      </c>
      <c r="B143" t="s">
        <v>2576</v>
      </c>
      <c r="C143" t="s">
        <v>1</v>
      </c>
      <c r="D143" s="8" t="s">
        <v>2577</v>
      </c>
      <c r="E143" t="s">
        <v>72</v>
      </c>
      <c r="F143" s="3">
        <v>170</v>
      </c>
      <c r="G143" s="3">
        <v>221</v>
      </c>
      <c r="H143" s="3">
        <f>G143-F143</f>
      </c>
      <c r="I143" s="3">
        <f>H143*16.67%</f>
      </c>
      <c r="J143" s="3">
        <f>G143*7%</f>
      </c>
      <c r="K143" s="3">
        <f>J143*20%</f>
      </c>
      <c r="L143" s="3">
        <v>0</v>
      </c>
      <c r="M143" s="3">
        <f>L143*20%</f>
      </c>
      <c r="N143" s="3">
        <v>1</v>
      </c>
      <c r="O143" s="3">
        <f>K143+M143</f>
      </c>
      <c r="P143" s="3">
        <f>H143-I143-J143-K143-L143-M143-N143</f>
      </c>
      <c r="Q143" s="3">
        <f>(P143-Y143)/F143*100</f>
      </c>
      <c r="R143" s="3">
        <f>I143-O143</f>
      </c>
      <c r="S143" t="s">
        <v>1</v>
      </c>
      <c r="T143" t="s">
        <v>291</v>
      </c>
      <c r="Z143" s="3">
        <f>P143-Y143</f>
      </c>
      <c r="AA143" t="s">
        <v>125</v>
      </c>
      <c r="AB143" t="s">
        <v>87</v>
      </c>
    </row>
    <row r="144" spans="1:28" x14ac:dyDescent="0.25">
      <c r="A144" s="7">
        <v>46209.5</v>
      </c>
      <c r="B144" t="s">
        <v>2578</v>
      </c>
      <c r="C144" t="s">
        <v>1</v>
      </c>
      <c r="D144" s="8" t="s">
        <v>2579</v>
      </c>
      <c r="E144" t="s">
        <v>72</v>
      </c>
      <c r="F144" s="3">
        <v>323</v>
      </c>
      <c r="G144" s="3">
        <v>384.37</v>
      </c>
      <c r="H144" s="3">
        <f>G144-F144</f>
      </c>
      <c r="I144" s="3">
        <f>H144*16.67%</f>
      </c>
      <c r="J144" s="3">
        <f>G144*7%</f>
      </c>
      <c r="K144" s="3">
        <f>J144*20%</f>
      </c>
      <c r="L144" s="3">
        <v>0</v>
      </c>
      <c r="M144" s="3">
        <f>L144*20%</f>
      </c>
      <c r="N144" s="3">
        <v>1</v>
      </c>
      <c r="O144" s="3">
        <f>K144+M144</f>
      </c>
      <c r="P144" s="3">
        <f>H144-I144-J144-K144-L144-M144-N144</f>
      </c>
      <c r="Q144" s="3">
        <f>(P144-Y144)/F144*100</f>
      </c>
      <c r="R144" s="3">
        <f>I144-O144</f>
      </c>
      <c r="S144" t="s">
        <v>1</v>
      </c>
      <c r="T144" t="s">
        <v>130</v>
      </c>
      <c r="Z144" s="3">
        <f>P144-Y144</f>
      </c>
      <c r="AA144" t="s">
        <v>59</v>
      </c>
      <c r="AB144" t="s">
        <v>98</v>
      </c>
    </row>
    <row r="145" spans="1:28" x14ac:dyDescent="0.25">
      <c r="A145" s="7">
        <v>46209.5</v>
      </c>
      <c r="B145" t="s">
        <v>2580</v>
      </c>
      <c r="C145" t="s">
        <v>1</v>
      </c>
      <c r="D145" s="8" t="s">
        <v>2581</v>
      </c>
      <c r="E145" t="s">
        <v>72</v>
      </c>
      <c r="F145" s="3">
        <v>326</v>
      </c>
      <c r="G145" s="3">
        <v>400.98</v>
      </c>
      <c r="H145" s="3">
        <f>G145-F145</f>
      </c>
      <c r="I145" s="3">
        <f>H145*16.67%</f>
      </c>
      <c r="J145" s="3">
        <f>G145*7%</f>
      </c>
      <c r="K145" s="3">
        <f>J145*20%</f>
      </c>
      <c r="L145" s="3">
        <v>0</v>
      </c>
      <c r="M145" s="3">
        <f>L145*20%</f>
      </c>
      <c r="N145" s="3">
        <v>1</v>
      </c>
      <c r="O145" s="3">
        <f>K145+M145</f>
      </c>
      <c r="P145" s="3">
        <f>H145-I145-J145-K145-L145-M145-N145</f>
      </c>
      <c r="Q145" s="3">
        <f>(P145-Y145)/F145*100</f>
      </c>
      <c r="R145" s="3">
        <f>I145-O145</f>
      </c>
      <c r="S145" t="s">
        <v>1</v>
      </c>
      <c r="T145" t="s">
        <v>130</v>
      </c>
      <c r="Z145" s="3">
        <f>P145-Y145</f>
      </c>
      <c r="AA145" t="s">
        <v>59</v>
      </c>
      <c r="AB145" t="s">
        <v>84</v>
      </c>
    </row>
    <row r="146" spans="1:28" x14ac:dyDescent="0.25">
      <c r="A146" s="7">
        <v>46209.5</v>
      </c>
      <c r="B146" t="s">
        <v>2582</v>
      </c>
      <c r="C146" t="s">
        <v>1</v>
      </c>
      <c r="D146" s="8" t="s">
        <v>2583</v>
      </c>
      <c r="E146" t="s">
        <v>101</v>
      </c>
      <c r="F146" s="3">
        <v>744</v>
      </c>
      <c r="G146" s="3">
        <v>1004.4</v>
      </c>
      <c r="H146" s="3">
        <f>G146-F146</f>
      </c>
      <c r="I146" s="3">
        <f>H146*16.67%</f>
      </c>
      <c r="J146" s="3">
        <f>G146*7%</f>
      </c>
      <c r="K146" s="3">
        <f>J146*20%</f>
      </c>
      <c r="L146" s="3">
        <v>0</v>
      </c>
      <c r="M146" s="3">
        <f>L146*20%</f>
      </c>
      <c r="N146" s="3">
        <v>1</v>
      </c>
      <c r="O146" s="3">
        <f>K146+M146</f>
      </c>
      <c r="P146" s="3">
        <f>H146-I146-J146-K146-L146-M146-N146</f>
      </c>
      <c r="Q146" s="3">
        <f>(P146-Y146)/F146*100</f>
      </c>
      <c r="R146" s="3">
        <f>I146-O146</f>
      </c>
      <c r="S146" t="s">
        <v>1</v>
      </c>
      <c r="T146" t="s">
        <v>83</v>
      </c>
      <c r="Z146" s="3">
        <f>P146-Y146</f>
      </c>
      <c r="AA146" t="s">
        <v>59</v>
      </c>
      <c r="AB146" t="s">
        <v>69</v>
      </c>
    </row>
    <row r="147" spans="1:28" x14ac:dyDescent="0.25">
      <c r="A147" s="7">
        <v>46209.5</v>
      </c>
      <c r="B147" t="s">
        <v>2584</v>
      </c>
      <c r="C147" t="s">
        <v>1</v>
      </c>
      <c r="D147" s="8" t="s">
        <v>2585</v>
      </c>
      <c r="E147" t="s">
        <v>77</v>
      </c>
      <c r="F147" s="3">
        <v>180</v>
      </c>
      <c r="G147" s="3">
        <v>212.4</v>
      </c>
      <c r="H147" s="3">
        <f>G147-F147</f>
      </c>
      <c r="I147" s="3">
        <f>H147*16.67%</f>
      </c>
      <c r="J147" s="3">
        <f>G147*7%</f>
      </c>
      <c r="K147" s="3">
        <f>J147*20%</f>
      </c>
      <c r="L147" s="3">
        <v>0</v>
      </c>
      <c r="M147" s="3">
        <f>L147*20%</f>
      </c>
      <c r="N147" s="3">
        <v>1</v>
      </c>
      <c r="O147" s="3">
        <f>K147+M147</f>
      </c>
      <c r="P147" s="3">
        <f>H147-I147-J147-K147-L147-M147-N147</f>
      </c>
      <c r="Q147" s="3">
        <f>(P147-Y147)/F147*100</f>
      </c>
      <c r="R147" s="3">
        <f>I147-O147</f>
      </c>
      <c r="S147" t="s">
        <v>1</v>
      </c>
      <c r="T147" t="s">
        <v>233</v>
      </c>
      <c r="Z147" s="3">
        <f>P147-Y147</f>
      </c>
      <c r="AA147" t="s">
        <v>65</v>
      </c>
      <c r="AB147" t="s">
        <v>84</v>
      </c>
    </row>
    <row r="148" spans="1:28" x14ac:dyDescent="0.25">
      <c r="A148" s="7">
        <v>46208.5</v>
      </c>
      <c r="B148" t="s">
        <v>2586</v>
      </c>
      <c r="C148" t="s">
        <v>1</v>
      </c>
      <c r="D148" s="8" t="s">
        <v>2587</v>
      </c>
      <c r="E148" t="s">
        <v>77</v>
      </c>
      <c r="F148" s="3">
        <v>539</v>
      </c>
      <c r="G148" s="3">
        <v>716.87</v>
      </c>
      <c r="H148" s="3">
        <f>G148-F148</f>
      </c>
      <c r="I148" s="3">
        <f>H148*16.67%</f>
      </c>
      <c r="J148" s="3">
        <f>G148*7%</f>
      </c>
      <c r="K148" s="3">
        <f>J148*20%</f>
      </c>
      <c r="L148" s="3">
        <v>0</v>
      </c>
      <c r="M148" s="3">
        <f>L148*20%</f>
      </c>
      <c r="N148" s="3">
        <v>1</v>
      </c>
      <c r="O148" s="3">
        <f>K148+M148</f>
      </c>
      <c r="P148" s="3">
        <f>H148-I148-J148-K148-L148-M148-N148</f>
      </c>
      <c r="Q148" s="3">
        <f>(P148-Y148)/F148*100</f>
      </c>
      <c r="R148" s="3">
        <f>I148-O148</f>
      </c>
      <c r="S148" t="s">
        <v>1</v>
      </c>
      <c r="T148" t="s">
        <v>80</v>
      </c>
      <c r="Z148" s="3">
        <f>P148-Y148</f>
      </c>
      <c r="AA148" t="s">
        <v>65</v>
      </c>
      <c r="AB148" t="s">
        <v>84</v>
      </c>
    </row>
    <row r="149" spans="1:28" x14ac:dyDescent="0.25">
      <c r="A149" s="7">
        <v>46208.5</v>
      </c>
      <c r="B149" t="s">
        <v>2588</v>
      </c>
      <c r="C149" t="s">
        <v>1</v>
      </c>
      <c r="D149" s="8" t="s">
        <v>2589</v>
      </c>
      <c r="E149" t="s">
        <v>77</v>
      </c>
      <c r="F149" s="3">
        <v>279</v>
      </c>
      <c r="G149" s="3">
        <v>343.17</v>
      </c>
      <c r="H149" s="3">
        <f>G149-F149</f>
      </c>
      <c r="I149" s="3">
        <f>H149*16.67%</f>
      </c>
      <c r="J149" s="3">
        <f>G149*7%</f>
      </c>
      <c r="K149" s="3">
        <f>J149*20%</f>
      </c>
      <c r="L149" s="3">
        <v>0</v>
      </c>
      <c r="M149" s="3">
        <f>L149*20%</f>
      </c>
      <c r="N149" s="3">
        <v>1</v>
      </c>
      <c r="O149" s="3">
        <f>K149+M149</f>
      </c>
      <c r="P149" s="3">
        <f>H149-I149-J149-K149-L149-M149-N149</f>
      </c>
      <c r="Q149" s="3">
        <f>(P149-Y149)/F149*100</f>
      </c>
      <c r="R149" s="3">
        <f>I149-O149</f>
      </c>
      <c r="S149" t="s">
        <v>1</v>
      </c>
      <c r="T149" t="s">
        <v>124</v>
      </c>
      <c r="Z149" s="3">
        <f>P149-Y149</f>
      </c>
      <c r="AA149" t="s">
        <v>125</v>
      </c>
      <c r="AB149" t="s">
        <v>104</v>
      </c>
    </row>
    <row r="150" spans="1:28" x14ac:dyDescent="0.25">
      <c r="A150" s="7">
        <v>46208.5</v>
      </c>
      <c r="B150" t="s">
        <v>2590</v>
      </c>
      <c r="C150" t="s">
        <v>1</v>
      </c>
      <c r="D150" s="8" t="s">
        <v>2591</v>
      </c>
      <c r="E150" t="s">
        <v>101</v>
      </c>
      <c r="F150" s="3">
        <v>283</v>
      </c>
      <c r="G150" s="3">
        <v>396.2</v>
      </c>
      <c r="H150" s="3">
        <f>G150-F150</f>
      </c>
      <c r="I150" s="3">
        <f>H150*16.67%</f>
      </c>
      <c r="J150" s="3">
        <f>G150*7%</f>
      </c>
      <c r="K150" s="3">
        <f>J150*20%</f>
      </c>
      <c r="L150" s="3">
        <v>0</v>
      </c>
      <c r="M150" s="3">
        <f>L150*20%</f>
      </c>
      <c r="N150" s="3">
        <v>1</v>
      </c>
      <c r="O150" s="3">
        <f>K150+M150</f>
      </c>
      <c r="P150" s="3">
        <f>H150-I150-J150-K150-L150-M150-N150</f>
      </c>
      <c r="Q150" s="3">
        <f>(P150-Y150)/F150*100</f>
      </c>
      <c r="R150" s="3">
        <f>I150-O150</f>
      </c>
      <c r="S150" t="s">
        <v>1</v>
      </c>
      <c r="T150" t="s">
        <v>124</v>
      </c>
      <c r="Z150" s="3">
        <f>P150-Y150</f>
      </c>
      <c r="AA150" t="s">
        <v>125</v>
      </c>
      <c r="AB150" t="s">
        <v>87</v>
      </c>
    </row>
    <row r="151" spans="1:28" x14ac:dyDescent="0.25">
      <c r="A151" s="7">
        <v>46208.5</v>
      </c>
      <c r="B151" t="s">
        <v>2592</v>
      </c>
      <c r="C151" t="s">
        <v>173</v>
      </c>
      <c r="D151" s="8" t="s">
        <v>1</v>
      </c>
      <c r="E151" t="s">
        <v>63</v>
      </c>
      <c r="F151" s="3">
        <v>4.25</v>
      </c>
      <c r="G151" s="3">
        <v>5.86</v>
      </c>
      <c r="H151" s="3">
        <f>G151-F151</f>
      </c>
      <c r="I151" s="3">
        <f>H151*16.67%</f>
      </c>
      <c r="J151" s="3">
        <f>G151*7%</f>
      </c>
      <c r="K151" s="3">
        <f>J151*20%</f>
      </c>
      <c r="L151" s="3">
        <v>0</v>
      </c>
      <c r="M151" s="3">
        <f>L151*20%</f>
      </c>
      <c r="N151" s="3">
        <v>1</v>
      </c>
      <c r="O151" s="3">
        <f>K151+M151</f>
      </c>
      <c r="P151" s="3">
        <f>H151-I151-J151-K151-L151-M151-N151</f>
      </c>
      <c r="Q151" s="3">
        <f>(P151-Y151)/F151*100</f>
      </c>
      <c r="R151" s="3">
        <f>I151-O151</f>
      </c>
      <c r="S151" t="s">
        <v>1</v>
      </c>
      <c r="T151" t="s">
        <v>173</v>
      </c>
      <c r="Z151" s="3">
        <f>P151-Y151</f>
      </c>
      <c r="AA151" t="s">
        <v>1</v>
      </c>
      <c r="AB151" t="s">
        <v>1</v>
      </c>
    </row>
    <row r="152" spans="1:28" x14ac:dyDescent="0.25">
      <c r="A152" s="7">
        <v>46208.5</v>
      </c>
      <c r="B152" t="s">
        <v>2593</v>
      </c>
      <c r="C152" t="s">
        <v>176</v>
      </c>
      <c r="D152" s="8" t="s">
        <v>1</v>
      </c>
      <c r="E152" t="s">
        <v>77</v>
      </c>
      <c r="F152" s="3">
        <v>0.15</v>
      </c>
      <c r="G152" s="3">
        <v>0.21</v>
      </c>
      <c r="H152" s="3">
        <f>G152-F152</f>
      </c>
      <c r="I152" s="3">
        <f>H152*16.67%</f>
      </c>
      <c r="J152" s="3">
        <f>G152*7%</f>
      </c>
      <c r="K152" s="3">
        <f>J152*20%</f>
      </c>
      <c r="L152" s="3">
        <v>0</v>
      </c>
      <c r="M152" s="3">
        <f>L152*20%</f>
      </c>
      <c r="N152" s="3">
        <v>1</v>
      </c>
      <c r="O152" s="3">
        <f>K152+M152</f>
      </c>
      <c r="P152" s="3">
        <f>H152-I152-J152-K152-L152-M152-N152</f>
      </c>
      <c r="Q152" s="3">
        <f>(P152-Y152)/F152*100</f>
      </c>
      <c r="R152" s="3">
        <f>I152-O152</f>
      </c>
      <c r="S152" t="s">
        <v>1</v>
      </c>
      <c r="T152" t="s">
        <v>176</v>
      </c>
      <c r="Z152" s="3">
        <f>P152-Y152</f>
      </c>
      <c r="AA152" t="s">
        <v>1</v>
      </c>
      <c r="AB152" t="s">
        <v>1</v>
      </c>
    </row>
    <row r="153" spans="1:28" x14ac:dyDescent="0.25">
      <c r="A153" s="7">
        <v>46208.5</v>
      </c>
      <c r="B153" t="s">
        <v>2594</v>
      </c>
      <c r="C153" t="s">
        <v>176</v>
      </c>
      <c r="D153" s="8" t="s">
        <v>1</v>
      </c>
      <c r="E153" t="s">
        <v>77</v>
      </c>
      <c r="F153" s="3">
        <v>0.15</v>
      </c>
      <c r="G153" s="3">
        <v>0.19</v>
      </c>
      <c r="H153" s="3">
        <f>G153-F153</f>
      </c>
      <c r="I153" s="3">
        <f>H153*16.67%</f>
      </c>
      <c r="J153" s="3">
        <f>G153*7%</f>
      </c>
      <c r="K153" s="3">
        <f>J153*20%</f>
      </c>
      <c r="L153" s="3">
        <v>0</v>
      </c>
      <c r="M153" s="3">
        <f>L153*20%</f>
      </c>
      <c r="N153" s="3">
        <v>1</v>
      </c>
      <c r="O153" s="3">
        <f>K153+M153</f>
      </c>
      <c r="P153" s="3">
        <f>H153-I153-J153-K153-L153-M153-N153</f>
      </c>
      <c r="Q153" s="3">
        <f>(P153-Y153)/F153*100</f>
      </c>
      <c r="R153" s="3">
        <f>I153-O153</f>
      </c>
      <c r="S153" t="s">
        <v>1</v>
      </c>
      <c r="T153" t="s">
        <v>176</v>
      </c>
      <c r="Z153" s="3">
        <f>P153-Y153</f>
      </c>
      <c r="AA153" t="s">
        <v>1</v>
      </c>
      <c r="AB153" t="s">
        <v>1</v>
      </c>
    </row>
    <row r="154" spans="1:28" x14ac:dyDescent="0.25">
      <c r="A154" s="7">
        <v>46208.5</v>
      </c>
      <c r="B154" t="s">
        <v>2595</v>
      </c>
      <c r="C154" t="s">
        <v>253</v>
      </c>
      <c r="D154" s="8" t="s">
        <v>1</v>
      </c>
      <c r="E154" t="s">
        <v>57</v>
      </c>
      <c r="F154" s="3">
        <v>0.8</v>
      </c>
      <c r="G154" s="3">
        <v>0.94</v>
      </c>
      <c r="H154" s="3">
        <f>G154-F154</f>
      </c>
      <c r="I154" s="3">
        <f>H154*16.67%</f>
      </c>
      <c r="J154" s="3">
        <f>G154*7%</f>
      </c>
      <c r="K154" s="3">
        <f>J154*20%</f>
      </c>
      <c r="L154" s="3">
        <v>0</v>
      </c>
      <c r="M154" s="3">
        <f>L154*20%</f>
      </c>
      <c r="N154" s="3">
        <v>1</v>
      </c>
      <c r="O154" s="3">
        <f>K154+M154</f>
      </c>
      <c r="P154" s="3">
        <f>H154-I154-J154-K154-L154-M154-N154</f>
      </c>
      <c r="Q154" s="3">
        <f>(P154-Y154)/F154*100</f>
      </c>
      <c r="R154" s="3">
        <f>I154-O154</f>
      </c>
      <c r="S154" t="s">
        <v>1</v>
      </c>
      <c r="T154" t="s">
        <v>253</v>
      </c>
      <c r="Z154" s="3">
        <f>P154-Y154</f>
      </c>
      <c r="AA154" t="s">
        <v>1</v>
      </c>
      <c r="AB154" t="s">
        <v>1</v>
      </c>
    </row>
    <row r="155" spans="1:28" x14ac:dyDescent="0.25">
      <c r="A155" s="7">
        <v>46207.5</v>
      </c>
      <c r="B155" t="s">
        <v>2596</v>
      </c>
      <c r="C155" t="s">
        <v>1</v>
      </c>
      <c r="D155" s="8" t="s">
        <v>2597</v>
      </c>
      <c r="E155" t="s">
        <v>101</v>
      </c>
      <c r="F155" s="3">
        <v>188</v>
      </c>
      <c r="G155" s="3">
        <v>227.48</v>
      </c>
      <c r="H155" s="3">
        <f>G155-F155</f>
      </c>
      <c r="I155" s="3">
        <f>H155*16.67%</f>
      </c>
      <c r="J155" s="3">
        <f>G155*7%</f>
      </c>
      <c r="K155" s="3">
        <f>J155*20%</f>
      </c>
      <c r="L155" s="3">
        <v>0</v>
      </c>
      <c r="M155" s="3">
        <f>L155*20%</f>
      </c>
      <c r="N155" s="3">
        <v>1</v>
      </c>
      <c r="O155" s="3">
        <f>K155+M155</f>
      </c>
      <c r="P155" s="3">
        <f>H155-I155-J155-K155-L155-M155-N155</f>
      </c>
      <c r="Q155" s="3">
        <f>(P155-Y155)/F155*100</f>
      </c>
      <c r="R155" s="3">
        <f>I155-O155</f>
      </c>
      <c r="S155" t="s">
        <v>1</v>
      </c>
      <c r="T155" t="s">
        <v>233</v>
      </c>
      <c r="Z155" s="3">
        <f>P155-Y155</f>
      </c>
      <c r="AA155" t="s">
        <v>65</v>
      </c>
      <c r="AB155" t="s">
        <v>60</v>
      </c>
    </row>
    <row r="156" spans="1:28" x14ac:dyDescent="0.25">
      <c r="A156" s="7">
        <v>46207.5</v>
      </c>
      <c r="B156" t="s">
        <v>2598</v>
      </c>
      <c r="C156" t="s">
        <v>1</v>
      </c>
      <c r="D156" s="8" t="s">
        <v>2599</v>
      </c>
      <c r="E156" t="s">
        <v>57</v>
      </c>
      <c r="F156" s="3">
        <v>229</v>
      </c>
      <c r="G156" s="3">
        <v>332.05</v>
      </c>
      <c r="H156" s="3">
        <f>G156-F156</f>
      </c>
      <c r="I156" s="3">
        <f>H156*16.67%</f>
      </c>
      <c r="J156" s="3">
        <f>G156*7%</f>
      </c>
      <c r="K156" s="3">
        <f>J156*20%</f>
      </c>
      <c r="L156" s="3">
        <v>0</v>
      </c>
      <c r="M156" s="3">
        <f>L156*20%</f>
      </c>
      <c r="N156" s="3">
        <v>1</v>
      </c>
      <c r="O156" s="3">
        <f>K156+M156</f>
      </c>
      <c r="P156" s="3">
        <f>H156-I156-J156-K156-L156-M156-N156</f>
      </c>
      <c r="Q156" s="3">
        <f>(P156-Y156)/F156*100</f>
      </c>
      <c r="R156" s="3">
        <f>I156-O156</f>
      </c>
      <c r="S156" t="s">
        <v>1</v>
      </c>
      <c r="T156" t="s">
        <v>64</v>
      </c>
      <c r="Z156" s="3">
        <f>P156-Y156</f>
      </c>
      <c r="AA156" t="s">
        <v>65</v>
      </c>
      <c r="AB156" t="s">
        <v>87</v>
      </c>
    </row>
    <row r="157" spans="1:28" x14ac:dyDescent="0.25">
      <c r="A157" s="7">
        <v>46207.5</v>
      </c>
      <c r="B157" t="s">
        <v>2600</v>
      </c>
      <c r="C157" t="s">
        <v>1</v>
      </c>
      <c r="D157" s="8" t="s">
        <v>2601</v>
      </c>
      <c r="E157" t="s">
        <v>57</v>
      </c>
      <c r="F157" s="3">
        <v>460</v>
      </c>
      <c r="G157" s="3">
        <v>547.4</v>
      </c>
      <c r="H157" s="3">
        <f>G157-F157</f>
      </c>
      <c r="I157" s="3">
        <f>H157*16.67%</f>
      </c>
      <c r="J157" s="3">
        <f>G157*7%</f>
      </c>
      <c r="K157" s="3">
        <f>J157*20%</f>
      </c>
      <c r="L157" s="3">
        <v>0</v>
      </c>
      <c r="M157" s="3">
        <f>L157*20%</f>
      </c>
      <c r="N157" s="3">
        <v>1</v>
      </c>
      <c r="O157" s="3">
        <f>K157+M157</f>
      </c>
      <c r="P157" s="3">
        <f>H157-I157-J157-K157-L157-M157-N157</f>
      </c>
      <c r="Q157" s="3">
        <f>(P157-Y157)/F157*100</f>
      </c>
      <c r="R157" s="3">
        <f>I157-O157</f>
      </c>
      <c r="S157" t="s">
        <v>1</v>
      </c>
      <c r="T157" t="s">
        <v>58</v>
      </c>
      <c r="Z157" s="3">
        <f>P157-Y157</f>
      </c>
      <c r="AA157" t="s">
        <v>59</v>
      </c>
      <c r="AB157" t="s">
        <v>98</v>
      </c>
    </row>
    <row r="158" spans="1:28" x14ac:dyDescent="0.25">
      <c r="A158" s="7">
        <v>46207.5</v>
      </c>
      <c r="B158" t="s">
        <v>2602</v>
      </c>
      <c r="C158" t="s">
        <v>1</v>
      </c>
      <c r="D158" s="8" t="s">
        <v>2603</v>
      </c>
      <c r="E158" t="s">
        <v>77</v>
      </c>
      <c r="F158" s="3">
        <v>135</v>
      </c>
      <c r="G158" s="3">
        <v>190.35</v>
      </c>
      <c r="H158" s="3">
        <f>G158-F158</f>
      </c>
      <c r="I158" s="3">
        <f>H158*16.67%</f>
      </c>
      <c r="J158" s="3">
        <f>G158*7%</f>
      </c>
      <c r="K158" s="3">
        <f>J158*20%</f>
      </c>
      <c r="L158" s="3">
        <v>0</v>
      </c>
      <c r="M158" s="3">
        <f>L158*20%</f>
      </c>
      <c r="N158" s="3">
        <v>1</v>
      </c>
      <c r="O158" s="3">
        <f>K158+M158</f>
      </c>
      <c r="P158" s="3">
        <f>H158-I158-J158-K158-L158-M158-N158</f>
      </c>
      <c r="Q158" s="3">
        <f>(P158-Y158)/F158*100</f>
      </c>
      <c r="R158" s="3">
        <f>I158-O158</f>
      </c>
      <c r="S158" t="s">
        <v>1</v>
      </c>
      <c r="T158" t="s">
        <v>133</v>
      </c>
      <c r="Z158" s="3">
        <f>P158-Y158</f>
      </c>
      <c r="AA158" t="s">
        <v>94</v>
      </c>
      <c r="AB158" t="s">
        <v>74</v>
      </c>
    </row>
    <row r="159" spans="1:28" x14ac:dyDescent="0.25">
      <c r="A159" s="7">
        <v>46207.5</v>
      </c>
      <c r="B159" t="s">
        <v>2604</v>
      </c>
      <c r="C159" t="s">
        <v>1</v>
      </c>
      <c r="D159" s="8" t="s">
        <v>2605</v>
      </c>
      <c r="E159" t="s">
        <v>72</v>
      </c>
      <c r="F159" s="3">
        <v>463</v>
      </c>
      <c r="G159" s="3">
        <v>601.9</v>
      </c>
      <c r="H159" s="3">
        <f>G159-F159</f>
      </c>
      <c r="I159" s="3">
        <f>H159*16.67%</f>
      </c>
      <c r="J159" s="3">
        <f>G159*7%</f>
      </c>
      <c r="K159" s="3">
        <f>J159*20%</f>
      </c>
      <c r="L159" s="3">
        <v>0</v>
      </c>
      <c r="M159" s="3">
        <f>L159*20%</f>
      </c>
      <c r="N159" s="3">
        <v>1</v>
      </c>
      <c r="O159" s="3">
        <f>K159+M159</f>
      </c>
      <c r="P159" s="3">
        <f>H159-I159-J159-K159-L159-M159-N159</f>
      </c>
      <c r="Q159" s="3">
        <f>(P159-Y159)/F159*100</f>
      </c>
      <c r="R159" s="3">
        <f>I159-O159</f>
      </c>
      <c r="S159" t="s">
        <v>1</v>
      </c>
      <c r="T159" t="s">
        <v>58</v>
      </c>
      <c r="Z159" s="3">
        <f>P159-Y159</f>
      </c>
      <c r="AA159" t="s">
        <v>59</v>
      </c>
      <c r="AB159" t="s">
        <v>84</v>
      </c>
    </row>
    <row r="160" spans="1:28" x14ac:dyDescent="0.25">
      <c r="A160" s="7">
        <v>46207.5</v>
      </c>
      <c r="B160" t="s">
        <v>2606</v>
      </c>
      <c r="C160" t="s">
        <v>1</v>
      </c>
      <c r="D160" s="8" t="s">
        <v>2607</v>
      </c>
      <c r="E160" t="s">
        <v>72</v>
      </c>
      <c r="F160" s="3">
        <v>103</v>
      </c>
      <c r="G160" s="3">
        <v>122.57</v>
      </c>
      <c r="H160" s="3">
        <f>G160-F160</f>
      </c>
      <c r="I160" s="3">
        <f>H160*16.67%</f>
      </c>
      <c r="J160" s="3">
        <f>G160*7%</f>
      </c>
      <c r="K160" s="3">
        <f>J160*20%</f>
      </c>
      <c r="L160" s="3">
        <v>0</v>
      </c>
      <c r="M160" s="3">
        <f>L160*20%</f>
      </c>
      <c r="N160" s="3">
        <v>1</v>
      </c>
      <c r="O160" s="3">
        <f>K160+M160</f>
      </c>
      <c r="P160" s="3">
        <f>H160-I160-J160-K160-L160-M160-N160</f>
      </c>
      <c r="Q160" s="3">
        <f>(P160-Y160)/F160*100</f>
      </c>
      <c r="R160" s="3">
        <f>I160-O160</f>
      </c>
      <c r="S160" t="s">
        <v>1</v>
      </c>
      <c r="T160" t="s">
        <v>90</v>
      </c>
      <c r="Z160" s="3">
        <f>P160-Y160</f>
      </c>
      <c r="AA160" t="s">
        <v>65</v>
      </c>
      <c r="AB160" t="s">
        <v>104</v>
      </c>
    </row>
    <row r="161" spans="1:28" x14ac:dyDescent="0.25">
      <c r="A161" s="7">
        <v>46207.5</v>
      </c>
      <c r="B161" t="s">
        <v>2608</v>
      </c>
      <c r="C161" t="s">
        <v>181</v>
      </c>
      <c r="D161" s="8" t="s">
        <v>1</v>
      </c>
      <c r="E161" t="s">
        <v>72</v>
      </c>
      <c r="F161" s="3">
        <v>1.9</v>
      </c>
      <c r="G161" s="3">
        <v>2.47</v>
      </c>
      <c r="H161" s="3">
        <f>G161-F161</f>
      </c>
      <c r="I161" s="3">
        <f>H161*16.67%</f>
      </c>
      <c r="J161" s="3">
        <f>G161*7%</f>
      </c>
      <c r="K161" s="3">
        <f>J161*20%</f>
      </c>
      <c r="L161" s="3">
        <v>0</v>
      </c>
      <c r="M161" s="3">
        <f>L161*20%</f>
      </c>
      <c r="N161" s="3">
        <v>1</v>
      </c>
      <c r="O161" s="3">
        <f>K161+M161</f>
      </c>
      <c r="P161" s="3">
        <f>H161-I161-J161-K161-L161-M161-N161</f>
      </c>
      <c r="Q161" s="3">
        <f>(P161-Y161)/F161*100</f>
      </c>
      <c r="R161" s="3">
        <f>I161-O161</f>
      </c>
      <c r="S161" t="s">
        <v>1</v>
      </c>
      <c r="T161" t="s">
        <v>181</v>
      </c>
      <c r="Z161" s="3">
        <f>P161-Y161</f>
      </c>
      <c r="AA161" t="s">
        <v>1</v>
      </c>
      <c r="AB161" t="s">
        <v>1</v>
      </c>
    </row>
    <row r="162" spans="1:28" x14ac:dyDescent="0.25">
      <c r="A162" s="7">
        <v>46206.5</v>
      </c>
      <c r="B162" t="s">
        <v>2609</v>
      </c>
      <c r="C162" t="s">
        <v>1</v>
      </c>
      <c r="D162" s="8" t="s">
        <v>2610</v>
      </c>
      <c r="E162" t="s">
        <v>77</v>
      </c>
      <c r="F162" s="3">
        <v>177</v>
      </c>
      <c r="G162" s="3">
        <v>210.63</v>
      </c>
      <c r="H162" s="3">
        <f>G162-F162</f>
      </c>
      <c r="I162" s="3">
        <f>H162*16.67%</f>
      </c>
      <c r="J162" s="3">
        <f>G162*7%</f>
      </c>
      <c r="K162" s="3">
        <f>J162*20%</f>
      </c>
      <c r="L162" s="3">
        <v>0</v>
      </c>
      <c r="M162" s="3">
        <f>L162*20%</f>
      </c>
      <c r="N162" s="3">
        <v>1</v>
      </c>
      <c r="O162" s="3">
        <f>K162+M162</f>
      </c>
      <c r="P162" s="3">
        <f>H162-I162-J162-K162-L162-M162-N162</f>
      </c>
      <c r="Q162" s="3">
        <f>(P162-Y162)/F162*100</f>
      </c>
      <c r="R162" s="3">
        <f>I162-O162</f>
      </c>
      <c r="S162" t="s">
        <v>1</v>
      </c>
      <c r="T162" t="s">
        <v>233</v>
      </c>
      <c r="Z162" s="3">
        <f>P162-Y162</f>
      </c>
      <c r="AA162" t="s">
        <v>65</v>
      </c>
      <c r="AB162" t="s">
        <v>84</v>
      </c>
    </row>
    <row r="163" spans="1:28" x14ac:dyDescent="0.25">
      <c r="A163" s="7">
        <v>46206.5</v>
      </c>
      <c r="B163" t="s">
        <v>2611</v>
      </c>
      <c r="C163" t="s">
        <v>188</v>
      </c>
      <c r="D163" s="8" t="s">
        <v>1</v>
      </c>
      <c r="E163" t="s">
        <v>63</v>
      </c>
      <c r="F163" s="3">
        <v>3.5</v>
      </c>
      <c r="G163" s="3">
        <v>4.73</v>
      </c>
      <c r="H163" s="3">
        <f>G163-F163</f>
      </c>
      <c r="I163" s="3">
        <f>H163*16.67%</f>
      </c>
      <c r="J163" s="3">
        <f>G163*7%</f>
      </c>
      <c r="K163" s="3">
        <f>J163*20%</f>
      </c>
      <c r="L163" s="3">
        <v>0</v>
      </c>
      <c r="M163" s="3">
        <f>L163*20%</f>
      </c>
      <c r="N163" s="3">
        <v>1</v>
      </c>
      <c r="O163" s="3">
        <f>K163+M163</f>
      </c>
      <c r="P163" s="3">
        <f>H163-I163-J163-K163-L163-M163-N163</f>
      </c>
      <c r="Q163" s="3">
        <f>(P163-Y163)/F163*100</f>
      </c>
      <c r="R163" s="3">
        <f>I163-O163</f>
      </c>
      <c r="S163" t="s">
        <v>1</v>
      </c>
      <c r="T163" t="s">
        <v>188</v>
      </c>
      <c r="Z163" s="3">
        <f>P163-Y163</f>
      </c>
      <c r="AA163" t="s">
        <v>1</v>
      </c>
      <c r="AB163" t="s">
        <v>1</v>
      </c>
    </row>
    <row r="164" spans="1:28" x14ac:dyDescent="0.25">
      <c r="A164" s="7">
        <v>46205.5</v>
      </c>
      <c r="B164" t="s">
        <v>2612</v>
      </c>
      <c r="C164" t="s">
        <v>1</v>
      </c>
      <c r="D164" s="8" t="s">
        <v>2613</v>
      </c>
      <c r="E164" t="s">
        <v>77</v>
      </c>
      <c r="F164" s="3">
        <v>220</v>
      </c>
      <c r="G164" s="3">
        <v>314.6</v>
      </c>
      <c r="H164" s="3">
        <f>G164-F164</f>
      </c>
      <c r="I164" s="3">
        <f>H164*16.67%</f>
      </c>
      <c r="J164" s="3">
        <f>G164*7%</f>
      </c>
      <c r="K164" s="3">
        <f>J164*20%</f>
      </c>
      <c r="L164" s="3">
        <v>0</v>
      </c>
      <c r="M164" s="3">
        <f>L164*20%</f>
      </c>
      <c r="N164" s="3">
        <v>1</v>
      </c>
      <c r="O164" s="3">
        <f>K164+M164</f>
      </c>
      <c r="P164" s="3">
        <f>H164-I164-J164-K164-L164-M164-N164</f>
      </c>
      <c r="Q164" s="3">
        <f>(P164-Y164)/F164*100</f>
      </c>
      <c r="R164" s="3">
        <f>I164-O164</f>
      </c>
      <c r="S164" t="s">
        <v>1</v>
      </c>
      <c r="T164" t="s">
        <v>64</v>
      </c>
      <c r="Z164" s="3">
        <f>P164-Y164</f>
      </c>
      <c r="AA164" t="s">
        <v>65</v>
      </c>
      <c r="AB164" t="s">
        <v>104</v>
      </c>
    </row>
    <row r="165" spans="1:28" x14ac:dyDescent="0.25">
      <c r="A165" s="7">
        <v>46205.5</v>
      </c>
      <c r="B165" t="s">
        <v>2614</v>
      </c>
      <c r="C165" t="s">
        <v>181</v>
      </c>
      <c r="D165" s="8" t="s">
        <v>1</v>
      </c>
      <c r="E165" t="s">
        <v>72</v>
      </c>
      <c r="F165" s="3">
        <v>1.9</v>
      </c>
      <c r="G165" s="3">
        <v>2.6</v>
      </c>
      <c r="H165" s="3">
        <f>G165-F165</f>
      </c>
      <c r="I165" s="3">
        <f>H165*16.67%</f>
      </c>
      <c r="J165" s="3">
        <f>G165*7%</f>
      </c>
      <c r="K165" s="3">
        <f>J165*20%</f>
      </c>
      <c r="L165" s="3">
        <v>0</v>
      </c>
      <c r="M165" s="3">
        <f>L165*20%</f>
      </c>
      <c r="N165" s="3">
        <v>1</v>
      </c>
      <c r="O165" s="3">
        <f>K165+M165</f>
      </c>
      <c r="P165" s="3">
        <f>H165-I165-J165-K165-L165-M165-N165</f>
      </c>
      <c r="Q165" s="3">
        <f>(P165-Y165)/F165*100</f>
      </c>
      <c r="R165" s="3">
        <f>I165-O165</f>
      </c>
      <c r="S165" t="s">
        <v>1</v>
      </c>
      <c r="T165" t="s">
        <v>181</v>
      </c>
      <c r="Z165" s="3">
        <f>P165-Y165</f>
      </c>
      <c r="AA165" t="s">
        <v>1</v>
      </c>
      <c r="AB165" t="s">
        <v>1</v>
      </c>
    </row>
    <row r="166" spans="1:28" x14ac:dyDescent="0.25">
      <c r="A166" s="7">
        <v>46204.5</v>
      </c>
      <c r="B166" t="s">
        <v>2615</v>
      </c>
      <c r="C166" t="s">
        <v>1</v>
      </c>
      <c r="D166" s="8" t="s">
        <v>2616</v>
      </c>
      <c r="E166" t="s">
        <v>101</v>
      </c>
      <c r="F166" s="3">
        <v>187</v>
      </c>
      <c r="G166" s="3">
        <v>220.66</v>
      </c>
      <c r="H166" s="3">
        <f>G166-F166</f>
      </c>
      <c r="I166" s="3">
        <f>H166*16.67%</f>
      </c>
      <c r="J166" s="3">
        <f>G166*7%</f>
      </c>
      <c r="K166" s="3">
        <f>J166*20%</f>
      </c>
      <c r="L166" s="3">
        <v>0</v>
      </c>
      <c r="M166" s="3">
        <f>L166*20%</f>
      </c>
      <c r="N166" s="3">
        <v>1</v>
      </c>
      <c r="O166" s="3">
        <f>K166+M166</f>
      </c>
      <c r="P166" s="3">
        <f>H166-I166-J166-K166-L166-M166-N166</f>
      </c>
      <c r="Q166" s="3">
        <f>(P166-Y166)/F166*100</f>
      </c>
      <c r="R166" s="3">
        <f>I166-O166</f>
      </c>
      <c r="S166" t="s">
        <v>1</v>
      </c>
      <c r="T166" t="s">
        <v>233</v>
      </c>
      <c r="Z166" s="3">
        <f>P166-Y166</f>
      </c>
      <c r="AA166" t="s">
        <v>65</v>
      </c>
      <c r="AB166" t="s">
        <v>98</v>
      </c>
    </row>
    <row r="167" spans="1:28" x14ac:dyDescent="0.25">
      <c r="A167" s="7">
        <v>46204.5</v>
      </c>
      <c r="B167" t="s">
        <v>2617</v>
      </c>
      <c r="C167" t="s">
        <v>1</v>
      </c>
      <c r="D167" s="8" t="s">
        <v>2618</v>
      </c>
      <c r="E167" t="s">
        <v>57</v>
      </c>
      <c r="F167" s="3">
        <v>202</v>
      </c>
      <c r="G167" s="3">
        <v>238.36</v>
      </c>
      <c r="H167" s="3">
        <f>G167-F167</f>
      </c>
      <c r="I167" s="3">
        <f>H167*16.67%</f>
      </c>
      <c r="J167" s="3">
        <f>G167*7%</f>
      </c>
      <c r="K167" s="3">
        <f>J167*20%</f>
      </c>
      <c r="L167" s="3">
        <v>0</v>
      </c>
      <c r="M167" s="3">
        <f>L167*20%</f>
      </c>
      <c r="N167" s="3">
        <v>1</v>
      </c>
      <c r="O167" s="3">
        <f>K167+M167</f>
      </c>
      <c r="P167" s="3">
        <f>H167-I167-J167-K167-L167-M167-N167</f>
      </c>
      <c r="Q167" s="3">
        <f>(P167-Y167)/F167*100</f>
      </c>
      <c r="R167" s="3">
        <f>I167-O167</f>
      </c>
      <c r="S167" t="s">
        <v>1</v>
      </c>
      <c r="T167" t="s">
        <v>113</v>
      </c>
      <c r="Z167" s="3">
        <f>P167-Y167</f>
      </c>
      <c r="AA167" t="s">
        <v>59</v>
      </c>
      <c r="AB167" t="s">
        <v>84</v>
      </c>
    </row>
    <row r="168" spans="1:28" x14ac:dyDescent="0.25">
      <c r="A168" s="7">
        <v>46204.5</v>
      </c>
      <c r="B168" t="s">
        <v>2619</v>
      </c>
      <c r="C168" t="s">
        <v>1</v>
      </c>
      <c r="D168" s="8" t="s">
        <v>2620</v>
      </c>
      <c r="E168" t="s">
        <v>63</v>
      </c>
      <c r="F168" s="3">
        <v>229</v>
      </c>
      <c r="G168" s="3">
        <v>277.09</v>
      </c>
      <c r="H168" s="3">
        <f>G168-F168</f>
      </c>
      <c r="I168" s="3">
        <f>H168*16.67%</f>
      </c>
      <c r="J168" s="3">
        <f>G168*7%</f>
      </c>
      <c r="K168" s="3">
        <f>J168*20%</f>
      </c>
      <c r="L168" s="3">
        <v>0</v>
      </c>
      <c r="M168" s="3">
        <f>L168*20%</f>
      </c>
      <c r="N168" s="3">
        <v>1</v>
      </c>
      <c r="O168" s="3">
        <f>K168+M168</f>
      </c>
      <c r="P168" s="3">
        <f>H168-I168-J168-K168-L168-M168-N168</f>
      </c>
      <c r="Q168" s="3">
        <f>(P168-Y168)/F168*100</f>
      </c>
      <c r="R168" s="3">
        <f>I168-O168</f>
      </c>
      <c r="S168" t="s">
        <v>1</v>
      </c>
      <c r="T168" t="s">
        <v>113</v>
      </c>
      <c r="Z168" s="3">
        <f>P168-Y168</f>
      </c>
      <c r="AA168" t="s">
        <v>59</v>
      </c>
      <c r="AB168" t="s">
        <v>104</v>
      </c>
    </row>
    <row r="169" spans="1:28" x14ac:dyDescent="0.25">
      <c r="A169" s="7">
        <v>46204.5</v>
      </c>
      <c r="B169" t="s">
        <v>2621</v>
      </c>
      <c r="C169" t="s">
        <v>1</v>
      </c>
      <c r="D169" s="8" t="s">
        <v>2622</v>
      </c>
      <c r="E169" t="s">
        <v>77</v>
      </c>
      <c r="F169" s="3">
        <v>561</v>
      </c>
      <c r="G169" s="3">
        <v>656.37</v>
      </c>
      <c r="H169" s="3">
        <f>G169-F169</f>
      </c>
      <c r="I169" s="3">
        <f>H169*16.67%</f>
      </c>
      <c r="J169" s="3">
        <f>G169*7%</f>
      </c>
      <c r="K169" s="3">
        <f>J169*20%</f>
      </c>
      <c r="L169" s="3">
        <v>0</v>
      </c>
      <c r="M169" s="3">
        <f>L169*20%</f>
      </c>
      <c r="N169" s="3">
        <v>1</v>
      </c>
      <c r="O169" s="3">
        <f>K169+M169</f>
      </c>
      <c r="P169" s="3">
        <f>H169-I169-J169-K169-L169-M169-N169</f>
      </c>
      <c r="Q169" s="3">
        <f>(P169-Y169)/F169*100</f>
      </c>
      <c r="R169" s="3">
        <f>I169-O169</f>
      </c>
      <c r="S169" t="s">
        <v>1</v>
      </c>
      <c r="T169" t="s">
        <v>80</v>
      </c>
      <c r="Z169" s="3">
        <f>P169-Y169</f>
      </c>
      <c r="AA169" t="s">
        <v>59</v>
      </c>
      <c r="AB169" t="s">
        <v>104</v>
      </c>
    </row>
    <row r="170" spans="1:28" x14ac:dyDescent="0.25">
      <c r="A170" s="7">
        <v>46204.5</v>
      </c>
      <c r="B170" t="s">
        <v>2623</v>
      </c>
      <c r="C170" t="s">
        <v>184</v>
      </c>
      <c r="D170" s="8" t="s">
        <v>1</v>
      </c>
      <c r="E170" t="s">
        <v>101</v>
      </c>
      <c r="F170" s="3">
        <v>1.2</v>
      </c>
      <c r="G170" s="3">
        <v>1.49</v>
      </c>
      <c r="H170" s="3">
        <f>G170-F170</f>
      </c>
      <c r="I170" s="3">
        <f>H170*16.67%</f>
      </c>
      <c r="J170" s="3">
        <f>G170*7%</f>
      </c>
      <c r="K170" s="3">
        <f>J170*20%</f>
      </c>
      <c r="L170" s="3">
        <v>0</v>
      </c>
      <c r="M170" s="3">
        <f>L170*20%</f>
      </c>
      <c r="N170" s="3">
        <v>1</v>
      </c>
      <c r="O170" s="3">
        <f>K170+M170</f>
      </c>
      <c r="P170" s="3">
        <f>H170-I170-J170-K170-L170-M170-N170</f>
      </c>
      <c r="Q170" s="3">
        <f>(P170-Y170)/F170*100</f>
      </c>
      <c r="R170" s="3">
        <f>I170-O170</f>
      </c>
      <c r="S170" t="s">
        <v>1</v>
      </c>
      <c r="T170" t="s">
        <v>184</v>
      </c>
      <c r="Z170" s="3">
        <f>P170-Y170</f>
      </c>
      <c r="AA170" t="s">
        <v>1</v>
      </c>
      <c r="AB170" t="s">
        <v>1</v>
      </c>
    </row>
    <row r="171" spans="1:28" x14ac:dyDescent="0.25">
      <c r="A171" s="7">
        <v>46204.5</v>
      </c>
      <c r="B171" t="s">
        <v>2624</v>
      </c>
      <c r="C171" t="s">
        <v>188</v>
      </c>
      <c r="D171" s="8" t="s">
        <v>1</v>
      </c>
      <c r="E171" t="s">
        <v>63</v>
      </c>
      <c r="F171" s="3">
        <v>3.5</v>
      </c>
      <c r="G171" s="3">
        <v>4.69</v>
      </c>
      <c r="H171" s="3">
        <f>G171-F171</f>
      </c>
      <c r="I171" s="3">
        <f>H171*16.67%</f>
      </c>
      <c r="J171" s="3">
        <f>G171*7%</f>
      </c>
      <c r="K171" s="3">
        <f>J171*20%</f>
      </c>
      <c r="L171" s="3">
        <v>0</v>
      </c>
      <c r="M171" s="3">
        <f>L171*20%</f>
      </c>
      <c r="N171" s="3">
        <v>1</v>
      </c>
      <c r="O171" s="3">
        <f>K171+M171</f>
      </c>
      <c r="P171" s="3">
        <f>H171-I171-J171-K171-L171-M171-N171</f>
      </c>
      <c r="Q171" s="3">
        <f>(P171-Y171)/F171*100</f>
      </c>
      <c r="R171" s="3">
        <f>I171-O171</f>
      </c>
      <c r="S171" t="s">
        <v>1</v>
      </c>
      <c r="T171" t="s">
        <v>188</v>
      </c>
      <c r="Z171" s="3">
        <f>P171-Y171</f>
      </c>
      <c r="AA171" t="s">
        <v>1</v>
      </c>
      <c r="AB171" t="s">
        <v>1</v>
      </c>
    </row>
    <row r="172" spans="1:28" x14ac:dyDescent="0.25">
      <c r="A172" s="7">
        <v>46203.5</v>
      </c>
      <c r="B172" t="s">
        <v>2625</v>
      </c>
      <c r="C172" t="s">
        <v>1</v>
      </c>
      <c r="D172" s="8" t="s">
        <v>2626</v>
      </c>
      <c r="E172" t="s">
        <v>72</v>
      </c>
      <c r="F172" s="3">
        <v>458</v>
      </c>
      <c r="G172" s="3">
        <v>577.08</v>
      </c>
      <c r="H172" s="3">
        <f>G172-F172</f>
      </c>
      <c r="I172" s="3">
        <f>H172*16.67%</f>
      </c>
      <c r="J172" s="3">
        <f>G172*7%</f>
      </c>
      <c r="K172" s="3">
        <f>J172*20%</f>
      </c>
      <c r="L172" s="3">
        <v>0</v>
      </c>
      <c r="M172" s="3">
        <f>L172*20%</f>
      </c>
      <c r="N172" s="3">
        <v>1</v>
      </c>
      <c r="O172" s="3">
        <f>K172+M172</f>
      </c>
      <c r="P172" s="3">
        <f>H172-I172-J172-K172-L172-M172-N172</f>
      </c>
      <c r="Q172" s="3">
        <f>(P172-Y172)/F172*100</f>
      </c>
      <c r="R172" s="3">
        <f>I172-O172</f>
      </c>
      <c r="S172" t="s">
        <v>1</v>
      </c>
      <c r="T172" t="s">
        <v>58</v>
      </c>
      <c r="Z172" s="3">
        <f>P172-Y172</f>
      </c>
      <c r="AA172" t="s">
        <v>59</v>
      </c>
      <c r="AB172" t="s">
        <v>60</v>
      </c>
    </row>
    <row r="173" spans="1:28" x14ac:dyDescent="0.25">
      <c r="A173" s="7">
        <v>46203.5</v>
      </c>
      <c r="B173" t="s">
        <v>2627</v>
      </c>
      <c r="C173" t="s">
        <v>1</v>
      </c>
      <c r="D173" s="8" t="s">
        <v>2628</v>
      </c>
      <c r="E173" t="s">
        <v>101</v>
      </c>
      <c r="F173" s="3">
        <v>193</v>
      </c>
      <c r="G173" s="3">
        <v>275.99</v>
      </c>
      <c r="H173" s="3">
        <f>G173-F173</f>
      </c>
      <c r="I173" s="3">
        <f>H173*16.67%</f>
      </c>
      <c r="J173" s="3">
        <f>G173*7%</f>
      </c>
      <c r="K173" s="3">
        <f>J173*20%</f>
      </c>
      <c r="L173" s="3">
        <v>0</v>
      </c>
      <c r="M173" s="3">
        <f>L173*20%</f>
      </c>
      <c r="N173" s="3">
        <v>1</v>
      </c>
      <c r="O173" s="3">
        <f>K173+M173</f>
      </c>
      <c r="P173" s="3">
        <f>H173-I173-J173-K173-L173-M173-N173</f>
      </c>
      <c r="Q173" s="3">
        <f>(P173-Y173)/F173*100</f>
      </c>
      <c r="R173" s="3">
        <f>I173-O173</f>
      </c>
      <c r="S173" t="s">
        <v>1</v>
      </c>
      <c r="T173" t="s">
        <v>291</v>
      </c>
      <c r="Z173" s="3">
        <f>P173-Y173</f>
      </c>
      <c r="AA173" t="s">
        <v>125</v>
      </c>
      <c r="AB173" t="s">
        <v>104</v>
      </c>
    </row>
    <row r="174" spans="1:28" x14ac:dyDescent="0.25">
      <c r="A174" s="7">
        <v>46203.5</v>
      </c>
      <c r="B174" t="s">
        <v>2629</v>
      </c>
      <c r="C174" t="s">
        <v>184</v>
      </c>
      <c r="D174" s="8" t="s">
        <v>1</v>
      </c>
      <c r="E174" t="s">
        <v>101</v>
      </c>
      <c r="F174" s="3">
        <v>1.2</v>
      </c>
      <c r="G174" s="3">
        <v>1.54</v>
      </c>
      <c r="H174" s="3">
        <f>G174-F174</f>
      </c>
      <c r="I174" s="3">
        <f>H174*16.67%</f>
      </c>
      <c r="J174" s="3">
        <f>G174*7%</f>
      </c>
      <c r="K174" s="3">
        <f>J174*20%</f>
      </c>
      <c r="L174" s="3">
        <v>0</v>
      </c>
      <c r="M174" s="3">
        <f>L174*20%</f>
      </c>
      <c r="N174" s="3">
        <v>1</v>
      </c>
      <c r="O174" s="3">
        <f>K174+M174</f>
      </c>
      <c r="P174" s="3">
        <f>H174-I174-J174-K174-L174-M174-N174</f>
      </c>
      <c r="Q174" s="3">
        <f>(P174-Y174)/F174*100</f>
      </c>
      <c r="R174" s="3">
        <f>I174-O174</f>
      </c>
      <c r="S174" t="s">
        <v>1</v>
      </c>
      <c r="T174" t="s">
        <v>184</v>
      </c>
      <c r="Z174" s="3">
        <f>P174-Y174</f>
      </c>
      <c r="AA174" t="s">
        <v>1</v>
      </c>
      <c r="AB174" t="s">
        <v>1</v>
      </c>
    </row>
    <row r="175" spans="1:28" x14ac:dyDescent="0.25">
      <c r="A175" s="7">
        <v>46203.5</v>
      </c>
      <c r="B175" t="s">
        <v>2630</v>
      </c>
      <c r="C175" t="s">
        <v>1</v>
      </c>
      <c r="D175" s="8" t="s">
        <v>1</v>
      </c>
      <c r="E175" t="s">
        <v>77</v>
      </c>
      <c r="F175" s="3">
        <v>704</v>
      </c>
      <c r="G175" s="3">
        <v>816.64</v>
      </c>
      <c r="H175" s="3">
        <f>G175-F175</f>
      </c>
      <c r="I175" s="3">
        <f>H175*16.67%</f>
      </c>
      <c r="J175" s="3">
        <f>G175*7%</f>
      </c>
      <c r="K175" s="3">
        <f>J175*20%</f>
      </c>
      <c r="L175" s="3">
        <v>0</v>
      </c>
      <c r="M175" s="3">
        <f>L175*20%</f>
      </c>
      <c r="N175" s="3">
        <v>1</v>
      </c>
      <c r="O175" s="3">
        <f>K175+M175</f>
      </c>
      <c r="P175" s="3">
        <f>H175-I175-J175-K175-L175-M175-N175</f>
      </c>
      <c r="Q175" s="3">
        <f>(P175-Y175)/F175*100</f>
      </c>
      <c r="R175" s="3">
        <f>I175-O175</f>
      </c>
      <c r="S175" t="s">
        <v>1</v>
      </c>
      <c r="T175" t="s">
        <v>1</v>
      </c>
      <c r="Z175" s="3">
        <f>P175-Y175</f>
      </c>
      <c r="AA175" t="s">
        <v>1</v>
      </c>
      <c r="AB175" t="s">
        <v>1</v>
      </c>
    </row>
    <row r="176" spans="1:28" x14ac:dyDescent="0.25">
      <c r="A176" s="7">
        <v>46203.5</v>
      </c>
      <c r="B176" t="s">
        <v>2631</v>
      </c>
      <c r="C176" t="s">
        <v>1</v>
      </c>
      <c r="D176" s="8" t="s">
        <v>1</v>
      </c>
      <c r="E176" t="s">
        <v>101</v>
      </c>
      <c r="F176" s="3">
        <v>93</v>
      </c>
      <c r="G176" s="3">
        <v>125.55</v>
      </c>
      <c r="H176" s="3">
        <f>G176-F176</f>
      </c>
      <c r="I176" s="3">
        <f>H176*16.67%</f>
      </c>
      <c r="J176" s="3">
        <f>G176*7%</f>
      </c>
      <c r="K176" s="3">
        <f>J176*20%</f>
      </c>
      <c r="L176" s="3">
        <v>0</v>
      </c>
      <c r="M176" s="3">
        <f>L176*20%</f>
      </c>
      <c r="N176" s="3">
        <v>1</v>
      </c>
      <c r="O176" s="3">
        <f>K176+M176</f>
      </c>
      <c r="P176" s="3">
        <f>H176-I176-J176-K176-L176-M176-N176</f>
      </c>
      <c r="Q176" s="3">
        <f>(P176-Y176)/F176*100</f>
      </c>
      <c r="R176" s="3">
        <f>I176-O176</f>
      </c>
      <c r="S176" t="s">
        <v>1</v>
      </c>
      <c r="T176" t="s">
        <v>1</v>
      </c>
      <c r="Z176" s="3">
        <f>P176-Y176</f>
      </c>
      <c r="AA176" t="s">
        <v>1</v>
      </c>
      <c r="AB176" t="s">
        <v>1</v>
      </c>
    </row>
    <row r="177" spans="1:28" x14ac:dyDescent="0.25">
      <c r="A177" s="7">
        <v>46202.5</v>
      </c>
      <c r="B177" t="s">
        <v>2632</v>
      </c>
      <c r="C177" t="s">
        <v>1</v>
      </c>
      <c r="D177" s="8" t="s">
        <v>2633</v>
      </c>
      <c r="E177" t="s">
        <v>63</v>
      </c>
      <c r="F177" s="3">
        <v>374</v>
      </c>
      <c r="G177" s="3">
        <v>433.84</v>
      </c>
      <c r="H177" s="3">
        <f>G177-F177</f>
      </c>
      <c r="I177" s="3">
        <f>H177*16.67%</f>
      </c>
      <c r="J177" s="3">
        <f>G177*7%</f>
      </c>
      <c r="K177" s="3">
        <f>J177*20%</f>
      </c>
      <c r="L177" s="3">
        <v>0</v>
      </c>
      <c r="M177" s="3">
        <f>L177*20%</f>
      </c>
      <c r="N177" s="3">
        <v>1</v>
      </c>
      <c r="O177" s="3">
        <f>K177+M177</f>
      </c>
      <c r="P177" s="3">
        <f>H177-I177-J177-K177-L177-M177-N177</f>
      </c>
      <c r="Q177" s="3">
        <f>(P177-Y177)/F177*100</f>
      </c>
      <c r="R177" s="3">
        <f>I177-O177</f>
      </c>
      <c r="S177" t="s">
        <v>1</v>
      </c>
      <c r="T177" t="s">
        <v>138</v>
      </c>
      <c r="Z177" s="3">
        <f>P177-Y177</f>
      </c>
      <c r="AA177" t="s">
        <v>59</v>
      </c>
      <c r="AB177" t="s">
        <v>74</v>
      </c>
    </row>
    <row r="178" spans="1:28" x14ac:dyDescent="0.25">
      <c r="A178" s="7">
        <v>46202.5</v>
      </c>
      <c r="B178" t="s">
        <v>2634</v>
      </c>
      <c r="C178" t="s">
        <v>1</v>
      </c>
      <c r="D178" s="8" t="s">
        <v>2635</v>
      </c>
      <c r="E178" t="s">
        <v>63</v>
      </c>
      <c r="F178" s="3">
        <v>310</v>
      </c>
      <c r="G178" s="3">
        <v>396.8</v>
      </c>
      <c r="H178" s="3">
        <f>G178-F178</f>
      </c>
      <c r="I178" s="3">
        <f>H178*16.67%</f>
      </c>
      <c r="J178" s="3">
        <f>G178*7%</f>
      </c>
      <c r="K178" s="3">
        <f>J178*20%</f>
      </c>
      <c r="L178" s="3">
        <v>0</v>
      </c>
      <c r="M178" s="3">
        <f>L178*20%</f>
      </c>
      <c r="N178" s="3">
        <v>1</v>
      </c>
      <c r="O178" s="3">
        <f>K178+M178</f>
      </c>
      <c r="P178" s="3">
        <f>H178-I178-J178-K178-L178-M178-N178</f>
      </c>
      <c r="Q178" s="3">
        <f>(P178-Y178)/F178*100</f>
      </c>
      <c r="R178" s="3">
        <f>I178-O178</f>
      </c>
      <c r="S178" t="s">
        <v>1</v>
      </c>
      <c r="T178" t="s">
        <v>130</v>
      </c>
      <c r="Z178" s="3">
        <f>P178-Y178</f>
      </c>
      <c r="AA178" t="s">
        <v>59</v>
      </c>
      <c r="AB178" t="s">
        <v>98</v>
      </c>
    </row>
    <row r="179" spans="1:28" x14ac:dyDescent="0.25">
      <c r="A179" s="7">
        <v>46202.5</v>
      </c>
      <c r="B179" t="s">
        <v>2636</v>
      </c>
      <c r="C179" t="s">
        <v>1</v>
      </c>
      <c r="D179" s="8" t="s">
        <v>2637</v>
      </c>
      <c r="E179" t="s">
        <v>72</v>
      </c>
      <c r="F179" s="3">
        <v>334</v>
      </c>
      <c r="G179" s="3">
        <v>417.5</v>
      </c>
      <c r="H179" s="3">
        <f>G179-F179</f>
      </c>
      <c r="I179" s="3">
        <f>H179*16.67%</f>
      </c>
      <c r="J179" s="3">
        <f>G179*7%</f>
      </c>
      <c r="K179" s="3">
        <f>J179*20%</f>
      </c>
      <c r="L179" s="3">
        <v>0</v>
      </c>
      <c r="M179" s="3">
        <f>L179*20%</f>
      </c>
      <c r="N179" s="3">
        <v>1</v>
      </c>
      <c r="O179" s="3">
        <f>K179+M179</f>
      </c>
      <c r="P179" s="3">
        <f>H179-I179-J179-K179-L179-M179-N179</f>
      </c>
      <c r="Q179" s="3">
        <f>(P179-Y179)/F179*100</f>
      </c>
      <c r="R179" s="3">
        <f>I179-O179</f>
      </c>
      <c r="S179" t="s">
        <v>1</v>
      </c>
      <c r="T179" t="s">
        <v>73</v>
      </c>
      <c r="Z179" s="3">
        <f>P179-Y179</f>
      </c>
      <c r="AA179" t="s">
        <v>59</v>
      </c>
      <c r="AB179" t="s">
        <v>69</v>
      </c>
    </row>
    <row r="180" spans="1:28" x14ac:dyDescent="0.25">
      <c r="A180" s="7">
        <v>46202.5</v>
      </c>
      <c r="B180" t="s">
        <v>2638</v>
      </c>
      <c r="C180" t="s">
        <v>1</v>
      </c>
      <c r="D180" s="8" t="s">
        <v>2639</v>
      </c>
      <c r="E180" t="s">
        <v>57</v>
      </c>
      <c r="F180" s="3">
        <v>320</v>
      </c>
      <c r="G180" s="3">
        <v>451.2</v>
      </c>
      <c r="H180" s="3">
        <f>G180-F180</f>
      </c>
      <c r="I180" s="3">
        <f>H180*16.67%</f>
      </c>
      <c r="J180" s="3">
        <f>G180*7%</f>
      </c>
      <c r="K180" s="3">
        <f>J180*20%</f>
      </c>
      <c r="L180" s="3">
        <v>0</v>
      </c>
      <c r="M180" s="3">
        <f>L180*20%</f>
      </c>
      <c r="N180" s="3">
        <v>1</v>
      </c>
      <c r="O180" s="3">
        <f>K180+M180</f>
      </c>
      <c r="P180" s="3">
        <f>H180-I180-J180-K180-L180-M180-N180</f>
      </c>
      <c r="Q180" s="3">
        <f>(P180-Y180)/F180*100</f>
      </c>
      <c r="R180" s="3">
        <f>I180-O180</f>
      </c>
      <c r="S180" t="s">
        <v>1</v>
      </c>
      <c r="T180" t="s">
        <v>138</v>
      </c>
      <c r="Z180" s="3">
        <f>P180-Y180</f>
      </c>
      <c r="AA180" t="s">
        <v>65</v>
      </c>
      <c r="AB180" t="s">
        <v>74</v>
      </c>
    </row>
    <row r="181" spans="1:28" x14ac:dyDescent="0.25">
      <c r="A181" s="7">
        <v>46202.5</v>
      </c>
      <c r="B181" t="s">
        <v>2640</v>
      </c>
      <c r="C181" t="s">
        <v>1</v>
      </c>
      <c r="D181" s="8" t="s">
        <v>2641</v>
      </c>
      <c r="E181" t="s">
        <v>77</v>
      </c>
      <c r="F181" s="3">
        <v>713</v>
      </c>
      <c r="G181" s="3">
        <v>898.38</v>
      </c>
      <c r="H181" s="3">
        <f>G181-F181</f>
      </c>
      <c r="I181" s="3">
        <f>H181*16.67%</f>
      </c>
      <c r="J181" s="3">
        <f>G181*7%</f>
      </c>
      <c r="K181" s="3">
        <f>J181*20%</f>
      </c>
      <c r="L181" s="3">
        <v>0</v>
      </c>
      <c r="M181" s="3">
        <f>L181*20%</f>
      </c>
      <c r="N181" s="3">
        <v>1</v>
      </c>
      <c r="O181" s="3">
        <f>K181+M181</f>
      </c>
      <c r="P181" s="3">
        <f>H181-I181-J181-K181-L181-M181-N181</f>
      </c>
      <c r="Q181" s="3">
        <f>(P181-Y181)/F181*100</f>
      </c>
      <c r="R181" s="3">
        <f>I181-O181</f>
      </c>
      <c r="S181" t="s">
        <v>1</v>
      </c>
      <c r="T181" t="s">
        <v>83</v>
      </c>
      <c r="Z181" s="3">
        <f>P181-Y181</f>
      </c>
      <c r="AA181" t="s">
        <v>59</v>
      </c>
      <c r="AB181" t="s">
        <v>74</v>
      </c>
    </row>
    <row r="182" spans="1:28" x14ac:dyDescent="0.25">
      <c r="A182" s="7">
        <v>46202.5</v>
      </c>
      <c r="B182" t="s">
        <v>2642</v>
      </c>
      <c r="C182" t="s">
        <v>1</v>
      </c>
      <c r="D182" s="8" t="s">
        <v>2643</v>
      </c>
      <c r="E182" t="s">
        <v>72</v>
      </c>
      <c r="F182" s="3">
        <v>692</v>
      </c>
      <c r="G182" s="3">
        <v>878.84</v>
      </c>
      <c r="H182" s="3">
        <f>G182-F182</f>
      </c>
      <c r="I182" s="3">
        <f>H182*16.67%</f>
      </c>
      <c r="J182" s="3">
        <f>G182*7%</f>
      </c>
      <c r="K182" s="3">
        <f>J182*20%</f>
      </c>
      <c r="L182" s="3">
        <v>0</v>
      </c>
      <c r="M182" s="3">
        <f>L182*20%</f>
      </c>
      <c r="N182" s="3">
        <v>1</v>
      </c>
      <c r="O182" s="3">
        <f>K182+M182</f>
      </c>
      <c r="P182" s="3">
        <f>H182-I182-J182-K182-L182-M182-N182</f>
      </c>
      <c r="Q182" s="3">
        <f>(P182-Y182)/F182*100</f>
      </c>
      <c r="R182" s="3">
        <f>I182-O182</f>
      </c>
      <c r="S182" t="s">
        <v>1</v>
      </c>
      <c r="T182" t="s">
        <v>83</v>
      </c>
      <c r="Z182" s="3">
        <f>P182-Y182</f>
      </c>
      <c r="AA182" t="s">
        <v>59</v>
      </c>
      <c r="AB182" t="s">
        <v>104</v>
      </c>
    </row>
    <row r="183" spans="1:28" x14ac:dyDescent="0.25">
      <c r="A183" s="7">
        <v>46202.5</v>
      </c>
      <c r="B183" t="s">
        <v>2644</v>
      </c>
      <c r="C183" t="s">
        <v>188</v>
      </c>
      <c r="D183" s="8" t="s">
        <v>1</v>
      </c>
      <c r="E183" t="s">
        <v>63</v>
      </c>
      <c r="F183" s="3">
        <v>3.5</v>
      </c>
      <c r="G183" s="3">
        <v>4.69</v>
      </c>
      <c r="H183" s="3">
        <f>G183-F183</f>
      </c>
      <c r="I183" s="3">
        <f>H183*16.67%</f>
      </c>
      <c r="J183" s="3">
        <f>G183*7%</f>
      </c>
      <c r="K183" s="3">
        <f>J183*20%</f>
      </c>
      <c r="L183" s="3">
        <v>0</v>
      </c>
      <c r="M183" s="3">
        <f>L183*20%</f>
      </c>
      <c r="N183" s="3">
        <v>1</v>
      </c>
      <c r="O183" s="3">
        <f>K183+M183</f>
      </c>
      <c r="P183" s="3">
        <f>H183-I183-J183-K183-L183-M183-N183</f>
      </c>
      <c r="Q183" s="3">
        <f>(P183-Y183)/F183*100</f>
      </c>
      <c r="R183" s="3">
        <f>I183-O183</f>
      </c>
      <c r="S183" t="s">
        <v>1</v>
      </c>
      <c r="T183" t="s">
        <v>188</v>
      </c>
      <c r="Z183" s="3">
        <f>P183-Y183</f>
      </c>
      <c r="AA183" t="s">
        <v>1</v>
      </c>
      <c r="AB183" t="s">
        <v>1</v>
      </c>
    </row>
    <row r="184" spans="1:28" x14ac:dyDescent="0.25">
      <c r="A184" s="7">
        <v>46202.5</v>
      </c>
      <c r="B184" t="s">
        <v>2645</v>
      </c>
      <c r="C184" t="s">
        <v>173</v>
      </c>
      <c r="D184" s="8" t="s">
        <v>1</v>
      </c>
      <c r="E184" t="s">
        <v>63</v>
      </c>
      <c r="F184" s="3">
        <v>4.25</v>
      </c>
      <c r="G184" s="3">
        <v>5.23</v>
      </c>
      <c r="H184" s="3">
        <f>G184-F184</f>
      </c>
      <c r="I184" s="3">
        <f>H184*16.67%</f>
      </c>
      <c r="J184" s="3">
        <f>G184*7%</f>
      </c>
      <c r="K184" s="3">
        <f>J184*20%</f>
      </c>
      <c r="L184" s="3">
        <v>0</v>
      </c>
      <c r="M184" s="3">
        <f>L184*20%</f>
      </c>
      <c r="N184" s="3">
        <v>1</v>
      </c>
      <c r="O184" s="3">
        <f>K184+M184</f>
      </c>
      <c r="P184" s="3">
        <f>H184-I184-J184-K184-L184-M184-N184</f>
      </c>
      <c r="Q184" s="3">
        <f>(P184-Y184)/F184*100</f>
      </c>
      <c r="R184" s="3">
        <f>I184-O184</f>
      </c>
      <c r="S184" t="s">
        <v>1</v>
      </c>
      <c r="T184" t="s">
        <v>173</v>
      </c>
      <c r="Z184" s="3">
        <f>P184-Y184</f>
      </c>
      <c r="AA184" t="s">
        <v>1</v>
      </c>
      <c r="AB184" t="s">
        <v>1</v>
      </c>
    </row>
    <row r="185" spans="1:28" x14ac:dyDescent="0.25">
      <c r="A185" s="7">
        <v>46202.5</v>
      </c>
      <c r="B185" t="s">
        <v>2646</v>
      </c>
      <c r="C185" t="s">
        <v>1</v>
      </c>
      <c r="D185" s="8" t="s">
        <v>1</v>
      </c>
      <c r="E185" t="s">
        <v>101</v>
      </c>
      <c r="F185" s="3">
        <v>309</v>
      </c>
      <c r="G185" s="3">
        <v>364.62</v>
      </c>
      <c r="H185" s="3">
        <f>G185-F185</f>
      </c>
      <c r="I185" s="3">
        <f>H185*16.67%</f>
      </c>
      <c r="J185" s="3">
        <f>G185*7%</f>
      </c>
      <c r="K185" s="3">
        <f>J185*20%</f>
      </c>
      <c r="L185" s="3">
        <v>0</v>
      </c>
      <c r="M185" s="3">
        <f>L185*20%</f>
      </c>
      <c r="N185" s="3">
        <v>1</v>
      </c>
      <c r="O185" s="3">
        <f>K185+M185</f>
      </c>
      <c r="P185" s="3">
        <f>H185-I185-J185-K185-L185-M185-N185</f>
      </c>
      <c r="Q185" s="3">
        <f>(P185-Y185)/F185*100</f>
      </c>
      <c r="R185" s="3">
        <f>I185-O185</f>
      </c>
      <c r="S185" t="s">
        <v>1</v>
      </c>
      <c r="T185" t="s">
        <v>1</v>
      </c>
      <c r="Z185" s="3">
        <f>P185-Y185</f>
      </c>
      <c r="AA185" t="s">
        <v>1</v>
      </c>
      <c r="AB185" t="s">
        <v>1</v>
      </c>
    </row>
    <row r="186" spans="1:28" x14ac:dyDescent="0.25">
      <c r="A186" s="7">
        <v>46201.5</v>
      </c>
      <c r="B186" t="s">
        <v>2647</v>
      </c>
      <c r="C186" t="s">
        <v>1</v>
      </c>
      <c r="D186" s="8" t="s">
        <v>2648</v>
      </c>
      <c r="E186" t="s">
        <v>72</v>
      </c>
      <c r="F186" s="3">
        <v>258</v>
      </c>
      <c r="G186" s="3">
        <v>343.14</v>
      </c>
      <c r="H186" s="3">
        <f>G186-F186</f>
      </c>
      <c r="I186" s="3">
        <f>H186*16.67%</f>
      </c>
      <c r="J186" s="3">
        <f>G186*7%</f>
      </c>
      <c r="K186" s="3">
        <f>J186*20%</f>
      </c>
      <c r="L186" s="3">
        <v>0</v>
      </c>
      <c r="M186" s="3">
        <f>L186*20%</f>
      </c>
      <c r="N186" s="3">
        <v>1</v>
      </c>
      <c r="O186" s="3">
        <f>K186+M186</f>
      </c>
      <c r="P186" s="3">
        <f>H186-I186-J186-K186-L186-M186-N186</f>
      </c>
      <c r="Q186" s="3">
        <f>(P186-Y186)/F186*100</f>
      </c>
      <c r="R186" s="3">
        <f>I186-O186</f>
      </c>
      <c r="S186" t="s">
        <v>1</v>
      </c>
      <c r="T186" t="s">
        <v>64</v>
      </c>
      <c r="Z186" s="3">
        <f>P186-Y186</f>
      </c>
      <c r="AA186" t="s">
        <v>65</v>
      </c>
      <c r="AB186" t="s">
        <v>84</v>
      </c>
    </row>
    <row r="187" spans="1:28" x14ac:dyDescent="0.25">
      <c r="A187" s="7">
        <v>46201.5</v>
      </c>
      <c r="B187" t="s">
        <v>2649</v>
      </c>
      <c r="C187" t="s">
        <v>188</v>
      </c>
      <c r="D187" s="8" t="s">
        <v>1</v>
      </c>
      <c r="E187" t="s">
        <v>63</v>
      </c>
      <c r="F187" s="3">
        <v>3.5</v>
      </c>
      <c r="G187" s="3">
        <v>4.9</v>
      </c>
      <c r="H187" s="3">
        <f>G187-F187</f>
      </c>
      <c r="I187" s="3">
        <f>H187*16.67%</f>
      </c>
      <c r="J187" s="3">
        <f>G187*7%</f>
      </c>
      <c r="K187" s="3">
        <f>J187*20%</f>
      </c>
      <c r="L187" s="3">
        <v>0</v>
      </c>
      <c r="M187" s="3">
        <f>L187*20%</f>
      </c>
      <c r="N187" s="3">
        <v>1</v>
      </c>
      <c r="O187" s="3">
        <f>K187+M187</f>
      </c>
      <c r="P187" s="3">
        <f>H187-I187-J187-K187-L187-M187-N187</f>
      </c>
      <c r="Q187" s="3">
        <f>(P187-Y187)/F187*100</f>
      </c>
      <c r="R187" s="3">
        <f>I187-O187</f>
      </c>
      <c r="S187" t="s">
        <v>1</v>
      </c>
      <c r="T187" t="s">
        <v>188</v>
      </c>
      <c r="Z187" s="3">
        <f>P187-Y187</f>
      </c>
      <c r="AA187" t="s">
        <v>1</v>
      </c>
      <c r="AB187" t="s">
        <v>1</v>
      </c>
    </row>
    <row r="188" spans="1:28" x14ac:dyDescent="0.25">
      <c r="A188" s="7">
        <v>46200.5</v>
      </c>
      <c r="B188" t="s">
        <v>2650</v>
      </c>
      <c r="C188" t="s">
        <v>1</v>
      </c>
      <c r="D188" s="8" t="s">
        <v>2651</v>
      </c>
      <c r="E188" t="s">
        <v>63</v>
      </c>
      <c r="F188" s="3">
        <v>294</v>
      </c>
      <c r="G188" s="3">
        <v>382.2</v>
      </c>
      <c r="H188" s="3">
        <f>G188-F188</f>
      </c>
      <c r="I188" s="3">
        <f>H188*16.67%</f>
      </c>
      <c r="J188" s="3">
        <f>G188*7%</f>
      </c>
      <c r="K188" s="3">
        <f>J188*20%</f>
      </c>
      <c r="L188" s="3">
        <v>0</v>
      </c>
      <c r="M188" s="3">
        <f>L188*20%</f>
      </c>
      <c r="N188" s="3">
        <v>1</v>
      </c>
      <c r="O188" s="3">
        <f>K188+M188</f>
      </c>
      <c r="P188" s="3">
        <f>H188-I188-J188-K188-L188-M188-N188</f>
      </c>
      <c r="Q188" s="3">
        <f>(P188-Y188)/F188*100</f>
      </c>
      <c r="R188" s="3">
        <f>I188-O188</f>
      </c>
      <c r="S188" t="s">
        <v>1</v>
      </c>
      <c r="T188" t="s">
        <v>124</v>
      </c>
      <c r="Z188" s="3">
        <f>P188-Y188</f>
      </c>
      <c r="AA188" t="s">
        <v>125</v>
      </c>
      <c r="AB188" t="s">
        <v>69</v>
      </c>
    </row>
    <row r="189" spans="1:28" x14ac:dyDescent="0.25">
      <c r="A189" s="7">
        <v>46200.5</v>
      </c>
      <c r="B189" t="s">
        <v>2652</v>
      </c>
      <c r="C189" t="s">
        <v>1</v>
      </c>
      <c r="D189" s="8" t="s">
        <v>2653</v>
      </c>
      <c r="E189" t="s">
        <v>63</v>
      </c>
      <c r="F189" s="3">
        <v>137</v>
      </c>
      <c r="G189" s="3">
        <v>178.1</v>
      </c>
      <c r="H189" s="3">
        <f>G189-F189</f>
      </c>
      <c r="I189" s="3">
        <f>H189*16.67%</f>
      </c>
      <c r="J189" s="3">
        <f>G189*7%</f>
      </c>
      <c r="K189" s="3">
        <f>J189*20%</f>
      </c>
      <c r="L189" s="3">
        <v>0</v>
      </c>
      <c r="M189" s="3">
        <f>L189*20%</f>
      </c>
      <c r="N189" s="3">
        <v>1</v>
      </c>
      <c r="O189" s="3">
        <f>K189+M189</f>
      </c>
      <c r="P189" s="3">
        <f>H189-I189-J189-K189-L189-M189-N189</f>
      </c>
      <c r="Q189" s="3">
        <f>(P189-Y189)/F189*100</f>
      </c>
      <c r="R189" s="3">
        <f>I189-O189</f>
      </c>
      <c r="S189" t="s">
        <v>1</v>
      </c>
      <c r="T189" t="s">
        <v>90</v>
      </c>
      <c r="Z189" s="3">
        <f>P189-Y189</f>
      </c>
      <c r="AA189" t="s">
        <v>65</v>
      </c>
      <c r="AB189" t="s">
        <v>87</v>
      </c>
    </row>
    <row r="190" spans="1:28" x14ac:dyDescent="0.25">
      <c r="A190" s="7">
        <v>46200.5</v>
      </c>
      <c r="B190" t="s">
        <v>2654</v>
      </c>
      <c r="C190" t="s">
        <v>1</v>
      </c>
      <c r="D190" s="8" t="s">
        <v>2655</v>
      </c>
      <c r="E190" t="s">
        <v>77</v>
      </c>
      <c r="F190" s="3">
        <v>333</v>
      </c>
      <c r="G190" s="3">
        <v>389.61</v>
      </c>
      <c r="H190" s="3">
        <f>G190-F190</f>
      </c>
      <c r="I190" s="3">
        <f>H190*16.67%</f>
      </c>
      <c r="J190" s="3">
        <f>G190*7%</f>
      </c>
      <c r="K190" s="3">
        <f>J190*20%</f>
      </c>
      <c r="L190" s="3">
        <v>0</v>
      </c>
      <c r="M190" s="3">
        <f>L190*20%</f>
      </c>
      <c r="N190" s="3">
        <v>1</v>
      </c>
      <c r="O190" s="3">
        <f>K190+M190</f>
      </c>
      <c r="P190" s="3">
        <f>H190-I190-J190-K190-L190-M190-N190</f>
      </c>
      <c r="Q190" s="3">
        <f>(P190-Y190)/F190*100</f>
      </c>
      <c r="R190" s="3">
        <f>I190-O190</f>
      </c>
      <c r="S190" t="s">
        <v>1</v>
      </c>
      <c r="T190" t="s">
        <v>130</v>
      </c>
      <c r="Z190" s="3">
        <f>P190-Y190</f>
      </c>
      <c r="AA190" t="s">
        <v>59</v>
      </c>
      <c r="AB190" t="s">
        <v>87</v>
      </c>
    </row>
    <row r="191" spans="1:28" x14ac:dyDescent="0.25">
      <c r="A191" s="7">
        <v>46200.5</v>
      </c>
      <c r="B191" t="s">
        <v>2656</v>
      </c>
      <c r="C191" t="s">
        <v>1</v>
      </c>
      <c r="D191" s="8" t="s">
        <v>2657</v>
      </c>
      <c r="E191" t="s">
        <v>63</v>
      </c>
      <c r="F191" s="3">
        <v>100</v>
      </c>
      <c r="G191" s="3">
        <v>132</v>
      </c>
      <c r="H191" s="3">
        <f>G191-F191</f>
      </c>
      <c r="I191" s="3">
        <f>H191*16.67%</f>
      </c>
      <c r="J191" s="3">
        <f>G191*7%</f>
      </c>
      <c r="K191" s="3">
        <f>J191*20%</f>
      </c>
      <c r="L191" s="3">
        <v>0</v>
      </c>
      <c r="M191" s="3">
        <f>L191*20%</f>
      </c>
      <c r="N191" s="3">
        <v>1</v>
      </c>
      <c r="O191" s="3">
        <f>K191+M191</f>
      </c>
      <c r="P191" s="3">
        <f>H191-I191-J191-K191-L191-M191-N191</f>
      </c>
      <c r="Q191" s="3">
        <f>(P191-Y191)/F191*100</f>
      </c>
      <c r="R191" s="3">
        <f>I191-O191</f>
      </c>
      <c r="S191" t="s">
        <v>1</v>
      </c>
      <c r="T191" t="s">
        <v>90</v>
      </c>
      <c r="Z191" s="3">
        <f>P191-Y191</f>
      </c>
      <c r="AA191" t="s">
        <v>65</v>
      </c>
      <c r="AB191" t="s">
        <v>87</v>
      </c>
    </row>
    <row r="192" spans="1:28" x14ac:dyDescent="0.25">
      <c r="A192" s="7">
        <v>46199.5</v>
      </c>
      <c r="B192" t="s">
        <v>2658</v>
      </c>
      <c r="C192" t="s">
        <v>1</v>
      </c>
      <c r="D192" s="8" t="s">
        <v>2659</v>
      </c>
      <c r="E192" t="s">
        <v>101</v>
      </c>
      <c r="F192" s="3">
        <v>190</v>
      </c>
      <c r="G192" s="3">
        <v>229.9</v>
      </c>
      <c r="H192" s="3">
        <f>G192-F192</f>
      </c>
      <c r="I192" s="3">
        <f>H192*16.67%</f>
      </c>
      <c r="J192" s="3">
        <f>G192*7%</f>
      </c>
      <c r="K192" s="3">
        <f>J192*20%</f>
      </c>
      <c r="L192" s="3">
        <v>0</v>
      </c>
      <c r="M192" s="3">
        <f>L192*20%</f>
      </c>
      <c r="N192" s="3">
        <v>1</v>
      </c>
      <c r="O192" s="3">
        <f>K192+M192</f>
      </c>
      <c r="P192" s="3">
        <f>H192-I192-J192-K192-L192-M192-N192</f>
      </c>
      <c r="Q192" s="3">
        <f>(P192-Y192)/F192*100</f>
      </c>
      <c r="R192" s="3">
        <f>I192-O192</f>
      </c>
      <c r="S192" t="s">
        <v>1</v>
      </c>
      <c r="T192" t="s">
        <v>233</v>
      </c>
      <c r="Z192" s="3">
        <f>P192-Y192</f>
      </c>
      <c r="AA192" t="s">
        <v>65</v>
      </c>
      <c r="AB192" t="s">
        <v>84</v>
      </c>
    </row>
    <row r="193" spans="1:28" x14ac:dyDescent="0.25">
      <c r="A193" s="7">
        <v>46199.5</v>
      </c>
      <c r="B193" t="s">
        <v>2660</v>
      </c>
      <c r="C193" t="s">
        <v>1</v>
      </c>
      <c r="D193" s="8" t="s">
        <v>2661</v>
      </c>
      <c r="E193" t="s">
        <v>57</v>
      </c>
      <c r="F193" s="3">
        <v>180</v>
      </c>
      <c r="G193" s="3">
        <v>235.8</v>
      </c>
      <c r="H193" s="3">
        <f>G193-F193</f>
      </c>
      <c r="I193" s="3">
        <f>H193*16.67%</f>
      </c>
      <c r="J193" s="3">
        <f>G193*7%</f>
      </c>
      <c r="K193" s="3">
        <f>J193*20%</f>
      </c>
      <c r="L193" s="3">
        <v>0</v>
      </c>
      <c r="M193" s="3">
        <f>L193*20%</f>
      </c>
      <c r="N193" s="3">
        <v>1</v>
      </c>
      <c r="O193" s="3">
        <f>K193+M193</f>
      </c>
      <c r="P193" s="3">
        <f>H193-I193-J193-K193-L193-M193-N193</f>
      </c>
      <c r="Q193" s="3">
        <f>(P193-Y193)/F193*100</f>
      </c>
      <c r="R193" s="3">
        <f>I193-O193</f>
      </c>
      <c r="S193" t="s">
        <v>1</v>
      </c>
      <c r="T193" t="s">
        <v>113</v>
      </c>
      <c r="Z193" s="3">
        <f>P193-Y193</f>
      </c>
      <c r="AA193" t="s">
        <v>94</v>
      </c>
      <c r="AB193" t="s">
        <v>69</v>
      </c>
    </row>
    <row r="194" spans="1:28" x14ac:dyDescent="0.25">
      <c r="A194" s="7">
        <v>46199.5</v>
      </c>
      <c r="B194" t="s">
        <v>2662</v>
      </c>
      <c r="C194" t="s">
        <v>1</v>
      </c>
      <c r="D194" s="8" t="s">
        <v>2663</v>
      </c>
      <c r="E194" t="s">
        <v>63</v>
      </c>
      <c r="F194" s="3">
        <v>186</v>
      </c>
      <c r="G194" s="3">
        <v>234.36</v>
      </c>
      <c r="H194" s="3">
        <f>G194-F194</f>
      </c>
      <c r="I194" s="3">
        <f>H194*16.67%</f>
      </c>
      <c r="J194" s="3">
        <f>G194*7%</f>
      </c>
      <c r="K194" s="3">
        <f>J194*20%</f>
      </c>
      <c r="L194" s="3">
        <v>0</v>
      </c>
      <c r="M194" s="3">
        <f>L194*20%</f>
      </c>
      <c r="N194" s="3">
        <v>1</v>
      </c>
      <c r="O194" s="3">
        <f>K194+M194</f>
      </c>
      <c r="P194" s="3">
        <f>H194-I194-J194-K194-L194-M194-N194</f>
      </c>
      <c r="Q194" s="3">
        <f>(P194-Y194)/F194*100</f>
      </c>
      <c r="R194" s="3">
        <f>I194-O194</f>
      </c>
      <c r="S194" t="s">
        <v>1</v>
      </c>
      <c r="T194" t="s">
        <v>233</v>
      </c>
      <c r="Z194" s="3">
        <f>P194-Y194</f>
      </c>
      <c r="AA194" t="s">
        <v>65</v>
      </c>
      <c r="AB194" t="s">
        <v>87</v>
      </c>
    </row>
    <row r="195" spans="1:28" x14ac:dyDescent="0.25">
      <c r="A195" s="7">
        <v>46199.5</v>
      </c>
      <c r="B195" t="s">
        <v>2664</v>
      </c>
      <c r="C195" t="s">
        <v>188</v>
      </c>
      <c r="D195" s="8" t="s">
        <v>1</v>
      </c>
      <c r="E195" t="s">
        <v>63</v>
      </c>
      <c r="F195" s="3">
        <v>3.5</v>
      </c>
      <c r="G195" s="3">
        <v>4.58</v>
      </c>
      <c r="H195" s="3">
        <f>G195-F195</f>
      </c>
      <c r="I195" s="3">
        <f>H195*16.67%</f>
      </c>
      <c r="J195" s="3">
        <f>G195*7%</f>
      </c>
      <c r="K195" s="3">
        <f>J195*20%</f>
      </c>
      <c r="L195" s="3">
        <v>0</v>
      </c>
      <c r="M195" s="3">
        <f>L195*20%</f>
      </c>
      <c r="N195" s="3">
        <v>1</v>
      </c>
      <c r="O195" s="3">
        <f>K195+M195</f>
      </c>
      <c r="P195" s="3">
        <f>H195-I195-J195-K195-L195-M195-N195</f>
      </c>
      <c r="Q195" s="3">
        <f>(P195-Y195)/F195*100</f>
      </c>
      <c r="R195" s="3">
        <f>I195-O195</f>
      </c>
      <c r="S195" t="s">
        <v>1</v>
      </c>
      <c r="T195" t="s">
        <v>188</v>
      </c>
      <c r="Z195" s="3">
        <f>P195-Y195</f>
      </c>
      <c r="AA195" t="s">
        <v>1</v>
      </c>
      <c r="AB195" t="s">
        <v>1</v>
      </c>
    </row>
    <row r="196" spans="1:28" x14ac:dyDescent="0.25">
      <c r="A196" s="7">
        <v>46199.5</v>
      </c>
      <c r="B196" t="s">
        <v>2665</v>
      </c>
      <c r="C196" t="s">
        <v>188</v>
      </c>
      <c r="D196" s="8" t="s">
        <v>1</v>
      </c>
      <c r="E196" t="s">
        <v>63</v>
      </c>
      <c r="F196" s="3">
        <v>3.5</v>
      </c>
      <c r="G196" s="3">
        <v>4.09</v>
      </c>
      <c r="H196" s="3">
        <f>G196-F196</f>
      </c>
      <c r="I196" s="3">
        <f>H196*16.67%</f>
      </c>
      <c r="J196" s="3">
        <f>G196*7%</f>
      </c>
      <c r="K196" s="3">
        <f>J196*20%</f>
      </c>
      <c r="L196" s="3">
        <v>0</v>
      </c>
      <c r="M196" s="3">
        <f>L196*20%</f>
      </c>
      <c r="N196" s="3">
        <v>1</v>
      </c>
      <c r="O196" s="3">
        <f>K196+M196</f>
      </c>
      <c r="P196" s="3">
        <f>H196-I196-J196-K196-L196-M196-N196</f>
      </c>
      <c r="Q196" s="3">
        <f>(P196-Y196)/F196*100</f>
      </c>
      <c r="R196" s="3">
        <f>I196-O196</f>
      </c>
      <c r="S196" t="s">
        <v>1</v>
      </c>
      <c r="T196" t="s">
        <v>188</v>
      </c>
      <c r="Z196" s="3">
        <f>P196-Y196</f>
      </c>
      <c r="AA196" t="s">
        <v>1</v>
      </c>
      <c r="AB196" t="s">
        <v>1</v>
      </c>
    </row>
    <row r="197" spans="1:28" x14ac:dyDescent="0.25">
      <c r="A197" s="7">
        <v>46199.5</v>
      </c>
      <c r="B197" t="s">
        <v>2666</v>
      </c>
      <c r="C197" t="s">
        <v>173</v>
      </c>
      <c r="D197" s="8" t="s">
        <v>1</v>
      </c>
      <c r="E197" t="s">
        <v>63</v>
      </c>
      <c r="F197" s="3">
        <v>4.25</v>
      </c>
      <c r="G197" s="3">
        <v>5.44</v>
      </c>
      <c r="H197" s="3">
        <f>G197-F197</f>
      </c>
      <c r="I197" s="3">
        <f>H197*16.67%</f>
      </c>
      <c r="J197" s="3">
        <f>G197*7%</f>
      </c>
      <c r="K197" s="3">
        <f>J197*20%</f>
      </c>
      <c r="L197" s="3">
        <v>0</v>
      </c>
      <c r="M197" s="3">
        <f>L197*20%</f>
      </c>
      <c r="N197" s="3">
        <v>1</v>
      </c>
      <c r="O197" s="3">
        <f>K197+M197</f>
      </c>
      <c r="P197" s="3">
        <f>H197-I197-J197-K197-L197-M197-N197</f>
      </c>
      <c r="Q197" s="3">
        <f>(P197-Y197)/F197*100</f>
      </c>
      <c r="R197" s="3">
        <f>I197-O197</f>
      </c>
      <c r="S197" t="s">
        <v>1</v>
      </c>
      <c r="T197" t="s">
        <v>173</v>
      </c>
      <c r="Z197" s="3">
        <f>P197-Y197</f>
      </c>
      <c r="AA197" t="s">
        <v>1</v>
      </c>
      <c r="AB197" t="s">
        <v>1</v>
      </c>
    </row>
    <row r="198" spans="1:28" x14ac:dyDescent="0.25">
      <c r="A198" s="7">
        <v>46199.5</v>
      </c>
      <c r="B198" t="s">
        <v>2667</v>
      </c>
      <c r="C198" t="s">
        <v>176</v>
      </c>
      <c r="D198" s="8" t="s">
        <v>1</v>
      </c>
      <c r="E198" t="s">
        <v>77</v>
      </c>
      <c r="F198" s="3">
        <v>0.15</v>
      </c>
      <c r="G198" s="3">
        <v>0.17</v>
      </c>
      <c r="H198" s="3">
        <f>G198-F198</f>
      </c>
      <c r="I198" s="3">
        <f>H198*16.67%</f>
      </c>
      <c r="J198" s="3">
        <f>G198*7%</f>
      </c>
      <c r="K198" s="3">
        <f>J198*20%</f>
      </c>
      <c r="L198" s="3">
        <v>0</v>
      </c>
      <c r="M198" s="3">
        <f>L198*20%</f>
      </c>
      <c r="N198" s="3">
        <v>1</v>
      </c>
      <c r="O198" s="3">
        <f>K198+M198</f>
      </c>
      <c r="P198" s="3">
        <f>H198-I198-J198-K198-L198-M198-N198</f>
      </c>
      <c r="Q198" s="3">
        <f>(P198-Y198)/F198*100</f>
      </c>
      <c r="R198" s="3">
        <f>I198-O198</f>
      </c>
      <c r="S198" t="s">
        <v>1</v>
      </c>
      <c r="T198" t="s">
        <v>176</v>
      </c>
      <c r="Z198" s="3">
        <f>P198-Y198</f>
      </c>
      <c r="AA198" t="s">
        <v>1</v>
      </c>
      <c r="AB198" t="s">
        <v>1</v>
      </c>
    </row>
    <row r="199" spans="1:28" x14ac:dyDescent="0.25">
      <c r="A199" s="7">
        <v>46198.5</v>
      </c>
      <c r="B199" t="s">
        <v>2668</v>
      </c>
      <c r="C199" t="s">
        <v>1</v>
      </c>
      <c r="D199" s="8" t="s">
        <v>2669</v>
      </c>
      <c r="E199" t="s">
        <v>63</v>
      </c>
      <c r="F199" s="3">
        <v>283</v>
      </c>
      <c r="G199" s="3">
        <v>404.69</v>
      </c>
      <c r="H199" s="3">
        <f>G199-F199</f>
      </c>
      <c r="I199" s="3">
        <f>H199*16.67%</f>
      </c>
      <c r="J199" s="3">
        <f>G199*7%</f>
      </c>
      <c r="K199" s="3">
        <f>J199*20%</f>
      </c>
      <c r="L199" s="3">
        <v>0</v>
      </c>
      <c r="M199" s="3">
        <f>L199*20%</f>
      </c>
      <c r="N199" s="3">
        <v>1</v>
      </c>
      <c r="O199" s="3">
        <f>K199+M199</f>
      </c>
      <c r="P199" s="3">
        <f>H199-I199-J199-K199-L199-M199-N199</f>
      </c>
      <c r="Q199" s="3">
        <f>(P199-Y199)/F199*100</f>
      </c>
      <c r="R199" s="3">
        <f>I199-O199</f>
      </c>
      <c r="S199" t="s">
        <v>1</v>
      </c>
      <c r="T199" t="s">
        <v>97</v>
      </c>
      <c r="Z199" s="3">
        <f>P199-Y199</f>
      </c>
      <c r="AA199" t="s">
        <v>59</v>
      </c>
      <c r="AB199" t="s">
        <v>98</v>
      </c>
    </row>
    <row r="200" spans="1:28" x14ac:dyDescent="0.25">
      <c r="A200" s="7">
        <v>46198.5</v>
      </c>
      <c r="B200" t="s">
        <v>2670</v>
      </c>
      <c r="C200" t="s">
        <v>1</v>
      </c>
      <c r="D200" s="8" t="s">
        <v>2671</v>
      </c>
      <c r="E200" t="s">
        <v>72</v>
      </c>
      <c r="F200" s="3">
        <v>558</v>
      </c>
      <c r="G200" s="3">
        <v>764.46</v>
      </c>
      <c r="H200" s="3">
        <f>G200-F200</f>
      </c>
      <c r="I200" s="3">
        <f>H200*16.67%</f>
      </c>
      <c r="J200" s="3">
        <f>G200*7%</f>
      </c>
      <c r="K200" s="3">
        <f>J200*20%</f>
      </c>
      <c r="L200" s="3">
        <v>0</v>
      </c>
      <c r="M200" s="3">
        <f>L200*20%</f>
      </c>
      <c r="N200" s="3">
        <v>1</v>
      </c>
      <c r="O200" s="3">
        <f>K200+M200</f>
      </c>
      <c r="P200" s="3">
        <f>H200-I200-J200-K200-L200-M200-N200</f>
      </c>
      <c r="Q200" s="3">
        <f>(P200-Y200)/F200*100</f>
      </c>
      <c r="R200" s="3">
        <f>I200-O200</f>
      </c>
      <c r="S200" t="s">
        <v>1</v>
      </c>
      <c r="T200" t="s">
        <v>68</v>
      </c>
      <c r="Z200" s="3">
        <f>P200-Y200</f>
      </c>
      <c r="AA200" t="s">
        <v>59</v>
      </c>
      <c r="AB200" t="s">
        <v>87</v>
      </c>
    </row>
    <row r="201" spans="1:28" x14ac:dyDescent="0.25">
      <c r="A201" s="7">
        <v>46198.5</v>
      </c>
      <c r="B201" t="s">
        <v>2672</v>
      </c>
      <c r="C201" t="s">
        <v>1</v>
      </c>
      <c r="D201" s="8" t="s">
        <v>2673</v>
      </c>
      <c r="E201" t="s">
        <v>57</v>
      </c>
      <c r="F201" s="3">
        <v>162</v>
      </c>
      <c r="G201" s="3">
        <v>200.88</v>
      </c>
      <c r="H201" s="3">
        <f>G201-F201</f>
      </c>
      <c r="I201" s="3">
        <f>H201*16.67%</f>
      </c>
      <c r="J201" s="3">
        <f>G201*7%</f>
      </c>
      <c r="K201" s="3">
        <f>J201*20%</f>
      </c>
      <c r="L201" s="3">
        <v>0</v>
      </c>
      <c r="M201" s="3">
        <f>L201*20%</f>
      </c>
      <c r="N201" s="3">
        <v>1</v>
      </c>
      <c r="O201" s="3">
        <f>K201+M201</f>
      </c>
      <c r="P201" s="3">
        <f>H201-I201-J201-K201-L201-M201-N201</f>
      </c>
      <c r="Q201" s="3">
        <f>(P201-Y201)/F201*100</f>
      </c>
      <c r="R201" s="3">
        <f>I201-O201</f>
      </c>
      <c r="S201" t="s">
        <v>1</v>
      </c>
      <c r="T201" t="s">
        <v>171</v>
      </c>
      <c r="Z201" s="3">
        <f>P201-Y201</f>
      </c>
      <c r="AA201" t="s">
        <v>65</v>
      </c>
      <c r="AB201" t="s">
        <v>74</v>
      </c>
    </row>
    <row r="202" spans="1:28" x14ac:dyDescent="0.25">
      <c r="A202" s="7">
        <v>46198.5</v>
      </c>
      <c r="B202" t="s">
        <v>2674</v>
      </c>
      <c r="C202" t="s">
        <v>181</v>
      </c>
      <c r="D202" s="8" t="s">
        <v>1</v>
      </c>
      <c r="E202" t="s">
        <v>72</v>
      </c>
      <c r="F202" s="3">
        <v>1.9</v>
      </c>
      <c r="G202" s="3">
        <v>2.49</v>
      </c>
      <c r="H202" s="3">
        <f>G202-F202</f>
      </c>
      <c r="I202" s="3">
        <f>H202*16.67%</f>
      </c>
      <c r="J202" s="3">
        <f>G202*7%</f>
      </c>
      <c r="K202" s="3">
        <f>J202*20%</f>
      </c>
      <c r="L202" s="3">
        <v>0</v>
      </c>
      <c r="M202" s="3">
        <f>L202*20%</f>
      </c>
      <c r="N202" s="3">
        <v>1</v>
      </c>
      <c r="O202" s="3">
        <f>K202+M202</f>
      </c>
      <c r="P202" s="3">
        <f>H202-I202-J202-K202-L202-M202-N202</f>
      </c>
      <c r="Q202" s="3">
        <f>(P202-Y202)/F202*100</f>
      </c>
      <c r="R202" s="3">
        <f>I202-O202</f>
      </c>
      <c r="S202" t="s">
        <v>1</v>
      </c>
      <c r="T202" t="s">
        <v>181</v>
      </c>
      <c r="Z202" s="3">
        <f>P202-Y202</f>
      </c>
      <c r="AA202" t="s">
        <v>1</v>
      </c>
      <c r="AB202" t="s">
        <v>1</v>
      </c>
    </row>
    <row r="203" spans="1:28" x14ac:dyDescent="0.25">
      <c r="A203" s="7">
        <v>46197.5</v>
      </c>
      <c r="B203" t="s">
        <v>2675</v>
      </c>
      <c r="C203" t="s">
        <v>1</v>
      </c>
      <c r="D203" s="8" t="s">
        <v>2676</v>
      </c>
      <c r="E203" t="s">
        <v>63</v>
      </c>
      <c r="F203" s="3">
        <v>189</v>
      </c>
      <c r="G203" s="3">
        <v>249.48</v>
      </c>
      <c r="H203" s="3">
        <f>G203-F203</f>
      </c>
      <c r="I203" s="3">
        <f>H203*16.67%</f>
      </c>
      <c r="J203" s="3">
        <f>G203*7%</f>
      </c>
      <c r="K203" s="3">
        <f>J203*20%</f>
      </c>
      <c r="L203" s="3">
        <v>0</v>
      </c>
      <c r="M203" s="3">
        <f>L203*20%</f>
      </c>
      <c r="N203" s="3">
        <v>1</v>
      </c>
      <c r="O203" s="3">
        <f>K203+M203</f>
      </c>
      <c r="P203" s="3">
        <f>H203-I203-J203-K203-L203-M203-N203</f>
      </c>
      <c r="Q203" s="3">
        <f>(P203-Y203)/F203*100</f>
      </c>
      <c r="R203" s="3">
        <f>I203-O203</f>
      </c>
      <c r="S203" t="s">
        <v>1</v>
      </c>
      <c r="T203" t="s">
        <v>291</v>
      </c>
      <c r="Z203" s="3">
        <f>P203-Y203</f>
      </c>
      <c r="AA203" t="s">
        <v>125</v>
      </c>
      <c r="AB203" t="s">
        <v>84</v>
      </c>
    </row>
    <row r="204" spans="1:28" x14ac:dyDescent="0.25">
      <c r="A204" s="7">
        <v>46197.5</v>
      </c>
      <c r="B204" t="s">
        <v>2677</v>
      </c>
      <c r="C204" t="s">
        <v>1</v>
      </c>
      <c r="D204" s="8" t="s">
        <v>2678</v>
      </c>
      <c r="E204" t="s">
        <v>57</v>
      </c>
      <c r="F204" s="3">
        <v>349</v>
      </c>
      <c r="G204" s="3">
        <v>453.7</v>
      </c>
      <c r="H204" s="3">
        <f>G204-F204</f>
      </c>
      <c r="I204" s="3">
        <f>H204*16.67%</f>
      </c>
      <c r="J204" s="3">
        <f>G204*7%</f>
      </c>
      <c r="K204" s="3">
        <f>J204*20%</f>
      </c>
      <c r="L204" s="3">
        <v>0</v>
      </c>
      <c r="M204" s="3">
        <f>L204*20%</f>
      </c>
      <c r="N204" s="3">
        <v>1</v>
      </c>
      <c r="O204" s="3">
        <f>K204+M204</f>
      </c>
      <c r="P204" s="3">
        <f>H204-I204-J204-K204-L204-M204-N204</f>
      </c>
      <c r="Q204" s="3">
        <f>(P204-Y204)/F204*100</f>
      </c>
      <c r="R204" s="3">
        <f>I204-O204</f>
      </c>
      <c r="S204" t="s">
        <v>1</v>
      </c>
      <c r="T204" t="s">
        <v>138</v>
      </c>
      <c r="Z204" s="3">
        <f>P204-Y204</f>
      </c>
      <c r="AA204" t="s">
        <v>65</v>
      </c>
      <c r="AB204" t="s">
        <v>84</v>
      </c>
    </row>
    <row r="205" spans="1:28" x14ac:dyDescent="0.25">
      <c r="A205" s="7">
        <v>46197.5</v>
      </c>
      <c r="B205" t="s">
        <v>2679</v>
      </c>
      <c r="C205" t="s">
        <v>1</v>
      </c>
      <c r="D205" s="8" t="s">
        <v>2680</v>
      </c>
      <c r="E205" t="s">
        <v>77</v>
      </c>
      <c r="F205" s="3">
        <v>358</v>
      </c>
      <c r="G205" s="3">
        <v>426.02</v>
      </c>
      <c r="H205" s="3">
        <f>G205-F205</f>
      </c>
      <c r="I205" s="3">
        <f>H205*16.67%</f>
      </c>
      <c r="J205" s="3">
        <f>G205*7%</f>
      </c>
      <c r="K205" s="3">
        <f>J205*20%</f>
      </c>
      <c r="L205" s="3">
        <v>0</v>
      </c>
      <c r="M205" s="3">
        <f>L205*20%</f>
      </c>
      <c r="N205" s="3">
        <v>1</v>
      </c>
      <c r="O205" s="3">
        <f>K205+M205</f>
      </c>
      <c r="P205" s="3">
        <f>H205-I205-J205-K205-L205-M205-N205</f>
      </c>
      <c r="Q205" s="3">
        <f>(P205-Y205)/F205*100</f>
      </c>
      <c r="R205" s="3">
        <f>I205-O205</f>
      </c>
      <c r="S205" t="s">
        <v>1</v>
      </c>
      <c r="T205" t="s">
        <v>73</v>
      </c>
      <c r="Z205" s="3">
        <f>P205-Y205</f>
      </c>
      <c r="AA205" t="s">
        <v>59</v>
      </c>
      <c r="AB205" t="s">
        <v>98</v>
      </c>
    </row>
    <row r="206" spans="1:28" x14ac:dyDescent="0.25">
      <c r="A206" s="7">
        <v>46197.5</v>
      </c>
      <c r="B206" t="s">
        <v>2681</v>
      </c>
      <c r="C206" t="s">
        <v>1</v>
      </c>
      <c r="D206" s="8" t="s">
        <v>2682</v>
      </c>
      <c r="E206" t="s">
        <v>101</v>
      </c>
      <c r="F206" s="3">
        <v>188</v>
      </c>
      <c r="G206" s="3">
        <v>225.6</v>
      </c>
      <c r="H206" s="3">
        <f>G206-F206</f>
      </c>
      <c r="I206" s="3">
        <f>H206*16.67%</f>
      </c>
      <c r="J206" s="3">
        <f>G206*7%</f>
      </c>
      <c r="K206" s="3">
        <f>J206*20%</f>
      </c>
      <c r="L206" s="3">
        <v>0</v>
      </c>
      <c r="M206" s="3">
        <f>L206*20%</f>
      </c>
      <c r="N206" s="3">
        <v>1</v>
      </c>
      <c r="O206" s="3">
        <f>K206+M206</f>
      </c>
      <c r="P206" s="3">
        <f>H206-I206-J206-K206-L206-M206-N206</f>
      </c>
      <c r="Q206" s="3">
        <f>(P206-Y206)/F206*100</f>
      </c>
      <c r="R206" s="3">
        <f>I206-O206</f>
      </c>
      <c r="S206" t="s">
        <v>1</v>
      </c>
      <c r="T206" t="s">
        <v>291</v>
      </c>
      <c r="Z206" s="3">
        <f>P206-Y206</f>
      </c>
      <c r="AA206" t="s">
        <v>125</v>
      </c>
      <c r="AB206" t="s">
        <v>87</v>
      </c>
    </row>
    <row r="207" spans="1:28" x14ac:dyDescent="0.25">
      <c r="A207" s="7">
        <v>46196.5</v>
      </c>
      <c r="B207" t="s">
        <v>2683</v>
      </c>
      <c r="C207" t="s">
        <v>1</v>
      </c>
      <c r="D207" s="8" t="s">
        <v>2684</v>
      </c>
      <c r="E207" t="s">
        <v>101</v>
      </c>
      <c r="F207" s="3">
        <v>157</v>
      </c>
      <c r="G207" s="3">
        <v>188.4</v>
      </c>
      <c r="H207" s="3">
        <f>G207-F207</f>
      </c>
      <c r="I207" s="3">
        <f>H207*16.67%</f>
      </c>
      <c r="J207" s="3">
        <f>G207*7%</f>
      </c>
      <c r="K207" s="3">
        <f>J207*20%</f>
      </c>
      <c r="L207" s="3">
        <v>0</v>
      </c>
      <c r="M207" s="3">
        <f>L207*20%</f>
      </c>
      <c r="N207" s="3">
        <v>1</v>
      </c>
      <c r="O207" s="3">
        <f>K207+M207</f>
      </c>
      <c r="P207" s="3">
        <f>H207-I207-J207-K207-L207-M207-N207</f>
      </c>
      <c r="Q207" s="3">
        <f>(P207-Y207)/F207*100</f>
      </c>
      <c r="R207" s="3">
        <f>I207-O207</f>
      </c>
      <c r="S207" t="s">
        <v>1</v>
      </c>
      <c r="T207" t="s">
        <v>171</v>
      </c>
      <c r="Z207" s="3">
        <f>P207-Y207</f>
      </c>
      <c r="AA207" t="s">
        <v>65</v>
      </c>
      <c r="AB207" t="s">
        <v>69</v>
      </c>
    </row>
    <row r="208" spans="1:28" x14ac:dyDescent="0.25">
      <c r="A208" s="7">
        <v>46195.5</v>
      </c>
      <c r="B208" t="s">
        <v>2685</v>
      </c>
      <c r="C208" t="s">
        <v>1</v>
      </c>
      <c r="D208" s="8" t="s">
        <v>2686</v>
      </c>
      <c r="E208" t="s">
        <v>77</v>
      </c>
      <c r="F208" s="3">
        <v>354</v>
      </c>
      <c r="G208" s="3">
        <v>453.12</v>
      </c>
      <c r="H208" s="3">
        <f>G208-F208</f>
      </c>
      <c r="I208" s="3">
        <f>H208*16.67%</f>
      </c>
      <c r="J208" s="3">
        <f>G208*7%</f>
      </c>
      <c r="K208" s="3">
        <f>J208*20%</f>
      </c>
      <c r="L208" s="3">
        <v>0</v>
      </c>
      <c r="M208" s="3">
        <f>L208*20%</f>
      </c>
      <c r="N208" s="3">
        <v>1</v>
      </c>
      <c r="O208" s="3">
        <f>K208+M208</f>
      </c>
      <c r="P208" s="3">
        <f>H208-I208-J208-K208-L208-M208-N208</f>
      </c>
      <c r="Q208" s="3">
        <f>(P208-Y208)/F208*100</f>
      </c>
      <c r="R208" s="3">
        <f>I208-O208</f>
      </c>
      <c r="S208" t="s">
        <v>1</v>
      </c>
      <c r="T208" t="s">
        <v>138</v>
      </c>
      <c r="Z208" s="3">
        <f>P208-Y208</f>
      </c>
      <c r="AA208" t="s">
        <v>59</v>
      </c>
      <c r="AB208" t="s">
        <v>87</v>
      </c>
    </row>
    <row r="209" spans="1:28" x14ac:dyDescent="0.25">
      <c r="A209" s="7">
        <v>46195.5</v>
      </c>
      <c r="B209" t="s">
        <v>2687</v>
      </c>
      <c r="C209" t="s">
        <v>1</v>
      </c>
      <c r="D209" s="8" t="s">
        <v>1</v>
      </c>
      <c r="E209" t="s">
        <v>101</v>
      </c>
      <c r="F209" s="3">
        <v>188</v>
      </c>
      <c r="G209" s="3">
        <v>263.2</v>
      </c>
      <c r="H209" s="3">
        <f>G209-F209</f>
      </c>
      <c r="I209" s="3">
        <f>H209*16.67%</f>
      </c>
      <c r="J209" s="3">
        <f>G209*7%</f>
      </c>
      <c r="K209" s="3">
        <f>J209*20%</f>
      </c>
      <c r="L209" s="3">
        <v>0</v>
      </c>
      <c r="M209" s="3">
        <f>L209*20%</f>
      </c>
      <c r="N209" s="3">
        <v>1</v>
      </c>
      <c r="O209" s="3">
        <f>K209+M209</f>
      </c>
      <c r="P209" s="3">
        <f>H209-I209-J209-K209-L209-M209-N209</f>
      </c>
      <c r="Q209" s="3">
        <f>(P209-Y209)/F209*100</f>
      </c>
      <c r="R209" s="3">
        <f>I209-O209</f>
      </c>
      <c r="S209" t="s">
        <v>1</v>
      </c>
      <c r="T209" t="s">
        <v>1</v>
      </c>
      <c r="Z209" s="3">
        <f>P209-Y209</f>
      </c>
      <c r="AA209" t="s">
        <v>1</v>
      </c>
      <c r="AB209" t="s">
        <v>1</v>
      </c>
    </row>
    <row r="210" spans="1:28" x14ac:dyDescent="0.25">
      <c r="A210" s="7">
        <v>46195.5</v>
      </c>
      <c r="B210" t="s">
        <v>2688</v>
      </c>
      <c r="C210" t="s">
        <v>1</v>
      </c>
      <c r="D210" s="8" t="s">
        <v>1</v>
      </c>
      <c r="E210" t="s">
        <v>63</v>
      </c>
      <c r="F210" s="3">
        <v>530</v>
      </c>
      <c r="G210" s="3">
        <v>620.1</v>
      </c>
      <c r="H210" s="3">
        <f>G210-F210</f>
      </c>
      <c r="I210" s="3">
        <f>H210*16.67%</f>
      </c>
      <c r="J210" s="3">
        <f>G210*7%</f>
      </c>
      <c r="K210" s="3">
        <f>J210*20%</f>
      </c>
      <c r="L210" s="3">
        <v>0</v>
      </c>
      <c r="M210" s="3">
        <f>L210*20%</f>
      </c>
      <c r="N210" s="3">
        <v>1</v>
      </c>
      <c r="O210" s="3">
        <f>K210+M210</f>
      </c>
      <c r="P210" s="3">
        <f>H210-I210-J210-K210-L210-M210-N210</f>
      </c>
      <c r="Q210" s="3">
        <f>(P210-Y210)/F210*100</f>
      </c>
      <c r="R210" s="3">
        <f>I210-O210</f>
      </c>
      <c r="S210" t="s">
        <v>1</v>
      </c>
      <c r="T210" t="s">
        <v>1</v>
      </c>
      <c r="Z210" s="3">
        <f>P210-Y210</f>
      </c>
      <c r="AA210" t="s">
        <v>1</v>
      </c>
      <c r="AB210" t="s">
        <v>1</v>
      </c>
    </row>
    <row r="211" spans="1:28" x14ac:dyDescent="0.25">
      <c r="A211" s="7">
        <v>46194.5</v>
      </c>
      <c r="B211" t="s">
        <v>2689</v>
      </c>
      <c r="C211" t="s">
        <v>173</v>
      </c>
      <c r="D211" s="8" t="s">
        <v>1</v>
      </c>
      <c r="E211" t="s">
        <v>63</v>
      </c>
      <c r="F211" s="3">
        <v>4.25</v>
      </c>
      <c r="G211" s="3">
        <v>5.01</v>
      </c>
      <c r="H211" s="3">
        <f>G211-F211</f>
      </c>
      <c r="I211" s="3">
        <f>H211*16.67%</f>
      </c>
      <c r="J211" s="3">
        <f>G211*7%</f>
      </c>
      <c r="K211" s="3">
        <f>J211*20%</f>
      </c>
      <c r="L211" s="3">
        <v>0</v>
      </c>
      <c r="M211" s="3">
        <f>L211*20%</f>
      </c>
      <c r="N211" s="3">
        <v>1</v>
      </c>
      <c r="O211" s="3">
        <f>K211+M211</f>
      </c>
      <c r="P211" s="3">
        <f>H211-I211-J211-K211-L211-M211-N211</f>
      </c>
      <c r="Q211" s="3">
        <f>(P211-Y211)/F211*100</f>
      </c>
      <c r="R211" s="3">
        <f>I211-O211</f>
      </c>
      <c r="S211" t="s">
        <v>1</v>
      </c>
      <c r="T211" t="s">
        <v>173</v>
      </c>
      <c r="Z211" s="3">
        <f>P211-Y211</f>
      </c>
      <c r="AA211" t="s">
        <v>1</v>
      </c>
      <c r="AB211" t="s">
        <v>1</v>
      </c>
    </row>
    <row r="212" spans="1:28" x14ac:dyDescent="0.25">
      <c r="A212" s="7">
        <v>46193.5</v>
      </c>
      <c r="B212" t="s">
        <v>2690</v>
      </c>
      <c r="C212" t="s">
        <v>1</v>
      </c>
      <c r="D212" s="8" t="s">
        <v>2691</v>
      </c>
      <c r="E212" t="s">
        <v>101</v>
      </c>
      <c r="F212" s="3">
        <v>223</v>
      </c>
      <c r="G212" s="3">
        <v>263.14</v>
      </c>
      <c r="H212" s="3">
        <f>G212-F212</f>
      </c>
      <c r="I212" s="3">
        <f>H212*16.67%</f>
      </c>
      <c r="J212" s="3">
        <f>G212*7%</f>
      </c>
      <c r="K212" s="3">
        <f>J212*20%</f>
      </c>
      <c r="L212" s="3">
        <v>0</v>
      </c>
      <c r="M212" s="3">
        <f>L212*20%</f>
      </c>
      <c r="N212" s="3">
        <v>1</v>
      </c>
      <c r="O212" s="3">
        <f>K212+M212</f>
      </c>
      <c r="P212" s="3">
        <f>H212-I212-J212-K212-L212-M212-N212</f>
      </c>
      <c r="Q212" s="3">
        <f>(P212-Y212)/F212*100</f>
      </c>
      <c r="R212" s="3">
        <f>I212-O212</f>
      </c>
      <c r="S212" t="s">
        <v>1</v>
      </c>
      <c r="T212" t="s">
        <v>64</v>
      </c>
      <c r="Z212" s="3">
        <f>P212-Y212</f>
      </c>
      <c r="AA212" t="s">
        <v>65</v>
      </c>
      <c r="AB212" t="s">
        <v>98</v>
      </c>
    </row>
    <row r="213" spans="1:28" x14ac:dyDescent="0.25">
      <c r="A213" s="7">
        <v>46193.5</v>
      </c>
      <c r="B213" t="s">
        <v>2692</v>
      </c>
      <c r="C213" t="s">
        <v>1</v>
      </c>
      <c r="D213" s="8" t="s">
        <v>2693</v>
      </c>
      <c r="E213" t="s">
        <v>101</v>
      </c>
      <c r="F213" s="3">
        <v>351</v>
      </c>
      <c r="G213" s="3">
        <v>414.18</v>
      </c>
      <c r="H213" s="3">
        <f>G213-F213</f>
      </c>
      <c r="I213" s="3">
        <f>H213*16.67%</f>
      </c>
      <c r="J213" s="3">
        <f>G213*7%</f>
      </c>
      <c r="K213" s="3">
        <f>J213*20%</f>
      </c>
      <c r="L213" s="3">
        <v>0</v>
      </c>
      <c r="M213" s="3">
        <f>L213*20%</f>
      </c>
      <c r="N213" s="3">
        <v>1</v>
      </c>
      <c r="O213" s="3">
        <f>K213+M213</f>
      </c>
      <c r="P213" s="3">
        <f>H213-I213-J213-K213-L213-M213-N213</f>
      </c>
      <c r="Q213" s="3">
        <f>(P213-Y213)/F213*100</f>
      </c>
      <c r="R213" s="3">
        <f>I213-O213</f>
      </c>
      <c r="S213" t="s">
        <v>1</v>
      </c>
      <c r="T213" t="s">
        <v>73</v>
      </c>
      <c r="Z213" s="3">
        <f>P213-Y213</f>
      </c>
      <c r="AA213" t="s">
        <v>59</v>
      </c>
      <c r="AB213" t="s">
        <v>84</v>
      </c>
    </row>
    <row r="214" spans="1:28" x14ac:dyDescent="0.25">
      <c r="A214" s="7">
        <v>46193.5</v>
      </c>
      <c r="B214" t="s">
        <v>2694</v>
      </c>
      <c r="C214" t="s">
        <v>1</v>
      </c>
      <c r="D214" s="8" t="s">
        <v>2695</v>
      </c>
      <c r="E214" t="s">
        <v>72</v>
      </c>
      <c r="F214" s="3">
        <v>200</v>
      </c>
      <c r="G214" s="3">
        <v>268</v>
      </c>
      <c r="H214" s="3">
        <f>G214-F214</f>
      </c>
      <c r="I214" s="3">
        <f>H214*16.67%</f>
      </c>
      <c r="J214" s="3">
        <f>G214*7%</f>
      </c>
      <c r="K214" s="3">
        <f>J214*20%</f>
      </c>
      <c r="L214" s="3">
        <v>0</v>
      </c>
      <c r="M214" s="3">
        <f>L214*20%</f>
      </c>
      <c r="N214" s="3">
        <v>1</v>
      </c>
      <c r="O214" s="3">
        <f>K214+M214</f>
      </c>
      <c r="P214" s="3">
        <f>H214-I214-J214-K214-L214-M214-N214</f>
      </c>
      <c r="Q214" s="3">
        <f>(P214-Y214)/F214*100</f>
      </c>
      <c r="R214" s="3">
        <f>I214-O214</f>
      </c>
      <c r="S214" t="s">
        <v>1</v>
      </c>
      <c r="T214" t="s">
        <v>291</v>
      </c>
      <c r="Z214" s="3">
        <f>P214-Y214</f>
      </c>
      <c r="AA214" t="s">
        <v>125</v>
      </c>
      <c r="AB214" t="s">
        <v>104</v>
      </c>
    </row>
    <row r="215" spans="1:28" x14ac:dyDescent="0.25">
      <c r="A215" s="7">
        <v>46193.5</v>
      </c>
      <c r="B215" t="s">
        <v>2696</v>
      </c>
      <c r="C215" t="s">
        <v>1</v>
      </c>
      <c r="D215" s="8" t="s">
        <v>2697</v>
      </c>
      <c r="E215" t="s">
        <v>57</v>
      </c>
      <c r="F215" s="3">
        <v>260</v>
      </c>
      <c r="G215" s="3">
        <v>312</v>
      </c>
      <c r="H215" s="3">
        <f>G215-F215</f>
      </c>
      <c r="I215" s="3">
        <f>H215*16.67%</f>
      </c>
      <c r="J215" s="3">
        <f>G215*7%</f>
      </c>
      <c r="K215" s="3">
        <f>J215*20%</f>
      </c>
      <c r="L215" s="3">
        <v>0</v>
      </c>
      <c r="M215" s="3">
        <f>L215*20%</f>
      </c>
      <c r="N215" s="3">
        <v>1</v>
      </c>
      <c r="O215" s="3">
        <f>K215+M215</f>
      </c>
      <c r="P215" s="3">
        <f>H215-I215-J215-K215-L215-M215-N215</f>
      </c>
      <c r="Q215" s="3">
        <f>(P215-Y215)/F215*100</f>
      </c>
      <c r="R215" s="3">
        <f>I215-O215</f>
      </c>
      <c r="S215" t="s">
        <v>1</v>
      </c>
      <c r="T215" t="s">
        <v>113</v>
      </c>
      <c r="Z215" s="3">
        <f>P215-Y215</f>
      </c>
      <c r="AA215" t="s">
        <v>59</v>
      </c>
      <c r="AB215" t="s">
        <v>60</v>
      </c>
    </row>
    <row r="216" spans="1:28" x14ac:dyDescent="0.25">
      <c r="A216" s="7">
        <v>46193.5</v>
      </c>
      <c r="B216" t="s">
        <v>2698</v>
      </c>
      <c r="C216" t="s">
        <v>1</v>
      </c>
      <c r="D216" s="8" t="s">
        <v>2699</v>
      </c>
      <c r="E216" t="s">
        <v>72</v>
      </c>
      <c r="F216" s="3">
        <v>593</v>
      </c>
      <c r="G216" s="3">
        <v>693.81</v>
      </c>
      <c r="H216" s="3">
        <f>G216-F216</f>
      </c>
      <c r="I216" s="3">
        <f>H216*16.67%</f>
      </c>
      <c r="J216" s="3">
        <f>G216*7%</f>
      </c>
      <c r="K216" s="3">
        <f>J216*20%</f>
      </c>
      <c r="L216" s="3">
        <v>0</v>
      </c>
      <c r="M216" s="3">
        <f>L216*20%</f>
      </c>
      <c r="N216" s="3">
        <v>1</v>
      </c>
      <c r="O216" s="3">
        <f>K216+M216</f>
      </c>
      <c r="P216" s="3">
        <f>H216-I216-J216-K216-L216-M216-N216</f>
      </c>
      <c r="Q216" s="3">
        <f>(P216-Y216)/F216*100</f>
      </c>
      <c r="R216" s="3">
        <f>I216-O216</f>
      </c>
      <c r="S216" t="s">
        <v>1</v>
      </c>
      <c r="T216" t="s">
        <v>80</v>
      </c>
      <c r="Z216" s="3">
        <f>P216-Y216</f>
      </c>
      <c r="AA216" t="s">
        <v>59</v>
      </c>
      <c r="AB216" t="s">
        <v>74</v>
      </c>
    </row>
    <row r="217" spans="1:28" x14ac:dyDescent="0.25">
      <c r="A217" s="7">
        <v>46192.5</v>
      </c>
      <c r="B217" t="s">
        <v>2700</v>
      </c>
      <c r="C217" t="s">
        <v>1</v>
      </c>
      <c r="D217" s="8" t="s">
        <v>2701</v>
      </c>
      <c r="E217" t="s">
        <v>72</v>
      </c>
      <c r="F217" s="3">
        <v>688</v>
      </c>
      <c r="G217" s="3">
        <v>811.84</v>
      </c>
      <c r="H217" s="3">
        <f>G217-F217</f>
      </c>
      <c r="I217" s="3">
        <f>H217*16.67%</f>
      </c>
      <c r="J217" s="3">
        <f>G217*7%</f>
      </c>
      <c r="K217" s="3">
        <f>J217*20%</f>
      </c>
      <c r="L217" s="3">
        <v>0</v>
      </c>
      <c r="M217" s="3">
        <f>L217*20%</f>
      </c>
      <c r="N217" s="3">
        <v>1</v>
      </c>
      <c r="O217" s="3">
        <f>K217+M217</f>
      </c>
      <c r="P217" s="3">
        <f>H217-I217-J217-K217-L217-M217-N217</f>
      </c>
      <c r="Q217" s="3">
        <f>(P217-Y217)/F217*100</f>
      </c>
      <c r="R217" s="3">
        <f>I217-O217</f>
      </c>
      <c r="S217" t="s">
        <v>1</v>
      </c>
      <c r="T217" t="s">
        <v>83</v>
      </c>
      <c r="Z217" s="3">
        <f>P217-Y217</f>
      </c>
      <c r="AA217" t="s">
        <v>59</v>
      </c>
      <c r="AB217" t="s">
        <v>84</v>
      </c>
    </row>
    <row r="218" spans="1:28" x14ac:dyDescent="0.25">
      <c r="A218" s="7">
        <v>46192.5</v>
      </c>
      <c r="B218" t="s">
        <v>2702</v>
      </c>
      <c r="C218" t="s">
        <v>1</v>
      </c>
      <c r="D218" s="8" t="s">
        <v>2703</v>
      </c>
      <c r="E218" t="s">
        <v>63</v>
      </c>
      <c r="F218" s="3">
        <v>325</v>
      </c>
      <c r="G218" s="3">
        <v>399.75</v>
      </c>
      <c r="H218" s="3">
        <f>G218-F218</f>
      </c>
      <c r="I218" s="3">
        <f>H218*16.67%</f>
      </c>
      <c r="J218" s="3">
        <f>G218*7%</f>
      </c>
      <c r="K218" s="3">
        <f>J218*20%</f>
      </c>
      <c r="L218" s="3">
        <v>0</v>
      </c>
      <c r="M218" s="3">
        <f>L218*20%</f>
      </c>
      <c r="N218" s="3">
        <v>1</v>
      </c>
      <c r="O218" s="3">
        <f>K218+M218</f>
      </c>
      <c r="P218" s="3">
        <f>H218-I218-J218-K218-L218-M218-N218</f>
      </c>
      <c r="Q218" s="3">
        <f>(P218-Y218)/F218*100</f>
      </c>
      <c r="R218" s="3">
        <f>I218-O218</f>
      </c>
      <c r="S218" t="s">
        <v>1</v>
      </c>
      <c r="T218" t="s">
        <v>138</v>
      </c>
      <c r="Z218" s="3">
        <f>P218-Y218</f>
      </c>
      <c r="AA218" t="s">
        <v>65</v>
      </c>
      <c r="AB218" t="s">
        <v>60</v>
      </c>
    </row>
    <row r="219" spans="1:28" x14ac:dyDescent="0.25">
      <c r="A219" s="7">
        <v>46192.5</v>
      </c>
      <c r="B219" t="s">
        <v>2704</v>
      </c>
      <c r="C219" t="s">
        <v>1</v>
      </c>
      <c r="D219" s="8" t="s">
        <v>2705</v>
      </c>
      <c r="E219" t="s">
        <v>63</v>
      </c>
      <c r="F219" s="3">
        <v>761</v>
      </c>
      <c r="G219" s="3">
        <v>958.86</v>
      </c>
      <c r="H219" s="3">
        <f>G219-F219</f>
      </c>
      <c r="I219" s="3">
        <f>H219*16.67%</f>
      </c>
      <c r="J219" s="3">
        <f>G219*7%</f>
      </c>
      <c r="K219" s="3">
        <f>J219*20%</f>
      </c>
      <c r="L219" s="3">
        <v>0</v>
      </c>
      <c r="M219" s="3">
        <f>L219*20%</f>
      </c>
      <c r="N219" s="3">
        <v>1</v>
      </c>
      <c r="O219" s="3">
        <f>K219+M219</f>
      </c>
      <c r="P219" s="3">
        <f>H219-I219-J219-K219-L219-M219-N219</f>
      </c>
      <c r="Q219" s="3">
        <f>(P219-Y219)/F219*100</f>
      </c>
      <c r="R219" s="3">
        <f>I219-O219</f>
      </c>
      <c r="S219" t="s">
        <v>1</v>
      </c>
      <c r="T219" t="s">
        <v>83</v>
      </c>
      <c r="Z219" s="3">
        <f>P219-Y219</f>
      </c>
      <c r="AA219" t="s">
        <v>59</v>
      </c>
      <c r="AB219" t="s">
        <v>98</v>
      </c>
    </row>
    <row r="220" spans="1:28" x14ac:dyDescent="0.25">
      <c r="A220" s="7">
        <v>46192.5</v>
      </c>
      <c r="B220" t="s">
        <v>2706</v>
      </c>
      <c r="C220" t="s">
        <v>188</v>
      </c>
      <c r="D220" s="8" t="s">
        <v>1</v>
      </c>
      <c r="E220" t="s">
        <v>63</v>
      </c>
      <c r="F220" s="3">
        <v>3.5</v>
      </c>
      <c r="G220" s="3">
        <v>5.08</v>
      </c>
      <c r="H220" s="3">
        <f>G220-F220</f>
      </c>
      <c r="I220" s="3">
        <f>H220*16.67%</f>
      </c>
      <c r="J220" s="3">
        <f>G220*7%</f>
      </c>
      <c r="K220" s="3">
        <f>J220*20%</f>
      </c>
      <c r="L220" s="3">
        <v>0</v>
      </c>
      <c r="M220" s="3">
        <f>L220*20%</f>
      </c>
      <c r="N220" s="3">
        <v>1</v>
      </c>
      <c r="O220" s="3">
        <f>K220+M220</f>
      </c>
      <c r="P220" s="3">
        <f>H220-I220-J220-K220-L220-M220-N220</f>
      </c>
      <c r="Q220" s="3">
        <f>(P220-Y220)/F220*100</f>
      </c>
      <c r="R220" s="3">
        <f>I220-O220</f>
      </c>
      <c r="S220" t="s">
        <v>1</v>
      </c>
      <c r="T220" t="s">
        <v>188</v>
      </c>
      <c r="Z220" s="3">
        <f>P220-Y220</f>
      </c>
      <c r="AA220" t="s">
        <v>1</v>
      </c>
      <c r="AB220" t="s">
        <v>1</v>
      </c>
    </row>
    <row r="221" spans="1:28" x14ac:dyDescent="0.25">
      <c r="A221" s="7">
        <v>46192.5</v>
      </c>
      <c r="B221" t="s">
        <v>2707</v>
      </c>
      <c r="C221" t="s">
        <v>173</v>
      </c>
      <c r="D221" s="8" t="s">
        <v>1</v>
      </c>
      <c r="E221" t="s">
        <v>63</v>
      </c>
      <c r="F221" s="3">
        <v>4.25</v>
      </c>
      <c r="G221" s="3">
        <v>5.95</v>
      </c>
      <c r="H221" s="3">
        <f>G221-F221</f>
      </c>
      <c r="I221" s="3">
        <f>H221*16.67%</f>
      </c>
      <c r="J221" s="3">
        <f>G221*7%</f>
      </c>
      <c r="K221" s="3">
        <f>J221*20%</f>
      </c>
      <c r="L221" s="3">
        <v>0</v>
      </c>
      <c r="M221" s="3">
        <f>L221*20%</f>
      </c>
      <c r="N221" s="3">
        <v>1</v>
      </c>
      <c r="O221" s="3">
        <f>K221+M221</f>
      </c>
      <c r="P221" s="3">
        <f>H221-I221-J221-K221-L221-M221-N221</f>
      </c>
      <c r="Q221" s="3">
        <f>(P221-Y221)/F221*100</f>
      </c>
      <c r="R221" s="3">
        <f>I221-O221</f>
      </c>
      <c r="S221" t="s">
        <v>1</v>
      </c>
      <c r="T221" t="s">
        <v>173</v>
      </c>
      <c r="Z221" s="3">
        <f>P221-Y221</f>
      </c>
      <c r="AA221" t="s">
        <v>1</v>
      </c>
      <c r="AB221" t="s">
        <v>1</v>
      </c>
    </row>
    <row r="222" spans="1:28" x14ac:dyDescent="0.25">
      <c r="A222" s="7">
        <v>46192.5</v>
      </c>
      <c r="B222" t="s">
        <v>2708</v>
      </c>
      <c r="C222" t="s">
        <v>173</v>
      </c>
      <c r="D222" s="8" t="s">
        <v>1</v>
      </c>
      <c r="E222" t="s">
        <v>63</v>
      </c>
      <c r="F222" s="3">
        <v>4.25</v>
      </c>
      <c r="G222" s="3">
        <v>5.18</v>
      </c>
      <c r="H222" s="3">
        <f>G222-F222</f>
      </c>
      <c r="I222" s="3">
        <f>H222*16.67%</f>
      </c>
      <c r="J222" s="3">
        <f>G222*7%</f>
      </c>
      <c r="K222" s="3">
        <f>J222*20%</f>
      </c>
      <c r="L222" s="3">
        <v>0</v>
      </c>
      <c r="M222" s="3">
        <f>L222*20%</f>
      </c>
      <c r="N222" s="3">
        <v>1</v>
      </c>
      <c r="O222" s="3">
        <f>K222+M222</f>
      </c>
      <c r="P222" s="3">
        <f>H222-I222-J222-K222-L222-M222-N222</f>
      </c>
      <c r="Q222" s="3">
        <f>(P222-Y222)/F222*100</f>
      </c>
      <c r="R222" s="3">
        <f>I222-O222</f>
      </c>
      <c r="S222" t="s">
        <v>1</v>
      </c>
      <c r="T222" t="s">
        <v>173</v>
      </c>
      <c r="Z222" s="3">
        <f>P222-Y222</f>
      </c>
      <c r="AA222" t="s">
        <v>1</v>
      </c>
      <c r="AB222" t="s">
        <v>1</v>
      </c>
    </row>
    <row r="223" spans="1:28" x14ac:dyDescent="0.25">
      <c r="A223" s="7">
        <v>46191.5</v>
      </c>
      <c r="B223" t="s">
        <v>2709</v>
      </c>
      <c r="C223" t="s">
        <v>1</v>
      </c>
      <c r="D223" s="8" t="s">
        <v>2710</v>
      </c>
      <c r="E223" t="s">
        <v>57</v>
      </c>
      <c r="F223" s="3">
        <v>299</v>
      </c>
      <c r="G223" s="3">
        <v>412.62</v>
      </c>
      <c r="H223" s="3">
        <f>G223-F223</f>
      </c>
      <c r="I223" s="3">
        <f>H223*16.67%</f>
      </c>
      <c r="J223" s="3">
        <f>G223*7%</f>
      </c>
      <c r="K223" s="3">
        <f>J223*20%</f>
      </c>
      <c r="L223" s="3">
        <v>0</v>
      </c>
      <c r="M223" s="3">
        <f>L223*20%</f>
      </c>
      <c r="N223" s="3">
        <v>1</v>
      </c>
      <c r="O223" s="3">
        <f>K223+M223</f>
      </c>
      <c r="P223" s="3">
        <f>H223-I223-J223-K223-L223-M223-N223</f>
      </c>
      <c r="Q223" s="3">
        <f>(P223-Y223)/F223*100</f>
      </c>
      <c r="R223" s="3">
        <f>I223-O223</f>
      </c>
      <c r="S223" t="s">
        <v>1</v>
      </c>
      <c r="T223" t="s">
        <v>97</v>
      </c>
      <c r="Z223" s="3">
        <f>P223-Y223</f>
      </c>
      <c r="AA223" t="s">
        <v>59</v>
      </c>
      <c r="AB223" t="s">
        <v>60</v>
      </c>
    </row>
    <row r="224" spans="1:28" x14ac:dyDescent="0.25">
      <c r="A224" s="7">
        <v>46191.5</v>
      </c>
      <c r="B224" t="s">
        <v>2711</v>
      </c>
      <c r="C224" t="s">
        <v>1</v>
      </c>
      <c r="D224" s="8" t="s">
        <v>2712</v>
      </c>
      <c r="E224" t="s">
        <v>72</v>
      </c>
      <c r="F224" s="3">
        <v>438</v>
      </c>
      <c r="G224" s="3">
        <v>582.54</v>
      </c>
      <c r="H224" s="3">
        <f>G224-F224</f>
      </c>
      <c r="I224" s="3">
        <f>H224*16.67%</f>
      </c>
      <c r="J224" s="3">
        <f>G224*7%</f>
      </c>
      <c r="K224" s="3">
        <f>J224*20%</f>
      </c>
      <c r="L224" s="3">
        <v>0</v>
      </c>
      <c r="M224" s="3">
        <f>L224*20%</f>
      </c>
      <c r="N224" s="3">
        <v>1</v>
      </c>
      <c r="O224" s="3">
        <f>K224+M224</f>
      </c>
      <c r="P224" s="3">
        <f>H224-I224-J224-K224-L224-M224-N224</f>
      </c>
      <c r="Q224" s="3">
        <f>(P224-Y224)/F224*100</f>
      </c>
      <c r="R224" s="3">
        <f>I224-O224</f>
      </c>
      <c r="S224" t="s">
        <v>1</v>
      </c>
      <c r="T224" t="s">
        <v>58</v>
      </c>
      <c r="Z224" s="3">
        <f>P224-Y224</f>
      </c>
      <c r="AA224" t="s">
        <v>59</v>
      </c>
      <c r="AB224" t="s">
        <v>87</v>
      </c>
    </row>
    <row r="225" spans="1:28" x14ac:dyDescent="0.25">
      <c r="A225" s="7">
        <v>46191.5</v>
      </c>
      <c r="B225" t="s">
        <v>2713</v>
      </c>
      <c r="C225" t="s">
        <v>173</v>
      </c>
      <c r="D225" s="8" t="s">
        <v>1</v>
      </c>
      <c r="E225" t="s">
        <v>63</v>
      </c>
      <c r="F225" s="3">
        <v>4.25</v>
      </c>
      <c r="G225" s="3">
        <v>6.08</v>
      </c>
      <c r="H225" s="3">
        <f>G225-F225</f>
      </c>
      <c r="I225" s="3">
        <f>H225*16.67%</f>
      </c>
      <c r="J225" s="3">
        <f>G225*7%</f>
      </c>
      <c r="K225" s="3">
        <f>J225*20%</f>
      </c>
      <c r="L225" s="3">
        <v>0</v>
      </c>
      <c r="M225" s="3">
        <f>L225*20%</f>
      </c>
      <c r="N225" s="3">
        <v>1</v>
      </c>
      <c r="O225" s="3">
        <f>K225+M225</f>
      </c>
      <c r="P225" s="3">
        <f>H225-I225-J225-K225-L225-M225-N225</f>
      </c>
      <c r="Q225" s="3">
        <f>(P225-Y225)/F225*100</f>
      </c>
      <c r="R225" s="3">
        <f>I225-O225</f>
      </c>
      <c r="S225" t="s">
        <v>1</v>
      </c>
      <c r="T225" t="s">
        <v>173</v>
      </c>
      <c r="Z225" s="3">
        <f>P225-Y225</f>
      </c>
      <c r="AA225" t="s">
        <v>1</v>
      </c>
      <c r="AB225" t="s">
        <v>1</v>
      </c>
    </row>
    <row r="226" spans="1:28" x14ac:dyDescent="0.25">
      <c r="A226" s="7">
        <v>46190.5</v>
      </c>
      <c r="B226" t="s">
        <v>2714</v>
      </c>
      <c r="C226" t="s">
        <v>1</v>
      </c>
      <c r="D226" s="8" t="s">
        <v>2715</v>
      </c>
      <c r="E226" t="s">
        <v>57</v>
      </c>
      <c r="F226" s="3">
        <v>225</v>
      </c>
      <c r="G226" s="3">
        <v>312.75</v>
      </c>
      <c r="H226" s="3">
        <f>G226-F226</f>
      </c>
      <c r="I226" s="3">
        <f>H226*16.67%</f>
      </c>
      <c r="J226" s="3">
        <f>G226*7%</f>
      </c>
      <c r="K226" s="3">
        <f>J226*20%</f>
      </c>
      <c r="L226" s="3">
        <v>0</v>
      </c>
      <c r="M226" s="3">
        <f>L226*20%</f>
      </c>
      <c r="N226" s="3">
        <v>1</v>
      </c>
      <c r="O226" s="3">
        <f>K226+M226</f>
      </c>
      <c r="P226" s="3">
        <f>H226-I226-J226-K226-L226-M226-N226</f>
      </c>
      <c r="Q226" s="3">
        <f>(P226-Y226)/F226*100</f>
      </c>
      <c r="R226" s="3">
        <f>I226-O226</f>
      </c>
      <c r="S226" t="s">
        <v>1</v>
      </c>
      <c r="T226" t="s">
        <v>64</v>
      </c>
      <c r="Z226" s="3">
        <f>P226-Y226</f>
      </c>
      <c r="AA226" t="s">
        <v>65</v>
      </c>
      <c r="AB226" t="s">
        <v>87</v>
      </c>
    </row>
    <row r="227" spans="1:28" x14ac:dyDescent="0.25">
      <c r="A227" s="7">
        <v>46190.5</v>
      </c>
      <c r="B227" t="s">
        <v>2716</v>
      </c>
      <c r="C227" t="s">
        <v>1</v>
      </c>
      <c r="D227" s="8" t="s">
        <v>2717</v>
      </c>
      <c r="E227" t="s">
        <v>77</v>
      </c>
      <c r="F227" s="3">
        <v>146</v>
      </c>
      <c r="G227" s="3">
        <v>178.12</v>
      </c>
      <c r="H227" s="3">
        <f>G227-F227</f>
      </c>
      <c r="I227" s="3">
        <f>H227*16.67%</f>
      </c>
      <c r="J227" s="3">
        <f>G227*7%</f>
      </c>
      <c r="K227" s="3">
        <f>J227*20%</f>
      </c>
      <c r="L227" s="3">
        <v>0</v>
      </c>
      <c r="M227" s="3">
        <f>L227*20%</f>
      </c>
      <c r="N227" s="3">
        <v>1</v>
      </c>
      <c r="O227" s="3">
        <f>K227+M227</f>
      </c>
      <c r="P227" s="3">
        <f>H227-I227-J227-K227-L227-M227-N227</f>
      </c>
      <c r="Q227" s="3">
        <f>(P227-Y227)/F227*100</f>
      </c>
      <c r="R227" s="3">
        <f>I227-O227</f>
      </c>
      <c r="S227" t="s">
        <v>1</v>
      </c>
      <c r="T227" t="s">
        <v>171</v>
      </c>
      <c r="Z227" s="3">
        <f>P227-Y227</f>
      </c>
      <c r="AA227" t="s">
        <v>65</v>
      </c>
      <c r="AB227" t="s">
        <v>60</v>
      </c>
    </row>
    <row r="228" spans="1:28" x14ac:dyDescent="0.25">
      <c r="A228" s="7">
        <v>46190.5</v>
      </c>
      <c r="B228" t="s">
        <v>2718</v>
      </c>
      <c r="C228" t="s">
        <v>1</v>
      </c>
      <c r="D228" s="8" t="s">
        <v>2719</v>
      </c>
      <c r="E228" t="s">
        <v>101</v>
      </c>
      <c r="F228" s="3">
        <v>174</v>
      </c>
      <c r="G228" s="3">
        <v>250.56</v>
      </c>
      <c r="H228" s="3">
        <f>G228-F228</f>
      </c>
      <c r="I228" s="3">
        <f>H228*16.67%</f>
      </c>
      <c r="J228" s="3">
        <f>G228*7%</f>
      </c>
      <c r="K228" s="3">
        <f>J228*20%</f>
      </c>
      <c r="L228" s="3">
        <v>0</v>
      </c>
      <c r="M228" s="3">
        <f>L228*20%</f>
      </c>
      <c r="N228" s="3">
        <v>1</v>
      </c>
      <c r="O228" s="3">
        <f>K228+M228</f>
      </c>
      <c r="P228" s="3">
        <f>H228-I228-J228-K228-L228-M228-N228</f>
      </c>
      <c r="Q228" s="3">
        <f>(P228-Y228)/F228*100</f>
      </c>
      <c r="R228" s="3">
        <f>I228-O228</f>
      </c>
      <c r="S228" t="s">
        <v>1</v>
      </c>
      <c r="T228" t="s">
        <v>291</v>
      </c>
      <c r="Z228" s="3">
        <f>P228-Y228</f>
      </c>
      <c r="AA228" t="s">
        <v>125</v>
      </c>
      <c r="AB228" t="s">
        <v>74</v>
      </c>
    </row>
    <row r="229" spans="1:28" x14ac:dyDescent="0.25">
      <c r="A229" s="7">
        <v>46190.5</v>
      </c>
      <c r="B229" t="s">
        <v>2720</v>
      </c>
      <c r="C229" t="s">
        <v>1</v>
      </c>
      <c r="D229" s="8" t="s">
        <v>2721</v>
      </c>
      <c r="E229" t="s">
        <v>57</v>
      </c>
      <c r="F229" s="3">
        <v>153</v>
      </c>
      <c r="G229" s="3">
        <v>189.72</v>
      </c>
      <c r="H229" s="3">
        <f>G229-F229</f>
      </c>
      <c r="I229" s="3">
        <f>H229*16.67%</f>
      </c>
      <c r="J229" s="3">
        <f>G229*7%</f>
      </c>
      <c r="K229" s="3">
        <f>J229*20%</f>
      </c>
      <c r="L229" s="3">
        <v>0</v>
      </c>
      <c r="M229" s="3">
        <f>L229*20%</f>
      </c>
      <c r="N229" s="3">
        <v>1</v>
      </c>
      <c r="O229" s="3">
        <f>K229+M229</f>
      </c>
      <c r="P229" s="3">
        <f>H229-I229-J229-K229-L229-M229-N229</f>
      </c>
      <c r="Q229" s="3">
        <f>(P229-Y229)/F229*100</f>
      </c>
      <c r="R229" s="3">
        <f>I229-O229</f>
      </c>
      <c r="S229" t="s">
        <v>1</v>
      </c>
      <c r="T229" t="s">
        <v>233</v>
      </c>
      <c r="Z229" s="3">
        <f>P229-Y229</f>
      </c>
      <c r="AA229" t="s">
        <v>65</v>
      </c>
      <c r="AB229" t="s">
        <v>69</v>
      </c>
    </row>
    <row r="230" spans="1:28" x14ac:dyDescent="0.25">
      <c r="A230" s="7">
        <v>46190.5</v>
      </c>
      <c r="B230" t="s">
        <v>2722</v>
      </c>
      <c r="C230" t="s">
        <v>1</v>
      </c>
      <c r="D230" s="8" t="s">
        <v>2723</v>
      </c>
      <c r="E230" t="s">
        <v>63</v>
      </c>
      <c r="F230" s="3">
        <v>595</v>
      </c>
      <c r="G230" s="3">
        <v>761.6</v>
      </c>
      <c r="H230" s="3">
        <f>G230-F230</f>
      </c>
      <c r="I230" s="3">
        <f>H230*16.67%</f>
      </c>
      <c r="J230" s="3">
        <f>G230*7%</f>
      </c>
      <c r="K230" s="3">
        <f>J230*20%</f>
      </c>
      <c r="L230" s="3">
        <v>0</v>
      </c>
      <c r="M230" s="3">
        <f>L230*20%</f>
      </c>
      <c r="N230" s="3">
        <v>1</v>
      </c>
      <c r="O230" s="3">
        <f>K230+M230</f>
      </c>
      <c r="P230" s="3">
        <f>H230-I230-J230-K230-L230-M230-N230</f>
      </c>
      <c r="Q230" s="3">
        <f>(P230-Y230)/F230*100</f>
      </c>
      <c r="R230" s="3">
        <f>I230-O230</f>
      </c>
      <c r="S230" t="s">
        <v>1</v>
      </c>
      <c r="T230" t="s">
        <v>80</v>
      </c>
      <c r="Z230" s="3">
        <f>P230-Y230</f>
      </c>
      <c r="AA230" t="s">
        <v>65</v>
      </c>
      <c r="AB230" t="s">
        <v>84</v>
      </c>
    </row>
    <row r="231" spans="1:28" x14ac:dyDescent="0.25">
      <c r="A231" s="7">
        <v>46190.5</v>
      </c>
      <c r="B231" t="s">
        <v>2724</v>
      </c>
      <c r="C231" t="s">
        <v>1</v>
      </c>
      <c r="D231" s="8" t="s">
        <v>2725</v>
      </c>
      <c r="E231" t="s">
        <v>57</v>
      </c>
      <c r="F231" s="3">
        <v>228</v>
      </c>
      <c r="G231" s="3">
        <v>275.88</v>
      </c>
      <c r="H231" s="3">
        <f>G231-F231</f>
      </c>
      <c r="I231" s="3">
        <f>H231*16.67%</f>
      </c>
      <c r="J231" s="3">
        <f>G231*7%</f>
      </c>
      <c r="K231" s="3">
        <f>J231*20%</f>
      </c>
      <c r="L231" s="3">
        <v>0</v>
      </c>
      <c r="M231" s="3">
        <f>L231*20%</f>
      </c>
      <c r="N231" s="3">
        <v>1</v>
      </c>
      <c r="O231" s="3">
        <f>K231+M231</f>
      </c>
      <c r="P231" s="3">
        <f>H231-I231-J231-K231-L231-M231-N231</f>
      </c>
      <c r="Q231" s="3">
        <f>(P231-Y231)/F231*100</f>
      </c>
      <c r="R231" s="3">
        <f>I231-O231</f>
      </c>
      <c r="S231" t="s">
        <v>1</v>
      </c>
      <c r="T231" t="s">
        <v>124</v>
      </c>
      <c r="Z231" s="3">
        <f>P231-Y231</f>
      </c>
      <c r="AA231" t="s">
        <v>125</v>
      </c>
      <c r="AB231" t="s">
        <v>69</v>
      </c>
    </row>
    <row r="232" spans="1:28" x14ac:dyDescent="0.25">
      <c r="A232" s="7">
        <v>46190.5</v>
      </c>
      <c r="B232" t="s">
        <v>2726</v>
      </c>
      <c r="C232" t="s">
        <v>176</v>
      </c>
      <c r="D232" s="8" t="s">
        <v>1</v>
      </c>
      <c r="E232" t="s">
        <v>77</v>
      </c>
      <c r="F232" s="3">
        <v>0.15</v>
      </c>
      <c r="G232" s="3">
        <v>0.19</v>
      </c>
      <c r="H232" s="3">
        <f>G232-F232</f>
      </c>
      <c r="I232" s="3">
        <f>H232*16.67%</f>
      </c>
      <c r="J232" s="3">
        <f>G232*7%</f>
      </c>
      <c r="K232" s="3">
        <f>J232*20%</f>
      </c>
      <c r="L232" s="3">
        <v>0</v>
      </c>
      <c r="M232" s="3">
        <f>L232*20%</f>
      </c>
      <c r="N232" s="3">
        <v>1</v>
      </c>
      <c r="O232" s="3">
        <f>K232+M232</f>
      </c>
      <c r="P232" s="3">
        <f>H232-I232-J232-K232-L232-M232-N232</f>
      </c>
      <c r="Q232" s="3">
        <f>(P232-Y232)/F232*100</f>
      </c>
      <c r="R232" s="3">
        <f>I232-O232</f>
      </c>
      <c r="S232" t="s">
        <v>1</v>
      </c>
      <c r="T232" t="s">
        <v>176</v>
      </c>
      <c r="Z232" s="3">
        <f>P232-Y232</f>
      </c>
      <c r="AA232" t="s">
        <v>1</v>
      </c>
      <c r="AB232" t="s">
        <v>1</v>
      </c>
    </row>
    <row r="233" spans="1:28" x14ac:dyDescent="0.25">
      <c r="A233" s="7">
        <v>46190.5</v>
      </c>
      <c r="B233" t="s">
        <v>2727</v>
      </c>
      <c r="C233" t="s">
        <v>1</v>
      </c>
      <c r="D233" s="8" t="s">
        <v>1</v>
      </c>
      <c r="E233" t="s">
        <v>72</v>
      </c>
      <c r="F233" s="3">
        <v>264</v>
      </c>
      <c r="G233" s="3">
        <v>356.4</v>
      </c>
      <c r="H233" s="3">
        <f>G233-F233</f>
      </c>
      <c r="I233" s="3">
        <f>H233*16.67%</f>
      </c>
      <c r="J233" s="3">
        <f>G233*7%</f>
      </c>
      <c r="K233" s="3">
        <f>J233*20%</f>
      </c>
      <c r="L233" s="3">
        <v>0</v>
      </c>
      <c r="M233" s="3">
        <f>L233*20%</f>
      </c>
      <c r="N233" s="3">
        <v>1</v>
      </c>
      <c r="O233" s="3">
        <f>K233+M233</f>
      </c>
      <c r="P233" s="3">
        <f>H233-I233-J233-K233-L233-M233-N233</f>
      </c>
      <c r="Q233" s="3">
        <f>(P233-Y233)/F233*100</f>
      </c>
      <c r="R233" s="3">
        <f>I233-O233</f>
      </c>
      <c r="S233" t="s">
        <v>1</v>
      </c>
      <c r="T233" t="s">
        <v>1</v>
      </c>
      <c r="Z233" s="3">
        <f>P233-Y233</f>
      </c>
      <c r="AA233" t="s">
        <v>1</v>
      </c>
      <c r="AB233" t="s">
        <v>1</v>
      </c>
    </row>
    <row r="234" spans="1:28" x14ac:dyDescent="0.25">
      <c r="A234" s="7">
        <v>46190.5</v>
      </c>
      <c r="B234" t="s">
        <v>2728</v>
      </c>
      <c r="C234" t="s">
        <v>1</v>
      </c>
      <c r="D234" s="8" t="s">
        <v>1</v>
      </c>
      <c r="E234" t="s">
        <v>72</v>
      </c>
      <c r="F234" s="3">
        <v>147</v>
      </c>
      <c r="G234" s="3">
        <v>182.28</v>
      </c>
      <c r="H234" s="3">
        <f>G234-F234</f>
      </c>
      <c r="I234" s="3">
        <f>H234*16.67%</f>
      </c>
      <c r="J234" s="3">
        <f>G234*7%</f>
      </c>
      <c r="K234" s="3">
        <f>J234*20%</f>
      </c>
      <c r="L234" s="3">
        <v>0</v>
      </c>
      <c r="M234" s="3">
        <f>L234*20%</f>
      </c>
      <c r="N234" s="3">
        <v>1</v>
      </c>
      <c r="O234" s="3">
        <f>K234+M234</f>
      </c>
      <c r="P234" s="3">
        <f>H234-I234-J234-K234-L234-M234-N234</f>
      </c>
      <c r="Q234" s="3">
        <f>(P234-Y234)/F234*100</f>
      </c>
      <c r="R234" s="3">
        <f>I234-O234</f>
      </c>
      <c r="S234" t="s">
        <v>1</v>
      </c>
      <c r="T234" t="s">
        <v>1</v>
      </c>
      <c r="Z234" s="3">
        <f>P234-Y234</f>
      </c>
      <c r="AA234" t="s">
        <v>1</v>
      </c>
      <c r="AB234" t="s">
        <v>1</v>
      </c>
    </row>
    <row r="235" spans="1:28" x14ac:dyDescent="0.25">
      <c r="A235" s="7">
        <v>46189.5</v>
      </c>
      <c r="B235" t="s">
        <v>2729</v>
      </c>
      <c r="C235" t="s">
        <v>1</v>
      </c>
      <c r="D235" s="8" t="s">
        <v>2730</v>
      </c>
      <c r="E235" t="s">
        <v>101</v>
      </c>
      <c r="F235" s="3">
        <v>242</v>
      </c>
      <c r="G235" s="3">
        <v>346.06</v>
      </c>
      <c r="H235" s="3">
        <f>G235-F235</f>
      </c>
      <c r="I235" s="3">
        <f>H235*16.67%</f>
      </c>
      <c r="J235" s="3">
        <f>G235*7%</f>
      </c>
      <c r="K235" s="3">
        <f>J235*20%</f>
      </c>
      <c r="L235" s="3">
        <v>0</v>
      </c>
      <c r="M235" s="3">
        <f>L235*20%</f>
      </c>
      <c r="N235" s="3">
        <v>1</v>
      </c>
      <c r="O235" s="3">
        <f>K235+M235</f>
      </c>
      <c r="P235" s="3">
        <f>H235-I235-J235-K235-L235-M235-N235</f>
      </c>
      <c r="Q235" s="3">
        <f>(P235-Y235)/F235*100</f>
      </c>
      <c r="R235" s="3">
        <f>I235-O235</f>
      </c>
      <c r="S235" t="s">
        <v>1</v>
      </c>
      <c r="T235" t="s">
        <v>64</v>
      </c>
      <c r="Z235" s="3">
        <f>P235-Y235</f>
      </c>
      <c r="AA235" t="s">
        <v>65</v>
      </c>
      <c r="AB235" t="s">
        <v>84</v>
      </c>
    </row>
    <row r="236" spans="1:28" x14ac:dyDescent="0.25">
      <c r="A236" s="7">
        <v>46189.5</v>
      </c>
      <c r="B236" t="s">
        <v>2731</v>
      </c>
      <c r="C236" t="s">
        <v>1</v>
      </c>
      <c r="D236" s="8" t="s">
        <v>2732</v>
      </c>
      <c r="E236" t="s">
        <v>101</v>
      </c>
      <c r="F236" s="3">
        <v>440</v>
      </c>
      <c r="G236" s="3">
        <v>620.4</v>
      </c>
      <c r="H236" s="3">
        <f>G236-F236</f>
      </c>
      <c r="I236" s="3">
        <f>H236*16.67%</f>
      </c>
      <c r="J236" s="3">
        <f>G236*7%</f>
      </c>
      <c r="K236" s="3">
        <f>J236*20%</f>
      </c>
      <c r="L236" s="3">
        <v>0</v>
      </c>
      <c r="M236" s="3">
        <f>L236*20%</f>
      </c>
      <c r="N236" s="3">
        <v>1</v>
      </c>
      <c r="O236" s="3">
        <f>K236+M236</f>
      </c>
      <c r="P236" s="3">
        <f>H236-I236-J236-K236-L236-M236-N236</f>
      </c>
      <c r="Q236" s="3">
        <f>(P236-Y236)/F236*100</f>
      </c>
      <c r="R236" s="3">
        <f>I236-O236</f>
      </c>
      <c r="S236" t="s">
        <v>1</v>
      </c>
      <c r="T236" t="s">
        <v>58</v>
      </c>
      <c r="Z236" s="3">
        <f>P236-Y236</f>
      </c>
      <c r="AA236" t="s">
        <v>59</v>
      </c>
      <c r="AB236" t="s">
        <v>87</v>
      </c>
    </row>
    <row r="237" spans="1:28" x14ac:dyDescent="0.25">
      <c r="A237" s="7">
        <v>46189.5</v>
      </c>
      <c r="B237" t="s">
        <v>2733</v>
      </c>
      <c r="C237" t="s">
        <v>188</v>
      </c>
      <c r="D237" s="8" t="s">
        <v>1</v>
      </c>
      <c r="E237" t="s">
        <v>63</v>
      </c>
      <c r="F237" s="3">
        <v>3.5</v>
      </c>
      <c r="G237" s="3">
        <v>4.41</v>
      </c>
      <c r="H237" s="3">
        <f>G237-F237</f>
      </c>
      <c r="I237" s="3">
        <f>H237*16.67%</f>
      </c>
      <c r="J237" s="3">
        <f>G237*7%</f>
      </c>
      <c r="K237" s="3">
        <f>J237*20%</f>
      </c>
      <c r="L237" s="3">
        <v>0</v>
      </c>
      <c r="M237" s="3">
        <f>L237*20%</f>
      </c>
      <c r="N237" s="3">
        <v>1</v>
      </c>
      <c r="O237" s="3">
        <f>K237+M237</f>
      </c>
      <c r="P237" s="3">
        <f>H237-I237-J237-K237-L237-M237-N237</f>
      </c>
      <c r="Q237" s="3">
        <f>(P237-Y237)/F237*100</f>
      </c>
      <c r="R237" s="3">
        <f>I237-O237</f>
      </c>
      <c r="S237" t="s">
        <v>1</v>
      </c>
      <c r="T237" t="s">
        <v>188</v>
      </c>
      <c r="Z237" s="3">
        <f>P237-Y237</f>
      </c>
      <c r="AA237" t="s">
        <v>1</v>
      </c>
      <c r="AB237" t="s">
        <v>1</v>
      </c>
    </row>
    <row r="238" spans="1:28" x14ac:dyDescent="0.25">
      <c r="A238" s="7">
        <v>46188.5</v>
      </c>
      <c r="B238" t="s">
        <v>2734</v>
      </c>
      <c r="C238" t="s">
        <v>1</v>
      </c>
      <c r="D238" s="8" t="s">
        <v>2735</v>
      </c>
      <c r="E238" t="s">
        <v>101</v>
      </c>
      <c r="F238" s="3">
        <v>485</v>
      </c>
      <c r="G238" s="3">
        <v>586.85</v>
      </c>
      <c r="H238" s="3">
        <f>G238-F238</f>
      </c>
      <c r="I238" s="3">
        <f>H238*16.67%</f>
      </c>
      <c r="J238" s="3">
        <f>G238*7%</f>
      </c>
      <c r="K238" s="3">
        <f>J238*20%</f>
      </c>
      <c r="L238" s="3">
        <v>0</v>
      </c>
      <c r="M238" s="3">
        <f>L238*20%</f>
      </c>
      <c r="N238" s="3">
        <v>1</v>
      </c>
      <c r="O238" s="3">
        <f>K238+M238</f>
      </c>
      <c r="P238" s="3">
        <f>H238-I238-J238-K238-L238-M238-N238</f>
      </c>
      <c r="Q238" s="3">
        <f>(P238-Y238)/F238*100</f>
      </c>
      <c r="R238" s="3">
        <f>I238-O238</f>
      </c>
      <c r="S238" t="s">
        <v>1</v>
      </c>
      <c r="T238" t="s">
        <v>68</v>
      </c>
      <c r="Z238" s="3">
        <f>P238-Y238</f>
      </c>
      <c r="AA238" t="s">
        <v>59</v>
      </c>
      <c r="AB238" t="s">
        <v>60</v>
      </c>
    </row>
    <row r="239" spans="1:28" x14ac:dyDescent="0.25">
      <c r="A239" s="7">
        <v>46188.5</v>
      </c>
      <c r="B239" t="s">
        <v>2736</v>
      </c>
      <c r="C239" t="s">
        <v>1</v>
      </c>
      <c r="D239" s="8" t="s">
        <v>2737</v>
      </c>
      <c r="E239" t="s">
        <v>77</v>
      </c>
      <c r="F239" s="3">
        <v>183</v>
      </c>
      <c r="G239" s="3">
        <v>239.73</v>
      </c>
      <c r="H239" s="3">
        <f>G239-F239</f>
      </c>
      <c r="I239" s="3">
        <f>H239*16.67%</f>
      </c>
      <c r="J239" s="3">
        <f>G239*7%</f>
      </c>
      <c r="K239" s="3">
        <f>J239*20%</f>
      </c>
      <c r="L239" s="3">
        <v>0</v>
      </c>
      <c r="M239" s="3">
        <f>L239*20%</f>
      </c>
      <c r="N239" s="3">
        <v>1</v>
      </c>
      <c r="O239" s="3">
        <f>K239+M239</f>
      </c>
      <c r="P239" s="3">
        <f>H239-I239-J239-K239-L239-M239-N239</f>
      </c>
      <c r="Q239" s="3">
        <f>(P239-Y239)/F239*100</f>
      </c>
      <c r="R239" s="3">
        <f>I239-O239</f>
      </c>
      <c r="S239" t="s">
        <v>1</v>
      </c>
      <c r="T239" t="s">
        <v>291</v>
      </c>
      <c r="Z239" s="3">
        <f>P239-Y239</f>
      </c>
      <c r="AA239" t="s">
        <v>125</v>
      </c>
      <c r="AB239" t="s">
        <v>60</v>
      </c>
    </row>
    <row r="240" spans="1:28" x14ac:dyDescent="0.25">
      <c r="A240" s="7">
        <v>46188.5</v>
      </c>
      <c r="B240" t="s">
        <v>2738</v>
      </c>
      <c r="C240" t="s">
        <v>1</v>
      </c>
      <c r="D240" s="8" t="s">
        <v>2739</v>
      </c>
      <c r="E240" t="s">
        <v>72</v>
      </c>
      <c r="F240" s="3">
        <v>342</v>
      </c>
      <c r="G240" s="3">
        <v>475.38</v>
      </c>
      <c r="H240" s="3">
        <f>G240-F240</f>
      </c>
      <c r="I240" s="3">
        <f>H240*16.67%</f>
      </c>
      <c r="J240" s="3">
        <f>G240*7%</f>
      </c>
      <c r="K240" s="3">
        <f>J240*20%</f>
      </c>
      <c r="L240" s="3">
        <v>0</v>
      </c>
      <c r="M240" s="3">
        <f>L240*20%</f>
      </c>
      <c r="N240" s="3">
        <v>1</v>
      </c>
      <c r="O240" s="3">
        <f>K240+M240</f>
      </c>
      <c r="P240" s="3">
        <f>H240-I240-J240-K240-L240-M240-N240</f>
      </c>
      <c r="Q240" s="3">
        <f>(P240-Y240)/F240*100</f>
      </c>
      <c r="R240" s="3">
        <f>I240-O240</f>
      </c>
      <c r="S240" t="s">
        <v>1</v>
      </c>
      <c r="T240" t="s">
        <v>73</v>
      </c>
      <c r="Z240" s="3">
        <f>P240-Y240</f>
      </c>
      <c r="AA240" t="s">
        <v>59</v>
      </c>
      <c r="AB240" t="s">
        <v>84</v>
      </c>
    </row>
    <row r="241" spans="1:28" x14ac:dyDescent="0.25">
      <c r="A241" s="7">
        <v>46188.5</v>
      </c>
      <c r="B241" t="s">
        <v>2740</v>
      </c>
      <c r="C241" t="s">
        <v>1</v>
      </c>
      <c r="D241" s="8" t="s">
        <v>2741</v>
      </c>
      <c r="E241" t="s">
        <v>72</v>
      </c>
      <c r="F241" s="3">
        <v>287</v>
      </c>
      <c r="G241" s="3">
        <v>350.14</v>
      </c>
      <c r="H241" s="3">
        <f>G241-F241</f>
      </c>
      <c r="I241" s="3">
        <f>H241*16.67%</f>
      </c>
      <c r="J241" s="3">
        <f>G241*7%</f>
      </c>
      <c r="K241" s="3">
        <f>J241*20%</f>
      </c>
      <c r="L241" s="3">
        <v>0</v>
      </c>
      <c r="M241" s="3">
        <f>L241*20%</f>
      </c>
      <c r="N241" s="3">
        <v>1</v>
      </c>
      <c r="O241" s="3">
        <f>K241+M241</f>
      </c>
      <c r="P241" s="3">
        <f>H241-I241-J241-K241-L241-M241-N241</f>
      </c>
      <c r="Q241" s="3">
        <f>(P241-Y241)/F241*100</f>
      </c>
      <c r="R241" s="3">
        <f>I241-O241</f>
      </c>
      <c r="S241" t="s">
        <v>1</v>
      </c>
      <c r="T241" t="s">
        <v>97</v>
      </c>
      <c r="Z241" s="3">
        <f>P241-Y241</f>
      </c>
      <c r="AA241" t="s">
        <v>59</v>
      </c>
      <c r="AB241" t="s">
        <v>84</v>
      </c>
    </row>
    <row r="242" spans="1:28" x14ac:dyDescent="0.25">
      <c r="A242" s="7">
        <v>46188.5</v>
      </c>
      <c r="B242" t="s">
        <v>2742</v>
      </c>
      <c r="C242" t="s">
        <v>1</v>
      </c>
      <c r="D242" s="8" t="s">
        <v>2743</v>
      </c>
      <c r="E242" t="s">
        <v>72</v>
      </c>
      <c r="F242" s="3">
        <v>316</v>
      </c>
      <c r="G242" s="3">
        <v>439.24</v>
      </c>
      <c r="H242" s="3">
        <f>G242-F242</f>
      </c>
      <c r="I242" s="3">
        <f>H242*16.67%</f>
      </c>
      <c r="J242" s="3">
        <f>G242*7%</f>
      </c>
      <c r="K242" s="3">
        <f>J242*20%</f>
      </c>
      <c r="L242" s="3">
        <v>0</v>
      </c>
      <c r="M242" s="3">
        <f>L242*20%</f>
      </c>
      <c r="N242" s="3">
        <v>1</v>
      </c>
      <c r="O242" s="3">
        <f>K242+M242</f>
      </c>
      <c r="P242" s="3">
        <f>H242-I242-J242-K242-L242-M242-N242</f>
      </c>
      <c r="Q242" s="3">
        <f>(P242-Y242)/F242*100</f>
      </c>
      <c r="R242" s="3">
        <f>I242-O242</f>
      </c>
      <c r="S242" t="s">
        <v>1</v>
      </c>
      <c r="T242" t="s">
        <v>130</v>
      </c>
      <c r="Z242" s="3">
        <f>P242-Y242</f>
      </c>
      <c r="AA242" t="s">
        <v>65</v>
      </c>
      <c r="AB242" t="s">
        <v>69</v>
      </c>
    </row>
    <row r="243" spans="1:28" x14ac:dyDescent="0.25">
      <c r="A243" s="7">
        <v>46188.5</v>
      </c>
      <c r="B243" t="s">
        <v>2744</v>
      </c>
      <c r="C243" t="s">
        <v>1</v>
      </c>
      <c r="D243" s="8" t="s">
        <v>2745</v>
      </c>
      <c r="E243" t="s">
        <v>77</v>
      </c>
      <c r="F243" s="3">
        <v>231</v>
      </c>
      <c r="G243" s="3">
        <v>281.82</v>
      </c>
      <c r="H243" s="3">
        <f>G243-F243</f>
      </c>
      <c r="I243" s="3">
        <f>H243*16.67%</f>
      </c>
      <c r="J243" s="3">
        <f>G243*7%</f>
      </c>
      <c r="K243" s="3">
        <f>J243*20%</f>
      </c>
      <c r="L243" s="3">
        <v>0</v>
      </c>
      <c r="M243" s="3">
        <f>L243*20%</f>
      </c>
      <c r="N243" s="3">
        <v>1</v>
      </c>
      <c r="O243" s="3">
        <f>K243+M243</f>
      </c>
      <c r="P243" s="3">
        <f>H243-I243-J243-K243-L243-M243-N243</f>
      </c>
      <c r="Q243" s="3">
        <f>(P243-Y243)/F243*100</f>
      </c>
      <c r="R243" s="3">
        <f>I243-O243</f>
      </c>
      <c r="S243" t="s">
        <v>1</v>
      </c>
      <c r="T243" t="s">
        <v>64</v>
      </c>
      <c r="Z243" s="3">
        <f>P243-Y243</f>
      </c>
      <c r="AA243" t="s">
        <v>65</v>
      </c>
      <c r="AB243" t="s">
        <v>98</v>
      </c>
    </row>
    <row r="244" spans="1:28" x14ac:dyDescent="0.25">
      <c r="A244" s="7">
        <v>46188.5</v>
      </c>
      <c r="B244" t="s">
        <v>2746</v>
      </c>
      <c r="C244" t="s">
        <v>253</v>
      </c>
      <c r="D244" s="8" t="s">
        <v>1</v>
      </c>
      <c r="E244" t="s">
        <v>57</v>
      </c>
      <c r="F244" s="3">
        <v>0.8</v>
      </c>
      <c r="G244" s="3">
        <v>0.92</v>
      </c>
      <c r="H244" s="3">
        <f>G244-F244</f>
      </c>
      <c r="I244" s="3">
        <f>H244*16.67%</f>
      </c>
      <c r="J244" s="3">
        <f>G244*7%</f>
      </c>
      <c r="K244" s="3">
        <f>J244*20%</f>
      </c>
      <c r="L244" s="3">
        <v>0</v>
      </c>
      <c r="M244" s="3">
        <f>L244*20%</f>
      </c>
      <c r="N244" s="3">
        <v>1</v>
      </c>
      <c r="O244" s="3">
        <f>K244+M244</f>
      </c>
      <c r="P244" s="3">
        <f>H244-I244-J244-K244-L244-M244-N244</f>
      </c>
      <c r="Q244" s="3">
        <f>(P244-Y244)/F244*100</f>
      </c>
      <c r="R244" s="3">
        <f>I244-O244</f>
      </c>
      <c r="S244" t="s">
        <v>1</v>
      </c>
      <c r="T244" t="s">
        <v>253</v>
      </c>
      <c r="Z244" s="3">
        <f>P244-Y244</f>
      </c>
      <c r="AA244" t="s">
        <v>1</v>
      </c>
      <c r="AB244" t="s">
        <v>1</v>
      </c>
    </row>
    <row r="245" spans="1:28" x14ac:dyDescent="0.25">
      <c r="A245" s="7">
        <v>46188.5</v>
      </c>
      <c r="B245" t="s">
        <v>2747</v>
      </c>
      <c r="C245" t="s">
        <v>1</v>
      </c>
      <c r="D245" s="8" t="s">
        <v>1</v>
      </c>
      <c r="E245" t="s">
        <v>77</v>
      </c>
      <c r="F245" s="3">
        <v>340</v>
      </c>
      <c r="G245" s="3">
        <v>455.6</v>
      </c>
      <c r="H245" s="3">
        <f>G245-F245</f>
      </c>
      <c r="I245" s="3">
        <f>H245*16.67%</f>
      </c>
      <c r="J245" s="3">
        <f>G245*7%</f>
      </c>
      <c r="K245" s="3">
        <f>J245*20%</f>
      </c>
      <c r="L245" s="3">
        <v>0</v>
      </c>
      <c r="M245" s="3">
        <f>L245*20%</f>
      </c>
      <c r="N245" s="3">
        <v>1</v>
      </c>
      <c r="O245" s="3">
        <f>K245+M245</f>
      </c>
      <c r="P245" s="3">
        <f>H245-I245-J245-K245-L245-M245-N245</f>
      </c>
      <c r="Q245" s="3">
        <f>(P245-Y245)/F245*100</f>
      </c>
      <c r="R245" s="3">
        <f>I245-O245</f>
      </c>
      <c r="S245" t="s">
        <v>1</v>
      </c>
      <c r="T245" t="s">
        <v>1</v>
      </c>
      <c r="Z245" s="3">
        <f>P245-Y245</f>
      </c>
      <c r="AA245" t="s">
        <v>1</v>
      </c>
      <c r="AB245" t="s">
        <v>1</v>
      </c>
    </row>
    <row r="246" spans="1:28" x14ac:dyDescent="0.25">
      <c r="A246" s="7">
        <v>46187.5</v>
      </c>
      <c r="B246" t="s">
        <v>2748</v>
      </c>
      <c r="C246" t="s">
        <v>1</v>
      </c>
      <c r="D246" s="8" t="s">
        <v>2749</v>
      </c>
      <c r="E246" t="s">
        <v>63</v>
      </c>
      <c r="F246" s="3">
        <v>118</v>
      </c>
      <c r="G246" s="3">
        <v>142.78</v>
      </c>
      <c r="H246" s="3">
        <f>G246-F246</f>
      </c>
      <c r="I246" s="3">
        <f>H246*16.67%</f>
      </c>
      <c r="J246" s="3">
        <f>G246*7%</f>
      </c>
      <c r="K246" s="3">
        <f>J246*20%</f>
      </c>
      <c r="L246" s="3">
        <v>0</v>
      </c>
      <c r="M246" s="3">
        <f>L246*20%</f>
      </c>
      <c r="N246" s="3">
        <v>1</v>
      </c>
      <c r="O246" s="3">
        <f>K246+M246</f>
      </c>
      <c r="P246" s="3">
        <f>H246-I246-J246-K246-L246-M246-N246</f>
      </c>
      <c r="Q246" s="3">
        <f>(P246-Y246)/F246*100</f>
      </c>
      <c r="R246" s="3">
        <f>I246-O246</f>
      </c>
      <c r="S246" t="s">
        <v>1</v>
      </c>
      <c r="T246" t="s">
        <v>133</v>
      </c>
      <c r="Z246" s="3">
        <f>P246-Y246</f>
      </c>
      <c r="AA246" t="s">
        <v>94</v>
      </c>
      <c r="AB246" t="s">
        <v>69</v>
      </c>
    </row>
    <row r="247" spans="1:28" x14ac:dyDescent="0.25">
      <c r="A247" s="7">
        <v>46187.5</v>
      </c>
      <c r="B247" t="s">
        <v>2750</v>
      </c>
      <c r="C247" t="s">
        <v>1</v>
      </c>
      <c r="D247" s="8" t="s">
        <v>2751</v>
      </c>
      <c r="E247" t="s">
        <v>101</v>
      </c>
      <c r="F247" s="3">
        <v>522</v>
      </c>
      <c r="G247" s="3">
        <v>694.26</v>
      </c>
      <c r="H247" s="3">
        <f>G247-F247</f>
      </c>
      <c r="I247" s="3">
        <f>H247*16.67%</f>
      </c>
      <c r="J247" s="3">
        <f>G247*7%</f>
      </c>
      <c r="K247" s="3">
        <f>J247*20%</f>
      </c>
      <c r="L247" s="3">
        <v>0</v>
      </c>
      <c r="M247" s="3">
        <f>L247*20%</f>
      </c>
      <c r="N247" s="3">
        <v>1</v>
      </c>
      <c r="O247" s="3">
        <f>K247+M247</f>
      </c>
      <c r="P247" s="3">
        <f>H247-I247-J247-K247-L247-M247-N247</f>
      </c>
      <c r="Q247" s="3">
        <f>(P247-Y247)/F247*100</f>
      </c>
      <c r="R247" s="3">
        <f>I247-O247</f>
      </c>
      <c r="S247" t="s">
        <v>1</v>
      </c>
      <c r="T247" t="s">
        <v>80</v>
      </c>
      <c r="Z247" s="3">
        <f>P247-Y247</f>
      </c>
      <c r="AA247" t="s">
        <v>59</v>
      </c>
      <c r="AB247" t="s">
        <v>74</v>
      </c>
    </row>
    <row r="248" spans="1:28" x14ac:dyDescent="0.25">
      <c r="A248" s="7">
        <v>46187.5</v>
      </c>
      <c r="B248" t="s">
        <v>2752</v>
      </c>
      <c r="C248" t="s">
        <v>1</v>
      </c>
      <c r="D248" s="8" t="s">
        <v>2753</v>
      </c>
      <c r="E248" t="s">
        <v>57</v>
      </c>
      <c r="F248" s="3">
        <v>481</v>
      </c>
      <c r="G248" s="3">
        <v>610.87</v>
      </c>
      <c r="H248" s="3">
        <f>G248-F248</f>
      </c>
      <c r="I248" s="3">
        <f>H248*16.67%</f>
      </c>
      <c r="J248" s="3">
        <f>G248*7%</f>
      </c>
      <c r="K248" s="3">
        <f>J248*20%</f>
      </c>
      <c r="L248" s="3">
        <v>0</v>
      </c>
      <c r="M248" s="3">
        <f>L248*20%</f>
      </c>
      <c r="N248" s="3">
        <v>1</v>
      </c>
      <c r="O248" s="3">
        <f>K248+M248</f>
      </c>
      <c r="P248" s="3">
        <f>H248-I248-J248-K248-L248-M248-N248</f>
      </c>
      <c r="Q248" s="3">
        <f>(P248-Y248)/F248*100</f>
      </c>
      <c r="R248" s="3">
        <f>I248-O248</f>
      </c>
      <c r="S248" t="s">
        <v>1</v>
      </c>
      <c r="T248" t="s">
        <v>68</v>
      </c>
      <c r="Z248" s="3">
        <f>P248-Y248</f>
      </c>
      <c r="AA248" t="s">
        <v>59</v>
      </c>
      <c r="AB248" t="s">
        <v>98</v>
      </c>
    </row>
    <row r="249" spans="1:28" x14ac:dyDescent="0.25">
      <c r="A249" s="7">
        <v>46187.5</v>
      </c>
      <c r="B249" t="s">
        <v>2754</v>
      </c>
      <c r="C249" t="s">
        <v>1</v>
      </c>
      <c r="D249" s="8" t="s">
        <v>2755</v>
      </c>
      <c r="E249" t="s">
        <v>57</v>
      </c>
      <c r="F249" s="3">
        <v>292</v>
      </c>
      <c r="G249" s="3">
        <v>362.08</v>
      </c>
      <c r="H249" s="3">
        <f>G249-F249</f>
      </c>
      <c r="I249" s="3">
        <f>H249*16.67%</f>
      </c>
      <c r="J249" s="3">
        <f>G249*7%</f>
      </c>
      <c r="K249" s="3">
        <f>J249*20%</f>
      </c>
      <c r="L249" s="3">
        <v>0</v>
      </c>
      <c r="M249" s="3">
        <f>L249*20%</f>
      </c>
      <c r="N249" s="3">
        <v>1</v>
      </c>
      <c r="O249" s="3">
        <f>K249+M249</f>
      </c>
      <c r="P249" s="3">
        <f>H249-I249-J249-K249-L249-M249-N249</f>
      </c>
      <c r="Q249" s="3">
        <f>(P249-Y249)/F249*100</f>
      </c>
      <c r="R249" s="3">
        <f>I249-O249</f>
      </c>
      <c r="S249" t="s">
        <v>1</v>
      </c>
      <c r="T249" t="s">
        <v>97</v>
      </c>
      <c r="Z249" s="3">
        <f>P249-Y249</f>
      </c>
      <c r="AA249" t="s">
        <v>59</v>
      </c>
      <c r="AB249" t="s">
        <v>60</v>
      </c>
    </row>
    <row r="250" spans="1:28" x14ac:dyDescent="0.25">
      <c r="A250" s="7">
        <v>46187.5</v>
      </c>
      <c r="B250" t="s">
        <v>2756</v>
      </c>
      <c r="C250" t="s">
        <v>188</v>
      </c>
      <c r="D250" s="8" t="s">
        <v>1</v>
      </c>
      <c r="E250" t="s">
        <v>63</v>
      </c>
      <c r="F250" s="3">
        <v>3.5</v>
      </c>
      <c r="G250" s="3">
        <v>4.73</v>
      </c>
      <c r="H250" s="3">
        <f>G250-F250</f>
      </c>
      <c r="I250" s="3">
        <f>H250*16.67%</f>
      </c>
      <c r="J250" s="3">
        <f>G250*7%</f>
      </c>
      <c r="K250" s="3">
        <f>J250*20%</f>
      </c>
      <c r="L250" s="3">
        <v>0</v>
      </c>
      <c r="M250" s="3">
        <f>L250*20%</f>
      </c>
      <c r="N250" s="3">
        <v>1</v>
      </c>
      <c r="O250" s="3">
        <f>K250+M250</f>
      </c>
      <c r="P250" s="3">
        <f>H250-I250-J250-K250-L250-M250-N250</f>
      </c>
      <c r="Q250" s="3">
        <f>(P250-Y250)/F250*100</f>
      </c>
      <c r="R250" s="3">
        <f>I250-O250</f>
      </c>
      <c r="S250" t="s">
        <v>1</v>
      </c>
      <c r="T250" t="s">
        <v>188</v>
      </c>
      <c r="Z250" s="3">
        <f>P250-Y250</f>
      </c>
      <c r="AA250" t="s">
        <v>1</v>
      </c>
      <c r="AB250" t="s">
        <v>1</v>
      </c>
    </row>
    <row r="251" spans="1:28" x14ac:dyDescent="0.25">
      <c r="A251" s="7">
        <v>46187.5</v>
      </c>
      <c r="B251" t="s">
        <v>2757</v>
      </c>
      <c r="C251" t="s">
        <v>181</v>
      </c>
      <c r="D251" s="8" t="s">
        <v>1</v>
      </c>
      <c r="E251" t="s">
        <v>72</v>
      </c>
      <c r="F251" s="3">
        <v>1.9</v>
      </c>
      <c r="G251" s="3">
        <v>2.58</v>
      </c>
      <c r="H251" s="3">
        <f>G251-F251</f>
      </c>
      <c r="I251" s="3">
        <f>H251*16.67%</f>
      </c>
      <c r="J251" s="3">
        <f>G251*7%</f>
      </c>
      <c r="K251" s="3">
        <f>J251*20%</f>
      </c>
      <c r="L251" s="3">
        <v>0</v>
      </c>
      <c r="M251" s="3">
        <f>L251*20%</f>
      </c>
      <c r="N251" s="3">
        <v>1</v>
      </c>
      <c r="O251" s="3">
        <f>K251+M251</f>
      </c>
      <c r="P251" s="3">
        <f>H251-I251-J251-K251-L251-M251-N251</f>
      </c>
      <c r="Q251" s="3">
        <f>(P251-Y251)/F251*100</f>
      </c>
      <c r="R251" s="3">
        <f>I251-O251</f>
      </c>
      <c r="S251" t="s">
        <v>1</v>
      </c>
      <c r="T251" t="s">
        <v>181</v>
      </c>
      <c r="Z251" s="3">
        <f>P251-Y251</f>
      </c>
      <c r="AA251" t="s">
        <v>1</v>
      </c>
      <c r="AB251" t="s">
        <v>1</v>
      </c>
    </row>
    <row r="252" spans="1:28" x14ac:dyDescent="0.25">
      <c r="A252" s="7">
        <v>46186.5</v>
      </c>
      <c r="B252" t="s">
        <v>2758</v>
      </c>
      <c r="C252" t="s">
        <v>1</v>
      </c>
      <c r="D252" s="8" t="s">
        <v>2759</v>
      </c>
      <c r="E252" t="s">
        <v>72</v>
      </c>
      <c r="F252" s="3">
        <v>244</v>
      </c>
      <c r="G252" s="3">
        <v>329.4</v>
      </c>
      <c r="H252" s="3">
        <f>G252-F252</f>
      </c>
      <c r="I252" s="3">
        <f>H252*16.67%</f>
      </c>
      <c r="J252" s="3">
        <f>G252*7%</f>
      </c>
      <c r="K252" s="3">
        <f>J252*20%</f>
      </c>
      <c r="L252" s="3">
        <v>0</v>
      </c>
      <c r="M252" s="3">
        <f>L252*20%</f>
      </c>
      <c r="N252" s="3">
        <v>1</v>
      </c>
      <c r="O252" s="3">
        <f>K252+M252</f>
      </c>
      <c r="P252" s="3">
        <f>H252-I252-J252-K252-L252-M252-N252</f>
      </c>
      <c r="Q252" s="3">
        <f>(P252-Y252)/F252*100</f>
      </c>
      <c r="R252" s="3">
        <f>I252-O252</f>
      </c>
      <c r="S252" t="s">
        <v>1</v>
      </c>
      <c r="T252" t="s">
        <v>113</v>
      </c>
      <c r="Z252" s="3">
        <f>P252-Y252</f>
      </c>
      <c r="AA252" t="s">
        <v>94</v>
      </c>
      <c r="AB252" t="s">
        <v>84</v>
      </c>
    </row>
    <row r="253" spans="1:28" x14ac:dyDescent="0.25">
      <c r="A253" s="7">
        <v>46186.5</v>
      </c>
      <c r="B253" t="s">
        <v>2760</v>
      </c>
      <c r="C253" t="s">
        <v>1</v>
      </c>
      <c r="D253" s="8" t="s">
        <v>2761</v>
      </c>
      <c r="E253" t="s">
        <v>77</v>
      </c>
      <c r="F253" s="3">
        <v>294</v>
      </c>
      <c r="G253" s="3">
        <v>423.36</v>
      </c>
      <c r="H253" s="3">
        <f>G253-F253</f>
      </c>
      <c r="I253" s="3">
        <f>H253*16.67%</f>
      </c>
      <c r="J253" s="3">
        <f>G253*7%</f>
      </c>
      <c r="K253" s="3">
        <f>J253*20%</f>
      </c>
      <c r="L253" s="3">
        <v>0</v>
      </c>
      <c r="M253" s="3">
        <f>L253*20%</f>
      </c>
      <c r="N253" s="3">
        <v>1</v>
      </c>
      <c r="O253" s="3">
        <f>K253+M253</f>
      </c>
      <c r="P253" s="3">
        <f>H253-I253-J253-K253-L253-M253-N253</f>
      </c>
      <c r="Q253" s="3">
        <f>(P253-Y253)/F253*100</f>
      </c>
      <c r="R253" s="3">
        <f>I253-O253</f>
      </c>
      <c r="S253" t="s">
        <v>1</v>
      </c>
      <c r="T253" t="s">
        <v>97</v>
      </c>
      <c r="Z253" s="3">
        <f>P253-Y253</f>
      </c>
      <c r="AA253" t="s">
        <v>65</v>
      </c>
      <c r="AB253" t="s">
        <v>104</v>
      </c>
    </row>
    <row r="254" spans="1:28" x14ac:dyDescent="0.25">
      <c r="A254" s="7">
        <v>46186.5</v>
      </c>
      <c r="B254" t="s">
        <v>2762</v>
      </c>
      <c r="C254" t="s">
        <v>1</v>
      </c>
      <c r="D254" s="8" t="s">
        <v>2763</v>
      </c>
      <c r="E254" t="s">
        <v>77</v>
      </c>
      <c r="F254" s="3">
        <v>318</v>
      </c>
      <c r="G254" s="3">
        <v>391.14</v>
      </c>
      <c r="H254" s="3">
        <f>G254-F254</f>
      </c>
      <c r="I254" s="3">
        <f>H254*16.67%</f>
      </c>
      <c r="J254" s="3">
        <f>G254*7%</f>
      </c>
      <c r="K254" s="3">
        <f>J254*20%</f>
      </c>
      <c r="L254" s="3">
        <v>0</v>
      </c>
      <c r="M254" s="3">
        <f>L254*20%</f>
      </c>
      <c r="N254" s="3">
        <v>1</v>
      </c>
      <c r="O254" s="3">
        <f>K254+M254</f>
      </c>
      <c r="P254" s="3">
        <f>H254-I254-J254-K254-L254-M254-N254</f>
      </c>
      <c r="Q254" s="3">
        <f>(P254-Y254)/F254*100</f>
      </c>
      <c r="R254" s="3">
        <f>I254-O254</f>
      </c>
      <c r="S254" t="s">
        <v>1</v>
      </c>
      <c r="T254" t="s">
        <v>97</v>
      </c>
      <c r="Z254" s="3">
        <f>P254-Y254</f>
      </c>
      <c r="AA254" t="s">
        <v>65</v>
      </c>
      <c r="AB254" t="s">
        <v>104</v>
      </c>
    </row>
    <row r="255" spans="1:28" x14ac:dyDescent="0.25">
      <c r="A255" s="7">
        <v>46185.5</v>
      </c>
      <c r="B255" t="s">
        <v>2764</v>
      </c>
      <c r="C255" t="s">
        <v>1</v>
      </c>
      <c r="D255" s="8" t="s">
        <v>2765</v>
      </c>
      <c r="E255" t="s">
        <v>57</v>
      </c>
      <c r="F255" s="3">
        <v>190</v>
      </c>
      <c r="G255" s="3">
        <v>228</v>
      </c>
      <c r="H255" s="3">
        <f>G255-F255</f>
      </c>
      <c r="I255" s="3">
        <f>H255*16.67%</f>
      </c>
      <c r="J255" s="3">
        <f>G255*7%</f>
      </c>
      <c r="K255" s="3">
        <f>J255*20%</f>
      </c>
      <c r="L255" s="3">
        <v>0</v>
      </c>
      <c r="M255" s="3">
        <f>L255*20%</f>
      </c>
      <c r="N255" s="3">
        <v>1</v>
      </c>
      <c r="O255" s="3">
        <f>K255+M255</f>
      </c>
      <c r="P255" s="3">
        <f>H255-I255-J255-K255-L255-M255-N255</f>
      </c>
      <c r="Q255" s="3">
        <f>(P255-Y255)/F255*100</f>
      </c>
      <c r="R255" s="3">
        <f>I255-O255</f>
      </c>
      <c r="S255" t="s">
        <v>1</v>
      </c>
      <c r="T255" t="s">
        <v>291</v>
      </c>
      <c r="Z255" s="3">
        <f>P255-Y255</f>
      </c>
      <c r="AA255" t="s">
        <v>125</v>
      </c>
      <c r="AB255" t="s">
        <v>60</v>
      </c>
    </row>
    <row r="256" spans="1:28" x14ac:dyDescent="0.25">
      <c r="A256" s="7">
        <v>46185.5</v>
      </c>
      <c r="B256" t="s">
        <v>2766</v>
      </c>
      <c r="C256" t="s">
        <v>1</v>
      </c>
      <c r="D256" s="8" t="s">
        <v>2767</v>
      </c>
      <c r="E256" t="s">
        <v>72</v>
      </c>
      <c r="F256" s="3">
        <v>523</v>
      </c>
      <c r="G256" s="3">
        <v>700.82</v>
      </c>
      <c r="H256" s="3">
        <f>G256-F256</f>
      </c>
      <c r="I256" s="3">
        <f>H256*16.67%</f>
      </c>
      <c r="J256" s="3">
        <f>G256*7%</f>
      </c>
      <c r="K256" s="3">
        <f>J256*20%</f>
      </c>
      <c r="L256" s="3">
        <v>0</v>
      </c>
      <c r="M256" s="3">
        <f>L256*20%</f>
      </c>
      <c r="N256" s="3">
        <v>1</v>
      </c>
      <c r="O256" s="3">
        <f>K256+M256</f>
      </c>
      <c r="P256" s="3">
        <f>H256-I256-J256-K256-L256-M256-N256</f>
      </c>
      <c r="Q256" s="3">
        <f>(P256-Y256)/F256*100</f>
      </c>
      <c r="R256" s="3">
        <f>I256-O256</f>
      </c>
      <c r="S256" t="s">
        <v>1</v>
      </c>
      <c r="T256" t="s">
        <v>80</v>
      </c>
      <c r="Z256" s="3">
        <f>P256-Y256</f>
      </c>
      <c r="AA256" t="s">
        <v>65</v>
      </c>
      <c r="AB256" t="s">
        <v>87</v>
      </c>
    </row>
    <row r="257" spans="1:28" x14ac:dyDescent="0.25">
      <c r="A257" s="7">
        <v>46185.5</v>
      </c>
      <c r="B257" t="s">
        <v>2768</v>
      </c>
      <c r="C257" t="s">
        <v>176</v>
      </c>
      <c r="D257" s="8" t="s">
        <v>1</v>
      </c>
      <c r="E257" t="s">
        <v>77</v>
      </c>
      <c r="F257" s="3">
        <v>0.15</v>
      </c>
      <c r="G257" s="3">
        <v>0.21</v>
      </c>
      <c r="H257" s="3">
        <f>G257-F257</f>
      </c>
      <c r="I257" s="3">
        <f>H257*16.67%</f>
      </c>
      <c r="J257" s="3">
        <f>G257*7%</f>
      </c>
      <c r="K257" s="3">
        <f>J257*20%</f>
      </c>
      <c r="L257" s="3">
        <v>0</v>
      </c>
      <c r="M257" s="3">
        <f>L257*20%</f>
      </c>
      <c r="N257" s="3">
        <v>1</v>
      </c>
      <c r="O257" s="3">
        <f>K257+M257</f>
      </c>
      <c r="P257" s="3">
        <f>H257-I257-J257-K257-L257-M257-N257</f>
      </c>
      <c r="Q257" s="3">
        <f>(P257-Y257)/F257*100</f>
      </c>
      <c r="R257" s="3">
        <f>I257-O257</f>
      </c>
      <c r="S257" t="s">
        <v>1</v>
      </c>
      <c r="T257" t="s">
        <v>176</v>
      </c>
      <c r="Z257" s="3">
        <f>P257-Y257</f>
      </c>
      <c r="AA257" t="s">
        <v>1</v>
      </c>
      <c r="AB257" t="s">
        <v>1</v>
      </c>
    </row>
    <row r="258" spans="1:28" x14ac:dyDescent="0.25">
      <c r="A258" s="7">
        <v>46185.5</v>
      </c>
      <c r="B258" t="s">
        <v>2769</v>
      </c>
      <c r="C258" t="s">
        <v>184</v>
      </c>
      <c r="D258" s="8" t="s">
        <v>1</v>
      </c>
      <c r="E258" t="s">
        <v>101</v>
      </c>
      <c r="F258" s="3">
        <v>1.2</v>
      </c>
      <c r="G258" s="3">
        <v>1.51</v>
      </c>
      <c r="H258" s="3">
        <f>G258-F258</f>
      </c>
      <c r="I258" s="3">
        <f>H258*16.67%</f>
      </c>
      <c r="J258" s="3">
        <f>G258*7%</f>
      </c>
      <c r="K258" s="3">
        <f>J258*20%</f>
      </c>
      <c r="L258" s="3">
        <v>0</v>
      </c>
      <c r="M258" s="3">
        <f>L258*20%</f>
      </c>
      <c r="N258" s="3">
        <v>1</v>
      </c>
      <c r="O258" s="3">
        <f>K258+M258</f>
      </c>
      <c r="P258" s="3">
        <f>H258-I258-J258-K258-L258-M258-N258</f>
      </c>
      <c r="Q258" s="3">
        <f>(P258-Y258)/F258*100</f>
      </c>
      <c r="R258" s="3">
        <f>I258-O258</f>
      </c>
      <c r="S258" t="s">
        <v>1</v>
      </c>
      <c r="T258" t="s">
        <v>184</v>
      </c>
      <c r="Z258" s="3">
        <f>P258-Y258</f>
      </c>
      <c r="AA258" t="s">
        <v>1</v>
      </c>
      <c r="AB258" t="s">
        <v>1</v>
      </c>
    </row>
    <row r="259" spans="1:28" x14ac:dyDescent="0.25">
      <c r="A259" s="7">
        <v>46184.5</v>
      </c>
      <c r="B259" t="s">
        <v>2770</v>
      </c>
      <c r="C259" t="s">
        <v>1</v>
      </c>
      <c r="D259" s="8" t="s">
        <v>2771</v>
      </c>
      <c r="E259" t="s">
        <v>57</v>
      </c>
      <c r="F259" s="3">
        <v>281</v>
      </c>
      <c r="G259" s="3">
        <v>396.21</v>
      </c>
      <c r="H259" s="3">
        <f>G259-F259</f>
      </c>
      <c r="I259" s="3">
        <f>H259*16.67%</f>
      </c>
      <c r="J259" s="3">
        <f>G259*7%</f>
      </c>
      <c r="K259" s="3">
        <f>J259*20%</f>
      </c>
      <c r="L259" s="3">
        <v>0</v>
      </c>
      <c r="M259" s="3">
        <f>L259*20%</f>
      </c>
      <c r="N259" s="3">
        <v>1</v>
      </c>
      <c r="O259" s="3">
        <f>K259+M259</f>
      </c>
      <c r="P259" s="3">
        <f>H259-I259-J259-K259-L259-M259-N259</f>
      </c>
      <c r="Q259" s="3">
        <f>(P259-Y259)/F259*100</f>
      </c>
      <c r="R259" s="3">
        <f>I259-O259</f>
      </c>
      <c r="S259" t="s">
        <v>1</v>
      </c>
      <c r="T259" t="s">
        <v>124</v>
      </c>
      <c r="Z259" s="3">
        <f>P259-Y259</f>
      </c>
      <c r="AA259" t="s">
        <v>125</v>
      </c>
      <c r="AB259" t="s">
        <v>84</v>
      </c>
    </row>
    <row r="260" spans="1:28" x14ac:dyDescent="0.25">
      <c r="A260" s="7">
        <v>46184.5</v>
      </c>
      <c r="B260" t="s">
        <v>2772</v>
      </c>
      <c r="C260" t="s">
        <v>1</v>
      </c>
      <c r="D260" s="8" t="s">
        <v>2773</v>
      </c>
      <c r="E260" t="s">
        <v>101</v>
      </c>
      <c r="F260" s="3">
        <v>165</v>
      </c>
      <c r="G260" s="3">
        <v>207.9</v>
      </c>
      <c r="H260" s="3">
        <f>G260-F260</f>
      </c>
      <c r="I260" s="3">
        <f>H260*16.67%</f>
      </c>
      <c r="J260" s="3">
        <f>G260*7%</f>
      </c>
      <c r="K260" s="3">
        <f>J260*20%</f>
      </c>
      <c r="L260" s="3">
        <v>0</v>
      </c>
      <c r="M260" s="3">
        <f>L260*20%</f>
      </c>
      <c r="N260" s="3">
        <v>1</v>
      </c>
      <c r="O260" s="3">
        <f>K260+M260</f>
      </c>
      <c r="P260" s="3">
        <f>H260-I260-J260-K260-L260-M260-N260</f>
      </c>
      <c r="Q260" s="3">
        <f>(P260-Y260)/F260*100</f>
      </c>
      <c r="R260" s="3">
        <f>I260-O260</f>
      </c>
      <c r="S260" t="s">
        <v>1</v>
      </c>
      <c r="T260" t="s">
        <v>233</v>
      </c>
      <c r="Z260" s="3">
        <f>P260-Y260</f>
      </c>
      <c r="AA260" t="s">
        <v>65</v>
      </c>
      <c r="AB260" t="s">
        <v>69</v>
      </c>
    </row>
    <row r="261" spans="1:28" x14ac:dyDescent="0.25">
      <c r="A261" s="7">
        <v>46184.5</v>
      </c>
      <c r="B261" t="s">
        <v>2774</v>
      </c>
      <c r="C261" t="s">
        <v>181</v>
      </c>
      <c r="D261" s="8" t="s">
        <v>1</v>
      </c>
      <c r="E261" t="s">
        <v>72</v>
      </c>
      <c r="F261" s="3">
        <v>1.9</v>
      </c>
      <c r="G261" s="3">
        <v>2.49</v>
      </c>
      <c r="H261" s="3">
        <f>G261-F261</f>
      </c>
      <c r="I261" s="3">
        <f>H261*16.67%</f>
      </c>
      <c r="J261" s="3">
        <f>G261*7%</f>
      </c>
      <c r="K261" s="3">
        <f>J261*20%</f>
      </c>
      <c r="L261" s="3">
        <v>0</v>
      </c>
      <c r="M261" s="3">
        <f>L261*20%</f>
      </c>
      <c r="N261" s="3">
        <v>1</v>
      </c>
      <c r="O261" s="3">
        <f>K261+M261</f>
      </c>
      <c r="P261" s="3">
        <f>H261-I261-J261-K261-L261-M261-N261</f>
      </c>
      <c r="Q261" s="3">
        <f>(P261-Y261)/F261*100</f>
      </c>
      <c r="R261" s="3">
        <f>I261-O261</f>
      </c>
      <c r="S261" t="s">
        <v>1</v>
      </c>
      <c r="T261" t="s">
        <v>181</v>
      </c>
      <c r="Z261" s="3">
        <f>P261-Y261</f>
      </c>
      <c r="AA261" t="s">
        <v>1</v>
      </c>
      <c r="AB261" t="s">
        <v>1</v>
      </c>
    </row>
    <row r="262" spans="1:28" x14ac:dyDescent="0.25">
      <c r="A262" s="7">
        <v>46183.5</v>
      </c>
      <c r="B262" t="s">
        <v>2775</v>
      </c>
      <c r="C262" t="s">
        <v>1</v>
      </c>
      <c r="D262" s="8" t="s">
        <v>2776</v>
      </c>
      <c r="E262" t="s">
        <v>63</v>
      </c>
      <c r="F262" s="3">
        <v>672</v>
      </c>
      <c r="G262" s="3">
        <v>887.04</v>
      </c>
      <c r="H262" s="3">
        <f>G262-F262</f>
      </c>
      <c r="I262" s="3">
        <f>H262*16.67%</f>
      </c>
      <c r="J262" s="3">
        <f>G262*7%</f>
      </c>
      <c r="K262" s="3">
        <f>J262*20%</f>
      </c>
      <c r="L262" s="3">
        <v>0</v>
      </c>
      <c r="M262" s="3">
        <f>L262*20%</f>
      </c>
      <c r="N262" s="3">
        <v>1</v>
      </c>
      <c r="O262" s="3">
        <f>K262+M262</f>
      </c>
      <c r="P262" s="3">
        <f>H262-I262-J262-K262-L262-M262-N262</f>
      </c>
      <c r="Q262" s="3">
        <f>(P262-Y262)/F262*100</f>
      </c>
      <c r="R262" s="3">
        <f>I262-O262</f>
      </c>
      <c r="S262" t="s">
        <v>1</v>
      </c>
      <c r="T262" t="s">
        <v>83</v>
      </c>
      <c r="Z262" s="3">
        <f>P262-Y262</f>
      </c>
      <c r="AA262" t="s">
        <v>59</v>
      </c>
      <c r="AB262" t="s">
        <v>98</v>
      </c>
    </row>
    <row r="263" spans="1:28" x14ac:dyDescent="0.25">
      <c r="A263" s="7">
        <v>46183.5</v>
      </c>
      <c r="B263" t="s">
        <v>2777</v>
      </c>
      <c r="C263" t="s">
        <v>1</v>
      </c>
      <c r="D263" s="8" t="s">
        <v>2778</v>
      </c>
      <c r="E263" t="s">
        <v>72</v>
      </c>
      <c r="F263" s="3">
        <v>223</v>
      </c>
      <c r="G263" s="3">
        <v>307.74</v>
      </c>
      <c r="H263" s="3">
        <f>G263-F263</f>
      </c>
      <c r="I263" s="3">
        <f>H263*16.67%</f>
      </c>
      <c r="J263" s="3">
        <f>G263*7%</f>
      </c>
      <c r="K263" s="3">
        <f>J263*20%</f>
      </c>
      <c r="L263" s="3">
        <v>0</v>
      </c>
      <c r="M263" s="3">
        <f>L263*20%</f>
      </c>
      <c r="N263" s="3">
        <v>1</v>
      </c>
      <c r="O263" s="3">
        <f>K263+M263</f>
      </c>
      <c r="P263" s="3">
        <f>H263-I263-J263-K263-L263-M263-N263</f>
      </c>
      <c r="Q263" s="3">
        <f>(P263-Y263)/F263*100</f>
      </c>
      <c r="R263" s="3">
        <f>I263-O263</f>
      </c>
      <c r="S263" t="s">
        <v>1</v>
      </c>
      <c r="T263" t="s">
        <v>124</v>
      </c>
      <c r="Z263" s="3">
        <f>P263-Y263</f>
      </c>
      <c r="AA263" t="s">
        <v>125</v>
      </c>
      <c r="AB263" t="s">
        <v>69</v>
      </c>
    </row>
    <row r="264" spans="1:28" x14ac:dyDescent="0.25">
      <c r="A264" s="7">
        <v>46183.5</v>
      </c>
      <c r="B264" t="s">
        <v>2779</v>
      </c>
      <c r="C264" t="s">
        <v>184</v>
      </c>
      <c r="D264" s="8" t="s">
        <v>1</v>
      </c>
      <c r="E264" t="s">
        <v>101</v>
      </c>
      <c r="F264" s="3">
        <v>1.2</v>
      </c>
      <c r="G264" s="3">
        <v>1.52</v>
      </c>
      <c r="H264" s="3">
        <f>G264-F264</f>
      </c>
      <c r="I264" s="3">
        <f>H264*16.67%</f>
      </c>
      <c r="J264" s="3">
        <f>G264*7%</f>
      </c>
      <c r="K264" s="3">
        <f>J264*20%</f>
      </c>
      <c r="L264" s="3">
        <v>0</v>
      </c>
      <c r="M264" s="3">
        <f>L264*20%</f>
      </c>
      <c r="N264" s="3">
        <v>1</v>
      </c>
      <c r="O264" s="3">
        <f>K264+M264</f>
      </c>
      <c r="P264" s="3">
        <f>H264-I264-J264-K264-L264-M264-N264</f>
      </c>
      <c r="Q264" s="3">
        <f>(P264-Y264)/F264*100</f>
      </c>
      <c r="R264" s="3">
        <f>I264-O264</f>
      </c>
      <c r="S264" t="s">
        <v>1</v>
      </c>
      <c r="T264" t="s">
        <v>184</v>
      </c>
      <c r="Z264" s="3">
        <f>P264-Y264</f>
      </c>
      <c r="AA264" t="s">
        <v>1</v>
      </c>
      <c r="AB264" t="s">
        <v>1</v>
      </c>
    </row>
    <row r="265" spans="1:28" x14ac:dyDescent="0.25">
      <c r="A265" s="7">
        <v>46182.5</v>
      </c>
      <c r="B265" t="s">
        <v>2780</v>
      </c>
      <c r="C265" t="s">
        <v>1</v>
      </c>
      <c r="D265" s="8" t="s">
        <v>2781</v>
      </c>
      <c r="E265" t="s">
        <v>57</v>
      </c>
      <c r="F265" s="3">
        <v>229</v>
      </c>
      <c r="G265" s="3">
        <v>283.96</v>
      </c>
      <c r="H265" s="3">
        <f>G265-F265</f>
      </c>
      <c r="I265" s="3">
        <f>H265*16.67%</f>
      </c>
      <c r="J265" s="3">
        <f>G265*7%</f>
      </c>
      <c r="K265" s="3">
        <f>J265*20%</f>
      </c>
      <c r="L265" s="3">
        <v>0</v>
      </c>
      <c r="M265" s="3">
        <f>L265*20%</f>
      </c>
      <c r="N265" s="3">
        <v>1</v>
      </c>
      <c r="O265" s="3">
        <f>K265+M265</f>
      </c>
      <c r="P265" s="3">
        <f>H265-I265-J265-K265-L265-M265-N265</f>
      </c>
      <c r="Q265" s="3">
        <f>(P265-Y265)/F265*100</f>
      </c>
      <c r="R265" s="3">
        <f>I265-O265</f>
      </c>
      <c r="S265" t="s">
        <v>1</v>
      </c>
      <c r="T265" t="s">
        <v>113</v>
      </c>
      <c r="Z265" s="3">
        <f>P265-Y265</f>
      </c>
      <c r="AA265" t="s">
        <v>59</v>
      </c>
      <c r="AB265" t="s">
        <v>87</v>
      </c>
    </row>
    <row r="266" spans="1:28" x14ac:dyDescent="0.25">
      <c r="A266" s="7">
        <v>46182.5</v>
      </c>
      <c r="B266" t="s">
        <v>2782</v>
      </c>
      <c r="C266" t="s">
        <v>1</v>
      </c>
      <c r="D266" s="8" t="s">
        <v>2783</v>
      </c>
      <c r="E266" t="s">
        <v>72</v>
      </c>
      <c r="F266" s="3">
        <v>336</v>
      </c>
      <c r="G266" s="3">
        <v>416.64</v>
      </c>
      <c r="H266" s="3">
        <f>G266-F266</f>
      </c>
      <c r="I266" s="3">
        <f>H266*16.67%</f>
      </c>
      <c r="J266" s="3">
        <f>G266*7%</f>
      </c>
      <c r="K266" s="3">
        <f>J266*20%</f>
      </c>
      <c r="L266" s="3">
        <v>0</v>
      </c>
      <c r="M266" s="3">
        <f>L266*20%</f>
      </c>
      <c r="N266" s="3">
        <v>1</v>
      </c>
      <c r="O266" s="3">
        <f>K266+M266</f>
      </c>
      <c r="P266" s="3">
        <f>H266-I266-J266-K266-L266-M266-N266</f>
      </c>
      <c r="Q266" s="3">
        <f>(P266-Y266)/F266*100</f>
      </c>
      <c r="R266" s="3">
        <f>I266-O266</f>
      </c>
      <c r="S266" t="s">
        <v>1</v>
      </c>
      <c r="T266" t="s">
        <v>97</v>
      </c>
      <c r="Z266" s="3">
        <f>P266-Y266</f>
      </c>
      <c r="AA266" t="s">
        <v>65</v>
      </c>
      <c r="AB266" t="s">
        <v>69</v>
      </c>
    </row>
    <row r="267" spans="1:28" x14ac:dyDescent="0.25">
      <c r="A267" s="7">
        <v>46182.5</v>
      </c>
      <c r="B267" t="s">
        <v>2784</v>
      </c>
      <c r="C267" t="s">
        <v>1</v>
      </c>
      <c r="D267" s="8" t="s">
        <v>2785</v>
      </c>
      <c r="E267" t="s">
        <v>72</v>
      </c>
      <c r="F267" s="3">
        <v>331</v>
      </c>
      <c r="G267" s="3">
        <v>420.37</v>
      </c>
      <c r="H267" s="3">
        <f>G267-F267</f>
      </c>
      <c r="I267" s="3">
        <f>H267*16.67%</f>
      </c>
      <c r="J267" s="3">
        <f>G267*7%</f>
      </c>
      <c r="K267" s="3">
        <f>J267*20%</f>
      </c>
      <c r="L267" s="3">
        <v>0</v>
      </c>
      <c r="M267" s="3">
        <f>L267*20%</f>
      </c>
      <c r="N267" s="3">
        <v>1</v>
      </c>
      <c r="O267" s="3">
        <f>K267+M267</f>
      </c>
      <c r="P267" s="3">
        <f>H267-I267-J267-K267-L267-M267-N267</f>
      </c>
      <c r="Q267" s="3">
        <f>(P267-Y267)/F267*100</f>
      </c>
      <c r="R267" s="3">
        <f>I267-O267</f>
      </c>
      <c r="S267" t="s">
        <v>1</v>
      </c>
      <c r="T267" t="s">
        <v>73</v>
      </c>
      <c r="Z267" s="3">
        <f>P267-Y267</f>
      </c>
      <c r="AA267" t="s">
        <v>59</v>
      </c>
      <c r="AB267" t="s">
        <v>87</v>
      </c>
    </row>
    <row r="268" spans="1:28" x14ac:dyDescent="0.25">
      <c r="A268" s="7">
        <v>46182.5</v>
      </c>
      <c r="B268" t="s">
        <v>2786</v>
      </c>
      <c r="C268" t="s">
        <v>1</v>
      </c>
      <c r="D268" s="8" t="s">
        <v>2787</v>
      </c>
      <c r="E268" t="s">
        <v>101</v>
      </c>
      <c r="F268" s="3">
        <v>329</v>
      </c>
      <c r="G268" s="3">
        <v>440.86</v>
      </c>
      <c r="H268" s="3">
        <f>G268-F268</f>
      </c>
      <c r="I268" s="3">
        <f>H268*16.67%</f>
      </c>
      <c r="J268" s="3">
        <f>G268*7%</f>
      </c>
      <c r="K268" s="3">
        <f>J268*20%</f>
      </c>
      <c r="L268" s="3">
        <v>0</v>
      </c>
      <c r="M268" s="3">
        <f>L268*20%</f>
      </c>
      <c r="N268" s="3">
        <v>1</v>
      </c>
      <c r="O268" s="3">
        <f>K268+M268</f>
      </c>
      <c r="P268" s="3">
        <f>H268-I268-J268-K268-L268-M268-N268</f>
      </c>
      <c r="Q268" s="3">
        <f>(P268-Y268)/F268*100</f>
      </c>
      <c r="R268" s="3">
        <f>I268-O268</f>
      </c>
      <c r="S268" t="s">
        <v>1</v>
      </c>
      <c r="T268" t="s">
        <v>97</v>
      </c>
      <c r="Z268" s="3">
        <f>P268-Y268</f>
      </c>
      <c r="AA268" t="s">
        <v>59</v>
      </c>
      <c r="AB268" t="s">
        <v>74</v>
      </c>
    </row>
    <row r="269" spans="1:28" x14ac:dyDescent="0.25">
      <c r="A269" s="7">
        <v>46182.5</v>
      </c>
      <c r="B269" t="s">
        <v>2788</v>
      </c>
      <c r="C269" t="s">
        <v>173</v>
      </c>
      <c r="D269" s="8" t="s">
        <v>1</v>
      </c>
      <c r="E269" t="s">
        <v>63</v>
      </c>
      <c r="F269" s="3">
        <v>4.25</v>
      </c>
      <c r="G269" s="3">
        <v>5.78</v>
      </c>
      <c r="H269" s="3">
        <f>G269-F269</f>
      </c>
      <c r="I269" s="3">
        <f>H269*16.67%</f>
      </c>
      <c r="J269" s="3">
        <f>G269*7%</f>
      </c>
      <c r="K269" s="3">
        <f>J269*20%</f>
      </c>
      <c r="L269" s="3">
        <v>0</v>
      </c>
      <c r="M269" s="3">
        <f>L269*20%</f>
      </c>
      <c r="N269" s="3">
        <v>1</v>
      </c>
      <c r="O269" s="3">
        <f>K269+M269</f>
      </c>
      <c r="P269" s="3">
        <f>H269-I269-J269-K269-L269-M269-N269</f>
      </c>
      <c r="Q269" s="3">
        <f>(P269-Y269)/F269*100</f>
      </c>
      <c r="R269" s="3">
        <f>I269-O269</f>
      </c>
      <c r="S269" t="s">
        <v>1</v>
      </c>
      <c r="T269" t="s">
        <v>173</v>
      </c>
      <c r="Z269" s="3">
        <f>P269-Y269</f>
      </c>
      <c r="AA269" t="s">
        <v>1</v>
      </c>
      <c r="AB269" t="s">
        <v>1</v>
      </c>
    </row>
    <row r="270" spans="1:28" x14ac:dyDescent="0.25">
      <c r="A270" s="7">
        <v>46182.5</v>
      </c>
      <c r="B270" t="s">
        <v>2789</v>
      </c>
      <c r="C270" t="s">
        <v>253</v>
      </c>
      <c r="D270" s="8" t="s">
        <v>1</v>
      </c>
      <c r="E270" t="s">
        <v>57</v>
      </c>
      <c r="F270" s="3">
        <v>0.8</v>
      </c>
      <c r="G270" s="3">
        <v>1.11</v>
      </c>
      <c r="H270" s="3">
        <f>G270-F270</f>
      </c>
      <c r="I270" s="3">
        <f>H270*16.67%</f>
      </c>
      <c r="J270" s="3">
        <f>G270*7%</f>
      </c>
      <c r="K270" s="3">
        <f>J270*20%</f>
      </c>
      <c r="L270" s="3">
        <v>0</v>
      </c>
      <c r="M270" s="3">
        <f>L270*20%</f>
      </c>
      <c r="N270" s="3">
        <v>1</v>
      </c>
      <c r="O270" s="3">
        <f>K270+M270</f>
      </c>
      <c r="P270" s="3">
        <f>H270-I270-J270-K270-L270-M270-N270</f>
      </c>
      <c r="Q270" s="3">
        <f>(P270-Y270)/F270*100</f>
      </c>
      <c r="R270" s="3">
        <f>I270-O270</f>
      </c>
      <c r="S270" t="s">
        <v>1</v>
      </c>
      <c r="T270" t="s">
        <v>253</v>
      </c>
      <c r="Z270" s="3">
        <f>P270-Y270</f>
      </c>
      <c r="AA270" t="s">
        <v>1</v>
      </c>
      <c r="AB270" t="s">
        <v>1</v>
      </c>
    </row>
    <row r="271" spans="1:28" x14ac:dyDescent="0.25">
      <c r="A271" s="7">
        <v>46182.5</v>
      </c>
      <c r="B271" t="s">
        <v>2790</v>
      </c>
      <c r="C271" t="s">
        <v>1</v>
      </c>
      <c r="D271" s="8" t="s">
        <v>1</v>
      </c>
      <c r="E271" t="s">
        <v>63</v>
      </c>
      <c r="F271" s="3">
        <v>61</v>
      </c>
      <c r="G271" s="3">
        <v>77.47</v>
      </c>
      <c r="H271" s="3">
        <f>G271-F271</f>
      </c>
      <c r="I271" s="3">
        <f>H271*16.67%</f>
      </c>
      <c r="J271" s="3">
        <f>G271*7%</f>
      </c>
      <c r="K271" s="3">
        <f>J271*20%</f>
      </c>
      <c r="L271" s="3">
        <v>0</v>
      </c>
      <c r="M271" s="3">
        <f>L271*20%</f>
      </c>
      <c r="N271" s="3">
        <v>1</v>
      </c>
      <c r="O271" s="3">
        <f>K271+M271</f>
      </c>
      <c r="P271" s="3">
        <f>H271-I271-J271-K271-L271-M271-N271</f>
      </c>
      <c r="Q271" s="3">
        <f>(P271-Y271)/F271*100</f>
      </c>
      <c r="R271" s="3">
        <f>I271-O271</f>
      </c>
      <c r="S271" t="s">
        <v>1</v>
      </c>
      <c r="T271" t="s">
        <v>1</v>
      </c>
      <c r="Z271" s="3">
        <f>P271-Y271</f>
      </c>
      <c r="AA271" t="s">
        <v>1</v>
      </c>
      <c r="AB271" t="s">
        <v>1</v>
      </c>
    </row>
    <row r="272" spans="1:28" x14ac:dyDescent="0.25">
      <c r="A272" s="7">
        <v>46181.5</v>
      </c>
      <c r="B272" t="s">
        <v>2791</v>
      </c>
      <c r="C272" t="s">
        <v>1</v>
      </c>
      <c r="D272" s="8" t="s">
        <v>2792</v>
      </c>
      <c r="E272" t="s">
        <v>57</v>
      </c>
      <c r="F272" s="3">
        <v>356</v>
      </c>
      <c r="G272" s="3">
        <v>427.2</v>
      </c>
      <c r="H272" s="3">
        <f>G272-F272</f>
      </c>
      <c r="I272" s="3">
        <f>H272*16.67%</f>
      </c>
      <c r="J272" s="3">
        <f>G272*7%</f>
      </c>
      <c r="K272" s="3">
        <f>J272*20%</f>
      </c>
      <c r="L272" s="3">
        <v>0</v>
      </c>
      <c r="M272" s="3">
        <f>L272*20%</f>
      </c>
      <c r="N272" s="3">
        <v>1</v>
      </c>
      <c r="O272" s="3">
        <f>K272+M272</f>
      </c>
      <c r="P272" s="3">
        <f>H272-I272-J272-K272-L272-M272-N272</f>
      </c>
      <c r="Q272" s="3">
        <f>(P272-Y272)/F272*100</f>
      </c>
      <c r="R272" s="3">
        <f>I272-O272</f>
      </c>
      <c r="S272" t="s">
        <v>1</v>
      </c>
      <c r="T272" t="s">
        <v>73</v>
      </c>
      <c r="Z272" s="3">
        <f>P272-Y272</f>
      </c>
      <c r="AA272" t="s">
        <v>59</v>
      </c>
      <c r="AB272" t="s">
        <v>60</v>
      </c>
    </row>
    <row r="273" spans="1:28" x14ac:dyDescent="0.25">
      <c r="A273" s="7">
        <v>46181.5</v>
      </c>
      <c r="B273" t="s">
        <v>2793</v>
      </c>
      <c r="C273" t="s">
        <v>1</v>
      </c>
      <c r="D273" s="8" t="s">
        <v>2794</v>
      </c>
      <c r="E273" t="s">
        <v>77</v>
      </c>
      <c r="F273" s="3">
        <v>350</v>
      </c>
      <c r="G273" s="3">
        <v>441</v>
      </c>
      <c r="H273" s="3">
        <f>G273-F273</f>
      </c>
      <c r="I273" s="3">
        <f>H273*16.67%</f>
      </c>
      <c r="J273" s="3">
        <f>G273*7%</f>
      </c>
      <c r="K273" s="3">
        <f>J273*20%</f>
      </c>
      <c r="L273" s="3">
        <v>0</v>
      </c>
      <c r="M273" s="3">
        <f>L273*20%</f>
      </c>
      <c r="N273" s="3">
        <v>1</v>
      </c>
      <c r="O273" s="3">
        <f>K273+M273</f>
      </c>
      <c r="P273" s="3">
        <f>H273-I273-J273-K273-L273-M273-N273</f>
      </c>
      <c r="Q273" s="3">
        <f>(P273-Y273)/F273*100</f>
      </c>
      <c r="R273" s="3">
        <f>I273-O273</f>
      </c>
      <c r="S273" t="s">
        <v>1</v>
      </c>
      <c r="T273" t="s">
        <v>73</v>
      </c>
      <c r="Z273" s="3">
        <f>P273-Y273</f>
      </c>
      <c r="AA273" t="s">
        <v>59</v>
      </c>
      <c r="AB273" t="s">
        <v>98</v>
      </c>
    </row>
    <row r="274" spans="1:28" x14ac:dyDescent="0.25">
      <c r="A274" s="7">
        <v>46181.5</v>
      </c>
      <c r="B274" t="s">
        <v>2795</v>
      </c>
      <c r="C274" t="s">
        <v>1</v>
      </c>
      <c r="D274" s="8" t="s">
        <v>2796</v>
      </c>
      <c r="E274" t="s">
        <v>63</v>
      </c>
      <c r="F274" s="3">
        <v>246</v>
      </c>
      <c r="G274" s="3">
        <v>327.18</v>
      </c>
      <c r="H274" s="3">
        <f>G274-F274</f>
      </c>
      <c r="I274" s="3">
        <f>H274*16.67%</f>
      </c>
      <c r="J274" s="3">
        <f>G274*7%</f>
      </c>
      <c r="K274" s="3">
        <f>J274*20%</f>
      </c>
      <c r="L274" s="3">
        <v>0</v>
      </c>
      <c r="M274" s="3">
        <f>L274*20%</f>
      </c>
      <c r="N274" s="3">
        <v>1</v>
      </c>
      <c r="O274" s="3">
        <f>K274+M274</f>
      </c>
      <c r="P274" s="3">
        <f>H274-I274-J274-K274-L274-M274-N274</f>
      </c>
      <c r="Q274" s="3">
        <f>(P274-Y274)/F274*100</f>
      </c>
      <c r="R274" s="3">
        <f>I274-O274</f>
      </c>
      <c r="S274" t="s">
        <v>1</v>
      </c>
      <c r="T274" t="s">
        <v>113</v>
      </c>
      <c r="Z274" s="3">
        <f>P274-Y274</f>
      </c>
      <c r="AA274" t="s">
        <v>59</v>
      </c>
      <c r="AB274" t="s">
        <v>69</v>
      </c>
    </row>
    <row r="275" spans="1:28" x14ac:dyDescent="0.25">
      <c r="A275" s="7">
        <v>46181.5</v>
      </c>
      <c r="B275" t="s">
        <v>2797</v>
      </c>
      <c r="C275" t="s">
        <v>181</v>
      </c>
      <c r="D275" s="8" t="s">
        <v>1</v>
      </c>
      <c r="E275" t="s">
        <v>72</v>
      </c>
      <c r="F275" s="3">
        <v>1.9</v>
      </c>
      <c r="G275" s="3">
        <v>2.49</v>
      </c>
      <c r="H275" s="3">
        <f>G275-F275</f>
      </c>
      <c r="I275" s="3">
        <f>H275*16.67%</f>
      </c>
      <c r="J275" s="3">
        <f>G275*7%</f>
      </c>
      <c r="K275" s="3">
        <f>J275*20%</f>
      </c>
      <c r="L275" s="3">
        <v>0</v>
      </c>
      <c r="M275" s="3">
        <f>L275*20%</f>
      </c>
      <c r="N275" s="3">
        <v>1</v>
      </c>
      <c r="O275" s="3">
        <f>K275+M275</f>
      </c>
      <c r="P275" s="3">
        <f>H275-I275-J275-K275-L275-M275-N275</f>
      </c>
      <c r="Q275" s="3">
        <f>(P275-Y275)/F275*100</f>
      </c>
      <c r="R275" s="3">
        <f>I275-O275</f>
      </c>
      <c r="S275" t="s">
        <v>1</v>
      </c>
      <c r="T275" t="s">
        <v>181</v>
      </c>
      <c r="Z275" s="3">
        <f>P275-Y275</f>
      </c>
      <c r="AA275" t="s">
        <v>1</v>
      </c>
      <c r="AB275" t="s">
        <v>1</v>
      </c>
    </row>
    <row r="276" spans="1:28" x14ac:dyDescent="0.25">
      <c r="A276" s="7">
        <v>46181.5</v>
      </c>
      <c r="B276" t="s">
        <v>2798</v>
      </c>
      <c r="C276" t="s">
        <v>1</v>
      </c>
      <c r="D276" s="8" t="s">
        <v>1</v>
      </c>
      <c r="E276" t="s">
        <v>101</v>
      </c>
      <c r="F276" s="3">
        <v>117</v>
      </c>
      <c r="G276" s="3">
        <v>153.27</v>
      </c>
      <c r="H276" s="3">
        <f>G276-F276</f>
      </c>
      <c r="I276" s="3">
        <f>H276*16.67%</f>
      </c>
      <c r="J276" s="3">
        <f>G276*7%</f>
      </c>
      <c r="K276" s="3">
        <f>J276*20%</f>
      </c>
      <c r="L276" s="3">
        <v>0</v>
      </c>
      <c r="M276" s="3">
        <f>L276*20%</f>
      </c>
      <c r="N276" s="3">
        <v>1</v>
      </c>
      <c r="O276" s="3">
        <f>K276+M276</f>
      </c>
      <c r="P276" s="3">
        <f>H276-I276-J276-K276-L276-M276-N276</f>
      </c>
      <c r="Q276" s="3">
        <f>(P276-Y276)/F276*100</f>
      </c>
      <c r="R276" s="3">
        <f>I276-O276</f>
      </c>
      <c r="S276" t="s">
        <v>1</v>
      </c>
      <c r="T276" t="s">
        <v>1</v>
      </c>
      <c r="Z276" s="3">
        <f>P276-Y276</f>
      </c>
      <c r="AA276" t="s">
        <v>1</v>
      </c>
      <c r="AB276" t="s">
        <v>1</v>
      </c>
    </row>
    <row r="277" spans="1:28" x14ac:dyDescent="0.25">
      <c r="A277" s="7">
        <v>46180.5</v>
      </c>
      <c r="B277" t="s">
        <v>2799</v>
      </c>
      <c r="C277" t="s">
        <v>1</v>
      </c>
      <c r="D277" s="8" t="s">
        <v>2800</v>
      </c>
      <c r="E277" t="s">
        <v>63</v>
      </c>
      <c r="F277" s="3">
        <v>298</v>
      </c>
      <c r="G277" s="3">
        <v>396.34</v>
      </c>
      <c r="H277" s="3">
        <f>G277-F277</f>
      </c>
      <c r="I277" s="3">
        <f>H277*16.67%</f>
      </c>
      <c r="J277" s="3">
        <f>G277*7%</f>
      </c>
      <c r="K277" s="3">
        <f>J277*20%</f>
      </c>
      <c r="L277" s="3">
        <v>0</v>
      </c>
      <c r="M277" s="3">
        <f>L277*20%</f>
      </c>
      <c r="N277" s="3">
        <v>1</v>
      </c>
      <c r="O277" s="3">
        <f>K277+M277</f>
      </c>
      <c r="P277" s="3">
        <f>H277-I277-J277-K277-L277-M277-N277</f>
      </c>
      <c r="Q277" s="3">
        <f>(P277-Y277)/F277*100</f>
      </c>
      <c r="R277" s="3">
        <f>I277-O277</f>
      </c>
      <c r="S277" t="s">
        <v>1</v>
      </c>
      <c r="T277" t="s">
        <v>124</v>
      </c>
      <c r="Z277" s="3">
        <f>P277-Y277</f>
      </c>
      <c r="AA277" t="s">
        <v>125</v>
      </c>
      <c r="AB277" t="s">
        <v>74</v>
      </c>
    </row>
    <row r="278" spans="1:28" x14ac:dyDescent="0.25">
      <c r="A278" s="7">
        <v>46180.5</v>
      </c>
      <c r="B278" t="s">
        <v>2801</v>
      </c>
      <c r="C278" t="s">
        <v>1</v>
      </c>
      <c r="D278" s="8" t="s">
        <v>2802</v>
      </c>
      <c r="E278" t="s">
        <v>72</v>
      </c>
      <c r="F278" s="3">
        <v>204</v>
      </c>
      <c r="G278" s="3">
        <v>287.64</v>
      </c>
      <c r="H278" s="3">
        <f>G278-F278</f>
      </c>
      <c r="I278" s="3">
        <f>H278*16.67%</f>
      </c>
      <c r="J278" s="3">
        <f>G278*7%</f>
      </c>
      <c r="K278" s="3">
        <f>J278*20%</f>
      </c>
      <c r="L278" s="3">
        <v>0</v>
      </c>
      <c r="M278" s="3">
        <f>L278*20%</f>
      </c>
      <c r="N278" s="3">
        <v>1</v>
      </c>
      <c r="O278" s="3">
        <f>K278+M278</f>
      </c>
      <c r="P278" s="3">
        <f>H278-I278-J278-K278-L278-M278-N278</f>
      </c>
      <c r="Q278" s="3">
        <f>(P278-Y278)/F278*100</f>
      </c>
      <c r="R278" s="3">
        <f>I278-O278</f>
      </c>
      <c r="S278" t="s">
        <v>1</v>
      </c>
      <c r="T278" t="s">
        <v>291</v>
      </c>
      <c r="Z278" s="3">
        <f>P278-Y278</f>
      </c>
      <c r="AA278" t="s">
        <v>125</v>
      </c>
      <c r="AB278" t="s">
        <v>69</v>
      </c>
    </row>
    <row r="279" spans="1:28" x14ac:dyDescent="0.25">
      <c r="A279" s="7">
        <v>46180.5</v>
      </c>
      <c r="B279" t="s">
        <v>2803</v>
      </c>
      <c r="C279" t="s">
        <v>1</v>
      </c>
      <c r="D279" s="8" t="s">
        <v>2804</v>
      </c>
      <c r="E279" t="s">
        <v>57</v>
      </c>
      <c r="F279" s="3">
        <v>114</v>
      </c>
      <c r="G279" s="3">
        <v>148.2</v>
      </c>
      <c r="H279" s="3">
        <f>G279-F279</f>
      </c>
      <c r="I279" s="3">
        <f>H279*16.67%</f>
      </c>
      <c r="J279" s="3">
        <f>G279*7%</f>
      </c>
      <c r="K279" s="3">
        <f>J279*20%</f>
      </c>
      <c r="L279" s="3">
        <v>0</v>
      </c>
      <c r="M279" s="3">
        <f>L279*20%</f>
      </c>
      <c r="N279" s="3">
        <v>1</v>
      </c>
      <c r="O279" s="3">
        <f>K279+M279</f>
      </c>
      <c r="P279" s="3">
        <f>H279-I279-J279-K279-L279-M279-N279</f>
      </c>
      <c r="Q279" s="3">
        <f>(P279-Y279)/F279*100</f>
      </c>
      <c r="R279" s="3">
        <f>I279-O279</f>
      </c>
      <c r="S279" t="s">
        <v>1</v>
      </c>
      <c r="T279" t="s">
        <v>133</v>
      </c>
      <c r="Z279" s="3">
        <f>P279-Y279</f>
      </c>
      <c r="AA279" t="s">
        <v>65</v>
      </c>
      <c r="AB279" t="s">
        <v>84</v>
      </c>
    </row>
    <row r="280" spans="1:28" x14ac:dyDescent="0.25">
      <c r="A280" s="7">
        <v>46180.5</v>
      </c>
      <c r="B280" t="s">
        <v>2805</v>
      </c>
      <c r="C280" t="s">
        <v>1</v>
      </c>
      <c r="D280" s="8" t="s">
        <v>2806</v>
      </c>
      <c r="E280" t="s">
        <v>57</v>
      </c>
      <c r="F280" s="3">
        <v>557</v>
      </c>
      <c r="G280" s="3">
        <v>740.81</v>
      </c>
      <c r="H280" s="3">
        <f>G280-F280</f>
      </c>
      <c r="I280" s="3">
        <f>H280*16.67%</f>
      </c>
      <c r="J280" s="3">
        <f>G280*7%</f>
      </c>
      <c r="K280" s="3">
        <f>J280*20%</f>
      </c>
      <c r="L280" s="3">
        <v>0</v>
      </c>
      <c r="M280" s="3">
        <f>L280*20%</f>
      </c>
      <c r="N280" s="3">
        <v>1</v>
      </c>
      <c r="O280" s="3">
        <f>K280+M280</f>
      </c>
      <c r="P280" s="3">
        <f>H280-I280-J280-K280-L280-M280-N280</f>
      </c>
      <c r="Q280" s="3">
        <f>(P280-Y280)/F280*100</f>
      </c>
      <c r="R280" s="3">
        <f>I280-O280</f>
      </c>
      <c r="S280" t="s">
        <v>1</v>
      </c>
      <c r="T280" t="s">
        <v>68</v>
      </c>
      <c r="Z280" s="3">
        <f>P280-Y280</f>
      </c>
      <c r="AA280" t="s">
        <v>59</v>
      </c>
      <c r="AB280" t="s">
        <v>84</v>
      </c>
    </row>
    <row r="281" spans="1:28" x14ac:dyDescent="0.25">
      <c r="A281" s="7">
        <v>46180.5</v>
      </c>
      <c r="B281" t="s">
        <v>2807</v>
      </c>
      <c r="C281" t="s">
        <v>1</v>
      </c>
      <c r="D281" s="8" t="s">
        <v>2808</v>
      </c>
      <c r="E281" t="s">
        <v>63</v>
      </c>
      <c r="F281" s="3">
        <v>309</v>
      </c>
      <c r="G281" s="3">
        <v>370.8</v>
      </c>
      <c r="H281" s="3">
        <f>G281-F281</f>
      </c>
      <c r="I281" s="3">
        <f>H281*16.67%</f>
      </c>
      <c r="J281" s="3">
        <f>G281*7%</f>
      </c>
      <c r="K281" s="3">
        <f>J281*20%</f>
      </c>
      <c r="L281" s="3">
        <v>0</v>
      </c>
      <c r="M281" s="3">
        <f>L281*20%</f>
      </c>
      <c r="N281" s="3">
        <v>1</v>
      </c>
      <c r="O281" s="3">
        <f>K281+M281</f>
      </c>
      <c r="P281" s="3">
        <f>H281-I281-J281-K281-L281-M281-N281</f>
      </c>
      <c r="Q281" s="3">
        <f>(P281-Y281)/F281*100</f>
      </c>
      <c r="R281" s="3">
        <f>I281-O281</f>
      </c>
      <c r="S281" t="s">
        <v>1</v>
      </c>
      <c r="T281" t="s">
        <v>138</v>
      </c>
      <c r="Z281" s="3">
        <f>P281-Y281</f>
      </c>
      <c r="AA281" t="s">
        <v>59</v>
      </c>
      <c r="AB281" t="s">
        <v>87</v>
      </c>
    </row>
    <row r="282" spans="1:28" x14ac:dyDescent="0.25">
      <c r="A282" s="7">
        <v>46180.5</v>
      </c>
      <c r="B282" t="s">
        <v>2809</v>
      </c>
      <c r="C282" t="s">
        <v>1</v>
      </c>
      <c r="D282" s="8" t="s">
        <v>2810</v>
      </c>
      <c r="E282" t="s">
        <v>63</v>
      </c>
      <c r="F282" s="3">
        <v>156</v>
      </c>
      <c r="G282" s="3">
        <v>216.84</v>
      </c>
      <c r="H282" s="3">
        <f>G282-F282</f>
      </c>
      <c r="I282" s="3">
        <f>H282*16.67%</f>
      </c>
      <c r="J282" s="3">
        <f>G282*7%</f>
      </c>
      <c r="K282" s="3">
        <f>J282*20%</f>
      </c>
      <c r="L282" s="3">
        <v>0</v>
      </c>
      <c r="M282" s="3">
        <f>L282*20%</f>
      </c>
      <c r="N282" s="3">
        <v>1</v>
      </c>
      <c r="O282" s="3">
        <f>K282+M282</f>
      </c>
      <c r="P282" s="3">
        <f>H282-I282-J282-K282-L282-M282-N282</f>
      </c>
      <c r="Q282" s="3">
        <f>(P282-Y282)/F282*100</f>
      </c>
      <c r="R282" s="3">
        <f>I282-O282</f>
      </c>
      <c r="S282" t="s">
        <v>1</v>
      </c>
      <c r="T282" t="s">
        <v>171</v>
      </c>
      <c r="Z282" s="3">
        <f>P282-Y282</f>
      </c>
      <c r="AA282" t="s">
        <v>65</v>
      </c>
      <c r="AB282" t="s">
        <v>87</v>
      </c>
    </row>
    <row r="283" spans="1:28" x14ac:dyDescent="0.25">
      <c r="A283" s="7">
        <v>46179.5</v>
      </c>
      <c r="B283" t="s">
        <v>2811</v>
      </c>
      <c r="C283" t="s">
        <v>1</v>
      </c>
      <c r="D283" s="8" t="s">
        <v>2812</v>
      </c>
      <c r="E283" t="s">
        <v>101</v>
      </c>
      <c r="F283" s="3">
        <v>440</v>
      </c>
      <c r="G283" s="3">
        <v>602.8</v>
      </c>
      <c r="H283" s="3">
        <f>G283-F283</f>
      </c>
      <c r="I283" s="3">
        <f>H283*16.67%</f>
      </c>
      <c r="J283" s="3">
        <f>G283*7%</f>
      </c>
      <c r="K283" s="3">
        <f>J283*20%</f>
      </c>
      <c r="L283" s="3">
        <v>0</v>
      </c>
      <c r="M283" s="3">
        <f>L283*20%</f>
      </c>
      <c r="N283" s="3">
        <v>1</v>
      </c>
      <c r="O283" s="3">
        <f>K283+M283</f>
      </c>
      <c r="P283" s="3">
        <f>H283-I283-J283-K283-L283-M283-N283</f>
      </c>
      <c r="Q283" s="3">
        <f>(P283-Y283)/F283*100</f>
      </c>
      <c r="R283" s="3">
        <f>I283-O283</f>
      </c>
      <c r="S283" t="s">
        <v>1</v>
      </c>
      <c r="T283" t="s">
        <v>58</v>
      </c>
      <c r="Z283" s="3">
        <f>P283-Y283</f>
      </c>
      <c r="AA283" t="s">
        <v>59</v>
      </c>
      <c r="AB283" t="s">
        <v>74</v>
      </c>
    </row>
    <row r="284" spans="1:28" x14ac:dyDescent="0.25">
      <c r="A284" s="7">
        <v>46179.5</v>
      </c>
      <c r="B284" t="s">
        <v>2813</v>
      </c>
      <c r="C284" t="s">
        <v>1</v>
      </c>
      <c r="D284" s="8" t="s">
        <v>2814</v>
      </c>
      <c r="E284" t="s">
        <v>72</v>
      </c>
      <c r="F284" s="3">
        <v>186</v>
      </c>
      <c r="G284" s="3">
        <v>262.26</v>
      </c>
      <c r="H284" s="3">
        <f>G284-F284</f>
      </c>
      <c r="I284" s="3">
        <f>H284*16.67%</f>
      </c>
      <c r="J284" s="3">
        <f>G284*7%</f>
      </c>
      <c r="K284" s="3">
        <f>J284*20%</f>
      </c>
      <c r="L284" s="3">
        <v>0</v>
      </c>
      <c r="M284" s="3">
        <f>L284*20%</f>
      </c>
      <c r="N284" s="3">
        <v>1</v>
      </c>
      <c r="O284" s="3">
        <f>K284+M284</f>
      </c>
      <c r="P284" s="3">
        <f>H284-I284-J284-K284-L284-M284-N284</f>
      </c>
      <c r="Q284" s="3">
        <f>(P284-Y284)/F284*100</f>
      </c>
      <c r="R284" s="3">
        <f>I284-O284</f>
      </c>
      <c r="S284" t="s">
        <v>1</v>
      </c>
      <c r="T284" t="s">
        <v>233</v>
      </c>
      <c r="Z284" s="3">
        <f>P284-Y284</f>
      </c>
      <c r="AA284" t="s">
        <v>65</v>
      </c>
      <c r="AB284" t="s">
        <v>98</v>
      </c>
    </row>
    <row r="285" spans="1:28" x14ac:dyDescent="0.25">
      <c r="A285" s="7">
        <v>46179.5</v>
      </c>
      <c r="B285" t="s">
        <v>2815</v>
      </c>
      <c r="C285" t="s">
        <v>1</v>
      </c>
      <c r="D285" s="8" t="s">
        <v>2816</v>
      </c>
      <c r="E285" t="s">
        <v>63</v>
      </c>
      <c r="F285" s="3">
        <v>513</v>
      </c>
      <c r="G285" s="3">
        <v>738.72</v>
      </c>
      <c r="H285" s="3">
        <f>G285-F285</f>
      </c>
      <c r="I285" s="3">
        <f>H285*16.67%</f>
      </c>
      <c r="J285" s="3">
        <f>G285*7%</f>
      </c>
      <c r="K285" s="3">
        <f>J285*20%</f>
      </c>
      <c r="L285" s="3">
        <v>0</v>
      </c>
      <c r="M285" s="3">
        <f>L285*20%</f>
      </c>
      <c r="N285" s="3">
        <v>1</v>
      </c>
      <c r="O285" s="3">
        <f>K285+M285</f>
      </c>
      <c r="P285" s="3">
        <f>H285-I285-J285-K285-L285-M285-N285</f>
      </c>
      <c r="Q285" s="3">
        <f>(P285-Y285)/F285*100</f>
      </c>
      <c r="R285" s="3">
        <f>I285-O285</f>
      </c>
      <c r="S285" t="s">
        <v>1</v>
      </c>
      <c r="T285" t="s">
        <v>68</v>
      </c>
      <c r="Z285" s="3">
        <f>P285-Y285</f>
      </c>
      <c r="AA285" t="s">
        <v>59</v>
      </c>
      <c r="AB285" t="s">
        <v>84</v>
      </c>
    </row>
    <row r="286" spans="1:28" x14ac:dyDescent="0.25">
      <c r="A286" s="7">
        <v>46179.5</v>
      </c>
      <c r="B286" t="s">
        <v>2817</v>
      </c>
      <c r="C286" t="s">
        <v>173</v>
      </c>
      <c r="D286" s="8" t="s">
        <v>1</v>
      </c>
      <c r="E286" t="s">
        <v>63</v>
      </c>
      <c r="F286" s="3">
        <v>4.25</v>
      </c>
      <c r="G286" s="3">
        <v>6.16</v>
      </c>
      <c r="H286" s="3">
        <f>G286-F286</f>
      </c>
      <c r="I286" s="3">
        <f>H286*16.67%</f>
      </c>
      <c r="J286" s="3">
        <f>G286*7%</f>
      </c>
      <c r="K286" s="3">
        <f>J286*20%</f>
      </c>
      <c r="L286" s="3">
        <v>0</v>
      </c>
      <c r="M286" s="3">
        <f>L286*20%</f>
      </c>
      <c r="N286" s="3">
        <v>1</v>
      </c>
      <c r="O286" s="3">
        <f>K286+M286</f>
      </c>
      <c r="P286" s="3">
        <f>H286-I286-J286-K286-L286-M286-N286</f>
      </c>
      <c r="Q286" s="3">
        <f>(P286-Y286)/F286*100</f>
      </c>
      <c r="R286" s="3">
        <f>I286-O286</f>
      </c>
      <c r="S286" t="s">
        <v>1</v>
      </c>
      <c r="T286" t="s">
        <v>173</v>
      </c>
      <c r="Z286" s="3">
        <f>P286-Y286</f>
      </c>
      <c r="AA286" t="s">
        <v>1</v>
      </c>
      <c r="AB286" t="s">
        <v>1</v>
      </c>
    </row>
    <row r="287" spans="1:28" x14ac:dyDescent="0.25">
      <c r="A287" s="7">
        <v>46179.5</v>
      </c>
      <c r="B287" t="s">
        <v>2818</v>
      </c>
      <c r="C287" t="s">
        <v>253</v>
      </c>
      <c r="D287" s="8" t="s">
        <v>1</v>
      </c>
      <c r="E287" t="s">
        <v>57</v>
      </c>
      <c r="F287" s="3">
        <v>0.8</v>
      </c>
      <c r="G287" s="3">
        <v>0.94</v>
      </c>
      <c r="H287" s="3">
        <f>G287-F287</f>
      </c>
      <c r="I287" s="3">
        <f>H287*16.67%</f>
      </c>
      <c r="J287" s="3">
        <f>G287*7%</f>
      </c>
      <c r="K287" s="3">
        <f>J287*20%</f>
      </c>
      <c r="L287" s="3">
        <v>0</v>
      </c>
      <c r="M287" s="3">
        <f>L287*20%</f>
      </c>
      <c r="N287" s="3">
        <v>1</v>
      </c>
      <c r="O287" s="3">
        <f>K287+M287</f>
      </c>
      <c r="P287" s="3">
        <f>H287-I287-J287-K287-L287-M287-N287</f>
      </c>
      <c r="Q287" s="3">
        <f>(P287-Y287)/F287*100</f>
      </c>
      <c r="R287" s="3">
        <f>I287-O287</f>
      </c>
      <c r="S287" t="s">
        <v>1</v>
      </c>
      <c r="T287" t="s">
        <v>253</v>
      </c>
      <c r="Z287" s="3">
        <f>P287-Y287</f>
      </c>
      <c r="AA287" t="s">
        <v>1</v>
      </c>
      <c r="AB287" t="s">
        <v>1</v>
      </c>
    </row>
    <row r="288" spans="1:28" x14ac:dyDescent="0.25">
      <c r="A288" s="7">
        <v>46178.5</v>
      </c>
      <c r="B288" t="s">
        <v>2819</v>
      </c>
      <c r="C288" t="s">
        <v>1</v>
      </c>
      <c r="D288" s="8" t="s">
        <v>2820</v>
      </c>
      <c r="E288" t="s">
        <v>101</v>
      </c>
      <c r="F288" s="3">
        <v>279</v>
      </c>
      <c r="G288" s="3">
        <v>320.85</v>
      </c>
      <c r="H288" s="3">
        <f>G288-F288</f>
      </c>
      <c r="I288" s="3">
        <f>H288*16.67%</f>
      </c>
      <c r="J288" s="3">
        <f>G288*7%</f>
      </c>
      <c r="K288" s="3">
        <f>J288*20%</f>
      </c>
      <c r="L288" s="3">
        <v>0</v>
      </c>
      <c r="M288" s="3">
        <f>L288*20%</f>
      </c>
      <c r="N288" s="3">
        <v>1</v>
      </c>
      <c r="O288" s="3">
        <f>K288+M288</f>
      </c>
      <c r="P288" s="3">
        <f>H288-I288-J288-K288-L288-M288-N288</f>
      </c>
      <c r="Q288" s="3">
        <f>(P288-Y288)/F288*100</f>
      </c>
      <c r="R288" s="3">
        <f>I288-O288</f>
      </c>
      <c r="S288" t="s">
        <v>1</v>
      </c>
      <c r="T288" t="s">
        <v>124</v>
      </c>
      <c r="Z288" s="3">
        <f>P288-Y288</f>
      </c>
      <c r="AA288" t="s">
        <v>125</v>
      </c>
      <c r="AB288" t="s">
        <v>104</v>
      </c>
    </row>
    <row r="289" spans="1:28" x14ac:dyDescent="0.25">
      <c r="A289" s="7">
        <v>46178.5</v>
      </c>
      <c r="B289" t="s">
        <v>2821</v>
      </c>
      <c r="C289" t="s">
        <v>1</v>
      </c>
      <c r="D289" s="8" t="s">
        <v>2822</v>
      </c>
      <c r="E289" t="s">
        <v>57</v>
      </c>
      <c r="F289" s="3">
        <v>454</v>
      </c>
      <c r="G289" s="3">
        <v>635.6</v>
      </c>
      <c r="H289" s="3">
        <f>G289-F289</f>
      </c>
      <c r="I289" s="3">
        <f>H289*16.67%</f>
      </c>
      <c r="J289" s="3">
        <f>G289*7%</f>
      </c>
      <c r="K289" s="3">
        <f>J289*20%</f>
      </c>
      <c r="L289" s="3">
        <v>0</v>
      </c>
      <c r="M289" s="3">
        <f>L289*20%</f>
      </c>
      <c r="N289" s="3">
        <v>1</v>
      </c>
      <c r="O289" s="3">
        <f>K289+M289</f>
      </c>
      <c r="P289" s="3">
        <f>H289-I289-J289-K289-L289-M289-N289</f>
      </c>
      <c r="Q289" s="3">
        <f>(P289-Y289)/F289*100</f>
      </c>
      <c r="R289" s="3">
        <f>I289-O289</f>
      </c>
      <c r="S289" t="s">
        <v>1</v>
      </c>
      <c r="T289" t="s">
        <v>58</v>
      </c>
      <c r="Z289" s="3">
        <f>P289-Y289</f>
      </c>
      <c r="AA289" t="s">
        <v>59</v>
      </c>
      <c r="AB289" t="s">
        <v>60</v>
      </c>
    </row>
    <row r="290" spans="1:28" x14ac:dyDescent="0.25">
      <c r="A290" s="7">
        <v>46178.5</v>
      </c>
      <c r="B290" t="s">
        <v>2823</v>
      </c>
      <c r="C290" t="s">
        <v>1</v>
      </c>
      <c r="D290" s="8" t="s">
        <v>2824</v>
      </c>
      <c r="E290" t="s">
        <v>77</v>
      </c>
      <c r="F290" s="3">
        <v>161</v>
      </c>
      <c r="G290" s="3">
        <v>196.42</v>
      </c>
      <c r="H290" s="3">
        <f>G290-F290</f>
      </c>
      <c r="I290" s="3">
        <f>H290*16.67%</f>
      </c>
      <c r="J290" s="3">
        <f>G290*7%</f>
      </c>
      <c r="K290" s="3">
        <f>J290*20%</f>
      </c>
      <c r="L290" s="3">
        <v>0</v>
      </c>
      <c r="M290" s="3">
        <f>L290*20%</f>
      </c>
      <c r="N290" s="3">
        <v>1</v>
      </c>
      <c r="O290" s="3">
        <f>K290+M290</f>
      </c>
      <c r="P290" s="3">
        <f>H290-I290-J290-K290-L290-M290-N290</f>
      </c>
      <c r="Q290" s="3">
        <f>(P290-Y290)/F290*100</f>
      </c>
      <c r="R290" s="3">
        <f>I290-O290</f>
      </c>
      <c r="S290" t="s">
        <v>1</v>
      </c>
      <c r="T290" t="s">
        <v>233</v>
      </c>
      <c r="Z290" s="3">
        <f>P290-Y290</f>
      </c>
      <c r="AA290" t="s">
        <v>65</v>
      </c>
      <c r="AB290" t="s">
        <v>87</v>
      </c>
    </row>
    <row r="291" spans="1:28" x14ac:dyDescent="0.25">
      <c r="A291" s="7">
        <v>46178.5</v>
      </c>
      <c r="B291" t="s">
        <v>2825</v>
      </c>
      <c r="C291" t="s">
        <v>1</v>
      </c>
      <c r="D291" s="8" t="s">
        <v>2826</v>
      </c>
      <c r="E291" t="s">
        <v>101</v>
      </c>
      <c r="F291" s="3">
        <v>290</v>
      </c>
      <c r="G291" s="3">
        <v>417.6</v>
      </c>
      <c r="H291" s="3">
        <f>G291-F291</f>
      </c>
      <c r="I291" s="3">
        <f>H291*16.67%</f>
      </c>
      <c r="J291" s="3">
        <f>G291*7%</f>
      </c>
      <c r="K291" s="3">
        <f>J291*20%</f>
      </c>
      <c r="L291" s="3">
        <v>0</v>
      </c>
      <c r="M291" s="3">
        <f>L291*20%</f>
      </c>
      <c r="N291" s="3">
        <v>1</v>
      </c>
      <c r="O291" s="3">
        <f>K291+M291</f>
      </c>
      <c r="P291" s="3">
        <f>H291-I291-J291-K291-L291-M291-N291</f>
      </c>
      <c r="Q291" s="3">
        <f>(P291-Y291)/F291*100</f>
      </c>
      <c r="R291" s="3">
        <f>I291-O291</f>
      </c>
      <c r="S291" t="s">
        <v>1</v>
      </c>
      <c r="T291" t="s">
        <v>97</v>
      </c>
      <c r="Z291" s="3">
        <f>P291-Y291</f>
      </c>
      <c r="AA291" t="s">
        <v>65</v>
      </c>
      <c r="AB291" t="s">
        <v>84</v>
      </c>
    </row>
    <row r="292" spans="1:28" x14ac:dyDescent="0.25">
      <c r="A292" s="7">
        <v>46178.5</v>
      </c>
      <c r="B292" t="s">
        <v>2827</v>
      </c>
      <c r="C292" t="s">
        <v>1</v>
      </c>
      <c r="D292" s="8" t="s">
        <v>2828</v>
      </c>
      <c r="E292" t="s">
        <v>72</v>
      </c>
      <c r="F292" s="3">
        <v>230</v>
      </c>
      <c r="G292" s="3">
        <v>269.1</v>
      </c>
      <c r="H292" s="3">
        <f>G292-F292</f>
      </c>
      <c r="I292" s="3">
        <f>H292*16.67%</f>
      </c>
      <c r="J292" s="3">
        <f>G292*7%</f>
      </c>
      <c r="K292" s="3">
        <f>J292*20%</f>
      </c>
      <c r="L292" s="3">
        <v>0</v>
      </c>
      <c r="M292" s="3">
        <f>L292*20%</f>
      </c>
      <c r="N292" s="3">
        <v>1</v>
      </c>
      <c r="O292" s="3">
        <f>K292+M292</f>
      </c>
      <c r="P292" s="3">
        <f>H292-I292-J292-K292-L292-M292-N292</f>
      </c>
      <c r="Q292" s="3">
        <f>(P292-Y292)/F292*100</f>
      </c>
      <c r="R292" s="3">
        <f>I292-O292</f>
      </c>
      <c r="S292" t="s">
        <v>1</v>
      </c>
      <c r="T292" t="s">
        <v>113</v>
      </c>
      <c r="Z292" s="3">
        <f>P292-Y292</f>
      </c>
      <c r="AA292" t="s">
        <v>59</v>
      </c>
      <c r="AB292" t="s">
        <v>74</v>
      </c>
    </row>
    <row r="293" spans="1:28" x14ac:dyDescent="0.25">
      <c r="A293" s="7">
        <v>46178.5</v>
      </c>
      <c r="B293" t="s">
        <v>2829</v>
      </c>
      <c r="C293" t="s">
        <v>1</v>
      </c>
      <c r="D293" s="8" t="s">
        <v>1</v>
      </c>
      <c r="E293" t="s">
        <v>77</v>
      </c>
      <c r="F293" s="3">
        <v>596</v>
      </c>
      <c r="G293" s="3">
        <v>834.4</v>
      </c>
      <c r="H293" s="3">
        <f>G293-F293</f>
      </c>
      <c r="I293" s="3">
        <f>H293*16.67%</f>
      </c>
      <c r="J293" s="3">
        <f>G293*7%</f>
      </c>
      <c r="K293" s="3">
        <f>J293*20%</f>
      </c>
      <c r="L293" s="3">
        <v>0</v>
      </c>
      <c r="M293" s="3">
        <f>L293*20%</f>
      </c>
      <c r="N293" s="3">
        <v>1</v>
      </c>
      <c r="O293" s="3">
        <f>K293+M293</f>
      </c>
      <c r="P293" s="3">
        <f>H293-I293-J293-K293-L293-M293-N293</f>
      </c>
      <c r="Q293" s="3">
        <f>(P293-Y293)/F293*100</f>
      </c>
      <c r="R293" s="3">
        <f>I293-O293</f>
      </c>
      <c r="S293" t="s">
        <v>1</v>
      </c>
      <c r="T293" t="s">
        <v>1</v>
      </c>
      <c r="Z293" s="3">
        <f>P293-Y293</f>
      </c>
      <c r="AA293" t="s">
        <v>1</v>
      </c>
      <c r="AB293" t="s">
        <v>1</v>
      </c>
    </row>
    <row r="294" spans="1:28" x14ac:dyDescent="0.25">
      <c r="A294" s="7">
        <v>46177.5</v>
      </c>
      <c r="B294" t="s">
        <v>2830</v>
      </c>
      <c r="C294" t="s">
        <v>1</v>
      </c>
      <c r="D294" s="8" t="s">
        <v>2831</v>
      </c>
      <c r="E294" t="s">
        <v>57</v>
      </c>
      <c r="F294" s="3">
        <v>74</v>
      </c>
      <c r="G294" s="3">
        <v>85.84</v>
      </c>
      <c r="H294" s="3">
        <f>G294-F294</f>
      </c>
      <c r="I294" s="3">
        <f>H294*16.67%</f>
      </c>
      <c r="J294" s="3">
        <f>G294*7%</f>
      </c>
      <c r="K294" s="3">
        <f>J294*20%</f>
      </c>
      <c r="L294" s="3">
        <v>0</v>
      </c>
      <c r="M294" s="3">
        <f>L294*20%</f>
      </c>
      <c r="N294" s="3">
        <v>1</v>
      </c>
      <c r="O294" s="3">
        <f>K294+M294</f>
      </c>
      <c r="P294" s="3">
        <f>H294-I294-J294-K294-L294-M294-N294</f>
      </c>
      <c r="Q294" s="3">
        <f>(P294-Y294)/F294*100</f>
      </c>
      <c r="R294" s="3">
        <f>I294-O294</f>
      </c>
      <c r="S294" t="s">
        <v>1</v>
      </c>
      <c r="T294" t="s">
        <v>93</v>
      </c>
      <c r="Z294" s="3">
        <f>P294-Y294</f>
      </c>
      <c r="AA294" t="s">
        <v>94</v>
      </c>
      <c r="AB294" t="s">
        <v>60</v>
      </c>
    </row>
    <row r="295" spans="1:28" x14ac:dyDescent="0.25">
      <c r="A295" s="7">
        <v>46177.5</v>
      </c>
      <c r="B295" t="s">
        <v>2832</v>
      </c>
      <c r="C295" t="s">
        <v>1</v>
      </c>
      <c r="D295" s="8" t="s">
        <v>2833</v>
      </c>
      <c r="E295" t="s">
        <v>72</v>
      </c>
      <c r="F295" s="3">
        <v>671</v>
      </c>
      <c r="G295" s="3">
        <v>952.82</v>
      </c>
      <c r="H295" s="3">
        <f>G295-F295</f>
      </c>
      <c r="I295" s="3">
        <f>H295*16.67%</f>
      </c>
      <c r="J295" s="3">
        <f>G295*7%</f>
      </c>
      <c r="K295" s="3">
        <f>J295*20%</f>
      </c>
      <c r="L295" s="3">
        <v>0</v>
      </c>
      <c r="M295" s="3">
        <f>L295*20%</f>
      </c>
      <c r="N295" s="3">
        <v>1</v>
      </c>
      <c r="O295" s="3">
        <f>K295+M295</f>
      </c>
      <c r="P295" s="3">
        <f>H295-I295-J295-K295-L295-M295-N295</f>
      </c>
      <c r="Q295" s="3">
        <f>(P295-Y295)/F295*100</f>
      </c>
      <c r="R295" s="3">
        <f>I295-O295</f>
      </c>
      <c r="S295" t="s">
        <v>1</v>
      </c>
      <c r="T295" t="s">
        <v>83</v>
      </c>
      <c r="Z295" s="3">
        <f>P295-Y295</f>
      </c>
      <c r="AA295" t="s">
        <v>59</v>
      </c>
      <c r="AB295" t="s">
        <v>98</v>
      </c>
    </row>
    <row r="296" spans="1:28" x14ac:dyDescent="0.25">
      <c r="A296" s="7">
        <v>46177.5</v>
      </c>
      <c r="B296" t="s">
        <v>2834</v>
      </c>
      <c r="C296" t="s">
        <v>1</v>
      </c>
      <c r="D296" s="8" t="s">
        <v>2835</v>
      </c>
      <c r="E296" t="s">
        <v>57</v>
      </c>
      <c r="F296" s="3">
        <v>292</v>
      </c>
      <c r="G296" s="3">
        <v>411.72</v>
      </c>
      <c r="H296" s="3">
        <f>G296-F296</f>
      </c>
      <c r="I296" s="3">
        <f>H296*16.67%</f>
      </c>
      <c r="J296" s="3">
        <f>G296*7%</f>
      </c>
      <c r="K296" s="3">
        <f>J296*20%</f>
      </c>
      <c r="L296" s="3">
        <v>0</v>
      </c>
      <c r="M296" s="3">
        <f>L296*20%</f>
      </c>
      <c r="N296" s="3">
        <v>1</v>
      </c>
      <c r="O296" s="3">
        <f>K296+M296</f>
      </c>
      <c r="P296" s="3">
        <f>H296-I296-J296-K296-L296-M296-N296</f>
      </c>
      <c r="Q296" s="3">
        <f>(P296-Y296)/F296*100</f>
      </c>
      <c r="R296" s="3">
        <f>I296-O296</f>
      </c>
      <c r="S296" t="s">
        <v>1</v>
      </c>
      <c r="T296" t="s">
        <v>124</v>
      </c>
      <c r="Z296" s="3">
        <f>P296-Y296</f>
      </c>
      <c r="AA296" t="s">
        <v>125</v>
      </c>
      <c r="AB296" t="s">
        <v>69</v>
      </c>
    </row>
    <row r="297" spans="1:28" x14ac:dyDescent="0.25">
      <c r="A297" s="7">
        <v>46177.5</v>
      </c>
      <c r="B297" t="s">
        <v>2836</v>
      </c>
      <c r="C297" t="s">
        <v>1</v>
      </c>
      <c r="D297" s="8" t="s">
        <v>2837</v>
      </c>
      <c r="E297" t="s">
        <v>101</v>
      </c>
      <c r="F297" s="3">
        <v>480</v>
      </c>
      <c r="G297" s="3">
        <v>633.6</v>
      </c>
      <c r="H297" s="3">
        <f>G297-F297</f>
      </c>
      <c r="I297" s="3">
        <f>H297*16.67%</f>
      </c>
      <c r="J297" s="3">
        <f>G297*7%</f>
      </c>
      <c r="K297" s="3">
        <f>J297*20%</f>
      </c>
      <c r="L297" s="3">
        <v>0</v>
      </c>
      <c r="M297" s="3">
        <f>L297*20%</f>
      </c>
      <c r="N297" s="3">
        <v>1</v>
      </c>
      <c r="O297" s="3">
        <f>K297+M297</f>
      </c>
      <c r="P297" s="3">
        <f>H297-I297-J297-K297-L297-M297-N297</f>
      </c>
      <c r="Q297" s="3">
        <f>(P297-Y297)/F297*100</f>
      </c>
      <c r="R297" s="3">
        <f>I297-O297</f>
      </c>
      <c r="S297" t="s">
        <v>1</v>
      </c>
      <c r="T297" t="s">
        <v>58</v>
      </c>
      <c r="Z297" s="3">
        <f>P297-Y297</f>
      </c>
      <c r="AA297" t="s">
        <v>59</v>
      </c>
      <c r="AB297" t="s">
        <v>74</v>
      </c>
    </row>
    <row r="298" spans="1:28" x14ac:dyDescent="0.25">
      <c r="A298" s="7">
        <v>46177.5</v>
      </c>
      <c r="B298" t="s">
        <v>2838</v>
      </c>
      <c r="C298" t="s">
        <v>1</v>
      </c>
      <c r="D298" s="8" t="s">
        <v>2839</v>
      </c>
      <c r="E298" t="s">
        <v>63</v>
      </c>
      <c r="F298" s="3">
        <v>142</v>
      </c>
      <c r="G298" s="3">
        <v>164.72</v>
      </c>
      <c r="H298" s="3">
        <f>G298-F298</f>
      </c>
      <c r="I298" s="3">
        <f>H298*16.67%</f>
      </c>
      <c r="J298" s="3">
        <f>G298*7%</f>
      </c>
      <c r="K298" s="3">
        <f>J298*20%</f>
      </c>
      <c r="L298" s="3">
        <v>0</v>
      </c>
      <c r="M298" s="3">
        <f>L298*20%</f>
      </c>
      <c r="N298" s="3">
        <v>1</v>
      </c>
      <c r="O298" s="3">
        <f>K298+M298</f>
      </c>
      <c r="P298" s="3">
        <f>H298-I298-J298-K298-L298-M298-N298</f>
      </c>
      <c r="Q298" s="3">
        <f>(P298-Y298)/F298*100</f>
      </c>
      <c r="R298" s="3">
        <f>I298-O298</f>
      </c>
      <c r="S298" t="s">
        <v>1</v>
      </c>
      <c r="T298" t="s">
        <v>171</v>
      </c>
      <c r="Z298" s="3">
        <f>P298-Y298</f>
      </c>
      <c r="AA298" t="s">
        <v>65</v>
      </c>
      <c r="AB298" t="s">
        <v>74</v>
      </c>
    </row>
    <row r="299" spans="1:28" x14ac:dyDescent="0.25">
      <c r="A299" s="7">
        <v>46177.5</v>
      </c>
      <c r="B299" t="s">
        <v>2840</v>
      </c>
      <c r="C299" t="s">
        <v>1</v>
      </c>
      <c r="D299" s="8" t="s">
        <v>2841</v>
      </c>
      <c r="E299" t="s">
        <v>57</v>
      </c>
      <c r="F299" s="3">
        <v>132</v>
      </c>
      <c r="G299" s="3">
        <v>180.84</v>
      </c>
      <c r="H299" s="3">
        <f>G299-F299</f>
      </c>
      <c r="I299" s="3">
        <f>H299*16.67%</f>
      </c>
      <c r="J299" s="3">
        <f>G299*7%</f>
      </c>
      <c r="K299" s="3">
        <f>J299*20%</f>
      </c>
      <c r="L299" s="3">
        <v>0</v>
      </c>
      <c r="M299" s="3">
        <f>L299*20%</f>
      </c>
      <c r="N299" s="3">
        <v>1</v>
      </c>
      <c r="O299" s="3">
        <f>K299+M299</f>
      </c>
      <c r="P299" s="3">
        <f>H299-I299-J299-K299-L299-M299-N299</f>
      </c>
      <c r="Q299" s="3">
        <f>(P299-Y299)/F299*100</f>
      </c>
      <c r="R299" s="3">
        <f>I299-O299</f>
      </c>
      <c r="S299" t="s">
        <v>1</v>
      </c>
      <c r="T299" t="s">
        <v>133</v>
      </c>
      <c r="Z299" s="3">
        <f>P299-Y299</f>
      </c>
      <c r="AA299" t="s">
        <v>94</v>
      </c>
      <c r="AB299" t="s">
        <v>69</v>
      </c>
    </row>
    <row r="300" spans="1:28" x14ac:dyDescent="0.25">
      <c r="A300" s="7">
        <v>46177.5</v>
      </c>
      <c r="B300" t="s">
        <v>2842</v>
      </c>
      <c r="C300" t="s">
        <v>1</v>
      </c>
      <c r="D300" s="8" t="s">
        <v>1</v>
      </c>
      <c r="E300" t="s">
        <v>101</v>
      </c>
      <c r="F300" s="3">
        <v>731</v>
      </c>
      <c r="G300" s="3">
        <v>1045.33</v>
      </c>
      <c r="H300" s="3">
        <f>G300-F300</f>
      </c>
      <c r="I300" s="3">
        <f>H300*16.67%</f>
      </c>
      <c r="J300" s="3">
        <f>G300*7%</f>
      </c>
      <c r="K300" s="3">
        <f>J300*20%</f>
      </c>
      <c r="L300" s="3">
        <v>0</v>
      </c>
      <c r="M300" s="3">
        <f>L300*20%</f>
      </c>
      <c r="N300" s="3">
        <v>1</v>
      </c>
      <c r="O300" s="3">
        <f>K300+M300</f>
      </c>
      <c r="P300" s="3">
        <f>H300-I300-J300-K300-L300-M300-N300</f>
      </c>
      <c r="Q300" s="3">
        <f>(P300-Y300)/F300*100</f>
      </c>
      <c r="R300" s="3">
        <f>I300-O300</f>
      </c>
      <c r="S300" t="s">
        <v>1</v>
      </c>
      <c r="T300" t="s">
        <v>1</v>
      </c>
      <c r="Z300" s="3">
        <f>P300-Y300</f>
      </c>
      <c r="AA300" t="s">
        <v>1</v>
      </c>
      <c r="AB300" t="s">
        <v>1</v>
      </c>
    </row>
    <row r="301" spans="1:28" x14ac:dyDescent="0.25">
      <c r="A301" s="7">
        <v>46176.5</v>
      </c>
      <c r="B301" t="s">
        <v>2843</v>
      </c>
      <c r="C301" t="s">
        <v>1</v>
      </c>
      <c r="D301" s="8" t="s">
        <v>2844</v>
      </c>
      <c r="E301" t="s">
        <v>57</v>
      </c>
      <c r="F301" s="3">
        <v>129</v>
      </c>
      <c r="G301" s="3">
        <v>172.86</v>
      </c>
      <c r="H301" s="3">
        <f>G301-F301</f>
      </c>
      <c r="I301" s="3">
        <f>H301*16.67%</f>
      </c>
      <c r="J301" s="3">
        <f>G301*7%</f>
      </c>
      <c r="K301" s="3">
        <f>J301*20%</f>
      </c>
      <c r="L301" s="3">
        <v>0</v>
      </c>
      <c r="M301" s="3">
        <f>L301*20%</f>
      </c>
      <c r="N301" s="3">
        <v>1</v>
      </c>
      <c r="O301" s="3">
        <f>K301+M301</f>
      </c>
      <c r="P301" s="3">
        <f>H301-I301-J301-K301-L301-M301-N301</f>
      </c>
      <c r="Q301" s="3">
        <f>(P301-Y301)/F301*100</f>
      </c>
      <c r="R301" s="3">
        <f>I301-O301</f>
      </c>
      <c r="S301" t="s">
        <v>1</v>
      </c>
      <c r="T301" t="s">
        <v>133</v>
      </c>
      <c r="Z301" s="3">
        <f>P301-Y301</f>
      </c>
      <c r="AA301" t="s">
        <v>65</v>
      </c>
      <c r="AB301" t="s">
        <v>69</v>
      </c>
    </row>
    <row r="302" spans="1:28" x14ac:dyDescent="0.25">
      <c r="A302" s="7">
        <v>46176.5</v>
      </c>
      <c r="B302" t="s">
        <v>2845</v>
      </c>
      <c r="C302" t="s">
        <v>1</v>
      </c>
      <c r="D302" s="8" t="s">
        <v>2846</v>
      </c>
      <c r="E302" t="s">
        <v>63</v>
      </c>
      <c r="F302" s="3">
        <v>235</v>
      </c>
      <c r="G302" s="3">
        <v>282</v>
      </c>
      <c r="H302" s="3">
        <f>G302-F302</f>
      </c>
      <c r="I302" s="3">
        <f>H302*16.67%</f>
      </c>
      <c r="J302" s="3">
        <f>G302*7%</f>
      </c>
      <c r="K302" s="3">
        <f>J302*20%</f>
      </c>
      <c r="L302" s="3">
        <v>0</v>
      </c>
      <c r="M302" s="3">
        <f>L302*20%</f>
      </c>
      <c r="N302" s="3">
        <v>1</v>
      </c>
      <c r="O302" s="3">
        <f>K302+M302</f>
      </c>
      <c r="P302" s="3">
        <f>H302-I302-J302-K302-L302-M302-N302</f>
      </c>
      <c r="Q302" s="3">
        <f>(P302-Y302)/F302*100</f>
      </c>
      <c r="R302" s="3">
        <f>I302-O302</f>
      </c>
      <c r="S302" t="s">
        <v>1</v>
      </c>
      <c r="T302" t="s">
        <v>64</v>
      </c>
      <c r="Z302" s="3">
        <f>P302-Y302</f>
      </c>
      <c r="AA302" t="s">
        <v>65</v>
      </c>
      <c r="AB302" t="s">
        <v>74</v>
      </c>
    </row>
    <row r="303" spans="1:28" x14ac:dyDescent="0.25">
      <c r="A303" s="7">
        <v>46176.5</v>
      </c>
      <c r="B303" t="s">
        <v>2847</v>
      </c>
      <c r="C303" t="s">
        <v>173</v>
      </c>
      <c r="D303" s="8" t="s">
        <v>1</v>
      </c>
      <c r="E303" t="s">
        <v>63</v>
      </c>
      <c r="F303" s="3">
        <v>4.25</v>
      </c>
      <c r="G303" s="3">
        <v>5.74</v>
      </c>
      <c r="H303" s="3">
        <f>G303-F303</f>
      </c>
      <c r="I303" s="3">
        <f>H303*16.67%</f>
      </c>
      <c r="J303" s="3">
        <f>G303*7%</f>
      </c>
      <c r="K303" s="3">
        <f>J303*20%</f>
      </c>
      <c r="L303" s="3">
        <v>0</v>
      </c>
      <c r="M303" s="3">
        <f>L303*20%</f>
      </c>
      <c r="N303" s="3">
        <v>1</v>
      </c>
      <c r="O303" s="3">
        <f>K303+M303</f>
      </c>
      <c r="P303" s="3">
        <f>H303-I303-J303-K303-L303-M303-N303</f>
      </c>
      <c r="Q303" s="3">
        <f>(P303-Y303)/F303*100</f>
      </c>
      <c r="R303" s="3">
        <f>I303-O303</f>
      </c>
      <c r="S303" t="s">
        <v>1</v>
      </c>
      <c r="T303" t="s">
        <v>173</v>
      </c>
      <c r="Z303" s="3">
        <f>P303-Y303</f>
      </c>
      <c r="AA303" t="s">
        <v>1</v>
      </c>
      <c r="AB303" t="s">
        <v>1</v>
      </c>
    </row>
    <row r="304" spans="1:28" x14ac:dyDescent="0.25">
      <c r="A304" s="7">
        <v>46176.5</v>
      </c>
      <c r="B304" t="s">
        <v>2848</v>
      </c>
      <c r="C304" t="s">
        <v>1</v>
      </c>
      <c r="D304" s="8" t="s">
        <v>1</v>
      </c>
      <c r="E304" t="s">
        <v>72</v>
      </c>
      <c r="F304" s="3">
        <v>277</v>
      </c>
      <c r="G304" s="3">
        <v>396.11</v>
      </c>
      <c r="H304" s="3">
        <f>G304-F304</f>
      </c>
      <c r="I304" s="3">
        <f>H304*16.67%</f>
      </c>
      <c r="J304" s="3">
        <f>G304*7%</f>
      </c>
      <c r="K304" s="3">
        <f>J304*20%</f>
      </c>
      <c r="L304" s="3">
        <v>0</v>
      </c>
      <c r="M304" s="3">
        <f>L304*20%</f>
      </c>
      <c r="N304" s="3">
        <v>1</v>
      </c>
      <c r="O304" s="3">
        <f>K304+M304</f>
      </c>
      <c r="P304" s="3">
        <f>H304-I304-J304-K304-L304-M304-N304</f>
      </c>
      <c r="Q304" s="3">
        <f>(P304-Y304)/F304*100</f>
      </c>
      <c r="R304" s="3">
        <f>I304-O304</f>
      </c>
      <c r="S304" t="s">
        <v>1</v>
      </c>
      <c r="T304" t="s">
        <v>1</v>
      </c>
      <c r="Z304" s="3">
        <f>P304-Y304</f>
      </c>
      <c r="AA304" t="s">
        <v>1</v>
      </c>
      <c r="AB304" t="s">
        <v>1</v>
      </c>
    </row>
    <row r="305" spans="1:28" x14ac:dyDescent="0.25">
      <c r="A305" s="7">
        <v>46175.5</v>
      </c>
      <c r="B305" t="s">
        <v>2849</v>
      </c>
      <c r="C305" t="s">
        <v>1</v>
      </c>
      <c r="D305" s="8" t="s">
        <v>2850</v>
      </c>
      <c r="E305" t="s">
        <v>57</v>
      </c>
      <c r="F305" s="3">
        <v>324</v>
      </c>
      <c r="G305" s="3">
        <v>450.36</v>
      </c>
      <c r="H305" s="3">
        <f>G305-F305</f>
      </c>
      <c r="I305" s="3">
        <f>H305*16.67%</f>
      </c>
      <c r="J305" s="3">
        <f>G305*7%</f>
      </c>
      <c r="K305" s="3">
        <f>J305*20%</f>
      </c>
      <c r="L305" s="3">
        <v>0</v>
      </c>
      <c r="M305" s="3">
        <f>L305*20%</f>
      </c>
      <c r="N305" s="3">
        <v>1</v>
      </c>
      <c r="O305" s="3">
        <f>K305+M305</f>
      </c>
      <c r="P305" s="3">
        <f>H305-I305-J305-K305-L305-M305-N305</f>
      </c>
      <c r="Q305" s="3">
        <f>(P305-Y305)/F305*100</f>
      </c>
      <c r="R305" s="3">
        <f>I305-O305</f>
      </c>
      <c r="S305" t="s">
        <v>1</v>
      </c>
      <c r="T305" t="s">
        <v>73</v>
      </c>
      <c r="Z305" s="3">
        <f>P305-Y305</f>
      </c>
      <c r="AA305" t="s">
        <v>59</v>
      </c>
      <c r="AB305" t="s">
        <v>98</v>
      </c>
    </row>
    <row r="306" spans="1:28" x14ac:dyDescent="0.25">
      <c r="A306" s="7">
        <v>46175.5</v>
      </c>
      <c r="B306" t="s">
        <v>2851</v>
      </c>
      <c r="C306" t="s">
        <v>1</v>
      </c>
      <c r="D306" s="8" t="s">
        <v>2852</v>
      </c>
      <c r="E306" t="s">
        <v>77</v>
      </c>
      <c r="F306" s="3">
        <v>258</v>
      </c>
      <c r="G306" s="3">
        <v>317.34</v>
      </c>
      <c r="H306" s="3">
        <f>G306-F306</f>
      </c>
      <c r="I306" s="3">
        <f>H306*16.67%</f>
      </c>
      <c r="J306" s="3">
        <f>G306*7%</f>
      </c>
      <c r="K306" s="3">
        <f>J306*20%</f>
      </c>
      <c r="L306" s="3">
        <v>0</v>
      </c>
      <c r="M306" s="3">
        <f>L306*20%</f>
      </c>
      <c r="N306" s="3">
        <v>1</v>
      </c>
      <c r="O306" s="3">
        <f>K306+M306</f>
      </c>
      <c r="P306" s="3">
        <f>H306-I306-J306-K306-L306-M306-N306</f>
      </c>
      <c r="Q306" s="3">
        <f>(P306-Y306)/F306*100</f>
      </c>
      <c r="R306" s="3">
        <f>I306-O306</f>
      </c>
      <c r="S306" t="s">
        <v>1</v>
      </c>
      <c r="T306" t="s">
        <v>113</v>
      </c>
      <c r="Z306" s="3">
        <f>P306-Y306</f>
      </c>
      <c r="AA306" t="s">
        <v>94</v>
      </c>
      <c r="AB306" t="s">
        <v>84</v>
      </c>
    </row>
    <row r="307" spans="1:28" x14ac:dyDescent="0.25">
      <c r="A307" s="7">
        <v>46175.5</v>
      </c>
      <c r="B307" t="s">
        <v>2853</v>
      </c>
      <c r="C307" t="s">
        <v>253</v>
      </c>
      <c r="D307" s="8" t="s">
        <v>1</v>
      </c>
      <c r="E307" t="s">
        <v>57</v>
      </c>
      <c r="F307" s="3">
        <v>0.8</v>
      </c>
      <c r="G307" s="3">
        <v>1.16</v>
      </c>
      <c r="H307" s="3">
        <f>G307-F307</f>
      </c>
      <c r="I307" s="3">
        <f>H307*16.67%</f>
      </c>
      <c r="J307" s="3">
        <f>G307*7%</f>
      </c>
      <c r="K307" s="3">
        <f>J307*20%</f>
      </c>
      <c r="L307" s="3">
        <v>0</v>
      </c>
      <c r="M307" s="3">
        <f>L307*20%</f>
      </c>
      <c r="N307" s="3">
        <v>1</v>
      </c>
      <c r="O307" s="3">
        <f>K307+M307</f>
      </c>
      <c r="P307" s="3">
        <f>H307-I307-J307-K307-L307-M307-N307</f>
      </c>
      <c r="Q307" s="3">
        <f>(P307-Y307)/F307*100</f>
      </c>
      <c r="R307" s="3">
        <f>I307-O307</f>
      </c>
      <c r="S307" t="s">
        <v>1</v>
      </c>
      <c r="T307" t="s">
        <v>253</v>
      </c>
      <c r="Z307" s="3">
        <f>P307-Y307</f>
      </c>
      <c r="AA307" t="s">
        <v>1</v>
      </c>
      <c r="AB307" t="s">
        <v>1</v>
      </c>
    </row>
    <row r="308" spans="1:28" x14ac:dyDescent="0.25">
      <c r="A308" s="7">
        <v>46175.5</v>
      </c>
      <c r="B308" t="s">
        <v>2854</v>
      </c>
      <c r="C308" t="s">
        <v>1</v>
      </c>
      <c r="D308" s="8" t="s">
        <v>1</v>
      </c>
      <c r="E308" t="s">
        <v>63</v>
      </c>
      <c r="F308" s="3">
        <v>198</v>
      </c>
      <c r="G308" s="3">
        <v>243.54</v>
      </c>
      <c r="H308" s="3">
        <f>G308-F308</f>
      </c>
      <c r="I308" s="3">
        <f>H308*16.67%</f>
      </c>
      <c r="J308" s="3">
        <f>G308*7%</f>
      </c>
      <c r="K308" s="3">
        <f>J308*20%</f>
      </c>
      <c r="L308" s="3">
        <v>0</v>
      </c>
      <c r="M308" s="3">
        <f>L308*20%</f>
      </c>
      <c r="N308" s="3">
        <v>1</v>
      </c>
      <c r="O308" s="3">
        <f>K308+M308</f>
      </c>
      <c r="P308" s="3">
        <f>H308-I308-J308-K308-L308-M308-N308</f>
      </c>
      <c r="Q308" s="3">
        <f>(P308-Y308)/F308*100</f>
      </c>
      <c r="R308" s="3">
        <f>I308-O308</f>
      </c>
      <c r="S308" t="s">
        <v>1</v>
      </c>
      <c r="T308" t="s">
        <v>1</v>
      </c>
      <c r="Z308" s="3">
        <f>P308-Y308</f>
      </c>
      <c r="AA308" t="s">
        <v>1</v>
      </c>
      <c r="AB308" t="s">
        <v>1</v>
      </c>
    </row>
    <row r="309" spans="1:28" x14ac:dyDescent="0.25">
      <c r="A309" s="7">
        <v>46175.5</v>
      </c>
      <c r="B309" t="s">
        <v>2855</v>
      </c>
      <c r="C309" t="s">
        <v>1</v>
      </c>
      <c r="D309" s="8" t="s">
        <v>1</v>
      </c>
      <c r="E309" t="s">
        <v>77</v>
      </c>
      <c r="F309" s="3">
        <v>541</v>
      </c>
      <c r="G309" s="3">
        <v>681.66</v>
      </c>
      <c r="H309" s="3">
        <f>G309-F309</f>
      </c>
      <c r="I309" s="3">
        <f>H309*16.67%</f>
      </c>
      <c r="J309" s="3">
        <f>G309*7%</f>
      </c>
      <c r="K309" s="3">
        <f>J309*20%</f>
      </c>
      <c r="L309" s="3">
        <v>0</v>
      </c>
      <c r="M309" s="3">
        <f>L309*20%</f>
      </c>
      <c r="N309" s="3">
        <v>1</v>
      </c>
      <c r="O309" s="3">
        <f>K309+M309</f>
      </c>
      <c r="P309" s="3">
        <f>H309-I309-J309-K309-L309-M309-N309</f>
      </c>
      <c r="Q309" s="3">
        <f>(P309-Y309)/F309*100</f>
      </c>
      <c r="R309" s="3">
        <f>I309-O309</f>
      </c>
      <c r="S309" t="s">
        <v>1</v>
      </c>
      <c r="T309" t="s">
        <v>1</v>
      </c>
      <c r="Z309" s="3">
        <f>P309-Y309</f>
      </c>
      <c r="AA309" t="s">
        <v>1</v>
      </c>
      <c r="AB309" t="s">
        <v>1</v>
      </c>
    </row>
    <row r="310" spans="1:28" x14ac:dyDescent="0.25">
      <c r="A310" s="7">
        <v>46174.5</v>
      </c>
      <c r="B310" t="s">
        <v>2856</v>
      </c>
      <c r="C310" t="s">
        <v>1</v>
      </c>
      <c r="D310" s="8" t="s">
        <v>2857</v>
      </c>
      <c r="E310" t="s">
        <v>77</v>
      </c>
      <c r="F310" s="3">
        <v>330</v>
      </c>
      <c r="G310" s="3">
        <v>429</v>
      </c>
      <c r="H310" s="3">
        <f>G310-F310</f>
      </c>
      <c r="I310" s="3">
        <f>H310*16.67%</f>
      </c>
      <c r="J310" s="3">
        <f>G310*7%</f>
      </c>
      <c r="K310" s="3">
        <f>J310*20%</f>
      </c>
      <c r="L310" s="3">
        <v>0</v>
      </c>
      <c r="M310" s="3">
        <f>L310*20%</f>
      </c>
      <c r="N310" s="3">
        <v>1</v>
      </c>
      <c r="O310" s="3">
        <f>K310+M310</f>
      </c>
      <c r="P310" s="3">
        <f>H310-I310-J310-K310-L310-M310-N310</f>
      </c>
      <c r="Q310" s="3">
        <f>(P310-Y310)/F310*100</f>
      </c>
      <c r="R310" s="3">
        <f>I310-O310</f>
      </c>
      <c r="S310" t="s">
        <v>1</v>
      </c>
      <c r="T310" t="s">
        <v>73</v>
      </c>
      <c r="Z310" s="3">
        <f>P310-Y310</f>
      </c>
      <c r="AA310" t="s">
        <v>59</v>
      </c>
      <c r="AB310" t="s">
        <v>84</v>
      </c>
    </row>
    <row r="311" spans="1:28" x14ac:dyDescent="0.25">
      <c r="A311" s="7">
        <v>46174.5</v>
      </c>
      <c r="B311" t="s">
        <v>2858</v>
      </c>
      <c r="C311" t="s">
        <v>1</v>
      </c>
      <c r="D311" s="8" t="s">
        <v>2859</v>
      </c>
      <c r="E311" t="s">
        <v>101</v>
      </c>
      <c r="F311" s="3">
        <v>189</v>
      </c>
      <c r="G311" s="3">
        <v>264.6</v>
      </c>
      <c r="H311" s="3">
        <f>G311-F311</f>
      </c>
      <c r="I311" s="3">
        <f>H311*16.67%</f>
      </c>
      <c r="J311" s="3">
        <f>G311*7%</f>
      </c>
      <c r="K311" s="3">
        <f>J311*20%</f>
      </c>
      <c r="L311" s="3">
        <v>0</v>
      </c>
      <c r="M311" s="3">
        <f>L311*20%</f>
      </c>
      <c r="N311" s="3">
        <v>1</v>
      </c>
      <c r="O311" s="3">
        <f>K311+M311</f>
      </c>
      <c r="P311" s="3">
        <f>H311-I311-J311-K311-L311-M311-N311</f>
      </c>
      <c r="Q311" s="3">
        <f>(P311-Y311)/F311*100</f>
      </c>
      <c r="R311" s="3">
        <f>I311-O311</f>
      </c>
      <c r="S311" t="s">
        <v>1</v>
      </c>
      <c r="T311" t="s">
        <v>233</v>
      </c>
      <c r="Z311" s="3">
        <f>P311-Y311</f>
      </c>
      <c r="AA311" t="s">
        <v>65</v>
      </c>
      <c r="AB311" t="s">
        <v>60</v>
      </c>
    </row>
    <row r="312" spans="1:28" x14ac:dyDescent="0.25">
      <c r="A312" s="7">
        <v>46174.5</v>
      </c>
      <c r="B312" t="s">
        <v>2860</v>
      </c>
      <c r="C312" t="s">
        <v>1</v>
      </c>
      <c r="D312" s="8" t="s">
        <v>2861</v>
      </c>
      <c r="E312" t="s">
        <v>63</v>
      </c>
      <c r="F312" s="3">
        <v>430</v>
      </c>
      <c r="G312" s="3">
        <v>597.7</v>
      </c>
      <c r="H312" s="3">
        <f>G312-F312</f>
      </c>
      <c r="I312" s="3">
        <f>H312*16.67%</f>
      </c>
      <c r="J312" s="3">
        <f>G312*7%</f>
      </c>
      <c r="K312" s="3">
        <f>J312*20%</f>
      </c>
      <c r="L312" s="3">
        <v>0</v>
      </c>
      <c r="M312" s="3">
        <f>L312*20%</f>
      </c>
      <c r="N312" s="3">
        <v>1</v>
      </c>
      <c r="O312" s="3">
        <f>K312+M312</f>
      </c>
      <c r="P312" s="3">
        <f>H312-I312-J312-K312-L312-M312-N312</f>
      </c>
      <c r="Q312" s="3">
        <f>(P312-Y312)/F312*100</f>
      </c>
      <c r="R312" s="3">
        <f>I312-O312</f>
      </c>
      <c r="S312" t="s">
        <v>1</v>
      </c>
      <c r="T312" t="s">
        <v>58</v>
      </c>
      <c r="Z312" s="3">
        <f>P312-Y312</f>
      </c>
      <c r="AA312" t="s">
        <v>59</v>
      </c>
      <c r="AB312" t="s">
        <v>98</v>
      </c>
    </row>
    <row r="313" spans="1:28" x14ac:dyDescent="0.25">
      <c r="A313" s="7">
        <v>46174.5</v>
      </c>
      <c r="B313" t="s">
        <v>2862</v>
      </c>
      <c r="C313" t="s">
        <v>1</v>
      </c>
      <c r="D313" s="8" t="s">
        <v>2863</v>
      </c>
      <c r="E313" t="s">
        <v>57</v>
      </c>
      <c r="F313" s="3">
        <v>436</v>
      </c>
      <c r="G313" s="3">
        <v>632.2</v>
      </c>
      <c r="H313" s="3">
        <f>G313-F313</f>
      </c>
      <c r="I313" s="3">
        <f>H313*16.67%</f>
      </c>
      <c r="J313" s="3">
        <f>G313*7%</f>
      </c>
      <c r="K313" s="3">
        <f>J313*20%</f>
      </c>
      <c r="L313" s="3">
        <v>0</v>
      </c>
      <c r="M313" s="3">
        <f>L313*20%</f>
      </c>
      <c r="N313" s="3">
        <v>1</v>
      </c>
      <c r="O313" s="3">
        <f>K313+M313</f>
      </c>
      <c r="P313" s="3">
        <f>H313-I313-J313-K313-L313-M313-N313</f>
      </c>
      <c r="Q313" s="3">
        <f>(P313-Y313)/F313*100</f>
      </c>
      <c r="R313" s="3">
        <f>I313-O313</f>
      </c>
      <c r="S313" t="s">
        <v>1</v>
      </c>
      <c r="T313" t="s">
        <v>58</v>
      </c>
      <c r="Z313" s="3">
        <f>P313-Y313</f>
      </c>
      <c r="AA313" t="s">
        <v>59</v>
      </c>
      <c r="AB313" t="s">
        <v>98</v>
      </c>
    </row>
    <row r="314" spans="1:28" x14ac:dyDescent="0.25">
      <c r="A314" s="7">
        <v>46174.5</v>
      </c>
      <c r="B314" t="s">
        <v>2864</v>
      </c>
      <c r="C314" t="s">
        <v>1</v>
      </c>
      <c r="D314" s="8" t="s">
        <v>2865</v>
      </c>
      <c r="E314" t="s">
        <v>63</v>
      </c>
      <c r="F314" s="3">
        <v>328</v>
      </c>
      <c r="G314" s="3">
        <v>426.4</v>
      </c>
      <c r="H314" s="3">
        <f>G314-F314</f>
      </c>
      <c r="I314" s="3">
        <f>H314*16.67%</f>
      </c>
      <c r="J314" s="3">
        <f>G314*7%</f>
      </c>
      <c r="K314" s="3">
        <f>J314*20%</f>
      </c>
      <c r="L314" s="3">
        <v>0</v>
      </c>
      <c r="M314" s="3">
        <f>L314*20%</f>
      </c>
      <c r="N314" s="3">
        <v>1</v>
      </c>
      <c r="O314" s="3">
        <f>K314+M314</f>
      </c>
      <c r="P314" s="3">
        <f>H314-I314-J314-K314-L314-M314-N314</f>
      </c>
      <c r="Q314" s="3">
        <f>(P314-Y314)/F314*100</f>
      </c>
      <c r="R314" s="3">
        <f>I314-O314</f>
      </c>
      <c r="S314" t="s">
        <v>1</v>
      </c>
      <c r="T314" t="s">
        <v>73</v>
      </c>
      <c r="Z314" s="3">
        <f>P314-Y314</f>
      </c>
      <c r="AA314" t="s">
        <v>59</v>
      </c>
      <c r="AB314" t="s">
        <v>69</v>
      </c>
    </row>
    <row r="315" spans="1:28" x14ac:dyDescent="0.25">
      <c r="A315" s="7">
        <v>46174.5</v>
      </c>
      <c r="B315" t="s">
        <v>2866</v>
      </c>
      <c r="C315" t="s">
        <v>1</v>
      </c>
      <c r="D315" s="8" t="s">
        <v>2867</v>
      </c>
      <c r="E315" t="s">
        <v>77</v>
      </c>
      <c r="F315" s="3">
        <v>334</v>
      </c>
      <c r="G315" s="3">
        <v>450.9</v>
      </c>
      <c r="H315" s="3">
        <f>G315-F315</f>
      </c>
      <c r="I315" s="3">
        <f>H315*16.67%</f>
      </c>
      <c r="J315" s="3">
        <f>G315*7%</f>
      </c>
      <c r="K315" s="3">
        <f>J315*20%</f>
      </c>
      <c r="L315" s="3">
        <v>0</v>
      </c>
      <c r="M315" s="3">
        <f>L315*20%</f>
      </c>
      <c r="N315" s="3">
        <v>1</v>
      </c>
      <c r="O315" s="3">
        <f>K315+M315</f>
      </c>
      <c r="P315" s="3">
        <f>H315-I315-J315-K315-L315-M315-N315</f>
      </c>
      <c r="Q315" s="3">
        <f>(P315-Y315)/F315*100</f>
      </c>
      <c r="R315" s="3">
        <f>I315-O315</f>
      </c>
      <c r="S315" t="s">
        <v>1</v>
      </c>
      <c r="T315" t="s">
        <v>73</v>
      </c>
      <c r="Z315" s="3">
        <f>P315-Y315</f>
      </c>
      <c r="AA315" t="s">
        <v>59</v>
      </c>
      <c r="AB315" t="s">
        <v>74</v>
      </c>
    </row>
    <row r="316" spans="1:28" x14ac:dyDescent="0.25">
      <c r="A316" s="7">
        <v>46174.5</v>
      </c>
      <c r="B316" t="s">
        <v>2868</v>
      </c>
      <c r="C316" t="s">
        <v>1</v>
      </c>
      <c r="D316" s="8" t="s">
        <v>2869</v>
      </c>
      <c r="E316" t="s">
        <v>57</v>
      </c>
      <c r="F316" s="3">
        <v>353</v>
      </c>
      <c r="G316" s="3">
        <v>497.73</v>
      </c>
      <c r="H316" s="3">
        <f>G316-F316</f>
      </c>
      <c r="I316" s="3">
        <f>H316*16.67%</f>
      </c>
      <c r="J316" s="3">
        <f>G316*7%</f>
      </c>
      <c r="K316" s="3">
        <f>J316*20%</f>
      </c>
      <c r="L316" s="3">
        <v>0</v>
      </c>
      <c r="M316" s="3">
        <f>L316*20%</f>
      </c>
      <c r="N316" s="3">
        <v>1</v>
      </c>
      <c r="O316" s="3">
        <f>K316+M316</f>
      </c>
      <c r="P316" s="3">
        <f>H316-I316-J316-K316-L316-M316-N316</f>
      </c>
      <c r="Q316" s="3">
        <f>(P316-Y316)/F316*100</f>
      </c>
      <c r="R316" s="3">
        <f>I316-O316</f>
      </c>
      <c r="S316" t="s">
        <v>1</v>
      </c>
      <c r="T316" t="s">
        <v>138</v>
      </c>
      <c r="Z316" s="3">
        <f>P316-Y316</f>
      </c>
      <c r="AA316" t="s">
        <v>59</v>
      </c>
      <c r="AB316" t="s">
        <v>74</v>
      </c>
    </row>
    <row r="317" spans="1:28" x14ac:dyDescent="0.25">
      <c r="A317" s="7">
        <v>46174.5</v>
      </c>
      <c r="B317" t="s">
        <v>2870</v>
      </c>
      <c r="C317" t="s">
        <v>181</v>
      </c>
      <c r="D317" s="8" t="s">
        <v>1</v>
      </c>
      <c r="E317" t="s">
        <v>72</v>
      </c>
      <c r="F317" s="3">
        <v>1.9</v>
      </c>
      <c r="G317" s="3">
        <v>2.43</v>
      </c>
      <c r="H317" s="3">
        <f>G317-F317</f>
      </c>
      <c r="I317" s="3">
        <f>H317*16.67%</f>
      </c>
      <c r="J317" s="3">
        <f>G317*7%</f>
      </c>
      <c r="K317" s="3">
        <f>J317*20%</f>
      </c>
      <c r="L317" s="3">
        <v>0</v>
      </c>
      <c r="M317" s="3">
        <f>L317*20%</f>
      </c>
      <c r="N317" s="3">
        <v>1</v>
      </c>
      <c r="O317" s="3">
        <f>K317+M317</f>
      </c>
      <c r="P317" s="3">
        <f>H317-I317-J317-K317-L317-M317-N317</f>
      </c>
      <c r="Q317" s="3">
        <f>(P317-Y317)/F317*100</f>
      </c>
      <c r="R317" s="3">
        <f>I317-O317</f>
      </c>
      <c r="S317" t="s">
        <v>1</v>
      </c>
      <c r="T317" t="s">
        <v>181</v>
      </c>
      <c r="Z317" s="3">
        <f>P317-Y317</f>
      </c>
      <c r="AA317" t="s">
        <v>1</v>
      </c>
      <c r="AB317" t="s">
        <v>1</v>
      </c>
    </row>
    <row r="318" spans="1:28" x14ac:dyDescent="0.25">
      <c r="A318" s="7">
        <v>46174.5</v>
      </c>
      <c r="B318" t="s">
        <v>2871</v>
      </c>
      <c r="C318" t="s">
        <v>1</v>
      </c>
      <c r="D318" s="8" t="s">
        <v>1</v>
      </c>
      <c r="E318" t="s">
        <v>57</v>
      </c>
      <c r="F318" s="3">
        <v>722</v>
      </c>
      <c r="G318" s="3">
        <v>945.82</v>
      </c>
      <c r="H318" s="3">
        <f>G318-F318</f>
      </c>
      <c r="I318" s="3">
        <f>H318*16.67%</f>
      </c>
      <c r="J318" s="3">
        <f>G318*7%</f>
      </c>
      <c r="K318" s="3">
        <f>J318*20%</f>
      </c>
      <c r="L318" s="3">
        <v>0</v>
      </c>
      <c r="M318" s="3">
        <f>L318*20%</f>
      </c>
      <c r="N318" s="3">
        <v>1</v>
      </c>
      <c r="O318" s="3">
        <f>K318+M318</f>
      </c>
      <c r="P318" s="3">
        <f>H318-I318-J318-K318-L318-M318-N318</f>
      </c>
      <c r="Q318" s="3">
        <f>(P318-Y318)/F318*100</f>
      </c>
      <c r="R318" s="3">
        <f>I318-O318</f>
      </c>
      <c r="S318" t="s">
        <v>1</v>
      </c>
      <c r="T318" t="s">
        <v>1</v>
      </c>
      <c r="Z318" s="3">
        <f>P318-Y318</f>
      </c>
      <c r="AA318" t="s">
        <v>1</v>
      </c>
      <c r="AB318" t="s">
        <v>1</v>
      </c>
    </row>
    <row r="319" spans="1:28" x14ac:dyDescent="0.25">
      <c r="A319" s="7">
        <v>46173.5</v>
      </c>
      <c r="B319" t="s">
        <v>2872</v>
      </c>
      <c r="C319" t="s">
        <v>1</v>
      </c>
      <c r="D319" s="8" t="s">
        <v>2873</v>
      </c>
      <c r="E319" t="s">
        <v>57</v>
      </c>
      <c r="F319" s="3">
        <v>159</v>
      </c>
      <c r="G319" s="3">
        <v>184.44</v>
      </c>
      <c r="H319" s="3">
        <f>G319-F319</f>
      </c>
      <c r="I319" s="3">
        <f>H319*16.67%</f>
      </c>
      <c r="J319" s="3">
        <f>G319*7%</f>
      </c>
      <c r="K319" s="3">
        <f>J319*20%</f>
      </c>
      <c r="L319" s="3">
        <v>0</v>
      </c>
      <c r="M319" s="3">
        <f>L319*20%</f>
      </c>
      <c r="N319" s="3">
        <v>1</v>
      </c>
      <c r="O319" s="3">
        <f>K319+M319</f>
      </c>
      <c r="P319" s="3">
        <f>H319-I319-J319-K319-L319-M319-N319</f>
      </c>
      <c r="Q319" s="3">
        <f>(P319-Y319)/F319*100</f>
      </c>
      <c r="R319" s="3">
        <f>I319-O319</f>
      </c>
      <c r="S319" t="s">
        <v>1</v>
      </c>
      <c r="T319" t="s">
        <v>171</v>
      </c>
      <c r="Z319" s="3">
        <f>P319-Y319</f>
      </c>
      <c r="AA319" t="s">
        <v>65</v>
      </c>
      <c r="AB319" t="s">
        <v>104</v>
      </c>
    </row>
    <row r="320" spans="1:28" x14ac:dyDescent="0.25">
      <c r="A320" s="7">
        <v>46173.5</v>
      </c>
      <c r="B320" t="s">
        <v>2874</v>
      </c>
      <c r="C320" t="s">
        <v>1</v>
      </c>
      <c r="D320" s="8" t="s">
        <v>2875</v>
      </c>
      <c r="E320" t="s">
        <v>57</v>
      </c>
      <c r="F320" s="3">
        <v>465</v>
      </c>
      <c r="G320" s="3">
        <v>669.6</v>
      </c>
      <c r="H320" s="3">
        <f>G320-F320</f>
      </c>
      <c r="I320" s="3">
        <f>H320*16.67%</f>
      </c>
      <c r="J320" s="3">
        <f>G320*7%</f>
      </c>
      <c r="K320" s="3">
        <f>J320*20%</f>
      </c>
      <c r="L320" s="3">
        <v>0</v>
      </c>
      <c r="M320" s="3">
        <f>L320*20%</f>
      </c>
      <c r="N320" s="3">
        <v>1</v>
      </c>
      <c r="O320" s="3">
        <f>K320+M320</f>
      </c>
      <c r="P320" s="3">
        <f>H320-I320-J320-K320-L320-M320-N320</f>
      </c>
      <c r="Q320" s="3">
        <f>(P320-Y320)/F320*100</f>
      </c>
      <c r="R320" s="3">
        <f>I320-O320</f>
      </c>
      <c r="S320" t="s">
        <v>1</v>
      </c>
      <c r="T320" t="s">
        <v>58</v>
      </c>
      <c r="Z320" s="3">
        <f>P320-Y320</f>
      </c>
      <c r="AA320" t="s">
        <v>59</v>
      </c>
      <c r="AB320" t="s">
        <v>60</v>
      </c>
    </row>
    <row r="321" spans="1:28" x14ac:dyDescent="0.25">
      <c r="A321" s="7">
        <v>46173.5</v>
      </c>
      <c r="B321" t="s">
        <v>2876</v>
      </c>
      <c r="C321" t="s">
        <v>1</v>
      </c>
      <c r="D321" s="8" t="s">
        <v>2877</v>
      </c>
      <c r="E321" t="s">
        <v>72</v>
      </c>
      <c r="F321" s="3">
        <v>97</v>
      </c>
      <c r="G321" s="3">
        <v>129.98</v>
      </c>
      <c r="H321" s="3">
        <f>G321-F321</f>
      </c>
      <c r="I321" s="3">
        <f>H321*16.67%</f>
      </c>
      <c r="J321" s="3">
        <f>G321*7%</f>
      </c>
      <c r="K321" s="3">
        <f>J321*20%</f>
      </c>
      <c r="L321" s="3">
        <v>0</v>
      </c>
      <c r="M321" s="3">
        <f>L321*20%</f>
      </c>
      <c r="N321" s="3">
        <v>1</v>
      </c>
      <c r="O321" s="3">
        <f>K321+M321</f>
      </c>
      <c r="P321" s="3">
        <f>H321-I321-J321-K321-L321-M321-N321</f>
      </c>
      <c r="Q321" s="3">
        <f>(P321-Y321)/F321*100</f>
      </c>
      <c r="R321" s="3">
        <f>I321-O321</f>
      </c>
      <c r="S321" t="s">
        <v>1</v>
      </c>
      <c r="T321" t="s">
        <v>90</v>
      </c>
      <c r="Z321" s="3">
        <f>P321-Y321</f>
      </c>
      <c r="AA321" t="s">
        <v>65</v>
      </c>
      <c r="AB321" t="s">
        <v>84</v>
      </c>
    </row>
    <row r="322" spans="1:28" x14ac:dyDescent="0.25">
      <c r="A322" s="7">
        <v>46173.5</v>
      </c>
      <c r="B322" t="s">
        <v>2878</v>
      </c>
      <c r="C322" t="s">
        <v>1</v>
      </c>
      <c r="D322" s="8" t="s">
        <v>2879</v>
      </c>
      <c r="E322" t="s">
        <v>72</v>
      </c>
      <c r="F322" s="3">
        <v>302</v>
      </c>
      <c r="G322" s="3">
        <v>404.68</v>
      </c>
      <c r="H322" s="3">
        <f>G322-F322</f>
      </c>
      <c r="I322" s="3">
        <f>H322*16.67%</f>
      </c>
      <c r="J322" s="3">
        <f>G322*7%</f>
      </c>
      <c r="K322" s="3">
        <f>J322*20%</f>
      </c>
      <c r="L322" s="3">
        <v>0</v>
      </c>
      <c r="M322" s="3">
        <f>L322*20%</f>
      </c>
      <c r="N322" s="3">
        <v>1</v>
      </c>
      <c r="O322" s="3">
        <f>K322+M322</f>
      </c>
      <c r="P322" s="3">
        <f>H322-I322-J322-K322-L322-M322-N322</f>
      </c>
      <c r="Q322" s="3">
        <f>(P322-Y322)/F322*100</f>
      </c>
      <c r="R322" s="3">
        <f>I322-O322</f>
      </c>
      <c r="S322" t="s">
        <v>1</v>
      </c>
      <c r="T322" t="s">
        <v>97</v>
      </c>
      <c r="Z322" s="3">
        <f>P322-Y322</f>
      </c>
      <c r="AA322" t="s">
        <v>65</v>
      </c>
      <c r="AB322" t="s">
        <v>104</v>
      </c>
    </row>
    <row r="323" spans="1:28" x14ac:dyDescent="0.25">
      <c r="A323" s="7">
        <v>46173.5</v>
      </c>
      <c r="B323" t="s">
        <v>2880</v>
      </c>
      <c r="C323" t="s">
        <v>1</v>
      </c>
      <c r="D323" s="8" t="s">
        <v>2881</v>
      </c>
      <c r="E323" t="s">
        <v>57</v>
      </c>
      <c r="F323" s="3">
        <v>318</v>
      </c>
      <c r="G323" s="3">
        <v>381.6</v>
      </c>
      <c r="H323" s="3">
        <f>G323-F323</f>
      </c>
      <c r="I323" s="3">
        <f>H323*16.67%</f>
      </c>
      <c r="J323" s="3">
        <f>G323*7%</f>
      </c>
      <c r="K323" s="3">
        <f>J323*20%</f>
      </c>
      <c r="L323" s="3">
        <v>0</v>
      </c>
      <c r="M323" s="3">
        <f>L323*20%</f>
      </c>
      <c r="N323" s="3">
        <v>1</v>
      </c>
      <c r="O323" s="3">
        <f>K323+M323</f>
      </c>
      <c r="P323" s="3">
        <f>H323-I323-J323-K323-L323-M323-N323</f>
      </c>
      <c r="Q323" s="3">
        <f>(P323-Y323)/F323*100</f>
      </c>
      <c r="R323" s="3">
        <f>I323-O323</f>
      </c>
      <c r="S323" t="s">
        <v>1</v>
      </c>
      <c r="T323" t="s">
        <v>138</v>
      </c>
      <c r="Z323" s="3">
        <f>P323-Y323</f>
      </c>
      <c r="AA323" t="s">
        <v>59</v>
      </c>
      <c r="AB323" t="s">
        <v>98</v>
      </c>
    </row>
    <row r="324" spans="1:28" x14ac:dyDescent="0.25">
      <c r="A324" s="7">
        <v>46173.5</v>
      </c>
      <c r="B324" t="s">
        <v>2882</v>
      </c>
      <c r="C324" t="s">
        <v>1</v>
      </c>
      <c r="D324" s="8" t="s">
        <v>2883</v>
      </c>
      <c r="E324" t="s">
        <v>57</v>
      </c>
      <c r="F324" s="3">
        <v>146</v>
      </c>
      <c r="G324" s="3">
        <v>201.48</v>
      </c>
      <c r="H324" s="3">
        <f>G324-F324</f>
      </c>
      <c r="I324" s="3">
        <f>H324*16.67%</f>
      </c>
      <c r="J324" s="3">
        <f>G324*7%</f>
      </c>
      <c r="K324" s="3">
        <f>J324*20%</f>
      </c>
      <c r="L324" s="3">
        <v>0</v>
      </c>
      <c r="M324" s="3">
        <f>L324*20%</f>
      </c>
      <c r="N324" s="3">
        <v>1</v>
      </c>
      <c r="O324" s="3">
        <f>K324+M324</f>
      </c>
      <c r="P324" s="3">
        <f>H324-I324-J324-K324-L324-M324-N324</f>
      </c>
      <c r="Q324" s="3">
        <f>(P324-Y324)/F324*100</f>
      </c>
      <c r="R324" s="3">
        <f>I324-O324</f>
      </c>
      <c r="S324" t="s">
        <v>1</v>
      </c>
      <c r="T324" t="s">
        <v>171</v>
      </c>
      <c r="Z324" s="3">
        <f>P324-Y324</f>
      </c>
      <c r="AA324" t="s">
        <v>65</v>
      </c>
      <c r="AB324" t="s">
        <v>87</v>
      </c>
    </row>
    <row r="325" spans="1:28" x14ac:dyDescent="0.25">
      <c r="A325" s="7">
        <v>46173.5</v>
      </c>
      <c r="B325" t="s">
        <v>2884</v>
      </c>
      <c r="C325" t="s">
        <v>1</v>
      </c>
      <c r="D325" s="8" t="s">
        <v>2885</v>
      </c>
      <c r="E325" t="s">
        <v>63</v>
      </c>
      <c r="F325" s="3">
        <v>572</v>
      </c>
      <c r="G325" s="3">
        <v>795.08</v>
      </c>
      <c r="H325" s="3">
        <f>G325-F325</f>
      </c>
      <c r="I325" s="3">
        <f>H325*16.67%</f>
      </c>
      <c r="J325" s="3">
        <f>G325*7%</f>
      </c>
      <c r="K325" s="3">
        <f>J325*20%</f>
      </c>
      <c r="L325" s="3">
        <v>0</v>
      </c>
      <c r="M325" s="3">
        <f>L325*20%</f>
      </c>
      <c r="N325" s="3">
        <v>1</v>
      </c>
      <c r="O325" s="3">
        <f>K325+M325</f>
      </c>
      <c r="P325" s="3">
        <f>H325-I325-J325-K325-L325-M325-N325</f>
      </c>
      <c r="Q325" s="3">
        <f>(P325-Y325)/F325*100</f>
      </c>
      <c r="R325" s="3">
        <f>I325-O325</f>
      </c>
      <c r="S325" t="s">
        <v>1</v>
      </c>
      <c r="T325" t="s">
        <v>80</v>
      </c>
      <c r="Z325" s="3">
        <f>P325-Y325</f>
      </c>
      <c r="AA325" t="s">
        <v>59</v>
      </c>
      <c r="AB325" t="s">
        <v>69</v>
      </c>
    </row>
    <row r="326" spans="1:28" x14ac:dyDescent="0.25">
      <c r="A326" s="7">
        <v>46173.5</v>
      </c>
      <c r="B326" t="s">
        <v>2886</v>
      </c>
      <c r="C326" t="s">
        <v>1</v>
      </c>
      <c r="D326" s="8" t="s">
        <v>2887</v>
      </c>
      <c r="E326" t="s">
        <v>77</v>
      </c>
      <c r="F326" s="3">
        <v>332</v>
      </c>
      <c r="G326" s="3">
        <v>411.68</v>
      </c>
      <c r="H326" s="3">
        <f>G326-F326</f>
      </c>
      <c r="I326" s="3">
        <f>H326*16.67%</f>
      </c>
      <c r="J326" s="3">
        <f>G326*7%</f>
      </c>
      <c r="K326" s="3">
        <f>J326*20%</f>
      </c>
      <c r="L326" s="3">
        <v>0</v>
      </c>
      <c r="M326" s="3">
        <f>L326*20%</f>
      </c>
      <c r="N326" s="3">
        <v>1</v>
      </c>
      <c r="O326" s="3">
        <f>K326+M326</f>
      </c>
      <c r="P326" s="3">
        <f>H326-I326-J326-K326-L326-M326-N326</f>
      </c>
      <c r="Q326" s="3">
        <f>(P326-Y326)/F326*100</f>
      </c>
      <c r="R326" s="3">
        <f>I326-O326</f>
      </c>
      <c r="S326" t="s">
        <v>1</v>
      </c>
      <c r="T326" t="s">
        <v>73</v>
      </c>
      <c r="Z326" s="3">
        <f>P326-Y326</f>
      </c>
      <c r="AA326" t="s">
        <v>59</v>
      </c>
      <c r="AB326" t="s">
        <v>98</v>
      </c>
    </row>
    <row r="327" spans="1:28" x14ac:dyDescent="0.25">
      <c r="A327" s="7">
        <v>46172.5</v>
      </c>
      <c r="B327" t="s">
        <v>2888</v>
      </c>
      <c r="C327" t="s">
        <v>1</v>
      </c>
      <c r="D327" s="8" t="s">
        <v>2889</v>
      </c>
      <c r="E327" t="s">
        <v>57</v>
      </c>
      <c r="F327" s="3">
        <v>300</v>
      </c>
      <c r="G327" s="3">
        <v>351</v>
      </c>
      <c r="H327" s="3">
        <f>G327-F327</f>
      </c>
      <c r="I327" s="3">
        <f>H327*16.67%</f>
      </c>
      <c r="J327" s="3">
        <f>G327*7%</f>
      </c>
      <c r="K327" s="3">
        <f>J327*20%</f>
      </c>
      <c r="L327" s="3">
        <v>0</v>
      </c>
      <c r="M327" s="3">
        <f>L327*20%</f>
      </c>
      <c r="N327" s="3">
        <v>1</v>
      </c>
      <c r="O327" s="3">
        <f>K327+M327</f>
      </c>
      <c r="P327" s="3">
        <f>H327-I327-J327-K327-L327-M327-N327</f>
      </c>
      <c r="Q327" s="3">
        <f>(P327-Y327)/F327*100</f>
      </c>
      <c r="R327" s="3">
        <f>I327-O327</f>
      </c>
      <c r="S327" t="s">
        <v>1</v>
      </c>
      <c r="T327" t="s">
        <v>97</v>
      </c>
      <c r="Z327" s="3">
        <f>P327-Y327</f>
      </c>
      <c r="AA327" t="s">
        <v>65</v>
      </c>
      <c r="AB327" t="s">
        <v>104</v>
      </c>
    </row>
    <row r="328" spans="1:28" x14ac:dyDescent="0.25">
      <c r="A328" s="7">
        <v>46172.5</v>
      </c>
      <c r="B328" t="s">
        <v>2890</v>
      </c>
      <c r="C328" t="s">
        <v>1</v>
      </c>
      <c r="D328" s="8" t="s">
        <v>2891</v>
      </c>
      <c r="E328" t="s">
        <v>57</v>
      </c>
      <c r="F328" s="3">
        <v>320</v>
      </c>
      <c r="G328" s="3">
        <v>393.6</v>
      </c>
      <c r="H328" s="3">
        <f>G328-F328</f>
      </c>
      <c r="I328" s="3">
        <f>H328*16.67%</f>
      </c>
      <c r="J328" s="3">
        <f>G328*7%</f>
      </c>
      <c r="K328" s="3">
        <f>J328*20%</f>
      </c>
      <c r="L328" s="3">
        <v>0</v>
      </c>
      <c r="M328" s="3">
        <f>L328*20%</f>
      </c>
      <c r="N328" s="3">
        <v>1</v>
      </c>
      <c r="O328" s="3">
        <f>K328+M328</f>
      </c>
      <c r="P328" s="3">
        <f>H328-I328-J328-K328-L328-M328-N328</f>
      </c>
      <c r="Q328" s="3">
        <f>(P328-Y328)/F328*100</f>
      </c>
      <c r="R328" s="3">
        <f>I328-O328</f>
      </c>
      <c r="S328" t="s">
        <v>1</v>
      </c>
      <c r="T328" t="s">
        <v>97</v>
      </c>
      <c r="Z328" s="3">
        <f>P328-Y328</f>
      </c>
      <c r="AA328" t="s">
        <v>65</v>
      </c>
      <c r="AB328" t="s">
        <v>84</v>
      </c>
    </row>
    <row r="329" spans="1:28" x14ac:dyDescent="0.25">
      <c r="A329" s="7">
        <v>46172.5</v>
      </c>
      <c r="B329" t="s">
        <v>2892</v>
      </c>
      <c r="C329" t="s">
        <v>1</v>
      </c>
      <c r="D329" s="8" t="s">
        <v>2893</v>
      </c>
      <c r="E329" t="s">
        <v>101</v>
      </c>
      <c r="F329" s="3">
        <v>754</v>
      </c>
      <c r="G329" s="3">
        <v>919.88</v>
      </c>
      <c r="H329" s="3">
        <f>G329-F329</f>
      </c>
      <c r="I329" s="3">
        <f>H329*16.67%</f>
      </c>
      <c r="J329" s="3">
        <f>G329*7%</f>
      </c>
      <c r="K329" s="3">
        <f>J329*20%</f>
      </c>
      <c r="L329" s="3">
        <v>0</v>
      </c>
      <c r="M329" s="3">
        <f>L329*20%</f>
      </c>
      <c r="N329" s="3">
        <v>1</v>
      </c>
      <c r="O329" s="3">
        <f>K329+M329</f>
      </c>
      <c r="P329" s="3">
        <f>H329-I329-J329-K329-L329-M329-N329</f>
      </c>
      <c r="Q329" s="3">
        <f>(P329-Y329)/F329*100</f>
      </c>
      <c r="R329" s="3">
        <f>I329-O329</f>
      </c>
      <c r="S329" t="s">
        <v>1</v>
      </c>
      <c r="T329" t="s">
        <v>83</v>
      </c>
      <c r="Z329" s="3">
        <f>P329-Y329</f>
      </c>
      <c r="AA329" t="s">
        <v>59</v>
      </c>
      <c r="AB329" t="s">
        <v>74</v>
      </c>
    </row>
    <row r="330" spans="1:28" x14ac:dyDescent="0.25">
      <c r="A330" s="7">
        <v>46172.5</v>
      </c>
      <c r="B330" t="s">
        <v>2894</v>
      </c>
      <c r="C330" t="s">
        <v>1</v>
      </c>
      <c r="D330" s="8" t="s">
        <v>2895</v>
      </c>
      <c r="E330" t="s">
        <v>63</v>
      </c>
      <c r="F330" s="3">
        <v>360</v>
      </c>
      <c r="G330" s="3">
        <v>486</v>
      </c>
      <c r="H330" s="3">
        <f>G330-F330</f>
      </c>
      <c r="I330" s="3">
        <f>H330*16.67%</f>
      </c>
      <c r="J330" s="3">
        <f>G330*7%</f>
      </c>
      <c r="K330" s="3">
        <f>J330*20%</f>
      </c>
      <c r="L330" s="3">
        <v>0</v>
      </c>
      <c r="M330" s="3">
        <f>L330*20%</f>
      </c>
      <c r="N330" s="3">
        <v>1</v>
      </c>
      <c r="O330" s="3">
        <f>K330+M330</f>
      </c>
      <c r="P330" s="3">
        <f>H330-I330-J330-K330-L330-M330-N330</f>
      </c>
      <c r="Q330" s="3">
        <f>(P330-Y330)/F330*100</f>
      </c>
      <c r="R330" s="3">
        <f>I330-O330</f>
      </c>
      <c r="S330" t="s">
        <v>1</v>
      </c>
      <c r="T330" t="s">
        <v>138</v>
      </c>
      <c r="Z330" s="3">
        <f>P330-Y330</f>
      </c>
      <c r="AA330" t="s">
        <v>65</v>
      </c>
      <c r="AB330" t="s">
        <v>69</v>
      </c>
    </row>
    <row r="331" spans="1:28" x14ac:dyDescent="0.25">
      <c r="A331" s="7">
        <v>46172.5</v>
      </c>
      <c r="B331" t="s">
        <v>2896</v>
      </c>
      <c r="C331" t="s">
        <v>1</v>
      </c>
      <c r="D331" s="8" t="s">
        <v>2897</v>
      </c>
      <c r="E331" t="s">
        <v>63</v>
      </c>
      <c r="F331" s="3">
        <v>341</v>
      </c>
      <c r="G331" s="3">
        <v>422.84</v>
      </c>
      <c r="H331" s="3">
        <f>G331-F331</f>
      </c>
      <c r="I331" s="3">
        <f>H331*16.67%</f>
      </c>
      <c r="J331" s="3">
        <f>G331*7%</f>
      </c>
      <c r="K331" s="3">
        <f>J331*20%</f>
      </c>
      <c r="L331" s="3">
        <v>0</v>
      </c>
      <c r="M331" s="3">
        <f>L331*20%</f>
      </c>
      <c r="N331" s="3">
        <v>1</v>
      </c>
      <c r="O331" s="3">
        <f>K331+M331</f>
      </c>
      <c r="P331" s="3">
        <f>H331-I331-J331-K331-L331-M331-N331</f>
      </c>
      <c r="Q331" s="3">
        <f>(P331-Y331)/F331*100</f>
      </c>
      <c r="R331" s="3">
        <f>I331-O331</f>
      </c>
      <c r="S331" t="s">
        <v>1</v>
      </c>
      <c r="T331" t="s">
        <v>73</v>
      </c>
      <c r="Z331" s="3">
        <f>P331-Y331</f>
      </c>
      <c r="AA331" t="s">
        <v>59</v>
      </c>
      <c r="AB331" t="s">
        <v>69</v>
      </c>
    </row>
    <row r="332" spans="1:28" x14ac:dyDescent="0.25">
      <c r="A332" s="7">
        <v>46172.5</v>
      </c>
      <c r="B332" t="s">
        <v>2898</v>
      </c>
      <c r="C332" t="s">
        <v>188</v>
      </c>
      <c r="D332" s="8" t="s">
        <v>1</v>
      </c>
      <c r="E332" t="s">
        <v>63</v>
      </c>
      <c r="F332" s="3">
        <v>3.5</v>
      </c>
      <c r="G332" s="3">
        <v>4.58</v>
      </c>
      <c r="H332" s="3">
        <f>G332-F332</f>
      </c>
      <c r="I332" s="3">
        <f>H332*16.67%</f>
      </c>
      <c r="J332" s="3">
        <f>G332*7%</f>
      </c>
      <c r="K332" s="3">
        <f>J332*20%</f>
      </c>
      <c r="L332" s="3">
        <v>0</v>
      </c>
      <c r="M332" s="3">
        <f>L332*20%</f>
      </c>
      <c r="N332" s="3">
        <v>1</v>
      </c>
      <c r="O332" s="3">
        <f>K332+M332</f>
      </c>
      <c r="P332" s="3">
        <f>H332-I332-J332-K332-L332-M332-N332</f>
      </c>
      <c r="Q332" s="3">
        <f>(P332-Y332)/F332*100</f>
      </c>
      <c r="R332" s="3">
        <f>I332-O332</f>
      </c>
      <c r="S332" t="s">
        <v>1</v>
      </c>
      <c r="T332" t="s">
        <v>188</v>
      </c>
      <c r="Z332" s="3">
        <f>P332-Y332</f>
      </c>
      <c r="AA332" t="s">
        <v>1</v>
      </c>
      <c r="AB332" t="s">
        <v>1</v>
      </c>
    </row>
    <row r="333" spans="1:28" x14ac:dyDescent="0.25">
      <c r="A333" s="7">
        <v>46172.5</v>
      </c>
      <c r="B333" t="s">
        <v>2899</v>
      </c>
      <c r="C333" t="s">
        <v>188</v>
      </c>
      <c r="D333" s="8" t="s">
        <v>1</v>
      </c>
      <c r="E333" t="s">
        <v>63</v>
      </c>
      <c r="F333" s="3">
        <v>3.5</v>
      </c>
      <c r="G333" s="3">
        <v>4.2</v>
      </c>
      <c r="H333" s="3">
        <f>G333-F333</f>
      </c>
      <c r="I333" s="3">
        <f>H333*16.67%</f>
      </c>
      <c r="J333" s="3">
        <f>G333*7%</f>
      </c>
      <c r="K333" s="3">
        <f>J333*20%</f>
      </c>
      <c r="L333" s="3">
        <v>0</v>
      </c>
      <c r="M333" s="3">
        <f>L333*20%</f>
      </c>
      <c r="N333" s="3">
        <v>1</v>
      </c>
      <c r="O333" s="3">
        <f>K333+M333</f>
      </c>
      <c r="P333" s="3">
        <f>H333-I333-J333-K333-L333-M333-N333</f>
      </c>
      <c r="Q333" s="3">
        <f>(P333-Y333)/F333*100</f>
      </c>
      <c r="R333" s="3">
        <f>I333-O333</f>
      </c>
      <c r="S333" t="s">
        <v>1</v>
      </c>
      <c r="T333" t="s">
        <v>188</v>
      </c>
      <c r="Z333" s="3">
        <f>P333-Y333</f>
      </c>
      <c r="AA333" t="s">
        <v>1</v>
      </c>
      <c r="AB333" t="s">
        <v>1</v>
      </c>
    </row>
    <row r="334" spans="1:28" x14ac:dyDescent="0.25">
      <c r="A334" s="7">
        <v>46171.5</v>
      </c>
      <c r="B334" t="s">
        <v>2900</v>
      </c>
      <c r="C334" t="s">
        <v>1</v>
      </c>
      <c r="D334" s="8" t="s">
        <v>2901</v>
      </c>
      <c r="E334" t="s">
        <v>72</v>
      </c>
      <c r="F334" s="3">
        <v>662</v>
      </c>
      <c r="G334" s="3">
        <v>946.66</v>
      </c>
      <c r="H334" s="3">
        <f>G334-F334</f>
      </c>
      <c r="I334" s="3">
        <f>H334*16.67%</f>
      </c>
      <c r="J334" s="3">
        <f>G334*7%</f>
      </c>
      <c r="K334" s="3">
        <f>J334*20%</f>
      </c>
      <c r="L334" s="3">
        <v>0</v>
      </c>
      <c r="M334" s="3">
        <f>L334*20%</f>
      </c>
      <c r="N334" s="3">
        <v>1</v>
      </c>
      <c r="O334" s="3">
        <f>K334+M334</f>
      </c>
      <c r="P334" s="3">
        <f>H334-I334-J334-K334-L334-M334-N334</f>
      </c>
      <c r="Q334" s="3">
        <f>(P334-Y334)/F334*100</f>
      </c>
      <c r="R334" s="3">
        <f>I334-O334</f>
      </c>
      <c r="S334" t="s">
        <v>1</v>
      </c>
      <c r="T334" t="s">
        <v>83</v>
      </c>
      <c r="Z334" s="3">
        <f>P334-Y334</f>
      </c>
      <c r="AA334" t="s">
        <v>59</v>
      </c>
      <c r="AB334" t="s">
        <v>84</v>
      </c>
    </row>
    <row r="335" spans="1:28" x14ac:dyDescent="0.25">
      <c r="A335" s="7">
        <v>46171.5</v>
      </c>
      <c r="B335" t="s">
        <v>2902</v>
      </c>
      <c r="C335" t="s">
        <v>1</v>
      </c>
      <c r="D335" s="8" t="s">
        <v>2903</v>
      </c>
      <c r="E335" t="s">
        <v>77</v>
      </c>
      <c r="F335" s="3">
        <v>466</v>
      </c>
      <c r="G335" s="3">
        <v>568.52</v>
      </c>
      <c r="H335" s="3">
        <f>G335-F335</f>
      </c>
      <c r="I335" s="3">
        <f>H335*16.67%</f>
      </c>
      <c r="J335" s="3">
        <f>G335*7%</f>
      </c>
      <c r="K335" s="3">
        <f>J335*20%</f>
      </c>
      <c r="L335" s="3">
        <v>0</v>
      </c>
      <c r="M335" s="3">
        <f>L335*20%</f>
      </c>
      <c r="N335" s="3">
        <v>1</v>
      </c>
      <c r="O335" s="3">
        <f>K335+M335</f>
      </c>
      <c r="P335" s="3">
        <f>H335-I335-J335-K335-L335-M335-N335</f>
      </c>
      <c r="Q335" s="3">
        <f>(P335-Y335)/F335*100</f>
      </c>
      <c r="R335" s="3">
        <f>I335-O335</f>
      </c>
      <c r="S335" t="s">
        <v>1</v>
      </c>
      <c r="T335" t="s">
        <v>58</v>
      </c>
      <c r="Z335" s="3">
        <f>P335-Y335</f>
      </c>
      <c r="AA335" t="s">
        <v>59</v>
      </c>
      <c r="AB335" t="s">
        <v>74</v>
      </c>
    </row>
    <row r="336" spans="1:28" x14ac:dyDescent="0.25">
      <c r="A336" s="7">
        <v>46171.5</v>
      </c>
      <c r="B336" t="s">
        <v>2904</v>
      </c>
      <c r="C336" t="s">
        <v>1</v>
      </c>
      <c r="D336" s="8" t="s">
        <v>2905</v>
      </c>
      <c r="E336" t="s">
        <v>57</v>
      </c>
      <c r="F336" s="3">
        <v>95</v>
      </c>
      <c r="G336" s="3">
        <v>113.05</v>
      </c>
      <c r="H336" s="3">
        <f>G336-F336</f>
      </c>
      <c r="I336" s="3">
        <f>H336*16.67%</f>
      </c>
      <c r="J336" s="3">
        <f>G336*7%</f>
      </c>
      <c r="K336" s="3">
        <f>J336*20%</f>
      </c>
      <c r="L336" s="3">
        <v>0</v>
      </c>
      <c r="M336" s="3">
        <f>L336*20%</f>
      </c>
      <c r="N336" s="3">
        <v>1</v>
      </c>
      <c r="O336" s="3">
        <f>K336+M336</f>
      </c>
      <c r="P336" s="3">
        <f>H336-I336-J336-K336-L336-M336-N336</f>
      </c>
      <c r="Q336" s="3">
        <f>(P336-Y336)/F336*100</f>
      </c>
      <c r="R336" s="3">
        <f>I336-O336</f>
      </c>
      <c r="S336" t="s">
        <v>1</v>
      </c>
      <c r="T336" t="s">
        <v>90</v>
      </c>
      <c r="Z336" s="3">
        <f>P336-Y336</f>
      </c>
      <c r="AA336" t="s">
        <v>65</v>
      </c>
      <c r="AB336" t="s">
        <v>69</v>
      </c>
    </row>
    <row r="337" spans="1:28" x14ac:dyDescent="0.25">
      <c r="A337" s="7">
        <v>46171.5</v>
      </c>
      <c r="B337" t="s">
        <v>2906</v>
      </c>
      <c r="C337" t="s">
        <v>173</v>
      </c>
      <c r="D337" s="8" t="s">
        <v>1</v>
      </c>
      <c r="E337" t="s">
        <v>63</v>
      </c>
      <c r="F337" s="3">
        <v>4.25</v>
      </c>
      <c r="G337" s="3">
        <v>5.14</v>
      </c>
      <c r="H337" s="3">
        <f>G337-F337</f>
      </c>
      <c r="I337" s="3">
        <f>H337*16.67%</f>
      </c>
      <c r="J337" s="3">
        <f>G337*7%</f>
      </c>
      <c r="K337" s="3">
        <f>J337*20%</f>
      </c>
      <c r="L337" s="3">
        <v>0</v>
      </c>
      <c r="M337" s="3">
        <f>L337*20%</f>
      </c>
      <c r="N337" s="3">
        <v>1</v>
      </c>
      <c r="O337" s="3">
        <f>K337+M337</f>
      </c>
      <c r="P337" s="3">
        <f>H337-I337-J337-K337-L337-M337-N337</f>
      </c>
      <c r="Q337" s="3">
        <f>(P337-Y337)/F337*100</f>
      </c>
      <c r="R337" s="3">
        <f>I337-O337</f>
      </c>
      <c r="S337" t="s">
        <v>1</v>
      </c>
      <c r="T337" t="s">
        <v>173</v>
      </c>
      <c r="Z337" s="3">
        <f>P337-Y337</f>
      </c>
      <c r="AA337" t="s">
        <v>1</v>
      </c>
      <c r="AB337" t="s">
        <v>1</v>
      </c>
    </row>
    <row r="338" spans="1:28" x14ac:dyDescent="0.25">
      <c r="A338" s="7">
        <v>46171.5</v>
      </c>
      <c r="B338" t="s">
        <v>2907</v>
      </c>
      <c r="C338" t="s">
        <v>173</v>
      </c>
      <c r="D338" s="8" t="s">
        <v>1</v>
      </c>
      <c r="E338" t="s">
        <v>63</v>
      </c>
      <c r="F338" s="3">
        <v>4.25</v>
      </c>
      <c r="G338" s="3">
        <v>5.86</v>
      </c>
      <c r="H338" s="3">
        <f>G338-F338</f>
      </c>
      <c r="I338" s="3">
        <f>H338*16.67%</f>
      </c>
      <c r="J338" s="3">
        <f>G338*7%</f>
      </c>
      <c r="K338" s="3">
        <f>J338*20%</f>
      </c>
      <c r="L338" s="3">
        <v>0</v>
      </c>
      <c r="M338" s="3">
        <f>L338*20%</f>
      </c>
      <c r="N338" s="3">
        <v>1</v>
      </c>
      <c r="O338" s="3">
        <f>K338+M338</f>
      </c>
      <c r="P338" s="3">
        <f>H338-I338-J338-K338-L338-M338-N338</f>
      </c>
      <c r="Q338" s="3">
        <f>(P338-Y338)/F338*100</f>
      </c>
      <c r="R338" s="3">
        <f>I338-O338</f>
      </c>
      <c r="S338" t="s">
        <v>1</v>
      </c>
      <c r="T338" t="s">
        <v>173</v>
      </c>
      <c r="Z338" s="3">
        <f>P338-Y338</f>
      </c>
      <c r="AA338" t="s">
        <v>1</v>
      </c>
      <c r="AB338" t="s">
        <v>1</v>
      </c>
    </row>
    <row r="339" spans="1:28" x14ac:dyDescent="0.25">
      <c r="A339" s="7">
        <v>46171.5</v>
      </c>
      <c r="B339" t="s">
        <v>2908</v>
      </c>
      <c r="C339" t="s">
        <v>184</v>
      </c>
      <c r="D339" s="8" t="s">
        <v>1</v>
      </c>
      <c r="E339" t="s">
        <v>101</v>
      </c>
      <c r="F339" s="3">
        <v>1.2</v>
      </c>
      <c r="G339" s="3">
        <v>1.52</v>
      </c>
      <c r="H339" s="3">
        <f>G339-F339</f>
      </c>
      <c r="I339" s="3">
        <f>H339*16.67%</f>
      </c>
      <c r="J339" s="3">
        <f>G339*7%</f>
      </c>
      <c r="K339" s="3">
        <f>J339*20%</f>
      </c>
      <c r="L339" s="3">
        <v>0</v>
      </c>
      <c r="M339" s="3">
        <f>L339*20%</f>
      </c>
      <c r="N339" s="3">
        <v>1</v>
      </c>
      <c r="O339" s="3">
        <f>K339+M339</f>
      </c>
      <c r="P339" s="3">
        <f>H339-I339-J339-K339-L339-M339-N339</f>
      </c>
      <c r="Q339" s="3">
        <f>(P339-Y339)/F339*100</f>
      </c>
      <c r="R339" s="3">
        <f>I339-O339</f>
      </c>
      <c r="S339" t="s">
        <v>1</v>
      </c>
      <c r="T339" t="s">
        <v>184</v>
      </c>
      <c r="Z339" s="3">
        <f>P339-Y339</f>
      </c>
      <c r="AA339" t="s">
        <v>1</v>
      </c>
      <c r="AB339" t="s">
        <v>1</v>
      </c>
    </row>
    <row r="340" spans="1:28" x14ac:dyDescent="0.25">
      <c r="A340" s="7">
        <v>46170.5</v>
      </c>
      <c r="B340" t="s">
        <v>2909</v>
      </c>
      <c r="C340" t="s">
        <v>1</v>
      </c>
      <c r="D340" s="8" t="s">
        <v>2910</v>
      </c>
      <c r="E340" t="s">
        <v>57</v>
      </c>
      <c r="F340" s="3">
        <v>361</v>
      </c>
      <c r="G340" s="3">
        <v>523.45</v>
      </c>
      <c r="H340" s="3">
        <f>G340-F340</f>
      </c>
      <c r="I340" s="3">
        <f>H340*16.67%</f>
      </c>
      <c r="J340" s="3">
        <f>G340*7%</f>
      </c>
      <c r="K340" s="3">
        <f>J340*20%</f>
      </c>
      <c r="L340" s="3">
        <v>0</v>
      </c>
      <c r="M340" s="3">
        <f>L340*20%</f>
      </c>
      <c r="N340" s="3">
        <v>1</v>
      </c>
      <c r="O340" s="3">
        <f>K340+M340</f>
      </c>
      <c r="P340" s="3">
        <f>H340-I340-J340-K340-L340-M340-N340</f>
      </c>
      <c r="Q340" s="3">
        <f>(P340-Y340)/F340*100</f>
      </c>
      <c r="R340" s="3">
        <f>I340-O340</f>
      </c>
      <c r="S340" t="s">
        <v>1</v>
      </c>
      <c r="T340" t="s">
        <v>138</v>
      </c>
      <c r="Z340" s="3">
        <f>P340-Y340</f>
      </c>
      <c r="AA340" t="s">
        <v>59</v>
      </c>
      <c r="AB340" t="s">
        <v>87</v>
      </c>
    </row>
    <row r="341" spans="1:28" x14ac:dyDescent="0.25">
      <c r="A341" s="7">
        <v>46170.5</v>
      </c>
      <c r="B341" t="s">
        <v>2911</v>
      </c>
      <c r="C341" t="s">
        <v>1</v>
      </c>
      <c r="D341" s="8" t="s">
        <v>2912</v>
      </c>
      <c r="E341" t="s">
        <v>72</v>
      </c>
      <c r="F341" s="3">
        <v>301</v>
      </c>
      <c r="G341" s="3">
        <v>385.28</v>
      </c>
      <c r="H341" s="3">
        <f>G341-F341</f>
      </c>
      <c r="I341" s="3">
        <f>H341*16.67%</f>
      </c>
      <c r="J341" s="3">
        <f>G341*7%</f>
      </c>
      <c r="K341" s="3">
        <f>J341*20%</f>
      </c>
      <c r="L341" s="3">
        <v>0</v>
      </c>
      <c r="M341" s="3">
        <f>L341*20%</f>
      </c>
      <c r="N341" s="3">
        <v>1</v>
      </c>
      <c r="O341" s="3">
        <f>K341+M341</f>
      </c>
      <c r="P341" s="3">
        <f>H341-I341-J341-K341-L341-M341-N341</f>
      </c>
      <c r="Q341" s="3">
        <f>(P341-Y341)/F341*100</f>
      </c>
      <c r="R341" s="3">
        <f>I341-O341</f>
      </c>
      <c r="S341" t="s">
        <v>1</v>
      </c>
      <c r="T341" t="s">
        <v>97</v>
      </c>
      <c r="Z341" s="3">
        <f>P341-Y341</f>
      </c>
      <c r="AA341" t="s">
        <v>65</v>
      </c>
      <c r="AB341" t="s">
        <v>84</v>
      </c>
    </row>
    <row r="342" spans="1:28" x14ac:dyDescent="0.25">
      <c r="A342" s="7">
        <v>46170.5</v>
      </c>
      <c r="B342" t="s">
        <v>2913</v>
      </c>
      <c r="C342" t="s">
        <v>1</v>
      </c>
      <c r="D342" s="8" t="s">
        <v>2914</v>
      </c>
      <c r="E342" t="s">
        <v>63</v>
      </c>
      <c r="F342" s="3">
        <v>329</v>
      </c>
      <c r="G342" s="3">
        <v>398.09</v>
      </c>
      <c r="H342" s="3">
        <f>G342-F342</f>
      </c>
      <c r="I342" s="3">
        <f>H342*16.67%</f>
      </c>
      <c r="J342" s="3">
        <f>G342*7%</f>
      </c>
      <c r="K342" s="3">
        <f>J342*20%</f>
      </c>
      <c r="L342" s="3">
        <v>0</v>
      </c>
      <c r="M342" s="3">
        <f>L342*20%</f>
      </c>
      <c r="N342" s="3">
        <v>1</v>
      </c>
      <c r="O342" s="3">
        <f>K342+M342</f>
      </c>
      <c r="P342" s="3">
        <f>H342-I342-J342-K342-L342-M342-N342</f>
      </c>
      <c r="Q342" s="3">
        <f>(P342-Y342)/F342*100</f>
      </c>
      <c r="R342" s="3">
        <f>I342-O342</f>
      </c>
      <c r="S342" t="s">
        <v>1</v>
      </c>
      <c r="T342" t="s">
        <v>73</v>
      </c>
      <c r="Z342" s="3">
        <f>P342-Y342</f>
      </c>
      <c r="AA342" t="s">
        <v>59</v>
      </c>
      <c r="AB342" t="s">
        <v>69</v>
      </c>
    </row>
    <row r="343" spans="1:28" x14ac:dyDescent="0.25">
      <c r="A343" s="7">
        <v>46169.5</v>
      </c>
      <c r="B343" t="s">
        <v>2915</v>
      </c>
      <c r="C343" t="s">
        <v>1</v>
      </c>
      <c r="D343" s="8" t="s">
        <v>2916</v>
      </c>
      <c r="E343" t="s">
        <v>72</v>
      </c>
      <c r="F343" s="3">
        <v>338</v>
      </c>
      <c r="G343" s="3">
        <v>442.78</v>
      </c>
      <c r="H343" s="3">
        <f>G343-F343</f>
      </c>
      <c r="I343" s="3">
        <f>H343*16.67%</f>
      </c>
      <c r="J343" s="3">
        <f>G343*7%</f>
      </c>
      <c r="K343" s="3">
        <f>J343*20%</f>
      </c>
      <c r="L343" s="3">
        <v>0</v>
      </c>
      <c r="M343" s="3">
        <f>L343*20%</f>
      </c>
      <c r="N343" s="3">
        <v>1</v>
      </c>
      <c r="O343" s="3">
        <f>K343+M343</f>
      </c>
      <c r="P343" s="3">
        <f>H343-I343-J343-K343-L343-M343-N343</f>
      </c>
      <c r="Q343" s="3">
        <f>(P343-Y343)/F343*100</f>
      </c>
      <c r="R343" s="3">
        <f>I343-O343</f>
      </c>
      <c r="S343" t="s">
        <v>1</v>
      </c>
      <c r="T343" t="s">
        <v>73</v>
      </c>
      <c r="Z343" s="3">
        <f>P343-Y343</f>
      </c>
      <c r="AA343" t="s">
        <v>59</v>
      </c>
      <c r="AB343" t="s">
        <v>74</v>
      </c>
    </row>
    <row r="344" spans="1:28" x14ac:dyDescent="0.25">
      <c r="A344" s="7">
        <v>46169.5</v>
      </c>
      <c r="B344" t="s">
        <v>2917</v>
      </c>
      <c r="C344" t="s">
        <v>1</v>
      </c>
      <c r="D344" s="8" t="s">
        <v>2918</v>
      </c>
      <c r="E344" t="s">
        <v>77</v>
      </c>
      <c r="F344" s="3">
        <v>760</v>
      </c>
      <c r="G344" s="3">
        <v>1010.8</v>
      </c>
      <c r="H344" s="3">
        <f>G344-F344</f>
      </c>
      <c r="I344" s="3">
        <f>H344*16.67%</f>
      </c>
      <c r="J344" s="3">
        <f>G344*7%</f>
      </c>
      <c r="K344" s="3">
        <f>J344*20%</f>
      </c>
      <c r="L344" s="3">
        <v>0</v>
      </c>
      <c r="M344" s="3">
        <f>L344*20%</f>
      </c>
      <c r="N344" s="3">
        <v>1</v>
      </c>
      <c r="O344" s="3">
        <f>K344+M344</f>
      </c>
      <c r="P344" s="3">
        <f>H344-I344-J344-K344-L344-M344-N344</f>
      </c>
      <c r="Q344" s="3">
        <f>(P344-Y344)/F344*100</f>
      </c>
      <c r="R344" s="3">
        <f>I344-O344</f>
      </c>
      <c r="S344" t="s">
        <v>1</v>
      </c>
      <c r="T344" t="s">
        <v>83</v>
      </c>
      <c r="Z344" s="3">
        <f>P344-Y344</f>
      </c>
      <c r="AA344" t="s">
        <v>59</v>
      </c>
      <c r="AB344" t="s">
        <v>87</v>
      </c>
    </row>
    <row r="345" spans="1:28" x14ac:dyDescent="0.25">
      <c r="A345" s="7">
        <v>46169.5</v>
      </c>
      <c r="B345" t="s">
        <v>2919</v>
      </c>
      <c r="C345" t="s">
        <v>1</v>
      </c>
      <c r="D345" s="8" t="s">
        <v>2920</v>
      </c>
      <c r="E345" t="s">
        <v>77</v>
      </c>
      <c r="F345" s="3">
        <v>315</v>
      </c>
      <c r="G345" s="3">
        <v>422.1</v>
      </c>
      <c r="H345" s="3">
        <f>G345-F345</f>
      </c>
      <c r="I345" s="3">
        <f>H345*16.67%</f>
      </c>
      <c r="J345" s="3">
        <f>G345*7%</f>
      </c>
      <c r="K345" s="3">
        <f>J345*20%</f>
      </c>
      <c r="L345" s="3">
        <v>0</v>
      </c>
      <c r="M345" s="3">
        <f>L345*20%</f>
      </c>
      <c r="N345" s="3">
        <v>1</v>
      </c>
      <c r="O345" s="3">
        <f>K345+M345</f>
      </c>
      <c r="P345" s="3">
        <f>H345-I345-J345-K345-L345-M345-N345</f>
      </c>
      <c r="Q345" s="3">
        <f>(P345-Y345)/F345*100</f>
      </c>
      <c r="R345" s="3">
        <f>I345-O345</f>
      </c>
      <c r="S345" t="s">
        <v>1</v>
      </c>
      <c r="T345" t="s">
        <v>97</v>
      </c>
      <c r="Z345" s="3">
        <f>P345-Y345</f>
      </c>
      <c r="AA345" t="s">
        <v>65</v>
      </c>
      <c r="AB345" t="s">
        <v>98</v>
      </c>
    </row>
    <row r="346" spans="1:28" x14ac:dyDescent="0.25">
      <c r="A346" s="7">
        <v>46169.5</v>
      </c>
      <c r="B346" t="s">
        <v>2921</v>
      </c>
      <c r="C346" t="s">
        <v>1</v>
      </c>
      <c r="D346" s="8" t="s">
        <v>2922</v>
      </c>
      <c r="E346" t="s">
        <v>101</v>
      </c>
      <c r="F346" s="3">
        <v>137</v>
      </c>
      <c r="G346" s="3">
        <v>180.84</v>
      </c>
      <c r="H346" s="3">
        <f>G346-F346</f>
      </c>
      <c r="I346" s="3">
        <f>H346*16.67%</f>
      </c>
      <c r="J346" s="3">
        <f>G346*7%</f>
      </c>
      <c r="K346" s="3">
        <f>J346*20%</f>
      </c>
      <c r="L346" s="3">
        <v>0</v>
      </c>
      <c r="M346" s="3">
        <f>L346*20%</f>
      </c>
      <c r="N346" s="3">
        <v>1</v>
      </c>
      <c r="O346" s="3">
        <f>K346+M346</f>
      </c>
      <c r="P346" s="3">
        <f>H346-I346-J346-K346-L346-M346-N346</f>
      </c>
      <c r="Q346" s="3">
        <f>(P346-Y346)/F346*100</f>
      </c>
      <c r="R346" s="3">
        <f>I346-O346</f>
      </c>
      <c r="S346" t="s">
        <v>1</v>
      </c>
      <c r="T346" t="s">
        <v>133</v>
      </c>
      <c r="Z346" s="3">
        <f>P346-Y346</f>
      </c>
      <c r="AA346" t="s">
        <v>65</v>
      </c>
      <c r="AB346" t="s">
        <v>98</v>
      </c>
    </row>
    <row r="347" spans="1:28" x14ac:dyDescent="0.25">
      <c r="A347" s="7">
        <v>46168.5</v>
      </c>
      <c r="B347" t="s">
        <v>2923</v>
      </c>
      <c r="C347" t="s">
        <v>1</v>
      </c>
      <c r="D347" s="8" t="s">
        <v>2924</v>
      </c>
      <c r="E347" t="s">
        <v>77</v>
      </c>
      <c r="F347" s="3">
        <v>314</v>
      </c>
      <c r="G347" s="3">
        <v>370.52</v>
      </c>
      <c r="H347" s="3">
        <f>G347-F347</f>
      </c>
      <c r="I347" s="3">
        <f>H347*16.67%</f>
      </c>
      <c r="J347" s="3">
        <f>G347*7%</f>
      </c>
      <c r="K347" s="3">
        <f>J347*20%</f>
      </c>
      <c r="L347" s="3">
        <v>0</v>
      </c>
      <c r="M347" s="3">
        <f>L347*20%</f>
      </c>
      <c r="N347" s="3">
        <v>1</v>
      </c>
      <c r="O347" s="3">
        <f>K347+M347</f>
      </c>
      <c r="P347" s="3">
        <f>H347-I347-J347-K347-L347-M347-N347</f>
      </c>
      <c r="Q347" s="3">
        <f>(P347-Y347)/F347*100</f>
      </c>
      <c r="R347" s="3">
        <f>I347-O347</f>
      </c>
      <c r="S347" t="s">
        <v>1</v>
      </c>
      <c r="T347" t="s">
        <v>97</v>
      </c>
      <c r="Z347" s="3">
        <f>P347-Y347</f>
      </c>
      <c r="AA347" t="s">
        <v>59</v>
      </c>
      <c r="AB347" t="s">
        <v>74</v>
      </c>
    </row>
    <row r="348" spans="1:28" x14ac:dyDescent="0.25">
      <c r="A348" s="7">
        <v>46168.5</v>
      </c>
      <c r="B348" t="s">
        <v>2925</v>
      </c>
      <c r="C348" t="s">
        <v>1</v>
      </c>
      <c r="D348" s="8" t="s">
        <v>2926</v>
      </c>
      <c r="E348" t="s">
        <v>72</v>
      </c>
      <c r="F348" s="3">
        <v>295</v>
      </c>
      <c r="G348" s="3">
        <v>377.6</v>
      </c>
      <c r="H348" s="3">
        <f>G348-F348</f>
      </c>
      <c r="I348" s="3">
        <f>H348*16.67%</f>
      </c>
      <c r="J348" s="3">
        <f>G348*7%</f>
      </c>
      <c r="K348" s="3">
        <f>J348*20%</f>
      </c>
      <c r="L348" s="3">
        <v>0</v>
      </c>
      <c r="M348" s="3">
        <f>L348*20%</f>
      </c>
      <c r="N348" s="3">
        <v>1</v>
      </c>
      <c r="O348" s="3">
        <f>K348+M348</f>
      </c>
      <c r="P348" s="3">
        <f>H348-I348-J348-K348-L348-M348-N348</f>
      </c>
      <c r="Q348" s="3">
        <f>(P348-Y348)/F348*100</f>
      </c>
      <c r="R348" s="3">
        <f>I348-O348</f>
      </c>
      <c r="S348" t="s">
        <v>1</v>
      </c>
      <c r="T348" t="s">
        <v>97</v>
      </c>
      <c r="Z348" s="3">
        <f>P348-Y348</f>
      </c>
      <c r="AA348" t="s">
        <v>59</v>
      </c>
      <c r="AB348" t="s">
        <v>74</v>
      </c>
    </row>
    <row r="349" spans="1:28" x14ac:dyDescent="0.25">
      <c r="A349" s="7">
        <v>46168.5</v>
      </c>
      <c r="B349" t="s">
        <v>2927</v>
      </c>
      <c r="C349" t="s">
        <v>188</v>
      </c>
      <c r="D349" s="8" t="s">
        <v>1</v>
      </c>
      <c r="E349" t="s">
        <v>63</v>
      </c>
      <c r="F349" s="3">
        <v>3.5</v>
      </c>
      <c r="G349" s="3">
        <v>4.06</v>
      </c>
      <c r="H349" s="3">
        <f>G349-F349</f>
      </c>
      <c r="I349" s="3">
        <f>H349*16.67%</f>
      </c>
      <c r="J349" s="3">
        <f>G349*7%</f>
      </c>
      <c r="K349" s="3">
        <f>J349*20%</f>
      </c>
      <c r="L349" s="3">
        <v>0</v>
      </c>
      <c r="M349" s="3">
        <f>L349*20%</f>
      </c>
      <c r="N349" s="3">
        <v>1</v>
      </c>
      <c r="O349" s="3">
        <f>K349+M349</f>
      </c>
      <c r="P349" s="3">
        <f>H349-I349-J349-K349-L349-M349-N349</f>
      </c>
      <c r="Q349" s="3">
        <f>(P349-Y349)/F349*100</f>
      </c>
      <c r="R349" s="3">
        <f>I349-O349</f>
      </c>
      <c r="S349" t="s">
        <v>1</v>
      </c>
      <c r="T349" t="s">
        <v>188</v>
      </c>
      <c r="Z349" s="3">
        <f>P349-Y349</f>
      </c>
      <c r="AA349" t="s">
        <v>1</v>
      </c>
      <c r="AB349" t="s">
        <v>1</v>
      </c>
    </row>
    <row r="350" spans="1:28" x14ac:dyDescent="0.25">
      <c r="A350" s="7">
        <v>46167.5</v>
      </c>
      <c r="B350" t="s">
        <v>2928</v>
      </c>
      <c r="C350" t="s">
        <v>1</v>
      </c>
      <c r="D350" s="8" t="s">
        <v>2929</v>
      </c>
      <c r="E350" t="s">
        <v>57</v>
      </c>
      <c r="F350" s="3">
        <v>168</v>
      </c>
      <c r="G350" s="3">
        <v>213.36</v>
      </c>
      <c r="H350" s="3">
        <f>G350-F350</f>
      </c>
      <c r="I350" s="3">
        <f>H350*16.67%</f>
      </c>
      <c r="J350" s="3">
        <f>G350*7%</f>
      </c>
      <c r="K350" s="3">
        <f>J350*20%</f>
      </c>
      <c r="L350" s="3">
        <v>0</v>
      </c>
      <c r="M350" s="3">
        <f>L350*20%</f>
      </c>
      <c r="N350" s="3">
        <v>1</v>
      </c>
      <c r="O350" s="3">
        <f>K350+M350</f>
      </c>
      <c r="P350" s="3">
        <f>H350-I350-J350-K350-L350-M350-N350</f>
      </c>
      <c r="Q350" s="3">
        <f>(P350-Y350)/F350*100</f>
      </c>
      <c r="R350" s="3">
        <f>I350-O350</f>
      </c>
      <c r="S350" t="s">
        <v>1</v>
      </c>
      <c r="T350" t="s">
        <v>233</v>
      </c>
      <c r="Z350" s="3">
        <f>P350-Y350</f>
      </c>
      <c r="AA350" t="s">
        <v>65</v>
      </c>
      <c r="AB350" t="s">
        <v>74</v>
      </c>
    </row>
    <row r="351" spans="1:28" x14ac:dyDescent="0.25">
      <c r="A351" s="7">
        <v>46167.5</v>
      </c>
      <c r="B351" t="s">
        <v>2930</v>
      </c>
      <c r="C351" t="s">
        <v>1</v>
      </c>
      <c r="D351" s="8" t="s">
        <v>2931</v>
      </c>
      <c r="E351" t="s">
        <v>57</v>
      </c>
      <c r="F351" s="3">
        <v>611</v>
      </c>
      <c r="G351" s="3">
        <v>720.98</v>
      </c>
      <c r="H351" s="3">
        <f>G351-F351</f>
      </c>
      <c r="I351" s="3">
        <f>H351*16.67%</f>
      </c>
      <c r="J351" s="3">
        <f>G351*7%</f>
      </c>
      <c r="K351" s="3">
        <f>J351*20%</f>
      </c>
      <c r="L351" s="3">
        <v>0</v>
      </c>
      <c r="M351" s="3">
        <f>L351*20%</f>
      </c>
      <c r="N351" s="3">
        <v>1</v>
      </c>
      <c r="O351" s="3">
        <f>K351+M351</f>
      </c>
      <c r="P351" s="3">
        <f>H351-I351-J351-K351-L351-M351-N351</f>
      </c>
      <c r="Q351" s="3">
        <f>(P351-Y351)/F351*100</f>
      </c>
      <c r="R351" s="3">
        <f>I351-O351</f>
      </c>
      <c r="S351" t="s">
        <v>1</v>
      </c>
      <c r="T351" t="s">
        <v>80</v>
      </c>
      <c r="Z351" s="3">
        <f>P351-Y351</f>
      </c>
      <c r="AA351" t="s">
        <v>59</v>
      </c>
      <c r="AB351" t="s">
        <v>98</v>
      </c>
    </row>
    <row r="352" spans="1:28" x14ac:dyDescent="0.25">
      <c r="A352" s="7">
        <v>46167.5</v>
      </c>
      <c r="B352" t="s">
        <v>2932</v>
      </c>
      <c r="C352" t="s">
        <v>1</v>
      </c>
      <c r="D352" s="8" t="s">
        <v>2933</v>
      </c>
      <c r="E352" t="s">
        <v>72</v>
      </c>
      <c r="F352" s="3">
        <v>104</v>
      </c>
      <c r="G352" s="3">
        <v>134.16</v>
      </c>
      <c r="H352" s="3">
        <f>G352-F352</f>
      </c>
      <c r="I352" s="3">
        <f>H352*16.67%</f>
      </c>
      <c r="J352" s="3">
        <f>G352*7%</f>
      </c>
      <c r="K352" s="3">
        <f>J352*20%</f>
      </c>
      <c r="L352" s="3">
        <v>0</v>
      </c>
      <c r="M352" s="3">
        <f>L352*20%</f>
      </c>
      <c r="N352" s="3">
        <v>1</v>
      </c>
      <c r="O352" s="3">
        <f>K352+M352</f>
      </c>
      <c r="P352" s="3">
        <f>H352-I352-J352-K352-L352-M352-N352</f>
      </c>
      <c r="Q352" s="3">
        <f>(P352-Y352)/F352*100</f>
      </c>
      <c r="R352" s="3">
        <f>I352-O352</f>
      </c>
      <c r="S352" t="s">
        <v>1</v>
      </c>
      <c r="T352" t="s">
        <v>90</v>
      </c>
      <c r="Z352" s="3">
        <f>P352-Y352</f>
      </c>
      <c r="AA352" t="s">
        <v>94</v>
      </c>
      <c r="AB352" t="s">
        <v>69</v>
      </c>
    </row>
    <row r="353" spans="1:28" x14ac:dyDescent="0.25">
      <c r="A353" s="7">
        <v>46167.5</v>
      </c>
      <c r="B353" t="s">
        <v>2934</v>
      </c>
      <c r="C353" t="s">
        <v>1</v>
      </c>
      <c r="D353" s="8" t="s">
        <v>2935</v>
      </c>
      <c r="E353" t="s">
        <v>57</v>
      </c>
      <c r="F353" s="3">
        <v>187</v>
      </c>
      <c r="G353" s="3">
        <v>246.84</v>
      </c>
      <c r="H353" s="3">
        <f>G353-F353</f>
      </c>
      <c r="I353" s="3">
        <f>H353*16.67%</f>
      </c>
      <c r="J353" s="3">
        <f>G353*7%</f>
      </c>
      <c r="K353" s="3">
        <f>J353*20%</f>
      </c>
      <c r="L353" s="3">
        <v>0</v>
      </c>
      <c r="M353" s="3">
        <f>L353*20%</f>
      </c>
      <c r="N353" s="3">
        <v>1</v>
      </c>
      <c r="O353" s="3">
        <f>K353+M353</f>
      </c>
      <c r="P353" s="3">
        <f>H353-I353-J353-K353-L353-M353-N353</f>
      </c>
      <c r="Q353" s="3">
        <f>(P353-Y353)/F353*100</f>
      </c>
      <c r="R353" s="3">
        <f>I353-O353</f>
      </c>
      <c r="S353" t="s">
        <v>1</v>
      </c>
      <c r="T353" t="s">
        <v>233</v>
      </c>
      <c r="Z353" s="3">
        <f>P353-Y353</f>
      </c>
      <c r="AA353" t="s">
        <v>65</v>
      </c>
      <c r="AB353" t="s">
        <v>60</v>
      </c>
    </row>
    <row r="354" spans="1:28" x14ac:dyDescent="0.25">
      <c r="A354" s="7">
        <v>46167.5</v>
      </c>
      <c r="B354" t="s">
        <v>2936</v>
      </c>
      <c r="C354" t="s">
        <v>1</v>
      </c>
      <c r="D354" s="8" t="s">
        <v>2937</v>
      </c>
      <c r="E354" t="s">
        <v>57</v>
      </c>
      <c r="F354" s="3">
        <v>605</v>
      </c>
      <c r="G354" s="3">
        <v>810.7</v>
      </c>
      <c r="H354" s="3">
        <f>G354-F354</f>
      </c>
      <c r="I354" s="3">
        <f>H354*16.67%</f>
      </c>
      <c r="J354" s="3">
        <f>G354*7%</f>
      </c>
      <c r="K354" s="3">
        <f>J354*20%</f>
      </c>
      <c r="L354" s="3">
        <v>0</v>
      </c>
      <c r="M354" s="3">
        <f>L354*20%</f>
      </c>
      <c r="N354" s="3">
        <v>1</v>
      </c>
      <c r="O354" s="3">
        <f>K354+M354</f>
      </c>
      <c r="P354" s="3">
        <f>H354-I354-J354-K354-L354-M354-N354</f>
      </c>
      <c r="Q354" s="3">
        <f>(P354-Y354)/F354*100</f>
      </c>
      <c r="R354" s="3">
        <f>I354-O354</f>
      </c>
      <c r="S354" t="s">
        <v>1</v>
      </c>
      <c r="T354" t="s">
        <v>80</v>
      </c>
      <c r="Z354" s="3">
        <f>P354-Y354</f>
      </c>
      <c r="AA354" t="s">
        <v>59</v>
      </c>
      <c r="AB354" t="s">
        <v>84</v>
      </c>
    </row>
    <row r="355" spans="1:28" x14ac:dyDescent="0.25">
      <c r="A355" s="7">
        <v>46167.5</v>
      </c>
      <c r="B355" t="s">
        <v>2938</v>
      </c>
      <c r="C355" t="s">
        <v>1</v>
      </c>
      <c r="D355" s="8" t="s">
        <v>2939</v>
      </c>
      <c r="E355" t="s">
        <v>77</v>
      </c>
      <c r="F355" s="3">
        <v>321</v>
      </c>
      <c r="G355" s="3">
        <v>439.77</v>
      </c>
      <c r="H355" s="3">
        <f>G355-F355</f>
      </c>
      <c r="I355" s="3">
        <f>H355*16.67%</f>
      </c>
      <c r="J355" s="3">
        <f>G355*7%</f>
      </c>
      <c r="K355" s="3">
        <f>J355*20%</f>
      </c>
      <c r="L355" s="3">
        <v>0</v>
      </c>
      <c r="M355" s="3">
        <f>L355*20%</f>
      </c>
      <c r="N355" s="3">
        <v>1</v>
      </c>
      <c r="O355" s="3">
        <f>K355+M355</f>
      </c>
      <c r="P355" s="3">
        <f>H355-I355-J355-K355-L355-M355-N355</f>
      </c>
      <c r="Q355" s="3">
        <f>(P355-Y355)/F355*100</f>
      </c>
      <c r="R355" s="3">
        <f>I355-O355</f>
      </c>
      <c r="S355" t="s">
        <v>1</v>
      </c>
      <c r="T355" t="s">
        <v>130</v>
      </c>
      <c r="Z355" s="3">
        <f>P355-Y355</f>
      </c>
      <c r="AA355" t="s">
        <v>59</v>
      </c>
      <c r="AB355" t="s">
        <v>104</v>
      </c>
    </row>
    <row r="356" spans="1:28" x14ac:dyDescent="0.25">
      <c r="A356" s="7">
        <v>46167.5</v>
      </c>
      <c r="B356" t="s">
        <v>2940</v>
      </c>
      <c r="C356" t="s">
        <v>1</v>
      </c>
      <c r="D356" s="8" t="s">
        <v>1</v>
      </c>
      <c r="E356" t="s">
        <v>72</v>
      </c>
      <c r="F356" s="3">
        <v>528</v>
      </c>
      <c r="G356" s="3">
        <v>712.8</v>
      </c>
      <c r="H356" s="3">
        <f>G356-F356</f>
      </c>
      <c r="I356" s="3">
        <f>H356*16.67%</f>
      </c>
      <c r="J356" s="3">
        <f>G356*7%</f>
      </c>
      <c r="K356" s="3">
        <f>J356*20%</f>
      </c>
      <c r="L356" s="3">
        <v>0</v>
      </c>
      <c r="M356" s="3">
        <f>L356*20%</f>
      </c>
      <c r="N356" s="3">
        <v>1</v>
      </c>
      <c r="O356" s="3">
        <f>K356+M356</f>
      </c>
      <c r="P356" s="3">
        <f>H356-I356-J356-K356-L356-M356-N356</f>
      </c>
      <c r="Q356" s="3">
        <f>(P356-Y356)/F356*100</f>
      </c>
      <c r="R356" s="3">
        <f>I356-O356</f>
      </c>
      <c r="S356" t="s">
        <v>1</v>
      </c>
      <c r="T356" t="s">
        <v>1</v>
      </c>
      <c r="Z356" s="3">
        <f>P356-Y356</f>
      </c>
      <c r="AA356" t="s">
        <v>1</v>
      </c>
      <c r="AB356" t="s">
        <v>1</v>
      </c>
    </row>
    <row r="357" spans="1:28" x14ac:dyDescent="0.25">
      <c r="A357" s="7">
        <v>46166.5</v>
      </c>
      <c r="B357" t="s">
        <v>2941</v>
      </c>
      <c r="C357" t="s">
        <v>1</v>
      </c>
      <c r="D357" s="8" t="s">
        <v>2942</v>
      </c>
      <c r="E357" t="s">
        <v>101</v>
      </c>
      <c r="F357" s="3">
        <v>76</v>
      </c>
      <c r="G357" s="3">
        <v>92.72</v>
      </c>
      <c r="H357" s="3">
        <f>G357-F357</f>
      </c>
      <c r="I357" s="3">
        <f>H357*16.67%</f>
      </c>
      <c r="J357" s="3">
        <f>G357*7%</f>
      </c>
      <c r="K357" s="3">
        <f>J357*20%</f>
      </c>
      <c r="L357" s="3">
        <v>0</v>
      </c>
      <c r="M357" s="3">
        <f>L357*20%</f>
      </c>
      <c r="N357" s="3">
        <v>1</v>
      </c>
      <c r="O357" s="3">
        <f>K357+M357</f>
      </c>
      <c r="P357" s="3">
        <f>H357-I357-J357-K357-L357-M357-N357</f>
      </c>
      <c r="Q357" s="3">
        <f>(P357-Y357)/F357*100</f>
      </c>
      <c r="R357" s="3">
        <f>I357-O357</f>
      </c>
      <c r="S357" t="s">
        <v>1</v>
      </c>
      <c r="T357" t="s">
        <v>93</v>
      </c>
      <c r="Z357" s="3">
        <f>P357-Y357</f>
      </c>
      <c r="AA357" t="s">
        <v>94</v>
      </c>
      <c r="AB357" t="s">
        <v>87</v>
      </c>
    </row>
    <row r="358" spans="1:28" x14ac:dyDescent="0.25">
      <c r="A358" s="7">
        <v>46166.5</v>
      </c>
      <c r="B358" t="s">
        <v>2943</v>
      </c>
      <c r="C358" t="s">
        <v>1</v>
      </c>
      <c r="D358" s="8" t="s">
        <v>2944</v>
      </c>
      <c r="E358" t="s">
        <v>63</v>
      </c>
      <c r="F358" s="3">
        <v>366</v>
      </c>
      <c r="G358" s="3">
        <v>523.38</v>
      </c>
      <c r="H358" s="3">
        <f>G358-F358</f>
      </c>
      <c r="I358" s="3">
        <f>H358*16.67%</f>
      </c>
      <c r="J358" s="3">
        <f>G358*7%</f>
      </c>
      <c r="K358" s="3">
        <f>J358*20%</f>
      </c>
      <c r="L358" s="3">
        <v>0</v>
      </c>
      <c r="M358" s="3">
        <f>L358*20%</f>
      </c>
      <c r="N358" s="3">
        <v>1</v>
      </c>
      <c r="O358" s="3">
        <f>K358+M358</f>
      </c>
      <c r="P358" s="3">
        <f>H358-I358-J358-K358-L358-M358-N358</f>
      </c>
      <c r="Q358" s="3">
        <f>(P358-Y358)/F358*100</f>
      </c>
      <c r="R358" s="3">
        <f>I358-O358</f>
      </c>
      <c r="S358" t="s">
        <v>1</v>
      </c>
      <c r="T358" t="s">
        <v>138</v>
      </c>
      <c r="Z358" s="3">
        <f>P358-Y358</f>
      </c>
      <c r="AA358" t="s">
        <v>65</v>
      </c>
      <c r="AB358" t="s">
        <v>87</v>
      </c>
    </row>
    <row r="359" spans="1:28" x14ac:dyDescent="0.25">
      <c r="A359" s="7">
        <v>46166.5</v>
      </c>
      <c r="B359" t="s">
        <v>2945</v>
      </c>
      <c r="C359" t="s">
        <v>176</v>
      </c>
      <c r="D359" s="8" t="s">
        <v>1</v>
      </c>
      <c r="E359" t="s">
        <v>77</v>
      </c>
      <c r="F359" s="3">
        <v>0.15</v>
      </c>
      <c r="G359" s="3">
        <v>0.2</v>
      </c>
      <c r="H359" s="3">
        <f>G359-F359</f>
      </c>
      <c r="I359" s="3">
        <f>H359*16.67%</f>
      </c>
      <c r="J359" s="3">
        <f>G359*7%</f>
      </c>
      <c r="K359" s="3">
        <f>J359*20%</f>
      </c>
      <c r="L359" s="3">
        <v>0</v>
      </c>
      <c r="M359" s="3">
        <f>L359*20%</f>
      </c>
      <c r="N359" s="3">
        <v>1</v>
      </c>
      <c r="O359" s="3">
        <f>K359+M359</f>
      </c>
      <c r="P359" s="3">
        <f>H359-I359-J359-K359-L359-M359-N359</f>
      </c>
      <c r="Q359" s="3">
        <f>(P359-Y359)/F359*100</f>
      </c>
      <c r="R359" s="3">
        <f>I359-O359</f>
      </c>
      <c r="S359" t="s">
        <v>1</v>
      </c>
      <c r="T359" t="s">
        <v>176</v>
      </c>
      <c r="Z359" s="3">
        <f>P359-Y359</f>
      </c>
      <c r="AA359" t="s">
        <v>1</v>
      </c>
      <c r="AB359" t="s">
        <v>1</v>
      </c>
    </row>
    <row r="360" spans="1:28" x14ac:dyDescent="0.25">
      <c r="A360" s="7">
        <v>46166.5</v>
      </c>
      <c r="B360" t="s">
        <v>2946</v>
      </c>
      <c r="C360" t="s">
        <v>181</v>
      </c>
      <c r="D360" s="8" t="s">
        <v>1</v>
      </c>
      <c r="E360" t="s">
        <v>72</v>
      </c>
      <c r="F360" s="3">
        <v>1.9</v>
      </c>
      <c r="G360" s="3">
        <v>2.53</v>
      </c>
      <c r="H360" s="3">
        <f>G360-F360</f>
      </c>
      <c r="I360" s="3">
        <f>H360*16.67%</f>
      </c>
      <c r="J360" s="3">
        <f>G360*7%</f>
      </c>
      <c r="K360" s="3">
        <f>J360*20%</f>
      </c>
      <c r="L360" s="3">
        <v>0</v>
      </c>
      <c r="M360" s="3">
        <f>L360*20%</f>
      </c>
      <c r="N360" s="3">
        <v>1</v>
      </c>
      <c r="O360" s="3">
        <f>K360+M360</f>
      </c>
      <c r="P360" s="3">
        <f>H360-I360-J360-K360-L360-M360-N360</f>
      </c>
      <c r="Q360" s="3">
        <f>(P360-Y360)/F360*100</f>
      </c>
      <c r="R360" s="3">
        <f>I360-O360</f>
      </c>
      <c r="S360" t="s">
        <v>1</v>
      </c>
      <c r="T360" t="s">
        <v>181</v>
      </c>
      <c r="Z360" s="3">
        <f>P360-Y360</f>
      </c>
      <c r="AA360" t="s">
        <v>1</v>
      </c>
      <c r="AB360" t="s">
        <v>1</v>
      </c>
    </row>
    <row r="361" spans="1:28" x14ac:dyDescent="0.25">
      <c r="A361" s="7">
        <v>46165.5</v>
      </c>
      <c r="B361" t="s">
        <v>2947</v>
      </c>
      <c r="C361" t="s">
        <v>1</v>
      </c>
      <c r="D361" s="8" t="s">
        <v>2948</v>
      </c>
      <c r="E361" t="s">
        <v>101</v>
      </c>
      <c r="F361" s="3">
        <v>470</v>
      </c>
      <c r="G361" s="3">
        <v>596.9</v>
      </c>
      <c r="H361" s="3">
        <f>G361-F361</f>
      </c>
      <c r="I361" s="3">
        <f>H361*16.67%</f>
      </c>
      <c r="J361" s="3">
        <f>G361*7%</f>
      </c>
      <c r="K361" s="3">
        <f>J361*20%</f>
      </c>
      <c r="L361" s="3">
        <v>0</v>
      </c>
      <c r="M361" s="3">
        <f>L361*20%</f>
      </c>
      <c r="N361" s="3">
        <v>1</v>
      </c>
      <c r="O361" s="3">
        <f>K361+M361</f>
      </c>
      <c r="P361" s="3">
        <f>H361-I361-J361-K361-L361-M361-N361</f>
      </c>
      <c r="Q361" s="3">
        <f>(P361-Y361)/F361*100</f>
      </c>
      <c r="R361" s="3">
        <f>I361-O361</f>
      </c>
      <c r="S361" t="s">
        <v>1</v>
      </c>
      <c r="T361" t="s">
        <v>58</v>
      </c>
      <c r="Z361" s="3">
        <f>P361-Y361</f>
      </c>
      <c r="AA361" t="s">
        <v>59</v>
      </c>
      <c r="AB361" t="s">
        <v>74</v>
      </c>
    </row>
    <row r="362" spans="1:28" x14ac:dyDescent="0.25">
      <c r="A362" s="7">
        <v>46165.5</v>
      </c>
      <c r="B362" t="s">
        <v>2949</v>
      </c>
      <c r="C362" t="s">
        <v>1</v>
      </c>
      <c r="D362" s="8" t="s">
        <v>2950</v>
      </c>
      <c r="E362" t="s">
        <v>63</v>
      </c>
      <c r="F362" s="3">
        <v>165</v>
      </c>
      <c r="G362" s="3">
        <v>212.85</v>
      </c>
      <c r="H362" s="3">
        <f>G362-F362</f>
      </c>
      <c r="I362" s="3">
        <f>H362*16.67%</f>
      </c>
      <c r="J362" s="3">
        <f>G362*7%</f>
      </c>
      <c r="K362" s="3">
        <f>J362*20%</f>
      </c>
      <c r="L362" s="3">
        <v>0</v>
      </c>
      <c r="M362" s="3">
        <f>L362*20%</f>
      </c>
      <c r="N362" s="3">
        <v>1</v>
      </c>
      <c r="O362" s="3">
        <f>K362+M362</f>
      </c>
      <c r="P362" s="3">
        <f>H362-I362-J362-K362-L362-M362-N362</f>
      </c>
      <c r="Q362" s="3">
        <f>(P362-Y362)/F362*100</f>
      </c>
      <c r="R362" s="3">
        <f>I362-O362</f>
      </c>
      <c r="S362" t="s">
        <v>1</v>
      </c>
      <c r="T362" t="s">
        <v>291</v>
      </c>
      <c r="Z362" s="3">
        <f>P362-Y362</f>
      </c>
      <c r="AA362" t="s">
        <v>125</v>
      </c>
      <c r="AB362" t="s">
        <v>98</v>
      </c>
    </row>
    <row r="363" spans="1:28" x14ac:dyDescent="0.25">
      <c r="A363" s="7">
        <v>46165.5</v>
      </c>
      <c r="B363" t="s">
        <v>2951</v>
      </c>
      <c r="C363" t="s">
        <v>1</v>
      </c>
      <c r="D363" s="8" t="s">
        <v>2952</v>
      </c>
      <c r="E363" t="s">
        <v>77</v>
      </c>
      <c r="F363" s="3">
        <v>363</v>
      </c>
      <c r="G363" s="3">
        <v>519.09</v>
      </c>
      <c r="H363" s="3">
        <f>G363-F363</f>
      </c>
      <c r="I363" s="3">
        <f>H363*16.67%</f>
      </c>
      <c r="J363" s="3">
        <f>G363*7%</f>
      </c>
      <c r="K363" s="3">
        <f>J363*20%</f>
      </c>
      <c r="L363" s="3">
        <v>0</v>
      </c>
      <c r="M363" s="3">
        <f>L363*20%</f>
      </c>
      <c r="N363" s="3">
        <v>1</v>
      </c>
      <c r="O363" s="3">
        <f>K363+M363</f>
      </c>
      <c r="P363" s="3">
        <f>H363-I363-J363-K363-L363-M363-N363</f>
      </c>
      <c r="Q363" s="3">
        <f>(P363-Y363)/F363*100</f>
      </c>
      <c r="R363" s="3">
        <f>I363-O363</f>
      </c>
      <c r="S363" t="s">
        <v>1</v>
      </c>
      <c r="T363" t="s">
        <v>73</v>
      </c>
      <c r="Z363" s="3">
        <f>P363-Y363</f>
      </c>
      <c r="AA363" t="s">
        <v>59</v>
      </c>
      <c r="AB363" t="s">
        <v>60</v>
      </c>
    </row>
    <row r="364" spans="1:28" x14ac:dyDescent="0.25">
      <c r="A364" s="7">
        <v>46165.5</v>
      </c>
      <c r="B364" t="s">
        <v>2953</v>
      </c>
      <c r="C364" t="s">
        <v>176</v>
      </c>
      <c r="D364" s="8" t="s">
        <v>1</v>
      </c>
      <c r="E364" t="s">
        <v>77</v>
      </c>
      <c r="F364" s="3">
        <v>0.15</v>
      </c>
      <c r="G364" s="3">
        <v>0.18</v>
      </c>
      <c r="H364" s="3">
        <f>G364-F364</f>
      </c>
      <c r="I364" s="3">
        <f>H364*16.67%</f>
      </c>
      <c r="J364" s="3">
        <f>G364*7%</f>
      </c>
      <c r="K364" s="3">
        <f>J364*20%</f>
      </c>
      <c r="L364" s="3">
        <v>0</v>
      </c>
      <c r="M364" s="3">
        <f>L364*20%</f>
      </c>
      <c r="N364" s="3">
        <v>1</v>
      </c>
      <c r="O364" s="3">
        <f>K364+M364</f>
      </c>
      <c r="P364" s="3">
        <f>H364-I364-J364-K364-L364-M364-N364</f>
      </c>
      <c r="Q364" s="3">
        <f>(P364-Y364)/F364*100</f>
      </c>
      <c r="R364" s="3">
        <f>I364-O364</f>
      </c>
      <c r="S364" t="s">
        <v>1</v>
      </c>
      <c r="T364" t="s">
        <v>176</v>
      </c>
      <c r="Z364" s="3">
        <f>P364-Y364</f>
      </c>
      <c r="AA364" t="s">
        <v>1</v>
      </c>
      <c r="AB364" t="s">
        <v>1</v>
      </c>
    </row>
    <row r="365" spans="1:28" x14ac:dyDescent="0.25">
      <c r="A365" s="7">
        <v>46164.5</v>
      </c>
      <c r="B365" t="s">
        <v>2954</v>
      </c>
      <c r="C365" t="s">
        <v>1</v>
      </c>
      <c r="D365" s="8" t="s">
        <v>2955</v>
      </c>
      <c r="E365" t="s">
        <v>72</v>
      </c>
      <c r="F365" s="3">
        <v>104</v>
      </c>
      <c r="G365" s="3">
        <v>149.76</v>
      </c>
      <c r="H365" s="3">
        <f>G365-F365</f>
      </c>
      <c r="I365" s="3">
        <f>H365*16.67%</f>
      </c>
      <c r="J365" s="3">
        <f>G365*7%</f>
      </c>
      <c r="K365" s="3">
        <f>J365*20%</f>
      </c>
      <c r="L365" s="3">
        <v>0</v>
      </c>
      <c r="M365" s="3">
        <f>L365*20%</f>
      </c>
      <c r="N365" s="3">
        <v>1</v>
      </c>
      <c r="O365" s="3">
        <f>K365+M365</f>
      </c>
      <c r="P365" s="3">
        <f>H365-I365-J365-K365-L365-M365-N365</f>
      </c>
      <c r="Q365" s="3">
        <f>(P365-Y365)/F365*100</f>
      </c>
      <c r="R365" s="3">
        <f>I365-O365</f>
      </c>
      <c r="S365" t="s">
        <v>1</v>
      </c>
      <c r="T365" t="s">
        <v>90</v>
      </c>
      <c r="Z365" s="3">
        <f>P365-Y365</f>
      </c>
      <c r="AA365" t="s">
        <v>94</v>
      </c>
      <c r="AB365" t="s">
        <v>74</v>
      </c>
    </row>
    <row r="366" spans="1:28" x14ac:dyDescent="0.25">
      <c r="A366" s="7">
        <v>46164.5</v>
      </c>
      <c r="B366" t="s">
        <v>2956</v>
      </c>
      <c r="C366" t="s">
        <v>1</v>
      </c>
      <c r="D366" s="8" t="s">
        <v>2957</v>
      </c>
      <c r="E366" t="s">
        <v>57</v>
      </c>
      <c r="F366" s="3">
        <v>74</v>
      </c>
      <c r="G366" s="3">
        <v>106.56</v>
      </c>
      <c r="H366" s="3">
        <f>G366-F366</f>
      </c>
      <c r="I366" s="3">
        <f>H366*16.67%</f>
      </c>
      <c r="J366" s="3">
        <f>G366*7%</f>
      </c>
      <c r="K366" s="3">
        <f>J366*20%</f>
      </c>
      <c r="L366" s="3">
        <v>0</v>
      </c>
      <c r="M366" s="3">
        <f>L366*20%</f>
      </c>
      <c r="N366" s="3">
        <v>1</v>
      </c>
      <c r="O366" s="3">
        <f>K366+M366</f>
      </c>
      <c r="P366" s="3">
        <f>H366-I366-J366-K366-L366-M366-N366</f>
      </c>
      <c r="Q366" s="3">
        <f>(P366-Y366)/F366*100</f>
      </c>
      <c r="R366" s="3">
        <f>I366-O366</f>
      </c>
      <c r="S366" t="s">
        <v>1</v>
      </c>
      <c r="T366" t="s">
        <v>93</v>
      </c>
      <c r="Z366" s="3">
        <f>P366-Y366</f>
      </c>
      <c r="AA366" t="s">
        <v>94</v>
      </c>
      <c r="AB366" t="s">
        <v>74</v>
      </c>
    </row>
    <row r="367" spans="1:28" x14ac:dyDescent="0.25">
      <c r="A367" s="7">
        <v>46164.5</v>
      </c>
      <c r="B367" t="s">
        <v>2958</v>
      </c>
      <c r="C367" t="s">
        <v>1</v>
      </c>
      <c r="D367" s="8" t="s">
        <v>2959</v>
      </c>
      <c r="E367" t="s">
        <v>72</v>
      </c>
      <c r="F367" s="3">
        <v>336</v>
      </c>
      <c r="G367" s="3">
        <v>426.72</v>
      </c>
      <c r="H367" s="3">
        <f>G367-F367</f>
      </c>
      <c r="I367" s="3">
        <f>H367*16.67%</f>
      </c>
      <c r="J367" s="3">
        <f>G367*7%</f>
      </c>
      <c r="K367" s="3">
        <f>J367*20%</f>
      </c>
      <c r="L367" s="3">
        <v>0</v>
      </c>
      <c r="M367" s="3">
        <f>L367*20%</f>
      </c>
      <c r="N367" s="3">
        <v>1</v>
      </c>
      <c r="O367" s="3">
        <f>K367+M367</f>
      </c>
      <c r="P367" s="3">
        <f>H367-I367-J367-K367-L367-M367-N367</f>
      </c>
      <c r="Q367" s="3">
        <f>(P367-Y367)/F367*100</f>
      </c>
      <c r="R367" s="3">
        <f>I367-O367</f>
      </c>
      <c r="S367" t="s">
        <v>1</v>
      </c>
      <c r="T367" t="s">
        <v>130</v>
      </c>
      <c r="Z367" s="3">
        <f>P367-Y367</f>
      </c>
      <c r="AA367" t="s">
        <v>59</v>
      </c>
      <c r="AB367" t="s">
        <v>74</v>
      </c>
    </row>
    <row r="368" spans="1:28" x14ac:dyDescent="0.25">
      <c r="A368" s="7">
        <v>46164.5</v>
      </c>
      <c r="B368" t="s">
        <v>2960</v>
      </c>
      <c r="C368" t="s">
        <v>184</v>
      </c>
      <c r="D368" s="8" t="s">
        <v>1</v>
      </c>
      <c r="E368" t="s">
        <v>101</v>
      </c>
      <c r="F368" s="3">
        <v>1.2</v>
      </c>
      <c r="G368" s="3">
        <v>1.5</v>
      </c>
      <c r="H368" s="3">
        <f>G368-F368</f>
      </c>
      <c r="I368" s="3">
        <f>H368*16.67%</f>
      </c>
      <c r="J368" s="3">
        <f>G368*7%</f>
      </c>
      <c r="K368" s="3">
        <f>J368*20%</f>
      </c>
      <c r="L368" s="3">
        <v>0</v>
      </c>
      <c r="M368" s="3">
        <f>L368*20%</f>
      </c>
      <c r="N368" s="3">
        <v>1</v>
      </c>
      <c r="O368" s="3">
        <f>K368+M368</f>
      </c>
      <c r="P368" s="3">
        <f>H368-I368-J368-K368-L368-M368-N368</f>
      </c>
      <c r="Q368" s="3">
        <f>(P368-Y368)/F368*100</f>
      </c>
      <c r="R368" s="3">
        <f>I368-O368</f>
      </c>
      <c r="S368" t="s">
        <v>1</v>
      </c>
      <c r="T368" t="s">
        <v>184</v>
      </c>
      <c r="Z368" s="3">
        <f>P368-Y368</f>
      </c>
      <c r="AA368" t="s">
        <v>1</v>
      </c>
      <c r="AB368" t="s">
        <v>1</v>
      </c>
    </row>
    <row r="369" spans="1:28" x14ac:dyDescent="0.25">
      <c r="A369" s="7">
        <v>46163.5</v>
      </c>
      <c r="B369" t="s">
        <v>2961</v>
      </c>
      <c r="C369" t="s">
        <v>1</v>
      </c>
      <c r="D369" s="8" t="s">
        <v>2962</v>
      </c>
      <c r="E369" t="s">
        <v>101</v>
      </c>
      <c r="F369" s="3">
        <v>362</v>
      </c>
      <c r="G369" s="3">
        <v>445.26</v>
      </c>
      <c r="H369" s="3">
        <f>G369-F369</f>
      </c>
      <c r="I369" s="3">
        <f>H369*16.67%</f>
      </c>
      <c r="J369" s="3">
        <f>G369*7%</f>
      </c>
      <c r="K369" s="3">
        <f>J369*20%</f>
      </c>
      <c r="L369" s="3">
        <v>0</v>
      </c>
      <c r="M369" s="3">
        <f>L369*20%</f>
      </c>
      <c r="N369" s="3">
        <v>1</v>
      </c>
      <c r="O369" s="3">
        <f>K369+M369</f>
      </c>
      <c r="P369" s="3">
        <f>H369-I369-J369-K369-L369-M369-N369</f>
      </c>
      <c r="Q369" s="3">
        <f>(P369-Y369)/F369*100</f>
      </c>
      <c r="R369" s="3">
        <f>I369-O369</f>
      </c>
      <c r="S369" t="s">
        <v>1</v>
      </c>
      <c r="T369" t="s">
        <v>73</v>
      </c>
      <c r="Z369" s="3">
        <f>P369-Y369</f>
      </c>
      <c r="AA369" t="s">
        <v>59</v>
      </c>
      <c r="AB369" t="s">
        <v>87</v>
      </c>
    </row>
    <row r="370" spans="1:28" x14ac:dyDescent="0.25">
      <c r="A370" s="7">
        <v>46163.5</v>
      </c>
      <c r="B370" t="s">
        <v>2963</v>
      </c>
      <c r="C370" t="s">
        <v>1</v>
      </c>
      <c r="D370" s="8" t="s">
        <v>2964</v>
      </c>
      <c r="E370" t="s">
        <v>57</v>
      </c>
      <c r="F370" s="3">
        <v>538</v>
      </c>
      <c r="G370" s="3">
        <v>763.96</v>
      </c>
      <c r="H370" s="3">
        <f>G370-F370</f>
      </c>
      <c r="I370" s="3">
        <f>H370*16.67%</f>
      </c>
      <c r="J370" s="3">
        <f>G370*7%</f>
      </c>
      <c r="K370" s="3">
        <f>J370*20%</f>
      </c>
      <c r="L370" s="3">
        <v>0</v>
      </c>
      <c r="M370" s="3">
        <f>L370*20%</f>
      </c>
      <c r="N370" s="3">
        <v>1</v>
      </c>
      <c r="O370" s="3">
        <f>K370+M370</f>
      </c>
      <c r="P370" s="3">
        <f>H370-I370-J370-K370-L370-M370-N370</f>
      </c>
      <c r="Q370" s="3">
        <f>(P370-Y370)/F370*100</f>
      </c>
      <c r="R370" s="3">
        <f>I370-O370</f>
      </c>
      <c r="S370" t="s">
        <v>1</v>
      </c>
      <c r="T370" t="s">
        <v>80</v>
      </c>
      <c r="Z370" s="3">
        <f>P370-Y370</f>
      </c>
      <c r="AA370" t="s">
        <v>65</v>
      </c>
      <c r="AB370" t="s">
        <v>84</v>
      </c>
    </row>
    <row r="371" spans="1:28" x14ac:dyDescent="0.25">
      <c r="A371" s="7">
        <v>46163.5</v>
      </c>
      <c r="B371" t="s">
        <v>2965</v>
      </c>
      <c r="C371" t="s">
        <v>1</v>
      </c>
      <c r="D371" s="8" t="s">
        <v>2966</v>
      </c>
      <c r="E371" t="s">
        <v>63</v>
      </c>
      <c r="F371" s="3">
        <v>695</v>
      </c>
      <c r="G371" s="3">
        <v>945.2</v>
      </c>
      <c r="H371" s="3">
        <f>G371-F371</f>
      </c>
      <c r="I371" s="3">
        <f>H371*16.67%</f>
      </c>
      <c r="J371" s="3">
        <f>G371*7%</f>
      </c>
      <c r="K371" s="3">
        <f>J371*20%</f>
      </c>
      <c r="L371" s="3">
        <v>0</v>
      </c>
      <c r="M371" s="3">
        <f>L371*20%</f>
      </c>
      <c r="N371" s="3">
        <v>1</v>
      </c>
      <c r="O371" s="3">
        <f>K371+M371</f>
      </c>
      <c r="P371" s="3">
        <f>H371-I371-J371-K371-L371-M371-N371</f>
      </c>
      <c r="Q371" s="3">
        <f>(P371-Y371)/F371*100</f>
      </c>
      <c r="R371" s="3">
        <f>I371-O371</f>
      </c>
      <c r="S371" t="s">
        <v>1</v>
      </c>
      <c r="T371" t="s">
        <v>83</v>
      </c>
      <c r="Z371" s="3">
        <f>P371-Y371</f>
      </c>
      <c r="AA371" t="s">
        <v>59</v>
      </c>
      <c r="AB371" t="s">
        <v>104</v>
      </c>
    </row>
    <row r="372" spans="1:28" x14ac:dyDescent="0.25">
      <c r="A372" s="7">
        <v>46163.5</v>
      </c>
      <c r="B372" t="s">
        <v>2967</v>
      </c>
      <c r="C372" t="s">
        <v>1</v>
      </c>
      <c r="D372" s="8" t="s">
        <v>2968</v>
      </c>
      <c r="E372" t="s">
        <v>72</v>
      </c>
      <c r="F372" s="3">
        <v>316</v>
      </c>
      <c r="G372" s="3">
        <v>366.56</v>
      </c>
      <c r="H372" s="3">
        <f>G372-F372</f>
      </c>
      <c r="I372" s="3">
        <f>H372*16.67%</f>
      </c>
      <c r="J372" s="3">
        <f>G372*7%</f>
      </c>
      <c r="K372" s="3">
        <f>J372*20%</f>
      </c>
      <c r="L372" s="3">
        <v>0</v>
      </c>
      <c r="M372" s="3">
        <f>L372*20%</f>
      </c>
      <c r="N372" s="3">
        <v>1</v>
      </c>
      <c r="O372" s="3">
        <f>K372+M372</f>
      </c>
      <c r="P372" s="3">
        <f>H372-I372-J372-K372-L372-M372-N372</f>
      </c>
      <c r="Q372" s="3">
        <f>(P372-Y372)/F372*100</f>
      </c>
      <c r="R372" s="3">
        <f>I372-O372</f>
      </c>
      <c r="S372" t="s">
        <v>1</v>
      </c>
      <c r="T372" t="s">
        <v>130</v>
      </c>
      <c r="Z372" s="3">
        <f>P372-Y372</f>
      </c>
      <c r="AA372" t="s">
        <v>65</v>
      </c>
      <c r="AB372" t="s">
        <v>84</v>
      </c>
    </row>
    <row r="373" spans="1:28" x14ac:dyDescent="0.25">
      <c r="A373" s="7">
        <v>46162.5</v>
      </c>
      <c r="B373" t="s">
        <v>2969</v>
      </c>
      <c r="C373" t="s">
        <v>1</v>
      </c>
      <c r="D373" s="8" t="s">
        <v>2970</v>
      </c>
      <c r="E373" t="s">
        <v>72</v>
      </c>
      <c r="F373" s="3">
        <v>255</v>
      </c>
      <c r="G373" s="3">
        <v>328.95</v>
      </c>
      <c r="H373" s="3">
        <f>G373-F373</f>
      </c>
      <c r="I373" s="3">
        <f>H373*16.67%</f>
      </c>
      <c r="J373" s="3">
        <f>G373*7%</f>
      </c>
      <c r="K373" s="3">
        <f>J373*20%</f>
      </c>
      <c r="L373" s="3">
        <v>0</v>
      </c>
      <c r="M373" s="3">
        <f>L373*20%</f>
      </c>
      <c r="N373" s="3">
        <v>1</v>
      </c>
      <c r="O373" s="3">
        <f>K373+M373</f>
      </c>
      <c r="P373" s="3">
        <f>H373-I373-J373-K373-L373-M373-N373</f>
      </c>
      <c r="Q373" s="3">
        <f>(P373-Y373)/F373*100</f>
      </c>
      <c r="R373" s="3">
        <f>I373-O373</f>
      </c>
      <c r="S373" t="s">
        <v>1</v>
      </c>
      <c r="T373" t="s">
        <v>113</v>
      </c>
      <c r="Z373" s="3">
        <f>P373-Y373</f>
      </c>
      <c r="AA373" t="s">
        <v>59</v>
      </c>
      <c r="AB373" t="s">
        <v>84</v>
      </c>
    </row>
    <row r="374" spans="1:28" x14ac:dyDescent="0.25">
      <c r="A374" s="7">
        <v>46162.5</v>
      </c>
      <c r="B374" t="s">
        <v>2971</v>
      </c>
      <c r="C374" t="s">
        <v>1</v>
      </c>
      <c r="D374" s="8" t="s">
        <v>2972</v>
      </c>
      <c r="E374" t="s">
        <v>72</v>
      </c>
      <c r="F374" s="3">
        <v>554</v>
      </c>
      <c r="G374" s="3">
        <v>686.96</v>
      </c>
      <c r="H374" s="3">
        <f>G374-F374</f>
      </c>
      <c r="I374" s="3">
        <f>H374*16.67%</f>
      </c>
      <c r="J374" s="3">
        <f>G374*7%</f>
      </c>
      <c r="K374" s="3">
        <f>J374*20%</f>
      </c>
      <c r="L374" s="3">
        <v>0</v>
      </c>
      <c r="M374" s="3">
        <f>L374*20%</f>
      </c>
      <c r="N374" s="3">
        <v>1</v>
      </c>
      <c r="O374" s="3">
        <f>K374+M374</f>
      </c>
      <c r="P374" s="3">
        <f>H374-I374-J374-K374-L374-M374-N374</f>
      </c>
      <c r="Q374" s="3">
        <f>(P374-Y374)/F374*100</f>
      </c>
      <c r="R374" s="3">
        <f>I374-O374</f>
      </c>
      <c r="S374" t="s">
        <v>1</v>
      </c>
      <c r="T374" t="s">
        <v>80</v>
      </c>
      <c r="Z374" s="3">
        <f>P374-Y374</f>
      </c>
      <c r="AA374" t="s">
        <v>59</v>
      </c>
      <c r="AB374" t="s">
        <v>104</v>
      </c>
    </row>
    <row r="375" spans="1:28" x14ac:dyDescent="0.25">
      <c r="A375" s="7">
        <v>46162.5</v>
      </c>
      <c r="B375" t="s">
        <v>2973</v>
      </c>
      <c r="C375" t="s">
        <v>181</v>
      </c>
      <c r="D375" s="8" t="s">
        <v>1</v>
      </c>
      <c r="E375" t="s">
        <v>72</v>
      </c>
      <c r="F375" s="3">
        <v>1.9</v>
      </c>
      <c r="G375" s="3">
        <v>2.22</v>
      </c>
      <c r="H375" s="3">
        <f>G375-F375</f>
      </c>
      <c r="I375" s="3">
        <f>H375*16.67%</f>
      </c>
      <c r="J375" s="3">
        <f>G375*7%</f>
      </c>
      <c r="K375" s="3">
        <f>J375*20%</f>
      </c>
      <c r="L375" s="3">
        <v>0</v>
      </c>
      <c r="M375" s="3">
        <f>L375*20%</f>
      </c>
      <c r="N375" s="3">
        <v>1</v>
      </c>
      <c r="O375" s="3">
        <f>K375+M375</f>
      </c>
      <c r="P375" s="3">
        <f>H375-I375-J375-K375-L375-M375-N375</f>
      </c>
      <c r="Q375" s="3">
        <f>(P375-Y375)/F375*100</f>
      </c>
      <c r="R375" s="3">
        <f>I375-O375</f>
      </c>
      <c r="S375" t="s">
        <v>1</v>
      </c>
      <c r="T375" t="s">
        <v>181</v>
      </c>
      <c r="Z375" s="3">
        <f>P375-Y375</f>
      </c>
      <c r="AA375" t="s">
        <v>1</v>
      </c>
      <c r="AB375" t="s">
        <v>1</v>
      </c>
    </row>
    <row r="376" spans="1:28" x14ac:dyDescent="0.25">
      <c r="A376" s="7">
        <v>46161.5</v>
      </c>
      <c r="B376" t="s">
        <v>2974</v>
      </c>
      <c r="C376" t="s">
        <v>1</v>
      </c>
      <c r="D376" s="8" t="s">
        <v>2975</v>
      </c>
      <c r="E376" t="s">
        <v>63</v>
      </c>
      <c r="F376" s="3">
        <v>173</v>
      </c>
      <c r="G376" s="3">
        <v>243.93</v>
      </c>
      <c r="H376" s="3">
        <f>G376-F376</f>
      </c>
      <c r="I376" s="3">
        <f>H376*16.67%</f>
      </c>
      <c r="J376" s="3">
        <f>G376*7%</f>
      </c>
      <c r="K376" s="3">
        <f>J376*20%</f>
      </c>
      <c r="L376" s="3">
        <v>0</v>
      </c>
      <c r="M376" s="3">
        <f>L376*20%</f>
      </c>
      <c r="N376" s="3">
        <v>1</v>
      </c>
      <c r="O376" s="3">
        <f>K376+M376</f>
      </c>
      <c r="P376" s="3">
        <f>H376-I376-J376-K376-L376-M376-N376</f>
      </c>
      <c r="Q376" s="3">
        <f>(P376-Y376)/F376*100</f>
      </c>
      <c r="R376" s="3">
        <f>I376-O376</f>
      </c>
      <c r="S376" t="s">
        <v>1</v>
      </c>
      <c r="T376" t="s">
        <v>291</v>
      </c>
      <c r="Z376" s="3">
        <f>P376-Y376</f>
      </c>
      <c r="AA376" t="s">
        <v>125</v>
      </c>
      <c r="AB376" t="s">
        <v>98</v>
      </c>
    </row>
    <row r="377" spans="1:28" x14ac:dyDescent="0.25">
      <c r="A377" s="7">
        <v>46161.5</v>
      </c>
      <c r="B377" t="s">
        <v>2976</v>
      </c>
      <c r="C377" t="s">
        <v>1</v>
      </c>
      <c r="D377" s="8" t="s">
        <v>2977</v>
      </c>
      <c r="E377" t="s">
        <v>57</v>
      </c>
      <c r="F377" s="3">
        <v>562</v>
      </c>
      <c r="G377" s="3">
        <v>769.94</v>
      </c>
      <c r="H377" s="3">
        <f>G377-F377</f>
      </c>
      <c r="I377" s="3">
        <f>H377*16.67%</f>
      </c>
      <c r="J377" s="3">
        <f>G377*7%</f>
      </c>
      <c r="K377" s="3">
        <f>J377*20%</f>
      </c>
      <c r="L377" s="3">
        <v>0</v>
      </c>
      <c r="M377" s="3">
        <f>L377*20%</f>
      </c>
      <c r="N377" s="3">
        <v>1</v>
      </c>
      <c r="O377" s="3">
        <f>K377+M377</f>
      </c>
      <c r="P377" s="3">
        <f>H377-I377-J377-K377-L377-M377-N377</f>
      </c>
      <c r="Q377" s="3">
        <f>(P377-Y377)/F377*100</f>
      </c>
      <c r="R377" s="3">
        <f>I377-O377</f>
      </c>
      <c r="S377" t="s">
        <v>1</v>
      </c>
      <c r="T377" t="s">
        <v>80</v>
      </c>
      <c r="Z377" s="3">
        <f>P377-Y377</f>
      </c>
      <c r="AA377" t="s">
        <v>65</v>
      </c>
      <c r="AB377" t="s">
        <v>84</v>
      </c>
    </row>
    <row r="378" spans="1:28" x14ac:dyDescent="0.25">
      <c r="A378" s="7">
        <v>46161.5</v>
      </c>
      <c r="B378" t="s">
        <v>2978</v>
      </c>
      <c r="C378" t="s">
        <v>1</v>
      </c>
      <c r="D378" s="8" t="s">
        <v>2979</v>
      </c>
      <c r="E378" t="s">
        <v>57</v>
      </c>
      <c r="F378" s="3">
        <v>739</v>
      </c>
      <c r="G378" s="3">
        <v>923.75</v>
      </c>
      <c r="H378" s="3">
        <f>G378-F378</f>
      </c>
      <c r="I378" s="3">
        <f>H378*16.67%</f>
      </c>
      <c r="J378" s="3">
        <f>G378*7%</f>
      </c>
      <c r="K378" s="3">
        <f>J378*20%</f>
      </c>
      <c r="L378" s="3">
        <v>0</v>
      </c>
      <c r="M378" s="3">
        <f>L378*20%</f>
      </c>
      <c r="N378" s="3">
        <v>1</v>
      </c>
      <c r="O378" s="3">
        <f>K378+M378</f>
      </c>
      <c r="P378" s="3">
        <f>H378-I378-J378-K378-L378-M378-N378</f>
      </c>
      <c r="Q378" s="3">
        <f>(P378-Y378)/F378*100</f>
      </c>
      <c r="R378" s="3">
        <f>I378-O378</f>
      </c>
      <c r="S378" t="s">
        <v>1</v>
      </c>
      <c r="T378" t="s">
        <v>83</v>
      </c>
      <c r="Z378" s="3">
        <f>P378-Y378</f>
      </c>
      <c r="AA378" t="s">
        <v>59</v>
      </c>
      <c r="AB378" t="s">
        <v>98</v>
      </c>
    </row>
    <row r="379" spans="1:28" x14ac:dyDescent="0.25">
      <c r="A379" s="7">
        <v>46161.5</v>
      </c>
      <c r="B379" t="s">
        <v>2980</v>
      </c>
      <c r="C379" t="s">
        <v>1</v>
      </c>
      <c r="D379" s="8" t="s">
        <v>2981</v>
      </c>
      <c r="E379" t="s">
        <v>57</v>
      </c>
      <c r="F379" s="3">
        <v>166</v>
      </c>
      <c r="G379" s="3">
        <v>194.22</v>
      </c>
      <c r="H379" s="3">
        <f>G379-F379</f>
      </c>
      <c r="I379" s="3">
        <f>H379*16.67%</f>
      </c>
      <c r="J379" s="3">
        <f>G379*7%</f>
      </c>
      <c r="K379" s="3">
        <f>J379*20%</f>
      </c>
      <c r="L379" s="3">
        <v>0</v>
      </c>
      <c r="M379" s="3">
        <f>L379*20%</f>
      </c>
      <c r="N379" s="3">
        <v>1</v>
      </c>
      <c r="O379" s="3">
        <f>K379+M379</f>
      </c>
      <c r="P379" s="3">
        <f>H379-I379-J379-K379-L379-M379-N379</f>
      </c>
      <c r="Q379" s="3">
        <f>(P379-Y379)/F379*100</f>
      </c>
      <c r="R379" s="3">
        <f>I379-O379</f>
      </c>
      <c r="S379" t="s">
        <v>1</v>
      </c>
      <c r="T379" t="s">
        <v>233</v>
      </c>
      <c r="Z379" s="3">
        <f>P379-Y379</f>
      </c>
      <c r="AA379" t="s">
        <v>65</v>
      </c>
      <c r="AB379" t="s">
        <v>87</v>
      </c>
    </row>
    <row r="380" spans="1:28" x14ac:dyDescent="0.25">
      <c r="A380" s="7">
        <v>46161.5</v>
      </c>
      <c r="B380" t="s">
        <v>2982</v>
      </c>
      <c r="C380" t="s">
        <v>1</v>
      </c>
      <c r="D380" s="8" t="s">
        <v>2983</v>
      </c>
      <c r="E380" t="s">
        <v>57</v>
      </c>
      <c r="F380" s="3">
        <v>121</v>
      </c>
      <c r="G380" s="3">
        <v>151.25</v>
      </c>
      <c r="H380" s="3">
        <f>G380-F380</f>
      </c>
      <c r="I380" s="3">
        <f>H380*16.67%</f>
      </c>
      <c r="J380" s="3">
        <f>G380*7%</f>
      </c>
      <c r="K380" s="3">
        <f>J380*20%</f>
      </c>
      <c r="L380" s="3">
        <v>0</v>
      </c>
      <c r="M380" s="3">
        <f>L380*20%</f>
      </c>
      <c r="N380" s="3">
        <v>1</v>
      </c>
      <c r="O380" s="3">
        <f>K380+M380</f>
      </c>
      <c r="P380" s="3">
        <f>H380-I380-J380-K380-L380-M380-N380</f>
      </c>
      <c r="Q380" s="3">
        <f>(P380-Y380)/F380*100</f>
      </c>
      <c r="R380" s="3">
        <f>I380-O380</f>
      </c>
      <c r="S380" t="s">
        <v>1</v>
      </c>
      <c r="T380" t="s">
        <v>133</v>
      </c>
      <c r="Z380" s="3">
        <f>P380-Y380</f>
      </c>
      <c r="AA380" t="s">
        <v>94</v>
      </c>
      <c r="AB380" t="s">
        <v>74</v>
      </c>
    </row>
    <row r="381" spans="1:28" x14ac:dyDescent="0.25">
      <c r="A381" s="7">
        <v>46161.5</v>
      </c>
      <c r="B381" t="s">
        <v>2984</v>
      </c>
      <c r="C381" t="s">
        <v>1</v>
      </c>
      <c r="D381" s="8" t="s">
        <v>2985</v>
      </c>
      <c r="E381" t="s">
        <v>63</v>
      </c>
      <c r="F381" s="3">
        <v>178</v>
      </c>
      <c r="G381" s="3">
        <v>245.64</v>
      </c>
      <c r="H381" s="3">
        <f>G381-F381</f>
      </c>
      <c r="I381" s="3">
        <f>H381*16.67%</f>
      </c>
      <c r="J381" s="3">
        <f>G381*7%</f>
      </c>
      <c r="K381" s="3">
        <f>J381*20%</f>
      </c>
      <c r="L381" s="3">
        <v>0</v>
      </c>
      <c r="M381" s="3">
        <f>L381*20%</f>
      </c>
      <c r="N381" s="3">
        <v>1</v>
      </c>
      <c r="O381" s="3">
        <f>K381+M381</f>
      </c>
      <c r="P381" s="3">
        <f>H381-I381-J381-K381-L381-M381-N381</f>
      </c>
      <c r="Q381" s="3">
        <f>(P381-Y381)/F381*100</f>
      </c>
      <c r="R381" s="3">
        <f>I381-O381</f>
      </c>
      <c r="S381" t="s">
        <v>1</v>
      </c>
      <c r="T381" t="s">
        <v>171</v>
      </c>
      <c r="Z381" s="3">
        <f>P381-Y381</f>
      </c>
      <c r="AA381" t="s">
        <v>65</v>
      </c>
      <c r="AB381" t="s">
        <v>104</v>
      </c>
    </row>
    <row r="382" spans="1:28" x14ac:dyDescent="0.25">
      <c r="A382" s="7">
        <v>46161.5</v>
      </c>
      <c r="B382" t="s">
        <v>2986</v>
      </c>
      <c r="C382" t="s">
        <v>1</v>
      </c>
      <c r="D382" s="8" t="s">
        <v>2987</v>
      </c>
      <c r="E382" t="s">
        <v>72</v>
      </c>
      <c r="F382" s="3">
        <v>545</v>
      </c>
      <c r="G382" s="3">
        <v>719.4</v>
      </c>
      <c r="H382" s="3">
        <f>G382-F382</f>
      </c>
      <c r="I382" s="3">
        <f>H382*16.67%</f>
      </c>
      <c r="J382" s="3">
        <f>G382*7%</f>
      </c>
      <c r="K382" s="3">
        <f>J382*20%</f>
      </c>
      <c r="L382" s="3">
        <v>0</v>
      </c>
      <c r="M382" s="3">
        <f>L382*20%</f>
      </c>
      <c r="N382" s="3">
        <v>1</v>
      </c>
      <c r="O382" s="3">
        <f>K382+M382</f>
      </c>
      <c r="P382" s="3">
        <f>H382-I382-J382-K382-L382-M382-N382</f>
      </c>
      <c r="Q382" s="3">
        <f>(P382-Y382)/F382*100</f>
      </c>
      <c r="R382" s="3">
        <f>I382-O382</f>
      </c>
      <c r="S382" t="s">
        <v>1</v>
      </c>
      <c r="T382" t="s">
        <v>80</v>
      </c>
      <c r="Z382" s="3">
        <f>P382-Y382</f>
      </c>
      <c r="AA382" t="s">
        <v>65</v>
      </c>
      <c r="AB382" t="s">
        <v>60</v>
      </c>
    </row>
    <row r="383" spans="1:28" x14ac:dyDescent="0.25">
      <c r="A383" s="7">
        <v>46161.5</v>
      </c>
      <c r="B383" t="s">
        <v>2988</v>
      </c>
      <c r="C383" t="s">
        <v>173</v>
      </c>
      <c r="D383" s="8" t="s">
        <v>1</v>
      </c>
      <c r="E383" t="s">
        <v>63</v>
      </c>
      <c r="F383" s="3">
        <v>4.25</v>
      </c>
      <c r="G383" s="3">
        <v>5.74</v>
      </c>
      <c r="H383" s="3">
        <f>G383-F383</f>
      </c>
      <c r="I383" s="3">
        <f>H383*16.67%</f>
      </c>
      <c r="J383" s="3">
        <f>G383*7%</f>
      </c>
      <c r="K383" s="3">
        <f>J383*20%</f>
      </c>
      <c r="L383" s="3">
        <v>0</v>
      </c>
      <c r="M383" s="3">
        <f>L383*20%</f>
      </c>
      <c r="N383" s="3">
        <v>1</v>
      </c>
      <c r="O383" s="3">
        <f>K383+M383</f>
      </c>
      <c r="P383" s="3">
        <f>H383-I383-J383-K383-L383-M383-N383</f>
      </c>
      <c r="Q383" s="3">
        <f>(P383-Y383)/F383*100</f>
      </c>
      <c r="R383" s="3">
        <f>I383-O383</f>
      </c>
      <c r="S383" t="s">
        <v>1</v>
      </c>
      <c r="T383" t="s">
        <v>173</v>
      </c>
      <c r="Z383" s="3">
        <f>P383-Y383</f>
      </c>
      <c r="AA383" t="s">
        <v>1</v>
      </c>
      <c r="AB383" t="s">
        <v>1</v>
      </c>
    </row>
    <row r="384" spans="1:28" x14ac:dyDescent="0.25">
      <c r="A384" s="7">
        <v>46160.5</v>
      </c>
      <c r="B384" t="s">
        <v>2989</v>
      </c>
      <c r="C384" t="s">
        <v>1</v>
      </c>
      <c r="D384" s="8" t="s">
        <v>2990</v>
      </c>
      <c r="E384" t="s">
        <v>57</v>
      </c>
      <c r="F384" s="3">
        <v>63</v>
      </c>
      <c r="G384" s="3">
        <v>74.97</v>
      </c>
      <c r="H384" s="3">
        <f>G384-F384</f>
      </c>
      <c r="I384" s="3">
        <f>H384*16.67%</f>
      </c>
      <c r="J384" s="3">
        <f>G384*7%</f>
      </c>
      <c r="K384" s="3">
        <f>J384*20%</f>
      </c>
      <c r="L384" s="3">
        <v>0</v>
      </c>
      <c r="M384" s="3">
        <f>L384*20%</f>
      </c>
      <c r="N384" s="3">
        <v>1</v>
      </c>
      <c r="O384" s="3">
        <f>K384+M384</f>
      </c>
      <c r="P384" s="3">
        <f>H384-I384-J384-K384-L384-M384-N384</f>
      </c>
      <c r="Q384" s="3">
        <f>(P384-Y384)/F384*100</f>
      </c>
      <c r="R384" s="3">
        <f>I384-O384</f>
      </c>
      <c r="S384" t="s">
        <v>1</v>
      </c>
      <c r="T384" t="s">
        <v>93</v>
      </c>
      <c r="Z384" s="3">
        <f>P384-Y384</f>
      </c>
      <c r="AA384" t="s">
        <v>94</v>
      </c>
      <c r="AB384" t="s">
        <v>69</v>
      </c>
    </row>
    <row r="385" spans="1:28" x14ac:dyDescent="0.25">
      <c r="A385" s="7">
        <v>46160.5</v>
      </c>
      <c r="B385" t="s">
        <v>2991</v>
      </c>
      <c r="C385" t="s">
        <v>1</v>
      </c>
      <c r="D385" s="8" t="s">
        <v>2992</v>
      </c>
      <c r="E385" t="s">
        <v>57</v>
      </c>
      <c r="F385" s="3">
        <v>152</v>
      </c>
      <c r="G385" s="3">
        <v>194.56</v>
      </c>
      <c r="H385" s="3">
        <f>G385-F385</f>
      </c>
      <c r="I385" s="3">
        <f>H385*16.67%</f>
      </c>
      <c r="J385" s="3">
        <f>G385*7%</f>
      </c>
      <c r="K385" s="3">
        <f>J385*20%</f>
      </c>
      <c r="L385" s="3">
        <v>0</v>
      </c>
      <c r="M385" s="3">
        <f>L385*20%</f>
      </c>
      <c r="N385" s="3">
        <v>1</v>
      </c>
      <c r="O385" s="3">
        <f>K385+M385</f>
      </c>
      <c r="P385" s="3">
        <f>H385-I385-J385-K385-L385-M385-N385</f>
      </c>
      <c r="Q385" s="3">
        <f>(P385-Y385)/F385*100</f>
      </c>
      <c r="R385" s="3">
        <f>I385-O385</f>
      </c>
      <c r="S385" t="s">
        <v>1</v>
      </c>
      <c r="T385" t="s">
        <v>233</v>
      </c>
      <c r="Z385" s="3">
        <f>P385-Y385</f>
      </c>
      <c r="AA385" t="s">
        <v>65</v>
      </c>
      <c r="AB385" t="s">
        <v>84</v>
      </c>
    </row>
    <row r="386" spans="1:28" x14ac:dyDescent="0.25">
      <c r="A386" s="7">
        <v>46160.5</v>
      </c>
      <c r="B386" t="s">
        <v>2993</v>
      </c>
      <c r="C386" t="s">
        <v>1</v>
      </c>
      <c r="D386" s="8" t="s">
        <v>2994</v>
      </c>
      <c r="E386" t="s">
        <v>72</v>
      </c>
      <c r="F386" s="3">
        <v>494</v>
      </c>
      <c r="G386" s="3">
        <v>577.98</v>
      </c>
      <c r="H386" s="3">
        <f>G386-F386</f>
      </c>
      <c r="I386" s="3">
        <f>H386*16.67%</f>
      </c>
      <c r="J386" s="3">
        <f>G386*7%</f>
      </c>
      <c r="K386" s="3">
        <f>J386*20%</f>
      </c>
      <c r="L386" s="3">
        <v>0</v>
      </c>
      <c r="M386" s="3">
        <f>L386*20%</f>
      </c>
      <c r="N386" s="3">
        <v>1</v>
      </c>
      <c r="O386" s="3">
        <f>K386+M386</f>
      </c>
      <c r="P386" s="3">
        <f>H386-I386-J386-K386-L386-M386-N386</f>
      </c>
      <c r="Q386" s="3">
        <f>(P386-Y386)/F386*100</f>
      </c>
      <c r="R386" s="3">
        <f>I386-O386</f>
      </c>
      <c r="S386" t="s">
        <v>1</v>
      </c>
      <c r="T386" t="s">
        <v>68</v>
      </c>
      <c r="Z386" s="3">
        <f>P386-Y386</f>
      </c>
      <c r="AA386" t="s">
        <v>59</v>
      </c>
      <c r="AB386" t="s">
        <v>98</v>
      </c>
    </row>
    <row r="387" spans="1:28" x14ac:dyDescent="0.25">
      <c r="A387" s="7">
        <v>46159.5</v>
      </c>
      <c r="B387" t="s">
        <v>2995</v>
      </c>
      <c r="C387" t="s">
        <v>1</v>
      </c>
      <c r="D387" s="8" t="s">
        <v>2996</v>
      </c>
      <c r="E387" t="s">
        <v>57</v>
      </c>
      <c r="F387" s="3">
        <v>367</v>
      </c>
      <c r="G387" s="3">
        <v>517.47</v>
      </c>
      <c r="H387" s="3">
        <f>G387-F387</f>
      </c>
      <c r="I387" s="3">
        <f>H387*16.67%</f>
      </c>
      <c r="J387" s="3">
        <f>G387*7%</f>
      </c>
      <c r="K387" s="3">
        <f>J387*20%</f>
      </c>
      <c r="L387" s="3">
        <v>0</v>
      </c>
      <c r="M387" s="3">
        <f>L387*20%</f>
      </c>
      <c r="N387" s="3">
        <v>1</v>
      </c>
      <c r="O387" s="3">
        <f>K387+M387</f>
      </c>
      <c r="P387" s="3">
        <f>H387-I387-J387-K387-L387-M387-N387</f>
      </c>
      <c r="Q387" s="3">
        <f>(P387-Y387)/F387*100</f>
      </c>
      <c r="R387" s="3">
        <f>I387-O387</f>
      </c>
      <c r="S387" t="s">
        <v>1</v>
      </c>
      <c r="T387" t="s">
        <v>73</v>
      </c>
      <c r="Z387" s="3">
        <f>P387-Y387</f>
      </c>
      <c r="AA387" t="s">
        <v>59</v>
      </c>
      <c r="AB387" t="s">
        <v>84</v>
      </c>
    </row>
    <row r="388" spans="1:28" x14ac:dyDescent="0.25">
      <c r="A388" s="7">
        <v>46159.5</v>
      </c>
      <c r="B388" t="s">
        <v>2997</v>
      </c>
      <c r="C388" t="s">
        <v>1</v>
      </c>
      <c r="D388" s="8" t="s">
        <v>2998</v>
      </c>
      <c r="E388" t="s">
        <v>77</v>
      </c>
      <c r="F388" s="3">
        <v>160</v>
      </c>
      <c r="G388" s="3">
        <v>222.4</v>
      </c>
      <c r="H388" s="3">
        <f>G388-F388</f>
      </c>
      <c r="I388" s="3">
        <f>H388*16.67%</f>
      </c>
      <c r="J388" s="3">
        <f>G388*7%</f>
      </c>
      <c r="K388" s="3">
        <f>J388*20%</f>
      </c>
      <c r="L388" s="3">
        <v>0</v>
      </c>
      <c r="M388" s="3">
        <f>L388*20%</f>
      </c>
      <c r="N388" s="3">
        <v>1</v>
      </c>
      <c r="O388" s="3">
        <f>K388+M388</f>
      </c>
      <c r="P388" s="3">
        <f>H388-I388-J388-K388-L388-M388-N388</f>
      </c>
      <c r="Q388" s="3">
        <f>(P388-Y388)/F388*100</f>
      </c>
      <c r="R388" s="3">
        <f>I388-O388</f>
      </c>
      <c r="S388" t="s">
        <v>1</v>
      </c>
      <c r="T388" t="s">
        <v>233</v>
      </c>
      <c r="Z388" s="3">
        <f>P388-Y388</f>
      </c>
      <c r="AA388" t="s">
        <v>65</v>
      </c>
      <c r="AB388" t="s">
        <v>69</v>
      </c>
    </row>
    <row r="389" spans="1:28" x14ac:dyDescent="0.25">
      <c r="A389" s="7">
        <v>46159.5</v>
      </c>
      <c r="B389" t="s">
        <v>2999</v>
      </c>
      <c r="C389" t="s">
        <v>1</v>
      </c>
      <c r="D389" s="8" t="s">
        <v>3000</v>
      </c>
      <c r="E389" t="s">
        <v>72</v>
      </c>
      <c r="F389" s="3">
        <v>84</v>
      </c>
      <c r="G389" s="3">
        <v>105.84</v>
      </c>
      <c r="H389" s="3">
        <f>G389-F389</f>
      </c>
      <c r="I389" s="3">
        <f>H389*16.67%</f>
      </c>
      <c r="J389" s="3">
        <f>G389*7%</f>
      </c>
      <c r="K389" s="3">
        <f>J389*20%</f>
      </c>
      <c r="L389" s="3">
        <v>0</v>
      </c>
      <c r="M389" s="3">
        <f>L389*20%</f>
      </c>
      <c r="N389" s="3">
        <v>1</v>
      </c>
      <c r="O389" s="3">
        <f>K389+M389</f>
      </c>
      <c r="P389" s="3">
        <f>H389-I389-J389-K389-L389-M389-N389</f>
      </c>
      <c r="Q389" s="3">
        <f>(P389-Y389)/F389*100</f>
      </c>
      <c r="R389" s="3">
        <f>I389-O389</f>
      </c>
      <c r="S389" t="s">
        <v>1</v>
      </c>
      <c r="T389" t="s">
        <v>93</v>
      </c>
      <c r="Z389" s="3">
        <f>P389-Y389</f>
      </c>
      <c r="AA389" t="s">
        <v>94</v>
      </c>
      <c r="AB389" t="s">
        <v>84</v>
      </c>
    </row>
    <row r="390" spans="1:28" x14ac:dyDescent="0.25">
      <c r="A390" s="7">
        <v>46159.5</v>
      </c>
      <c r="B390" t="s">
        <v>3001</v>
      </c>
      <c r="C390" t="s">
        <v>1</v>
      </c>
      <c r="D390" s="8" t="s">
        <v>3002</v>
      </c>
      <c r="E390" t="s">
        <v>63</v>
      </c>
      <c r="F390" s="3">
        <v>512</v>
      </c>
      <c r="G390" s="3">
        <v>645.12</v>
      </c>
      <c r="H390" s="3">
        <f>G390-F390</f>
      </c>
      <c r="I390" s="3">
        <f>H390*16.67%</f>
      </c>
      <c r="J390" s="3">
        <f>G390*7%</f>
      </c>
      <c r="K390" s="3">
        <f>J390*20%</f>
      </c>
      <c r="L390" s="3">
        <v>0</v>
      </c>
      <c r="M390" s="3">
        <f>L390*20%</f>
      </c>
      <c r="N390" s="3">
        <v>1</v>
      </c>
      <c r="O390" s="3">
        <f>K390+M390</f>
      </c>
      <c r="P390" s="3">
        <f>H390-I390-J390-K390-L390-M390-N390</f>
      </c>
      <c r="Q390" s="3">
        <f>(P390-Y390)/F390*100</f>
      </c>
      <c r="R390" s="3">
        <f>I390-O390</f>
      </c>
      <c r="S390" t="s">
        <v>1</v>
      </c>
      <c r="T390" t="s">
        <v>68</v>
      </c>
      <c r="Z390" s="3">
        <f>P390-Y390</f>
      </c>
      <c r="AA390" t="s">
        <v>59</v>
      </c>
      <c r="AB390" t="s">
        <v>74</v>
      </c>
    </row>
    <row r="391" spans="1:28" x14ac:dyDescent="0.25">
      <c r="A391" s="7">
        <v>46159.5</v>
      </c>
      <c r="B391" t="s">
        <v>3003</v>
      </c>
      <c r="C391" t="s">
        <v>1</v>
      </c>
      <c r="D391" s="8" t="s">
        <v>3004</v>
      </c>
      <c r="E391" t="s">
        <v>77</v>
      </c>
      <c r="F391" s="3">
        <v>699</v>
      </c>
      <c r="G391" s="3">
        <v>894.72</v>
      </c>
      <c r="H391" s="3">
        <f>G391-F391</f>
      </c>
      <c r="I391" s="3">
        <f>H391*16.67%</f>
      </c>
      <c r="J391" s="3">
        <f>G391*7%</f>
      </c>
      <c r="K391" s="3">
        <f>J391*20%</f>
      </c>
      <c r="L391" s="3">
        <v>0</v>
      </c>
      <c r="M391" s="3">
        <f>L391*20%</f>
      </c>
      <c r="N391" s="3">
        <v>1</v>
      </c>
      <c r="O391" s="3">
        <f>K391+M391</f>
      </c>
      <c r="P391" s="3">
        <f>H391-I391-J391-K391-L391-M391-N391</f>
      </c>
      <c r="Q391" s="3">
        <f>(P391-Y391)/F391*100</f>
      </c>
      <c r="R391" s="3">
        <f>I391-O391</f>
      </c>
      <c r="S391" t="s">
        <v>1</v>
      </c>
      <c r="T391" t="s">
        <v>83</v>
      </c>
      <c r="Z391" s="3">
        <f>P391-Y391</f>
      </c>
      <c r="AA391" t="s">
        <v>59</v>
      </c>
      <c r="AB391" t="s">
        <v>69</v>
      </c>
    </row>
    <row r="392" spans="1:28" x14ac:dyDescent="0.25">
      <c r="A392" s="7">
        <v>46159.5</v>
      </c>
      <c r="B392" t="s">
        <v>3005</v>
      </c>
      <c r="C392" t="s">
        <v>181</v>
      </c>
      <c r="D392" s="8" t="s">
        <v>1</v>
      </c>
      <c r="E392" t="s">
        <v>72</v>
      </c>
      <c r="F392" s="3">
        <v>1.9</v>
      </c>
      <c r="G392" s="3">
        <v>2.58</v>
      </c>
      <c r="H392" s="3">
        <f>G392-F392</f>
      </c>
      <c r="I392" s="3">
        <f>H392*16.67%</f>
      </c>
      <c r="J392" s="3">
        <f>G392*7%</f>
      </c>
      <c r="K392" s="3">
        <f>J392*20%</f>
      </c>
      <c r="L392" s="3">
        <v>0</v>
      </c>
      <c r="M392" s="3">
        <f>L392*20%</f>
      </c>
      <c r="N392" s="3">
        <v>1</v>
      </c>
      <c r="O392" s="3">
        <f>K392+M392</f>
      </c>
      <c r="P392" s="3">
        <f>H392-I392-J392-K392-L392-M392-N392</f>
      </c>
      <c r="Q392" s="3">
        <f>(P392-Y392)/F392*100</f>
      </c>
      <c r="R392" s="3">
        <f>I392-O392</f>
      </c>
      <c r="S392" t="s">
        <v>1</v>
      </c>
      <c r="T392" t="s">
        <v>181</v>
      </c>
      <c r="Z392" s="3">
        <f>P392-Y392</f>
      </c>
      <c r="AA392" t="s">
        <v>1</v>
      </c>
      <c r="AB392" t="s">
        <v>1</v>
      </c>
    </row>
    <row r="393" spans="1:28" x14ac:dyDescent="0.25">
      <c r="A393" s="7">
        <v>46158.5</v>
      </c>
      <c r="B393" t="s">
        <v>3006</v>
      </c>
      <c r="C393" t="s">
        <v>1</v>
      </c>
      <c r="D393" s="8" t="s">
        <v>3007</v>
      </c>
      <c r="E393" t="s">
        <v>101</v>
      </c>
      <c r="F393" s="3">
        <v>151</v>
      </c>
      <c r="G393" s="3">
        <v>188.75</v>
      </c>
      <c r="H393" s="3">
        <f>G393-F393</f>
      </c>
      <c r="I393" s="3">
        <f>H393*16.67%</f>
      </c>
      <c r="J393" s="3">
        <f>G393*7%</f>
      </c>
      <c r="K393" s="3">
        <f>J393*20%</f>
      </c>
      <c r="L393" s="3">
        <v>0</v>
      </c>
      <c r="M393" s="3">
        <f>L393*20%</f>
      </c>
      <c r="N393" s="3">
        <v>1</v>
      </c>
      <c r="O393" s="3">
        <f>K393+M393</f>
      </c>
      <c r="P393" s="3">
        <f>H393-I393-J393-K393-L393-M393-N393</f>
      </c>
      <c r="Q393" s="3">
        <f>(P393-Y393)/F393*100</f>
      </c>
      <c r="R393" s="3">
        <f>I393-O393</f>
      </c>
      <c r="S393" t="s">
        <v>1</v>
      </c>
      <c r="T393" t="s">
        <v>233</v>
      </c>
      <c r="Z393" s="3">
        <f>P393-Y393</f>
      </c>
      <c r="AA393" t="s">
        <v>65</v>
      </c>
      <c r="AB393" t="s">
        <v>84</v>
      </c>
    </row>
    <row r="394" spans="1:28" x14ac:dyDescent="0.25">
      <c r="A394" s="7">
        <v>46158.5</v>
      </c>
      <c r="B394" t="s">
        <v>3008</v>
      </c>
      <c r="C394" t="s">
        <v>1</v>
      </c>
      <c r="D394" s="8" t="s">
        <v>3009</v>
      </c>
      <c r="E394" t="s">
        <v>77</v>
      </c>
      <c r="F394" s="3">
        <v>206</v>
      </c>
      <c r="G394" s="3">
        <v>263.68</v>
      </c>
      <c r="H394" s="3">
        <f>G394-F394</f>
      </c>
      <c r="I394" s="3">
        <f>H394*16.67%</f>
      </c>
      <c r="J394" s="3">
        <f>G394*7%</f>
      </c>
      <c r="K394" s="3">
        <f>J394*20%</f>
      </c>
      <c r="L394" s="3">
        <v>0</v>
      </c>
      <c r="M394" s="3">
        <f>L394*20%</f>
      </c>
      <c r="N394" s="3">
        <v>1</v>
      </c>
      <c r="O394" s="3">
        <f>K394+M394</f>
      </c>
      <c r="P394" s="3">
        <f>H394-I394-J394-K394-L394-M394-N394</f>
      </c>
      <c r="Q394" s="3">
        <f>(P394-Y394)/F394*100</f>
      </c>
      <c r="R394" s="3">
        <f>I394-O394</f>
      </c>
      <c r="S394" t="s">
        <v>1</v>
      </c>
      <c r="T394" t="s">
        <v>291</v>
      </c>
      <c r="Z394" s="3">
        <f>P394-Y394</f>
      </c>
      <c r="AA394" t="s">
        <v>125</v>
      </c>
      <c r="AB394" t="s">
        <v>98</v>
      </c>
    </row>
    <row r="395" spans="1:28" x14ac:dyDescent="0.25">
      <c r="A395" s="7">
        <v>46158.5</v>
      </c>
      <c r="B395" t="s">
        <v>3010</v>
      </c>
      <c r="C395" t="s">
        <v>176</v>
      </c>
      <c r="D395" s="8" t="s">
        <v>1</v>
      </c>
      <c r="E395" t="s">
        <v>77</v>
      </c>
      <c r="F395" s="3">
        <v>0.15</v>
      </c>
      <c r="G395" s="3">
        <v>0.2</v>
      </c>
      <c r="H395" s="3">
        <f>G395-F395</f>
      </c>
      <c r="I395" s="3">
        <f>H395*16.67%</f>
      </c>
      <c r="J395" s="3">
        <f>G395*7%</f>
      </c>
      <c r="K395" s="3">
        <f>J395*20%</f>
      </c>
      <c r="L395" s="3">
        <v>0</v>
      </c>
      <c r="M395" s="3">
        <f>L395*20%</f>
      </c>
      <c r="N395" s="3">
        <v>1</v>
      </c>
      <c r="O395" s="3">
        <f>K395+M395</f>
      </c>
      <c r="P395" s="3">
        <f>H395-I395-J395-K395-L395-M395-N395</f>
      </c>
      <c r="Q395" s="3">
        <f>(P395-Y395)/F395*100</f>
      </c>
      <c r="R395" s="3">
        <f>I395-O395</f>
      </c>
      <c r="S395" t="s">
        <v>1</v>
      </c>
      <c r="T395" t="s">
        <v>176</v>
      </c>
      <c r="Z395" s="3">
        <f>P395-Y395</f>
      </c>
      <c r="AA395" t="s">
        <v>1</v>
      </c>
      <c r="AB395" t="s">
        <v>1</v>
      </c>
    </row>
    <row r="396" spans="1:28" x14ac:dyDescent="0.25">
      <c r="A396" s="7">
        <v>46158.5</v>
      </c>
      <c r="B396" t="s">
        <v>3011</v>
      </c>
      <c r="C396" t="s">
        <v>253</v>
      </c>
      <c r="D396" s="8" t="s">
        <v>1</v>
      </c>
      <c r="E396" t="s">
        <v>57</v>
      </c>
      <c r="F396" s="3">
        <v>0.8</v>
      </c>
      <c r="G396" s="3">
        <v>1.14</v>
      </c>
      <c r="H396" s="3">
        <f>G396-F396</f>
      </c>
      <c r="I396" s="3">
        <f>H396*16.67%</f>
      </c>
      <c r="J396" s="3">
        <f>G396*7%</f>
      </c>
      <c r="K396" s="3">
        <f>J396*20%</f>
      </c>
      <c r="L396" s="3">
        <v>0</v>
      </c>
      <c r="M396" s="3">
        <f>L396*20%</f>
      </c>
      <c r="N396" s="3">
        <v>1</v>
      </c>
      <c r="O396" s="3">
        <f>K396+M396</f>
      </c>
      <c r="P396" s="3">
        <f>H396-I396-J396-K396-L396-M396-N396</f>
      </c>
      <c r="Q396" s="3">
        <f>(P396-Y396)/F396*100</f>
      </c>
      <c r="R396" s="3">
        <f>I396-O396</f>
      </c>
      <c r="S396" t="s">
        <v>1</v>
      </c>
      <c r="T396" t="s">
        <v>253</v>
      </c>
      <c r="Z396" s="3">
        <f>P396-Y396</f>
      </c>
      <c r="AA396" t="s">
        <v>1</v>
      </c>
      <c r="AB396" t="s">
        <v>1</v>
      </c>
    </row>
    <row r="397" spans="1:28" x14ac:dyDescent="0.25">
      <c r="A397" s="7">
        <v>46157.5</v>
      </c>
      <c r="B397" t="s">
        <v>3012</v>
      </c>
      <c r="C397" t="s">
        <v>1</v>
      </c>
      <c r="D397" s="8" t="s">
        <v>3013</v>
      </c>
      <c r="E397" t="s">
        <v>77</v>
      </c>
      <c r="F397" s="3">
        <v>110</v>
      </c>
      <c r="G397" s="3">
        <v>152.9</v>
      </c>
      <c r="H397" s="3">
        <f>G397-F397</f>
      </c>
      <c r="I397" s="3">
        <f>H397*16.67%</f>
      </c>
      <c r="J397" s="3">
        <f>G397*7%</f>
      </c>
      <c r="K397" s="3">
        <f>J397*20%</f>
      </c>
      <c r="L397" s="3">
        <v>0</v>
      </c>
      <c r="M397" s="3">
        <f>L397*20%</f>
      </c>
      <c r="N397" s="3">
        <v>1</v>
      </c>
      <c r="O397" s="3">
        <f>K397+M397</f>
      </c>
      <c r="P397" s="3">
        <f>H397-I397-J397-K397-L397-M397-N397</f>
      </c>
      <c r="Q397" s="3">
        <f>(P397-Y397)/F397*100</f>
      </c>
      <c r="R397" s="3">
        <f>I397-O397</f>
      </c>
      <c r="S397" t="s">
        <v>1</v>
      </c>
      <c r="T397" t="s">
        <v>90</v>
      </c>
      <c r="Z397" s="3">
        <f>P397-Y397</f>
      </c>
      <c r="AA397" t="s">
        <v>94</v>
      </c>
      <c r="AB397" t="s">
        <v>87</v>
      </c>
    </row>
    <row r="398" spans="1:28" x14ac:dyDescent="0.25">
      <c r="A398" s="7">
        <v>46157.5</v>
      </c>
      <c r="B398" t="s">
        <v>3014</v>
      </c>
      <c r="C398" t="s">
        <v>1</v>
      </c>
      <c r="D398" s="8" t="s">
        <v>3015</v>
      </c>
      <c r="E398" t="s">
        <v>63</v>
      </c>
      <c r="F398" s="3">
        <v>275</v>
      </c>
      <c r="G398" s="3">
        <v>319</v>
      </c>
      <c r="H398" s="3">
        <f>G398-F398</f>
      </c>
      <c r="I398" s="3">
        <f>H398*16.67%</f>
      </c>
      <c r="J398" s="3">
        <f>G398*7%</f>
      </c>
      <c r="K398" s="3">
        <f>J398*20%</f>
      </c>
      <c r="L398" s="3">
        <v>0</v>
      </c>
      <c r="M398" s="3">
        <f>L398*20%</f>
      </c>
      <c r="N398" s="3">
        <v>1</v>
      </c>
      <c r="O398" s="3">
        <f>K398+M398</f>
      </c>
      <c r="P398" s="3">
        <f>H398-I398-J398-K398-L398-M398-N398</f>
      </c>
      <c r="Q398" s="3">
        <f>(P398-Y398)/F398*100</f>
      </c>
      <c r="R398" s="3">
        <f>I398-O398</f>
      </c>
      <c r="S398" t="s">
        <v>1</v>
      </c>
      <c r="T398" t="s">
        <v>130</v>
      </c>
      <c r="Z398" s="3">
        <f>P398-Y398</f>
      </c>
      <c r="AA398" t="s">
        <v>65</v>
      </c>
      <c r="AB398" t="s">
        <v>74</v>
      </c>
    </row>
    <row r="399" spans="1:28" x14ac:dyDescent="0.25">
      <c r="A399" s="7">
        <v>46157.5</v>
      </c>
      <c r="B399" t="s">
        <v>3016</v>
      </c>
      <c r="C399" t="s">
        <v>176</v>
      </c>
      <c r="D399" s="8" t="s">
        <v>1</v>
      </c>
      <c r="E399" t="s">
        <v>77</v>
      </c>
      <c r="F399" s="3">
        <v>0.15</v>
      </c>
      <c r="G399" s="3">
        <v>0.21</v>
      </c>
      <c r="H399" s="3">
        <f>G399-F399</f>
      </c>
      <c r="I399" s="3">
        <f>H399*16.67%</f>
      </c>
      <c r="J399" s="3">
        <f>G399*7%</f>
      </c>
      <c r="K399" s="3">
        <f>J399*20%</f>
      </c>
      <c r="L399" s="3">
        <v>0</v>
      </c>
      <c r="M399" s="3">
        <f>L399*20%</f>
      </c>
      <c r="N399" s="3">
        <v>1</v>
      </c>
      <c r="O399" s="3">
        <f>K399+M399</f>
      </c>
      <c r="P399" s="3">
        <f>H399-I399-J399-K399-L399-M399-N399</f>
      </c>
      <c r="Q399" s="3">
        <f>(P399-Y399)/F399*100</f>
      </c>
      <c r="R399" s="3">
        <f>I399-O399</f>
      </c>
      <c r="S399" t="s">
        <v>1</v>
      </c>
      <c r="T399" t="s">
        <v>176</v>
      </c>
      <c r="Z399" s="3">
        <f>P399-Y399</f>
      </c>
      <c r="AA399" t="s">
        <v>1</v>
      </c>
      <c r="AB399" t="s">
        <v>1</v>
      </c>
    </row>
    <row r="400" spans="1:28" x14ac:dyDescent="0.25">
      <c r="A400" s="7">
        <v>46157.5</v>
      </c>
      <c r="B400" t="s">
        <v>3017</v>
      </c>
      <c r="C400" t="s">
        <v>181</v>
      </c>
      <c r="D400" s="8" t="s">
        <v>1</v>
      </c>
      <c r="E400" t="s">
        <v>72</v>
      </c>
      <c r="F400" s="3">
        <v>1.9</v>
      </c>
      <c r="G400" s="3">
        <v>2.58</v>
      </c>
      <c r="H400" s="3">
        <f>G400-F400</f>
      </c>
      <c r="I400" s="3">
        <f>H400*16.67%</f>
      </c>
      <c r="J400" s="3">
        <f>G400*7%</f>
      </c>
      <c r="K400" s="3">
        <f>J400*20%</f>
      </c>
      <c r="L400" s="3">
        <v>0</v>
      </c>
      <c r="M400" s="3">
        <f>L400*20%</f>
      </c>
      <c r="N400" s="3">
        <v>1</v>
      </c>
      <c r="O400" s="3">
        <f>K400+M400</f>
      </c>
      <c r="P400" s="3">
        <f>H400-I400-J400-K400-L400-M400-N400</f>
      </c>
      <c r="Q400" s="3">
        <f>(P400-Y400)/F400*100</f>
      </c>
      <c r="R400" s="3">
        <f>I400-O400</f>
      </c>
      <c r="S400" t="s">
        <v>1</v>
      </c>
      <c r="T400" t="s">
        <v>181</v>
      </c>
      <c r="Z400" s="3">
        <f>P400-Y400</f>
      </c>
      <c r="AA400" t="s">
        <v>1</v>
      </c>
      <c r="AB400" t="s">
        <v>1</v>
      </c>
    </row>
    <row r="401" spans="1:28" x14ac:dyDescent="0.25">
      <c r="A401" s="7">
        <v>46155.5</v>
      </c>
      <c r="B401" t="s">
        <v>3018</v>
      </c>
      <c r="C401" t="s">
        <v>1</v>
      </c>
      <c r="D401" s="8" t="s">
        <v>3019</v>
      </c>
      <c r="E401" t="s">
        <v>63</v>
      </c>
      <c r="F401" s="3">
        <v>152</v>
      </c>
      <c r="G401" s="3">
        <v>176.32</v>
      </c>
      <c r="H401" s="3">
        <f>G401-F401</f>
      </c>
      <c r="I401" s="3">
        <f>H401*16.67%</f>
      </c>
      <c r="J401" s="3">
        <f>G401*7%</f>
      </c>
      <c r="K401" s="3">
        <f>J401*20%</f>
      </c>
      <c r="L401" s="3">
        <v>0</v>
      </c>
      <c r="M401" s="3">
        <f>L401*20%</f>
      </c>
      <c r="N401" s="3">
        <v>1</v>
      </c>
      <c r="O401" s="3">
        <f>K401+M401</f>
      </c>
      <c r="P401" s="3">
        <f>H401-I401-J401-K401-L401-M401-N401</f>
      </c>
      <c r="Q401" s="3">
        <f>(P401-Y401)/F401*100</f>
      </c>
      <c r="R401" s="3">
        <f>I401-O401</f>
      </c>
      <c r="S401" t="s">
        <v>1</v>
      </c>
      <c r="T401" t="s">
        <v>291</v>
      </c>
      <c r="Z401" s="3">
        <f>P401-Y401</f>
      </c>
      <c r="AA401" t="s">
        <v>125</v>
      </c>
      <c r="AB401" t="s">
        <v>60</v>
      </c>
    </row>
    <row r="402" spans="1:28" x14ac:dyDescent="0.25">
      <c r="A402" s="7">
        <v>46155.5</v>
      </c>
      <c r="B402" t="s">
        <v>3020</v>
      </c>
      <c r="C402" t="s">
        <v>181</v>
      </c>
      <c r="D402" s="8" t="s">
        <v>1</v>
      </c>
      <c r="E402" t="s">
        <v>72</v>
      </c>
      <c r="F402" s="3">
        <v>1.9</v>
      </c>
      <c r="G402" s="3">
        <v>2.38</v>
      </c>
      <c r="H402" s="3">
        <f>G402-F402</f>
      </c>
      <c r="I402" s="3">
        <f>H402*16.67%</f>
      </c>
      <c r="J402" s="3">
        <f>G402*7%</f>
      </c>
      <c r="K402" s="3">
        <f>J402*20%</f>
      </c>
      <c r="L402" s="3">
        <v>0</v>
      </c>
      <c r="M402" s="3">
        <f>L402*20%</f>
      </c>
      <c r="N402" s="3">
        <v>1</v>
      </c>
      <c r="O402" s="3">
        <f>K402+M402</f>
      </c>
      <c r="P402" s="3">
        <f>H402-I402-J402-K402-L402-M402-N402</f>
      </c>
      <c r="Q402" s="3">
        <f>(P402-Y402)/F402*100</f>
      </c>
      <c r="R402" s="3">
        <f>I402-O402</f>
      </c>
      <c r="S402" t="s">
        <v>1</v>
      </c>
      <c r="T402" t="s">
        <v>181</v>
      </c>
      <c r="Z402" s="3">
        <f>P402-Y402</f>
      </c>
      <c r="AA402" t="s">
        <v>1</v>
      </c>
      <c r="AB402" t="s">
        <v>1</v>
      </c>
    </row>
    <row r="403" spans="1:28" x14ac:dyDescent="0.25">
      <c r="A403" s="7">
        <v>46154.5</v>
      </c>
      <c r="B403" t="s">
        <v>3021</v>
      </c>
      <c r="C403" t="s">
        <v>1</v>
      </c>
      <c r="D403" s="8" t="s">
        <v>3022</v>
      </c>
      <c r="E403" t="s">
        <v>101</v>
      </c>
      <c r="F403" s="3">
        <v>112</v>
      </c>
      <c r="G403" s="3">
        <v>160.16</v>
      </c>
      <c r="H403" s="3">
        <f>G403-F403</f>
      </c>
      <c r="I403" s="3">
        <f>H403*16.67%</f>
      </c>
      <c r="J403" s="3">
        <f>G403*7%</f>
      </c>
      <c r="K403" s="3">
        <f>J403*20%</f>
      </c>
      <c r="L403" s="3">
        <v>0</v>
      </c>
      <c r="M403" s="3">
        <f>L403*20%</f>
      </c>
      <c r="N403" s="3">
        <v>1</v>
      </c>
      <c r="O403" s="3">
        <f>K403+M403</f>
      </c>
      <c r="P403" s="3">
        <f>H403-I403-J403-K403-L403-M403-N403</f>
      </c>
      <c r="Q403" s="3">
        <f>(P403-Y403)/F403*100</f>
      </c>
      <c r="R403" s="3">
        <f>I403-O403</f>
      </c>
      <c r="S403" t="s">
        <v>1</v>
      </c>
      <c r="T403" t="s">
        <v>90</v>
      </c>
      <c r="Z403" s="3">
        <f>P403-Y403</f>
      </c>
      <c r="AA403" t="s">
        <v>65</v>
      </c>
      <c r="AB403" t="s">
        <v>87</v>
      </c>
    </row>
    <row r="404" spans="1:28" x14ac:dyDescent="0.25">
      <c r="A404" s="7">
        <v>46154.5</v>
      </c>
      <c r="B404" t="s">
        <v>3023</v>
      </c>
      <c r="C404" t="s">
        <v>1</v>
      </c>
      <c r="D404" s="8" t="s">
        <v>3024</v>
      </c>
      <c r="E404" t="s">
        <v>57</v>
      </c>
      <c r="F404" s="3">
        <v>152</v>
      </c>
      <c r="G404" s="3">
        <v>193.04</v>
      </c>
      <c r="H404" s="3">
        <f>G404-F404</f>
      </c>
      <c r="I404" s="3">
        <f>H404*16.67%</f>
      </c>
      <c r="J404" s="3">
        <f>G404*7%</f>
      </c>
      <c r="K404" s="3">
        <f>J404*20%</f>
      </c>
      <c r="L404" s="3">
        <v>0</v>
      </c>
      <c r="M404" s="3">
        <f>L404*20%</f>
      </c>
      <c r="N404" s="3">
        <v>1</v>
      </c>
      <c r="O404" s="3">
        <f>K404+M404</f>
      </c>
      <c r="P404" s="3">
        <f>H404-I404-J404-K404-L404-M404-N404</f>
      </c>
      <c r="Q404" s="3">
        <f>(P404-Y404)/F404*100</f>
      </c>
      <c r="R404" s="3">
        <f>I404-O404</f>
      </c>
      <c r="S404" t="s">
        <v>1</v>
      </c>
      <c r="T404" t="s">
        <v>291</v>
      </c>
      <c r="Z404" s="3">
        <f>P404-Y404</f>
      </c>
      <c r="AA404" t="s">
        <v>125</v>
      </c>
      <c r="AB404" t="s">
        <v>60</v>
      </c>
    </row>
    <row r="405" spans="1:28" x14ac:dyDescent="0.25">
      <c r="A405" s="7">
        <v>46152.5</v>
      </c>
      <c r="B405" t="s">
        <v>3025</v>
      </c>
      <c r="C405" t="s">
        <v>1</v>
      </c>
      <c r="D405" s="8" t="s">
        <v>3026</v>
      </c>
      <c r="E405" t="s">
        <v>77</v>
      </c>
      <c r="F405" s="3">
        <v>492</v>
      </c>
      <c r="G405" s="3">
        <v>664.2</v>
      </c>
      <c r="H405" s="3">
        <f>G405-F405</f>
      </c>
      <c r="I405" s="3">
        <f>H405*16.67%</f>
      </c>
      <c r="J405" s="3">
        <f>G405*7%</f>
      </c>
      <c r="K405" s="3">
        <f>J405*20%</f>
      </c>
      <c r="L405" s="3">
        <v>0</v>
      </c>
      <c r="M405" s="3">
        <f>L405*20%</f>
      </c>
      <c r="N405" s="3">
        <v>1</v>
      </c>
      <c r="O405" s="3">
        <f>K405+M405</f>
      </c>
      <c r="P405" s="3">
        <f>H405-I405-J405-K405-L405-M405-N405</f>
      </c>
      <c r="Q405" s="3">
        <f>(P405-Y405)/F405*100</f>
      </c>
      <c r="R405" s="3">
        <f>I405-O405</f>
      </c>
      <c r="S405" t="s">
        <v>1</v>
      </c>
      <c r="T405" t="s">
        <v>68</v>
      </c>
      <c r="Z405" s="3">
        <f>P405-Y405</f>
      </c>
      <c r="AA405" t="s">
        <v>59</v>
      </c>
      <c r="AB405" t="s">
        <v>104</v>
      </c>
    </row>
    <row r="406" spans="1:28" x14ac:dyDescent="0.25">
      <c r="A406" s="7">
        <v>46151.5</v>
      </c>
      <c r="B406" t="s">
        <v>3027</v>
      </c>
      <c r="C406" t="s">
        <v>1</v>
      </c>
      <c r="D406" s="8" t="s">
        <v>3028</v>
      </c>
      <c r="E406" t="s">
        <v>72</v>
      </c>
      <c r="F406" s="3">
        <v>365</v>
      </c>
      <c r="G406" s="3">
        <v>419.75</v>
      </c>
      <c r="H406" s="3">
        <f>G406-F406</f>
      </c>
      <c r="I406" s="3">
        <f>H406*16.67%</f>
      </c>
      <c r="J406" s="3">
        <f>G406*7%</f>
      </c>
      <c r="K406" s="3">
        <f>J406*20%</f>
      </c>
      <c r="L406" s="3">
        <v>0</v>
      </c>
      <c r="M406" s="3">
        <f>L406*20%</f>
      </c>
      <c r="N406" s="3">
        <v>1</v>
      </c>
      <c r="O406" s="3">
        <f>K406+M406</f>
      </c>
      <c r="P406" s="3">
        <f>H406-I406-J406-K406-L406-M406-N406</f>
      </c>
      <c r="Q406" s="3">
        <f>(P406-Y406)/F406*100</f>
      </c>
      <c r="R406" s="3">
        <f>I406-O406</f>
      </c>
      <c r="S406" t="s">
        <v>1</v>
      </c>
      <c r="T406" t="s">
        <v>138</v>
      </c>
      <c r="Z406" s="3">
        <f>P406-Y406</f>
      </c>
      <c r="AA406" t="s">
        <v>59</v>
      </c>
      <c r="AB406" t="s">
        <v>84</v>
      </c>
    </row>
    <row r="407" spans="1:28" x14ac:dyDescent="0.25">
      <c r="A407" s="7">
        <v>46151.5</v>
      </c>
      <c r="B407" t="s">
        <v>3029</v>
      </c>
      <c r="C407" t="s">
        <v>1</v>
      </c>
      <c r="D407" s="8" t="s">
        <v>3030</v>
      </c>
      <c r="E407" t="s">
        <v>77</v>
      </c>
      <c r="F407" s="3">
        <v>109</v>
      </c>
      <c r="G407" s="3">
        <v>135.16</v>
      </c>
      <c r="H407" s="3">
        <f>G407-F407</f>
      </c>
      <c r="I407" s="3">
        <f>H407*16.67%</f>
      </c>
      <c r="J407" s="3">
        <f>G407*7%</f>
      </c>
      <c r="K407" s="3">
        <f>J407*20%</f>
      </c>
      <c r="L407" s="3">
        <v>0</v>
      </c>
      <c r="M407" s="3">
        <f>L407*20%</f>
      </c>
      <c r="N407" s="3">
        <v>1</v>
      </c>
      <c r="O407" s="3">
        <f>K407+M407</f>
      </c>
      <c r="P407" s="3">
        <f>H407-I407-J407-K407-L407-M407-N407</f>
      </c>
      <c r="Q407" s="3">
        <f>(P407-Y407)/F407*100</f>
      </c>
      <c r="R407" s="3">
        <f>I407-O407</f>
      </c>
      <c r="S407" t="s">
        <v>1</v>
      </c>
      <c r="T407" t="s">
        <v>133</v>
      </c>
      <c r="Z407" s="3">
        <f>P407-Y407</f>
      </c>
      <c r="AA407" t="s">
        <v>94</v>
      </c>
      <c r="AB407" t="s">
        <v>69</v>
      </c>
    </row>
    <row r="408" spans="1:28" x14ac:dyDescent="0.25">
      <c r="A408" s="7">
        <v>46151.5</v>
      </c>
      <c r="B408" t="s">
        <v>3031</v>
      </c>
      <c r="C408" t="s">
        <v>253</v>
      </c>
      <c r="D408" s="8" t="s">
        <v>1</v>
      </c>
      <c r="E408" t="s">
        <v>57</v>
      </c>
      <c r="F408" s="3">
        <v>0.8</v>
      </c>
      <c r="G408" s="3">
        <v>1.09</v>
      </c>
      <c r="H408" s="3">
        <f>G408-F408</f>
      </c>
      <c r="I408" s="3">
        <f>H408*16.67%</f>
      </c>
      <c r="J408" s="3">
        <f>G408*7%</f>
      </c>
      <c r="K408" s="3">
        <f>J408*20%</f>
      </c>
      <c r="L408" s="3">
        <v>0</v>
      </c>
      <c r="M408" s="3">
        <f>L408*20%</f>
      </c>
      <c r="N408" s="3">
        <v>1</v>
      </c>
      <c r="O408" s="3">
        <f>K408+M408</f>
      </c>
      <c r="P408" s="3">
        <f>H408-I408-J408-K408-L408-M408-N408</f>
      </c>
      <c r="Q408" s="3">
        <f>(P408-Y408)/F408*100</f>
      </c>
      <c r="R408" s="3">
        <f>I408-O408</f>
      </c>
      <c r="S408" t="s">
        <v>1</v>
      </c>
      <c r="T408" t="s">
        <v>253</v>
      </c>
      <c r="Z408" s="3">
        <f>P408-Y408</f>
      </c>
      <c r="AA408" t="s">
        <v>1</v>
      </c>
      <c r="AB408" t="s">
        <v>1</v>
      </c>
    </row>
    <row r="409" spans="1:28" x14ac:dyDescent="0.25">
      <c r="A409" s="7">
        <v>46150.5</v>
      </c>
      <c r="B409" t="s">
        <v>3032</v>
      </c>
      <c r="C409" t="s">
        <v>1</v>
      </c>
      <c r="D409" s="8" t="s">
        <v>3033</v>
      </c>
      <c r="E409" t="s">
        <v>77</v>
      </c>
      <c r="F409" s="3">
        <v>133</v>
      </c>
      <c r="G409" s="3">
        <v>154.28</v>
      </c>
      <c r="H409" s="3">
        <f>G409-F409</f>
      </c>
      <c r="I409" s="3">
        <f>H409*16.67%</f>
      </c>
      <c r="J409" s="3">
        <f>G409*7%</f>
      </c>
      <c r="K409" s="3">
        <f>J409*20%</f>
      </c>
      <c r="L409" s="3">
        <v>0</v>
      </c>
      <c r="M409" s="3">
        <f>L409*20%</f>
      </c>
      <c r="N409" s="3">
        <v>1</v>
      </c>
      <c r="O409" s="3">
        <f>K409+M409</f>
      </c>
      <c r="P409" s="3">
        <f>H409-I409-J409-K409-L409-M409-N409</f>
      </c>
      <c r="Q409" s="3">
        <f>(P409-Y409)/F409*100</f>
      </c>
      <c r="R409" s="3">
        <f>I409-O409</f>
      </c>
      <c r="S409" t="s">
        <v>1</v>
      </c>
      <c r="T409" t="s">
        <v>133</v>
      </c>
      <c r="Z409" s="3">
        <f>P409-Y409</f>
      </c>
      <c r="AA409" t="s">
        <v>65</v>
      </c>
      <c r="AB409" t="s">
        <v>60</v>
      </c>
    </row>
    <row r="410" spans="1:28" x14ac:dyDescent="0.25">
      <c r="A410" s="7">
        <v>46150.5</v>
      </c>
      <c r="B410" t="s">
        <v>3034</v>
      </c>
      <c r="C410" t="s">
        <v>1</v>
      </c>
      <c r="D410" s="8" t="s">
        <v>3035</v>
      </c>
      <c r="E410" t="s">
        <v>101</v>
      </c>
      <c r="F410" s="3">
        <v>379</v>
      </c>
      <c r="G410" s="3">
        <v>447.22</v>
      </c>
      <c r="H410" s="3">
        <f>G410-F410</f>
      </c>
      <c r="I410" s="3">
        <f>H410*16.67%</f>
      </c>
      <c r="J410" s="3">
        <f>G410*7%</f>
      </c>
      <c r="K410" s="3">
        <f>J410*20%</f>
      </c>
      <c r="L410" s="3">
        <v>0</v>
      </c>
      <c r="M410" s="3">
        <f>L410*20%</f>
      </c>
      <c r="N410" s="3">
        <v>1</v>
      </c>
      <c r="O410" s="3">
        <f>K410+M410</f>
      </c>
      <c r="P410" s="3">
        <f>H410-I410-J410-K410-L410-M410-N410</f>
      </c>
      <c r="Q410" s="3">
        <f>(P410-Y410)/F410*100</f>
      </c>
      <c r="R410" s="3">
        <f>I410-O410</f>
      </c>
      <c r="S410" t="s">
        <v>1</v>
      </c>
      <c r="T410" t="s">
        <v>73</v>
      </c>
      <c r="Z410" s="3">
        <f>P410-Y410</f>
      </c>
      <c r="AA410" t="s">
        <v>59</v>
      </c>
      <c r="AB410" t="s">
        <v>69</v>
      </c>
    </row>
    <row r="411" spans="1:28" x14ac:dyDescent="0.25">
      <c r="A411" s="7">
        <v>46150.5</v>
      </c>
      <c r="B411" t="s">
        <v>3036</v>
      </c>
      <c r="C411" t="s">
        <v>188</v>
      </c>
      <c r="D411" s="8" t="s">
        <v>1</v>
      </c>
      <c r="E411" t="s">
        <v>63</v>
      </c>
      <c r="F411" s="3">
        <v>3.5</v>
      </c>
      <c r="G411" s="3">
        <v>4.52</v>
      </c>
      <c r="H411" s="3">
        <f>G411-F411</f>
      </c>
      <c r="I411" s="3">
        <f>H411*16.67%</f>
      </c>
      <c r="J411" s="3">
        <f>G411*7%</f>
      </c>
      <c r="K411" s="3">
        <f>J411*20%</f>
      </c>
      <c r="L411" s="3">
        <v>0</v>
      </c>
      <c r="M411" s="3">
        <f>L411*20%</f>
      </c>
      <c r="N411" s="3">
        <v>1</v>
      </c>
      <c r="O411" s="3">
        <f>K411+M411</f>
      </c>
      <c r="P411" s="3">
        <f>H411-I411-J411-K411-L411-M411-N411</f>
      </c>
      <c r="Q411" s="3">
        <f>(P411-Y411)/F411*100</f>
      </c>
      <c r="R411" s="3">
        <f>I411-O411</f>
      </c>
      <c r="S411" t="s">
        <v>1</v>
      </c>
      <c r="T411" t="s">
        <v>188</v>
      </c>
      <c r="Z411" s="3">
        <f>P411-Y411</f>
      </c>
      <c r="AA411" t="s">
        <v>1</v>
      </c>
      <c r="AB411" t="s">
        <v>1</v>
      </c>
    </row>
    <row r="412" spans="1:28" x14ac:dyDescent="0.25">
      <c r="A412" s="7">
        <v>46150.5</v>
      </c>
      <c r="B412" t="s">
        <v>3037</v>
      </c>
      <c r="C412" t="s">
        <v>176</v>
      </c>
      <c r="D412" s="8" t="s">
        <v>1</v>
      </c>
      <c r="E412" t="s">
        <v>77</v>
      </c>
      <c r="F412" s="3">
        <v>0.15</v>
      </c>
      <c r="G412" s="3">
        <v>0.21</v>
      </c>
      <c r="H412" s="3">
        <f>G412-F412</f>
      </c>
      <c r="I412" s="3">
        <f>H412*16.67%</f>
      </c>
      <c r="J412" s="3">
        <f>G412*7%</f>
      </c>
      <c r="K412" s="3">
        <f>J412*20%</f>
      </c>
      <c r="L412" s="3">
        <v>0</v>
      </c>
      <c r="M412" s="3">
        <f>L412*20%</f>
      </c>
      <c r="N412" s="3">
        <v>1</v>
      </c>
      <c r="O412" s="3">
        <f>K412+M412</f>
      </c>
      <c r="P412" s="3">
        <f>H412-I412-J412-K412-L412-M412-N412</f>
      </c>
      <c r="Q412" s="3">
        <f>(P412-Y412)/F412*100</f>
      </c>
      <c r="R412" s="3">
        <f>I412-O412</f>
      </c>
      <c r="S412" t="s">
        <v>1</v>
      </c>
      <c r="T412" t="s">
        <v>176</v>
      </c>
      <c r="Z412" s="3">
        <f>P412-Y412</f>
      </c>
      <c r="AA412" t="s">
        <v>1</v>
      </c>
      <c r="AB412" t="s">
        <v>1</v>
      </c>
    </row>
    <row r="413" spans="1:28" x14ac:dyDescent="0.25">
      <c r="A413" s="7">
        <v>46149.5</v>
      </c>
      <c r="B413" t="s">
        <v>3038</v>
      </c>
      <c r="C413" t="s">
        <v>1</v>
      </c>
      <c r="D413" s="8" t="s">
        <v>3039</v>
      </c>
      <c r="E413" t="s">
        <v>72</v>
      </c>
      <c r="F413" s="3">
        <v>749</v>
      </c>
      <c r="G413" s="3">
        <v>1026.13</v>
      </c>
      <c r="H413" s="3">
        <f>G413-F413</f>
      </c>
      <c r="I413" s="3">
        <f>H413*16.67%</f>
      </c>
      <c r="J413" s="3">
        <f>G413*7%</f>
      </c>
      <c r="K413" s="3">
        <f>J413*20%</f>
      </c>
      <c r="L413" s="3">
        <v>0</v>
      </c>
      <c r="M413" s="3">
        <f>L413*20%</f>
      </c>
      <c r="N413" s="3">
        <v>1</v>
      </c>
      <c r="O413" s="3">
        <f>K413+M413</f>
      </c>
      <c r="P413" s="3">
        <f>H413-I413-J413-K413-L413-M413-N413</f>
      </c>
      <c r="Q413" s="3">
        <f>(P413-Y413)/F413*100</f>
      </c>
      <c r="R413" s="3">
        <f>I413-O413</f>
      </c>
      <c r="S413" t="s">
        <v>1</v>
      </c>
      <c r="T413" t="s">
        <v>83</v>
      </c>
      <c r="Z413" s="3">
        <f>P413-Y413</f>
      </c>
      <c r="AA413" t="s">
        <v>59</v>
      </c>
      <c r="AB413" t="s">
        <v>60</v>
      </c>
    </row>
    <row r="414" spans="1:28" x14ac:dyDescent="0.25">
      <c r="A414" s="7">
        <v>46149.5</v>
      </c>
      <c r="B414" t="s">
        <v>3040</v>
      </c>
      <c r="C414" t="s">
        <v>1</v>
      </c>
      <c r="D414" s="8" t="s">
        <v>3041</v>
      </c>
      <c r="E414" t="s">
        <v>72</v>
      </c>
      <c r="F414" s="3">
        <v>73</v>
      </c>
      <c r="G414" s="3">
        <v>105.85</v>
      </c>
      <c r="H414" s="3">
        <f>G414-F414</f>
      </c>
      <c r="I414" s="3">
        <f>H414*16.67%</f>
      </c>
      <c r="J414" s="3">
        <f>G414*7%</f>
      </c>
      <c r="K414" s="3">
        <f>J414*20%</f>
      </c>
      <c r="L414" s="3">
        <v>0</v>
      </c>
      <c r="M414" s="3">
        <f>L414*20%</f>
      </c>
      <c r="N414" s="3">
        <v>1</v>
      </c>
      <c r="O414" s="3">
        <f>K414+M414</f>
      </c>
      <c r="P414" s="3">
        <f>H414-I414-J414-K414-L414-M414-N414</f>
      </c>
      <c r="Q414" s="3">
        <f>(P414-Y414)/F414*100</f>
      </c>
      <c r="R414" s="3">
        <f>I414-O414</f>
      </c>
      <c r="S414" t="s">
        <v>1</v>
      </c>
      <c r="T414" t="s">
        <v>93</v>
      </c>
      <c r="Z414" s="3">
        <f>P414-Y414</f>
      </c>
      <c r="AA414" t="s">
        <v>94</v>
      </c>
      <c r="AB414" t="s">
        <v>98</v>
      </c>
    </row>
    <row r="415" spans="1:28" x14ac:dyDescent="0.25">
      <c r="A415" s="7">
        <v>46149.5</v>
      </c>
      <c r="B415" t="s">
        <v>3042</v>
      </c>
      <c r="C415" t="s">
        <v>253</v>
      </c>
      <c r="D415" s="8" t="s">
        <v>1</v>
      </c>
      <c r="E415" t="s">
        <v>57</v>
      </c>
      <c r="F415" s="3">
        <v>0.8</v>
      </c>
      <c r="G415" s="3">
        <v>0.92</v>
      </c>
      <c r="H415" s="3">
        <f>G415-F415</f>
      </c>
      <c r="I415" s="3">
        <f>H415*16.67%</f>
      </c>
      <c r="J415" s="3">
        <f>G415*7%</f>
      </c>
      <c r="K415" s="3">
        <f>J415*20%</f>
      </c>
      <c r="L415" s="3">
        <v>0</v>
      </c>
      <c r="M415" s="3">
        <f>L415*20%</f>
      </c>
      <c r="N415" s="3">
        <v>1</v>
      </c>
      <c r="O415" s="3">
        <f>K415+M415</f>
      </c>
      <c r="P415" s="3">
        <f>H415-I415-J415-K415-L415-M415-N415</f>
      </c>
      <c r="Q415" s="3">
        <f>(P415-Y415)/F415*100</f>
      </c>
      <c r="R415" s="3">
        <f>I415-O415</f>
      </c>
      <c r="S415" t="s">
        <v>1</v>
      </c>
      <c r="T415" t="s">
        <v>253</v>
      </c>
      <c r="Z415" s="3">
        <f>P415-Y415</f>
      </c>
      <c r="AA415" t="s">
        <v>1</v>
      </c>
      <c r="AB415" t="s">
        <v>1</v>
      </c>
    </row>
    <row r="416" spans="1:28" x14ac:dyDescent="0.25">
      <c r="A416" s="7">
        <v>46148.5</v>
      </c>
      <c r="B416" t="s">
        <v>3043</v>
      </c>
      <c r="C416" t="s">
        <v>1</v>
      </c>
      <c r="D416" s="8" t="s">
        <v>3044</v>
      </c>
      <c r="E416" t="s">
        <v>57</v>
      </c>
      <c r="F416" s="3">
        <v>224</v>
      </c>
      <c r="G416" s="3">
        <v>259.84</v>
      </c>
      <c r="H416" s="3">
        <f>G416-F416</f>
      </c>
      <c r="I416" s="3">
        <f>H416*16.67%</f>
      </c>
      <c r="J416" s="3">
        <f>G416*7%</f>
      </c>
      <c r="K416" s="3">
        <f>J416*20%</f>
      </c>
      <c r="L416" s="3">
        <v>0</v>
      </c>
      <c r="M416" s="3">
        <f>L416*20%</f>
      </c>
      <c r="N416" s="3">
        <v>1</v>
      </c>
      <c r="O416" s="3">
        <f>K416+M416</f>
      </c>
      <c r="P416" s="3">
        <f>H416-I416-J416-K416-L416-M416-N416</f>
      </c>
      <c r="Q416" s="3">
        <f>(P416-Y416)/F416*100</f>
      </c>
      <c r="R416" s="3">
        <f>I416-O416</f>
      </c>
      <c r="S416" t="s">
        <v>1</v>
      </c>
      <c r="T416" t="s">
        <v>64</v>
      </c>
      <c r="Z416" s="3">
        <f>P416-Y416</f>
      </c>
      <c r="AA416" t="s">
        <v>65</v>
      </c>
      <c r="AB416" t="s">
        <v>84</v>
      </c>
    </row>
    <row r="417" spans="1:28" x14ac:dyDescent="0.25">
      <c r="A417" s="7">
        <v>46148.5</v>
      </c>
      <c r="B417" t="s">
        <v>3045</v>
      </c>
      <c r="C417" t="s">
        <v>1</v>
      </c>
      <c r="D417" s="8" t="s">
        <v>3046</v>
      </c>
      <c r="E417" t="s">
        <v>57</v>
      </c>
      <c r="F417" s="3">
        <v>480</v>
      </c>
      <c r="G417" s="3">
        <v>552</v>
      </c>
      <c r="H417" s="3">
        <f>G417-F417</f>
      </c>
      <c r="I417" s="3">
        <f>H417*16.67%</f>
      </c>
      <c r="J417" s="3">
        <f>G417*7%</f>
      </c>
      <c r="K417" s="3">
        <f>J417*20%</f>
      </c>
      <c r="L417" s="3">
        <v>0</v>
      </c>
      <c r="M417" s="3">
        <f>L417*20%</f>
      </c>
      <c r="N417" s="3">
        <v>1</v>
      </c>
      <c r="O417" s="3">
        <f>K417+M417</f>
      </c>
      <c r="P417" s="3">
        <f>H417-I417-J417-K417-L417-M417-N417</f>
      </c>
      <c r="Q417" s="3">
        <f>(P417-Y417)/F417*100</f>
      </c>
      <c r="R417" s="3">
        <f>I417-O417</f>
      </c>
      <c r="S417" t="s">
        <v>1</v>
      </c>
      <c r="T417" t="s">
        <v>68</v>
      </c>
      <c r="Z417" s="3">
        <f>P417-Y417</f>
      </c>
      <c r="AA417" t="s">
        <v>59</v>
      </c>
      <c r="AB417" t="s">
        <v>60</v>
      </c>
    </row>
    <row r="418" spans="1:28" x14ac:dyDescent="0.25">
      <c r="A418" s="7">
        <v>46148.5</v>
      </c>
      <c r="B418" t="s">
        <v>3047</v>
      </c>
      <c r="C418" t="s">
        <v>181</v>
      </c>
      <c r="D418" s="8" t="s">
        <v>1</v>
      </c>
      <c r="E418" t="s">
        <v>72</v>
      </c>
      <c r="F418" s="3">
        <v>1.9</v>
      </c>
      <c r="G418" s="3">
        <v>2.39</v>
      </c>
      <c r="H418" s="3">
        <f>G418-F418</f>
      </c>
      <c r="I418" s="3">
        <f>H418*16.67%</f>
      </c>
      <c r="J418" s="3">
        <f>G418*7%</f>
      </c>
      <c r="K418" s="3">
        <f>J418*20%</f>
      </c>
      <c r="L418" s="3">
        <v>0</v>
      </c>
      <c r="M418" s="3">
        <f>L418*20%</f>
      </c>
      <c r="N418" s="3">
        <v>1</v>
      </c>
      <c r="O418" s="3">
        <f>K418+M418</f>
      </c>
      <c r="P418" s="3">
        <f>H418-I418-J418-K418-L418-M418-N418</f>
      </c>
      <c r="Q418" s="3">
        <f>(P418-Y418)/F418*100</f>
      </c>
      <c r="R418" s="3">
        <f>I418-O418</f>
      </c>
      <c r="S418" t="s">
        <v>1</v>
      </c>
      <c r="T418" t="s">
        <v>181</v>
      </c>
      <c r="Z418" s="3">
        <f>P418-Y418</f>
      </c>
      <c r="AA418" t="s">
        <v>1</v>
      </c>
      <c r="AB418" t="s">
        <v>1</v>
      </c>
    </row>
    <row r="419" spans="1:28" x14ac:dyDescent="0.25">
      <c r="A419" s="7">
        <v>46148.5</v>
      </c>
      <c r="B419" t="s">
        <v>3048</v>
      </c>
      <c r="C419" t="s">
        <v>176</v>
      </c>
      <c r="D419" s="8" t="s">
        <v>1</v>
      </c>
      <c r="E419" t="s">
        <v>77</v>
      </c>
      <c r="F419" s="3">
        <v>0.15</v>
      </c>
      <c r="G419" s="3">
        <v>0.21</v>
      </c>
      <c r="H419" s="3">
        <f>G419-F419</f>
      </c>
      <c r="I419" s="3">
        <f>H419*16.67%</f>
      </c>
      <c r="J419" s="3">
        <f>G419*7%</f>
      </c>
      <c r="K419" s="3">
        <f>J419*20%</f>
      </c>
      <c r="L419" s="3">
        <v>0</v>
      </c>
      <c r="M419" s="3">
        <f>L419*20%</f>
      </c>
      <c r="N419" s="3">
        <v>1</v>
      </c>
      <c r="O419" s="3">
        <f>K419+M419</f>
      </c>
      <c r="P419" s="3">
        <f>H419-I419-J419-K419-L419-M419-N419</f>
      </c>
      <c r="Q419" s="3">
        <f>(P419-Y419)/F419*100</f>
      </c>
      <c r="R419" s="3">
        <f>I419-O419</f>
      </c>
      <c r="S419" t="s">
        <v>1</v>
      </c>
      <c r="T419" t="s">
        <v>176</v>
      </c>
      <c r="Z419" s="3">
        <f>P419-Y419</f>
      </c>
      <c r="AA419" t="s">
        <v>1</v>
      </c>
      <c r="AB419" t="s">
        <v>1</v>
      </c>
    </row>
    <row r="420" spans="1:28" x14ac:dyDescent="0.25">
      <c r="A420" s="7">
        <v>46147.5</v>
      </c>
      <c r="B420" t="s">
        <v>3049</v>
      </c>
      <c r="C420" t="s">
        <v>1</v>
      </c>
      <c r="D420" s="8" t="s">
        <v>3050</v>
      </c>
      <c r="E420" t="s">
        <v>77</v>
      </c>
      <c r="F420" s="3">
        <v>375</v>
      </c>
      <c r="G420" s="3">
        <v>435</v>
      </c>
      <c r="H420" s="3">
        <f>G420-F420</f>
      </c>
      <c r="I420" s="3">
        <f>H420*16.67%</f>
      </c>
      <c r="J420" s="3">
        <f>G420*7%</f>
      </c>
      <c r="K420" s="3">
        <f>J420*20%</f>
      </c>
      <c r="L420" s="3">
        <v>0</v>
      </c>
      <c r="M420" s="3">
        <f>L420*20%</f>
      </c>
      <c r="N420" s="3">
        <v>1</v>
      </c>
      <c r="O420" s="3">
        <f>K420+M420</f>
      </c>
      <c r="P420" s="3">
        <f>H420-I420-J420-K420-L420-M420-N420</f>
      </c>
      <c r="Q420" s="3">
        <f>(P420-Y420)/F420*100</f>
      </c>
      <c r="R420" s="3">
        <f>I420-O420</f>
      </c>
      <c r="S420" t="s">
        <v>1</v>
      </c>
      <c r="T420" t="s">
        <v>138</v>
      </c>
      <c r="Z420" s="3">
        <f>P420-Y420</f>
      </c>
      <c r="AA420" t="s">
        <v>59</v>
      </c>
      <c r="AB420" t="s">
        <v>74</v>
      </c>
    </row>
    <row r="421" spans="1:28" x14ac:dyDescent="0.25">
      <c r="A421" s="7">
        <v>46147.5</v>
      </c>
      <c r="B421" t="s">
        <v>3051</v>
      </c>
      <c r="C421" t="s">
        <v>188</v>
      </c>
      <c r="D421" s="8" t="s">
        <v>1</v>
      </c>
      <c r="E421" t="s">
        <v>63</v>
      </c>
      <c r="F421" s="3">
        <v>3.5</v>
      </c>
      <c r="G421" s="3">
        <v>4.06</v>
      </c>
      <c r="H421" s="3">
        <f>G421-F421</f>
      </c>
      <c r="I421" s="3">
        <f>H421*16.67%</f>
      </c>
      <c r="J421" s="3">
        <f>G421*7%</f>
      </c>
      <c r="K421" s="3">
        <f>J421*20%</f>
      </c>
      <c r="L421" s="3">
        <v>0</v>
      </c>
      <c r="M421" s="3">
        <f>L421*20%</f>
      </c>
      <c r="N421" s="3">
        <v>1</v>
      </c>
      <c r="O421" s="3">
        <f>K421+M421</f>
      </c>
      <c r="P421" s="3">
        <f>H421-I421-J421-K421-L421-M421-N421</f>
      </c>
      <c r="Q421" s="3">
        <f>(P421-Y421)/F421*100</f>
      </c>
      <c r="R421" s="3">
        <f>I421-O421</f>
      </c>
      <c r="S421" t="s">
        <v>1</v>
      </c>
      <c r="T421" t="s">
        <v>188</v>
      </c>
      <c r="Z421" s="3">
        <f>P421-Y421</f>
      </c>
      <c r="AA421" t="s">
        <v>1</v>
      </c>
      <c r="AB421" t="s">
        <v>1</v>
      </c>
    </row>
    <row r="422" spans="1:28" x14ac:dyDescent="0.25">
      <c r="A422" s="7">
        <v>46146.5</v>
      </c>
      <c r="B422" t="s">
        <v>3052</v>
      </c>
      <c r="C422" t="s">
        <v>1</v>
      </c>
      <c r="D422" s="8" t="s">
        <v>1</v>
      </c>
      <c r="E422" t="s">
        <v>72</v>
      </c>
      <c r="F422" s="3">
        <v>168</v>
      </c>
      <c r="G422" s="3">
        <v>211.68</v>
      </c>
      <c r="H422" s="3">
        <f>G422-F422</f>
      </c>
      <c r="I422" s="3">
        <f>H422*16.67%</f>
      </c>
      <c r="J422" s="3">
        <f>G422*7%</f>
      </c>
      <c r="K422" s="3">
        <f>J422*20%</f>
      </c>
      <c r="L422" s="3">
        <v>0</v>
      </c>
      <c r="M422" s="3">
        <f>L422*20%</f>
      </c>
      <c r="N422" s="3">
        <v>1</v>
      </c>
      <c r="O422" s="3">
        <f>K422+M422</f>
      </c>
      <c r="P422" s="3">
        <f>H422-I422-J422-K422-L422-M422-N422</f>
      </c>
      <c r="Q422" s="3">
        <f>(P422-Y422)/F422*100</f>
      </c>
      <c r="R422" s="3">
        <f>I422-O422</f>
      </c>
      <c r="S422" t="s">
        <v>1</v>
      </c>
      <c r="T422" t="s">
        <v>1</v>
      </c>
      <c r="Z422" s="3">
        <f>P422-Y422</f>
      </c>
      <c r="AA422" t="s">
        <v>1</v>
      </c>
      <c r="AB422" t="s">
        <v>1</v>
      </c>
    </row>
    <row r="423" spans="1:28" x14ac:dyDescent="0.25">
      <c r="A423" s="7">
        <v>46146.5</v>
      </c>
      <c r="B423" t="s">
        <v>3053</v>
      </c>
      <c r="C423" t="s">
        <v>181</v>
      </c>
      <c r="D423" s="8" t="s">
        <v>1</v>
      </c>
      <c r="E423" t="s">
        <v>72</v>
      </c>
      <c r="F423" s="3">
        <v>1.9</v>
      </c>
      <c r="G423" s="3">
        <v>2.32</v>
      </c>
      <c r="H423" s="3">
        <f>G423-F423</f>
      </c>
      <c r="I423" s="3">
        <f>H423*16.67%</f>
      </c>
      <c r="J423" s="3">
        <f>G423*7%</f>
      </c>
      <c r="K423" s="3">
        <f>J423*20%</f>
      </c>
      <c r="L423" s="3">
        <v>0</v>
      </c>
      <c r="M423" s="3">
        <f>L423*20%</f>
      </c>
      <c r="N423" s="3">
        <v>1</v>
      </c>
      <c r="O423" s="3">
        <f>K423+M423</f>
      </c>
      <c r="P423" s="3">
        <f>H423-I423-J423-K423-L423-M423-N423</f>
      </c>
      <c r="Q423" s="3">
        <f>(P423-Y423)/F423*100</f>
      </c>
      <c r="R423" s="3">
        <f>I423-O423</f>
      </c>
      <c r="S423" t="s">
        <v>1</v>
      </c>
      <c r="T423" t="s">
        <v>181</v>
      </c>
      <c r="Z423" s="3">
        <f>P423-Y423</f>
      </c>
      <c r="AA423" t="s">
        <v>1</v>
      </c>
      <c r="AB423" t="s">
        <v>1</v>
      </c>
    </row>
    <row r="424" spans="1:28" x14ac:dyDescent="0.25">
      <c r="A424" s="7">
        <v>46144.5</v>
      </c>
      <c r="B424" t="s">
        <v>3054</v>
      </c>
      <c r="C424" t="s">
        <v>176</v>
      </c>
      <c r="D424" s="8" t="s">
        <v>1</v>
      </c>
      <c r="E424" t="s">
        <v>77</v>
      </c>
      <c r="F424" s="3">
        <v>0.15</v>
      </c>
      <c r="G424" s="3">
        <v>0.2</v>
      </c>
      <c r="H424" s="3">
        <f>G424-F424</f>
      </c>
      <c r="I424" s="3">
        <f>H424*16.67%</f>
      </c>
      <c r="J424" s="3">
        <f>G424*7%</f>
      </c>
      <c r="K424" s="3">
        <f>J424*20%</f>
      </c>
      <c r="L424" s="3">
        <v>0</v>
      </c>
      <c r="M424" s="3">
        <f>L424*20%</f>
      </c>
      <c r="N424" s="3">
        <v>1</v>
      </c>
      <c r="O424" s="3">
        <f>K424+M424</f>
      </c>
      <c r="P424" s="3">
        <f>H424-I424-J424-K424-L424-M424-N424</f>
      </c>
      <c r="Q424" s="3">
        <f>(P424-Y424)/F424*100</f>
      </c>
      <c r="R424" s="3">
        <f>I424-O424</f>
      </c>
      <c r="S424" t="s">
        <v>1</v>
      </c>
      <c r="T424" t="s">
        <v>176</v>
      </c>
      <c r="Z424" s="3">
        <f>P424-Y424</f>
      </c>
      <c r="AA424" t="s">
        <v>1</v>
      </c>
      <c r="AB424" t="s">
        <v>1</v>
      </c>
    </row>
    <row r="425" spans="1:28" x14ac:dyDescent="0.25">
      <c r="A425" s="7">
        <v>46143.5</v>
      </c>
      <c r="B425" t="s">
        <v>3055</v>
      </c>
      <c r="C425" t="s">
        <v>188</v>
      </c>
      <c r="D425" s="8" t="s">
        <v>1</v>
      </c>
      <c r="E425" t="s">
        <v>63</v>
      </c>
      <c r="F425" s="3">
        <v>3.5</v>
      </c>
      <c r="G425" s="3">
        <v>4.17</v>
      </c>
      <c r="H425" s="3">
        <f>G425-F425</f>
      </c>
      <c r="I425" s="3">
        <f>H425*16.67%</f>
      </c>
      <c r="J425" s="3">
        <f>G425*7%</f>
      </c>
      <c r="K425" s="3">
        <f>J425*20%</f>
      </c>
      <c r="L425" s="3">
        <v>0</v>
      </c>
      <c r="M425" s="3">
        <f>L425*20%</f>
      </c>
      <c r="N425" s="3">
        <v>1</v>
      </c>
      <c r="O425" s="3">
        <f>K425+M425</f>
      </c>
      <c r="P425" s="3">
        <f>H425-I425-J425-K425-L425-M425-N425</f>
      </c>
      <c r="Q425" s="3">
        <f>(P425-Y425)/F425*100</f>
      </c>
      <c r="R425" s="3">
        <f>I425-O425</f>
      </c>
      <c r="S425" t="s">
        <v>1</v>
      </c>
      <c r="T425" t="s">
        <v>188</v>
      </c>
      <c r="Z425" s="3">
        <f>P425-Y425</f>
      </c>
      <c r="AA425" t="s">
        <v>1</v>
      </c>
      <c r="AB425" t="s">
        <v>1</v>
      </c>
    </row>
    <row r="426" spans="1:28" x14ac:dyDescent="0.25">
      <c r="A426" s="7">
        <v>46142.5</v>
      </c>
      <c r="B426" t="s">
        <v>3056</v>
      </c>
      <c r="C426" t="s">
        <v>188</v>
      </c>
      <c r="D426" s="8" t="s">
        <v>1</v>
      </c>
      <c r="E426" t="s">
        <v>63</v>
      </c>
      <c r="F426" s="3">
        <v>3.5</v>
      </c>
      <c r="G426" s="3">
        <v>4.17</v>
      </c>
      <c r="H426" s="3">
        <f>G426-F426</f>
      </c>
      <c r="I426" s="3">
        <f>H426*16.67%</f>
      </c>
      <c r="J426" s="3">
        <f>G426*7%</f>
      </c>
      <c r="K426" s="3">
        <f>J426*20%</f>
      </c>
      <c r="L426" s="3">
        <v>0</v>
      </c>
      <c r="M426" s="3">
        <f>L426*20%</f>
      </c>
      <c r="N426" s="3">
        <v>1</v>
      </c>
      <c r="O426" s="3">
        <f>K426+M426</f>
      </c>
      <c r="P426" s="3">
        <f>H426-I426-J426-K426-L426-M426-N426</f>
      </c>
      <c r="Q426" s="3">
        <f>(P426-Y426)/F426*100</f>
      </c>
      <c r="R426" s="3">
        <f>I426-O426</f>
      </c>
      <c r="S426" t="s">
        <v>1</v>
      </c>
      <c r="T426" t="s">
        <v>188</v>
      </c>
      <c r="Z426" s="3">
        <f>P426-Y426</f>
      </c>
      <c r="AA426" t="s">
        <v>1</v>
      </c>
      <c r="AB426" t="s">
        <v>1</v>
      </c>
    </row>
    <row r="427" spans="1:28" x14ac:dyDescent="0.25">
      <c r="A427" s="7">
        <v>46142.5</v>
      </c>
      <c r="B427" t="s">
        <v>3057</v>
      </c>
      <c r="C427" t="s">
        <v>188</v>
      </c>
      <c r="D427" s="8" t="s">
        <v>1</v>
      </c>
      <c r="E427" t="s">
        <v>63</v>
      </c>
      <c r="F427" s="3">
        <v>3.5</v>
      </c>
      <c r="G427" s="3">
        <v>4.9</v>
      </c>
      <c r="H427" s="3">
        <f>G427-F427</f>
      </c>
      <c r="I427" s="3">
        <f>H427*16.67%</f>
      </c>
      <c r="J427" s="3">
        <f>G427*7%</f>
      </c>
      <c r="K427" s="3">
        <f>J427*20%</f>
      </c>
      <c r="L427" s="3">
        <v>0</v>
      </c>
      <c r="M427" s="3">
        <f>L427*20%</f>
      </c>
      <c r="N427" s="3">
        <v>1</v>
      </c>
      <c r="O427" s="3">
        <f>K427+M427</f>
      </c>
      <c r="P427" s="3">
        <f>H427-I427-J427-K427-L427-M427-N427</f>
      </c>
      <c r="Q427" s="3">
        <f>(P427-Y427)/F427*100</f>
      </c>
      <c r="R427" s="3">
        <f>I427-O427</f>
      </c>
      <c r="S427" t="s">
        <v>1</v>
      </c>
      <c r="T427" t="s">
        <v>188</v>
      </c>
      <c r="Z427" s="3">
        <f>P427-Y427</f>
      </c>
      <c r="AA427" t="s">
        <v>1</v>
      </c>
      <c r="AB427" t="s">
        <v>1</v>
      </c>
    </row>
    <row r="428" spans="1:28" x14ac:dyDescent="0.25">
      <c r="A428" s="7">
        <v>46142.5</v>
      </c>
      <c r="B428" t="s">
        <v>3058</v>
      </c>
      <c r="C428" t="s">
        <v>173</v>
      </c>
      <c r="D428" s="8" t="s">
        <v>1</v>
      </c>
      <c r="E428" t="s">
        <v>63</v>
      </c>
      <c r="F428" s="3">
        <v>4.25</v>
      </c>
      <c r="G428" s="3">
        <v>5.99</v>
      </c>
      <c r="H428" s="3">
        <f>G428-F428</f>
      </c>
      <c r="I428" s="3">
        <f>H428*16.67%</f>
      </c>
      <c r="J428" s="3">
        <f>G428*7%</f>
      </c>
      <c r="K428" s="3">
        <f>J428*20%</f>
      </c>
      <c r="L428" s="3">
        <v>0</v>
      </c>
      <c r="M428" s="3">
        <f>L428*20%</f>
      </c>
      <c r="N428" s="3">
        <v>1</v>
      </c>
      <c r="O428" s="3">
        <f>K428+M428</f>
      </c>
      <c r="P428" s="3">
        <f>H428-I428-J428-K428-L428-M428-N428</f>
      </c>
      <c r="Q428" s="3">
        <f>(P428-Y428)/F428*100</f>
      </c>
      <c r="R428" s="3">
        <f>I428-O428</f>
      </c>
      <c r="S428" t="s">
        <v>1</v>
      </c>
      <c r="T428" t="s">
        <v>173</v>
      </c>
      <c r="Z428" s="3">
        <f>P428-Y428</f>
      </c>
      <c r="AA428" t="s">
        <v>1</v>
      </c>
      <c r="AB428" t="s">
        <v>1</v>
      </c>
    </row>
    <row r="429" spans="1:28" s="6" customFormat="1" x14ac:dyDescent="0.25">
      <c r="A429" s="2" t="s">
        <v>17</v>
      </c>
      <c r="B429" s="6"/>
      <c r="C429" s="6"/>
      <c r="D429" s="6"/>
      <c r="E429" s="6"/>
      <c r="F429" s="13">
        <f>SUM(F2:F428)</f>
      </c>
      <c r="G429" s="13">
        <f>SUM(G2:G428)</f>
      </c>
      <c r="H429" s="13">
        <f>SUM(H2:H428)</f>
      </c>
      <c r="I429" s="13">
        <f>SUM(I2:I428)</f>
      </c>
      <c r="J429" s="13">
        <f>SUM(J2:J428)</f>
      </c>
      <c r="K429" s="13">
        <f>SUM(K2:K428)</f>
      </c>
      <c r="L429" s="13">
        <f>SUM(L2:L428)</f>
      </c>
      <c r="M429" s="13">
        <f>SUM(M2:M428)</f>
      </c>
      <c r="N429" s="13">
        <f>SUM(N2:N428)</f>
      </c>
      <c r="O429" s="13">
        <f>SUM(O2:O428)</f>
      </c>
      <c r="P429" s="13">
        <f>SUM(P2:P428)</f>
      </c>
      <c r="Q429" s="13">
        <f>IFERROR((P429-Y429)/F429*100,0)</f>
      </c>
      <c r="R429" s="13">
        <f>SUM(R2:R428)</f>
      </c>
      <c r="S429" s="6"/>
      <c r="T429" s="6"/>
      <c r="U429" s="6"/>
      <c r="V429" s="6"/>
      <c r="W429" s="6"/>
      <c r="X429" s="6"/>
      <c r="Y429" s="13">
        <f>SUM(Y2:Y428)</f>
      </c>
      <c r="Z429" s="13">
        <f>SUM(Z2:Z428)</f>
      </c>
      <c r="AA429" s="6"/>
      <c r="AB42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7"/>
  <sheetFormatPr defaultRowHeight="15" outlineLevelRow="0" outlineLevelCol="0" x14ac:dyDescent="55"/>
  <sheetData>
    <row r="1" spans="1:29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3059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10</v>
      </c>
      <c r="AB1" t="s">
        <v>53</v>
      </c>
      <c r="AC1" t="s">
        <v>54</v>
      </c>
    </row>
    <row r="2" spans="1:29" x14ac:dyDescent="0.25">
      <c r="A2" s="7">
        <v>46231.5</v>
      </c>
      <c r="B2" t="s">
        <v>3060</v>
      </c>
      <c r="C2" t="s">
        <v>1</v>
      </c>
      <c r="D2" s="8" t="s">
        <v>3061</v>
      </c>
      <c r="E2" t="s">
        <v>72</v>
      </c>
      <c r="F2">
        <v>1</v>
      </c>
      <c r="G2" s="3">
        <v>280</v>
      </c>
      <c r="H2" s="3">
        <v>347.2</v>
      </c>
      <c r="I2" s="3">
        <f>H2-G2</f>
      </c>
      <c r="J2" s="3">
        <f>I2*16.67%</f>
      </c>
      <c r="K2" s="3">
        <v>16.01</v>
      </c>
      <c r="L2" s="3">
        <f>K2*20%</f>
      </c>
      <c r="M2" s="3">
        <v>0</v>
      </c>
      <c r="N2" s="3">
        <f>M2*20%</f>
      </c>
      <c r="O2" s="3">
        <v>1</v>
      </c>
      <c r="P2" s="3">
        <f>N2</f>
      </c>
      <c r="Q2" s="3">
        <f>I2-J2-K2-M2-N2-O2</f>
      </c>
      <c r="R2" s="3">
        <f>(Q2-Z2)/G2*100</f>
      </c>
      <c r="S2" s="3">
        <f>J2-P2</f>
      </c>
      <c r="T2" t="s">
        <v>1</v>
      </c>
      <c r="U2" t="s">
        <v>124</v>
      </c>
      <c r="AA2" s="3">
        <f>Q2-Z2</f>
      </c>
      <c r="AB2" t="s">
        <v>125</v>
      </c>
      <c r="AC2" t="s">
        <v>60</v>
      </c>
    </row>
    <row r="3" spans="1:29" x14ac:dyDescent="0.25">
      <c r="A3" s="7">
        <v>46231.5</v>
      </c>
      <c r="B3" t="s">
        <v>3062</v>
      </c>
      <c r="C3" t="s">
        <v>1</v>
      </c>
      <c r="D3" s="8" t="s">
        <v>3063</v>
      </c>
      <c r="E3" t="s">
        <v>72</v>
      </c>
      <c r="F3">
        <v>1</v>
      </c>
      <c r="G3" s="3">
        <v>285</v>
      </c>
      <c r="H3" s="3">
        <v>384.75</v>
      </c>
      <c r="I3" s="3">
        <f>H3-G3</f>
      </c>
      <c r="J3" s="3">
        <f>I3*16.67%</f>
      </c>
      <c r="K3" s="3">
        <v>17.74</v>
      </c>
      <c r="L3" s="3">
        <f>K3*20%</f>
      </c>
      <c r="M3" s="3">
        <v>0</v>
      </c>
      <c r="N3" s="3">
        <f>M3*20%</f>
      </c>
      <c r="O3" s="3">
        <v>1</v>
      </c>
      <c r="P3" s="3">
        <f>N3</f>
      </c>
      <c r="Q3" s="3">
        <f>I3-J3-K3-M3-N3-O3</f>
      </c>
      <c r="R3" s="3">
        <f>(Q3-Z3)/G3*100</f>
      </c>
      <c r="S3" s="3">
        <f>J3-P3</f>
      </c>
      <c r="T3" t="s">
        <v>1</v>
      </c>
      <c r="U3" t="s">
        <v>130</v>
      </c>
      <c r="AA3" s="3">
        <f>Q3-Z3</f>
      </c>
      <c r="AB3" t="s">
        <v>65</v>
      </c>
      <c r="AC3" t="s">
        <v>84</v>
      </c>
    </row>
    <row r="4" spans="1:29" x14ac:dyDescent="0.25">
      <c r="A4" s="7">
        <v>46231.5</v>
      </c>
      <c r="B4" t="s">
        <v>3064</v>
      </c>
      <c r="C4" t="s">
        <v>1</v>
      </c>
      <c r="D4" s="8" t="s">
        <v>3065</v>
      </c>
      <c r="E4" t="s">
        <v>77</v>
      </c>
      <c r="F4">
        <v>1</v>
      </c>
      <c r="G4" s="3">
        <v>112</v>
      </c>
      <c r="H4" s="3">
        <v>137.76</v>
      </c>
      <c r="I4" s="3">
        <f>H4-G4</f>
      </c>
      <c r="J4" s="3">
        <f>I4*16.67%</f>
      </c>
      <c r="K4" s="3">
        <v>6.35</v>
      </c>
      <c r="L4" s="3">
        <f>K4*20%</f>
      </c>
      <c r="M4" s="3">
        <v>0</v>
      </c>
      <c r="N4" s="3">
        <f>M4*20%</f>
      </c>
      <c r="O4" s="3">
        <v>1</v>
      </c>
      <c r="P4" s="3">
        <f>N4</f>
      </c>
      <c r="Q4" s="3">
        <f>I4-J4-K4-M4-N4-O4</f>
      </c>
      <c r="R4" s="3">
        <f>(Q4-Z4)/G4*100</f>
      </c>
      <c r="S4" s="3">
        <f>J4-P4</f>
      </c>
      <c r="T4" t="s">
        <v>1</v>
      </c>
      <c r="U4" t="s">
        <v>133</v>
      </c>
      <c r="AA4" s="3">
        <f>Q4-Z4</f>
      </c>
      <c r="AB4" t="s">
        <v>94</v>
      </c>
      <c r="AC4" t="s">
        <v>98</v>
      </c>
    </row>
    <row r="5" spans="1:29" x14ac:dyDescent="0.25">
      <c r="A5" s="7">
        <v>46231.5</v>
      </c>
      <c r="B5" t="s">
        <v>3066</v>
      </c>
      <c r="C5" t="s">
        <v>1</v>
      </c>
      <c r="D5" s="8" t="s">
        <v>3067</v>
      </c>
      <c r="E5" t="s">
        <v>77</v>
      </c>
      <c r="F5">
        <v>1</v>
      </c>
      <c r="G5" s="3">
        <v>349</v>
      </c>
      <c r="H5" s="3">
        <v>401.35</v>
      </c>
      <c r="I5" s="3">
        <f>H5-G5</f>
      </c>
      <c r="J5" s="3">
        <f>I5*16.67%</f>
      </c>
      <c r="K5" s="3">
        <v>18.5</v>
      </c>
      <c r="L5" s="3">
        <f>K5*20%</f>
      </c>
      <c r="M5" s="3">
        <v>0</v>
      </c>
      <c r="N5" s="3">
        <f>M5*20%</f>
      </c>
      <c r="O5" s="3">
        <v>1</v>
      </c>
      <c r="P5" s="3">
        <f>N5</f>
      </c>
      <c r="Q5" s="3">
        <f>I5-J5-K5-M5-N5-O5</f>
      </c>
      <c r="R5" s="3">
        <f>(Q5-Z5)/G5*100</f>
      </c>
      <c r="S5" s="3">
        <f>J5-P5</f>
      </c>
      <c r="T5" t="s">
        <v>1</v>
      </c>
      <c r="U5" t="s">
        <v>73</v>
      </c>
      <c r="AA5" s="3">
        <f>Q5-Z5</f>
      </c>
      <c r="AB5" t="s">
        <v>59</v>
      </c>
      <c r="AC5" t="s">
        <v>104</v>
      </c>
    </row>
    <row r="6" spans="1:29" x14ac:dyDescent="0.25">
      <c r="A6" s="7">
        <v>46231.5</v>
      </c>
      <c r="B6" t="s">
        <v>3068</v>
      </c>
      <c r="C6" t="s">
        <v>1</v>
      </c>
      <c r="D6" s="8" t="s">
        <v>3069</v>
      </c>
      <c r="E6" t="s">
        <v>77</v>
      </c>
      <c r="F6">
        <v>1</v>
      </c>
      <c r="G6" s="3">
        <v>478</v>
      </c>
      <c r="H6" s="3">
        <v>678.76</v>
      </c>
      <c r="I6" s="3">
        <f>H6-G6</f>
      </c>
      <c r="J6" s="3">
        <f>I6*16.67%</f>
      </c>
      <c r="K6" s="3">
        <v>31.29</v>
      </c>
      <c r="L6" s="3">
        <f>K6*20%</f>
      </c>
      <c r="M6" s="3">
        <v>0</v>
      </c>
      <c r="N6" s="3">
        <f>M6*20%</f>
      </c>
      <c r="O6" s="3">
        <v>1</v>
      </c>
      <c r="P6" s="3">
        <f>N6</f>
      </c>
      <c r="Q6" s="3">
        <f>I6-J6-K6-M6-N6-O6</f>
      </c>
      <c r="R6" s="3">
        <f>(Q6-Z6)/G6*100</f>
      </c>
      <c r="S6" s="3">
        <f>J6-P6</f>
      </c>
      <c r="T6" t="s">
        <v>1</v>
      </c>
      <c r="U6" t="s">
        <v>58</v>
      </c>
      <c r="AA6" s="3">
        <f>Q6-Z6</f>
      </c>
      <c r="AB6" t="s">
        <v>59</v>
      </c>
      <c r="AC6" t="s">
        <v>60</v>
      </c>
    </row>
    <row r="7" spans="1:29" x14ac:dyDescent="0.25">
      <c r="A7" s="7">
        <v>46231.5</v>
      </c>
      <c r="B7" t="s">
        <v>3070</v>
      </c>
      <c r="C7" t="s">
        <v>1</v>
      </c>
      <c r="D7" s="8" t="s">
        <v>3071</v>
      </c>
      <c r="E7" t="s">
        <v>77</v>
      </c>
      <c r="F7">
        <v>1</v>
      </c>
      <c r="G7" s="3">
        <v>240</v>
      </c>
      <c r="H7" s="3">
        <v>288</v>
      </c>
      <c r="I7" s="3">
        <f>H7-G7</f>
      </c>
      <c r="J7" s="3">
        <f>I7*16.67%</f>
      </c>
      <c r="K7" s="3">
        <v>13.28</v>
      </c>
      <c r="L7" s="3">
        <f>K7*20%</f>
      </c>
      <c r="M7" s="3">
        <v>0</v>
      </c>
      <c r="N7" s="3">
        <f>M7*20%</f>
      </c>
      <c r="O7" s="3">
        <v>1</v>
      </c>
      <c r="P7" s="3">
        <f>N7</f>
      </c>
      <c r="Q7" s="3">
        <f>I7-J7-K7-M7-N7-O7</f>
      </c>
      <c r="R7" s="3">
        <f>(Q7-Z7)/G7*100</f>
      </c>
      <c r="S7" s="3">
        <f>J7-P7</f>
      </c>
      <c r="T7" t="s">
        <v>1</v>
      </c>
      <c r="U7" t="s">
        <v>113</v>
      </c>
      <c r="AA7" s="3">
        <f>Q7-Z7</f>
      </c>
      <c r="AB7" t="s">
        <v>94</v>
      </c>
      <c r="AC7" t="s">
        <v>98</v>
      </c>
    </row>
    <row r="8" spans="1:29" x14ac:dyDescent="0.25">
      <c r="A8" s="7">
        <v>46231.5</v>
      </c>
      <c r="B8" t="s">
        <v>3072</v>
      </c>
      <c r="C8" t="s">
        <v>1</v>
      </c>
      <c r="D8" s="8" t="s">
        <v>3073</v>
      </c>
      <c r="E8" t="s">
        <v>101</v>
      </c>
      <c r="F8">
        <v>1</v>
      </c>
      <c r="G8" s="3">
        <v>162</v>
      </c>
      <c r="H8" s="3">
        <v>194.4</v>
      </c>
      <c r="I8" s="3">
        <f>H8-G8</f>
      </c>
      <c r="J8" s="3">
        <f>I8*16.67%</f>
      </c>
      <c r="K8" s="3">
        <v>8.96</v>
      </c>
      <c r="L8" s="3">
        <f>K8*20%</f>
      </c>
      <c r="M8" s="3">
        <v>0</v>
      </c>
      <c r="N8" s="3">
        <f>M8*20%</f>
      </c>
      <c r="O8" s="3">
        <v>1</v>
      </c>
      <c r="P8" s="3">
        <f>N8</f>
      </c>
      <c r="Q8" s="3">
        <f>I8-J8-K8-M8-N8-O8</f>
      </c>
      <c r="R8" s="3">
        <f>(Q8-Z8)/G8*100</f>
      </c>
      <c r="S8" s="3">
        <f>J8-P8</f>
      </c>
      <c r="T8" t="s">
        <v>1</v>
      </c>
      <c r="U8" t="s">
        <v>291</v>
      </c>
      <c r="AA8" s="3">
        <f>Q8-Z8</f>
      </c>
      <c r="AB8" t="s">
        <v>125</v>
      </c>
      <c r="AC8" t="s">
        <v>60</v>
      </c>
    </row>
    <row r="9" spans="1:29" x14ac:dyDescent="0.25">
      <c r="A9" s="7">
        <v>46231.5</v>
      </c>
      <c r="B9" t="s">
        <v>3074</v>
      </c>
      <c r="C9" t="s">
        <v>1</v>
      </c>
      <c r="D9" s="8" t="s">
        <v>3075</v>
      </c>
      <c r="E9" t="s">
        <v>63</v>
      </c>
      <c r="F9">
        <v>1</v>
      </c>
      <c r="G9" s="3">
        <v>64</v>
      </c>
      <c r="H9" s="3">
        <v>85.12</v>
      </c>
      <c r="I9" s="3">
        <f>H9-G9</f>
      </c>
      <c r="J9" s="3">
        <f>I9*16.67%</f>
      </c>
      <c r="K9" s="3">
        <v>3.92</v>
      </c>
      <c r="L9" s="3">
        <f>K9*20%</f>
      </c>
      <c r="M9" s="3">
        <v>0</v>
      </c>
      <c r="N9" s="3">
        <f>M9*20%</f>
      </c>
      <c r="O9" s="3">
        <v>1</v>
      </c>
      <c r="P9" s="3">
        <f>N9</f>
      </c>
      <c r="Q9" s="3">
        <f>I9-J9-K9-M9-N9-O9</f>
      </c>
      <c r="R9" s="3">
        <f>(Q9-Z9)/G9*100</f>
      </c>
      <c r="S9" s="3">
        <f>J9-P9</f>
      </c>
      <c r="T9" t="s">
        <v>1</v>
      </c>
      <c r="U9" t="s">
        <v>93</v>
      </c>
      <c r="AA9" s="3">
        <f>Q9-Z9</f>
      </c>
      <c r="AB9" t="s">
        <v>94</v>
      </c>
      <c r="AC9" t="s">
        <v>69</v>
      </c>
    </row>
    <row r="10" spans="1:29" x14ac:dyDescent="0.25">
      <c r="A10" s="7">
        <v>46231.5</v>
      </c>
      <c r="B10" t="s">
        <v>3076</v>
      </c>
      <c r="C10" t="s">
        <v>1</v>
      </c>
      <c r="D10" s="8" t="s">
        <v>3077</v>
      </c>
      <c r="E10" t="s">
        <v>57</v>
      </c>
      <c r="F10">
        <v>1</v>
      </c>
      <c r="G10" s="3">
        <v>190</v>
      </c>
      <c r="H10" s="3">
        <v>241.3</v>
      </c>
      <c r="I10" s="3">
        <f>H10-G10</f>
      </c>
      <c r="J10" s="3">
        <f>I10*16.67%</f>
      </c>
      <c r="K10" s="3">
        <v>11.12</v>
      </c>
      <c r="L10" s="3">
        <f>K10*20%</f>
      </c>
      <c r="M10" s="3">
        <v>0</v>
      </c>
      <c r="N10" s="3">
        <f>M10*20%</f>
      </c>
      <c r="O10" s="3">
        <v>1</v>
      </c>
      <c r="P10" s="3">
        <f>N10</f>
      </c>
      <c r="Q10" s="3">
        <f>I10-J10-K10-M10-N10-O10</f>
      </c>
      <c r="R10" s="3">
        <f>(Q10-Z10)/G10*100</f>
      </c>
      <c r="S10" s="3">
        <f>J10-P10</f>
      </c>
      <c r="T10" t="s">
        <v>1</v>
      </c>
      <c r="U10" t="s">
        <v>233</v>
      </c>
      <c r="AA10" s="3">
        <f>Q10-Z10</f>
      </c>
      <c r="AB10" t="s">
        <v>65</v>
      </c>
      <c r="AC10" t="s">
        <v>104</v>
      </c>
    </row>
    <row r="11" spans="1:29" x14ac:dyDescent="0.25">
      <c r="A11" s="7">
        <v>46231.5</v>
      </c>
      <c r="B11" t="s">
        <v>3078</v>
      </c>
      <c r="C11" t="s">
        <v>1</v>
      </c>
      <c r="D11" s="8" t="s">
        <v>3079</v>
      </c>
      <c r="E11" t="s">
        <v>57</v>
      </c>
      <c r="F11">
        <v>1</v>
      </c>
      <c r="G11" s="3">
        <v>80</v>
      </c>
      <c r="H11" s="3">
        <v>104.8</v>
      </c>
      <c r="I11" s="3">
        <f>H11-G11</f>
      </c>
      <c r="J11" s="3">
        <f>I11*16.67%</f>
      </c>
      <c r="K11" s="3">
        <v>4.83</v>
      </c>
      <c r="L11" s="3">
        <f>K11*20%</f>
      </c>
      <c r="M11" s="3">
        <v>0</v>
      </c>
      <c r="N11" s="3">
        <f>M11*20%</f>
      </c>
      <c r="O11" s="3">
        <v>1</v>
      </c>
      <c r="P11" s="3">
        <f>N11</f>
      </c>
      <c r="Q11" s="3">
        <f>I11-J11-K11-M11-N11-O11</f>
      </c>
      <c r="R11" s="3">
        <f>(Q11-Z11)/G11*100</f>
      </c>
      <c r="S11" s="3">
        <f>J11-P11</f>
      </c>
      <c r="T11" t="s">
        <v>1</v>
      </c>
      <c r="U11" t="s">
        <v>93</v>
      </c>
      <c r="AA11" s="3">
        <f>Q11-Z11</f>
      </c>
      <c r="AB11" t="s">
        <v>94</v>
      </c>
      <c r="AC11" t="s">
        <v>60</v>
      </c>
    </row>
    <row r="12" spans="1:29" x14ac:dyDescent="0.25">
      <c r="A12" s="7">
        <v>46231.5</v>
      </c>
      <c r="B12" t="s">
        <v>3080</v>
      </c>
      <c r="C12" t="s">
        <v>1</v>
      </c>
      <c r="D12" s="8" t="s">
        <v>3081</v>
      </c>
      <c r="E12" t="s">
        <v>72</v>
      </c>
      <c r="F12">
        <v>1</v>
      </c>
      <c r="G12" s="3">
        <v>237</v>
      </c>
      <c r="H12" s="3">
        <v>303.36</v>
      </c>
      <c r="I12" s="3">
        <f>H12-G12</f>
      </c>
      <c r="J12" s="3">
        <f>I12*16.67%</f>
      </c>
      <c r="K12" s="3">
        <v>13.98</v>
      </c>
      <c r="L12" s="3">
        <f>K12*20%</f>
      </c>
      <c r="M12" s="3">
        <v>0</v>
      </c>
      <c r="N12" s="3">
        <f>M12*20%</f>
      </c>
      <c r="O12" s="3">
        <v>1</v>
      </c>
      <c r="P12" s="3">
        <f>N12</f>
      </c>
      <c r="Q12" s="3">
        <f>I12-J12-K12-M12-N12-O12</f>
      </c>
      <c r="R12" s="3">
        <f>(Q12-Z12)/G12*100</f>
      </c>
      <c r="S12" s="3">
        <f>J12-P12</f>
      </c>
      <c r="T12" t="s">
        <v>1</v>
      </c>
      <c r="U12" t="s">
        <v>64</v>
      </c>
      <c r="AA12" s="3">
        <f>Q12-Z12</f>
      </c>
      <c r="AB12" t="s">
        <v>65</v>
      </c>
      <c r="AC12" t="s">
        <v>98</v>
      </c>
    </row>
    <row r="13" spans="1:29" x14ac:dyDescent="0.25">
      <c r="A13" s="7">
        <v>46231.5</v>
      </c>
      <c r="B13" t="s">
        <v>3082</v>
      </c>
      <c r="C13" t="s">
        <v>1</v>
      </c>
      <c r="D13" s="8" t="s">
        <v>3083</v>
      </c>
      <c r="E13" t="s">
        <v>57</v>
      </c>
      <c r="F13">
        <v>1</v>
      </c>
      <c r="G13" s="3">
        <v>330</v>
      </c>
      <c r="H13" s="3">
        <v>425.7</v>
      </c>
      <c r="I13" s="3">
        <f>H13-G13</f>
      </c>
      <c r="J13" s="3">
        <f>I13*16.67%</f>
      </c>
      <c r="K13" s="3">
        <v>19.62</v>
      </c>
      <c r="L13" s="3">
        <f>K13*20%</f>
      </c>
      <c r="M13" s="3">
        <v>0</v>
      </c>
      <c r="N13" s="3">
        <f>M13*20%</f>
      </c>
      <c r="O13" s="3">
        <v>1</v>
      </c>
      <c r="P13" s="3">
        <f>N13</f>
      </c>
      <c r="Q13" s="3">
        <f>I13-J13-K13-M13-N13-O13</f>
      </c>
      <c r="R13" s="3">
        <f>(Q13-Z13)/G13*100</f>
      </c>
      <c r="S13" s="3">
        <f>J13-P13</f>
      </c>
      <c r="T13" t="s">
        <v>1</v>
      </c>
      <c r="U13" t="s">
        <v>138</v>
      </c>
      <c r="AA13" s="3">
        <f>Q13-Z13</f>
      </c>
      <c r="AB13" t="s">
        <v>59</v>
      </c>
      <c r="AC13" t="s">
        <v>69</v>
      </c>
    </row>
    <row r="14" spans="1:29" x14ac:dyDescent="0.25">
      <c r="A14" s="7">
        <v>46231.5</v>
      </c>
      <c r="B14" t="s">
        <v>3084</v>
      </c>
      <c r="C14" t="s">
        <v>1</v>
      </c>
      <c r="D14" s="8" t="s">
        <v>3085</v>
      </c>
      <c r="E14" t="s">
        <v>63</v>
      </c>
      <c r="F14">
        <v>1</v>
      </c>
      <c r="G14" s="3">
        <v>227</v>
      </c>
      <c r="H14" s="3">
        <v>313.26</v>
      </c>
      <c r="I14" s="3">
        <f>H14-G14</f>
      </c>
      <c r="J14" s="3">
        <f>I14*16.67%</f>
      </c>
      <c r="K14" s="3">
        <v>14.44</v>
      </c>
      <c r="L14" s="3">
        <f>K14*20%</f>
      </c>
      <c r="M14" s="3">
        <v>0</v>
      </c>
      <c r="N14" s="3">
        <f>M14*20%</f>
      </c>
      <c r="O14" s="3">
        <v>1</v>
      </c>
      <c r="P14" s="3">
        <f>N14</f>
      </c>
      <c r="Q14" s="3">
        <f>I14-J14-K14-M14-N14-O14</f>
      </c>
      <c r="R14" s="3">
        <f>(Q14-Z14)/G14*100</f>
      </c>
      <c r="S14" s="3">
        <f>J14-P14</f>
      </c>
      <c r="T14" t="s">
        <v>1</v>
      </c>
      <c r="U14" t="s">
        <v>124</v>
      </c>
      <c r="AA14" s="3">
        <f>Q14-Z14</f>
      </c>
      <c r="AB14" t="s">
        <v>125</v>
      </c>
      <c r="AC14" t="s">
        <v>104</v>
      </c>
    </row>
    <row r="15" spans="1:29" x14ac:dyDescent="0.25">
      <c r="A15" s="7">
        <v>46231.5</v>
      </c>
      <c r="B15" t="s">
        <v>3086</v>
      </c>
      <c r="C15" t="s">
        <v>1</v>
      </c>
      <c r="D15" s="8" t="s">
        <v>3087</v>
      </c>
      <c r="E15" t="s">
        <v>72</v>
      </c>
      <c r="F15">
        <v>1</v>
      </c>
      <c r="G15" s="3">
        <v>193</v>
      </c>
      <c r="H15" s="3">
        <v>266.34</v>
      </c>
      <c r="I15" s="3">
        <f>H15-G15</f>
      </c>
      <c r="J15" s="3">
        <f>I15*16.67%</f>
      </c>
      <c r="K15" s="3">
        <v>12.28</v>
      </c>
      <c r="L15" s="3">
        <f>K15*20%</f>
      </c>
      <c r="M15" s="3">
        <v>0</v>
      </c>
      <c r="N15" s="3">
        <f>M15*20%</f>
      </c>
      <c r="O15" s="3">
        <v>1</v>
      </c>
      <c r="P15" s="3">
        <f>N15</f>
      </c>
      <c r="Q15" s="3">
        <f>I15-J15-K15-M15-N15-O15</f>
      </c>
      <c r="R15" s="3">
        <f>(Q15-Z15)/G15*100</f>
      </c>
      <c r="S15" s="3">
        <f>J15-P15</f>
      </c>
      <c r="T15" t="s">
        <v>1</v>
      </c>
      <c r="U15" t="s">
        <v>291</v>
      </c>
      <c r="AA15" s="3">
        <f>Q15-Z15</f>
      </c>
      <c r="AB15" t="s">
        <v>125</v>
      </c>
      <c r="AC15" t="s">
        <v>98</v>
      </c>
    </row>
    <row r="16" spans="1:29" x14ac:dyDescent="0.25">
      <c r="A16" s="7">
        <v>46231.5</v>
      </c>
      <c r="B16" t="s">
        <v>3088</v>
      </c>
      <c r="C16" t="s">
        <v>1</v>
      </c>
      <c r="D16" s="8" t="s">
        <v>3089</v>
      </c>
      <c r="E16" t="s">
        <v>101</v>
      </c>
      <c r="F16">
        <v>1</v>
      </c>
      <c r="G16" s="3">
        <v>182</v>
      </c>
      <c r="H16" s="3">
        <v>236.6</v>
      </c>
      <c r="I16" s="3">
        <f>H16-G16</f>
      </c>
      <c r="J16" s="3">
        <f>I16*16.67%</f>
      </c>
      <c r="K16" s="3">
        <v>10.91</v>
      </c>
      <c r="L16" s="3">
        <f>K16*20%</f>
      </c>
      <c r="M16" s="3">
        <v>0</v>
      </c>
      <c r="N16" s="3">
        <f>M16*20%</f>
      </c>
      <c r="O16" s="3">
        <v>1</v>
      </c>
      <c r="P16" s="3">
        <f>N16</f>
      </c>
      <c r="Q16" s="3">
        <f>I16-J16-K16-M16-N16-O16</f>
      </c>
      <c r="R16" s="3">
        <f>(Q16-Z16)/G16*100</f>
      </c>
      <c r="S16" s="3">
        <f>J16-P16</f>
      </c>
      <c r="T16" t="s">
        <v>1</v>
      </c>
      <c r="U16" t="s">
        <v>291</v>
      </c>
      <c r="AA16" s="3">
        <f>Q16-Z16</f>
      </c>
      <c r="AB16" t="s">
        <v>125</v>
      </c>
      <c r="AC16" t="s">
        <v>60</v>
      </c>
    </row>
    <row r="17" spans="1:29" x14ac:dyDescent="0.25">
      <c r="A17" s="7">
        <v>46231.5</v>
      </c>
      <c r="B17" t="s">
        <v>3090</v>
      </c>
      <c r="C17" t="s">
        <v>1</v>
      </c>
      <c r="D17" s="8" t="s">
        <v>3091</v>
      </c>
      <c r="E17" t="s">
        <v>63</v>
      </c>
      <c r="F17">
        <v>1</v>
      </c>
      <c r="G17" s="3">
        <v>191</v>
      </c>
      <c r="H17" s="3">
        <v>244.48</v>
      </c>
      <c r="I17" s="3">
        <f>H17-G17</f>
      </c>
      <c r="J17" s="3">
        <f>I17*16.67%</f>
      </c>
      <c r="K17" s="3">
        <v>11.27</v>
      </c>
      <c r="L17" s="3">
        <f>K17*20%</f>
      </c>
      <c r="M17" s="3">
        <v>0</v>
      </c>
      <c r="N17" s="3">
        <f>M17*20%</f>
      </c>
      <c r="O17" s="3">
        <v>1</v>
      </c>
      <c r="P17" s="3">
        <f>N17</f>
      </c>
      <c r="Q17" s="3">
        <f>I17-J17-K17-M17-N17-O17</f>
      </c>
      <c r="R17" s="3">
        <f>(Q17-Z17)/G17*100</f>
      </c>
      <c r="S17" s="3">
        <f>J17-P17</f>
      </c>
      <c r="T17" t="s">
        <v>1</v>
      </c>
      <c r="U17" t="s">
        <v>291</v>
      </c>
      <c r="AA17" s="3">
        <f>Q17-Z17</f>
      </c>
      <c r="AB17" t="s">
        <v>125</v>
      </c>
      <c r="AC17" t="s">
        <v>74</v>
      </c>
    </row>
    <row r="18" spans="1:29" x14ac:dyDescent="0.25">
      <c r="A18" s="7">
        <v>46231.5</v>
      </c>
      <c r="B18" t="s">
        <v>3092</v>
      </c>
      <c r="C18" t="s">
        <v>1</v>
      </c>
      <c r="D18" s="8" t="s">
        <v>3093</v>
      </c>
      <c r="E18" t="s">
        <v>77</v>
      </c>
      <c r="F18">
        <v>1</v>
      </c>
      <c r="G18" s="3">
        <v>104</v>
      </c>
      <c r="H18" s="3">
        <v>142.48</v>
      </c>
      <c r="I18" s="3">
        <f>H18-G18</f>
      </c>
      <c r="J18" s="3">
        <f>I18*16.67%</f>
      </c>
      <c r="K18" s="3">
        <v>6.57</v>
      </c>
      <c r="L18" s="3">
        <f>K18*20%</f>
      </c>
      <c r="M18" s="3">
        <v>0</v>
      </c>
      <c r="N18" s="3">
        <f>M18*20%</f>
      </c>
      <c r="O18" s="3">
        <v>1</v>
      </c>
      <c r="P18" s="3">
        <f>N18</f>
      </c>
      <c r="Q18" s="3">
        <f>I18-J18-K18-M18-N18-O18</f>
      </c>
      <c r="R18" s="3">
        <f>(Q18-Z18)/G18*100</f>
      </c>
      <c r="S18" s="3">
        <f>J18-P18</f>
      </c>
      <c r="T18" t="s">
        <v>1</v>
      </c>
      <c r="U18" t="s">
        <v>133</v>
      </c>
      <c r="AA18" s="3">
        <f>Q18-Z18</f>
      </c>
      <c r="AB18" t="s">
        <v>94</v>
      </c>
      <c r="AC18" t="s">
        <v>98</v>
      </c>
    </row>
    <row r="19" spans="1:29" x14ac:dyDescent="0.25">
      <c r="A19" s="7">
        <v>46231.5</v>
      </c>
      <c r="B19" t="s">
        <v>3094</v>
      </c>
      <c r="C19" t="s">
        <v>1</v>
      </c>
      <c r="D19" s="8" t="s">
        <v>3095</v>
      </c>
      <c r="E19" t="s">
        <v>77</v>
      </c>
      <c r="F19">
        <v>1</v>
      </c>
      <c r="G19" s="3">
        <v>493</v>
      </c>
      <c r="H19" s="3">
        <v>591.6</v>
      </c>
      <c r="I19" s="3">
        <f>H19-G19</f>
      </c>
      <c r="J19" s="3">
        <f>I19*16.67%</f>
      </c>
      <c r="K19" s="3">
        <v>27.27</v>
      </c>
      <c r="L19" s="3">
        <f>K19*20%</f>
      </c>
      <c r="M19" s="3">
        <v>0</v>
      </c>
      <c r="N19" s="3">
        <f>M19*20%</f>
      </c>
      <c r="O19" s="3">
        <v>1</v>
      </c>
      <c r="P19" s="3">
        <f>N19</f>
      </c>
      <c r="Q19" s="3">
        <f>I19-J19-K19-M19-N19-O19</f>
      </c>
      <c r="R19" s="3">
        <f>(Q19-Z19)/G19*100</f>
      </c>
      <c r="S19" s="3">
        <f>J19-P19</f>
      </c>
      <c r="T19" t="s">
        <v>1</v>
      </c>
      <c r="U19" t="s">
        <v>68</v>
      </c>
      <c r="AA19" s="3">
        <f>Q19-Z19</f>
      </c>
      <c r="AB19" t="s">
        <v>59</v>
      </c>
      <c r="AC19" t="s">
        <v>84</v>
      </c>
    </row>
    <row r="20" spans="1:29" x14ac:dyDescent="0.25">
      <c r="A20" s="7">
        <v>46231.5</v>
      </c>
      <c r="B20" t="s">
        <v>3096</v>
      </c>
      <c r="C20" t="s">
        <v>1</v>
      </c>
      <c r="D20" s="8" t="s">
        <v>3097</v>
      </c>
      <c r="E20" t="s">
        <v>72</v>
      </c>
      <c r="F20">
        <v>1</v>
      </c>
      <c r="G20" s="3">
        <v>535</v>
      </c>
      <c r="H20" s="3">
        <v>663.4</v>
      </c>
      <c r="I20" s="3">
        <f>H20-G20</f>
      </c>
      <c r="J20" s="3">
        <f>I20*16.67%</f>
      </c>
      <c r="K20" s="3">
        <v>30.58</v>
      </c>
      <c r="L20" s="3">
        <f>K20*20%</f>
      </c>
      <c r="M20" s="3">
        <v>0</v>
      </c>
      <c r="N20" s="3">
        <f>M20*20%</f>
      </c>
      <c r="O20" s="3">
        <v>1</v>
      </c>
      <c r="P20" s="3">
        <f>N20</f>
      </c>
      <c r="Q20" s="3">
        <f>I20-J20-K20-M20-N20-O20</f>
      </c>
      <c r="R20" s="3">
        <f>(Q20-Z20)/G20*100</f>
      </c>
      <c r="S20" s="3">
        <f>J20-P20</f>
      </c>
      <c r="T20" t="s">
        <v>1</v>
      </c>
      <c r="U20" t="s">
        <v>80</v>
      </c>
      <c r="AA20" s="3">
        <f>Q20-Z20</f>
      </c>
      <c r="AB20" t="s">
        <v>59</v>
      </c>
      <c r="AC20" t="s">
        <v>84</v>
      </c>
    </row>
    <row r="21" spans="1:29" x14ac:dyDescent="0.25">
      <c r="A21" s="7">
        <v>46231.5</v>
      </c>
      <c r="B21" t="s">
        <v>3098</v>
      </c>
      <c r="C21" t="s">
        <v>1</v>
      </c>
      <c r="D21" s="8" t="s">
        <v>3099</v>
      </c>
      <c r="E21" t="s">
        <v>72</v>
      </c>
      <c r="F21">
        <v>1</v>
      </c>
      <c r="G21" s="3">
        <v>122</v>
      </c>
      <c r="H21" s="3">
        <v>176.9</v>
      </c>
      <c r="I21" s="3">
        <f>H21-G21</f>
      </c>
      <c r="J21" s="3">
        <f>I21*16.67%</f>
      </c>
      <c r="K21" s="3">
        <v>8.16</v>
      </c>
      <c r="L21" s="3">
        <f>K21*20%</f>
      </c>
      <c r="M21" s="3">
        <v>0</v>
      </c>
      <c r="N21" s="3">
        <f>M21*20%</f>
      </c>
      <c r="O21" s="3">
        <v>1</v>
      </c>
      <c r="P21" s="3">
        <f>N21</f>
      </c>
      <c r="Q21" s="3">
        <f>I21-J21-K21-M21-N21-O21</f>
      </c>
      <c r="R21" s="3">
        <f>(Q21-Z21)/G21*100</f>
      </c>
      <c r="S21" s="3">
        <f>J21-P21</f>
      </c>
      <c r="T21" t="s">
        <v>1</v>
      </c>
      <c r="U21" t="s">
        <v>133</v>
      </c>
      <c r="AA21" s="3">
        <f>Q21-Z21</f>
      </c>
      <c r="AB21" t="s">
        <v>94</v>
      </c>
      <c r="AC21" t="s">
        <v>87</v>
      </c>
    </row>
    <row r="22" spans="1:29" x14ac:dyDescent="0.25">
      <c r="A22" s="7">
        <v>46231.5</v>
      </c>
      <c r="B22" t="s">
        <v>3100</v>
      </c>
      <c r="C22" t="s">
        <v>1</v>
      </c>
      <c r="D22" s="8" t="s">
        <v>3101</v>
      </c>
      <c r="E22" t="s">
        <v>63</v>
      </c>
      <c r="F22">
        <v>1</v>
      </c>
      <c r="G22" s="3">
        <v>156</v>
      </c>
      <c r="H22" s="3">
        <v>212.16</v>
      </c>
      <c r="I22" s="3">
        <f>H22-G22</f>
      </c>
      <c r="J22" s="3">
        <f>I22*16.67%</f>
      </c>
      <c r="K22" s="3">
        <v>9.78</v>
      </c>
      <c r="L22" s="3">
        <f>K22*20%</f>
      </c>
      <c r="M22" s="3">
        <v>0</v>
      </c>
      <c r="N22" s="3">
        <f>M22*20%</f>
      </c>
      <c r="O22" s="3">
        <v>1</v>
      </c>
      <c r="P22" s="3">
        <f>N22</f>
      </c>
      <c r="Q22" s="3">
        <f>I22-J22-K22-M22-N22-O22</f>
      </c>
      <c r="R22" s="3">
        <f>(Q22-Z22)/G22*100</f>
      </c>
      <c r="S22" s="3">
        <f>J22-P22</f>
      </c>
      <c r="T22" t="s">
        <v>1</v>
      </c>
      <c r="U22" t="s">
        <v>233</v>
      </c>
      <c r="AA22" s="3">
        <f>Q22-Z22</f>
      </c>
      <c r="AB22" t="s">
        <v>65</v>
      </c>
      <c r="AC22" t="s">
        <v>98</v>
      </c>
    </row>
    <row r="23" spans="1:29" x14ac:dyDescent="0.25">
      <c r="A23" s="7">
        <v>46231.5</v>
      </c>
      <c r="B23" t="s">
        <v>3102</v>
      </c>
      <c r="C23" t="s">
        <v>1</v>
      </c>
      <c r="D23" s="8" t="s">
        <v>3103</v>
      </c>
      <c r="E23" t="s">
        <v>63</v>
      </c>
      <c r="F23">
        <v>1</v>
      </c>
      <c r="G23" s="3">
        <v>137</v>
      </c>
      <c r="H23" s="3">
        <v>172.62</v>
      </c>
      <c r="I23" s="3">
        <f>H23-G23</f>
      </c>
      <c r="J23" s="3">
        <f>I23*16.67%</f>
      </c>
      <c r="K23" s="3">
        <v>7.96</v>
      </c>
      <c r="L23" s="3">
        <f>K23*20%</f>
      </c>
      <c r="M23" s="3">
        <v>0</v>
      </c>
      <c r="N23" s="3">
        <f>M23*20%</f>
      </c>
      <c r="O23" s="3">
        <v>1</v>
      </c>
      <c r="P23" s="3">
        <f>N23</f>
      </c>
      <c r="Q23" s="3">
        <f>I23-J23-K23-M23-N23-O23</f>
      </c>
      <c r="R23" s="3">
        <f>(Q23-Z23)/G23*100</f>
      </c>
      <c r="S23" s="3">
        <f>J23-P23</f>
      </c>
      <c r="T23" t="s">
        <v>1</v>
      </c>
      <c r="U23" t="s">
        <v>133</v>
      </c>
      <c r="AA23" s="3">
        <f>Q23-Z23</f>
      </c>
      <c r="AB23" t="s">
        <v>65</v>
      </c>
      <c r="AC23" t="s">
        <v>74</v>
      </c>
    </row>
    <row r="24" spans="1:29" x14ac:dyDescent="0.25">
      <c r="A24" s="7">
        <v>46231.5</v>
      </c>
      <c r="B24" t="s">
        <v>3104</v>
      </c>
      <c r="C24" t="s">
        <v>1</v>
      </c>
      <c r="D24" s="8" t="s">
        <v>3105</v>
      </c>
      <c r="E24" t="s">
        <v>101</v>
      </c>
      <c r="F24">
        <v>1</v>
      </c>
      <c r="G24" s="3">
        <v>452</v>
      </c>
      <c r="H24" s="3">
        <v>655.4</v>
      </c>
      <c r="I24" s="3">
        <f>H24-G24</f>
      </c>
      <c r="J24" s="3">
        <f>I24*16.67%</f>
      </c>
      <c r="K24" s="3">
        <v>30.21</v>
      </c>
      <c r="L24" s="3">
        <f>K24*20%</f>
      </c>
      <c r="M24" s="3">
        <v>0</v>
      </c>
      <c r="N24" s="3">
        <f>M24*20%</f>
      </c>
      <c r="O24" s="3">
        <v>1</v>
      </c>
      <c r="P24" s="3">
        <f>N24</f>
      </c>
      <c r="Q24" s="3">
        <f>I24-J24-K24-M24-N24-O24</f>
      </c>
      <c r="R24" s="3">
        <f>(Q24-Z24)/G24*100</f>
      </c>
      <c r="S24" s="3">
        <f>J24-P24</f>
      </c>
      <c r="T24" t="s">
        <v>1</v>
      </c>
      <c r="U24" t="s">
        <v>58</v>
      </c>
      <c r="AA24" s="3">
        <f>Q24-Z24</f>
      </c>
      <c r="AB24" t="s">
        <v>59</v>
      </c>
      <c r="AC24" t="s">
        <v>74</v>
      </c>
    </row>
    <row r="25" spans="1:29" x14ac:dyDescent="0.25">
      <c r="A25" s="7">
        <v>46231.5</v>
      </c>
      <c r="B25" t="s">
        <v>3106</v>
      </c>
      <c r="C25" t="s">
        <v>1</v>
      </c>
      <c r="D25" s="8" t="s">
        <v>3107</v>
      </c>
      <c r="E25" t="s">
        <v>72</v>
      </c>
      <c r="F25">
        <v>1</v>
      </c>
      <c r="G25" s="3">
        <v>315</v>
      </c>
      <c r="H25" s="3">
        <v>403.2</v>
      </c>
      <c r="I25" s="3">
        <f>H25-G25</f>
      </c>
      <c r="J25" s="3">
        <f>I25*16.67%</f>
      </c>
      <c r="K25" s="3">
        <v>18.59</v>
      </c>
      <c r="L25" s="3">
        <f>K25*20%</f>
      </c>
      <c r="M25" s="3">
        <v>0</v>
      </c>
      <c r="N25" s="3">
        <f>M25*20%</f>
      </c>
      <c r="O25" s="3">
        <v>1</v>
      </c>
      <c r="P25" s="3">
        <f>N25</f>
      </c>
      <c r="Q25" s="3">
        <f>I25-J25-K25-M25-N25-O25</f>
      </c>
      <c r="R25" s="3">
        <f>(Q25-Z25)/G25*100</f>
      </c>
      <c r="S25" s="3">
        <f>J25-P25</f>
      </c>
      <c r="T25" t="s">
        <v>1</v>
      </c>
      <c r="U25" t="s">
        <v>138</v>
      </c>
      <c r="AA25" s="3">
        <f>Q25-Z25</f>
      </c>
      <c r="AB25" t="s">
        <v>65</v>
      </c>
      <c r="AC25" t="s">
        <v>84</v>
      </c>
    </row>
    <row r="26" spans="1:29" x14ac:dyDescent="0.25">
      <c r="A26" s="7">
        <v>46231.5</v>
      </c>
      <c r="B26" t="s">
        <v>3108</v>
      </c>
      <c r="C26" t="s">
        <v>1</v>
      </c>
      <c r="D26" s="8" t="s">
        <v>3109</v>
      </c>
      <c r="E26" t="s">
        <v>101</v>
      </c>
      <c r="F26">
        <v>1</v>
      </c>
      <c r="G26" s="3">
        <v>704</v>
      </c>
      <c r="H26" s="3">
        <v>1006.72</v>
      </c>
      <c r="I26" s="3">
        <f>H26-G26</f>
      </c>
      <c r="J26" s="3">
        <f>I26*16.67%</f>
      </c>
      <c r="K26" s="3">
        <v>46.41</v>
      </c>
      <c r="L26" s="3">
        <f>K26*20%</f>
      </c>
      <c r="M26" s="3">
        <v>0</v>
      </c>
      <c r="N26" s="3">
        <f>M26*20%</f>
      </c>
      <c r="O26" s="3">
        <v>1</v>
      </c>
      <c r="P26" s="3">
        <f>N26</f>
      </c>
      <c r="Q26" s="3">
        <f>I26-J26-K26-M26-N26-O26</f>
      </c>
      <c r="R26" s="3">
        <f>(Q26-Z26)/G26*100</f>
      </c>
      <c r="S26" s="3">
        <f>J26-P26</f>
      </c>
      <c r="T26" t="s">
        <v>1</v>
      </c>
      <c r="U26" t="s">
        <v>83</v>
      </c>
      <c r="AA26" s="3">
        <f>Q26-Z26</f>
      </c>
      <c r="AB26" t="s">
        <v>59</v>
      </c>
      <c r="AC26" t="s">
        <v>69</v>
      </c>
    </row>
    <row r="27" spans="1:29" x14ac:dyDescent="0.25">
      <c r="A27" s="7">
        <v>46231.5</v>
      </c>
      <c r="B27" t="s">
        <v>3110</v>
      </c>
      <c r="C27" t="s">
        <v>1</v>
      </c>
      <c r="D27" s="8" t="s">
        <v>3111</v>
      </c>
      <c r="E27" t="s">
        <v>57</v>
      </c>
      <c r="F27">
        <v>1</v>
      </c>
      <c r="G27" s="3">
        <v>544</v>
      </c>
      <c r="H27" s="3">
        <v>761.6</v>
      </c>
      <c r="I27" s="3">
        <f>H27-G27</f>
      </c>
      <c r="J27" s="3">
        <f>I27*16.67%</f>
      </c>
      <c r="K27" s="3">
        <v>35.11</v>
      </c>
      <c r="L27" s="3">
        <f>K27*20%</f>
      </c>
      <c r="M27" s="3">
        <v>0</v>
      </c>
      <c r="N27" s="3">
        <f>M27*20%</f>
      </c>
      <c r="O27" s="3">
        <v>1</v>
      </c>
      <c r="P27" s="3">
        <f>N27</f>
      </c>
      <c r="Q27" s="3">
        <f>I27-J27-K27-M27-N27-O27</f>
      </c>
      <c r="R27" s="3">
        <f>(Q27-Z27)/G27*100</f>
      </c>
      <c r="S27" s="3">
        <f>J27-P27</f>
      </c>
      <c r="T27" t="s">
        <v>1</v>
      </c>
      <c r="U27" t="s">
        <v>68</v>
      </c>
      <c r="AA27" s="3">
        <f>Q27-Z27</f>
      </c>
      <c r="AB27" t="s">
        <v>59</v>
      </c>
      <c r="AC27" t="s">
        <v>98</v>
      </c>
    </row>
    <row r="28" spans="1:29" x14ac:dyDescent="0.25">
      <c r="A28" s="7">
        <v>46231.5</v>
      </c>
      <c r="B28" t="s">
        <v>3112</v>
      </c>
      <c r="C28" t="s">
        <v>1</v>
      </c>
      <c r="D28" s="8" t="s">
        <v>3113</v>
      </c>
      <c r="E28" t="s">
        <v>57</v>
      </c>
      <c r="F28">
        <v>1</v>
      </c>
      <c r="G28" s="3">
        <v>428</v>
      </c>
      <c r="H28" s="3">
        <v>582.08</v>
      </c>
      <c r="I28" s="3">
        <f>H28-G28</f>
      </c>
      <c r="J28" s="3">
        <f>I28*16.67%</f>
      </c>
      <c r="K28" s="3">
        <v>26.83</v>
      </c>
      <c r="L28" s="3">
        <f>K28*20%</f>
      </c>
      <c r="M28" s="3">
        <v>0</v>
      </c>
      <c r="N28" s="3">
        <f>M28*20%</f>
      </c>
      <c r="O28" s="3">
        <v>1</v>
      </c>
      <c r="P28" s="3">
        <f>N28</f>
      </c>
      <c r="Q28" s="3">
        <f>I28-J28-K28-M28-N28-O28</f>
      </c>
      <c r="R28" s="3">
        <f>(Q28-Z28)/G28*100</f>
      </c>
      <c r="S28" s="3">
        <f>J28-P28</f>
      </c>
      <c r="T28" t="s">
        <v>1</v>
      </c>
      <c r="U28" t="s">
        <v>58</v>
      </c>
      <c r="AA28" s="3">
        <f>Q28-Z28</f>
      </c>
      <c r="AB28" t="s">
        <v>59</v>
      </c>
      <c r="AC28" t="s">
        <v>104</v>
      </c>
    </row>
    <row r="29" spans="1:29" x14ac:dyDescent="0.25">
      <c r="A29" s="7">
        <v>46231.5</v>
      </c>
      <c r="B29" t="s">
        <v>3114</v>
      </c>
      <c r="C29" t="s">
        <v>1</v>
      </c>
      <c r="D29" s="8" t="s">
        <v>3115</v>
      </c>
      <c r="E29" t="s">
        <v>72</v>
      </c>
      <c r="F29">
        <v>1</v>
      </c>
      <c r="G29" s="3">
        <v>83</v>
      </c>
      <c r="H29" s="3">
        <v>115.37</v>
      </c>
      <c r="I29" s="3">
        <f>H29-G29</f>
      </c>
      <c r="J29" s="3">
        <f>I29*16.67%</f>
      </c>
      <c r="K29" s="3">
        <v>5.32</v>
      </c>
      <c r="L29" s="3">
        <f>K29*20%</f>
      </c>
      <c r="M29" s="3">
        <v>0</v>
      </c>
      <c r="N29" s="3">
        <f>M29*20%</f>
      </c>
      <c r="O29" s="3">
        <v>1</v>
      </c>
      <c r="P29" s="3">
        <f>N29</f>
      </c>
      <c r="Q29" s="3">
        <f>I29-J29-K29-M29-N29-O29</f>
      </c>
      <c r="R29" s="3">
        <f>(Q29-Z29)/G29*100</f>
      </c>
      <c r="S29" s="3">
        <f>J29-P29</f>
      </c>
      <c r="T29" t="s">
        <v>1</v>
      </c>
      <c r="U29" t="s">
        <v>93</v>
      </c>
      <c r="AA29" s="3">
        <f>Q29-Z29</f>
      </c>
      <c r="AB29" t="s">
        <v>94</v>
      </c>
      <c r="AC29" t="s">
        <v>98</v>
      </c>
    </row>
    <row r="30" spans="1:29" x14ac:dyDescent="0.25">
      <c r="A30" s="7">
        <v>46231.5</v>
      </c>
      <c r="B30" t="s">
        <v>3116</v>
      </c>
      <c r="C30" t="s">
        <v>1</v>
      </c>
      <c r="D30" s="8" t="s">
        <v>3117</v>
      </c>
      <c r="E30" t="s">
        <v>72</v>
      </c>
      <c r="F30">
        <v>1</v>
      </c>
      <c r="G30" s="3">
        <v>262</v>
      </c>
      <c r="H30" s="3">
        <v>330.12</v>
      </c>
      <c r="I30" s="3">
        <f>H30-G30</f>
      </c>
      <c r="J30" s="3">
        <f>I30*16.67%</f>
      </c>
      <c r="K30" s="3">
        <v>15.22</v>
      </c>
      <c r="L30" s="3">
        <f>K30*20%</f>
      </c>
      <c r="M30" s="3">
        <v>0</v>
      </c>
      <c r="N30" s="3">
        <f>M30*20%</f>
      </c>
      <c r="O30" s="3">
        <v>1</v>
      </c>
      <c r="P30" s="3">
        <f>N30</f>
      </c>
      <c r="Q30" s="3">
        <f>I30-J30-K30-M30-N30-O30</f>
      </c>
      <c r="R30" s="3">
        <f>(Q30-Z30)/G30*100</f>
      </c>
      <c r="S30" s="3">
        <f>J30-P30</f>
      </c>
      <c r="T30" t="s">
        <v>1</v>
      </c>
      <c r="U30" t="s">
        <v>124</v>
      </c>
      <c r="AA30" s="3">
        <f>Q30-Z30</f>
      </c>
      <c r="AB30" t="s">
        <v>125</v>
      </c>
      <c r="AC30" t="s">
        <v>104</v>
      </c>
    </row>
    <row r="31" spans="1:29" x14ac:dyDescent="0.25">
      <c r="A31" s="7">
        <v>46231.5</v>
      </c>
      <c r="B31" t="s">
        <v>3118</v>
      </c>
      <c r="C31" t="s">
        <v>1</v>
      </c>
      <c r="D31" s="8" t="s">
        <v>3119</v>
      </c>
      <c r="E31" t="s">
        <v>57</v>
      </c>
      <c r="F31">
        <v>1</v>
      </c>
      <c r="G31" s="3">
        <v>104</v>
      </c>
      <c r="H31" s="3">
        <v>140.4</v>
      </c>
      <c r="I31" s="3">
        <f>H31-G31</f>
      </c>
      <c r="J31" s="3">
        <f>I31*16.67%</f>
      </c>
      <c r="K31" s="3">
        <v>6.47</v>
      </c>
      <c r="L31" s="3">
        <f>K31*20%</f>
      </c>
      <c r="M31" s="3">
        <v>0</v>
      </c>
      <c r="N31" s="3">
        <f>M31*20%</f>
      </c>
      <c r="O31" s="3">
        <v>1</v>
      </c>
      <c r="P31" s="3">
        <f>N31</f>
      </c>
      <c r="Q31" s="3">
        <f>I31-J31-K31-M31-N31-O31</f>
      </c>
      <c r="R31" s="3">
        <f>(Q31-Z31)/G31*100</f>
      </c>
      <c r="S31" s="3">
        <f>J31-P31</f>
      </c>
      <c r="T31" t="s">
        <v>1</v>
      </c>
      <c r="U31" t="s">
        <v>133</v>
      </c>
      <c r="AA31" s="3">
        <f>Q31-Z31</f>
      </c>
      <c r="AB31" t="s">
        <v>65</v>
      </c>
      <c r="AC31" t="s">
        <v>60</v>
      </c>
    </row>
    <row r="32" spans="1:29" x14ac:dyDescent="0.25">
      <c r="A32" s="7">
        <v>46231.5</v>
      </c>
      <c r="B32" t="s">
        <v>3120</v>
      </c>
      <c r="C32" t="s">
        <v>1</v>
      </c>
      <c r="D32" s="8" t="s">
        <v>3121</v>
      </c>
      <c r="E32" t="s">
        <v>72</v>
      </c>
      <c r="F32">
        <v>1</v>
      </c>
      <c r="G32" s="3">
        <v>247</v>
      </c>
      <c r="H32" s="3">
        <v>335.92</v>
      </c>
      <c r="I32" s="3">
        <f>H32-G32</f>
      </c>
      <c r="J32" s="3">
        <f>I32*16.67%</f>
      </c>
      <c r="K32" s="3">
        <v>15.49</v>
      </c>
      <c r="L32" s="3">
        <f>K32*20%</f>
      </c>
      <c r="M32" s="3">
        <v>0</v>
      </c>
      <c r="N32" s="3">
        <f>M32*20%</f>
      </c>
      <c r="O32" s="3">
        <v>1</v>
      </c>
      <c r="P32" s="3">
        <f>N32</f>
      </c>
      <c r="Q32" s="3">
        <f>I32-J32-K32-M32-N32-O32</f>
      </c>
      <c r="R32" s="3">
        <f>(Q32-Z32)/G32*100</f>
      </c>
      <c r="S32" s="3">
        <f>J32-P32</f>
      </c>
      <c r="T32" t="s">
        <v>1</v>
      </c>
      <c r="U32" t="s">
        <v>124</v>
      </c>
      <c r="AA32" s="3">
        <f>Q32-Z32</f>
      </c>
      <c r="AB32" t="s">
        <v>125</v>
      </c>
      <c r="AC32" t="s">
        <v>69</v>
      </c>
    </row>
    <row r="33" spans="1:29" x14ac:dyDescent="0.25">
      <c r="A33" s="7">
        <v>46231.5</v>
      </c>
      <c r="B33" t="s">
        <v>3122</v>
      </c>
      <c r="C33" t="s">
        <v>1</v>
      </c>
      <c r="D33" s="8" t="s">
        <v>3123</v>
      </c>
      <c r="E33" t="s">
        <v>57</v>
      </c>
      <c r="F33">
        <v>1</v>
      </c>
      <c r="G33" s="3">
        <v>264</v>
      </c>
      <c r="H33" s="3">
        <v>345.84</v>
      </c>
      <c r="I33" s="3">
        <f>H33-G33</f>
      </c>
      <c r="J33" s="3">
        <f>I33*16.67%</f>
      </c>
      <c r="K33" s="3">
        <v>15.94</v>
      </c>
      <c r="L33" s="3">
        <f>K33*20%</f>
      </c>
      <c r="M33" s="3">
        <v>0</v>
      </c>
      <c r="N33" s="3">
        <f>M33*20%</f>
      </c>
      <c r="O33" s="3">
        <v>1</v>
      </c>
      <c r="P33" s="3">
        <f>N33</f>
      </c>
      <c r="Q33" s="3">
        <f>I33-J33-K33-M33-N33-O33</f>
      </c>
      <c r="R33" s="3">
        <f>(Q33-Z33)/G33*100</f>
      </c>
      <c r="S33" s="3">
        <f>J33-P33</f>
      </c>
      <c r="T33" t="s">
        <v>1</v>
      </c>
      <c r="U33" t="s">
        <v>124</v>
      </c>
      <c r="AA33" s="3">
        <f>Q33-Z33</f>
      </c>
      <c r="AB33" t="s">
        <v>125</v>
      </c>
      <c r="AC33" t="s">
        <v>74</v>
      </c>
    </row>
    <row r="34" spans="1:29" x14ac:dyDescent="0.25">
      <c r="A34" s="7">
        <v>46231.5</v>
      </c>
      <c r="B34" t="s">
        <v>3124</v>
      </c>
      <c r="C34" t="s">
        <v>1</v>
      </c>
      <c r="D34" s="8" t="s">
        <v>3125</v>
      </c>
      <c r="E34" t="s">
        <v>101</v>
      </c>
      <c r="F34">
        <v>1</v>
      </c>
      <c r="G34" s="3">
        <v>295</v>
      </c>
      <c r="H34" s="3">
        <v>351.05</v>
      </c>
      <c r="I34" s="3">
        <f>H34-G34</f>
      </c>
      <c r="J34" s="3">
        <f>I34*16.67%</f>
      </c>
      <c r="K34" s="3">
        <v>16.18</v>
      </c>
      <c r="L34" s="3">
        <f>K34*20%</f>
      </c>
      <c r="M34" s="3">
        <v>0</v>
      </c>
      <c r="N34" s="3">
        <f>M34*20%</f>
      </c>
      <c r="O34" s="3">
        <v>1</v>
      </c>
      <c r="P34" s="3">
        <f>N34</f>
      </c>
      <c r="Q34" s="3">
        <f>I34-J34-K34-M34-N34-O34</f>
      </c>
      <c r="R34" s="3">
        <f>(Q34-Z34)/G34*100</f>
      </c>
      <c r="S34" s="3">
        <f>J34-P34</f>
      </c>
      <c r="T34" t="s">
        <v>1</v>
      </c>
      <c r="U34" t="s">
        <v>97</v>
      </c>
      <c r="AA34" s="3">
        <f>Q34-Z34</f>
      </c>
      <c r="AB34" t="s">
        <v>59</v>
      </c>
      <c r="AC34" t="s">
        <v>98</v>
      </c>
    </row>
    <row r="35" spans="1:29" x14ac:dyDescent="0.25">
      <c r="A35" s="7">
        <v>46231.5</v>
      </c>
      <c r="B35" t="s">
        <v>3126</v>
      </c>
      <c r="C35" t="s">
        <v>1</v>
      </c>
      <c r="D35" s="8" t="s">
        <v>3127</v>
      </c>
      <c r="E35" t="s">
        <v>63</v>
      </c>
      <c r="F35">
        <v>1</v>
      </c>
      <c r="G35" s="3">
        <v>141</v>
      </c>
      <c r="H35" s="3">
        <v>179.07</v>
      </c>
      <c r="I35" s="3">
        <f>H35-G35</f>
      </c>
      <c r="J35" s="3">
        <f>I35*16.67%</f>
      </c>
      <c r="K35" s="3">
        <v>8.26</v>
      </c>
      <c r="L35" s="3">
        <f>K35*20%</f>
      </c>
      <c r="M35" s="3">
        <v>0</v>
      </c>
      <c r="N35" s="3">
        <f>M35*20%</f>
      </c>
      <c r="O35" s="3">
        <v>1</v>
      </c>
      <c r="P35" s="3">
        <f>N35</f>
      </c>
      <c r="Q35" s="3">
        <f>I35-J35-K35-M35-N35-O35</f>
      </c>
      <c r="R35" s="3">
        <f>(Q35-Z35)/G35*100</f>
      </c>
      <c r="S35" s="3">
        <f>J35-P35</f>
      </c>
      <c r="T35" t="s">
        <v>1</v>
      </c>
      <c r="U35" t="s">
        <v>171</v>
      </c>
      <c r="AA35" s="3">
        <f>Q35-Z35</f>
      </c>
      <c r="AB35" t="s">
        <v>65</v>
      </c>
      <c r="AC35" t="s">
        <v>98</v>
      </c>
    </row>
    <row r="36" spans="1:29" x14ac:dyDescent="0.25">
      <c r="A36" s="7">
        <v>46231.5</v>
      </c>
      <c r="B36" t="s">
        <v>3128</v>
      </c>
      <c r="C36" t="s">
        <v>1</v>
      </c>
      <c r="D36" s="8" t="s">
        <v>3129</v>
      </c>
      <c r="E36" t="s">
        <v>57</v>
      </c>
      <c r="F36">
        <v>1</v>
      </c>
      <c r="G36" s="3">
        <v>169</v>
      </c>
      <c r="H36" s="3">
        <v>243.36</v>
      </c>
      <c r="I36" s="3">
        <f>H36-G36</f>
      </c>
      <c r="J36" s="3">
        <f>I36*16.67%</f>
      </c>
      <c r="K36" s="3">
        <v>11.22</v>
      </c>
      <c r="L36" s="3">
        <f>K36*20%</f>
      </c>
      <c r="M36" s="3">
        <v>0</v>
      </c>
      <c r="N36" s="3">
        <f>M36*20%</f>
      </c>
      <c r="O36" s="3">
        <v>1</v>
      </c>
      <c r="P36" s="3">
        <f>N36</f>
      </c>
      <c r="Q36" s="3">
        <f>I36-J36-K36-M36-N36-O36</f>
      </c>
      <c r="R36" s="3">
        <f>(Q36-Z36)/G36*100</f>
      </c>
      <c r="S36" s="3">
        <f>J36-P36</f>
      </c>
      <c r="T36" t="s">
        <v>1</v>
      </c>
      <c r="U36" t="s">
        <v>171</v>
      </c>
      <c r="AA36" s="3">
        <f>Q36-Z36</f>
      </c>
      <c r="AB36" t="s">
        <v>65</v>
      </c>
      <c r="AC36" t="s">
        <v>87</v>
      </c>
    </row>
    <row r="37" spans="1:29" x14ac:dyDescent="0.25">
      <c r="A37" s="7">
        <v>46231.5</v>
      </c>
      <c r="B37" t="s">
        <v>3130</v>
      </c>
      <c r="C37" t="s">
        <v>1</v>
      </c>
      <c r="D37" s="8" t="s">
        <v>3131</v>
      </c>
      <c r="E37" t="s">
        <v>101</v>
      </c>
      <c r="F37">
        <v>1</v>
      </c>
      <c r="G37" s="3">
        <v>551</v>
      </c>
      <c r="H37" s="3">
        <v>705.28</v>
      </c>
      <c r="I37" s="3">
        <f>H37-G37</f>
      </c>
      <c r="J37" s="3">
        <f>I37*16.67%</f>
      </c>
      <c r="K37" s="3">
        <v>32.51</v>
      </c>
      <c r="L37" s="3">
        <f>K37*20%</f>
      </c>
      <c r="M37" s="3">
        <v>0</v>
      </c>
      <c r="N37" s="3">
        <f>M37*20%</f>
      </c>
      <c r="O37" s="3">
        <v>1</v>
      </c>
      <c r="P37" s="3">
        <f>N37</f>
      </c>
      <c r="Q37" s="3">
        <f>I37-J37-K37-M37-N37-O37</f>
      </c>
      <c r="R37" s="3">
        <f>(Q37-Z37)/G37*100</f>
      </c>
      <c r="S37" s="3">
        <f>J37-P37</f>
      </c>
      <c r="T37" t="s">
        <v>1</v>
      </c>
      <c r="U37" t="s">
        <v>80</v>
      </c>
      <c r="AA37" s="3">
        <f>Q37-Z37</f>
      </c>
      <c r="AB37" t="s">
        <v>59</v>
      </c>
      <c r="AC37" t="s">
        <v>87</v>
      </c>
    </row>
    <row r="38" spans="1:29" x14ac:dyDescent="0.25">
      <c r="A38" s="7">
        <v>46231.5</v>
      </c>
      <c r="B38" t="s">
        <v>3132</v>
      </c>
      <c r="C38" t="s">
        <v>1</v>
      </c>
      <c r="D38" s="8" t="s">
        <v>3133</v>
      </c>
      <c r="E38" t="s">
        <v>63</v>
      </c>
      <c r="F38">
        <v>1</v>
      </c>
      <c r="G38" s="3">
        <v>139</v>
      </c>
      <c r="H38" s="3">
        <v>176.53</v>
      </c>
      <c r="I38" s="3">
        <f>H38-G38</f>
      </c>
      <c r="J38" s="3">
        <f>I38*16.67%</f>
      </c>
      <c r="K38" s="3">
        <v>8.14</v>
      </c>
      <c r="L38" s="3">
        <f>K38*20%</f>
      </c>
      <c r="M38" s="3">
        <v>0</v>
      </c>
      <c r="N38" s="3">
        <f>M38*20%</f>
      </c>
      <c r="O38" s="3">
        <v>1</v>
      </c>
      <c r="P38" s="3">
        <f>N38</f>
      </c>
      <c r="Q38" s="3">
        <f>I38-J38-K38-M38-N38-O38</f>
      </c>
      <c r="R38" s="3">
        <f>(Q38-Z38)/G38*100</f>
      </c>
      <c r="S38" s="3">
        <f>J38-P38</f>
      </c>
      <c r="T38" t="s">
        <v>1</v>
      </c>
      <c r="U38" t="s">
        <v>133</v>
      </c>
      <c r="AA38" s="3">
        <f>Q38-Z38</f>
      </c>
      <c r="AB38" t="s">
        <v>94</v>
      </c>
      <c r="AC38" t="s">
        <v>87</v>
      </c>
    </row>
    <row r="39" spans="1:29" x14ac:dyDescent="0.25">
      <c r="A39" s="7">
        <v>46231.5</v>
      </c>
      <c r="B39" t="s">
        <v>3134</v>
      </c>
      <c r="C39" t="s">
        <v>1</v>
      </c>
      <c r="D39" s="8" t="s">
        <v>3135</v>
      </c>
      <c r="E39" t="s">
        <v>101</v>
      </c>
      <c r="F39">
        <v>1</v>
      </c>
      <c r="G39" s="3">
        <v>176</v>
      </c>
      <c r="H39" s="3">
        <v>205.92</v>
      </c>
      <c r="I39" s="3">
        <f>H39-G39</f>
      </c>
      <c r="J39" s="3">
        <f>I39*16.67%</f>
      </c>
      <c r="K39" s="3">
        <v>9.49</v>
      </c>
      <c r="L39" s="3">
        <f>K39*20%</f>
      </c>
      <c r="M39" s="3">
        <v>0</v>
      </c>
      <c r="N39" s="3">
        <f>M39*20%</f>
      </c>
      <c r="O39" s="3">
        <v>1</v>
      </c>
      <c r="P39" s="3">
        <f>N39</f>
      </c>
      <c r="Q39" s="3">
        <f>I39-J39-K39-M39-N39-O39</f>
      </c>
      <c r="R39" s="3">
        <f>(Q39-Z39)/G39*100</f>
      </c>
      <c r="S39" s="3">
        <f>J39-P39</f>
      </c>
      <c r="T39" t="s">
        <v>1</v>
      </c>
      <c r="U39" t="s">
        <v>171</v>
      </c>
      <c r="AA39" s="3">
        <f>Q39-Z39</f>
      </c>
      <c r="AB39" t="s">
        <v>65</v>
      </c>
      <c r="AC39" t="s">
        <v>98</v>
      </c>
    </row>
    <row r="40" spans="1:29" x14ac:dyDescent="0.25">
      <c r="A40" s="7">
        <v>46231.5</v>
      </c>
      <c r="B40" t="s">
        <v>3136</v>
      </c>
      <c r="C40" t="s">
        <v>1</v>
      </c>
      <c r="D40" s="8" t="s">
        <v>3137</v>
      </c>
      <c r="E40" t="s">
        <v>63</v>
      </c>
      <c r="F40">
        <v>1</v>
      </c>
      <c r="G40" s="3">
        <v>261</v>
      </c>
      <c r="H40" s="3">
        <v>328.86</v>
      </c>
      <c r="I40" s="3">
        <f>H40-G40</f>
      </c>
      <c r="J40" s="3">
        <f>I40*16.67%</f>
      </c>
      <c r="K40" s="3">
        <v>15.16</v>
      </c>
      <c r="L40" s="3">
        <f>K40*20%</f>
      </c>
      <c r="M40" s="3">
        <v>0</v>
      </c>
      <c r="N40" s="3">
        <f>M40*20%</f>
      </c>
      <c r="O40" s="3">
        <v>1</v>
      </c>
      <c r="P40" s="3">
        <f>N40</f>
      </c>
      <c r="Q40" s="3">
        <f>I40-J40-K40-M40-N40-O40</f>
      </c>
      <c r="R40" s="3">
        <f>(Q40-Z40)/G40*100</f>
      </c>
      <c r="S40" s="3">
        <f>J40-P40</f>
      </c>
      <c r="T40" t="s">
        <v>1</v>
      </c>
      <c r="U40" t="s">
        <v>124</v>
      </c>
      <c r="AA40" s="3">
        <f>Q40-Z40</f>
      </c>
      <c r="AB40" t="s">
        <v>125</v>
      </c>
      <c r="AC40" t="s">
        <v>87</v>
      </c>
    </row>
    <row r="41" spans="1:29" x14ac:dyDescent="0.25">
      <c r="A41" s="7">
        <v>46231.5</v>
      </c>
      <c r="B41" t="s">
        <v>3138</v>
      </c>
      <c r="C41" t="s">
        <v>1</v>
      </c>
      <c r="D41" s="8" t="s">
        <v>3139</v>
      </c>
      <c r="E41" t="s">
        <v>77</v>
      </c>
      <c r="F41">
        <v>1</v>
      </c>
      <c r="G41" s="3">
        <v>152</v>
      </c>
      <c r="H41" s="3">
        <v>218.88</v>
      </c>
      <c r="I41" s="3">
        <f>H41-G41</f>
      </c>
      <c r="J41" s="3">
        <f>I41*16.67%</f>
      </c>
      <c r="K41" s="3">
        <v>10.09</v>
      </c>
      <c r="L41" s="3">
        <f>K41*20%</f>
      </c>
      <c r="M41" s="3">
        <v>0</v>
      </c>
      <c r="N41" s="3">
        <f>M41*20%</f>
      </c>
      <c r="O41" s="3">
        <v>1</v>
      </c>
      <c r="P41" s="3">
        <f>N41</f>
      </c>
      <c r="Q41" s="3">
        <f>I41-J41-K41-M41-N41-O41</f>
      </c>
      <c r="R41" s="3">
        <f>(Q41-Z41)/G41*100</f>
      </c>
      <c r="S41" s="3">
        <f>J41-P41</f>
      </c>
      <c r="T41" t="s">
        <v>1</v>
      </c>
      <c r="U41" t="s">
        <v>171</v>
      </c>
      <c r="AA41" s="3">
        <f>Q41-Z41</f>
      </c>
      <c r="AB41" t="s">
        <v>65</v>
      </c>
      <c r="AC41" t="s">
        <v>60</v>
      </c>
    </row>
    <row r="42" spans="1:29" x14ac:dyDescent="0.25">
      <c r="A42" s="7">
        <v>46231.5</v>
      </c>
      <c r="B42" t="s">
        <v>3140</v>
      </c>
      <c r="C42" t="s">
        <v>1</v>
      </c>
      <c r="D42" s="8" t="s">
        <v>3141</v>
      </c>
      <c r="E42" t="s">
        <v>77</v>
      </c>
      <c r="F42">
        <v>1</v>
      </c>
      <c r="G42" s="3">
        <v>147</v>
      </c>
      <c r="H42" s="3">
        <v>207.27</v>
      </c>
      <c r="I42" s="3">
        <f>H42-G42</f>
      </c>
      <c r="J42" s="3">
        <f>I42*16.67%</f>
      </c>
      <c r="K42" s="3">
        <v>9.56</v>
      </c>
      <c r="L42" s="3">
        <f>K42*20%</f>
      </c>
      <c r="M42" s="3">
        <v>0</v>
      </c>
      <c r="N42" s="3">
        <f>M42*20%</f>
      </c>
      <c r="O42" s="3">
        <v>1</v>
      </c>
      <c r="P42" s="3">
        <f>N42</f>
      </c>
      <c r="Q42" s="3">
        <f>I42-J42-K42-M42-N42-O42</f>
      </c>
      <c r="R42" s="3">
        <f>(Q42-Z42)/G42*100</f>
      </c>
      <c r="S42" s="3">
        <f>J42-P42</f>
      </c>
      <c r="T42" t="s">
        <v>1</v>
      </c>
      <c r="U42" t="s">
        <v>171</v>
      </c>
      <c r="AA42" s="3">
        <f>Q42-Z42</f>
      </c>
      <c r="AB42" t="s">
        <v>65</v>
      </c>
      <c r="AC42" t="s">
        <v>84</v>
      </c>
    </row>
    <row r="43" spans="1:29" x14ac:dyDescent="0.25">
      <c r="A43" s="7">
        <v>46231.5</v>
      </c>
      <c r="B43" t="s">
        <v>3142</v>
      </c>
      <c r="C43" t="s">
        <v>1</v>
      </c>
      <c r="D43" s="8" t="s">
        <v>3143</v>
      </c>
      <c r="E43" t="s">
        <v>77</v>
      </c>
      <c r="F43">
        <v>1</v>
      </c>
      <c r="G43" s="3">
        <v>536</v>
      </c>
      <c r="H43" s="3">
        <v>745.04</v>
      </c>
      <c r="I43" s="3">
        <f>H43-G43</f>
      </c>
      <c r="J43" s="3">
        <f>I43*16.67%</f>
      </c>
      <c r="K43" s="3">
        <v>34.35</v>
      </c>
      <c r="L43" s="3">
        <f>K43*20%</f>
      </c>
      <c r="M43" s="3">
        <v>0</v>
      </c>
      <c r="N43" s="3">
        <f>M43*20%</f>
      </c>
      <c r="O43" s="3">
        <v>1</v>
      </c>
      <c r="P43" s="3">
        <f>N43</f>
      </c>
      <c r="Q43" s="3">
        <f>I43-J43-K43-M43-N43-O43</f>
      </c>
      <c r="R43" s="3">
        <f>(Q43-Z43)/G43*100</f>
      </c>
      <c r="S43" s="3">
        <f>J43-P43</f>
      </c>
      <c r="T43" t="s">
        <v>1</v>
      </c>
      <c r="U43" t="s">
        <v>68</v>
      </c>
      <c r="AA43" s="3">
        <f>Q43-Z43</f>
      </c>
      <c r="AB43" t="s">
        <v>59</v>
      </c>
      <c r="AC43" t="s">
        <v>74</v>
      </c>
    </row>
    <row r="44" spans="1:29" x14ac:dyDescent="0.25">
      <c r="A44" s="7">
        <v>46231.5</v>
      </c>
      <c r="B44" t="s">
        <v>3144</v>
      </c>
      <c r="C44" t="s">
        <v>1</v>
      </c>
      <c r="D44" s="8" t="s">
        <v>3145</v>
      </c>
      <c r="E44" t="s">
        <v>77</v>
      </c>
      <c r="F44">
        <v>1</v>
      </c>
      <c r="G44" s="3">
        <v>332</v>
      </c>
      <c r="H44" s="3">
        <v>481.4</v>
      </c>
      <c r="I44" s="3">
        <f>H44-G44</f>
      </c>
      <c r="J44" s="3">
        <f>I44*16.67%</f>
      </c>
      <c r="K44" s="3">
        <v>22.19</v>
      </c>
      <c r="L44" s="3">
        <f>K44*20%</f>
      </c>
      <c r="M44" s="3">
        <v>0</v>
      </c>
      <c r="N44" s="3">
        <f>M44*20%</f>
      </c>
      <c r="O44" s="3">
        <v>1</v>
      </c>
      <c r="P44" s="3">
        <f>N44</f>
      </c>
      <c r="Q44" s="3">
        <f>I44-J44-K44-M44-N44-O44</f>
      </c>
      <c r="R44" s="3">
        <f>(Q44-Z44)/G44*100</f>
      </c>
      <c r="S44" s="3">
        <f>J44-P44</f>
      </c>
      <c r="T44" t="s">
        <v>1</v>
      </c>
      <c r="U44" t="s">
        <v>97</v>
      </c>
      <c r="AA44" s="3">
        <f>Q44-Z44</f>
      </c>
      <c r="AB44" t="s">
        <v>59</v>
      </c>
      <c r="AC44" t="s">
        <v>98</v>
      </c>
    </row>
    <row r="45" spans="1:29" x14ac:dyDescent="0.25">
      <c r="A45" s="7">
        <v>46231.5</v>
      </c>
      <c r="B45" t="s">
        <v>3146</v>
      </c>
      <c r="C45" t="s">
        <v>1</v>
      </c>
      <c r="D45" s="8" t="s">
        <v>3147</v>
      </c>
      <c r="E45" t="s">
        <v>72</v>
      </c>
      <c r="F45">
        <v>1</v>
      </c>
      <c r="G45" s="3">
        <v>226</v>
      </c>
      <c r="H45" s="3">
        <v>259.9</v>
      </c>
      <c r="I45" s="3">
        <f>H45-G45</f>
      </c>
      <c r="J45" s="3">
        <f>I45*16.67%</f>
      </c>
      <c r="K45" s="3">
        <v>11.98</v>
      </c>
      <c r="L45" s="3">
        <f>K45*20%</f>
      </c>
      <c r="M45" s="3">
        <v>0</v>
      </c>
      <c r="N45" s="3">
        <f>M45*20%</f>
      </c>
      <c r="O45" s="3">
        <v>1</v>
      </c>
      <c r="P45" s="3">
        <f>N45</f>
      </c>
      <c r="Q45" s="3">
        <f>I45-J45-K45-M45-N45-O45</f>
      </c>
      <c r="R45" s="3">
        <f>(Q45-Z45)/G45*100</f>
      </c>
      <c r="S45" s="3">
        <f>J45-P45</f>
      </c>
      <c r="T45" t="s">
        <v>1</v>
      </c>
      <c r="U45" t="s">
        <v>113</v>
      </c>
      <c r="AA45" s="3">
        <f>Q45-Z45</f>
      </c>
      <c r="AB45" t="s">
        <v>94</v>
      </c>
      <c r="AC45" t="s">
        <v>74</v>
      </c>
    </row>
    <row r="46" spans="1:29" x14ac:dyDescent="0.25">
      <c r="A46" s="7">
        <v>46231.5</v>
      </c>
      <c r="B46" t="s">
        <v>3148</v>
      </c>
      <c r="C46" t="s">
        <v>188</v>
      </c>
      <c r="D46" s="8" t="s">
        <v>1</v>
      </c>
      <c r="E46" t="s">
        <v>63</v>
      </c>
      <c r="F46">
        <v>3</v>
      </c>
      <c r="G46" s="3">
        <v>10.5</v>
      </c>
      <c r="H46" s="3">
        <v>15.22</v>
      </c>
      <c r="I46" s="3">
        <f>H46-G46</f>
      </c>
      <c r="J46" s="3">
        <f>I46*16.67%</f>
      </c>
      <c r="K46" s="3">
        <v>0.7</v>
      </c>
      <c r="L46" s="3">
        <f>K46*20%</f>
      </c>
      <c r="M46" s="3">
        <v>0</v>
      </c>
      <c r="N46" s="3">
        <f>M46*20%</f>
      </c>
      <c r="O46" s="3">
        <v>1</v>
      </c>
      <c r="P46" s="3">
        <f>N46</f>
      </c>
      <c r="Q46" s="3">
        <f>I46-J46-K46-M46-N46-O46</f>
      </c>
      <c r="R46" s="3">
        <f>(Q46-Z46)/G46*100</f>
      </c>
      <c r="S46" s="3">
        <f>J46-P46</f>
      </c>
      <c r="T46" t="s">
        <v>1</v>
      </c>
      <c r="U46" t="s">
        <v>188</v>
      </c>
      <c r="AA46" s="3">
        <f>Q46-Z46</f>
      </c>
      <c r="AB46" t="s">
        <v>1</v>
      </c>
      <c r="AC46" t="s">
        <v>1</v>
      </c>
    </row>
    <row r="47" spans="1:29" x14ac:dyDescent="0.25">
      <c r="A47" s="7">
        <v>46231.5</v>
      </c>
      <c r="B47" t="s">
        <v>3149</v>
      </c>
      <c r="C47" t="s">
        <v>173</v>
      </c>
      <c r="D47" s="8" t="s">
        <v>1</v>
      </c>
      <c r="E47" t="s">
        <v>63</v>
      </c>
      <c r="F47">
        <v>4</v>
      </c>
      <c r="G47" s="3">
        <v>17</v>
      </c>
      <c r="H47" s="3">
        <v>23.29</v>
      </c>
      <c r="I47" s="3">
        <f>H47-G47</f>
      </c>
      <c r="J47" s="3">
        <f>I47*16.67%</f>
      </c>
      <c r="K47" s="3">
        <v>1.07</v>
      </c>
      <c r="L47" s="3">
        <f>K47*20%</f>
      </c>
      <c r="M47" s="3">
        <v>0</v>
      </c>
      <c r="N47" s="3">
        <f>M47*20%</f>
      </c>
      <c r="O47" s="3">
        <v>1</v>
      </c>
      <c r="P47" s="3">
        <f>N47</f>
      </c>
      <c r="Q47" s="3">
        <f>I47-J47-K47-M47-N47-O47</f>
      </c>
      <c r="R47" s="3">
        <f>(Q47-Z47)/G47*100</f>
      </c>
      <c r="S47" s="3">
        <f>J47-P47</f>
      </c>
      <c r="T47" t="s">
        <v>1</v>
      </c>
      <c r="U47" t="s">
        <v>173</v>
      </c>
      <c r="AA47" s="3">
        <f>Q47-Z47</f>
      </c>
      <c r="AB47" t="s">
        <v>1</v>
      </c>
      <c r="AC47" t="s">
        <v>1</v>
      </c>
    </row>
    <row r="48" spans="1:29" x14ac:dyDescent="0.25">
      <c r="A48" s="7">
        <v>46231.5</v>
      </c>
      <c r="B48" t="s">
        <v>3150</v>
      </c>
      <c r="C48" t="s">
        <v>173</v>
      </c>
      <c r="D48" s="8" t="s">
        <v>1</v>
      </c>
      <c r="E48" t="s">
        <v>63</v>
      </c>
      <c r="F48">
        <v>4</v>
      </c>
      <c r="G48" s="3">
        <v>17</v>
      </c>
      <c r="H48" s="3">
        <v>22.61</v>
      </c>
      <c r="I48" s="3">
        <f>H48-G48</f>
      </c>
      <c r="J48" s="3">
        <f>I48*16.67%</f>
      </c>
      <c r="K48" s="3">
        <v>1.04</v>
      </c>
      <c r="L48" s="3">
        <f>K48*20%</f>
      </c>
      <c r="M48" s="3">
        <v>0</v>
      </c>
      <c r="N48" s="3">
        <f>M48*20%</f>
      </c>
      <c r="O48" s="3">
        <v>1</v>
      </c>
      <c r="P48" s="3">
        <f>N48</f>
      </c>
      <c r="Q48" s="3">
        <f>I48-J48-K48-M48-N48-O48</f>
      </c>
      <c r="R48" s="3">
        <f>(Q48-Z48)/G48*100</f>
      </c>
      <c r="S48" s="3">
        <f>J48-P48</f>
      </c>
      <c r="T48" t="s">
        <v>1</v>
      </c>
      <c r="U48" t="s">
        <v>173</v>
      </c>
      <c r="AA48" s="3">
        <f>Q48-Z48</f>
      </c>
      <c r="AB48" t="s">
        <v>1</v>
      </c>
      <c r="AC48" t="s">
        <v>1</v>
      </c>
    </row>
    <row r="49" spans="1:29" x14ac:dyDescent="0.25">
      <c r="A49" s="7">
        <v>46231.5</v>
      </c>
      <c r="B49" t="s">
        <v>3151</v>
      </c>
      <c r="C49" t="s">
        <v>176</v>
      </c>
      <c r="D49" s="8" t="s">
        <v>1</v>
      </c>
      <c r="E49" t="s">
        <v>77</v>
      </c>
      <c r="F49">
        <v>1</v>
      </c>
      <c r="G49" s="3">
        <v>0.15</v>
      </c>
      <c r="H49" s="3">
        <v>0.2</v>
      </c>
      <c r="I49" s="3">
        <f>H49-G49</f>
      </c>
      <c r="J49" s="3">
        <f>I49*16.67%</f>
      </c>
      <c r="K49" s="3">
        <v>0.01</v>
      </c>
      <c r="L49" s="3">
        <f>K49*20%</f>
      </c>
      <c r="M49" s="3">
        <v>0</v>
      </c>
      <c r="N49" s="3">
        <f>M49*20%</f>
      </c>
      <c r="O49" s="3">
        <v>1</v>
      </c>
      <c r="P49" s="3">
        <f>N49</f>
      </c>
      <c r="Q49" s="3">
        <f>I49-J49-K49-M49-N49-O49</f>
      </c>
      <c r="R49" s="3">
        <f>(Q49-Z49)/G49*100</f>
      </c>
      <c r="S49" s="3">
        <f>J49-P49</f>
      </c>
      <c r="T49" t="s">
        <v>1</v>
      </c>
      <c r="U49" t="s">
        <v>176</v>
      </c>
      <c r="AA49" s="3">
        <f>Q49-Z49</f>
      </c>
      <c r="AB49" t="s">
        <v>1</v>
      </c>
      <c r="AC49" t="s">
        <v>1</v>
      </c>
    </row>
    <row r="50" spans="1:29" x14ac:dyDescent="0.25">
      <c r="A50" s="7">
        <v>46231.5</v>
      </c>
      <c r="B50" t="s">
        <v>3152</v>
      </c>
      <c r="C50" t="s">
        <v>176</v>
      </c>
      <c r="D50" s="8" t="s">
        <v>1</v>
      </c>
      <c r="E50" t="s">
        <v>77</v>
      </c>
      <c r="F50">
        <v>1</v>
      </c>
      <c r="G50" s="3">
        <v>0.15</v>
      </c>
      <c r="H50" s="3">
        <v>0.21</v>
      </c>
      <c r="I50" s="3">
        <f>H50-G50</f>
      </c>
      <c r="J50" s="3">
        <f>I50*16.67%</f>
      </c>
      <c r="K50" s="3">
        <v>0.01</v>
      </c>
      <c r="L50" s="3">
        <f>K50*20%</f>
      </c>
      <c r="M50" s="3">
        <v>0</v>
      </c>
      <c r="N50" s="3">
        <f>M50*20%</f>
      </c>
      <c r="O50" s="3">
        <v>1</v>
      </c>
      <c r="P50" s="3">
        <f>N50</f>
      </c>
      <c r="Q50" s="3">
        <f>I50-J50-K50-M50-N50-O50</f>
      </c>
      <c r="R50" s="3">
        <f>(Q50-Z50)/G50*100</f>
      </c>
      <c r="S50" s="3">
        <f>J50-P50</f>
      </c>
      <c r="T50" t="s">
        <v>1</v>
      </c>
      <c r="U50" t="s">
        <v>176</v>
      </c>
      <c r="AA50" s="3">
        <f>Q50-Z50</f>
      </c>
      <c r="AB50" t="s">
        <v>1</v>
      </c>
      <c r="AC50" t="s">
        <v>1</v>
      </c>
    </row>
    <row r="51" spans="1:29" x14ac:dyDescent="0.25">
      <c r="A51" s="7">
        <v>46231.5</v>
      </c>
      <c r="B51" t="s">
        <v>3153</v>
      </c>
      <c r="C51" t="s">
        <v>176</v>
      </c>
      <c r="D51" s="8" t="s">
        <v>1</v>
      </c>
      <c r="E51" t="s">
        <v>77</v>
      </c>
      <c r="F51">
        <v>4</v>
      </c>
      <c r="G51" s="3">
        <v>0.6</v>
      </c>
      <c r="H51" s="3">
        <v>0.83</v>
      </c>
      <c r="I51" s="3">
        <f>H51-G51</f>
      </c>
      <c r="J51" s="3">
        <f>I51*16.67%</f>
      </c>
      <c r="K51" s="3">
        <v>0.04</v>
      </c>
      <c r="L51" s="3">
        <f>K51*20%</f>
      </c>
      <c r="M51" s="3">
        <v>0</v>
      </c>
      <c r="N51" s="3">
        <f>M51*20%</f>
      </c>
      <c r="O51" s="3">
        <v>1</v>
      </c>
      <c r="P51" s="3">
        <f>N51</f>
      </c>
      <c r="Q51" s="3">
        <f>I51-J51-K51-M51-N51-O51</f>
      </c>
      <c r="R51" s="3">
        <f>(Q51-Z51)/G51*100</f>
      </c>
      <c r="S51" s="3">
        <f>J51-P51</f>
      </c>
      <c r="T51" t="s">
        <v>1</v>
      </c>
      <c r="U51" t="s">
        <v>176</v>
      </c>
      <c r="AA51" s="3">
        <f>Q51-Z51</f>
      </c>
      <c r="AB51" t="s">
        <v>1</v>
      </c>
      <c r="AC51" t="s">
        <v>1</v>
      </c>
    </row>
    <row r="52" spans="1:29" x14ac:dyDescent="0.25">
      <c r="A52" s="7">
        <v>46231.5</v>
      </c>
      <c r="B52" t="s">
        <v>3154</v>
      </c>
      <c r="C52" t="s">
        <v>176</v>
      </c>
      <c r="D52" s="8" t="s">
        <v>1</v>
      </c>
      <c r="E52" t="s">
        <v>77</v>
      </c>
      <c r="F52">
        <v>2</v>
      </c>
      <c r="G52" s="3">
        <v>0.3</v>
      </c>
      <c r="H52" s="3">
        <v>0.38</v>
      </c>
      <c r="I52" s="3">
        <f>H52-G52</f>
      </c>
      <c r="J52" s="3">
        <f>I52*16.67%</f>
      </c>
      <c r="K52" s="3">
        <v>0.02</v>
      </c>
      <c r="L52" s="3">
        <f>K52*20%</f>
      </c>
      <c r="M52" s="3">
        <v>0</v>
      </c>
      <c r="N52" s="3">
        <f>M52*20%</f>
      </c>
      <c r="O52" s="3">
        <v>1</v>
      </c>
      <c r="P52" s="3">
        <f>N52</f>
      </c>
      <c r="Q52" s="3">
        <f>I52-J52-K52-M52-N52-O52</f>
      </c>
      <c r="R52" s="3">
        <f>(Q52-Z52)/G52*100</f>
      </c>
      <c r="S52" s="3">
        <f>J52-P52</f>
      </c>
      <c r="T52" t="s">
        <v>1</v>
      </c>
      <c r="U52" t="s">
        <v>176</v>
      </c>
      <c r="AA52" s="3">
        <f>Q52-Z52</f>
      </c>
      <c r="AB52" t="s">
        <v>1</v>
      </c>
      <c r="AC52" t="s">
        <v>1</v>
      </c>
    </row>
    <row r="53" spans="1:29" x14ac:dyDescent="0.25">
      <c r="A53" s="7">
        <v>46231.5</v>
      </c>
      <c r="B53" t="s">
        <v>3155</v>
      </c>
      <c r="C53" t="s">
        <v>176</v>
      </c>
      <c r="D53" s="8" t="s">
        <v>1</v>
      </c>
      <c r="E53" t="s">
        <v>77</v>
      </c>
      <c r="F53">
        <v>1</v>
      </c>
      <c r="G53" s="3">
        <v>0.15</v>
      </c>
      <c r="H53" s="3">
        <v>0.22</v>
      </c>
      <c r="I53" s="3">
        <f>H53-G53</f>
      </c>
      <c r="J53" s="3">
        <f>I53*16.67%</f>
      </c>
      <c r="K53" s="3">
        <v>0.01</v>
      </c>
      <c r="L53" s="3">
        <f>K53*20%</f>
      </c>
      <c r="M53" s="3">
        <v>0</v>
      </c>
      <c r="N53" s="3">
        <f>M53*20%</f>
      </c>
      <c r="O53" s="3">
        <v>1</v>
      </c>
      <c r="P53" s="3">
        <f>N53</f>
      </c>
      <c r="Q53" s="3">
        <f>I53-J53-K53-M53-N53-O53</f>
      </c>
      <c r="R53" s="3">
        <f>(Q53-Z53)/G53*100</f>
      </c>
      <c r="S53" s="3">
        <f>J53-P53</f>
      </c>
      <c r="T53" t="s">
        <v>1</v>
      </c>
      <c r="U53" t="s">
        <v>176</v>
      </c>
      <c r="AA53" s="3">
        <f>Q53-Z53</f>
      </c>
      <c r="AB53" t="s">
        <v>1</v>
      </c>
      <c r="AC53" t="s">
        <v>1</v>
      </c>
    </row>
    <row r="54" spans="1:29" x14ac:dyDescent="0.25">
      <c r="A54" s="7">
        <v>46231.5</v>
      </c>
      <c r="B54" t="s">
        <v>3156</v>
      </c>
      <c r="C54" t="s">
        <v>253</v>
      </c>
      <c r="D54" s="8" t="s">
        <v>1</v>
      </c>
      <c r="E54" t="s">
        <v>57</v>
      </c>
      <c r="F54">
        <v>2</v>
      </c>
      <c r="G54" s="3">
        <v>1.6</v>
      </c>
      <c r="H54" s="3">
        <v>2.14</v>
      </c>
      <c r="I54" s="3">
        <f>H54-G54</f>
      </c>
      <c r="J54" s="3">
        <f>I54*16.67%</f>
      </c>
      <c r="K54" s="3">
        <v>0.1</v>
      </c>
      <c r="L54" s="3">
        <f>K54*20%</f>
      </c>
      <c r="M54" s="3">
        <v>0</v>
      </c>
      <c r="N54" s="3">
        <f>M54*20%</f>
      </c>
      <c r="O54" s="3">
        <v>1</v>
      </c>
      <c r="P54" s="3">
        <f>N54</f>
      </c>
      <c r="Q54" s="3">
        <f>I54-J54-K54-M54-N54-O54</f>
      </c>
      <c r="R54" s="3">
        <f>(Q54-Z54)/G54*100</f>
      </c>
      <c r="S54" s="3">
        <f>J54-P54</f>
      </c>
      <c r="T54" t="s">
        <v>1</v>
      </c>
      <c r="U54" t="s">
        <v>253</v>
      </c>
      <c r="AA54" s="3">
        <f>Q54-Z54</f>
      </c>
      <c r="AB54" t="s">
        <v>1</v>
      </c>
      <c r="AC54" t="s">
        <v>1</v>
      </c>
    </row>
    <row r="55" spans="1:29" x14ac:dyDescent="0.25">
      <c r="A55" s="7">
        <v>46231.5</v>
      </c>
      <c r="B55" t="s">
        <v>3157</v>
      </c>
      <c r="C55" t="s">
        <v>181</v>
      </c>
      <c r="D55" s="8" t="s">
        <v>1</v>
      </c>
      <c r="E55" t="s">
        <v>72</v>
      </c>
      <c r="F55">
        <v>1</v>
      </c>
      <c r="G55" s="3">
        <v>1.9</v>
      </c>
      <c r="H55" s="3">
        <v>2.6</v>
      </c>
      <c r="I55" s="3">
        <f>H55-G55</f>
      </c>
      <c r="J55" s="3">
        <f>I55*16.67%</f>
      </c>
      <c r="K55" s="3">
        <v>0.12</v>
      </c>
      <c r="L55" s="3">
        <f>K55*20%</f>
      </c>
      <c r="M55" s="3">
        <v>0</v>
      </c>
      <c r="N55" s="3">
        <f>M55*20%</f>
      </c>
      <c r="O55" s="3">
        <v>1</v>
      </c>
      <c r="P55" s="3">
        <f>N55</f>
      </c>
      <c r="Q55" s="3">
        <f>I55-J55-K55-M55-N55-O55</f>
      </c>
      <c r="R55" s="3">
        <f>(Q55-Z55)/G55*100</f>
      </c>
      <c r="S55" s="3">
        <f>J55-P55</f>
      </c>
      <c r="T55" t="s">
        <v>1</v>
      </c>
      <c r="U55" t="s">
        <v>181</v>
      </c>
      <c r="AA55" s="3">
        <f>Q55-Z55</f>
      </c>
      <c r="AB55" t="s">
        <v>1</v>
      </c>
      <c r="AC55" t="s">
        <v>1</v>
      </c>
    </row>
    <row r="56" spans="1:29" x14ac:dyDescent="0.25">
      <c r="A56" s="7">
        <v>46231.5</v>
      </c>
      <c r="B56" t="s">
        <v>3158</v>
      </c>
      <c r="C56" t="s">
        <v>1</v>
      </c>
      <c r="D56" s="8" t="s">
        <v>1</v>
      </c>
      <c r="E56" t="s">
        <v>77</v>
      </c>
      <c r="F56">
        <v>1</v>
      </c>
      <c r="G56" s="3">
        <v>324</v>
      </c>
      <c r="H56" s="3">
        <v>447.12</v>
      </c>
      <c r="I56" s="3">
        <f>H56-G56</f>
      </c>
      <c r="J56" s="3">
        <f>I56*16.67%</f>
      </c>
      <c r="K56" s="3">
        <v>20.61</v>
      </c>
      <c r="L56" s="3">
        <f>K56*20%</f>
      </c>
      <c r="M56" s="3">
        <v>0</v>
      </c>
      <c r="N56" s="3">
        <f>M56*20%</f>
      </c>
      <c r="O56" s="3">
        <v>1</v>
      </c>
      <c r="P56" s="3">
        <f>N56</f>
      </c>
      <c r="Q56" s="3">
        <f>I56-J56-K56-M56-N56-O56</f>
      </c>
      <c r="R56" s="3">
        <f>(Q56-Z56)/G56*100</f>
      </c>
      <c r="S56" s="3">
        <f>J56-P56</f>
      </c>
      <c r="T56" t="s">
        <v>1</v>
      </c>
      <c r="U56" t="s">
        <v>1</v>
      </c>
      <c r="AA56" s="3">
        <f>Q56-Z56</f>
      </c>
      <c r="AB56" t="s">
        <v>1</v>
      </c>
      <c r="AC56" t="s">
        <v>1</v>
      </c>
    </row>
    <row r="57" spans="1:29" x14ac:dyDescent="0.25">
      <c r="A57" s="7">
        <v>46231.5</v>
      </c>
      <c r="B57" t="s">
        <v>3159</v>
      </c>
      <c r="C57" t="s">
        <v>1</v>
      </c>
      <c r="D57" s="8" t="s">
        <v>1</v>
      </c>
      <c r="E57" t="s">
        <v>57</v>
      </c>
      <c r="F57">
        <v>1</v>
      </c>
      <c r="G57" s="3">
        <v>682</v>
      </c>
      <c r="H57" s="3">
        <v>920.7</v>
      </c>
      <c r="I57" s="3">
        <f>H57-G57</f>
      </c>
      <c r="J57" s="3">
        <f>I57*16.67%</f>
      </c>
      <c r="K57" s="3">
        <v>42.44</v>
      </c>
      <c r="L57" s="3">
        <f>K57*20%</f>
      </c>
      <c r="M57" s="3">
        <v>0</v>
      </c>
      <c r="N57" s="3">
        <f>M57*20%</f>
      </c>
      <c r="O57" s="3">
        <v>1</v>
      </c>
      <c r="P57" s="3">
        <f>N57</f>
      </c>
      <c r="Q57" s="3">
        <f>I57-J57-K57-M57-N57-O57</f>
      </c>
      <c r="R57" s="3">
        <f>(Q57-Z57)/G57*100</f>
      </c>
      <c r="S57" s="3">
        <f>J57-P57</f>
      </c>
      <c r="T57" t="s">
        <v>1</v>
      </c>
      <c r="U57" t="s">
        <v>1</v>
      </c>
      <c r="AA57" s="3">
        <f>Q57-Z57</f>
      </c>
      <c r="AB57" t="s">
        <v>1</v>
      </c>
      <c r="AC57" t="s">
        <v>1</v>
      </c>
    </row>
    <row r="58" spans="1:29" x14ac:dyDescent="0.25">
      <c r="A58" s="7">
        <v>46230.5</v>
      </c>
      <c r="B58" t="s">
        <v>3160</v>
      </c>
      <c r="C58" t="s">
        <v>188</v>
      </c>
      <c r="D58" s="8" t="s">
        <v>1</v>
      </c>
      <c r="E58" t="s">
        <v>63</v>
      </c>
      <c r="F58">
        <v>4</v>
      </c>
      <c r="G58" s="3">
        <v>14</v>
      </c>
      <c r="H58" s="3">
        <v>18.9</v>
      </c>
      <c r="I58" s="3">
        <f>H58-G58</f>
      </c>
      <c r="J58" s="3">
        <f>I58*16.67%</f>
      </c>
      <c r="K58" s="3">
        <v>0.87</v>
      </c>
      <c r="L58" s="3">
        <f>K58*20%</f>
      </c>
      <c r="M58" s="3">
        <v>0</v>
      </c>
      <c r="N58" s="3">
        <f>M58*20%</f>
      </c>
      <c r="O58" s="3">
        <v>1</v>
      </c>
      <c r="P58" s="3">
        <f>N58</f>
      </c>
      <c r="Q58" s="3">
        <f>I58-J58-K58-M58-N58-O58</f>
      </c>
      <c r="R58" s="3">
        <f>(Q58-Z58)/G58*100</f>
      </c>
      <c r="S58" s="3">
        <f>J58-P58</f>
      </c>
      <c r="T58" t="s">
        <v>1</v>
      </c>
      <c r="U58" t="s">
        <v>188</v>
      </c>
      <c r="AA58" s="3">
        <f>Q58-Z58</f>
      </c>
      <c r="AB58" t="s">
        <v>1</v>
      </c>
      <c r="AC58" t="s">
        <v>1</v>
      </c>
    </row>
    <row r="59" spans="1:29" x14ac:dyDescent="0.25">
      <c r="A59" s="7">
        <v>46230.5</v>
      </c>
      <c r="B59" t="s">
        <v>3161</v>
      </c>
      <c r="C59" t="s">
        <v>253</v>
      </c>
      <c r="D59" s="8" t="s">
        <v>1</v>
      </c>
      <c r="E59" t="s">
        <v>57</v>
      </c>
      <c r="F59">
        <v>3</v>
      </c>
      <c r="G59" s="3">
        <v>2.4</v>
      </c>
      <c r="H59" s="3">
        <v>3.36</v>
      </c>
      <c r="I59" s="3">
        <f>H59-G59</f>
      </c>
      <c r="J59" s="3">
        <f>I59*16.67%</f>
      </c>
      <c r="K59" s="3">
        <v>0.15</v>
      </c>
      <c r="L59" s="3">
        <f>K59*20%</f>
      </c>
      <c r="M59" s="3">
        <v>0</v>
      </c>
      <c r="N59" s="3">
        <f>M59*20%</f>
      </c>
      <c r="O59" s="3">
        <v>1</v>
      </c>
      <c r="P59" s="3">
        <f>N59</f>
      </c>
      <c r="Q59" s="3">
        <f>I59-J59-K59-M59-N59-O59</f>
      </c>
      <c r="R59" s="3">
        <f>(Q59-Z59)/G59*100</f>
      </c>
      <c r="S59" s="3">
        <f>J59-P59</f>
      </c>
      <c r="T59" t="s">
        <v>1</v>
      </c>
      <c r="U59" t="s">
        <v>253</v>
      </c>
      <c r="AA59" s="3">
        <f>Q59-Z59</f>
      </c>
      <c r="AB59" t="s">
        <v>1</v>
      </c>
      <c r="AC59" t="s">
        <v>1</v>
      </c>
    </row>
    <row r="60" spans="1:29" x14ac:dyDescent="0.25">
      <c r="A60" s="7">
        <v>46230.5</v>
      </c>
      <c r="B60" t="s">
        <v>3162</v>
      </c>
      <c r="C60" t="s">
        <v>184</v>
      </c>
      <c r="D60" s="8" t="s">
        <v>1</v>
      </c>
      <c r="E60" t="s">
        <v>101</v>
      </c>
      <c r="F60">
        <v>1</v>
      </c>
      <c r="G60" s="3">
        <v>1.2</v>
      </c>
      <c r="H60" s="3">
        <v>1.38</v>
      </c>
      <c r="I60" s="3">
        <f>H60-G60</f>
      </c>
      <c r="J60" s="3">
        <f>I60*16.67%</f>
      </c>
      <c r="K60" s="3">
        <v>0.06</v>
      </c>
      <c r="L60" s="3">
        <f>K60*20%</f>
      </c>
      <c r="M60" s="3">
        <v>0</v>
      </c>
      <c r="N60" s="3">
        <f>M60*20%</f>
      </c>
      <c r="O60" s="3">
        <v>1</v>
      </c>
      <c r="P60" s="3">
        <f>N60</f>
      </c>
      <c r="Q60" s="3">
        <f>I60-J60-K60-M60-N60-O60</f>
      </c>
      <c r="R60" s="3">
        <f>(Q60-Z60)/G60*100</f>
      </c>
      <c r="S60" s="3">
        <f>J60-P60</f>
      </c>
      <c r="T60" t="s">
        <v>1</v>
      </c>
      <c r="U60" t="s">
        <v>184</v>
      </c>
      <c r="AA60" s="3">
        <f>Q60-Z60</f>
      </c>
      <c r="AB60" t="s">
        <v>1</v>
      </c>
      <c r="AC60" t="s">
        <v>1</v>
      </c>
    </row>
    <row r="61" spans="1:29" x14ac:dyDescent="0.25">
      <c r="A61" s="7">
        <v>46229.5</v>
      </c>
      <c r="B61" t="s">
        <v>3163</v>
      </c>
      <c r="C61" t="s">
        <v>1</v>
      </c>
      <c r="D61" s="8" t="s">
        <v>3164</v>
      </c>
      <c r="E61" t="s">
        <v>77</v>
      </c>
      <c r="F61">
        <v>1</v>
      </c>
      <c r="G61" s="3">
        <v>222</v>
      </c>
      <c r="H61" s="3">
        <v>295.26</v>
      </c>
      <c r="I61" s="3">
        <f>H61-G61</f>
      </c>
      <c r="J61" s="3">
        <f>I61*16.67%</f>
      </c>
      <c r="K61" s="3">
        <v>13.61</v>
      </c>
      <c r="L61" s="3">
        <f>K61*20%</f>
      </c>
      <c r="M61" s="3">
        <v>0</v>
      </c>
      <c r="N61" s="3">
        <f>M61*20%</f>
      </c>
      <c r="O61" s="3">
        <v>1</v>
      </c>
      <c r="P61" s="3">
        <f>N61</f>
      </c>
      <c r="Q61" s="3">
        <f>I61-J61-K61-M61-N61-O61</f>
      </c>
      <c r="R61" s="3">
        <f>(Q61-Z61)/G61*100</f>
      </c>
      <c r="S61" s="3">
        <f>J61-P61</f>
      </c>
      <c r="T61" t="s">
        <v>1</v>
      </c>
      <c r="U61" t="s">
        <v>124</v>
      </c>
      <c r="AA61" s="3">
        <f>Q61-Z61</f>
      </c>
      <c r="AB61" t="s">
        <v>125</v>
      </c>
      <c r="AC61" t="s">
        <v>87</v>
      </c>
    </row>
    <row r="62" spans="1:29" x14ac:dyDescent="0.25">
      <c r="A62" s="7">
        <v>46229.5</v>
      </c>
      <c r="B62" t="s">
        <v>3165</v>
      </c>
      <c r="C62" t="s">
        <v>1</v>
      </c>
      <c r="D62" s="8" t="s">
        <v>3166</v>
      </c>
      <c r="E62" t="s">
        <v>72</v>
      </c>
      <c r="F62">
        <v>1</v>
      </c>
      <c r="G62" s="3">
        <v>589</v>
      </c>
      <c r="H62" s="3">
        <v>724.47</v>
      </c>
      <c r="I62" s="3">
        <f>H62-G62</f>
      </c>
      <c r="J62" s="3">
        <f>I62*16.67%</f>
      </c>
      <c r="K62" s="3">
        <v>33.4</v>
      </c>
      <c r="L62" s="3">
        <f>K62*20%</f>
      </c>
      <c r="M62" s="3">
        <v>0</v>
      </c>
      <c r="N62" s="3">
        <f>M62*20%</f>
      </c>
      <c r="O62" s="3">
        <v>1</v>
      </c>
      <c r="P62" s="3">
        <f>N62</f>
      </c>
      <c r="Q62" s="3">
        <f>I62-J62-K62-M62-N62-O62</f>
      </c>
      <c r="R62" s="3">
        <f>(Q62-Z62)/G62*100</f>
      </c>
      <c r="S62" s="3">
        <f>J62-P62</f>
      </c>
      <c r="T62" t="s">
        <v>1</v>
      </c>
      <c r="U62" t="s">
        <v>80</v>
      </c>
      <c r="AA62" s="3">
        <f>Q62-Z62</f>
      </c>
      <c r="AB62" t="s">
        <v>59</v>
      </c>
      <c r="AC62" t="s">
        <v>87</v>
      </c>
    </row>
    <row r="63" spans="1:29" x14ac:dyDescent="0.25">
      <c r="A63" s="7">
        <v>46229.5</v>
      </c>
      <c r="B63" t="s">
        <v>3167</v>
      </c>
      <c r="C63" t="s">
        <v>1</v>
      </c>
      <c r="D63" s="8" t="s">
        <v>3168</v>
      </c>
      <c r="E63" t="s">
        <v>77</v>
      </c>
      <c r="F63">
        <v>1</v>
      </c>
      <c r="G63" s="3">
        <v>331</v>
      </c>
      <c r="H63" s="3">
        <v>407.13</v>
      </c>
      <c r="I63" s="3">
        <f>H63-G63</f>
      </c>
      <c r="J63" s="3">
        <f>I63*16.67%</f>
      </c>
      <c r="K63" s="3">
        <v>18.77</v>
      </c>
      <c r="L63" s="3">
        <f>K63*20%</f>
      </c>
      <c r="M63" s="3">
        <v>0</v>
      </c>
      <c r="N63" s="3">
        <f>M63*20%</f>
      </c>
      <c r="O63" s="3">
        <v>1</v>
      </c>
      <c r="P63" s="3">
        <f>N63</f>
      </c>
      <c r="Q63" s="3">
        <f>I63-J63-K63-M63-N63-O63</f>
      </c>
      <c r="R63" s="3">
        <f>(Q63-Z63)/G63*100</f>
      </c>
      <c r="S63" s="3">
        <f>J63-P63</f>
      </c>
      <c r="T63" t="s">
        <v>1</v>
      </c>
      <c r="U63" t="s">
        <v>73</v>
      </c>
      <c r="AA63" s="3">
        <f>Q63-Z63</f>
      </c>
      <c r="AB63" t="s">
        <v>59</v>
      </c>
      <c r="AC63" t="s">
        <v>84</v>
      </c>
    </row>
    <row r="64" spans="1:29" x14ac:dyDescent="0.25">
      <c r="A64" s="7">
        <v>46229.5</v>
      </c>
      <c r="B64" t="s">
        <v>3169</v>
      </c>
      <c r="C64" t="s">
        <v>1</v>
      </c>
      <c r="D64" s="8" t="s">
        <v>3170</v>
      </c>
      <c r="E64" t="s">
        <v>101</v>
      </c>
      <c r="F64">
        <v>1</v>
      </c>
      <c r="G64" s="3">
        <v>121</v>
      </c>
      <c r="H64" s="3">
        <v>148.83</v>
      </c>
      <c r="I64" s="3">
        <f>H64-G64</f>
      </c>
      <c r="J64" s="3">
        <f>I64*16.67%</f>
      </c>
      <c r="K64" s="3">
        <v>6.86</v>
      </c>
      <c r="L64" s="3">
        <f>K64*20%</f>
      </c>
      <c r="M64" s="3">
        <v>0</v>
      </c>
      <c r="N64" s="3">
        <f>M64*20%</f>
      </c>
      <c r="O64" s="3">
        <v>1</v>
      </c>
      <c r="P64" s="3">
        <f>N64</f>
      </c>
      <c r="Q64" s="3">
        <f>I64-J64-K64-M64-N64-O64</f>
      </c>
      <c r="R64" s="3">
        <f>(Q64-Z64)/G64*100</f>
      </c>
      <c r="S64" s="3">
        <f>J64-P64</f>
      </c>
      <c r="T64" t="s">
        <v>1</v>
      </c>
      <c r="U64" t="s">
        <v>90</v>
      </c>
      <c r="AA64" s="3">
        <f>Q64-Z64</f>
      </c>
      <c r="AB64" t="s">
        <v>65</v>
      </c>
      <c r="AC64" t="s">
        <v>98</v>
      </c>
    </row>
    <row r="65" spans="1:29" x14ac:dyDescent="0.25">
      <c r="A65" s="7">
        <v>46229.5</v>
      </c>
      <c r="B65" t="s">
        <v>3171</v>
      </c>
      <c r="C65" t="s">
        <v>173</v>
      </c>
      <c r="D65" s="8" t="s">
        <v>1</v>
      </c>
      <c r="E65" t="s">
        <v>63</v>
      </c>
      <c r="F65">
        <v>1</v>
      </c>
      <c r="G65" s="3">
        <v>4.25</v>
      </c>
      <c r="H65" s="3">
        <v>5.18</v>
      </c>
      <c r="I65" s="3">
        <f>H65-G65</f>
      </c>
      <c r="J65" s="3">
        <f>I65*16.67%</f>
      </c>
      <c r="K65" s="3">
        <v>0.24</v>
      </c>
      <c r="L65" s="3">
        <f>K65*20%</f>
      </c>
      <c r="M65" s="3">
        <v>0</v>
      </c>
      <c r="N65" s="3">
        <f>M65*20%</f>
      </c>
      <c r="O65" s="3">
        <v>1</v>
      </c>
      <c r="P65" s="3">
        <f>N65</f>
      </c>
      <c r="Q65" s="3">
        <f>I65-J65-K65-M65-N65-O65</f>
      </c>
      <c r="R65" s="3">
        <f>(Q65-Z65)/G65*100</f>
      </c>
      <c r="S65" s="3">
        <f>J65-P65</f>
      </c>
      <c r="T65" t="s">
        <v>1</v>
      </c>
      <c r="U65" t="s">
        <v>173</v>
      </c>
      <c r="AA65" s="3">
        <f>Q65-Z65</f>
      </c>
      <c r="AB65" t="s">
        <v>1</v>
      </c>
      <c r="AC65" t="s">
        <v>1</v>
      </c>
    </row>
    <row r="66" spans="1:29" x14ac:dyDescent="0.25">
      <c r="A66" s="7">
        <v>46229.5</v>
      </c>
      <c r="B66" t="s">
        <v>3172</v>
      </c>
      <c r="C66" t="s">
        <v>176</v>
      </c>
      <c r="D66" s="8" t="s">
        <v>1</v>
      </c>
      <c r="E66" t="s">
        <v>77</v>
      </c>
      <c r="F66">
        <v>1</v>
      </c>
      <c r="G66" s="3">
        <v>0.15</v>
      </c>
      <c r="H66" s="3">
        <v>0.2</v>
      </c>
      <c r="I66" s="3">
        <f>H66-G66</f>
      </c>
      <c r="J66" s="3">
        <f>I66*16.67%</f>
      </c>
      <c r="K66" s="3">
        <v>0.01</v>
      </c>
      <c r="L66" s="3">
        <f>K66*20%</f>
      </c>
      <c r="M66" s="3">
        <v>0</v>
      </c>
      <c r="N66" s="3">
        <f>M66*20%</f>
      </c>
      <c r="O66" s="3">
        <v>1</v>
      </c>
      <c r="P66" s="3">
        <f>N66</f>
      </c>
      <c r="Q66" s="3">
        <f>I66-J66-K66-M66-N66-O66</f>
      </c>
      <c r="R66" s="3">
        <f>(Q66-Z66)/G66*100</f>
      </c>
      <c r="S66" s="3">
        <f>J66-P66</f>
      </c>
      <c r="T66" t="s">
        <v>1</v>
      </c>
      <c r="U66" t="s">
        <v>176</v>
      </c>
      <c r="AA66" s="3">
        <f>Q66-Z66</f>
      </c>
      <c r="AB66" t="s">
        <v>1</v>
      </c>
      <c r="AC66" t="s">
        <v>1</v>
      </c>
    </row>
    <row r="67" spans="1:29" x14ac:dyDescent="0.25">
      <c r="A67" s="7">
        <v>46229.5</v>
      </c>
      <c r="B67" t="s">
        <v>3173</v>
      </c>
      <c r="C67" t="s">
        <v>253</v>
      </c>
      <c r="D67" s="8" t="s">
        <v>1</v>
      </c>
      <c r="E67" t="s">
        <v>57</v>
      </c>
      <c r="F67">
        <v>3</v>
      </c>
      <c r="G67" s="3">
        <v>2.4</v>
      </c>
      <c r="H67" s="3">
        <v>3.14</v>
      </c>
      <c r="I67" s="3">
        <f>H67-G67</f>
      </c>
      <c r="J67" s="3">
        <f>I67*16.67%</f>
      </c>
      <c r="K67" s="3">
        <v>0.14</v>
      </c>
      <c r="L67" s="3">
        <f>K67*20%</f>
      </c>
      <c r="M67" s="3">
        <v>0</v>
      </c>
      <c r="N67" s="3">
        <f>M67*20%</f>
      </c>
      <c r="O67" s="3">
        <v>1</v>
      </c>
      <c r="P67" s="3">
        <f>N67</f>
      </c>
      <c r="Q67" s="3">
        <f>I67-J67-K67-M67-N67-O67</f>
      </c>
      <c r="R67" s="3">
        <f>(Q67-Z67)/G67*100</f>
      </c>
      <c r="S67" s="3">
        <f>J67-P67</f>
      </c>
      <c r="T67" t="s">
        <v>1</v>
      </c>
      <c r="U67" t="s">
        <v>253</v>
      </c>
      <c r="AA67" s="3">
        <f>Q67-Z67</f>
      </c>
      <c r="AB67" t="s">
        <v>1</v>
      </c>
      <c r="AC67" t="s">
        <v>1</v>
      </c>
    </row>
    <row r="68" spans="1:29" x14ac:dyDescent="0.25">
      <c r="A68" s="7">
        <v>46228.5</v>
      </c>
      <c r="B68" t="s">
        <v>3174</v>
      </c>
      <c r="C68" t="s">
        <v>1</v>
      </c>
      <c r="D68" s="8" t="s">
        <v>3175</v>
      </c>
      <c r="E68" t="s">
        <v>77</v>
      </c>
      <c r="F68">
        <v>1</v>
      </c>
      <c r="G68" s="3">
        <v>175</v>
      </c>
      <c r="H68" s="3">
        <v>239.75</v>
      </c>
      <c r="I68" s="3">
        <f>H68-G68</f>
      </c>
      <c r="J68" s="3">
        <f>I68*16.67%</f>
      </c>
      <c r="K68" s="3">
        <v>11.05</v>
      </c>
      <c r="L68" s="3">
        <f>K68*20%</f>
      </c>
      <c r="M68" s="3">
        <v>0</v>
      </c>
      <c r="N68" s="3">
        <f>M68*20%</f>
      </c>
      <c r="O68" s="3">
        <v>1</v>
      </c>
      <c r="P68" s="3">
        <f>N68</f>
      </c>
      <c r="Q68" s="3">
        <f>I68-J68-K68-M68-N68-O68</f>
      </c>
      <c r="R68" s="3">
        <f>(Q68-Z68)/G68*100</f>
      </c>
      <c r="S68" s="3">
        <f>J68-P68</f>
      </c>
      <c r="T68" t="s">
        <v>1</v>
      </c>
      <c r="U68" t="s">
        <v>291</v>
      </c>
      <c r="AA68" s="3">
        <f>Q68-Z68</f>
      </c>
      <c r="AB68" t="s">
        <v>125</v>
      </c>
      <c r="AC68" t="s">
        <v>87</v>
      </c>
    </row>
    <row r="69" spans="1:29" x14ac:dyDescent="0.25">
      <c r="A69" s="7">
        <v>46228.5</v>
      </c>
      <c r="B69" t="s">
        <v>3176</v>
      </c>
      <c r="C69" t="s">
        <v>1</v>
      </c>
      <c r="D69" s="8" t="s">
        <v>3177</v>
      </c>
      <c r="E69" t="s">
        <v>101</v>
      </c>
      <c r="F69">
        <v>1</v>
      </c>
      <c r="G69" s="3">
        <v>348</v>
      </c>
      <c r="H69" s="3">
        <v>504.6</v>
      </c>
      <c r="I69" s="3">
        <f>H69-G69</f>
      </c>
      <c r="J69" s="3">
        <f>I69*16.67%</f>
      </c>
      <c r="K69" s="3">
        <v>23.26</v>
      </c>
      <c r="L69" s="3">
        <f>K69*20%</f>
      </c>
      <c r="M69" s="3">
        <v>0</v>
      </c>
      <c r="N69" s="3">
        <f>M69*20%</f>
      </c>
      <c r="O69" s="3">
        <v>1</v>
      </c>
      <c r="P69" s="3">
        <f>N69</f>
      </c>
      <c r="Q69" s="3">
        <f>I69-J69-K69-M69-N69-O69</f>
      </c>
      <c r="R69" s="3">
        <f>(Q69-Z69)/G69*100</f>
      </c>
      <c r="S69" s="3">
        <f>J69-P69</f>
      </c>
      <c r="T69" t="s">
        <v>1</v>
      </c>
      <c r="U69" t="s">
        <v>138</v>
      </c>
      <c r="AA69" s="3">
        <f>Q69-Z69</f>
      </c>
      <c r="AB69" t="s">
        <v>65</v>
      </c>
      <c r="AC69" t="s">
        <v>69</v>
      </c>
    </row>
    <row r="70" spans="1:29" x14ac:dyDescent="0.25">
      <c r="A70" s="7">
        <v>46228.5</v>
      </c>
      <c r="B70" t="s">
        <v>3178</v>
      </c>
      <c r="C70" t="s">
        <v>1</v>
      </c>
      <c r="D70" s="8" t="s">
        <v>3179</v>
      </c>
      <c r="E70" t="s">
        <v>63</v>
      </c>
      <c r="F70">
        <v>1</v>
      </c>
      <c r="G70" s="3">
        <v>175</v>
      </c>
      <c r="H70" s="3">
        <v>208.25</v>
      </c>
      <c r="I70" s="3">
        <f>H70-G70</f>
      </c>
      <c r="J70" s="3">
        <f>I70*16.67%</f>
      </c>
      <c r="K70" s="3">
        <v>9.6</v>
      </c>
      <c r="L70" s="3">
        <f>K70*20%</f>
      </c>
      <c r="M70" s="3">
        <v>0</v>
      </c>
      <c r="N70" s="3">
        <f>M70*20%</f>
      </c>
      <c r="O70" s="3">
        <v>1</v>
      </c>
      <c r="P70" s="3">
        <f>N70</f>
      </c>
      <c r="Q70" s="3">
        <f>I70-J70-K70-M70-N70-O70</f>
      </c>
      <c r="R70" s="3">
        <f>(Q70-Z70)/G70*100</f>
      </c>
      <c r="S70" s="3">
        <f>J70-P70</f>
      </c>
      <c r="T70" t="s">
        <v>1</v>
      </c>
      <c r="U70" t="s">
        <v>171</v>
      </c>
      <c r="AA70" s="3">
        <f>Q70-Z70</f>
      </c>
      <c r="AB70" t="s">
        <v>65</v>
      </c>
      <c r="AC70" t="s">
        <v>69</v>
      </c>
    </row>
    <row r="71" spans="1:29" x14ac:dyDescent="0.25">
      <c r="A71" s="7">
        <v>46228.5</v>
      </c>
      <c r="B71" t="s">
        <v>3180</v>
      </c>
      <c r="C71" t="s">
        <v>1</v>
      </c>
      <c r="D71" s="8" t="s">
        <v>3181</v>
      </c>
      <c r="E71" t="s">
        <v>101</v>
      </c>
      <c r="F71">
        <v>1</v>
      </c>
      <c r="G71" s="3">
        <v>207</v>
      </c>
      <c r="H71" s="3">
        <v>254.61</v>
      </c>
      <c r="I71" s="3">
        <f>H71-G71</f>
      </c>
      <c r="J71" s="3">
        <f>I71*16.67%</f>
      </c>
      <c r="K71" s="3">
        <v>11.74</v>
      </c>
      <c r="L71" s="3">
        <f>K71*20%</f>
      </c>
      <c r="M71" s="3">
        <v>0</v>
      </c>
      <c r="N71" s="3">
        <f>M71*20%</f>
      </c>
      <c r="O71" s="3">
        <v>1</v>
      </c>
      <c r="P71" s="3">
        <f>N71</f>
      </c>
      <c r="Q71" s="3">
        <f>I71-J71-K71-M71-N71-O71</f>
      </c>
      <c r="R71" s="3">
        <f>(Q71-Z71)/G71*100</f>
      </c>
      <c r="S71" s="3">
        <f>J71-P71</f>
      </c>
      <c r="T71" t="s">
        <v>1</v>
      </c>
      <c r="U71" t="s">
        <v>291</v>
      </c>
      <c r="AA71" s="3">
        <f>Q71-Z71</f>
      </c>
      <c r="AB71" t="s">
        <v>125</v>
      </c>
      <c r="AC71" t="s">
        <v>74</v>
      </c>
    </row>
    <row r="72" spans="1:29" x14ac:dyDescent="0.25">
      <c r="A72" s="7">
        <v>46228.5</v>
      </c>
      <c r="B72" t="s">
        <v>3182</v>
      </c>
      <c r="C72" t="s">
        <v>1</v>
      </c>
      <c r="D72" s="8" t="s">
        <v>3183</v>
      </c>
      <c r="E72" t="s">
        <v>72</v>
      </c>
      <c r="F72">
        <v>1</v>
      </c>
      <c r="G72" s="3">
        <v>720</v>
      </c>
      <c r="H72" s="3">
        <v>849.6</v>
      </c>
      <c r="I72" s="3">
        <f>H72-G72</f>
      </c>
      <c r="J72" s="3">
        <f>I72*16.67%</f>
      </c>
      <c r="K72" s="3">
        <v>39.17</v>
      </c>
      <c r="L72" s="3">
        <f>K72*20%</f>
      </c>
      <c r="M72" s="3">
        <v>0</v>
      </c>
      <c r="N72" s="3">
        <f>M72*20%</f>
      </c>
      <c r="O72" s="3">
        <v>1</v>
      </c>
      <c r="P72" s="3">
        <f>N72</f>
      </c>
      <c r="Q72" s="3">
        <f>I72-J72-K72-M72-N72-O72</f>
      </c>
      <c r="R72" s="3">
        <f>(Q72-Z72)/G72*100</f>
      </c>
      <c r="S72" s="3">
        <f>J72-P72</f>
      </c>
      <c r="T72" t="s">
        <v>1</v>
      </c>
      <c r="U72" t="s">
        <v>83</v>
      </c>
      <c r="AA72" s="3">
        <f>Q72-Z72</f>
      </c>
      <c r="AB72" t="s">
        <v>59</v>
      </c>
      <c r="AC72" t="s">
        <v>60</v>
      </c>
    </row>
    <row r="73" spans="1:29" x14ac:dyDescent="0.25">
      <c r="A73" s="7">
        <v>46228.5</v>
      </c>
      <c r="B73" t="s">
        <v>3184</v>
      </c>
      <c r="C73" t="s">
        <v>1</v>
      </c>
      <c r="D73" s="8" t="s">
        <v>3185</v>
      </c>
      <c r="E73" t="s">
        <v>57</v>
      </c>
      <c r="F73">
        <v>1</v>
      </c>
      <c r="G73" s="3">
        <v>592</v>
      </c>
      <c r="H73" s="3">
        <v>775.52</v>
      </c>
      <c r="I73" s="3">
        <f>H73-G73</f>
      </c>
      <c r="J73" s="3">
        <f>I73*16.67%</f>
      </c>
      <c r="K73" s="3">
        <v>35.75</v>
      </c>
      <c r="L73" s="3">
        <f>K73*20%</f>
      </c>
      <c r="M73" s="3">
        <v>0</v>
      </c>
      <c r="N73" s="3">
        <f>M73*20%</f>
      </c>
      <c r="O73" s="3">
        <v>1</v>
      </c>
      <c r="P73" s="3">
        <f>N73</f>
      </c>
      <c r="Q73" s="3">
        <f>I73-J73-K73-M73-N73-O73</f>
      </c>
      <c r="R73" s="3">
        <f>(Q73-Z73)/G73*100</f>
      </c>
      <c r="S73" s="3">
        <f>J73-P73</f>
      </c>
      <c r="T73" t="s">
        <v>1</v>
      </c>
      <c r="U73" t="s">
        <v>80</v>
      </c>
      <c r="AA73" s="3">
        <f>Q73-Z73</f>
      </c>
      <c r="AB73" t="s">
        <v>59</v>
      </c>
      <c r="AC73" t="s">
        <v>87</v>
      </c>
    </row>
    <row r="74" spans="1:29" x14ac:dyDescent="0.25">
      <c r="A74" s="7">
        <v>46228.5</v>
      </c>
      <c r="B74" t="s">
        <v>3186</v>
      </c>
      <c r="C74" t="s">
        <v>188</v>
      </c>
      <c r="D74" s="8" t="s">
        <v>1</v>
      </c>
      <c r="E74" t="s">
        <v>63</v>
      </c>
      <c r="F74">
        <v>1</v>
      </c>
      <c r="G74" s="3">
        <v>3.5</v>
      </c>
      <c r="H74" s="3">
        <v>4.93</v>
      </c>
      <c r="I74" s="3">
        <f>H74-G74</f>
      </c>
      <c r="J74" s="3">
        <f>I74*16.67%</f>
      </c>
      <c r="K74" s="3">
        <v>0.23</v>
      </c>
      <c r="L74" s="3">
        <f>K74*20%</f>
      </c>
      <c r="M74" s="3">
        <v>0</v>
      </c>
      <c r="N74" s="3">
        <f>M74*20%</f>
      </c>
      <c r="O74" s="3">
        <v>1</v>
      </c>
      <c r="P74" s="3">
        <f>N74</f>
      </c>
      <c r="Q74" s="3">
        <f>I74-J74-K74-M74-N74-O74</f>
      </c>
      <c r="R74" s="3">
        <f>(Q74-Z74)/G74*100</f>
      </c>
      <c r="S74" s="3">
        <f>J74-P74</f>
      </c>
      <c r="T74" t="s">
        <v>1</v>
      </c>
      <c r="U74" t="s">
        <v>188</v>
      </c>
      <c r="AA74" s="3">
        <f>Q74-Z74</f>
      </c>
      <c r="AB74" t="s">
        <v>1</v>
      </c>
      <c r="AC74" t="s">
        <v>1</v>
      </c>
    </row>
    <row r="75" spans="1:29" x14ac:dyDescent="0.25">
      <c r="A75" s="7">
        <v>46227.5</v>
      </c>
      <c r="B75" t="s">
        <v>3187</v>
      </c>
      <c r="C75" t="s">
        <v>1</v>
      </c>
      <c r="D75" s="8" t="s">
        <v>3188</v>
      </c>
      <c r="E75" t="s">
        <v>63</v>
      </c>
      <c r="F75">
        <v>1</v>
      </c>
      <c r="G75" s="3">
        <v>732</v>
      </c>
      <c r="H75" s="3">
        <v>973.56</v>
      </c>
      <c r="I75" s="3">
        <f>H75-G75</f>
      </c>
      <c r="J75" s="3">
        <f>I75*16.67%</f>
      </c>
      <c r="K75" s="3">
        <v>44.88</v>
      </c>
      <c r="L75" s="3">
        <f>K75*20%</f>
      </c>
      <c r="M75" s="3">
        <v>0</v>
      </c>
      <c r="N75" s="3">
        <f>M75*20%</f>
      </c>
      <c r="O75" s="3">
        <v>1</v>
      </c>
      <c r="P75" s="3">
        <f>N75</f>
      </c>
      <c r="Q75" s="3">
        <f>I75-J75-K75-M75-N75-O75</f>
      </c>
      <c r="R75" s="3">
        <f>(Q75-Z75)/G75*100</f>
      </c>
      <c r="S75" s="3">
        <f>J75-P75</f>
      </c>
      <c r="T75" t="s">
        <v>1</v>
      </c>
      <c r="U75" t="s">
        <v>83</v>
      </c>
      <c r="AA75" s="3">
        <f>Q75-Z75</f>
      </c>
      <c r="AB75" t="s">
        <v>59</v>
      </c>
      <c r="AC75" t="s">
        <v>87</v>
      </c>
    </row>
    <row r="76" spans="1:29" x14ac:dyDescent="0.25">
      <c r="A76" s="7">
        <v>46227.5</v>
      </c>
      <c r="B76" t="s">
        <v>3189</v>
      </c>
      <c r="C76" t="s">
        <v>1</v>
      </c>
      <c r="D76" s="8" t="s">
        <v>3190</v>
      </c>
      <c r="E76" t="s">
        <v>72</v>
      </c>
      <c r="F76">
        <v>1</v>
      </c>
      <c r="G76" s="3">
        <v>164</v>
      </c>
      <c r="H76" s="3">
        <v>193.52</v>
      </c>
      <c r="I76" s="3">
        <f>H76-G76</f>
      </c>
      <c r="J76" s="3">
        <f>I76*16.67%</f>
      </c>
      <c r="K76" s="3">
        <v>8.92</v>
      </c>
      <c r="L76" s="3">
        <f>K76*20%</f>
      </c>
      <c r="M76" s="3">
        <v>0</v>
      </c>
      <c r="N76" s="3">
        <f>M76*20%</f>
      </c>
      <c r="O76" s="3">
        <v>1</v>
      </c>
      <c r="P76" s="3">
        <f>N76</f>
      </c>
      <c r="Q76" s="3">
        <f>I76-J76-K76-M76-N76-O76</f>
      </c>
      <c r="R76" s="3">
        <f>(Q76-Z76)/G76*100</f>
      </c>
      <c r="S76" s="3">
        <f>J76-P76</f>
      </c>
      <c r="T76" t="s">
        <v>1</v>
      </c>
      <c r="U76" t="s">
        <v>291</v>
      </c>
      <c r="AA76" s="3">
        <f>Q76-Z76</f>
      </c>
      <c r="AB76" t="s">
        <v>125</v>
      </c>
      <c r="AC76" t="s">
        <v>69</v>
      </c>
    </row>
    <row r="77" spans="1:29" x14ac:dyDescent="0.25">
      <c r="A77" s="7">
        <v>46227.5</v>
      </c>
      <c r="B77" t="s">
        <v>3191</v>
      </c>
      <c r="C77" t="s">
        <v>173</v>
      </c>
      <c r="D77" s="8" t="s">
        <v>1</v>
      </c>
      <c r="E77" t="s">
        <v>63</v>
      </c>
      <c r="F77">
        <v>2</v>
      </c>
      <c r="G77" s="3">
        <v>8.5</v>
      </c>
      <c r="H77" s="3">
        <v>10.88</v>
      </c>
      <c r="I77" s="3">
        <f>H77-G77</f>
      </c>
      <c r="J77" s="3">
        <f>I77*16.67%</f>
      </c>
      <c r="K77" s="3">
        <v>0.5</v>
      </c>
      <c r="L77" s="3">
        <f>K77*20%</f>
      </c>
      <c r="M77" s="3">
        <v>0</v>
      </c>
      <c r="N77" s="3">
        <f>M77*20%</f>
      </c>
      <c r="O77" s="3">
        <v>1</v>
      </c>
      <c r="P77" s="3">
        <f>N77</f>
      </c>
      <c r="Q77" s="3">
        <f>I77-J77-K77-M77-N77-O77</f>
      </c>
      <c r="R77" s="3">
        <f>(Q77-Z77)/G77*100</f>
      </c>
      <c r="S77" s="3">
        <f>J77-P77</f>
      </c>
      <c r="T77" t="s">
        <v>1</v>
      </c>
      <c r="U77" t="s">
        <v>173</v>
      </c>
      <c r="AA77" s="3">
        <f>Q77-Z77</f>
      </c>
      <c r="AB77" t="s">
        <v>1</v>
      </c>
      <c r="AC77" t="s">
        <v>1</v>
      </c>
    </row>
    <row r="78" spans="1:29" x14ac:dyDescent="0.25">
      <c r="A78" s="7">
        <v>46227.5</v>
      </c>
      <c r="B78" t="s">
        <v>3192</v>
      </c>
      <c r="C78" t="s">
        <v>1</v>
      </c>
      <c r="D78" s="8" t="s">
        <v>1</v>
      </c>
      <c r="E78" t="s">
        <v>63</v>
      </c>
      <c r="F78">
        <v>1</v>
      </c>
      <c r="G78" s="3">
        <v>101</v>
      </c>
      <c r="H78" s="3">
        <v>138.37</v>
      </c>
      <c r="I78" s="3">
        <f>H78-G78</f>
      </c>
      <c r="J78" s="3">
        <f>I78*16.67%</f>
      </c>
      <c r="K78" s="3">
        <v>6.38</v>
      </c>
      <c r="L78" s="3">
        <f>K78*20%</f>
      </c>
      <c r="M78" s="3">
        <v>0</v>
      </c>
      <c r="N78" s="3">
        <f>M78*20%</f>
      </c>
      <c r="O78" s="3">
        <v>1</v>
      </c>
      <c r="P78" s="3">
        <f>N78</f>
      </c>
      <c r="Q78" s="3">
        <f>I78-J78-K78-M78-N78-O78</f>
      </c>
      <c r="R78" s="3">
        <f>(Q78-Z78)/G78*100</f>
      </c>
      <c r="S78" s="3">
        <f>J78-P78</f>
      </c>
      <c r="T78" t="s">
        <v>1</v>
      </c>
      <c r="U78" t="s">
        <v>1</v>
      </c>
      <c r="AA78" s="3">
        <f>Q78-Z78</f>
      </c>
      <c r="AB78" t="s">
        <v>1</v>
      </c>
      <c r="AC78" t="s">
        <v>1</v>
      </c>
    </row>
    <row r="79" spans="1:29" x14ac:dyDescent="0.25">
      <c r="A79" s="7">
        <v>46226.5</v>
      </c>
      <c r="B79" t="s">
        <v>3193</v>
      </c>
      <c r="C79" t="s">
        <v>1</v>
      </c>
      <c r="D79" s="8" t="s">
        <v>3194</v>
      </c>
      <c r="E79" t="s">
        <v>57</v>
      </c>
      <c r="F79">
        <v>1</v>
      </c>
      <c r="G79" s="3">
        <v>241</v>
      </c>
      <c r="H79" s="3">
        <v>318.12</v>
      </c>
      <c r="I79" s="3">
        <f>H79-G79</f>
      </c>
      <c r="J79" s="3">
        <f>I79*16.67%</f>
      </c>
      <c r="K79" s="3">
        <v>14.67</v>
      </c>
      <c r="L79" s="3">
        <f>K79*20%</f>
      </c>
      <c r="M79" s="3">
        <v>0</v>
      </c>
      <c r="N79" s="3">
        <f>M79*20%</f>
      </c>
      <c r="O79" s="3">
        <v>1</v>
      </c>
      <c r="P79" s="3">
        <f>N79</f>
      </c>
      <c r="Q79" s="3">
        <f>I79-J79-K79-M79-N79-O79</f>
      </c>
      <c r="R79" s="3">
        <f>(Q79-Z79)/G79*100</f>
      </c>
      <c r="S79" s="3">
        <f>J79-P79</f>
      </c>
      <c r="T79" t="s">
        <v>1</v>
      </c>
      <c r="U79" t="s">
        <v>64</v>
      </c>
      <c r="AA79" s="3">
        <f>Q79-Z79</f>
      </c>
      <c r="AB79" t="s">
        <v>65</v>
      </c>
      <c r="AC79" t="s">
        <v>104</v>
      </c>
    </row>
    <row r="80" spans="1:29" x14ac:dyDescent="0.25">
      <c r="A80" s="7">
        <v>46226.5</v>
      </c>
      <c r="B80" t="s">
        <v>3195</v>
      </c>
      <c r="C80" t="s">
        <v>1</v>
      </c>
      <c r="D80" s="8" t="s">
        <v>3196</v>
      </c>
      <c r="E80" t="s">
        <v>57</v>
      </c>
      <c r="F80">
        <v>1</v>
      </c>
      <c r="G80" s="3">
        <v>320</v>
      </c>
      <c r="H80" s="3">
        <v>432</v>
      </c>
      <c r="I80" s="3">
        <f>H80-G80</f>
      </c>
      <c r="J80" s="3">
        <f>I80*16.67%</f>
      </c>
      <c r="K80" s="3">
        <v>19.92</v>
      </c>
      <c r="L80" s="3">
        <f>K80*20%</f>
      </c>
      <c r="M80" s="3">
        <v>0</v>
      </c>
      <c r="N80" s="3">
        <f>M80*20%</f>
      </c>
      <c r="O80" s="3">
        <v>1</v>
      </c>
      <c r="P80" s="3">
        <f>N80</f>
      </c>
      <c r="Q80" s="3">
        <f>I80-J80-K80-M80-N80-O80</f>
      </c>
      <c r="R80" s="3">
        <f>(Q80-Z80)/G80*100</f>
      </c>
      <c r="S80" s="3">
        <f>J80-P80</f>
      </c>
      <c r="T80" t="s">
        <v>1</v>
      </c>
      <c r="U80" t="s">
        <v>97</v>
      </c>
      <c r="AA80" s="3">
        <f>Q80-Z80</f>
      </c>
      <c r="AB80" t="s">
        <v>59</v>
      </c>
      <c r="AC80" t="s">
        <v>98</v>
      </c>
    </row>
    <row r="81" spans="1:29" x14ac:dyDescent="0.25">
      <c r="A81" s="7">
        <v>46225.5</v>
      </c>
      <c r="B81" t="s">
        <v>3197</v>
      </c>
      <c r="C81" t="s">
        <v>1</v>
      </c>
      <c r="D81" s="8" t="s">
        <v>3198</v>
      </c>
      <c r="E81" t="s">
        <v>77</v>
      </c>
      <c r="F81">
        <v>1</v>
      </c>
      <c r="G81" s="3">
        <v>614</v>
      </c>
      <c r="H81" s="3">
        <v>792.06</v>
      </c>
      <c r="I81" s="3">
        <f>H81-G81</f>
      </c>
      <c r="J81" s="3">
        <f>I81*16.67%</f>
      </c>
      <c r="K81" s="3">
        <v>36.51</v>
      </c>
      <c r="L81" s="3">
        <f>K81*20%</f>
      </c>
      <c r="M81" s="3">
        <v>0</v>
      </c>
      <c r="N81" s="3">
        <f>M81*20%</f>
      </c>
      <c r="O81" s="3">
        <v>1</v>
      </c>
      <c r="P81" s="3">
        <f>N81</f>
      </c>
      <c r="Q81" s="3">
        <f>I81-J81-K81-M81-N81-O81</f>
      </c>
      <c r="R81" s="3">
        <f>(Q81-Z81)/G81*100</f>
      </c>
      <c r="S81" s="3">
        <f>J81-P81</f>
      </c>
      <c r="T81" t="s">
        <v>1</v>
      </c>
      <c r="U81" t="s">
        <v>80</v>
      </c>
      <c r="AA81" s="3">
        <f>Q81-Z81</f>
      </c>
      <c r="AB81" t="s">
        <v>59</v>
      </c>
      <c r="AC81" t="s">
        <v>74</v>
      </c>
    </row>
    <row r="82" spans="1:29" x14ac:dyDescent="0.25">
      <c r="A82" s="7">
        <v>46225.5</v>
      </c>
      <c r="B82" t="s">
        <v>3199</v>
      </c>
      <c r="C82" t="s">
        <v>1</v>
      </c>
      <c r="D82" s="8" t="s">
        <v>3200</v>
      </c>
      <c r="E82" t="s">
        <v>101</v>
      </c>
      <c r="F82">
        <v>1</v>
      </c>
      <c r="G82" s="3">
        <v>522</v>
      </c>
      <c r="H82" s="3">
        <v>709.92</v>
      </c>
      <c r="I82" s="3">
        <f>H82-G82</f>
      </c>
      <c r="J82" s="3">
        <f>I82*16.67%</f>
      </c>
      <c r="K82" s="3">
        <v>32.73</v>
      </c>
      <c r="L82" s="3">
        <f>K82*20%</f>
      </c>
      <c r="M82" s="3">
        <v>0</v>
      </c>
      <c r="N82" s="3">
        <f>M82*20%</f>
      </c>
      <c r="O82" s="3">
        <v>1</v>
      </c>
      <c r="P82" s="3">
        <f>N82</f>
      </c>
      <c r="Q82" s="3">
        <f>I82-J82-K82-M82-N82-O82</f>
      </c>
      <c r="R82" s="3">
        <f>(Q82-Z82)/G82*100</f>
      </c>
      <c r="S82" s="3">
        <f>J82-P82</f>
      </c>
      <c r="T82" t="s">
        <v>1</v>
      </c>
      <c r="U82" t="s">
        <v>68</v>
      </c>
      <c r="AA82" s="3">
        <f>Q82-Z82</f>
      </c>
      <c r="AB82" t="s">
        <v>59</v>
      </c>
      <c r="AC82" t="s">
        <v>87</v>
      </c>
    </row>
    <row r="83" spans="1:29" x14ac:dyDescent="0.25">
      <c r="A83" s="7">
        <v>46225.5</v>
      </c>
      <c r="B83" t="s">
        <v>3201</v>
      </c>
      <c r="C83" t="s">
        <v>1</v>
      </c>
      <c r="D83" s="8" t="s">
        <v>3202</v>
      </c>
      <c r="E83" t="s">
        <v>77</v>
      </c>
      <c r="F83">
        <v>1</v>
      </c>
      <c r="G83" s="3">
        <v>151</v>
      </c>
      <c r="H83" s="3">
        <v>203.85</v>
      </c>
      <c r="I83" s="3">
        <f>H83-G83</f>
      </c>
      <c r="J83" s="3">
        <f>I83*16.67%</f>
      </c>
      <c r="K83" s="3">
        <v>9.4</v>
      </c>
      <c r="L83" s="3">
        <f>K83*20%</f>
      </c>
      <c r="M83" s="3">
        <v>0</v>
      </c>
      <c r="N83" s="3">
        <f>M83*20%</f>
      </c>
      <c r="O83" s="3">
        <v>1</v>
      </c>
      <c r="P83" s="3">
        <f>N83</f>
      </c>
      <c r="Q83" s="3">
        <f>I83-J83-K83-M83-N83-O83</f>
      </c>
      <c r="R83" s="3">
        <f>(Q83-Z83)/G83*100</f>
      </c>
      <c r="S83" s="3">
        <f>J83-P83</f>
      </c>
      <c r="T83" t="s">
        <v>1</v>
      </c>
      <c r="U83" t="s">
        <v>291</v>
      </c>
      <c r="AA83" s="3">
        <f>Q83-Z83</f>
      </c>
      <c r="AB83" t="s">
        <v>125</v>
      </c>
      <c r="AC83" t="s">
        <v>74</v>
      </c>
    </row>
    <row r="84" spans="1:29" x14ac:dyDescent="0.25">
      <c r="A84" s="7">
        <v>46224.5</v>
      </c>
      <c r="B84" t="s">
        <v>3203</v>
      </c>
      <c r="C84" t="s">
        <v>1</v>
      </c>
      <c r="D84" s="8" t="s">
        <v>3204</v>
      </c>
      <c r="E84" t="s">
        <v>63</v>
      </c>
      <c r="F84">
        <v>1</v>
      </c>
      <c r="G84" s="3">
        <v>270</v>
      </c>
      <c r="H84" s="3">
        <v>375.3</v>
      </c>
      <c r="I84" s="3">
        <f>H84-G84</f>
      </c>
      <c r="J84" s="3">
        <f>I84*16.67%</f>
      </c>
      <c r="K84" s="3">
        <v>17.3</v>
      </c>
      <c r="L84" s="3">
        <f>K84*20%</f>
      </c>
      <c r="M84" s="3">
        <v>0</v>
      </c>
      <c r="N84" s="3">
        <f>M84*20%</f>
      </c>
      <c r="O84" s="3">
        <v>1</v>
      </c>
      <c r="P84" s="3">
        <f>N84</f>
      </c>
      <c r="Q84" s="3">
        <f>I84-J84-K84-M84-N84-O84</f>
      </c>
      <c r="R84" s="3">
        <f>(Q84-Z84)/G84*100</f>
      </c>
      <c r="S84" s="3">
        <f>J84-P84</f>
      </c>
      <c r="T84" t="s">
        <v>1</v>
      </c>
      <c r="U84" t="s">
        <v>124</v>
      </c>
      <c r="AA84" s="3">
        <f>Q84-Z84</f>
      </c>
      <c r="AB84" t="s">
        <v>125</v>
      </c>
      <c r="AC84" t="s">
        <v>98</v>
      </c>
    </row>
    <row r="85" spans="1:29" x14ac:dyDescent="0.25">
      <c r="A85" s="7">
        <v>46224.5</v>
      </c>
      <c r="B85" t="s">
        <v>3205</v>
      </c>
      <c r="C85" t="s">
        <v>1</v>
      </c>
      <c r="D85" s="8" t="s">
        <v>3206</v>
      </c>
      <c r="E85" t="s">
        <v>101</v>
      </c>
      <c r="F85">
        <v>1</v>
      </c>
      <c r="G85" s="3">
        <v>73</v>
      </c>
      <c r="H85" s="3">
        <v>88.33</v>
      </c>
      <c r="I85" s="3">
        <f>H85-G85</f>
      </c>
      <c r="J85" s="3">
        <f>I85*16.67%</f>
      </c>
      <c r="K85" s="3">
        <v>4.07</v>
      </c>
      <c r="L85" s="3">
        <f>K85*20%</f>
      </c>
      <c r="M85" s="3">
        <v>0</v>
      </c>
      <c r="N85" s="3">
        <f>M85*20%</f>
      </c>
      <c r="O85" s="3">
        <v>1</v>
      </c>
      <c r="P85" s="3">
        <f>N85</f>
      </c>
      <c r="Q85" s="3">
        <f>I85-J85-K85-M85-N85-O85</f>
      </c>
      <c r="R85" s="3">
        <f>(Q85-Z85)/G85*100</f>
      </c>
      <c r="S85" s="3">
        <f>J85-P85</f>
      </c>
      <c r="T85" t="s">
        <v>1</v>
      </c>
      <c r="U85" t="s">
        <v>93</v>
      </c>
      <c r="AA85" s="3">
        <f>Q85-Z85</f>
      </c>
      <c r="AB85" t="s">
        <v>94</v>
      </c>
      <c r="AC85" t="s">
        <v>98</v>
      </c>
    </row>
    <row r="86" spans="1:29" x14ac:dyDescent="0.25">
      <c r="A86" s="7">
        <v>46223.5</v>
      </c>
      <c r="B86" t="s">
        <v>3207</v>
      </c>
      <c r="C86" t="s">
        <v>1</v>
      </c>
      <c r="D86" s="8" t="s">
        <v>3208</v>
      </c>
      <c r="E86" t="s">
        <v>72</v>
      </c>
      <c r="F86">
        <v>1</v>
      </c>
      <c r="G86" s="3">
        <v>368</v>
      </c>
      <c r="H86" s="3">
        <v>437.92</v>
      </c>
      <c r="I86" s="3">
        <f>H86-G86</f>
      </c>
      <c r="J86" s="3">
        <f>I86*16.67%</f>
      </c>
      <c r="K86" s="3">
        <v>20.19</v>
      </c>
      <c r="L86" s="3">
        <f>K86*20%</f>
      </c>
      <c r="M86" s="3">
        <v>0</v>
      </c>
      <c r="N86" s="3">
        <f>M86*20%</f>
      </c>
      <c r="O86" s="3">
        <v>1</v>
      </c>
      <c r="P86" s="3">
        <f>N86</f>
      </c>
      <c r="Q86" s="3">
        <f>I86-J86-K86-M86-N86-O86</f>
      </c>
      <c r="R86" s="3">
        <f>(Q86-Z86)/G86*100</f>
      </c>
      <c r="S86" s="3">
        <f>J86-P86</f>
      </c>
      <c r="T86" t="s">
        <v>1</v>
      </c>
      <c r="U86" t="s">
        <v>73</v>
      </c>
      <c r="AA86" s="3">
        <f>Q86-Z86</f>
      </c>
      <c r="AB86" t="s">
        <v>59</v>
      </c>
      <c r="AC86" t="s">
        <v>60</v>
      </c>
    </row>
    <row r="87" spans="1:29" x14ac:dyDescent="0.25">
      <c r="A87" s="7">
        <v>46222.5</v>
      </c>
      <c r="B87" t="s">
        <v>3209</v>
      </c>
      <c r="C87" t="s">
        <v>1</v>
      </c>
      <c r="D87" s="8" t="s">
        <v>3210</v>
      </c>
      <c r="E87" t="s">
        <v>57</v>
      </c>
      <c r="F87">
        <v>1</v>
      </c>
      <c r="G87" s="3">
        <v>101</v>
      </c>
      <c r="H87" s="3">
        <v>140.39</v>
      </c>
      <c r="I87" s="3">
        <f>H87-G87</f>
      </c>
      <c r="J87" s="3">
        <f>I87*16.67%</f>
      </c>
      <c r="K87" s="3">
        <v>6.47</v>
      </c>
      <c r="L87" s="3">
        <f>K87*20%</f>
      </c>
      <c r="M87" s="3">
        <v>0</v>
      </c>
      <c r="N87" s="3">
        <f>M87*20%</f>
      </c>
      <c r="O87" s="3">
        <v>1</v>
      </c>
      <c r="P87" s="3">
        <f>N87</f>
      </c>
      <c r="Q87" s="3">
        <f>I87-J87-K87-M87-N87-O87</f>
      </c>
      <c r="R87" s="3">
        <f>(Q87-Z87)/G87*100</f>
      </c>
      <c r="S87" s="3">
        <f>J87-P87</f>
      </c>
      <c r="T87" t="s">
        <v>1</v>
      </c>
      <c r="U87" t="s">
        <v>90</v>
      </c>
      <c r="AA87" s="3">
        <f>Q87-Z87</f>
      </c>
      <c r="AB87" t="s">
        <v>94</v>
      </c>
      <c r="AC87" t="s">
        <v>87</v>
      </c>
    </row>
    <row r="88" spans="1:29" x14ac:dyDescent="0.25">
      <c r="A88" s="7">
        <v>46222.5</v>
      </c>
      <c r="B88" t="s">
        <v>3211</v>
      </c>
      <c r="C88" t="s">
        <v>1</v>
      </c>
      <c r="D88" s="8" t="s">
        <v>3212</v>
      </c>
      <c r="E88" t="s">
        <v>63</v>
      </c>
      <c r="F88">
        <v>1</v>
      </c>
      <c r="G88" s="3">
        <v>247</v>
      </c>
      <c r="H88" s="3">
        <v>298.87</v>
      </c>
      <c r="I88" s="3">
        <f>H88-G88</f>
      </c>
      <c r="J88" s="3">
        <f>I88*16.67%</f>
      </c>
      <c r="K88" s="3">
        <v>13.78</v>
      </c>
      <c r="L88" s="3">
        <f>K88*20%</f>
      </c>
      <c r="M88" s="3">
        <v>0</v>
      </c>
      <c r="N88" s="3">
        <f>M88*20%</f>
      </c>
      <c r="O88" s="3">
        <v>1</v>
      </c>
      <c r="P88" s="3">
        <f>N88</f>
      </c>
      <c r="Q88" s="3">
        <f>I88-J88-K88-M88-N88-O88</f>
      </c>
      <c r="R88" s="3">
        <f>(Q88-Z88)/G88*100</f>
      </c>
      <c r="S88" s="3">
        <f>J88-P88</f>
      </c>
      <c r="T88" t="s">
        <v>1</v>
      </c>
      <c r="U88" t="s">
        <v>113</v>
      </c>
      <c r="AA88" s="3">
        <f>Q88-Z88</f>
      </c>
      <c r="AB88" t="s">
        <v>59</v>
      </c>
      <c r="AC88" t="s">
        <v>69</v>
      </c>
    </row>
    <row r="89" spans="1:29" x14ac:dyDescent="0.25">
      <c r="A89" s="7">
        <v>46222.5</v>
      </c>
      <c r="B89" t="s">
        <v>3213</v>
      </c>
      <c r="C89" t="s">
        <v>1</v>
      </c>
      <c r="D89" s="8" t="s">
        <v>3214</v>
      </c>
      <c r="E89" t="s">
        <v>72</v>
      </c>
      <c r="F89">
        <v>1</v>
      </c>
      <c r="G89" s="3">
        <v>216</v>
      </c>
      <c r="H89" s="3">
        <v>289.44</v>
      </c>
      <c r="I89" s="3">
        <f>H89-G89</f>
      </c>
      <c r="J89" s="3">
        <f>I89*16.67%</f>
      </c>
      <c r="K89" s="3">
        <v>13.34</v>
      </c>
      <c r="L89" s="3">
        <f>K89*20%</f>
      </c>
      <c r="M89" s="3">
        <v>0</v>
      </c>
      <c r="N89" s="3">
        <f>M89*20%</f>
      </c>
      <c r="O89" s="3">
        <v>1</v>
      </c>
      <c r="P89" s="3">
        <f>N89</f>
      </c>
      <c r="Q89" s="3">
        <f>I89-J89-K89-M89-N89-O89</f>
      </c>
      <c r="R89" s="3">
        <f>(Q89-Z89)/G89*100</f>
      </c>
      <c r="S89" s="3">
        <f>J89-P89</f>
      </c>
      <c r="T89" t="s">
        <v>1</v>
      </c>
      <c r="U89" t="s">
        <v>113</v>
      </c>
      <c r="AA89" s="3">
        <f>Q89-Z89</f>
      </c>
      <c r="AB89" t="s">
        <v>59</v>
      </c>
      <c r="AC89" t="s">
        <v>74</v>
      </c>
    </row>
    <row r="90" spans="1:29" x14ac:dyDescent="0.25">
      <c r="A90" s="7">
        <v>46222.5</v>
      </c>
      <c r="B90" t="s">
        <v>3215</v>
      </c>
      <c r="C90" t="s">
        <v>1</v>
      </c>
      <c r="D90" s="8" t="s">
        <v>3216</v>
      </c>
      <c r="E90" t="s">
        <v>101</v>
      </c>
      <c r="F90">
        <v>1</v>
      </c>
      <c r="G90" s="3">
        <v>66</v>
      </c>
      <c r="H90" s="3">
        <v>79.86</v>
      </c>
      <c r="I90" s="3">
        <f>H90-G90</f>
      </c>
      <c r="J90" s="3">
        <f>I90*16.67%</f>
      </c>
      <c r="K90" s="3">
        <v>3.68</v>
      </c>
      <c r="L90" s="3">
        <f>K90*20%</f>
      </c>
      <c r="M90" s="3">
        <v>0</v>
      </c>
      <c r="N90" s="3">
        <f>M90*20%</f>
      </c>
      <c r="O90" s="3">
        <v>1</v>
      </c>
      <c r="P90" s="3">
        <f>N90</f>
      </c>
      <c r="Q90" s="3">
        <f>I90-J90-K90-M90-N90-O90</f>
      </c>
      <c r="R90" s="3">
        <f>(Q90-Z90)/G90*100</f>
      </c>
      <c r="S90" s="3">
        <f>J90-P90</f>
      </c>
      <c r="T90" t="s">
        <v>1</v>
      </c>
      <c r="U90" t="s">
        <v>93</v>
      </c>
      <c r="AA90" s="3">
        <f>Q90-Z90</f>
      </c>
      <c r="AB90" t="s">
        <v>94</v>
      </c>
      <c r="AC90" t="s">
        <v>69</v>
      </c>
    </row>
    <row r="91" spans="1:29" x14ac:dyDescent="0.25">
      <c r="A91" s="7">
        <v>46222.5</v>
      </c>
      <c r="B91" t="s">
        <v>3217</v>
      </c>
      <c r="C91" t="s">
        <v>1</v>
      </c>
      <c r="D91" s="8" t="s">
        <v>3218</v>
      </c>
      <c r="E91" t="s">
        <v>57</v>
      </c>
      <c r="F91">
        <v>1</v>
      </c>
      <c r="G91" s="3">
        <v>242</v>
      </c>
      <c r="H91" s="3">
        <v>302.5</v>
      </c>
      <c r="I91" s="3">
        <f>H91-G91</f>
      </c>
      <c r="J91" s="3">
        <f>I91*16.67%</f>
      </c>
      <c r="K91" s="3">
        <v>13.95</v>
      </c>
      <c r="L91" s="3">
        <f>K91*20%</f>
      </c>
      <c r="M91" s="3">
        <v>0</v>
      </c>
      <c r="N91" s="3">
        <f>M91*20%</f>
      </c>
      <c r="O91" s="3">
        <v>1</v>
      </c>
      <c r="P91" s="3">
        <f>N91</f>
      </c>
      <c r="Q91" s="3">
        <f>I91-J91-K91-M91-N91-O91</f>
      </c>
      <c r="R91" s="3">
        <f>(Q91-Z91)/G91*100</f>
      </c>
      <c r="S91" s="3">
        <f>J91-P91</f>
      </c>
      <c r="T91" t="s">
        <v>1</v>
      </c>
      <c r="U91" t="s">
        <v>64</v>
      </c>
      <c r="AA91" s="3">
        <f>Q91-Z91</f>
      </c>
      <c r="AB91" t="s">
        <v>65</v>
      </c>
      <c r="AC91" t="s">
        <v>69</v>
      </c>
    </row>
    <row r="92" spans="1:29" x14ac:dyDescent="0.25">
      <c r="A92" s="7">
        <v>46222.5</v>
      </c>
      <c r="B92" t="s">
        <v>3219</v>
      </c>
      <c r="C92" t="s">
        <v>181</v>
      </c>
      <c r="D92" s="8" t="s">
        <v>1</v>
      </c>
      <c r="E92" t="s">
        <v>72</v>
      </c>
      <c r="F92">
        <v>2</v>
      </c>
      <c r="G92" s="3">
        <v>3.8</v>
      </c>
      <c r="H92" s="3">
        <v>4.9</v>
      </c>
      <c r="I92" s="3">
        <f>H92-G92</f>
      </c>
      <c r="J92" s="3">
        <f>I92*16.67%</f>
      </c>
      <c r="K92" s="3">
        <v>0.23</v>
      </c>
      <c r="L92" s="3">
        <f>K92*20%</f>
      </c>
      <c r="M92" s="3">
        <v>0</v>
      </c>
      <c r="N92" s="3">
        <f>M92*20%</f>
      </c>
      <c r="O92" s="3">
        <v>1</v>
      </c>
      <c r="P92" s="3">
        <f>N92</f>
      </c>
      <c r="Q92" s="3">
        <f>I92-J92-K92-M92-N92-O92</f>
      </c>
      <c r="R92" s="3">
        <f>(Q92-Z92)/G92*100</f>
      </c>
      <c r="S92" s="3">
        <f>J92-P92</f>
      </c>
      <c r="T92" t="s">
        <v>1</v>
      </c>
      <c r="U92" t="s">
        <v>181</v>
      </c>
      <c r="AA92" s="3">
        <f>Q92-Z92</f>
      </c>
      <c r="AB92" t="s">
        <v>1</v>
      </c>
      <c r="AC92" t="s">
        <v>1</v>
      </c>
    </row>
    <row r="93" spans="1:29" x14ac:dyDescent="0.25">
      <c r="A93" s="7">
        <v>46221.5</v>
      </c>
      <c r="B93" t="s">
        <v>3220</v>
      </c>
      <c r="C93" t="s">
        <v>1</v>
      </c>
      <c r="D93" s="8" t="s">
        <v>3221</v>
      </c>
      <c r="E93" t="s">
        <v>72</v>
      </c>
      <c r="F93">
        <v>1</v>
      </c>
      <c r="G93" s="3">
        <v>554</v>
      </c>
      <c r="H93" s="3">
        <v>764.52</v>
      </c>
      <c r="I93" s="3">
        <f>H93-G93</f>
      </c>
      <c r="J93" s="3">
        <f>I93*16.67%</f>
      </c>
      <c r="K93" s="3">
        <v>35.24</v>
      </c>
      <c r="L93" s="3">
        <f>K93*20%</f>
      </c>
      <c r="M93" s="3">
        <v>0</v>
      </c>
      <c r="N93" s="3">
        <f>M93*20%</f>
      </c>
      <c r="O93" s="3">
        <v>1</v>
      </c>
      <c r="P93" s="3">
        <f>N93</f>
      </c>
      <c r="Q93" s="3">
        <f>I93-J93-K93-M93-N93-O93</f>
      </c>
      <c r="R93" s="3">
        <f>(Q93-Z93)/G93*100</f>
      </c>
      <c r="S93" s="3">
        <f>J93-P93</f>
      </c>
      <c r="T93" t="s">
        <v>1</v>
      </c>
      <c r="U93" t="s">
        <v>80</v>
      </c>
      <c r="AA93" s="3">
        <f>Q93-Z93</f>
      </c>
      <c r="AB93" t="s">
        <v>59</v>
      </c>
      <c r="AC93" t="s">
        <v>87</v>
      </c>
    </row>
    <row r="94" spans="1:29" x14ac:dyDescent="0.25">
      <c r="A94" s="7">
        <v>46221.5</v>
      </c>
      <c r="B94" t="s">
        <v>3222</v>
      </c>
      <c r="C94" t="s">
        <v>1</v>
      </c>
      <c r="D94" s="8" t="s">
        <v>3223</v>
      </c>
      <c r="E94" t="s">
        <v>101</v>
      </c>
      <c r="F94">
        <v>1</v>
      </c>
      <c r="G94" s="3">
        <v>103</v>
      </c>
      <c r="H94" s="3">
        <v>133.9</v>
      </c>
      <c r="I94" s="3">
        <f>H94-G94</f>
      </c>
      <c r="J94" s="3">
        <f>I94*16.67%</f>
      </c>
      <c r="K94" s="3">
        <v>6.17</v>
      </c>
      <c r="L94" s="3">
        <f>K94*20%</f>
      </c>
      <c r="M94" s="3">
        <v>0</v>
      </c>
      <c r="N94" s="3">
        <f>M94*20%</f>
      </c>
      <c r="O94" s="3">
        <v>1</v>
      </c>
      <c r="P94" s="3">
        <f>N94</f>
      </c>
      <c r="Q94" s="3">
        <f>I94-J94-K94-M94-N94-O94</f>
      </c>
      <c r="R94" s="3">
        <f>(Q94-Z94)/G94*100</f>
      </c>
      <c r="S94" s="3">
        <f>J94-P94</f>
      </c>
      <c r="T94" t="s">
        <v>1</v>
      </c>
      <c r="U94" t="s">
        <v>133</v>
      </c>
      <c r="AA94" s="3">
        <f>Q94-Z94</f>
      </c>
      <c r="AB94" t="s">
        <v>65</v>
      </c>
      <c r="AC94" t="s">
        <v>74</v>
      </c>
    </row>
    <row r="95" spans="1:29" x14ac:dyDescent="0.25">
      <c r="A95" s="7">
        <v>46221.5</v>
      </c>
      <c r="B95" t="s">
        <v>3224</v>
      </c>
      <c r="C95" t="s">
        <v>1</v>
      </c>
      <c r="D95" s="8" t="s">
        <v>3225</v>
      </c>
      <c r="E95" t="s">
        <v>72</v>
      </c>
      <c r="F95">
        <v>1</v>
      </c>
      <c r="G95" s="3">
        <v>74</v>
      </c>
      <c r="H95" s="3">
        <v>88.06</v>
      </c>
      <c r="I95" s="3">
        <f>H95-G95</f>
      </c>
      <c r="J95" s="3">
        <f>I95*16.67%</f>
      </c>
      <c r="K95" s="3">
        <v>4.06</v>
      </c>
      <c r="L95" s="3">
        <f>K95*20%</f>
      </c>
      <c r="M95" s="3">
        <v>0</v>
      </c>
      <c r="N95" s="3">
        <f>M95*20%</f>
      </c>
      <c r="O95" s="3">
        <v>1</v>
      </c>
      <c r="P95" s="3">
        <f>N95</f>
      </c>
      <c r="Q95" s="3">
        <f>I95-J95-K95-M95-N95-O95</f>
      </c>
      <c r="R95" s="3">
        <f>(Q95-Z95)/G95*100</f>
      </c>
      <c r="S95" s="3">
        <f>J95-P95</f>
      </c>
      <c r="T95" t="s">
        <v>1</v>
      </c>
      <c r="U95" t="s">
        <v>93</v>
      </c>
      <c r="AA95" s="3">
        <f>Q95-Z95</f>
      </c>
      <c r="AB95" t="s">
        <v>94</v>
      </c>
      <c r="AC95" t="s">
        <v>84</v>
      </c>
    </row>
    <row r="96" spans="1:29" x14ac:dyDescent="0.25">
      <c r="A96" s="7">
        <v>46221.5</v>
      </c>
      <c r="B96" t="s">
        <v>3226</v>
      </c>
      <c r="C96" t="s">
        <v>1</v>
      </c>
      <c r="D96" s="8" t="s">
        <v>3227</v>
      </c>
      <c r="E96" t="s">
        <v>77</v>
      </c>
      <c r="F96">
        <v>1</v>
      </c>
      <c r="G96" s="3">
        <v>553</v>
      </c>
      <c r="H96" s="3">
        <v>707.84</v>
      </c>
      <c r="I96" s="3">
        <f>H96-G96</f>
      </c>
      <c r="J96" s="3">
        <f>I96*16.67%</f>
      </c>
      <c r="K96" s="3">
        <v>32.63</v>
      </c>
      <c r="L96" s="3">
        <f>K96*20%</f>
      </c>
      <c r="M96" s="3">
        <v>0</v>
      </c>
      <c r="N96" s="3">
        <f>M96*20%</f>
      </c>
      <c r="O96" s="3">
        <v>1</v>
      </c>
      <c r="P96" s="3">
        <f>N96</f>
      </c>
      <c r="Q96" s="3">
        <f>I96-J96-K96-M96-N96-O96</f>
      </c>
      <c r="R96" s="3">
        <f>(Q96-Z96)/G96*100</f>
      </c>
      <c r="S96" s="3">
        <f>J96-P96</f>
      </c>
      <c r="T96" t="s">
        <v>1</v>
      </c>
      <c r="U96" t="s">
        <v>80</v>
      </c>
      <c r="AA96" s="3">
        <f>Q96-Z96</f>
      </c>
      <c r="AB96" t="s">
        <v>59</v>
      </c>
      <c r="AC96" t="s">
        <v>84</v>
      </c>
    </row>
    <row r="97" spans="1:29" x14ac:dyDescent="0.25">
      <c r="A97" s="7">
        <v>46221.5</v>
      </c>
      <c r="B97" t="s">
        <v>3228</v>
      </c>
      <c r="C97" t="s">
        <v>173</v>
      </c>
      <c r="D97" s="8" t="s">
        <v>1</v>
      </c>
      <c r="E97" t="s">
        <v>63</v>
      </c>
      <c r="F97">
        <v>1</v>
      </c>
      <c r="G97" s="3">
        <v>4.25</v>
      </c>
      <c r="H97" s="3">
        <v>5.53</v>
      </c>
      <c r="I97" s="3">
        <f>H97-G97</f>
      </c>
      <c r="J97" s="3">
        <f>I97*16.67%</f>
      </c>
      <c r="K97" s="3">
        <v>0.25</v>
      </c>
      <c r="L97" s="3">
        <f>K97*20%</f>
      </c>
      <c r="M97" s="3">
        <v>0</v>
      </c>
      <c r="N97" s="3">
        <f>M97*20%</f>
      </c>
      <c r="O97" s="3">
        <v>1</v>
      </c>
      <c r="P97" s="3">
        <f>N97</f>
      </c>
      <c r="Q97" s="3">
        <f>I97-J97-K97-M97-N97-O97</f>
      </c>
      <c r="R97" s="3">
        <f>(Q97-Z97)/G97*100</f>
      </c>
      <c r="S97" s="3">
        <f>J97-P97</f>
      </c>
      <c r="T97" t="s">
        <v>1</v>
      </c>
      <c r="U97" t="s">
        <v>173</v>
      </c>
      <c r="AA97" s="3">
        <f>Q97-Z97</f>
      </c>
      <c r="AB97" t="s">
        <v>1</v>
      </c>
      <c r="AC97" t="s">
        <v>1</v>
      </c>
    </row>
    <row r="98" spans="1:29" x14ac:dyDescent="0.25">
      <c r="A98" s="7">
        <v>46220.5</v>
      </c>
      <c r="B98" t="s">
        <v>3229</v>
      </c>
      <c r="C98" t="s">
        <v>1</v>
      </c>
      <c r="D98" s="8" t="s">
        <v>3230</v>
      </c>
      <c r="E98" t="s">
        <v>101</v>
      </c>
      <c r="F98">
        <v>1</v>
      </c>
      <c r="G98" s="3">
        <v>361</v>
      </c>
      <c r="H98" s="3">
        <v>494.57</v>
      </c>
      <c r="I98" s="3">
        <f>H98-G98</f>
      </c>
      <c r="J98" s="3">
        <f>I98*16.67%</f>
      </c>
      <c r="K98" s="3">
        <v>22.8</v>
      </c>
      <c r="L98" s="3">
        <f>K98*20%</f>
      </c>
      <c r="M98" s="3">
        <v>0</v>
      </c>
      <c r="N98" s="3">
        <f>M98*20%</f>
      </c>
      <c r="O98" s="3">
        <v>1</v>
      </c>
      <c r="P98" s="3">
        <f>N98</f>
      </c>
      <c r="Q98" s="3">
        <f>I98-J98-K98-M98-N98-O98</f>
      </c>
      <c r="R98" s="3">
        <f>(Q98-Z98)/G98*100</f>
      </c>
      <c r="S98" s="3">
        <f>J98-P98</f>
      </c>
      <c r="T98" t="s">
        <v>1</v>
      </c>
      <c r="U98" t="s">
        <v>73</v>
      </c>
      <c r="AA98" s="3">
        <f>Q98-Z98</f>
      </c>
      <c r="AB98" t="s">
        <v>59</v>
      </c>
      <c r="AC98" t="s">
        <v>104</v>
      </c>
    </row>
    <row r="99" spans="1:29" x14ac:dyDescent="0.25">
      <c r="A99" s="7">
        <v>46220.5</v>
      </c>
      <c r="B99" t="s">
        <v>3231</v>
      </c>
      <c r="C99" t="s">
        <v>173</v>
      </c>
      <c r="D99" s="8" t="s">
        <v>1</v>
      </c>
      <c r="E99" t="s">
        <v>63</v>
      </c>
      <c r="F99">
        <v>1</v>
      </c>
      <c r="G99" s="3">
        <v>4.25</v>
      </c>
      <c r="H99" s="3">
        <v>5.31</v>
      </c>
      <c r="I99" s="3">
        <f>H99-G99</f>
      </c>
      <c r="J99" s="3">
        <f>I99*16.67%</f>
      </c>
      <c r="K99" s="3">
        <v>0.24</v>
      </c>
      <c r="L99" s="3">
        <f>K99*20%</f>
      </c>
      <c r="M99" s="3">
        <v>0</v>
      </c>
      <c r="N99" s="3">
        <f>M99*20%</f>
      </c>
      <c r="O99" s="3">
        <v>1</v>
      </c>
      <c r="P99" s="3">
        <f>N99</f>
      </c>
      <c r="Q99" s="3">
        <f>I99-J99-K99-M99-N99-O99</f>
      </c>
      <c r="R99" s="3">
        <f>(Q99-Z99)/G99*100</f>
      </c>
      <c r="S99" s="3">
        <f>J99-P99</f>
      </c>
      <c r="T99" t="s">
        <v>1</v>
      </c>
      <c r="U99" t="s">
        <v>173</v>
      </c>
      <c r="AA99" s="3">
        <f>Q99-Z99</f>
      </c>
      <c r="AB99" t="s">
        <v>1</v>
      </c>
      <c r="AC99" t="s">
        <v>1</v>
      </c>
    </row>
    <row r="100" spans="1:29" x14ac:dyDescent="0.25">
      <c r="A100" s="7">
        <v>46219.5</v>
      </c>
      <c r="B100" t="s">
        <v>3232</v>
      </c>
      <c r="C100" t="s">
        <v>1</v>
      </c>
      <c r="D100" s="8" t="s">
        <v>3233</v>
      </c>
      <c r="E100" t="s">
        <v>101</v>
      </c>
      <c r="F100">
        <v>1</v>
      </c>
      <c r="G100" s="3">
        <v>281</v>
      </c>
      <c r="H100" s="3">
        <v>348.44</v>
      </c>
      <c r="I100" s="3">
        <f>H100-G100</f>
      </c>
      <c r="J100" s="3">
        <f>I100*16.67%</f>
      </c>
      <c r="K100" s="3">
        <v>16.06</v>
      </c>
      <c r="L100" s="3">
        <f>K100*20%</f>
      </c>
      <c r="M100" s="3">
        <v>0</v>
      </c>
      <c r="N100" s="3">
        <f>M100*20%</f>
      </c>
      <c r="O100" s="3">
        <v>1</v>
      </c>
      <c r="P100" s="3">
        <f>N100</f>
      </c>
      <c r="Q100" s="3">
        <f>I100-J100-K100-M100-N100-O100</f>
      </c>
      <c r="R100" s="3">
        <f>(Q100-Z100)/G100*100</f>
      </c>
      <c r="S100" s="3">
        <f>J100-P100</f>
      </c>
      <c r="T100" t="s">
        <v>1</v>
      </c>
      <c r="U100" t="s">
        <v>130</v>
      </c>
      <c r="AA100" s="3">
        <f>Q100-Z100</f>
      </c>
      <c r="AB100" t="s">
        <v>65</v>
      </c>
      <c r="AC100" t="s">
        <v>98</v>
      </c>
    </row>
    <row r="101" spans="1:29" x14ac:dyDescent="0.25">
      <c r="A101" s="7">
        <v>46219.5</v>
      </c>
      <c r="B101" t="s">
        <v>3234</v>
      </c>
      <c r="C101" t="s">
        <v>1</v>
      </c>
      <c r="D101" s="8" t="s">
        <v>3235</v>
      </c>
      <c r="E101" t="s">
        <v>72</v>
      </c>
      <c r="F101">
        <v>1</v>
      </c>
      <c r="G101" s="3">
        <v>474</v>
      </c>
      <c r="H101" s="3">
        <v>625.68</v>
      </c>
      <c r="I101" s="3">
        <f>H101-G101</f>
      </c>
      <c r="J101" s="3">
        <f>I101*16.67%</f>
      </c>
      <c r="K101" s="3">
        <v>28.84</v>
      </c>
      <c r="L101" s="3">
        <f>K101*20%</f>
      </c>
      <c r="M101" s="3">
        <v>0</v>
      </c>
      <c r="N101" s="3">
        <f>M101*20%</f>
      </c>
      <c r="O101" s="3">
        <v>1</v>
      </c>
      <c r="P101" s="3">
        <f>N101</f>
      </c>
      <c r="Q101" s="3">
        <f>I101-J101-K101-M101-N101-O101</f>
      </c>
      <c r="R101" s="3">
        <f>(Q101-Z101)/G101*100</f>
      </c>
      <c r="S101" s="3">
        <f>J101-P101</f>
      </c>
      <c r="T101" t="s">
        <v>1</v>
      </c>
      <c r="U101" t="s">
        <v>58</v>
      </c>
      <c r="AA101" s="3">
        <f>Q101-Z101</f>
      </c>
      <c r="AB101" t="s">
        <v>59</v>
      </c>
      <c r="AC101" t="s">
        <v>69</v>
      </c>
    </row>
    <row r="102" spans="1:29" x14ac:dyDescent="0.25">
      <c r="A102" s="7">
        <v>46219.5</v>
      </c>
      <c r="B102" t="s">
        <v>3236</v>
      </c>
      <c r="C102" t="s">
        <v>173</v>
      </c>
      <c r="D102" s="8" t="s">
        <v>1</v>
      </c>
      <c r="E102" t="s">
        <v>63</v>
      </c>
      <c r="F102">
        <v>4</v>
      </c>
      <c r="G102" s="3">
        <v>17</v>
      </c>
      <c r="H102" s="3">
        <v>20.06</v>
      </c>
      <c r="I102" s="3">
        <f>H102-G102</f>
      </c>
      <c r="J102" s="3">
        <f>I102*16.67%</f>
      </c>
      <c r="K102" s="3">
        <v>0.92</v>
      </c>
      <c r="L102" s="3">
        <f>K102*20%</f>
      </c>
      <c r="M102" s="3">
        <v>0</v>
      </c>
      <c r="N102" s="3">
        <f>M102*20%</f>
      </c>
      <c r="O102" s="3">
        <v>1</v>
      </c>
      <c r="P102" s="3">
        <f>N102</f>
      </c>
      <c r="Q102" s="3">
        <f>I102-J102-K102-M102-N102-O102</f>
      </c>
      <c r="R102" s="3">
        <f>(Q102-Z102)/G102*100</f>
      </c>
      <c r="S102" s="3">
        <f>J102-P102</f>
      </c>
      <c r="T102" t="s">
        <v>1</v>
      </c>
      <c r="U102" t="s">
        <v>173</v>
      </c>
      <c r="AA102" s="3">
        <f>Q102-Z102</f>
      </c>
      <c r="AB102" t="s">
        <v>1</v>
      </c>
      <c r="AC102" t="s">
        <v>1</v>
      </c>
    </row>
    <row r="103" spans="1:29" x14ac:dyDescent="0.25">
      <c r="A103" s="7">
        <v>46219.5</v>
      </c>
      <c r="B103" t="s">
        <v>3237</v>
      </c>
      <c r="C103" t="s">
        <v>1</v>
      </c>
      <c r="D103" s="8" t="s">
        <v>1</v>
      </c>
      <c r="E103" t="s">
        <v>77</v>
      </c>
      <c r="F103">
        <v>1</v>
      </c>
      <c r="G103" s="3">
        <v>181</v>
      </c>
      <c r="H103" s="3">
        <v>226.25</v>
      </c>
      <c r="I103" s="3">
        <f>H103-G103</f>
      </c>
      <c r="J103" s="3">
        <f>I103*16.67%</f>
      </c>
      <c r="K103" s="3">
        <v>10.43</v>
      </c>
      <c r="L103" s="3">
        <f>K103*20%</f>
      </c>
      <c r="M103" s="3">
        <v>0</v>
      </c>
      <c r="N103" s="3">
        <f>M103*20%</f>
      </c>
      <c r="O103" s="3">
        <v>1</v>
      </c>
      <c r="P103" s="3">
        <f>N103</f>
      </c>
      <c r="Q103" s="3">
        <f>I103-J103-K103-M103-N103-O103</f>
      </c>
      <c r="R103" s="3">
        <f>(Q103-Z103)/G103*100</f>
      </c>
      <c r="S103" s="3">
        <f>J103-P103</f>
      </c>
      <c r="T103" t="s">
        <v>1</v>
      </c>
      <c r="U103" t="s">
        <v>1</v>
      </c>
      <c r="AA103" s="3">
        <f>Q103-Z103</f>
      </c>
      <c r="AB103" t="s">
        <v>1</v>
      </c>
      <c r="AC103" t="s">
        <v>1</v>
      </c>
    </row>
    <row r="104" spans="1:29" x14ac:dyDescent="0.25">
      <c r="A104" s="7">
        <v>46218.5</v>
      </c>
      <c r="B104" t="s">
        <v>3238</v>
      </c>
      <c r="C104" t="s">
        <v>1</v>
      </c>
      <c r="D104" s="8" t="s">
        <v>3239</v>
      </c>
      <c r="E104" t="s">
        <v>101</v>
      </c>
      <c r="F104">
        <v>1</v>
      </c>
      <c r="G104" s="3">
        <v>478</v>
      </c>
      <c r="H104" s="3">
        <v>626.18</v>
      </c>
      <c r="I104" s="3">
        <f>H104-G104</f>
      </c>
      <c r="J104" s="3">
        <f>I104*16.67%</f>
      </c>
      <c r="K104" s="3">
        <v>28.87</v>
      </c>
      <c r="L104" s="3">
        <f>K104*20%</f>
      </c>
      <c r="M104" s="3">
        <v>0</v>
      </c>
      <c r="N104" s="3">
        <f>M104*20%</f>
      </c>
      <c r="O104" s="3">
        <v>1</v>
      </c>
      <c r="P104" s="3">
        <f>N104</f>
      </c>
      <c r="Q104" s="3">
        <f>I104-J104-K104-M104-N104-O104</f>
      </c>
      <c r="R104" s="3">
        <f>(Q104-Z104)/G104*100</f>
      </c>
      <c r="S104" s="3">
        <f>J104-P104</f>
      </c>
      <c r="T104" t="s">
        <v>1</v>
      </c>
      <c r="U104" t="s">
        <v>58</v>
      </c>
      <c r="AA104" s="3">
        <f>Q104-Z104</f>
      </c>
      <c r="AB104" t="s">
        <v>59</v>
      </c>
      <c r="AC104" t="s">
        <v>84</v>
      </c>
    </row>
    <row r="105" spans="1:29" x14ac:dyDescent="0.25">
      <c r="A105" s="7">
        <v>46218.5</v>
      </c>
      <c r="B105" t="s">
        <v>3240</v>
      </c>
      <c r="C105" t="s">
        <v>1</v>
      </c>
      <c r="D105" s="8" t="s">
        <v>3241</v>
      </c>
      <c r="E105" t="s">
        <v>101</v>
      </c>
      <c r="F105">
        <v>1</v>
      </c>
      <c r="G105" s="3">
        <v>323</v>
      </c>
      <c r="H105" s="3">
        <v>468.35</v>
      </c>
      <c r="I105" s="3">
        <f>H105-G105</f>
      </c>
      <c r="J105" s="3">
        <f>I105*16.67%</f>
      </c>
      <c r="K105" s="3">
        <v>21.59</v>
      </c>
      <c r="L105" s="3">
        <f>K105*20%</f>
      </c>
      <c r="M105" s="3">
        <v>0</v>
      </c>
      <c r="N105" s="3">
        <f>M105*20%</f>
      </c>
      <c r="O105" s="3">
        <v>1</v>
      </c>
      <c r="P105" s="3">
        <f>N105</f>
      </c>
      <c r="Q105" s="3">
        <f>I105-J105-K105-M105-N105-O105</f>
      </c>
      <c r="R105" s="3">
        <f>(Q105-Z105)/G105*100</f>
      </c>
      <c r="S105" s="3">
        <f>J105-P105</f>
      </c>
      <c r="T105" t="s">
        <v>1</v>
      </c>
      <c r="U105" t="s">
        <v>138</v>
      </c>
      <c r="AA105" s="3">
        <f>Q105-Z105</f>
      </c>
      <c r="AB105" t="s">
        <v>59</v>
      </c>
      <c r="AC105" t="s">
        <v>69</v>
      </c>
    </row>
    <row r="106" spans="1:29" x14ac:dyDescent="0.25">
      <c r="A106" s="7">
        <v>46218.5</v>
      </c>
      <c r="B106" t="s">
        <v>3242</v>
      </c>
      <c r="C106" t="s">
        <v>1</v>
      </c>
      <c r="D106" s="8" t="s">
        <v>3243</v>
      </c>
      <c r="E106" t="s">
        <v>72</v>
      </c>
      <c r="F106">
        <v>1</v>
      </c>
      <c r="G106" s="3">
        <v>296</v>
      </c>
      <c r="H106" s="3">
        <v>343.36</v>
      </c>
      <c r="I106" s="3">
        <f>H106-G106</f>
      </c>
      <c r="J106" s="3">
        <f>I106*16.67%</f>
      </c>
      <c r="K106" s="3">
        <v>15.83</v>
      </c>
      <c r="L106" s="3">
        <f>K106*20%</f>
      </c>
      <c r="M106" s="3">
        <v>0</v>
      </c>
      <c r="N106" s="3">
        <f>M106*20%</f>
      </c>
      <c r="O106" s="3">
        <v>1</v>
      </c>
      <c r="P106" s="3">
        <f>N106</f>
      </c>
      <c r="Q106" s="3">
        <f>I106-J106-K106-M106-N106-O106</f>
      </c>
      <c r="R106" s="3">
        <f>(Q106-Z106)/G106*100</f>
      </c>
      <c r="S106" s="3">
        <f>J106-P106</f>
      </c>
      <c r="T106" t="s">
        <v>1</v>
      </c>
      <c r="U106" t="s">
        <v>130</v>
      </c>
      <c r="AA106" s="3">
        <f>Q106-Z106</f>
      </c>
      <c r="AB106" t="s">
        <v>59</v>
      </c>
      <c r="AC106" t="s">
        <v>98</v>
      </c>
    </row>
    <row r="107" spans="1:29" x14ac:dyDescent="0.25">
      <c r="A107" s="7">
        <v>46218.5</v>
      </c>
      <c r="B107" t="s">
        <v>3244</v>
      </c>
      <c r="C107" t="s">
        <v>1</v>
      </c>
      <c r="D107" s="8" t="s">
        <v>3245</v>
      </c>
      <c r="E107" t="s">
        <v>77</v>
      </c>
      <c r="F107">
        <v>1</v>
      </c>
      <c r="G107" s="3">
        <v>732</v>
      </c>
      <c r="H107" s="3">
        <v>907.68</v>
      </c>
      <c r="I107" s="3">
        <f>H107-G107</f>
      </c>
      <c r="J107" s="3">
        <f>I107*16.67%</f>
      </c>
      <c r="K107" s="3">
        <v>41.84</v>
      </c>
      <c r="L107" s="3">
        <f>K107*20%</f>
      </c>
      <c r="M107" s="3">
        <v>0</v>
      </c>
      <c r="N107" s="3">
        <f>M107*20%</f>
      </c>
      <c r="O107" s="3">
        <v>1</v>
      </c>
      <c r="P107" s="3">
        <f>N107</f>
      </c>
      <c r="Q107" s="3">
        <f>I107-J107-K107-M107-N107-O107</f>
      </c>
      <c r="R107" s="3">
        <f>(Q107-Z107)/G107*100</f>
      </c>
      <c r="S107" s="3">
        <f>J107-P107</f>
      </c>
      <c r="T107" t="s">
        <v>1</v>
      </c>
      <c r="U107" t="s">
        <v>83</v>
      </c>
      <c r="AA107" s="3">
        <f>Q107-Z107</f>
      </c>
      <c r="AB107" t="s">
        <v>59</v>
      </c>
      <c r="AC107" t="s">
        <v>98</v>
      </c>
    </row>
    <row r="108" spans="1:29" x14ac:dyDescent="0.25">
      <c r="A108" s="7">
        <v>46218.5</v>
      </c>
      <c r="B108" t="s">
        <v>3246</v>
      </c>
      <c r="C108" t="s">
        <v>1</v>
      </c>
      <c r="D108" s="8" t="s">
        <v>3247</v>
      </c>
      <c r="E108" t="s">
        <v>57</v>
      </c>
      <c r="F108">
        <v>1</v>
      </c>
      <c r="G108" s="3">
        <v>198</v>
      </c>
      <c r="H108" s="3">
        <v>231.66</v>
      </c>
      <c r="I108" s="3">
        <f>H108-G108</f>
      </c>
      <c r="J108" s="3">
        <f>I108*16.67%</f>
      </c>
      <c r="K108" s="3">
        <v>10.68</v>
      </c>
      <c r="L108" s="3">
        <f>K108*20%</f>
      </c>
      <c r="M108" s="3">
        <v>0</v>
      </c>
      <c r="N108" s="3">
        <f>M108*20%</f>
      </c>
      <c r="O108" s="3">
        <v>1</v>
      </c>
      <c r="P108" s="3">
        <f>N108</f>
      </c>
      <c r="Q108" s="3">
        <f>I108-J108-K108-M108-N108-O108</f>
      </c>
      <c r="R108" s="3">
        <f>(Q108-Z108)/G108*100</f>
      </c>
      <c r="S108" s="3">
        <f>J108-P108</f>
      </c>
      <c r="T108" t="s">
        <v>1</v>
      </c>
      <c r="U108" t="s">
        <v>291</v>
      </c>
      <c r="AA108" s="3">
        <f>Q108-Z108</f>
      </c>
      <c r="AB108" t="s">
        <v>125</v>
      </c>
      <c r="AC108" t="s">
        <v>84</v>
      </c>
    </row>
    <row r="109" spans="1:29" x14ac:dyDescent="0.25">
      <c r="A109" s="7">
        <v>46218.5</v>
      </c>
      <c r="B109" t="s">
        <v>3248</v>
      </c>
      <c r="C109" t="s">
        <v>181</v>
      </c>
      <c r="D109" s="8" t="s">
        <v>1</v>
      </c>
      <c r="E109" t="s">
        <v>72</v>
      </c>
      <c r="F109">
        <v>1</v>
      </c>
      <c r="G109" s="3">
        <v>1.9</v>
      </c>
      <c r="H109" s="3">
        <v>2.56</v>
      </c>
      <c r="I109" s="3">
        <f>H109-G109</f>
      </c>
      <c r="J109" s="3">
        <f>I109*16.67%</f>
      </c>
      <c r="K109" s="3">
        <v>0.12</v>
      </c>
      <c r="L109" s="3">
        <f>K109*20%</f>
      </c>
      <c r="M109" s="3">
        <v>0</v>
      </c>
      <c r="N109" s="3">
        <f>M109*20%</f>
      </c>
      <c r="O109" s="3">
        <v>1</v>
      </c>
      <c r="P109" s="3">
        <f>N109</f>
      </c>
      <c r="Q109" s="3">
        <f>I109-J109-K109-M109-N109-O109</f>
      </c>
      <c r="R109" s="3">
        <f>(Q109-Z109)/G109*100</f>
      </c>
      <c r="S109" s="3">
        <f>J109-P109</f>
      </c>
      <c r="T109" t="s">
        <v>1</v>
      </c>
      <c r="U109" t="s">
        <v>181</v>
      </c>
      <c r="AA109" s="3">
        <f>Q109-Z109</f>
      </c>
      <c r="AB109" t="s">
        <v>1</v>
      </c>
      <c r="AC109" t="s">
        <v>1</v>
      </c>
    </row>
    <row r="110" spans="1:29" x14ac:dyDescent="0.25">
      <c r="A110" s="7">
        <v>46218.5</v>
      </c>
      <c r="B110" t="s">
        <v>3249</v>
      </c>
      <c r="C110" t="s">
        <v>1</v>
      </c>
      <c r="D110" s="8" t="s">
        <v>1</v>
      </c>
      <c r="E110" t="s">
        <v>101</v>
      </c>
      <c r="F110">
        <v>1</v>
      </c>
      <c r="G110" s="3">
        <v>220</v>
      </c>
      <c r="H110" s="3">
        <v>277.2</v>
      </c>
      <c r="I110" s="3">
        <f>H110-G110</f>
      </c>
      <c r="J110" s="3">
        <f>I110*16.67%</f>
      </c>
      <c r="K110" s="3">
        <v>12.78</v>
      </c>
      <c r="L110" s="3">
        <f>K110*20%</f>
      </c>
      <c r="M110" s="3">
        <v>0</v>
      </c>
      <c r="N110" s="3">
        <f>M110*20%</f>
      </c>
      <c r="O110" s="3">
        <v>1</v>
      </c>
      <c r="P110" s="3">
        <f>N110</f>
      </c>
      <c r="Q110" s="3">
        <f>I110-J110-K110-M110-N110-O110</f>
      </c>
      <c r="R110" s="3">
        <f>(Q110-Z110)/G110*100</f>
      </c>
      <c r="S110" s="3">
        <f>J110-P110</f>
      </c>
      <c r="T110" t="s">
        <v>1</v>
      </c>
      <c r="U110" t="s">
        <v>1</v>
      </c>
      <c r="AA110" s="3">
        <f>Q110-Z110</f>
      </c>
      <c r="AB110" t="s">
        <v>1</v>
      </c>
      <c r="AC110" t="s">
        <v>1</v>
      </c>
    </row>
    <row r="111" spans="1:29" x14ac:dyDescent="0.25">
      <c r="A111" s="7">
        <v>46217.5</v>
      </c>
      <c r="B111" t="s">
        <v>3250</v>
      </c>
      <c r="C111" t="s">
        <v>1</v>
      </c>
      <c r="D111" s="8" t="s">
        <v>3251</v>
      </c>
      <c r="E111" t="s">
        <v>63</v>
      </c>
      <c r="F111">
        <v>1</v>
      </c>
      <c r="G111" s="3">
        <v>533</v>
      </c>
      <c r="H111" s="3">
        <v>634.27</v>
      </c>
      <c r="I111" s="3">
        <f>H111-G111</f>
      </c>
      <c r="J111" s="3">
        <f>I111*16.67%</f>
      </c>
      <c r="K111" s="3">
        <v>29.24</v>
      </c>
      <c r="L111" s="3">
        <f>K111*20%</f>
      </c>
      <c r="M111" s="3">
        <v>0</v>
      </c>
      <c r="N111" s="3">
        <f>M111*20%</f>
      </c>
      <c r="O111" s="3">
        <v>1</v>
      </c>
      <c r="P111" s="3">
        <f>N111</f>
      </c>
      <c r="Q111" s="3">
        <f>I111-J111-K111-M111-N111-O111</f>
      </c>
      <c r="R111" s="3">
        <f>(Q111-Z111)/G111*100</f>
      </c>
      <c r="S111" s="3">
        <f>J111-P111</f>
      </c>
      <c r="T111" t="s">
        <v>1</v>
      </c>
      <c r="U111" t="s">
        <v>68</v>
      </c>
      <c r="AA111" s="3">
        <f>Q111-Z111</f>
      </c>
      <c r="AB111" t="s">
        <v>59</v>
      </c>
      <c r="AC111" t="s">
        <v>74</v>
      </c>
    </row>
    <row r="112" spans="1:29" x14ac:dyDescent="0.25">
      <c r="A112" s="7">
        <v>46217.5</v>
      </c>
      <c r="B112" t="s">
        <v>3252</v>
      </c>
      <c r="C112" t="s">
        <v>1</v>
      </c>
      <c r="D112" s="8" t="s">
        <v>3253</v>
      </c>
      <c r="E112" t="s">
        <v>101</v>
      </c>
      <c r="F112">
        <v>1</v>
      </c>
      <c r="G112" s="3">
        <v>71</v>
      </c>
      <c r="H112" s="3">
        <v>100.82</v>
      </c>
      <c r="I112" s="3">
        <f>H112-G112</f>
      </c>
      <c r="J112" s="3">
        <f>I112*16.67%</f>
      </c>
      <c r="K112" s="3">
        <v>4.65</v>
      </c>
      <c r="L112" s="3">
        <f>K112*20%</f>
      </c>
      <c r="M112" s="3">
        <v>0</v>
      </c>
      <c r="N112" s="3">
        <f>M112*20%</f>
      </c>
      <c r="O112" s="3">
        <v>1</v>
      </c>
      <c r="P112" s="3">
        <f>N112</f>
      </c>
      <c r="Q112" s="3">
        <f>I112-J112-K112-M112-N112-O112</f>
      </c>
      <c r="R112" s="3">
        <f>(Q112-Z112)/G112*100</f>
      </c>
      <c r="S112" s="3">
        <f>J112-P112</f>
      </c>
      <c r="T112" t="s">
        <v>1</v>
      </c>
      <c r="U112" t="s">
        <v>93</v>
      </c>
      <c r="AA112" s="3">
        <f>Q112-Z112</f>
      </c>
      <c r="AB112" t="s">
        <v>94</v>
      </c>
      <c r="AC112" t="s">
        <v>87</v>
      </c>
    </row>
    <row r="113" spans="1:29" x14ac:dyDescent="0.25">
      <c r="A113" s="7">
        <v>46217.5</v>
      </c>
      <c r="B113" t="s">
        <v>3254</v>
      </c>
      <c r="C113" t="s">
        <v>1</v>
      </c>
      <c r="D113" s="8" t="s">
        <v>3255</v>
      </c>
      <c r="E113" t="s">
        <v>72</v>
      </c>
      <c r="F113">
        <v>1</v>
      </c>
      <c r="G113" s="3">
        <v>588</v>
      </c>
      <c r="H113" s="3">
        <v>817.32</v>
      </c>
      <c r="I113" s="3">
        <f>H113-G113</f>
      </c>
      <c r="J113" s="3">
        <f>I113*16.67%</f>
      </c>
      <c r="K113" s="3">
        <v>37.68</v>
      </c>
      <c r="L113" s="3">
        <f>K113*20%</f>
      </c>
      <c r="M113" s="3">
        <v>0</v>
      </c>
      <c r="N113" s="3">
        <f>M113*20%</f>
      </c>
      <c r="O113" s="3">
        <v>1</v>
      </c>
      <c r="P113" s="3">
        <f>N113</f>
      </c>
      <c r="Q113" s="3">
        <f>I113-J113-K113-M113-N113-O113</f>
      </c>
      <c r="R113" s="3">
        <f>(Q113-Z113)/G113*100</f>
      </c>
      <c r="S113" s="3">
        <f>J113-P113</f>
      </c>
      <c r="T113" t="s">
        <v>1</v>
      </c>
      <c r="U113" t="s">
        <v>80</v>
      </c>
      <c r="AA113" s="3">
        <f>Q113-Z113</f>
      </c>
      <c r="AB113" t="s">
        <v>59</v>
      </c>
      <c r="AC113" t="s">
        <v>69</v>
      </c>
    </row>
    <row r="114" spans="1:29" x14ac:dyDescent="0.25">
      <c r="A114" s="7">
        <v>46217.5</v>
      </c>
      <c r="B114" t="s">
        <v>3256</v>
      </c>
      <c r="C114" t="s">
        <v>1</v>
      </c>
      <c r="D114" s="8" t="s">
        <v>3257</v>
      </c>
      <c r="E114" t="s">
        <v>77</v>
      </c>
      <c r="F114">
        <v>1</v>
      </c>
      <c r="G114" s="3">
        <v>312</v>
      </c>
      <c r="H114" s="3">
        <v>377.52</v>
      </c>
      <c r="I114" s="3">
        <f>H114-G114</f>
      </c>
      <c r="J114" s="3">
        <f>I114*16.67%</f>
      </c>
      <c r="K114" s="3">
        <v>17.4</v>
      </c>
      <c r="L114" s="3">
        <f>K114*20%</f>
      </c>
      <c r="M114" s="3">
        <v>0</v>
      </c>
      <c r="N114" s="3">
        <f>M114*20%</f>
      </c>
      <c r="O114" s="3">
        <v>1</v>
      </c>
      <c r="P114" s="3">
        <f>N114</f>
      </c>
      <c r="Q114" s="3">
        <f>I114-J114-K114-M114-N114-O114</f>
      </c>
      <c r="R114" s="3">
        <f>(Q114-Z114)/G114*100</f>
      </c>
      <c r="S114" s="3">
        <f>J114-P114</f>
      </c>
      <c r="T114" t="s">
        <v>1</v>
      </c>
      <c r="U114" t="s">
        <v>97</v>
      </c>
      <c r="AA114" s="3">
        <f>Q114-Z114</f>
      </c>
      <c r="AB114" t="s">
        <v>59</v>
      </c>
      <c r="AC114" t="s">
        <v>60</v>
      </c>
    </row>
    <row r="115" spans="1:29" x14ac:dyDescent="0.25">
      <c r="A115" s="7">
        <v>46217.5</v>
      </c>
      <c r="B115" t="s">
        <v>3258</v>
      </c>
      <c r="C115" t="s">
        <v>1</v>
      </c>
      <c r="D115" s="8" t="s">
        <v>3259</v>
      </c>
      <c r="E115" t="s">
        <v>63</v>
      </c>
      <c r="F115">
        <v>1</v>
      </c>
      <c r="G115" s="3">
        <v>307</v>
      </c>
      <c r="H115" s="3">
        <v>429.8</v>
      </c>
      <c r="I115" s="3">
        <f>H115-G115</f>
      </c>
      <c r="J115" s="3">
        <f>I115*16.67%</f>
      </c>
      <c r="K115" s="3">
        <v>19.81</v>
      </c>
      <c r="L115" s="3">
        <f>K115*20%</f>
      </c>
      <c r="M115" s="3">
        <v>0</v>
      </c>
      <c r="N115" s="3">
        <f>M115*20%</f>
      </c>
      <c r="O115" s="3">
        <v>1</v>
      </c>
      <c r="P115" s="3">
        <f>N115</f>
      </c>
      <c r="Q115" s="3">
        <f>I115-J115-K115-M115-N115-O115</f>
      </c>
      <c r="R115" s="3">
        <f>(Q115-Z115)/G115*100</f>
      </c>
      <c r="S115" s="3">
        <f>J115-P115</f>
      </c>
      <c r="T115" t="s">
        <v>1</v>
      </c>
      <c r="U115" t="s">
        <v>130</v>
      </c>
      <c r="AA115" s="3">
        <f>Q115-Z115</f>
      </c>
      <c r="AB115" t="s">
        <v>65</v>
      </c>
      <c r="AC115" t="s">
        <v>84</v>
      </c>
    </row>
    <row r="116" spans="1:29" x14ac:dyDescent="0.25">
      <c r="A116" s="7">
        <v>46217.5</v>
      </c>
      <c r="B116" t="s">
        <v>3260</v>
      </c>
      <c r="C116" t="s">
        <v>1</v>
      </c>
      <c r="D116" s="8" t="s">
        <v>3261</v>
      </c>
      <c r="E116" t="s">
        <v>77</v>
      </c>
      <c r="F116">
        <v>1</v>
      </c>
      <c r="G116" s="3">
        <v>361</v>
      </c>
      <c r="H116" s="3">
        <v>480.13</v>
      </c>
      <c r="I116" s="3">
        <f>H116-G116</f>
      </c>
      <c r="J116" s="3">
        <f>I116*16.67%</f>
      </c>
      <c r="K116" s="3">
        <v>22.13</v>
      </c>
      <c r="L116" s="3">
        <f>K116*20%</f>
      </c>
      <c r="M116" s="3">
        <v>0</v>
      </c>
      <c r="N116" s="3">
        <f>M116*20%</f>
      </c>
      <c r="O116" s="3">
        <v>1</v>
      </c>
      <c r="P116" s="3">
        <f>N116</f>
      </c>
      <c r="Q116" s="3">
        <f>I116-J116-K116-M116-N116-O116</f>
      </c>
      <c r="R116" s="3">
        <f>(Q116-Z116)/G116*100</f>
      </c>
      <c r="S116" s="3">
        <f>J116-P116</f>
      </c>
      <c r="T116" t="s">
        <v>1</v>
      </c>
      <c r="U116" t="s">
        <v>138</v>
      </c>
      <c r="AA116" s="3">
        <f>Q116-Z116</f>
      </c>
      <c r="AB116" t="s">
        <v>65</v>
      </c>
      <c r="AC116" t="s">
        <v>74</v>
      </c>
    </row>
    <row r="117" spans="1:29" x14ac:dyDescent="0.25">
      <c r="A117" s="7">
        <v>46217.5</v>
      </c>
      <c r="B117" t="s">
        <v>3262</v>
      </c>
      <c r="C117" t="s">
        <v>173</v>
      </c>
      <c r="D117" s="8" t="s">
        <v>1</v>
      </c>
      <c r="E117" t="s">
        <v>63</v>
      </c>
      <c r="F117">
        <v>1</v>
      </c>
      <c r="G117" s="3">
        <v>4.25</v>
      </c>
      <c r="H117" s="3">
        <v>5.06</v>
      </c>
      <c r="I117" s="3">
        <f>H117-G117</f>
      </c>
      <c r="J117" s="3">
        <f>I117*16.67%</f>
      </c>
      <c r="K117" s="3">
        <v>0.23</v>
      </c>
      <c r="L117" s="3">
        <f>K117*20%</f>
      </c>
      <c r="M117" s="3">
        <v>0</v>
      </c>
      <c r="N117" s="3">
        <f>M117*20%</f>
      </c>
      <c r="O117" s="3">
        <v>1</v>
      </c>
      <c r="P117" s="3">
        <f>N117</f>
      </c>
      <c r="Q117" s="3">
        <f>I117-J117-K117-M117-N117-O117</f>
      </c>
      <c r="R117" s="3">
        <f>(Q117-Z117)/G117*100</f>
      </c>
      <c r="S117" s="3">
        <f>J117-P117</f>
      </c>
      <c r="T117" t="s">
        <v>1</v>
      </c>
      <c r="U117" t="s">
        <v>173</v>
      </c>
      <c r="AA117" s="3">
        <f>Q117-Z117</f>
      </c>
      <c r="AB117" t="s">
        <v>1</v>
      </c>
      <c r="AC117" t="s">
        <v>1</v>
      </c>
    </row>
    <row r="118" spans="1:29" x14ac:dyDescent="0.25">
      <c r="A118" s="7">
        <v>46217.5</v>
      </c>
      <c r="B118" t="s">
        <v>3263</v>
      </c>
      <c r="C118" t="s">
        <v>253</v>
      </c>
      <c r="D118" s="8" t="s">
        <v>1</v>
      </c>
      <c r="E118" t="s">
        <v>57</v>
      </c>
      <c r="F118">
        <v>2</v>
      </c>
      <c r="G118" s="3">
        <v>1.6</v>
      </c>
      <c r="H118" s="3">
        <v>1.89</v>
      </c>
      <c r="I118" s="3">
        <f>H118-G118</f>
      </c>
      <c r="J118" s="3">
        <f>I118*16.67%</f>
      </c>
      <c r="K118" s="3">
        <v>0.09</v>
      </c>
      <c r="L118" s="3">
        <f>K118*20%</f>
      </c>
      <c r="M118" s="3">
        <v>0</v>
      </c>
      <c r="N118" s="3">
        <f>M118*20%</f>
      </c>
      <c r="O118" s="3">
        <v>1</v>
      </c>
      <c r="P118" s="3">
        <f>N118</f>
      </c>
      <c r="Q118" s="3">
        <f>I118-J118-K118-M118-N118-O118</f>
      </c>
      <c r="R118" s="3">
        <f>(Q118-Z118)/G118*100</f>
      </c>
      <c r="S118" s="3">
        <f>J118-P118</f>
      </c>
      <c r="T118" t="s">
        <v>1</v>
      </c>
      <c r="U118" t="s">
        <v>253</v>
      </c>
      <c r="AA118" s="3">
        <f>Q118-Z118</f>
      </c>
      <c r="AB118" t="s">
        <v>1</v>
      </c>
      <c r="AC118" t="s">
        <v>1</v>
      </c>
    </row>
    <row r="119" spans="1:29" x14ac:dyDescent="0.25">
      <c r="A119" s="7">
        <v>46217.5</v>
      </c>
      <c r="B119" t="s">
        <v>3264</v>
      </c>
      <c r="C119" t="s">
        <v>181</v>
      </c>
      <c r="D119" s="8" t="s">
        <v>1</v>
      </c>
      <c r="E119" t="s">
        <v>72</v>
      </c>
      <c r="F119">
        <v>2</v>
      </c>
      <c r="G119" s="3">
        <v>3.8</v>
      </c>
      <c r="H119" s="3">
        <v>4.94</v>
      </c>
      <c r="I119" s="3">
        <f>H119-G119</f>
      </c>
      <c r="J119" s="3">
        <f>I119*16.67%</f>
      </c>
      <c r="K119" s="3">
        <v>0.23</v>
      </c>
      <c r="L119" s="3">
        <f>K119*20%</f>
      </c>
      <c r="M119" s="3">
        <v>0</v>
      </c>
      <c r="N119" s="3">
        <f>M119*20%</f>
      </c>
      <c r="O119" s="3">
        <v>1</v>
      </c>
      <c r="P119" s="3">
        <f>N119</f>
      </c>
      <c r="Q119" s="3">
        <f>I119-J119-K119-M119-N119-O119</f>
      </c>
      <c r="R119" s="3">
        <f>(Q119-Z119)/G119*100</f>
      </c>
      <c r="S119" s="3">
        <f>J119-P119</f>
      </c>
      <c r="T119" t="s">
        <v>1</v>
      </c>
      <c r="U119" t="s">
        <v>181</v>
      </c>
      <c r="AA119" s="3">
        <f>Q119-Z119</f>
      </c>
      <c r="AB119" t="s">
        <v>1</v>
      </c>
      <c r="AC119" t="s">
        <v>1</v>
      </c>
    </row>
    <row r="120" spans="1:29" x14ac:dyDescent="0.25">
      <c r="A120" s="7">
        <v>46217.5</v>
      </c>
      <c r="B120" t="s">
        <v>3265</v>
      </c>
      <c r="C120" t="s">
        <v>1</v>
      </c>
      <c r="D120" s="8" t="s">
        <v>1</v>
      </c>
      <c r="E120" t="s">
        <v>72</v>
      </c>
      <c r="F120">
        <v>1</v>
      </c>
      <c r="G120" s="3">
        <v>244</v>
      </c>
      <c r="H120" s="3">
        <v>336.72</v>
      </c>
      <c r="I120" s="3">
        <f>H120-G120</f>
      </c>
      <c r="J120" s="3">
        <f>I120*16.67%</f>
      </c>
      <c r="K120" s="3">
        <v>15.52</v>
      </c>
      <c r="L120" s="3">
        <f>K120*20%</f>
      </c>
      <c r="M120" s="3">
        <v>0</v>
      </c>
      <c r="N120" s="3">
        <f>M120*20%</f>
      </c>
      <c r="O120" s="3">
        <v>1</v>
      </c>
      <c r="P120" s="3">
        <f>N120</f>
      </c>
      <c r="Q120" s="3">
        <f>I120-J120-K120-M120-N120-O120</f>
      </c>
      <c r="R120" s="3">
        <f>(Q120-Z120)/G120*100</f>
      </c>
      <c r="S120" s="3">
        <f>J120-P120</f>
      </c>
      <c r="T120" t="s">
        <v>1</v>
      </c>
      <c r="U120" t="s">
        <v>1</v>
      </c>
      <c r="AA120" s="3">
        <f>Q120-Z120</f>
      </c>
      <c r="AB120" t="s">
        <v>1</v>
      </c>
      <c r="AC120" t="s">
        <v>1</v>
      </c>
    </row>
    <row r="121" spans="1:29" x14ac:dyDescent="0.25">
      <c r="A121" s="7">
        <v>46216.5</v>
      </c>
      <c r="B121" t="s">
        <v>3266</v>
      </c>
      <c r="C121" t="s">
        <v>1</v>
      </c>
      <c r="D121" s="8" t="s">
        <v>3267</v>
      </c>
      <c r="E121" t="s">
        <v>57</v>
      </c>
      <c r="F121">
        <v>1</v>
      </c>
      <c r="G121" s="3">
        <v>275</v>
      </c>
      <c r="H121" s="3">
        <v>365.75</v>
      </c>
      <c r="I121" s="3">
        <f>H121-G121</f>
      </c>
      <c r="J121" s="3">
        <f>I121*16.67%</f>
      </c>
      <c r="K121" s="3">
        <v>16.86</v>
      </c>
      <c r="L121" s="3">
        <f>K121*20%</f>
      </c>
      <c r="M121" s="3">
        <v>0</v>
      </c>
      <c r="N121" s="3">
        <f>M121*20%</f>
      </c>
      <c r="O121" s="3">
        <v>1</v>
      </c>
      <c r="P121" s="3">
        <f>N121</f>
      </c>
      <c r="Q121" s="3">
        <f>I121-J121-K121-M121-N121-O121</f>
      </c>
      <c r="R121" s="3">
        <f>(Q121-Z121)/G121*100</f>
      </c>
      <c r="S121" s="3">
        <f>J121-P121</f>
      </c>
      <c r="T121" t="s">
        <v>1</v>
      </c>
      <c r="U121" t="s">
        <v>124</v>
      </c>
      <c r="AA121" s="3">
        <f>Q121-Z121</f>
      </c>
      <c r="AB121" t="s">
        <v>125</v>
      </c>
      <c r="AC121" t="s">
        <v>104</v>
      </c>
    </row>
    <row r="122" spans="1:29" x14ac:dyDescent="0.25">
      <c r="A122" s="7">
        <v>46216.5</v>
      </c>
      <c r="B122" t="s">
        <v>3268</v>
      </c>
      <c r="C122" t="s">
        <v>1</v>
      </c>
      <c r="D122" s="8" t="s">
        <v>3269</v>
      </c>
      <c r="E122" t="s">
        <v>57</v>
      </c>
      <c r="F122">
        <v>1</v>
      </c>
      <c r="G122" s="3">
        <v>296</v>
      </c>
      <c r="H122" s="3">
        <v>420.32</v>
      </c>
      <c r="I122" s="3">
        <f>H122-G122</f>
      </c>
      <c r="J122" s="3">
        <f>I122*16.67%</f>
      </c>
      <c r="K122" s="3">
        <v>19.38</v>
      </c>
      <c r="L122" s="3">
        <f>K122*20%</f>
      </c>
      <c r="M122" s="3">
        <v>0</v>
      </c>
      <c r="N122" s="3">
        <f>M122*20%</f>
      </c>
      <c r="O122" s="3">
        <v>1</v>
      </c>
      <c r="P122" s="3">
        <f>N122</f>
      </c>
      <c r="Q122" s="3">
        <f>I122-J122-K122-M122-N122-O122</f>
      </c>
      <c r="R122" s="3">
        <f>(Q122-Z122)/G122*100</f>
      </c>
      <c r="S122" s="3">
        <f>J122-P122</f>
      </c>
      <c r="T122" t="s">
        <v>1</v>
      </c>
      <c r="U122" t="s">
        <v>130</v>
      </c>
      <c r="AA122" s="3">
        <f>Q122-Z122</f>
      </c>
      <c r="AB122" t="s">
        <v>59</v>
      </c>
      <c r="AC122" t="s">
        <v>60</v>
      </c>
    </row>
    <row r="123" spans="1:29" x14ac:dyDescent="0.25">
      <c r="A123" s="7">
        <v>46216.5</v>
      </c>
      <c r="B123" t="s">
        <v>3270</v>
      </c>
      <c r="C123" t="s">
        <v>188</v>
      </c>
      <c r="D123" s="8" t="s">
        <v>1</v>
      </c>
      <c r="E123" t="s">
        <v>63</v>
      </c>
      <c r="F123">
        <v>4</v>
      </c>
      <c r="G123" s="3">
        <v>14</v>
      </c>
      <c r="H123" s="3">
        <v>17.64</v>
      </c>
      <c r="I123" s="3">
        <f>H123-G123</f>
      </c>
      <c r="J123" s="3">
        <f>I123*16.67%</f>
      </c>
      <c r="K123" s="3">
        <v>0.81</v>
      </c>
      <c r="L123" s="3">
        <f>K123*20%</f>
      </c>
      <c r="M123" s="3">
        <v>0</v>
      </c>
      <c r="N123" s="3">
        <f>M123*20%</f>
      </c>
      <c r="O123" s="3">
        <v>1</v>
      </c>
      <c r="P123" s="3">
        <f>N123</f>
      </c>
      <c r="Q123" s="3">
        <f>I123-J123-K123-M123-N123-O123</f>
      </c>
      <c r="R123" s="3">
        <f>(Q123-Z123)/G123*100</f>
      </c>
      <c r="S123" s="3">
        <f>J123-P123</f>
      </c>
      <c r="T123" t="s">
        <v>1</v>
      </c>
      <c r="U123" t="s">
        <v>188</v>
      </c>
      <c r="AA123" s="3">
        <f>Q123-Z123</f>
      </c>
      <c r="AB123" t="s">
        <v>1</v>
      </c>
      <c r="AC123" t="s">
        <v>1</v>
      </c>
    </row>
    <row r="124" spans="1:29" x14ac:dyDescent="0.25">
      <c r="A124" s="7">
        <v>46216.5</v>
      </c>
      <c r="B124" t="s">
        <v>3271</v>
      </c>
      <c r="C124" t="s">
        <v>184</v>
      </c>
      <c r="D124" s="8" t="s">
        <v>1</v>
      </c>
      <c r="E124" t="s">
        <v>101</v>
      </c>
      <c r="F124">
        <v>4</v>
      </c>
      <c r="G124" s="3">
        <v>4.8</v>
      </c>
      <c r="H124" s="3">
        <v>6.82</v>
      </c>
      <c r="I124" s="3">
        <f>H124-G124</f>
      </c>
      <c r="J124" s="3">
        <f>I124*16.67%</f>
      </c>
      <c r="K124" s="3">
        <v>0.31</v>
      </c>
      <c r="L124" s="3">
        <f>K124*20%</f>
      </c>
      <c r="M124" s="3">
        <v>0</v>
      </c>
      <c r="N124" s="3">
        <f>M124*20%</f>
      </c>
      <c r="O124" s="3">
        <v>1</v>
      </c>
      <c r="P124" s="3">
        <f>N124</f>
      </c>
      <c r="Q124" s="3">
        <f>I124-J124-K124-M124-N124-O124</f>
      </c>
      <c r="R124" s="3">
        <f>(Q124-Z124)/G124*100</f>
      </c>
      <c r="S124" s="3">
        <f>J124-P124</f>
      </c>
      <c r="T124" t="s">
        <v>1</v>
      </c>
      <c r="U124" t="s">
        <v>184</v>
      </c>
      <c r="AA124" s="3">
        <f>Q124-Z124</f>
      </c>
      <c r="AB124" t="s">
        <v>1</v>
      </c>
      <c r="AC124" t="s">
        <v>1</v>
      </c>
    </row>
    <row r="125" spans="1:29" x14ac:dyDescent="0.25">
      <c r="A125" s="7">
        <v>46216.5</v>
      </c>
      <c r="B125" t="s">
        <v>3272</v>
      </c>
      <c r="C125" t="s">
        <v>1</v>
      </c>
      <c r="D125" s="8" t="s">
        <v>1</v>
      </c>
      <c r="E125" t="s">
        <v>77</v>
      </c>
      <c r="F125">
        <v>1</v>
      </c>
      <c r="G125" s="3">
        <v>138</v>
      </c>
      <c r="H125" s="3">
        <v>168.36</v>
      </c>
      <c r="I125" s="3">
        <f>H125-G125</f>
      </c>
      <c r="J125" s="3">
        <f>I125*16.67%</f>
      </c>
      <c r="K125" s="3">
        <v>7.76</v>
      </c>
      <c r="L125" s="3">
        <f>K125*20%</f>
      </c>
      <c r="M125" s="3">
        <v>0</v>
      </c>
      <c r="N125" s="3">
        <f>M125*20%</f>
      </c>
      <c r="O125" s="3">
        <v>1</v>
      </c>
      <c r="P125" s="3">
        <f>N125</f>
      </c>
      <c r="Q125" s="3">
        <f>I125-J125-K125-M125-N125-O125</f>
      </c>
      <c r="R125" s="3">
        <f>(Q125-Z125)/G125*100</f>
      </c>
      <c r="S125" s="3">
        <f>J125-P125</f>
      </c>
      <c r="T125" t="s">
        <v>1</v>
      </c>
      <c r="U125" t="s">
        <v>1</v>
      </c>
      <c r="AA125" s="3">
        <f>Q125-Z125</f>
      </c>
      <c r="AB125" t="s">
        <v>1</v>
      </c>
      <c r="AC125" t="s">
        <v>1</v>
      </c>
    </row>
    <row r="126" spans="1:29" x14ac:dyDescent="0.25">
      <c r="A126" s="7">
        <v>46215.5</v>
      </c>
      <c r="B126" t="s">
        <v>3273</v>
      </c>
      <c r="C126" t="s">
        <v>1</v>
      </c>
      <c r="D126" s="8" t="s">
        <v>3274</v>
      </c>
      <c r="E126" t="s">
        <v>63</v>
      </c>
      <c r="F126">
        <v>1</v>
      </c>
      <c r="G126" s="3">
        <v>178</v>
      </c>
      <c r="H126" s="3">
        <v>247.42</v>
      </c>
      <c r="I126" s="3">
        <f>H126-G126</f>
      </c>
      <c r="J126" s="3">
        <f>I126*16.67%</f>
      </c>
      <c r="K126" s="3">
        <v>11.41</v>
      </c>
      <c r="L126" s="3">
        <f>K126*20%</f>
      </c>
      <c r="M126" s="3">
        <v>0</v>
      </c>
      <c r="N126" s="3">
        <f>M126*20%</f>
      </c>
      <c r="O126" s="3">
        <v>1</v>
      </c>
      <c r="P126" s="3">
        <f>N126</f>
      </c>
      <c r="Q126" s="3">
        <f>I126-J126-K126-M126-N126-O126</f>
      </c>
      <c r="R126" s="3">
        <f>(Q126-Z126)/G126*100</f>
      </c>
      <c r="S126" s="3">
        <f>J126-P126</f>
      </c>
      <c r="T126" t="s">
        <v>1</v>
      </c>
      <c r="U126" t="s">
        <v>171</v>
      </c>
      <c r="AA126" s="3">
        <f>Q126-Z126</f>
      </c>
      <c r="AB126" t="s">
        <v>65</v>
      </c>
      <c r="AC126" t="s">
        <v>69</v>
      </c>
    </row>
    <row r="127" spans="1:29" x14ac:dyDescent="0.25">
      <c r="A127" s="7">
        <v>46215.5</v>
      </c>
      <c r="B127" t="s">
        <v>3275</v>
      </c>
      <c r="C127" t="s">
        <v>1</v>
      </c>
      <c r="D127" s="8" t="s">
        <v>3276</v>
      </c>
      <c r="E127" t="s">
        <v>101</v>
      </c>
      <c r="F127">
        <v>1</v>
      </c>
      <c r="G127" s="3">
        <v>366</v>
      </c>
      <c r="H127" s="3">
        <v>468.48</v>
      </c>
      <c r="I127" s="3">
        <f>H127-G127</f>
      </c>
      <c r="J127" s="3">
        <f>I127*16.67%</f>
      </c>
      <c r="K127" s="3">
        <v>21.6</v>
      </c>
      <c r="L127" s="3">
        <f>K127*20%</f>
      </c>
      <c r="M127" s="3">
        <v>0</v>
      </c>
      <c r="N127" s="3">
        <f>M127*20%</f>
      </c>
      <c r="O127" s="3">
        <v>1</v>
      </c>
      <c r="P127" s="3">
        <f>N127</f>
      </c>
      <c r="Q127" s="3">
        <f>I127-J127-K127-M127-N127-O127</f>
      </c>
      <c r="R127" s="3">
        <f>(Q127-Z127)/G127*100</f>
      </c>
      <c r="S127" s="3">
        <f>J127-P127</f>
      </c>
      <c r="T127" t="s">
        <v>1</v>
      </c>
      <c r="U127" t="s">
        <v>138</v>
      </c>
      <c r="AA127" s="3">
        <f>Q127-Z127</f>
      </c>
      <c r="AB127" t="s">
        <v>59</v>
      </c>
      <c r="AC127" t="s">
        <v>60</v>
      </c>
    </row>
    <row r="128" spans="1:29" x14ac:dyDescent="0.25">
      <c r="A128" s="7">
        <v>46215.5</v>
      </c>
      <c r="B128" t="s">
        <v>3277</v>
      </c>
      <c r="C128" t="s">
        <v>1</v>
      </c>
      <c r="D128" s="8" t="s">
        <v>3278</v>
      </c>
      <c r="E128" t="s">
        <v>72</v>
      </c>
      <c r="F128">
        <v>1</v>
      </c>
      <c r="G128" s="3">
        <v>295</v>
      </c>
      <c r="H128" s="3">
        <v>404.15</v>
      </c>
      <c r="I128" s="3">
        <f>H128-G128</f>
      </c>
      <c r="J128" s="3">
        <f>I128*16.67%</f>
      </c>
      <c r="K128" s="3">
        <v>18.63</v>
      </c>
      <c r="L128" s="3">
        <f>K128*20%</f>
      </c>
      <c r="M128" s="3">
        <v>0</v>
      </c>
      <c r="N128" s="3">
        <f>M128*20%</f>
      </c>
      <c r="O128" s="3">
        <v>1</v>
      </c>
      <c r="P128" s="3">
        <f>N128</f>
      </c>
      <c r="Q128" s="3">
        <f>I128-J128-K128-M128-N128-O128</f>
      </c>
      <c r="R128" s="3">
        <f>(Q128-Z128)/G128*100</f>
      </c>
      <c r="S128" s="3">
        <f>J128-P128</f>
      </c>
      <c r="T128" t="s">
        <v>1</v>
      </c>
      <c r="U128" t="s">
        <v>97</v>
      </c>
      <c r="AA128" s="3">
        <f>Q128-Z128</f>
      </c>
      <c r="AB128" t="s">
        <v>59</v>
      </c>
      <c r="AC128" t="s">
        <v>87</v>
      </c>
    </row>
    <row r="129" spans="1:29" x14ac:dyDescent="0.25">
      <c r="A129" s="7">
        <v>46215.5</v>
      </c>
      <c r="B129" t="s">
        <v>3279</v>
      </c>
      <c r="C129" t="s">
        <v>1</v>
      </c>
      <c r="D129" s="8" t="s">
        <v>3280</v>
      </c>
      <c r="E129" t="s">
        <v>72</v>
      </c>
      <c r="F129">
        <v>1</v>
      </c>
      <c r="G129" s="3">
        <v>568</v>
      </c>
      <c r="H129" s="3">
        <v>744.08</v>
      </c>
      <c r="I129" s="3">
        <f>H129-G129</f>
      </c>
      <c r="J129" s="3">
        <f>I129*16.67%</f>
      </c>
      <c r="K129" s="3">
        <v>34.3</v>
      </c>
      <c r="L129" s="3">
        <f>K129*20%</f>
      </c>
      <c r="M129" s="3">
        <v>0</v>
      </c>
      <c r="N129" s="3">
        <f>M129*20%</f>
      </c>
      <c r="O129" s="3">
        <v>1</v>
      </c>
      <c r="P129" s="3">
        <f>N129</f>
      </c>
      <c r="Q129" s="3">
        <f>I129-J129-K129-M129-N129-O129</f>
      </c>
      <c r="R129" s="3">
        <f>(Q129-Z129)/G129*100</f>
      </c>
      <c r="S129" s="3">
        <f>J129-P129</f>
      </c>
      <c r="T129" t="s">
        <v>1</v>
      </c>
      <c r="U129" t="s">
        <v>80</v>
      </c>
      <c r="AA129" s="3">
        <f>Q129-Z129</f>
      </c>
      <c r="AB129" t="s">
        <v>59</v>
      </c>
      <c r="AC129" t="s">
        <v>87</v>
      </c>
    </row>
    <row r="130" spans="1:29" x14ac:dyDescent="0.25">
      <c r="A130" s="7">
        <v>46214.5</v>
      </c>
      <c r="B130" t="s">
        <v>3281</v>
      </c>
      <c r="C130" t="s">
        <v>253</v>
      </c>
      <c r="D130" s="8" t="s">
        <v>1</v>
      </c>
      <c r="E130" t="s">
        <v>57</v>
      </c>
      <c r="F130">
        <v>1</v>
      </c>
      <c r="G130" s="3">
        <v>0.8</v>
      </c>
      <c r="H130" s="3">
        <v>1.09</v>
      </c>
      <c r="I130" s="3">
        <f>H130-G130</f>
      </c>
      <c r="J130" s="3">
        <f>I130*16.67%</f>
      </c>
      <c r="K130" s="3">
        <v>0.05</v>
      </c>
      <c r="L130" s="3">
        <f>K130*20%</f>
      </c>
      <c r="M130" s="3">
        <v>0</v>
      </c>
      <c r="N130" s="3">
        <f>M130*20%</f>
      </c>
      <c r="O130" s="3">
        <v>1</v>
      </c>
      <c r="P130" s="3">
        <f>N130</f>
      </c>
      <c r="Q130" s="3">
        <f>I130-J130-K130-M130-N130-O130</f>
      </c>
      <c r="R130" s="3">
        <f>(Q130-Z130)/G130*100</f>
      </c>
      <c r="S130" s="3">
        <f>J130-P130</f>
      </c>
      <c r="T130" t="s">
        <v>1</v>
      </c>
      <c r="U130" t="s">
        <v>253</v>
      </c>
      <c r="AA130" s="3">
        <f>Q130-Z130</f>
      </c>
      <c r="AB130" t="s">
        <v>1</v>
      </c>
      <c r="AC130" t="s">
        <v>1</v>
      </c>
    </row>
    <row r="131" spans="1:29" x14ac:dyDescent="0.25">
      <c r="A131" s="7">
        <v>46214.5</v>
      </c>
      <c r="B131" t="s">
        <v>3282</v>
      </c>
      <c r="C131" t="s">
        <v>1</v>
      </c>
      <c r="D131" s="8" t="s">
        <v>1</v>
      </c>
      <c r="E131" t="s">
        <v>72</v>
      </c>
      <c r="F131">
        <v>1</v>
      </c>
      <c r="G131" s="3">
        <v>252</v>
      </c>
      <c r="H131" s="3">
        <v>365.4</v>
      </c>
      <c r="I131" s="3">
        <f>H131-G131</f>
      </c>
      <c r="J131" s="3">
        <f>I131*16.67%</f>
      </c>
      <c r="K131" s="3">
        <v>16.84</v>
      </c>
      <c r="L131" s="3">
        <f>K131*20%</f>
      </c>
      <c r="M131" s="3">
        <v>0</v>
      </c>
      <c r="N131" s="3">
        <f>M131*20%</f>
      </c>
      <c r="O131" s="3">
        <v>1</v>
      </c>
      <c r="P131" s="3">
        <f>N131</f>
      </c>
      <c r="Q131" s="3">
        <f>I131-J131-K131-M131-N131-O131</f>
      </c>
      <c r="R131" s="3">
        <f>(Q131-Z131)/G131*100</f>
      </c>
      <c r="S131" s="3">
        <f>J131-P131</f>
      </c>
      <c r="T131" t="s">
        <v>1</v>
      </c>
      <c r="U131" t="s">
        <v>1</v>
      </c>
      <c r="AA131" s="3">
        <f>Q131-Z131</f>
      </c>
      <c r="AB131" t="s">
        <v>1</v>
      </c>
      <c r="AC131" t="s">
        <v>1</v>
      </c>
    </row>
    <row r="132" spans="1:29" x14ac:dyDescent="0.25">
      <c r="A132" s="7">
        <v>46213.5</v>
      </c>
      <c r="B132" t="s">
        <v>3283</v>
      </c>
      <c r="C132" t="s">
        <v>1</v>
      </c>
      <c r="D132" s="8" t="s">
        <v>3284</v>
      </c>
      <c r="E132" t="s">
        <v>101</v>
      </c>
      <c r="F132">
        <v>1</v>
      </c>
      <c r="G132" s="3">
        <v>67</v>
      </c>
      <c r="H132" s="3">
        <v>95.81</v>
      </c>
      <c r="I132" s="3">
        <f>H132-G132</f>
      </c>
      <c r="J132" s="3">
        <f>I132*16.67%</f>
      </c>
      <c r="K132" s="3">
        <v>4.42</v>
      </c>
      <c r="L132" s="3">
        <f>K132*20%</f>
      </c>
      <c r="M132" s="3">
        <v>0</v>
      </c>
      <c r="N132" s="3">
        <f>M132*20%</f>
      </c>
      <c r="O132" s="3">
        <v>1</v>
      </c>
      <c r="P132" s="3">
        <f>N132</f>
      </c>
      <c r="Q132" s="3">
        <f>I132-J132-K132-M132-N132-O132</f>
      </c>
      <c r="R132" s="3">
        <f>(Q132-Z132)/G132*100</f>
      </c>
      <c r="S132" s="3">
        <f>J132-P132</f>
      </c>
      <c r="T132" t="s">
        <v>1</v>
      </c>
      <c r="U132" t="s">
        <v>93</v>
      </c>
      <c r="AA132" s="3">
        <f>Q132-Z132</f>
      </c>
      <c r="AB132" t="s">
        <v>94</v>
      </c>
      <c r="AC132" t="s">
        <v>60</v>
      </c>
    </row>
    <row r="133" spans="1:29" x14ac:dyDescent="0.25">
      <c r="A133" s="7">
        <v>46213.5</v>
      </c>
      <c r="B133" t="s">
        <v>3285</v>
      </c>
      <c r="C133" t="s">
        <v>1</v>
      </c>
      <c r="D133" s="8" t="s">
        <v>3286</v>
      </c>
      <c r="E133" t="s">
        <v>72</v>
      </c>
      <c r="F133">
        <v>1</v>
      </c>
      <c r="G133" s="3">
        <v>298</v>
      </c>
      <c r="H133" s="3">
        <v>372.5</v>
      </c>
      <c r="I133" s="3">
        <f>H133-G133</f>
      </c>
      <c r="J133" s="3">
        <f>I133*16.67%</f>
      </c>
      <c r="K133" s="3">
        <v>17.17</v>
      </c>
      <c r="L133" s="3">
        <f>K133*20%</f>
      </c>
      <c r="M133" s="3">
        <v>0</v>
      </c>
      <c r="N133" s="3">
        <f>M133*20%</f>
      </c>
      <c r="O133" s="3">
        <v>1</v>
      </c>
      <c r="P133" s="3">
        <f>N133</f>
      </c>
      <c r="Q133" s="3">
        <f>I133-J133-K133-M133-N133-O133</f>
      </c>
      <c r="R133" s="3">
        <f>(Q133-Z133)/G133*100</f>
      </c>
      <c r="S133" s="3">
        <f>J133-P133</f>
      </c>
      <c r="T133" t="s">
        <v>1</v>
      </c>
      <c r="U133" t="s">
        <v>130</v>
      </c>
      <c r="AA133" s="3">
        <f>Q133-Z133</f>
      </c>
      <c r="AB133" t="s">
        <v>59</v>
      </c>
      <c r="AC133" t="s">
        <v>74</v>
      </c>
    </row>
    <row r="134" spans="1:29" x14ac:dyDescent="0.25">
      <c r="A134" s="7">
        <v>46213.5</v>
      </c>
      <c r="B134" t="s">
        <v>3287</v>
      </c>
      <c r="C134" t="s">
        <v>1</v>
      </c>
      <c r="D134" s="8" t="s">
        <v>3288</v>
      </c>
      <c r="E134" t="s">
        <v>63</v>
      </c>
      <c r="F134">
        <v>1</v>
      </c>
      <c r="G134" s="3">
        <v>250</v>
      </c>
      <c r="H134" s="3">
        <v>315</v>
      </c>
      <c r="I134" s="3">
        <f>H134-G134</f>
      </c>
      <c r="J134" s="3">
        <f>I134*16.67%</f>
      </c>
      <c r="K134" s="3">
        <v>14.52</v>
      </c>
      <c r="L134" s="3">
        <f>K134*20%</f>
      </c>
      <c r="M134" s="3">
        <v>0</v>
      </c>
      <c r="N134" s="3">
        <f>M134*20%</f>
      </c>
      <c r="O134" s="3">
        <v>1</v>
      </c>
      <c r="P134" s="3">
        <f>N134</f>
      </c>
      <c r="Q134" s="3">
        <f>I134-J134-K134-M134-N134-O134</f>
      </c>
      <c r="R134" s="3">
        <f>(Q134-Z134)/G134*100</f>
      </c>
      <c r="S134" s="3">
        <f>J134-P134</f>
      </c>
      <c r="T134" t="s">
        <v>1</v>
      </c>
      <c r="U134" t="s">
        <v>64</v>
      </c>
      <c r="AA134" s="3">
        <f>Q134-Z134</f>
      </c>
      <c r="AB134" t="s">
        <v>65</v>
      </c>
      <c r="AC134" t="s">
        <v>98</v>
      </c>
    </row>
    <row r="135" spans="1:29" x14ac:dyDescent="0.25">
      <c r="A135" s="7">
        <v>46213.5</v>
      </c>
      <c r="B135" t="s">
        <v>3289</v>
      </c>
      <c r="C135" t="s">
        <v>184</v>
      </c>
      <c r="D135" s="8" t="s">
        <v>1</v>
      </c>
      <c r="E135" t="s">
        <v>101</v>
      </c>
      <c r="F135">
        <v>1</v>
      </c>
      <c r="G135" s="3">
        <v>1.2</v>
      </c>
      <c r="H135" s="3">
        <v>1.55</v>
      </c>
      <c r="I135" s="3">
        <f>H135-G135</f>
      </c>
      <c r="J135" s="3">
        <f>I135*16.67%</f>
      </c>
      <c r="K135" s="3">
        <v>0.07</v>
      </c>
      <c r="L135" s="3">
        <f>K135*20%</f>
      </c>
      <c r="M135" s="3">
        <v>0</v>
      </c>
      <c r="N135" s="3">
        <f>M135*20%</f>
      </c>
      <c r="O135" s="3">
        <v>1</v>
      </c>
      <c r="P135" s="3">
        <f>N135</f>
      </c>
      <c r="Q135" s="3">
        <f>I135-J135-K135-M135-N135-O135</f>
      </c>
      <c r="R135" s="3">
        <f>(Q135-Z135)/G135*100</f>
      </c>
      <c r="S135" s="3">
        <f>J135-P135</f>
      </c>
      <c r="T135" t="s">
        <v>1</v>
      </c>
      <c r="U135" t="s">
        <v>184</v>
      </c>
      <c r="AA135" s="3">
        <f>Q135-Z135</f>
      </c>
      <c r="AB135" t="s">
        <v>1</v>
      </c>
      <c r="AC135" t="s">
        <v>1</v>
      </c>
    </row>
    <row r="136" spans="1:29" x14ac:dyDescent="0.25">
      <c r="A136" s="7">
        <v>46213.5</v>
      </c>
      <c r="B136" t="s">
        <v>3290</v>
      </c>
      <c r="C136" t="s">
        <v>253</v>
      </c>
      <c r="D136" s="8" t="s">
        <v>1</v>
      </c>
      <c r="E136" t="s">
        <v>57</v>
      </c>
      <c r="F136">
        <v>4</v>
      </c>
      <c r="G136" s="3">
        <v>3.2</v>
      </c>
      <c r="H136" s="3">
        <v>4.45</v>
      </c>
      <c r="I136" s="3">
        <f>H136-G136</f>
      </c>
      <c r="J136" s="3">
        <f>I136*16.67%</f>
      </c>
      <c r="K136" s="3">
        <v>0.21</v>
      </c>
      <c r="L136" s="3">
        <f>K136*20%</f>
      </c>
      <c r="M136" s="3">
        <v>0</v>
      </c>
      <c r="N136" s="3">
        <f>M136*20%</f>
      </c>
      <c r="O136" s="3">
        <v>1</v>
      </c>
      <c r="P136" s="3">
        <f>N136</f>
      </c>
      <c r="Q136" s="3">
        <f>I136-J136-K136-M136-N136-O136</f>
      </c>
      <c r="R136" s="3">
        <f>(Q136-Z136)/G136*100</f>
      </c>
      <c r="S136" s="3">
        <f>J136-P136</f>
      </c>
      <c r="T136" t="s">
        <v>1</v>
      </c>
      <c r="U136" t="s">
        <v>253</v>
      </c>
      <c r="AA136" s="3">
        <f>Q136-Z136</f>
      </c>
      <c r="AB136" t="s">
        <v>1</v>
      </c>
      <c r="AC136" t="s">
        <v>1</v>
      </c>
    </row>
    <row r="137" spans="1:29" x14ac:dyDescent="0.25">
      <c r="A137" s="7">
        <v>46213.5</v>
      </c>
      <c r="B137" t="s">
        <v>3291</v>
      </c>
      <c r="C137" t="s">
        <v>181</v>
      </c>
      <c r="D137" s="8" t="s">
        <v>1</v>
      </c>
      <c r="E137" t="s">
        <v>72</v>
      </c>
      <c r="F137">
        <v>4</v>
      </c>
      <c r="G137" s="3">
        <v>7.6</v>
      </c>
      <c r="H137" s="3">
        <v>9.04</v>
      </c>
      <c r="I137" s="3">
        <f>H137-G137</f>
      </c>
      <c r="J137" s="3">
        <f>I137*16.67%</f>
      </c>
      <c r="K137" s="3">
        <v>0.42</v>
      </c>
      <c r="L137" s="3">
        <f>K137*20%</f>
      </c>
      <c r="M137" s="3">
        <v>0</v>
      </c>
      <c r="N137" s="3">
        <f>M137*20%</f>
      </c>
      <c r="O137" s="3">
        <v>1</v>
      </c>
      <c r="P137" s="3">
        <f>N137</f>
      </c>
      <c r="Q137" s="3">
        <f>I137-J137-K137-M137-N137-O137</f>
      </c>
      <c r="R137" s="3">
        <f>(Q137-Z137)/G137*100</f>
      </c>
      <c r="S137" s="3">
        <f>J137-P137</f>
      </c>
      <c r="T137" t="s">
        <v>1</v>
      </c>
      <c r="U137" t="s">
        <v>181</v>
      </c>
      <c r="AA137" s="3">
        <f>Q137-Z137</f>
      </c>
      <c r="AB137" t="s">
        <v>1</v>
      </c>
      <c r="AC137" t="s">
        <v>1</v>
      </c>
    </row>
    <row r="138" spans="1:29" x14ac:dyDescent="0.25">
      <c r="A138" s="7">
        <v>46213.5</v>
      </c>
      <c r="B138" t="s">
        <v>3292</v>
      </c>
      <c r="C138" t="s">
        <v>184</v>
      </c>
      <c r="D138" s="8" t="s">
        <v>1</v>
      </c>
      <c r="E138" t="s">
        <v>101</v>
      </c>
      <c r="F138">
        <v>3</v>
      </c>
      <c r="G138" s="3">
        <v>3.6</v>
      </c>
      <c r="H138" s="3">
        <v>5</v>
      </c>
      <c r="I138" s="3">
        <f>H138-G138</f>
      </c>
      <c r="J138" s="3">
        <f>I138*16.67%</f>
      </c>
      <c r="K138" s="3">
        <v>0.23</v>
      </c>
      <c r="L138" s="3">
        <f>K138*20%</f>
      </c>
      <c r="M138" s="3">
        <v>0</v>
      </c>
      <c r="N138" s="3">
        <f>M138*20%</f>
      </c>
      <c r="O138" s="3">
        <v>1</v>
      </c>
      <c r="P138" s="3">
        <f>N138</f>
      </c>
      <c r="Q138" s="3">
        <f>I138-J138-K138-M138-N138-O138</f>
      </c>
      <c r="R138" s="3">
        <f>(Q138-Z138)/G138*100</f>
      </c>
      <c r="S138" s="3">
        <f>J138-P138</f>
      </c>
      <c r="T138" t="s">
        <v>1</v>
      </c>
      <c r="U138" t="s">
        <v>184</v>
      </c>
      <c r="AA138" s="3">
        <f>Q138-Z138</f>
      </c>
      <c r="AB138" t="s">
        <v>1</v>
      </c>
      <c r="AC138" t="s">
        <v>1</v>
      </c>
    </row>
    <row r="139" spans="1:29" x14ac:dyDescent="0.25">
      <c r="A139" s="7">
        <v>46213.5</v>
      </c>
      <c r="B139" t="s">
        <v>3293</v>
      </c>
      <c r="C139" t="s">
        <v>1</v>
      </c>
      <c r="D139" s="8" t="s">
        <v>1</v>
      </c>
      <c r="E139" t="s">
        <v>101</v>
      </c>
      <c r="F139">
        <v>1</v>
      </c>
      <c r="G139" s="3">
        <v>157</v>
      </c>
      <c r="H139" s="3">
        <v>213.52</v>
      </c>
      <c r="I139" s="3">
        <f>H139-G139</f>
      </c>
      <c r="J139" s="3">
        <f>I139*16.67%</f>
      </c>
      <c r="K139" s="3">
        <v>9.84</v>
      </c>
      <c r="L139" s="3">
        <f>K139*20%</f>
      </c>
      <c r="M139" s="3">
        <v>0</v>
      </c>
      <c r="N139" s="3">
        <f>M139*20%</f>
      </c>
      <c r="O139" s="3">
        <v>1</v>
      </c>
      <c r="P139" s="3">
        <f>N139</f>
      </c>
      <c r="Q139" s="3">
        <f>I139-J139-K139-M139-N139-O139</f>
      </c>
      <c r="R139" s="3">
        <f>(Q139-Z139)/G139*100</f>
      </c>
      <c r="S139" s="3">
        <f>J139-P139</f>
      </c>
      <c r="T139" t="s">
        <v>1</v>
      </c>
      <c r="U139" t="s">
        <v>1</v>
      </c>
      <c r="AA139" s="3">
        <f>Q139-Z139</f>
      </c>
      <c r="AB139" t="s">
        <v>1</v>
      </c>
      <c r="AC139" t="s">
        <v>1</v>
      </c>
    </row>
    <row r="140" spans="1:29" x14ac:dyDescent="0.25">
      <c r="A140" s="7">
        <v>46212.5</v>
      </c>
      <c r="B140" t="s">
        <v>3294</v>
      </c>
      <c r="C140" t="s">
        <v>1</v>
      </c>
      <c r="D140" s="8" t="s">
        <v>3295</v>
      </c>
      <c r="E140" t="s">
        <v>57</v>
      </c>
      <c r="F140">
        <v>1</v>
      </c>
      <c r="G140" s="3">
        <v>335</v>
      </c>
      <c r="H140" s="3">
        <v>422.1</v>
      </c>
      <c r="I140" s="3">
        <f>H140-G140</f>
      </c>
      <c r="J140" s="3">
        <f>I140*16.67%</f>
      </c>
      <c r="K140" s="3">
        <v>19.46</v>
      </c>
      <c r="L140" s="3">
        <f>K140*20%</f>
      </c>
      <c r="M140" s="3">
        <v>0</v>
      </c>
      <c r="N140" s="3">
        <f>M140*20%</f>
      </c>
      <c r="O140" s="3">
        <v>1</v>
      </c>
      <c r="P140" s="3">
        <f>N140</f>
      </c>
      <c r="Q140" s="3">
        <f>I140-J140-K140-M140-N140-O140</f>
      </c>
      <c r="R140" s="3">
        <f>(Q140-Z140)/G140*100</f>
      </c>
      <c r="S140" s="3">
        <f>J140-P140</f>
      </c>
      <c r="T140" t="s">
        <v>1</v>
      </c>
      <c r="U140" t="s">
        <v>138</v>
      </c>
      <c r="AA140" s="3">
        <f>Q140-Z140</f>
      </c>
      <c r="AB140" t="s">
        <v>65</v>
      </c>
      <c r="AC140" t="s">
        <v>98</v>
      </c>
    </row>
    <row r="141" spans="1:29" x14ac:dyDescent="0.25">
      <c r="A141" s="7">
        <v>46212.5</v>
      </c>
      <c r="B141" t="s">
        <v>3296</v>
      </c>
      <c r="C141" t="s">
        <v>1</v>
      </c>
      <c r="D141" s="8" t="s">
        <v>3297</v>
      </c>
      <c r="E141" t="s">
        <v>101</v>
      </c>
      <c r="F141">
        <v>1</v>
      </c>
      <c r="G141" s="3">
        <v>677</v>
      </c>
      <c r="H141" s="3">
        <v>920.72</v>
      </c>
      <c r="I141" s="3">
        <f>H141-G141</f>
      </c>
      <c r="J141" s="3">
        <f>I141*16.67%</f>
      </c>
      <c r="K141" s="3">
        <v>42.45</v>
      </c>
      <c r="L141" s="3">
        <f>K141*20%</f>
      </c>
      <c r="M141" s="3">
        <v>0</v>
      </c>
      <c r="N141" s="3">
        <f>M141*20%</f>
      </c>
      <c r="O141" s="3">
        <v>1</v>
      </c>
      <c r="P141" s="3">
        <f>N141</f>
      </c>
      <c r="Q141" s="3">
        <f>I141-J141-K141-M141-N141-O141</f>
      </c>
      <c r="R141" s="3">
        <f>(Q141-Z141)/G141*100</f>
      </c>
      <c r="S141" s="3">
        <f>J141-P141</f>
      </c>
      <c r="T141" t="s">
        <v>1</v>
      </c>
      <c r="U141" t="s">
        <v>83</v>
      </c>
      <c r="AA141" s="3">
        <f>Q141-Z141</f>
      </c>
      <c r="AB141" t="s">
        <v>59</v>
      </c>
      <c r="AC141" t="s">
        <v>74</v>
      </c>
    </row>
    <row r="142" spans="1:29" x14ac:dyDescent="0.25">
      <c r="A142" s="7">
        <v>46212.5</v>
      </c>
      <c r="B142" t="s">
        <v>3298</v>
      </c>
      <c r="C142" t="s">
        <v>1</v>
      </c>
      <c r="D142" s="8" t="s">
        <v>3299</v>
      </c>
      <c r="E142" t="s">
        <v>101</v>
      </c>
      <c r="F142">
        <v>1</v>
      </c>
      <c r="G142" s="3">
        <v>694</v>
      </c>
      <c r="H142" s="3">
        <v>964.66</v>
      </c>
      <c r="I142" s="3">
        <f>H142-G142</f>
      </c>
      <c r="J142" s="3">
        <f>I142*16.67%</f>
      </c>
      <c r="K142" s="3">
        <v>44.47</v>
      </c>
      <c r="L142" s="3">
        <f>K142*20%</f>
      </c>
      <c r="M142" s="3">
        <v>0</v>
      </c>
      <c r="N142" s="3">
        <f>M142*20%</f>
      </c>
      <c r="O142" s="3">
        <v>1</v>
      </c>
      <c r="P142" s="3">
        <f>N142</f>
      </c>
      <c r="Q142" s="3">
        <f>I142-J142-K142-M142-N142-O142</f>
      </c>
      <c r="R142" s="3">
        <f>(Q142-Z142)/G142*100</f>
      </c>
      <c r="S142" s="3">
        <f>J142-P142</f>
      </c>
      <c r="T142" t="s">
        <v>1</v>
      </c>
      <c r="U142" t="s">
        <v>83</v>
      </c>
      <c r="AA142" s="3">
        <f>Q142-Z142</f>
      </c>
      <c r="AB142" t="s">
        <v>59</v>
      </c>
      <c r="AC142" t="s">
        <v>104</v>
      </c>
    </row>
    <row r="143" spans="1:29" x14ac:dyDescent="0.25">
      <c r="A143" s="7">
        <v>46212.5</v>
      </c>
      <c r="B143" t="s">
        <v>3300</v>
      </c>
      <c r="C143" t="s">
        <v>176</v>
      </c>
      <c r="D143" s="8" t="s">
        <v>1</v>
      </c>
      <c r="E143" t="s">
        <v>77</v>
      </c>
      <c r="F143">
        <v>2</v>
      </c>
      <c r="G143" s="3">
        <v>0.3</v>
      </c>
      <c r="H143" s="3">
        <v>0.34</v>
      </c>
      <c r="I143" s="3">
        <f>H143-G143</f>
      </c>
      <c r="J143" s="3">
        <f>I143*16.67%</f>
      </c>
      <c r="K143" s="3">
        <v>0.02</v>
      </c>
      <c r="L143" s="3">
        <f>K143*20%</f>
      </c>
      <c r="M143" s="3">
        <v>0</v>
      </c>
      <c r="N143" s="3">
        <f>M143*20%</f>
      </c>
      <c r="O143" s="3">
        <v>1</v>
      </c>
      <c r="P143" s="3">
        <f>N143</f>
      </c>
      <c r="Q143" s="3">
        <f>I143-J143-K143-M143-N143-O143</f>
      </c>
      <c r="R143" s="3">
        <f>(Q143-Z143)/G143*100</f>
      </c>
      <c r="S143" s="3">
        <f>J143-P143</f>
      </c>
      <c r="T143" t="s">
        <v>1</v>
      </c>
      <c r="U143" t="s">
        <v>176</v>
      </c>
      <c r="AA143" s="3">
        <f>Q143-Z143</f>
      </c>
      <c r="AB143" t="s">
        <v>1</v>
      </c>
      <c r="AC143" t="s">
        <v>1</v>
      </c>
    </row>
    <row r="144" spans="1:29" x14ac:dyDescent="0.25">
      <c r="A144" s="7">
        <v>46211.5</v>
      </c>
      <c r="B144" t="s">
        <v>3301</v>
      </c>
      <c r="C144" t="s">
        <v>1</v>
      </c>
      <c r="D144" s="8" t="s">
        <v>3302</v>
      </c>
      <c r="E144" t="s">
        <v>72</v>
      </c>
      <c r="F144">
        <v>1</v>
      </c>
      <c r="G144" s="3">
        <v>80</v>
      </c>
      <c r="H144" s="3">
        <v>97.6</v>
      </c>
      <c r="I144" s="3">
        <f>H144-G144</f>
      </c>
      <c r="J144" s="3">
        <f>I144*16.67%</f>
      </c>
      <c r="K144" s="3">
        <v>4.5</v>
      </c>
      <c r="L144" s="3">
        <f>K144*20%</f>
      </c>
      <c r="M144" s="3">
        <v>0</v>
      </c>
      <c r="N144" s="3">
        <f>M144*20%</f>
      </c>
      <c r="O144" s="3">
        <v>1</v>
      </c>
      <c r="P144" s="3">
        <f>N144</f>
      </c>
      <c r="Q144" s="3">
        <f>I144-J144-K144-M144-N144-O144</f>
      </c>
      <c r="R144" s="3">
        <f>(Q144-Z144)/G144*100</f>
      </c>
      <c r="S144" s="3">
        <f>J144-P144</f>
      </c>
      <c r="T144" t="s">
        <v>1</v>
      </c>
      <c r="U144" t="s">
        <v>93</v>
      </c>
      <c r="AA144" s="3">
        <f>Q144-Z144</f>
      </c>
      <c r="AB144" t="s">
        <v>94</v>
      </c>
      <c r="AC144" t="s">
        <v>84</v>
      </c>
    </row>
    <row r="145" spans="1:29" x14ac:dyDescent="0.25">
      <c r="A145" s="7">
        <v>46211.5</v>
      </c>
      <c r="B145" t="s">
        <v>3303</v>
      </c>
      <c r="C145" t="s">
        <v>1</v>
      </c>
      <c r="D145" s="8" t="s">
        <v>3304</v>
      </c>
      <c r="E145" t="s">
        <v>72</v>
      </c>
      <c r="F145">
        <v>1</v>
      </c>
      <c r="G145" s="3">
        <v>733</v>
      </c>
      <c r="H145" s="3">
        <v>901.59</v>
      </c>
      <c r="I145" s="3">
        <f>H145-G145</f>
      </c>
      <c r="J145" s="3">
        <f>I145*16.67%</f>
      </c>
      <c r="K145" s="3">
        <v>41.56</v>
      </c>
      <c r="L145" s="3">
        <f>K145*20%</f>
      </c>
      <c r="M145" s="3">
        <v>0</v>
      </c>
      <c r="N145" s="3">
        <f>M145*20%</f>
      </c>
      <c r="O145" s="3">
        <v>1</v>
      </c>
      <c r="P145" s="3">
        <f>N145</f>
      </c>
      <c r="Q145" s="3">
        <f>I145-J145-K145-M145-N145-O145</f>
      </c>
      <c r="R145" s="3">
        <f>(Q145-Z145)/G145*100</f>
      </c>
      <c r="S145" s="3">
        <f>J145-P145</f>
      </c>
      <c r="T145" t="s">
        <v>1</v>
      </c>
      <c r="U145" t="s">
        <v>83</v>
      </c>
      <c r="AA145" s="3">
        <f>Q145-Z145</f>
      </c>
      <c r="AB145" t="s">
        <v>59</v>
      </c>
      <c r="AC145" t="s">
        <v>60</v>
      </c>
    </row>
    <row r="146" spans="1:29" x14ac:dyDescent="0.25">
      <c r="A146" s="7">
        <v>46211.5</v>
      </c>
      <c r="B146" t="s">
        <v>3305</v>
      </c>
      <c r="C146" t="s">
        <v>1</v>
      </c>
      <c r="D146" s="8" t="s">
        <v>3306</v>
      </c>
      <c r="E146" t="s">
        <v>77</v>
      </c>
      <c r="F146">
        <v>1</v>
      </c>
      <c r="G146" s="3">
        <v>221</v>
      </c>
      <c r="H146" s="3">
        <v>254.15</v>
      </c>
      <c r="I146" s="3">
        <f>H146-G146</f>
      </c>
      <c r="J146" s="3">
        <f>I146*16.67%</f>
      </c>
      <c r="K146" s="3">
        <v>11.72</v>
      </c>
      <c r="L146" s="3">
        <f>K146*20%</f>
      </c>
      <c r="M146" s="3">
        <v>0</v>
      </c>
      <c r="N146" s="3">
        <f>M146*20%</f>
      </c>
      <c r="O146" s="3">
        <v>1</v>
      </c>
      <c r="P146" s="3">
        <f>N146</f>
      </c>
      <c r="Q146" s="3">
        <f>I146-J146-K146-M146-N146-O146</f>
      </c>
      <c r="R146" s="3">
        <f>(Q146-Z146)/G146*100</f>
      </c>
      <c r="S146" s="3">
        <f>J146-P146</f>
      </c>
      <c r="T146" t="s">
        <v>1</v>
      </c>
      <c r="U146" t="s">
        <v>124</v>
      </c>
      <c r="AA146" s="3">
        <f>Q146-Z146</f>
      </c>
      <c r="AB146" t="s">
        <v>125</v>
      </c>
      <c r="AC146" t="s">
        <v>84</v>
      </c>
    </row>
    <row r="147" spans="1:29" x14ac:dyDescent="0.25">
      <c r="A147" s="7">
        <v>46211.5</v>
      </c>
      <c r="B147" t="s">
        <v>3307</v>
      </c>
      <c r="C147" t="s">
        <v>1</v>
      </c>
      <c r="D147" s="8" t="s">
        <v>3308</v>
      </c>
      <c r="E147" t="s">
        <v>101</v>
      </c>
      <c r="F147">
        <v>1</v>
      </c>
      <c r="G147" s="3">
        <v>249</v>
      </c>
      <c r="H147" s="3">
        <v>301.29</v>
      </c>
      <c r="I147" s="3">
        <f>H147-G147</f>
      </c>
      <c r="J147" s="3">
        <f>I147*16.67%</f>
      </c>
      <c r="K147" s="3">
        <v>13.89</v>
      </c>
      <c r="L147" s="3">
        <f>K147*20%</f>
      </c>
      <c r="M147" s="3">
        <v>0</v>
      </c>
      <c r="N147" s="3">
        <f>M147*20%</f>
      </c>
      <c r="O147" s="3">
        <v>1</v>
      </c>
      <c r="P147" s="3">
        <f>N147</f>
      </c>
      <c r="Q147" s="3">
        <f>I147-J147-K147-M147-N147-O147</f>
      </c>
      <c r="R147" s="3">
        <f>(Q147-Z147)/G147*100</f>
      </c>
      <c r="S147" s="3">
        <f>J147-P147</f>
      </c>
      <c r="T147" t="s">
        <v>1</v>
      </c>
      <c r="U147" t="s">
        <v>124</v>
      </c>
      <c r="AA147" s="3">
        <f>Q147-Z147</f>
      </c>
      <c r="AB147" t="s">
        <v>125</v>
      </c>
      <c r="AC147" t="s">
        <v>74</v>
      </c>
    </row>
    <row r="148" spans="1:29" x14ac:dyDescent="0.25">
      <c r="A148" s="7">
        <v>46211.5</v>
      </c>
      <c r="B148" t="s">
        <v>3309</v>
      </c>
      <c r="C148" t="s">
        <v>1</v>
      </c>
      <c r="D148" s="8" t="s">
        <v>3310</v>
      </c>
      <c r="E148" t="s">
        <v>77</v>
      </c>
      <c r="F148">
        <v>1</v>
      </c>
      <c r="G148" s="3">
        <v>140</v>
      </c>
      <c r="H148" s="3">
        <v>170.8</v>
      </c>
      <c r="I148" s="3">
        <f>H148-G148</f>
      </c>
      <c r="J148" s="3">
        <f>I148*16.67%</f>
      </c>
      <c r="K148" s="3">
        <v>7.87</v>
      </c>
      <c r="L148" s="3">
        <f>K148*20%</f>
      </c>
      <c r="M148" s="3">
        <v>0</v>
      </c>
      <c r="N148" s="3">
        <f>M148*20%</f>
      </c>
      <c r="O148" s="3">
        <v>1</v>
      </c>
      <c r="P148" s="3">
        <f>N148</f>
      </c>
      <c r="Q148" s="3">
        <f>I148-J148-K148-M148-N148-O148</f>
      </c>
      <c r="R148" s="3">
        <f>(Q148-Z148)/G148*100</f>
      </c>
      <c r="S148" s="3">
        <f>J148-P148</f>
      </c>
      <c r="T148" t="s">
        <v>1</v>
      </c>
      <c r="U148" t="s">
        <v>171</v>
      </c>
      <c r="AA148" s="3">
        <f>Q148-Z148</f>
      </c>
      <c r="AB148" t="s">
        <v>65</v>
      </c>
      <c r="AC148" t="s">
        <v>104</v>
      </c>
    </row>
    <row r="149" spans="1:29" x14ac:dyDescent="0.25">
      <c r="A149" s="7">
        <v>46211.5</v>
      </c>
      <c r="B149" t="s">
        <v>3311</v>
      </c>
      <c r="C149" t="s">
        <v>1</v>
      </c>
      <c r="D149" s="8" t="s">
        <v>3312</v>
      </c>
      <c r="E149" t="s">
        <v>63</v>
      </c>
      <c r="F149">
        <v>1</v>
      </c>
      <c r="G149" s="3">
        <v>77</v>
      </c>
      <c r="H149" s="3">
        <v>104.72</v>
      </c>
      <c r="I149" s="3">
        <f>H149-G149</f>
      </c>
      <c r="J149" s="3">
        <f>I149*16.67%</f>
      </c>
      <c r="K149" s="3">
        <v>4.83</v>
      </c>
      <c r="L149" s="3">
        <f>K149*20%</f>
      </c>
      <c r="M149" s="3">
        <v>0</v>
      </c>
      <c r="N149" s="3">
        <f>M149*20%</f>
      </c>
      <c r="O149" s="3">
        <v>1</v>
      </c>
      <c r="P149" s="3">
        <f>N149</f>
      </c>
      <c r="Q149" s="3">
        <f>I149-J149-K149-M149-N149-O149</f>
      </c>
      <c r="R149" s="3">
        <f>(Q149-Z149)/G149*100</f>
      </c>
      <c r="S149" s="3">
        <f>J149-P149</f>
      </c>
      <c r="T149" t="s">
        <v>1</v>
      </c>
      <c r="U149" t="s">
        <v>93</v>
      </c>
      <c r="AA149" s="3">
        <f>Q149-Z149</f>
      </c>
      <c r="AB149" t="s">
        <v>94</v>
      </c>
      <c r="AC149" t="s">
        <v>98</v>
      </c>
    </row>
    <row r="150" spans="1:29" x14ac:dyDescent="0.25">
      <c r="A150" s="7">
        <v>46211.5</v>
      </c>
      <c r="B150" t="s">
        <v>3313</v>
      </c>
      <c r="C150" t="s">
        <v>253</v>
      </c>
      <c r="D150" s="8" t="s">
        <v>1</v>
      </c>
      <c r="E150" t="s">
        <v>57</v>
      </c>
      <c r="F150">
        <v>4</v>
      </c>
      <c r="G150" s="3">
        <v>3.2</v>
      </c>
      <c r="H150" s="3">
        <v>4.48</v>
      </c>
      <c r="I150" s="3">
        <f>H150-G150</f>
      </c>
      <c r="J150" s="3">
        <f>I150*16.67%</f>
      </c>
      <c r="K150" s="3">
        <v>0.21</v>
      </c>
      <c r="L150" s="3">
        <f>K150*20%</f>
      </c>
      <c r="M150" s="3">
        <v>0</v>
      </c>
      <c r="N150" s="3">
        <f>M150*20%</f>
      </c>
      <c r="O150" s="3">
        <v>1</v>
      </c>
      <c r="P150" s="3">
        <f>N150</f>
      </c>
      <c r="Q150" s="3">
        <f>I150-J150-K150-M150-N150-O150</f>
      </c>
      <c r="R150" s="3">
        <f>(Q150-Z150)/G150*100</f>
      </c>
      <c r="S150" s="3">
        <f>J150-P150</f>
      </c>
      <c r="T150" t="s">
        <v>1</v>
      </c>
      <c r="U150" t="s">
        <v>253</v>
      </c>
      <c r="AA150" s="3">
        <f>Q150-Z150</f>
      </c>
      <c r="AB150" t="s">
        <v>1</v>
      </c>
      <c r="AC150" t="s">
        <v>1</v>
      </c>
    </row>
    <row r="151" spans="1:29" x14ac:dyDescent="0.25">
      <c r="A151" s="7">
        <v>46211.5</v>
      </c>
      <c r="B151" t="s">
        <v>3314</v>
      </c>
      <c r="C151" t="s">
        <v>181</v>
      </c>
      <c r="D151" s="8" t="s">
        <v>1</v>
      </c>
      <c r="E151" t="s">
        <v>72</v>
      </c>
      <c r="F151">
        <v>4</v>
      </c>
      <c r="G151" s="3">
        <v>7.6</v>
      </c>
      <c r="H151" s="3">
        <v>8.82</v>
      </c>
      <c r="I151" s="3">
        <f>H151-G151</f>
      </c>
      <c r="J151" s="3">
        <f>I151*16.67%</f>
      </c>
      <c r="K151" s="3">
        <v>0.41</v>
      </c>
      <c r="L151" s="3">
        <f>K151*20%</f>
      </c>
      <c r="M151" s="3">
        <v>0</v>
      </c>
      <c r="N151" s="3">
        <f>M151*20%</f>
      </c>
      <c r="O151" s="3">
        <v>1</v>
      </c>
      <c r="P151" s="3">
        <f>N151</f>
      </c>
      <c r="Q151" s="3">
        <f>I151-J151-K151-M151-N151-O151</f>
      </c>
      <c r="R151" s="3">
        <f>(Q151-Z151)/G151*100</f>
      </c>
      <c r="S151" s="3">
        <f>J151-P151</f>
      </c>
      <c r="T151" t="s">
        <v>1</v>
      </c>
      <c r="U151" t="s">
        <v>181</v>
      </c>
      <c r="AA151" s="3">
        <f>Q151-Z151</f>
      </c>
      <c r="AB151" t="s">
        <v>1</v>
      </c>
      <c r="AC151" t="s">
        <v>1</v>
      </c>
    </row>
    <row r="152" spans="1:29" x14ac:dyDescent="0.25">
      <c r="A152" s="7">
        <v>46211.5</v>
      </c>
      <c r="B152" t="s">
        <v>3315</v>
      </c>
      <c r="C152" t="s">
        <v>1</v>
      </c>
      <c r="D152" s="8" t="s">
        <v>1</v>
      </c>
      <c r="E152" t="s">
        <v>63</v>
      </c>
      <c r="F152">
        <v>1</v>
      </c>
      <c r="G152" s="3">
        <v>327</v>
      </c>
      <c r="H152" s="3">
        <v>461.07</v>
      </c>
      <c r="I152" s="3">
        <f>H152-G152</f>
      </c>
      <c r="J152" s="3">
        <f>I152*16.67%</f>
      </c>
      <c r="K152" s="3">
        <v>21.26</v>
      </c>
      <c r="L152" s="3">
        <f>K152*20%</f>
      </c>
      <c r="M152" s="3">
        <v>0</v>
      </c>
      <c r="N152" s="3">
        <f>M152*20%</f>
      </c>
      <c r="O152" s="3">
        <v>1</v>
      </c>
      <c r="P152" s="3">
        <f>N152</f>
      </c>
      <c r="Q152" s="3">
        <f>I152-J152-K152-M152-N152-O152</f>
      </c>
      <c r="R152" s="3">
        <f>(Q152-Z152)/G152*100</f>
      </c>
      <c r="S152" s="3">
        <f>J152-P152</f>
      </c>
      <c r="T152" t="s">
        <v>1</v>
      </c>
      <c r="U152" t="s">
        <v>1</v>
      </c>
      <c r="AA152" s="3">
        <f>Q152-Z152</f>
      </c>
      <c r="AB152" t="s">
        <v>1</v>
      </c>
      <c r="AC152" t="s">
        <v>1</v>
      </c>
    </row>
    <row r="153" spans="1:29" x14ac:dyDescent="0.25">
      <c r="A153" s="7">
        <v>46210.5</v>
      </c>
      <c r="B153" t="s">
        <v>3316</v>
      </c>
      <c r="C153" t="s">
        <v>1</v>
      </c>
      <c r="D153" s="8" t="s">
        <v>3317</v>
      </c>
      <c r="E153" t="s">
        <v>63</v>
      </c>
      <c r="F153">
        <v>1</v>
      </c>
      <c r="G153" s="3">
        <v>133</v>
      </c>
      <c r="H153" s="3">
        <v>160.93</v>
      </c>
      <c r="I153" s="3">
        <f>H153-G153</f>
      </c>
      <c r="J153" s="3">
        <f>I153*16.67%</f>
      </c>
      <c r="K153" s="3">
        <v>7.42</v>
      </c>
      <c r="L153" s="3">
        <f>K153*20%</f>
      </c>
      <c r="M153" s="3">
        <v>0</v>
      </c>
      <c r="N153" s="3">
        <f>M153*20%</f>
      </c>
      <c r="O153" s="3">
        <v>1</v>
      </c>
      <c r="P153" s="3">
        <f>N153</f>
      </c>
      <c r="Q153" s="3">
        <f>I153-J153-K153-M153-N153-O153</f>
      </c>
      <c r="R153" s="3">
        <f>(Q153-Z153)/G153*100</f>
      </c>
      <c r="S153" s="3">
        <f>J153-P153</f>
      </c>
      <c r="T153" t="s">
        <v>1</v>
      </c>
      <c r="U153" t="s">
        <v>90</v>
      </c>
      <c r="AA153" s="3">
        <f>Q153-Z153</f>
      </c>
      <c r="AB153" t="s">
        <v>94</v>
      </c>
      <c r="AC153" t="s">
        <v>104</v>
      </c>
    </row>
    <row r="154" spans="1:29" x14ac:dyDescent="0.25">
      <c r="A154" s="7">
        <v>46210.5</v>
      </c>
      <c r="B154" t="s">
        <v>3318</v>
      </c>
      <c r="C154" t="s">
        <v>1</v>
      </c>
      <c r="D154" s="8" t="s">
        <v>3319</v>
      </c>
      <c r="E154" t="s">
        <v>101</v>
      </c>
      <c r="F154">
        <v>1</v>
      </c>
      <c r="G154" s="3">
        <v>227</v>
      </c>
      <c r="H154" s="3">
        <v>272.4</v>
      </c>
      <c r="I154" s="3">
        <f>H154-G154</f>
      </c>
      <c r="J154" s="3">
        <f>I154*16.67%</f>
      </c>
      <c r="K154" s="3">
        <v>12.56</v>
      </c>
      <c r="L154" s="3">
        <f>K154*20%</f>
      </c>
      <c r="M154" s="3">
        <v>0</v>
      </c>
      <c r="N154" s="3">
        <f>M154*20%</f>
      </c>
      <c r="O154" s="3">
        <v>1</v>
      </c>
      <c r="P154" s="3">
        <f>N154</f>
      </c>
      <c r="Q154" s="3">
        <f>I154-J154-K154-M154-N154-O154</f>
      </c>
      <c r="R154" s="3">
        <f>(Q154-Z154)/G154*100</f>
      </c>
      <c r="S154" s="3">
        <f>J154-P154</f>
      </c>
      <c r="T154" t="s">
        <v>1</v>
      </c>
      <c r="U154" t="s">
        <v>64</v>
      </c>
      <c r="AA154" s="3">
        <f>Q154-Z154</f>
      </c>
      <c r="AB154" t="s">
        <v>65</v>
      </c>
      <c r="AC154" t="s">
        <v>104</v>
      </c>
    </row>
    <row r="155" spans="1:29" x14ac:dyDescent="0.25">
      <c r="A155" s="7">
        <v>46209.5</v>
      </c>
      <c r="B155" t="s">
        <v>3320</v>
      </c>
      <c r="C155" t="s">
        <v>1</v>
      </c>
      <c r="D155" s="8" t="s">
        <v>3321</v>
      </c>
      <c r="E155" t="s">
        <v>63</v>
      </c>
      <c r="F155">
        <v>1</v>
      </c>
      <c r="G155" s="3">
        <v>370</v>
      </c>
      <c r="H155" s="3">
        <v>458.8</v>
      </c>
      <c r="I155" s="3">
        <f>H155-G155</f>
      </c>
      <c r="J155" s="3">
        <f>I155*16.67%</f>
      </c>
      <c r="K155" s="3">
        <v>21.15</v>
      </c>
      <c r="L155" s="3">
        <f>K155*20%</f>
      </c>
      <c r="M155" s="3">
        <v>0</v>
      </c>
      <c r="N155" s="3">
        <f>M155*20%</f>
      </c>
      <c r="O155" s="3">
        <v>1</v>
      </c>
      <c r="P155" s="3">
        <f>N155</f>
      </c>
      <c r="Q155" s="3">
        <f>I155-J155-K155-M155-N155-O155</f>
      </c>
      <c r="R155" s="3">
        <f>(Q155-Z155)/G155*100</f>
      </c>
      <c r="S155" s="3">
        <f>J155-P155</f>
      </c>
      <c r="T155" t="s">
        <v>1</v>
      </c>
      <c r="U155" t="s">
        <v>73</v>
      </c>
      <c r="AA155" s="3">
        <f>Q155-Z155</f>
      </c>
      <c r="AB155" t="s">
        <v>59</v>
      </c>
      <c r="AC155" t="s">
        <v>69</v>
      </c>
    </row>
    <row r="156" spans="1:29" x14ac:dyDescent="0.25">
      <c r="A156" s="7">
        <v>46209.5</v>
      </c>
      <c r="B156" t="s">
        <v>3322</v>
      </c>
      <c r="C156" t="s">
        <v>1</v>
      </c>
      <c r="D156" s="8" t="s">
        <v>3323</v>
      </c>
      <c r="E156" t="s">
        <v>72</v>
      </c>
      <c r="F156">
        <v>1</v>
      </c>
      <c r="G156" s="3">
        <v>144</v>
      </c>
      <c r="H156" s="3">
        <v>204.48</v>
      </c>
      <c r="I156" s="3">
        <f>H156-G156</f>
      </c>
      <c r="J156" s="3">
        <f>I156*16.67%</f>
      </c>
      <c r="K156" s="3">
        <v>9.43</v>
      </c>
      <c r="L156" s="3">
        <f>K156*20%</f>
      </c>
      <c r="M156" s="3">
        <v>0</v>
      </c>
      <c r="N156" s="3">
        <f>M156*20%</f>
      </c>
      <c r="O156" s="3">
        <v>1</v>
      </c>
      <c r="P156" s="3">
        <f>N156</f>
      </c>
      <c r="Q156" s="3">
        <f>I156-J156-K156-M156-N156-O156</f>
      </c>
      <c r="R156" s="3">
        <f>(Q156-Z156)/G156*100</f>
      </c>
      <c r="S156" s="3">
        <f>J156-P156</f>
      </c>
      <c r="T156" t="s">
        <v>1</v>
      </c>
      <c r="U156" t="s">
        <v>171</v>
      </c>
      <c r="AA156" s="3">
        <f>Q156-Z156</f>
      </c>
      <c r="AB156" t="s">
        <v>65</v>
      </c>
      <c r="AC156" t="s">
        <v>60</v>
      </c>
    </row>
    <row r="157" spans="1:29" x14ac:dyDescent="0.25">
      <c r="A157" s="7">
        <v>46209.5</v>
      </c>
      <c r="B157" t="s">
        <v>3324</v>
      </c>
      <c r="C157" t="s">
        <v>1</v>
      </c>
      <c r="D157" s="8" t="s">
        <v>1</v>
      </c>
      <c r="E157" t="s">
        <v>63</v>
      </c>
      <c r="F157">
        <v>1</v>
      </c>
      <c r="G157" s="3">
        <v>225</v>
      </c>
      <c r="H157" s="3">
        <v>267.75</v>
      </c>
      <c r="I157" s="3">
        <f>H157-G157</f>
      </c>
      <c r="J157" s="3">
        <f>I157*16.67%</f>
      </c>
      <c r="K157" s="3">
        <v>12.34</v>
      </c>
      <c r="L157" s="3">
        <f>K157*20%</f>
      </c>
      <c r="M157" s="3">
        <v>0</v>
      </c>
      <c r="N157" s="3">
        <f>M157*20%</f>
      </c>
      <c r="O157" s="3">
        <v>1</v>
      </c>
      <c r="P157" s="3">
        <f>N157</f>
      </c>
      <c r="Q157" s="3">
        <f>I157-J157-K157-M157-N157-O157</f>
      </c>
      <c r="R157" s="3">
        <f>(Q157-Z157)/G157*100</f>
      </c>
      <c r="S157" s="3">
        <f>J157-P157</f>
      </c>
      <c r="T157" t="s">
        <v>1</v>
      </c>
      <c r="U157" t="s">
        <v>1</v>
      </c>
      <c r="AA157" s="3">
        <f>Q157-Z157</f>
      </c>
      <c r="AB157" t="s">
        <v>1</v>
      </c>
      <c r="AC157" t="s">
        <v>1</v>
      </c>
    </row>
    <row r="158" spans="1:29" x14ac:dyDescent="0.25">
      <c r="A158" s="7">
        <v>46208.5</v>
      </c>
      <c r="B158" t="s">
        <v>3325</v>
      </c>
      <c r="C158" t="s">
        <v>1</v>
      </c>
      <c r="D158" s="8" t="s">
        <v>3326</v>
      </c>
      <c r="E158" t="s">
        <v>57</v>
      </c>
      <c r="F158">
        <v>1</v>
      </c>
      <c r="G158" s="3">
        <v>453</v>
      </c>
      <c r="H158" s="3">
        <v>634.2</v>
      </c>
      <c r="I158" s="3">
        <f>H158-G158</f>
      </c>
      <c r="J158" s="3">
        <f>I158*16.67%</f>
      </c>
      <c r="K158" s="3">
        <v>29.24</v>
      </c>
      <c r="L158" s="3">
        <f>K158*20%</f>
      </c>
      <c r="M158" s="3">
        <v>0</v>
      </c>
      <c r="N158" s="3">
        <f>M158*20%</f>
      </c>
      <c r="O158" s="3">
        <v>1</v>
      </c>
      <c r="P158" s="3">
        <f>N158</f>
      </c>
      <c r="Q158" s="3">
        <f>I158-J158-K158-M158-N158-O158</f>
      </c>
      <c r="R158" s="3">
        <f>(Q158-Z158)/G158*100</f>
      </c>
      <c r="S158" s="3">
        <f>J158-P158</f>
      </c>
      <c r="T158" t="s">
        <v>1</v>
      </c>
      <c r="U158" t="s">
        <v>58</v>
      </c>
      <c r="AA158" s="3">
        <f>Q158-Z158</f>
      </c>
      <c r="AB158" t="s">
        <v>59</v>
      </c>
      <c r="AC158" t="s">
        <v>84</v>
      </c>
    </row>
    <row r="159" spans="1:29" x14ac:dyDescent="0.25">
      <c r="A159" s="7">
        <v>46208.5</v>
      </c>
      <c r="B159" t="s">
        <v>3327</v>
      </c>
      <c r="C159" t="s">
        <v>1</v>
      </c>
      <c r="D159" s="8" t="s">
        <v>3328</v>
      </c>
      <c r="E159" t="s">
        <v>72</v>
      </c>
      <c r="F159">
        <v>1</v>
      </c>
      <c r="G159" s="3">
        <v>162</v>
      </c>
      <c r="H159" s="3">
        <v>204.12</v>
      </c>
      <c r="I159" s="3">
        <f>H159-G159</f>
      </c>
      <c r="J159" s="3">
        <f>I159*16.67%</f>
      </c>
      <c r="K159" s="3">
        <v>9.41</v>
      </c>
      <c r="L159" s="3">
        <f>K159*20%</f>
      </c>
      <c r="M159" s="3">
        <v>0</v>
      </c>
      <c r="N159" s="3">
        <f>M159*20%</f>
      </c>
      <c r="O159" s="3">
        <v>1</v>
      </c>
      <c r="P159" s="3">
        <f>N159</f>
      </c>
      <c r="Q159" s="3">
        <f>I159-J159-K159-M159-N159-O159</f>
      </c>
      <c r="R159" s="3">
        <f>(Q159-Z159)/G159*100</f>
      </c>
      <c r="S159" s="3">
        <f>J159-P159</f>
      </c>
      <c r="T159" t="s">
        <v>1</v>
      </c>
      <c r="U159" t="s">
        <v>291</v>
      </c>
      <c r="AA159" s="3">
        <f>Q159-Z159</f>
      </c>
      <c r="AB159" t="s">
        <v>125</v>
      </c>
      <c r="AC159" t="s">
        <v>60</v>
      </c>
    </row>
    <row r="160" spans="1:29" x14ac:dyDescent="0.25">
      <c r="A160" s="7">
        <v>46208.5</v>
      </c>
      <c r="B160" t="s">
        <v>3329</v>
      </c>
      <c r="C160" t="s">
        <v>1</v>
      </c>
      <c r="D160" s="8" t="s">
        <v>3330</v>
      </c>
      <c r="E160" t="s">
        <v>57</v>
      </c>
      <c r="F160">
        <v>1</v>
      </c>
      <c r="G160" s="3">
        <v>302</v>
      </c>
      <c r="H160" s="3">
        <v>416.76</v>
      </c>
      <c r="I160" s="3">
        <f>H160-G160</f>
      </c>
      <c r="J160" s="3">
        <f>I160*16.67%</f>
      </c>
      <c r="K160" s="3">
        <v>19.21</v>
      </c>
      <c r="L160" s="3">
        <f>K160*20%</f>
      </c>
      <c r="M160" s="3">
        <v>0</v>
      </c>
      <c r="N160" s="3">
        <f>M160*20%</f>
      </c>
      <c r="O160" s="3">
        <v>1</v>
      </c>
      <c r="P160" s="3">
        <f>N160</f>
      </c>
      <c r="Q160" s="3">
        <f>I160-J160-K160-M160-N160-O160</f>
      </c>
      <c r="R160" s="3">
        <f>(Q160-Z160)/G160*100</f>
      </c>
      <c r="S160" s="3">
        <f>J160-P160</f>
      </c>
      <c r="T160" t="s">
        <v>1</v>
      </c>
      <c r="U160" t="s">
        <v>97</v>
      </c>
      <c r="AA160" s="3">
        <f>Q160-Z160</f>
      </c>
      <c r="AB160" t="s">
        <v>59</v>
      </c>
      <c r="AC160" t="s">
        <v>98</v>
      </c>
    </row>
    <row r="161" spans="1:29" x14ac:dyDescent="0.25">
      <c r="A161" s="7">
        <v>46208.5</v>
      </c>
      <c r="B161" t="s">
        <v>3331</v>
      </c>
      <c r="C161" t="s">
        <v>1</v>
      </c>
      <c r="D161" s="8" t="s">
        <v>3332</v>
      </c>
      <c r="E161" t="s">
        <v>72</v>
      </c>
      <c r="F161">
        <v>1</v>
      </c>
      <c r="G161" s="3">
        <v>166</v>
      </c>
      <c r="H161" s="3">
        <v>200.86</v>
      </c>
      <c r="I161" s="3">
        <f>H161-G161</f>
      </c>
      <c r="J161" s="3">
        <f>I161*16.67%</f>
      </c>
      <c r="K161" s="3">
        <v>9.26</v>
      </c>
      <c r="L161" s="3">
        <f>K161*20%</f>
      </c>
      <c r="M161" s="3">
        <v>0</v>
      </c>
      <c r="N161" s="3">
        <f>M161*20%</f>
      </c>
      <c r="O161" s="3">
        <v>1</v>
      </c>
      <c r="P161" s="3">
        <f>N161</f>
      </c>
      <c r="Q161" s="3">
        <f>I161-J161-K161-M161-N161-O161</f>
      </c>
      <c r="R161" s="3">
        <f>(Q161-Z161)/G161*100</f>
      </c>
      <c r="S161" s="3">
        <f>J161-P161</f>
      </c>
      <c r="T161" t="s">
        <v>1</v>
      </c>
      <c r="U161" t="s">
        <v>171</v>
      </c>
      <c r="AA161" s="3">
        <f>Q161-Z161</f>
      </c>
      <c r="AB161" t="s">
        <v>65</v>
      </c>
      <c r="AC161" t="s">
        <v>84</v>
      </c>
    </row>
    <row r="162" spans="1:29" x14ac:dyDescent="0.25">
      <c r="A162" s="7">
        <v>46208.5</v>
      </c>
      <c r="B162" t="s">
        <v>3333</v>
      </c>
      <c r="C162" t="s">
        <v>188</v>
      </c>
      <c r="D162" s="8" t="s">
        <v>1</v>
      </c>
      <c r="E162" t="s">
        <v>63</v>
      </c>
      <c r="F162">
        <v>1</v>
      </c>
      <c r="G162" s="3">
        <v>3.5</v>
      </c>
      <c r="H162" s="3">
        <v>5</v>
      </c>
      <c r="I162" s="3">
        <f>H162-G162</f>
      </c>
      <c r="J162" s="3">
        <f>I162*16.67%</f>
      </c>
      <c r="K162" s="3">
        <v>0.23</v>
      </c>
      <c r="L162" s="3">
        <f>K162*20%</f>
      </c>
      <c r="M162" s="3">
        <v>0</v>
      </c>
      <c r="N162" s="3">
        <f>M162*20%</f>
      </c>
      <c r="O162" s="3">
        <v>1</v>
      </c>
      <c r="P162" s="3">
        <f>N162</f>
      </c>
      <c r="Q162" s="3">
        <f>I162-J162-K162-M162-N162-O162</f>
      </c>
      <c r="R162" s="3">
        <f>(Q162-Z162)/G162*100</f>
      </c>
      <c r="S162" s="3">
        <f>J162-P162</f>
      </c>
      <c r="T162" t="s">
        <v>1</v>
      </c>
      <c r="U162" t="s">
        <v>188</v>
      </c>
      <c r="AA162" s="3">
        <f>Q162-Z162</f>
      </c>
      <c r="AB162" t="s">
        <v>1</v>
      </c>
      <c r="AC162" t="s">
        <v>1</v>
      </c>
    </row>
    <row r="163" spans="1:29" x14ac:dyDescent="0.25">
      <c r="A163" s="7">
        <v>46208.5</v>
      </c>
      <c r="B163" t="s">
        <v>3334</v>
      </c>
      <c r="C163" t="s">
        <v>253</v>
      </c>
      <c r="D163" s="8" t="s">
        <v>1</v>
      </c>
      <c r="E163" t="s">
        <v>57</v>
      </c>
      <c r="F163">
        <v>4</v>
      </c>
      <c r="G163" s="3">
        <v>3.2</v>
      </c>
      <c r="H163" s="3">
        <v>3.78</v>
      </c>
      <c r="I163" s="3">
        <f>H163-G163</f>
      </c>
      <c r="J163" s="3">
        <f>I163*16.67%</f>
      </c>
      <c r="K163" s="3">
        <v>0.17</v>
      </c>
      <c r="L163" s="3">
        <f>K163*20%</f>
      </c>
      <c r="M163" s="3">
        <v>0</v>
      </c>
      <c r="N163" s="3">
        <f>M163*20%</f>
      </c>
      <c r="O163" s="3">
        <v>1</v>
      </c>
      <c r="P163" s="3">
        <f>N163</f>
      </c>
      <c r="Q163" s="3">
        <f>I163-J163-K163-M163-N163-O163</f>
      </c>
      <c r="R163" s="3">
        <f>(Q163-Z163)/G163*100</f>
      </c>
      <c r="S163" s="3">
        <f>J163-P163</f>
      </c>
      <c r="T163" t="s">
        <v>1</v>
      </c>
      <c r="U163" t="s">
        <v>253</v>
      </c>
      <c r="AA163" s="3">
        <f>Q163-Z163</f>
      </c>
      <c r="AB163" t="s">
        <v>1</v>
      </c>
      <c r="AC163" t="s">
        <v>1</v>
      </c>
    </row>
    <row r="164" spans="1:29" x14ac:dyDescent="0.25">
      <c r="A164" s="7">
        <v>46207.5</v>
      </c>
      <c r="B164" t="s">
        <v>3335</v>
      </c>
      <c r="C164" t="s">
        <v>1</v>
      </c>
      <c r="D164" s="8" t="s">
        <v>3336</v>
      </c>
      <c r="E164" t="s">
        <v>57</v>
      </c>
      <c r="F164">
        <v>1</v>
      </c>
      <c r="G164" s="3">
        <v>106</v>
      </c>
      <c r="H164" s="3">
        <v>150.52</v>
      </c>
      <c r="I164" s="3">
        <f>H164-G164</f>
      </c>
      <c r="J164" s="3">
        <f>I164*16.67%</f>
      </c>
      <c r="K164" s="3">
        <v>6.94</v>
      </c>
      <c r="L164" s="3">
        <f>K164*20%</f>
      </c>
      <c r="M164" s="3">
        <v>0</v>
      </c>
      <c r="N164" s="3">
        <f>M164*20%</f>
      </c>
      <c r="O164" s="3">
        <v>1</v>
      </c>
      <c r="P164" s="3">
        <f>N164</f>
      </c>
      <c r="Q164" s="3">
        <f>I164-J164-K164-M164-N164-O164</f>
      </c>
      <c r="R164" s="3">
        <f>(Q164-Z164)/G164*100</f>
      </c>
      <c r="S164" s="3">
        <f>J164-P164</f>
      </c>
      <c r="T164" t="s">
        <v>1</v>
      </c>
      <c r="U164" t="s">
        <v>133</v>
      </c>
      <c r="AA164" s="3">
        <f>Q164-Z164</f>
      </c>
      <c r="AB164" t="s">
        <v>65</v>
      </c>
      <c r="AC164" t="s">
        <v>84</v>
      </c>
    </row>
    <row r="165" spans="1:29" x14ac:dyDescent="0.25">
      <c r="A165" s="7">
        <v>46207.5</v>
      </c>
      <c r="B165" t="s">
        <v>3337</v>
      </c>
      <c r="C165" t="s">
        <v>1</v>
      </c>
      <c r="D165" s="8" t="s">
        <v>3338</v>
      </c>
      <c r="E165" t="s">
        <v>57</v>
      </c>
      <c r="F165">
        <v>1</v>
      </c>
      <c r="G165" s="3">
        <v>163</v>
      </c>
      <c r="H165" s="3">
        <v>233.09</v>
      </c>
      <c r="I165" s="3">
        <f>H165-G165</f>
      </c>
      <c r="J165" s="3">
        <f>I165*16.67%</f>
      </c>
      <c r="K165" s="3">
        <v>10.75</v>
      </c>
      <c r="L165" s="3">
        <f>K165*20%</f>
      </c>
      <c r="M165" s="3">
        <v>0</v>
      </c>
      <c r="N165" s="3">
        <f>M165*20%</f>
      </c>
      <c r="O165" s="3">
        <v>1</v>
      </c>
      <c r="P165" s="3">
        <f>N165</f>
      </c>
      <c r="Q165" s="3">
        <f>I165-J165-K165-M165-N165-O165</f>
      </c>
      <c r="R165" s="3">
        <f>(Q165-Z165)/G165*100</f>
      </c>
      <c r="S165" s="3">
        <f>J165-P165</f>
      </c>
      <c r="T165" t="s">
        <v>1</v>
      </c>
      <c r="U165" t="s">
        <v>171</v>
      </c>
      <c r="AA165" s="3">
        <f>Q165-Z165</f>
      </c>
      <c r="AB165" t="s">
        <v>65</v>
      </c>
      <c r="AC165" t="s">
        <v>69</v>
      </c>
    </row>
    <row r="166" spans="1:29" x14ac:dyDescent="0.25">
      <c r="A166" s="7">
        <v>46207.5</v>
      </c>
      <c r="B166" t="s">
        <v>3339</v>
      </c>
      <c r="C166" t="s">
        <v>1</v>
      </c>
      <c r="D166" s="8" t="s">
        <v>3340</v>
      </c>
      <c r="E166" t="s">
        <v>57</v>
      </c>
      <c r="F166">
        <v>1</v>
      </c>
      <c r="G166" s="3">
        <v>530</v>
      </c>
      <c r="H166" s="3">
        <v>620.1</v>
      </c>
      <c r="I166" s="3">
        <f>H166-G166</f>
      </c>
      <c r="J166" s="3">
        <f>I166*16.67%</f>
      </c>
      <c r="K166" s="3">
        <v>28.59</v>
      </c>
      <c r="L166" s="3">
        <f>K166*20%</f>
      </c>
      <c r="M166" s="3">
        <v>0</v>
      </c>
      <c r="N166" s="3">
        <f>M166*20%</f>
      </c>
      <c r="O166" s="3">
        <v>1</v>
      </c>
      <c r="P166" s="3">
        <f>N166</f>
      </c>
      <c r="Q166" s="3">
        <f>I166-J166-K166-M166-N166-O166</f>
      </c>
      <c r="R166" s="3">
        <f>(Q166-Z166)/G166*100</f>
      </c>
      <c r="S166" s="3">
        <f>J166-P166</f>
      </c>
      <c r="T166" t="s">
        <v>1</v>
      </c>
      <c r="U166" t="s">
        <v>80</v>
      </c>
      <c r="AA166" s="3">
        <f>Q166-Z166</f>
      </c>
      <c r="AB166" t="s">
        <v>65</v>
      </c>
      <c r="AC166" t="s">
        <v>84</v>
      </c>
    </row>
    <row r="167" spans="1:29" x14ac:dyDescent="0.25">
      <c r="A167" s="7">
        <v>46207.5</v>
      </c>
      <c r="B167" t="s">
        <v>3341</v>
      </c>
      <c r="C167" t="s">
        <v>1</v>
      </c>
      <c r="D167" s="8" t="s">
        <v>3342</v>
      </c>
      <c r="E167" t="s">
        <v>101</v>
      </c>
      <c r="F167">
        <v>1</v>
      </c>
      <c r="G167" s="3">
        <v>346</v>
      </c>
      <c r="H167" s="3">
        <v>484.4</v>
      </c>
      <c r="I167" s="3">
        <f>H167-G167</f>
      </c>
      <c r="J167" s="3">
        <f>I167*16.67%</f>
      </c>
      <c r="K167" s="3">
        <v>22.33</v>
      </c>
      <c r="L167" s="3">
        <f>K167*20%</f>
      </c>
      <c r="M167" s="3">
        <v>0</v>
      </c>
      <c r="N167" s="3">
        <f>M167*20%</f>
      </c>
      <c r="O167" s="3">
        <v>1</v>
      </c>
      <c r="P167" s="3">
        <f>N167</f>
      </c>
      <c r="Q167" s="3">
        <f>I167-J167-K167-M167-N167-O167</f>
      </c>
      <c r="R167" s="3">
        <f>(Q167-Z167)/G167*100</f>
      </c>
      <c r="S167" s="3">
        <f>J167-P167</f>
      </c>
      <c r="T167" t="s">
        <v>1</v>
      </c>
      <c r="U167" t="s">
        <v>73</v>
      </c>
      <c r="AA167" s="3">
        <f>Q167-Z167</f>
      </c>
      <c r="AB167" t="s">
        <v>59</v>
      </c>
      <c r="AC167" t="s">
        <v>69</v>
      </c>
    </row>
    <row r="168" spans="1:29" x14ac:dyDescent="0.25">
      <c r="A168" s="7">
        <v>46207.5</v>
      </c>
      <c r="B168" t="s">
        <v>3343</v>
      </c>
      <c r="C168" t="s">
        <v>1</v>
      </c>
      <c r="D168" s="8" t="s">
        <v>3344</v>
      </c>
      <c r="E168" t="s">
        <v>72</v>
      </c>
      <c r="F168">
        <v>1</v>
      </c>
      <c r="G168" s="3">
        <v>233</v>
      </c>
      <c r="H168" s="3">
        <v>295.91</v>
      </c>
      <c r="I168" s="3">
        <f>H168-G168</f>
      </c>
      <c r="J168" s="3">
        <f>I168*16.67%</f>
      </c>
      <c r="K168" s="3">
        <v>13.64</v>
      </c>
      <c r="L168" s="3">
        <f>K168*20%</f>
      </c>
      <c r="M168" s="3">
        <v>0</v>
      </c>
      <c r="N168" s="3">
        <f>M168*20%</f>
      </c>
      <c r="O168" s="3">
        <v>1</v>
      </c>
      <c r="P168" s="3">
        <f>N168</f>
      </c>
      <c r="Q168" s="3">
        <f>I168-J168-K168-M168-N168-O168</f>
      </c>
      <c r="R168" s="3">
        <f>(Q168-Z168)/G168*100</f>
      </c>
      <c r="S168" s="3">
        <f>J168-P168</f>
      </c>
      <c r="T168" t="s">
        <v>1</v>
      </c>
      <c r="U168" t="s">
        <v>124</v>
      </c>
      <c r="AA168" s="3">
        <f>Q168-Z168</f>
      </c>
      <c r="AB168" t="s">
        <v>125</v>
      </c>
      <c r="AC168" t="s">
        <v>60</v>
      </c>
    </row>
    <row r="169" spans="1:29" x14ac:dyDescent="0.25">
      <c r="A169" s="7">
        <v>46207.5</v>
      </c>
      <c r="B169" t="s">
        <v>3345</v>
      </c>
      <c r="C169" t="s">
        <v>1</v>
      </c>
      <c r="D169" s="8" t="s">
        <v>1</v>
      </c>
      <c r="E169" t="s">
        <v>57</v>
      </c>
      <c r="F169">
        <v>1</v>
      </c>
      <c r="G169" s="3">
        <v>227</v>
      </c>
      <c r="H169" s="3">
        <v>265.59</v>
      </c>
      <c r="I169" s="3">
        <f>H169-G169</f>
      </c>
      <c r="J169" s="3">
        <f>I169*16.67%</f>
      </c>
      <c r="K169" s="3">
        <v>12.24</v>
      </c>
      <c r="L169" s="3">
        <f>K169*20%</f>
      </c>
      <c r="M169" s="3">
        <v>0</v>
      </c>
      <c r="N169" s="3">
        <f>M169*20%</f>
      </c>
      <c r="O169" s="3">
        <v>1</v>
      </c>
      <c r="P169" s="3">
        <f>N169</f>
      </c>
      <c r="Q169" s="3">
        <f>I169-J169-K169-M169-N169-O169</f>
      </c>
      <c r="R169" s="3">
        <f>(Q169-Z169)/G169*100</f>
      </c>
      <c r="S169" s="3">
        <f>J169-P169</f>
      </c>
      <c r="T169" t="s">
        <v>1</v>
      </c>
      <c r="U169" t="s">
        <v>1</v>
      </c>
      <c r="AA169" s="3">
        <f>Q169-Z169</f>
      </c>
      <c r="AB169" t="s">
        <v>1</v>
      </c>
      <c r="AC169" t="s">
        <v>1</v>
      </c>
    </row>
    <row r="170" spans="1:29" x14ac:dyDescent="0.25">
      <c r="A170" s="7">
        <v>46206.5</v>
      </c>
      <c r="B170" t="s">
        <v>3346</v>
      </c>
      <c r="C170" t="s">
        <v>1</v>
      </c>
      <c r="D170" s="8" t="s">
        <v>3347</v>
      </c>
      <c r="E170" t="s">
        <v>63</v>
      </c>
      <c r="F170">
        <v>1</v>
      </c>
      <c r="G170" s="3">
        <v>597</v>
      </c>
      <c r="H170" s="3">
        <v>692.52</v>
      </c>
      <c r="I170" s="3">
        <f>H170-G170</f>
      </c>
      <c r="J170" s="3">
        <f>I170*16.67%</f>
      </c>
      <c r="K170" s="3">
        <v>31.93</v>
      </c>
      <c r="L170" s="3">
        <f>K170*20%</f>
      </c>
      <c r="M170" s="3">
        <v>0</v>
      </c>
      <c r="N170" s="3">
        <f>M170*20%</f>
      </c>
      <c r="O170" s="3">
        <v>1</v>
      </c>
      <c r="P170" s="3">
        <f>N170</f>
      </c>
      <c r="Q170" s="3">
        <f>I170-J170-K170-M170-N170-O170</f>
      </c>
      <c r="R170" s="3">
        <f>(Q170-Z170)/G170*100</f>
      </c>
      <c r="S170" s="3">
        <f>J170-P170</f>
      </c>
      <c r="T170" t="s">
        <v>1</v>
      </c>
      <c r="U170" t="s">
        <v>80</v>
      </c>
      <c r="AA170" s="3">
        <f>Q170-Z170</f>
      </c>
      <c r="AB170" t="s">
        <v>59</v>
      </c>
      <c r="AC170" t="s">
        <v>104</v>
      </c>
    </row>
    <row r="171" spans="1:29" x14ac:dyDescent="0.25">
      <c r="A171" s="7">
        <v>46206.5</v>
      </c>
      <c r="B171" t="s">
        <v>3348</v>
      </c>
      <c r="C171" t="s">
        <v>1</v>
      </c>
      <c r="D171" s="8" t="s">
        <v>3349</v>
      </c>
      <c r="E171" t="s">
        <v>63</v>
      </c>
      <c r="F171">
        <v>1</v>
      </c>
      <c r="G171" s="3">
        <v>306</v>
      </c>
      <c r="H171" s="3">
        <v>394.74</v>
      </c>
      <c r="I171" s="3">
        <f>H171-G171</f>
      </c>
      <c r="J171" s="3">
        <f>I171*16.67%</f>
      </c>
      <c r="K171" s="3">
        <v>18.2</v>
      </c>
      <c r="L171" s="3">
        <f>K171*20%</f>
      </c>
      <c r="M171" s="3">
        <v>0</v>
      </c>
      <c r="N171" s="3">
        <f>M171*20%</f>
      </c>
      <c r="O171" s="3">
        <v>1</v>
      </c>
      <c r="P171" s="3">
        <f>N171</f>
      </c>
      <c r="Q171" s="3">
        <f>I171-J171-K171-M171-N171-O171</f>
      </c>
      <c r="R171" s="3">
        <f>(Q171-Z171)/G171*100</f>
      </c>
      <c r="S171" s="3">
        <f>J171-P171</f>
      </c>
      <c r="T171" t="s">
        <v>1</v>
      </c>
      <c r="U171" t="s">
        <v>97</v>
      </c>
      <c r="AA171" s="3">
        <f>Q171-Z171</f>
      </c>
      <c r="AB171" t="s">
        <v>59</v>
      </c>
      <c r="AC171" t="s">
        <v>98</v>
      </c>
    </row>
    <row r="172" spans="1:29" x14ac:dyDescent="0.25">
      <c r="A172" s="7">
        <v>46206.5</v>
      </c>
      <c r="B172" t="s">
        <v>3350</v>
      </c>
      <c r="C172" t="s">
        <v>1</v>
      </c>
      <c r="D172" s="8" t="s">
        <v>3351</v>
      </c>
      <c r="E172" t="s">
        <v>77</v>
      </c>
      <c r="F172">
        <v>1</v>
      </c>
      <c r="G172" s="3">
        <v>170</v>
      </c>
      <c r="H172" s="3">
        <v>219.3</v>
      </c>
      <c r="I172" s="3">
        <f>H172-G172</f>
      </c>
      <c r="J172" s="3">
        <f>I172*16.67%</f>
      </c>
      <c r="K172" s="3">
        <v>10.11</v>
      </c>
      <c r="L172" s="3">
        <f>K172*20%</f>
      </c>
      <c r="M172" s="3">
        <v>0</v>
      </c>
      <c r="N172" s="3">
        <f>M172*20%</f>
      </c>
      <c r="O172" s="3">
        <v>1</v>
      </c>
      <c r="P172" s="3">
        <f>N172</f>
      </c>
      <c r="Q172" s="3">
        <f>I172-J172-K172-M172-N172-O172</f>
      </c>
      <c r="R172" s="3">
        <f>(Q172-Z172)/G172*100</f>
      </c>
      <c r="S172" s="3">
        <f>J172-P172</f>
      </c>
      <c r="T172" t="s">
        <v>1</v>
      </c>
      <c r="U172" t="s">
        <v>171</v>
      </c>
      <c r="AA172" s="3">
        <f>Q172-Z172</f>
      </c>
      <c r="AB172" t="s">
        <v>65</v>
      </c>
      <c r="AC172" t="s">
        <v>104</v>
      </c>
    </row>
    <row r="173" spans="1:29" x14ac:dyDescent="0.25">
      <c r="A173" s="7">
        <v>46206.5</v>
      </c>
      <c r="B173" t="s">
        <v>3352</v>
      </c>
      <c r="C173" t="s">
        <v>1</v>
      </c>
      <c r="D173" s="8" t="s">
        <v>3353</v>
      </c>
      <c r="E173" t="s">
        <v>63</v>
      </c>
      <c r="F173">
        <v>1</v>
      </c>
      <c r="G173" s="3">
        <v>528</v>
      </c>
      <c r="H173" s="3">
        <v>686.4</v>
      </c>
      <c r="I173" s="3">
        <f>H173-G173</f>
      </c>
      <c r="J173" s="3">
        <f>I173*16.67%</f>
      </c>
      <c r="K173" s="3">
        <v>31.64</v>
      </c>
      <c r="L173" s="3">
        <f>K173*20%</f>
      </c>
      <c r="M173" s="3">
        <v>0</v>
      </c>
      <c r="N173" s="3">
        <f>M173*20%</f>
      </c>
      <c r="O173" s="3">
        <v>1</v>
      </c>
      <c r="P173" s="3">
        <f>N173</f>
      </c>
      <c r="Q173" s="3">
        <f>I173-J173-K173-M173-N173-O173</f>
      </c>
      <c r="R173" s="3">
        <f>(Q173-Z173)/G173*100</f>
      </c>
      <c r="S173" s="3">
        <f>J173-P173</f>
      </c>
      <c r="T173" t="s">
        <v>1</v>
      </c>
      <c r="U173" t="s">
        <v>80</v>
      </c>
      <c r="AA173" s="3">
        <f>Q173-Z173</f>
      </c>
      <c r="AB173" t="s">
        <v>65</v>
      </c>
      <c r="AC173" t="s">
        <v>98</v>
      </c>
    </row>
    <row r="174" spans="1:29" x14ac:dyDescent="0.25">
      <c r="A174" s="7">
        <v>46206.5</v>
      </c>
      <c r="B174" t="s">
        <v>3354</v>
      </c>
      <c r="C174" t="s">
        <v>1</v>
      </c>
      <c r="D174" s="8" t="s">
        <v>3355</v>
      </c>
      <c r="E174" t="s">
        <v>77</v>
      </c>
      <c r="F174">
        <v>1</v>
      </c>
      <c r="G174" s="3">
        <v>486</v>
      </c>
      <c r="H174" s="3">
        <v>602.64</v>
      </c>
      <c r="I174" s="3">
        <f>H174-G174</f>
      </c>
      <c r="J174" s="3">
        <f>I174*16.67%</f>
      </c>
      <c r="K174" s="3">
        <v>27.78</v>
      </c>
      <c r="L174" s="3">
        <f>K174*20%</f>
      </c>
      <c r="M174" s="3">
        <v>0</v>
      </c>
      <c r="N174" s="3">
        <f>M174*20%</f>
      </c>
      <c r="O174" s="3">
        <v>1</v>
      </c>
      <c r="P174" s="3">
        <f>N174</f>
      </c>
      <c r="Q174" s="3">
        <f>I174-J174-K174-M174-N174-O174</f>
      </c>
      <c r="R174" s="3">
        <f>(Q174-Z174)/G174*100</f>
      </c>
      <c r="S174" s="3">
        <f>J174-P174</f>
      </c>
      <c r="T174" t="s">
        <v>1</v>
      </c>
      <c r="U174" t="s">
        <v>68</v>
      </c>
      <c r="AA174" s="3">
        <f>Q174-Z174</f>
      </c>
      <c r="AB174" t="s">
        <v>59</v>
      </c>
      <c r="AC174" t="s">
        <v>69</v>
      </c>
    </row>
    <row r="175" spans="1:29" x14ac:dyDescent="0.25">
      <c r="A175" s="7">
        <v>46206.5</v>
      </c>
      <c r="B175" t="s">
        <v>3356</v>
      </c>
      <c r="C175" t="s">
        <v>1</v>
      </c>
      <c r="D175" s="8" t="s">
        <v>3357</v>
      </c>
      <c r="E175" t="s">
        <v>57</v>
      </c>
      <c r="F175">
        <v>1</v>
      </c>
      <c r="G175" s="3">
        <v>154</v>
      </c>
      <c r="H175" s="3">
        <v>206.36</v>
      </c>
      <c r="I175" s="3">
        <f>H175-G175</f>
      </c>
      <c r="J175" s="3">
        <f>I175*16.67%</f>
      </c>
      <c r="K175" s="3">
        <v>9.51</v>
      </c>
      <c r="L175" s="3">
        <f>K175*20%</f>
      </c>
      <c r="M175" s="3">
        <v>0</v>
      </c>
      <c r="N175" s="3">
        <f>M175*20%</f>
      </c>
      <c r="O175" s="3">
        <v>1</v>
      </c>
      <c r="P175" s="3">
        <f>N175</f>
      </c>
      <c r="Q175" s="3">
        <f>I175-J175-K175-M175-N175-O175</f>
      </c>
      <c r="R175" s="3">
        <f>(Q175-Z175)/G175*100</f>
      </c>
      <c r="S175" s="3">
        <f>J175-P175</f>
      </c>
      <c r="T175" t="s">
        <v>1</v>
      </c>
      <c r="U175" t="s">
        <v>233</v>
      </c>
      <c r="AA175" s="3">
        <f>Q175-Z175</f>
      </c>
      <c r="AB175" t="s">
        <v>65</v>
      </c>
      <c r="AC175" t="s">
        <v>69</v>
      </c>
    </row>
    <row r="176" spans="1:29" x14ac:dyDescent="0.25">
      <c r="A176" s="7">
        <v>46206.5</v>
      </c>
      <c r="B176" t="s">
        <v>3358</v>
      </c>
      <c r="C176" t="s">
        <v>1</v>
      </c>
      <c r="D176" s="8" t="s">
        <v>3359</v>
      </c>
      <c r="E176" t="s">
        <v>101</v>
      </c>
      <c r="F176">
        <v>1</v>
      </c>
      <c r="G176" s="3">
        <v>227</v>
      </c>
      <c r="H176" s="3">
        <v>324.61</v>
      </c>
      <c r="I176" s="3">
        <f>H176-G176</f>
      </c>
      <c r="J176" s="3">
        <f>I176*16.67%</f>
      </c>
      <c r="K176" s="3">
        <v>14.96</v>
      </c>
      <c r="L176" s="3">
        <f>K176*20%</f>
      </c>
      <c r="M176" s="3">
        <v>0</v>
      </c>
      <c r="N176" s="3">
        <f>M176*20%</f>
      </c>
      <c r="O176" s="3">
        <v>1</v>
      </c>
      <c r="P176" s="3">
        <f>N176</f>
      </c>
      <c r="Q176" s="3">
        <f>I176-J176-K176-M176-N176-O176</f>
      </c>
      <c r="R176" s="3">
        <f>(Q176-Z176)/G176*100</f>
      </c>
      <c r="S176" s="3">
        <f>J176-P176</f>
      </c>
      <c r="T176" t="s">
        <v>1</v>
      </c>
      <c r="U176" t="s">
        <v>64</v>
      </c>
      <c r="AA176" s="3">
        <f>Q176-Z176</f>
      </c>
      <c r="AB176" t="s">
        <v>65</v>
      </c>
      <c r="AC176" t="s">
        <v>98</v>
      </c>
    </row>
    <row r="177" spans="1:29" x14ac:dyDescent="0.25">
      <c r="A177" s="7">
        <v>46206.5</v>
      </c>
      <c r="B177" t="s">
        <v>3360</v>
      </c>
      <c r="C177" t="s">
        <v>1</v>
      </c>
      <c r="D177" s="8" t="s">
        <v>3361</v>
      </c>
      <c r="E177" t="s">
        <v>77</v>
      </c>
      <c r="F177">
        <v>1</v>
      </c>
      <c r="G177" s="3">
        <v>83</v>
      </c>
      <c r="H177" s="3">
        <v>112.88</v>
      </c>
      <c r="I177" s="3">
        <f>H177-G177</f>
      </c>
      <c r="J177" s="3">
        <f>I177*16.67%</f>
      </c>
      <c r="K177" s="3">
        <v>5.2</v>
      </c>
      <c r="L177" s="3">
        <f>K177*20%</f>
      </c>
      <c r="M177" s="3">
        <v>0</v>
      </c>
      <c r="N177" s="3">
        <f>M177*20%</f>
      </c>
      <c r="O177" s="3">
        <v>1</v>
      </c>
      <c r="P177" s="3">
        <f>N177</f>
      </c>
      <c r="Q177" s="3">
        <f>I177-J177-K177-M177-N177-O177</f>
      </c>
      <c r="R177" s="3">
        <f>(Q177-Z177)/G177*100</f>
      </c>
      <c r="S177" s="3">
        <f>J177-P177</f>
      </c>
      <c r="T177" t="s">
        <v>1</v>
      </c>
      <c r="U177" t="s">
        <v>93</v>
      </c>
      <c r="AA177" s="3">
        <f>Q177-Z177</f>
      </c>
      <c r="AB177" t="s">
        <v>94</v>
      </c>
      <c r="AC177" t="s">
        <v>69</v>
      </c>
    </row>
    <row r="178" spans="1:29" x14ac:dyDescent="0.25">
      <c r="A178" s="7">
        <v>46205.5</v>
      </c>
      <c r="B178" t="s">
        <v>3362</v>
      </c>
      <c r="C178" t="s">
        <v>1</v>
      </c>
      <c r="D178" s="8" t="s">
        <v>3363</v>
      </c>
      <c r="E178" t="s">
        <v>101</v>
      </c>
      <c r="F178">
        <v>1</v>
      </c>
      <c r="G178" s="3">
        <v>141</v>
      </c>
      <c r="H178" s="3">
        <v>198.81</v>
      </c>
      <c r="I178" s="3">
        <f>H178-G178</f>
      </c>
      <c r="J178" s="3">
        <f>I178*16.67%</f>
      </c>
      <c r="K178" s="3">
        <v>9.17</v>
      </c>
      <c r="L178" s="3">
        <f>K178*20%</f>
      </c>
      <c r="M178" s="3">
        <v>0</v>
      </c>
      <c r="N178" s="3">
        <f>M178*20%</f>
      </c>
      <c r="O178" s="3">
        <v>1</v>
      </c>
      <c r="P178" s="3">
        <f>N178</f>
      </c>
      <c r="Q178" s="3">
        <f>I178-J178-K178-M178-N178-O178</f>
      </c>
      <c r="R178" s="3">
        <f>(Q178-Z178)/G178*100</f>
      </c>
      <c r="S178" s="3">
        <f>J178-P178</f>
      </c>
      <c r="T178" t="s">
        <v>1</v>
      </c>
      <c r="U178" t="s">
        <v>171</v>
      </c>
      <c r="AA178" s="3">
        <f>Q178-Z178</f>
      </c>
      <c r="AB178" t="s">
        <v>65</v>
      </c>
      <c r="AC178" t="s">
        <v>69</v>
      </c>
    </row>
    <row r="179" spans="1:29" x14ac:dyDescent="0.25">
      <c r="A179" s="7">
        <v>46205.5</v>
      </c>
      <c r="B179" t="s">
        <v>3364</v>
      </c>
      <c r="C179" t="s">
        <v>1</v>
      </c>
      <c r="D179" s="8" t="s">
        <v>3365</v>
      </c>
      <c r="E179" t="s">
        <v>77</v>
      </c>
      <c r="F179">
        <v>1</v>
      </c>
      <c r="G179" s="3">
        <v>88</v>
      </c>
      <c r="H179" s="3">
        <v>106.48</v>
      </c>
      <c r="I179" s="3">
        <f>H179-G179</f>
      </c>
      <c r="J179" s="3">
        <f>I179*16.67%</f>
      </c>
      <c r="K179" s="3">
        <v>4.91</v>
      </c>
      <c r="L179" s="3">
        <f>K179*20%</f>
      </c>
      <c r="M179" s="3">
        <v>0</v>
      </c>
      <c r="N179" s="3">
        <f>M179*20%</f>
      </c>
      <c r="O179" s="3">
        <v>1</v>
      </c>
      <c r="P179" s="3">
        <f>N179</f>
      </c>
      <c r="Q179" s="3">
        <f>I179-J179-K179-M179-N179-O179</f>
      </c>
      <c r="R179" s="3">
        <f>(Q179-Z179)/G179*100</f>
      </c>
      <c r="S179" s="3">
        <f>J179-P179</f>
      </c>
      <c r="T179" t="s">
        <v>1</v>
      </c>
      <c r="U179" t="s">
        <v>93</v>
      </c>
      <c r="AA179" s="3">
        <f>Q179-Z179</f>
      </c>
      <c r="AB179" t="s">
        <v>94</v>
      </c>
      <c r="AC179" t="s">
        <v>98</v>
      </c>
    </row>
    <row r="180" spans="1:29" x14ac:dyDescent="0.25">
      <c r="A180" s="7">
        <v>46205.5</v>
      </c>
      <c r="B180" t="s">
        <v>3366</v>
      </c>
      <c r="C180" t="s">
        <v>188</v>
      </c>
      <c r="D180" s="8" t="s">
        <v>1</v>
      </c>
      <c r="E180" t="s">
        <v>63</v>
      </c>
      <c r="F180">
        <v>4</v>
      </c>
      <c r="G180" s="3">
        <v>14</v>
      </c>
      <c r="H180" s="3">
        <v>17.92</v>
      </c>
      <c r="I180" s="3">
        <f>H180-G180</f>
      </c>
      <c r="J180" s="3">
        <f>I180*16.67%</f>
      </c>
      <c r="K180" s="3">
        <v>0.83</v>
      </c>
      <c r="L180" s="3">
        <f>K180*20%</f>
      </c>
      <c r="M180" s="3">
        <v>0</v>
      </c>
      <c r="N180" s="3">
        <f>M180*20%</f>
      </c>
      <c r="O180" s="3">
        <v>1</v>
      </c>
      <c r="P180" s="3">
        <f>N180</f>
      </c>
      <c r="Q180" s="3">
        <f>I180-J180-K180-M180-N180-O180</f>
      </c>
      <c r="R180" s="3">
        <f>(Q180-Z180)/G180*100</f>
      </c>
      <c r="S180" s="3">
        <f>J180-P180</f>
      </c>
      <c r="T180" t="s">
        <v>1</v>
      </c>
      <c r="U180" t="s">
        <v>188</v>
      </c>
      <c r="AA180" s="3">
        <f>Q180-Z180</f>
      </c>
      <c r="AB180" t="s">
        <v>1</v>
      </c>
      <c r="AC180" t="s">
        <v>1</v>
      </c>
    </row>
    <row r="181" spans="1:29" x14ac:dyDescent="0.25">
      <c r="A181" s="7">
        <v>46205.5</v>
      </c>
      <c r="B181" t="s">
        <v>3367</v>
      </c>
      <c r="C181" t="s">
        <v>173</v>
      </c>
      <c r="D181" s="8" t="s">
        <v>1</v>
      </c>
      <c r="E181" t="s">
        <v>63</v>
      </c>
      <c r="F181">
        <v>1</v>
      </c>
      <c r="G181" s="3">
        <v>4.25</v>
      </c>
      <c r="H181" s="3">
        <v>5.31</v>
      </c>
      <c r="I181" s="3">
        <f>H181-G181</f>
      </c>
      <c r="J181" s="3">
        <f>I181*16.67%</f>
      </c>
      <c r="K181" s="3">
        <v>0.24</v>
      </c>
      <c r="L181" s="3">
        <f>K181*20%</f>
      </c>
      <c r="M181" s="3">
        <v>0</v>
      </c>
      <c r="N181" s="3">
        <f>M181*20%</f>
      </c>
      <c r="O181" s="3">
        <v>1</v>
      </c>
      <c r="P181" s="3">
        <f>N181</f>
      </c>
      <c r="Q181" s="3">
        <f>I181-J181-K181-M181-N181-O181</f>
      </c>
      <c r="R181" s="3">
        <f>(Q181-Z181)/G181*100</f>
      </c>
      <c r="S181" s="3">
        <f>J181-P181</f>
      </c>
      <c r="T181" t="s">
        <v>1</v>
      </c>
      <c r="U181" t="s">
        <v>173</v>
      </c>
      <c r="AA181" s="3">
        <f>Q181-Z181</f>
      </c>
      <c r="AB181" t="s">
        <v>1</v>
      </c>
      <c r="AC181" t="s">
        <v>1</v>
      </c>
    </row>
    <row r="182" spans="1:29" x14ac:dyDescent="0.25">
      <c r="A182" s="7">
        <v>46205.5</v>
      </c>
      <c r="B182" t="s">
        <v>3368</v>
      </c>
      <c r="C182" t="s">
        <v>184</v>
      </c>
      <c r="D182" s="8" t="s">
        <v>1</v>
      </c>
      <c r="E182" t="s">
        <v>101</v>
      </c>
      <c r="F182">
        <v>4</v>
      </c>
      <c r="G182" s="3">
        <v>4.8</v>
      </c>
      <c r="H182" s="3">
        <v>5.52</v>
      </c>
      <c r="I182" s="3">
        <f>H182-G182</f>
      </c>
      <c r="J182" s="3">
        <f>I182*16.67%</f>
      </c>
      <c r="K182" s="3">
        <v>0.25</v>
      </c>
      <c r="L182" s="3">
        <f>K182*20%</f>
      </c>
      <c r="M182" s="3">
        <v>0</v>
      </c>
      <c r="N182" s="3">
        <f>M182*20%</f>
      </c>
      <c r="O182" s="3">
        <v>1</v>
      </c>
      <c r="P182" s="3">
        <f>N182</f>
      </c>
      <c r="Q182" s="3">
        <f>I182-J182-K182-M182-N182-O182</f>
      </c>
      <c r="R182" s="3">
        <f>(Q182-Z182)/G182*100</f>
      </c>
      <c r="S182" s="3">
        <f>J182-P182</f>
      </c>
      <c r="T182" t="s">
        <v>1</v>
      </c>
      <c r="U182" t="s">
        <v>184</v>
      </c>
      <c r="AA182" s="3">
        <f>Q182-Z182</f>
      </c>
      <c r="AB182" t="s">
        <v>1</v>
      </c>
      <c r="AC182" t="s">
        <v>1</v>
      </c>
    </row>
    <row r="183" spans="1:29" x14ac:dyDescent="0.25">
      <c r="A183" s="7">
        <v>46204.5</v>
      </c>
      <c r="B183" t="s">
        <v>3369</v>
      </c>
      <c r="C183" t="s">
        <v>1</v>
      </c>
      <c r="D183" s="8" t="s">
        <v>3370</v>
      </c>
      <c r="E183" t="s">
        <v>57</v>
      </c>
      <c r="F183">
        <v>1</v>
      </c>
      <c r="G183" s="3">
        <v>523</v>
      </c>
      <c r="H183" s="3">
        <v>706.05</v>
      </c>
      <c r="I183" s="3">
        <f>H183-G183</f>
      </c>
      <c r="J183" s="3">
        <f>I183*16.67%</f>
      </c>
      <c r="K183" s="3">
        <v>32.55</v>
      </c>
      <c r="L183" s="3">
        <f>K183*20%</f>
      </c>
      <c r="M183" s="3">
        <v>0</v>
      </c>
      <c r="N183" s="3">
        <f>M183*20%</f>
      </c>
      <c r="O183" s="3">
        <v>1</v>
      </c>
      <c r="P183" s="3">
        <f>N183</f>
      </c>
      <c r="Q183" s="3">
        <f>I183-J183-K183-M183-N183-O183</f>
      </c>
      <c r="R183" s="3">
        <f>(Q183-Z183)/G183*100</f>
      </c>
      <c r="S183" s="3">
        <f>J183-P183</f>
      </c>
      <c r="T183" t="s">
        <v>1</v>
      </c>
      <c r="U183" t="s">
        <v>68</v>
      </c>
      <c r="AA183" s="3">
        <f>Q183-Z183</f>
      </c>
      <c r="AB183" t="s">
        <v>59</v>
      </c>
      <c r="AC183" t="s">
        <v>98</v>
      </c>
    </row>
    <row r="184" spans="1:29" x14ac:dyDescent="0.25">
      <c r="A184" s="7">
        <v>46204.5</v>
      </c>
      <c r="B184" t="s">
        <v>3371</v>
      </c>
      <c r="C184" t="s">
        <v>1</v>
      </c>
      <c r="D184" s="8" t="s">
        <v>3372</v>
      </c>
      <c r="E184" t="s">
        <v>101</v>
      </c>
      <c r="F184">
        <v>1</v>
      </c>
      <c r="G184" s="3">
        <v>215</v>
      </c>
      <c r="H184" s="3">
        <v>279.5</v>
      </c>
      <c r="I184" s="3">
        <f>H184-G184</f>
      </c>
      <c r="J184" s="3">
        <f>I184*16.67%</f>
      </c>
      <c r="K184" s="3">
        <v>12.88</v>
      </c>
      <c r="L184" s="3">
        <f>K184*20%</f>
      </c>
      <c r="M184" s="3">
        <v>0</v>
      </c>
      <c r="N184" s="3">
        <f>M184*20%</f>
      </c>
      <c r="O184" s="3">
        <v>1</v>
      </c>
      <c r="P184" s="3">
        <f>N184</f>
      </c>
      <c r="Q184" s="3">
        <f>I184-J184-K184-M184-N184-O184</f>
      </c>
      <c r="R184" s="3">
        <f>(Q184-Z184)/G184*100</f>
      </c>
      <c r="S184" s="3">
        <f>J184-P184</f>
      </c>
      <c r="T184" t="s">
        <v>1</v>
      </c>
      <c r="U184" t="s">
        <v>113</v>
      </c>
      <c r="AA184" s="3">
        <f>Q184-Z184</f>
      </c>
      <c r="AB184" t="s">
        <v>94</v>
      </c>
      <c r="AC184" t="s">
        <v>69</v>
      </c>
    </row>
    <row r="185" spans="1:29" x14ac:dyDescent="0.25">
      <c r="A185" s="7">
        <v>46204.5</v>
      </c>
      <c r="B185" t="s">
        <v>3373</v>
      </c>
      <c r="C185" t="s">
        <v>1</v>
      </c>
      <c r="D185" s="8" t="s">
        <v>3374</v>
      </c>
      <c r="E185" t="s">
        <v>63</v>
      </c>
      <c r="F185">
        <v>1</v>
      </c>
      <c r="G185" s="3">
        <v>729</v>
      </c>
      <c r="H185" s="3">
        <v>1013.31</v>
      </c>
      <c r="I185" s="3">
        <f>H185-G185</f>
      </c>
      <c r="J185" s="3">
        <f>I185*16.67%</f>
      </c>
      <c r="K185" s="3">
        <v>46.71</v>
      </c>
      <c r="L185" s="3">
        <f>K185*20%</f>
      </c>
      <c r="M185" s="3">
        <v>0</v>
      </c>
      <c r="N185" s="3">
        <f>M185*20%</f>
      </c>
      <c r="O185" s="3">
        <v>1</v>
      </c>
      <c r="P185" s="3">
        <f>N185</f>
      </c>
      <c r="Q185" s="3">
        <f>I185-J185-K185-M185-N185-O185</f>
      </c>
      <c r="R185" s="3">
        <f>(Q185-Z185)/G185*100</f>
      </c>
      <c r="S185" s="3">
        <f>J185-P185</f>
      </c>
      <c r="T185" t="s">
        <v>1</v>
      </c>
      <c r="U185" t="s">
        <v>83</v>
      </c>
      <c r="AA185" s="3">
        <f>Q185-Z185</f>
      </c>
      <c r="AB185" t="s">
        <v>59</v>
      </c>
      <c r="AC185" t="s">
        <v>60</v>
      </c>
    </row>
    <row r="186" spans="1:29" x14ac:dyDescent="0.25">
      <c r="A186" s="7">
        <v>46204.5</v>
      </c>
      <c r="B186" t="s">
        <v>3375</v>
      </c>
      <c r="C186" t="s">
        <v>1</v>
      </c>
      <c r="D186" s="8" t="s">
        <v>3376</v>
      </c>
      <c r="E186" t="s">
        <v>63</v>
      </c>
      <c r="F186">
        <v>1</v>
      </c>
      <c r="G186" s="3">
        <v>87</v>
      </c>
      <c r="H186" s="3">
        <v>126.15</v>
      </c>
      <c r="I186" s="3">
        <f>H186-G186</f>
      </c>
      <c r="J186" s="3">
        <f>I186*16.67%</f>
      </c>
      <c r="K186" s="3">
        <v>5.82</v>
      </c>
      <c r="L186" s="3">
        <f>K186*20%</f>
      </c>
      <c r="M186" s="3">
        <v>0</v>
      </c>
      <c r="N186" s="3">
        <f>M186*20%</f>
      </c>
      <c r="O186" s="3">
        <v>1</v>
      </c>
      <c r="P186" s="3">
        <f>N186</f>
      </c>
      <c r="Q186" s="3">
        <f>I186-J186-K186-M186-N186-O186</f>
      </c>
      <c r="R186" s="3">
        <f>(Q186-Z186)/G186*100</f>
      </c>
      <c r="S186" s="3">
        <f>J186-P186</f>
      </c>
      <c r="T186" t="s">
        <v>1</v>
      </c>
      <c r="U186" t="s">
        <v>93</v>
      </c>
      <c r="AA186" s="3">
        <f>Q186-Z186</f>
      </c>
      <c r="AB186" t="s">
        <v>94</v>
      </c>
      <c r="AC186" t="s">
        <v>104</v>
      </c>
    </row>
    <row r="187" spans="1:29" x14ac:dyDescent="0.25">
      <c r="A187" s="7">
        <v>46204.5</v>
      </c>
      <c r="B187" t="s">
        <v>3377</v>
      </c>
      <c r="C187" t="s">
        <v>1</v>
      </c>
      <c r="D187" s="8" t="s">
        <v>3378</v>
      </c>
      <c r="E187" t="s">
        <v>77</v>
      </c>
      <c r="F187">
        <v>1</v>
      </c>
      <c r="G187" s="3">
        <v>463</v>
      </c>
      <c r="H187" s="3">
        <v>671.35</v>
      </c>
      <c r="I187" s="3">
        <f>H187-G187</f>
      </c>
      <c r="J187" s="3">
        <f>I187*16.67%</f>
      </c>
      <c r="K187" s="3">
        <v>30.95</v>
      </c>
      <c r="L187" s="3">
        <f>K187*20%</f>
      </c>
      <c r="M187" s="3">
        <v>0</v>
      </c>
      <c r="N187" s="3">
        <f>M187*20%</f>
      </c>
      <c r="O187" s="3">
        <v>1</v>
      </c>
      <c r="P187" s="3">
        <f>N187</f>
      </c>
      <c r="Q187" s="3">
        <f>I187-J187-K187-M187-N187-O187</f>
      </c>
      <c r="R187" s="3">
        <f>(Q187-Z187)/G187*100</f>
      </c>
      <c r="S187" s="3">
        <f>J187-P187</f>
      </c>
      <c r="T187" t="s">
        <v>1</v>
      </c>
      <c r="U187" t="s">
        <v>58</v>
      </c>
      <c r="AA187" s="3">
        <f>Q187-Z187</f>
      </c>
      <c r="AB187" t="s">
        <v>59</v>
      </c>
      <c r="AC187" t="s">
        <v>84</v>
      </c>
    </row>
    <row r="188" spans="1:29" x14ac:dyDescent="0.25">
      <c r="A188" s="7">
        <v>46204.5</v>
      </c>
      <c r="B188" t="s">
        <v>3379</v>
      </c>
      <c r="C188" t="s">
        <v>1</v>
      </c>
      <c r="D188" s="8" t="s">
        <v>3380</v>
      </c>
      <c r="E188" t="s">
        <v>63</v>
      </c>
      <c r="F188">
        <v>1</v>
      </c>
      <c r="G188" s="3">
        <v>374</v>
      </c>
      <c r="H188" s="3">
        <v>508.64</v>
      </c>
      <c r="I188" s="3">
        <f>H188-G188</f>
      </c>
      <c r="J188" s="3">
        <f>I188*16.67%</f>
      </c>
      <c r="K188" s="3">
        <v>23.45</v>
      </c>
      <c r="L188" s="3">
        <f>K188*20%</f>
      </c>
      <c r="M188" s="3">
        <v>0</v>
      </c>
      <c r="N188" s="3">
        <f>M188*20%</f>
      </c>
      <c r="O188" s="3">
        <v>1</v>
      </c>
      <c r="P188" s="3">
        <f>N188</f>
      </c>
      <c r="Q188" s="3">
        <f>I188-J188-K188-M188-N188-O188</f>
      </c>
      <c r="R188" s="3">
        <f>(Q188-Z188)/G188*100</f>
      </c>
      <c r="S188" s="3">
        <f>J188-P188</f>
      </c>
      <c r="T188" t="s">
        <v>1</v>
      </c>
      <c r="U188" t="s">
        <v>73</v>
      </c>
      <c r="AA188" s="3">
        <f>Q188-Z188</f>
      </c>
      <c r="AB188" t="s">
        <v>59</v>
      </c>
      <c r="AC188" t="s">
        <v>98</v>
      </c>
    </row>
    <row r="189" spans="1:29" x14ac:dyDescent="0.25">
      <c r="A189" s="7">
        <v>46204.5</v>
      </c>
      <c r="B189" t="s">
        <v>3381</v>
      </c>
      <c r="C189" t="s">
        <v>173</v>
      </c>
      <c r="D189" s="8" t="s">
        <v>1</v>
      </c>
      <c r="E189" t="s">
        <v>63</v>
      </c>
      <c r="F189">
        <v>4</v>
      </c>
      <c r="G189" s="3">
        <v>17</v>
      </c>
      <c r="H189" s="3">
        <v>19.55</v>
      </c>
      <c r="I189" s="3">
        <f>H189-G189</f>
      </c>
      <c r="J189" s="3">
        <f>I189*16.67%</f>
      </c>
      <c r="K189" s="3">
        <v>0.9</v>
      </c>
      <c r="L189" s="3">
        <f>K189*20%</f>
      </c>
      <c r="M189" s="3">
        <v>0</v>
      </c>
      <c r="N189" s="3">
        <f>M189*20%</f>
      </c>
      <c r="O189" s="3">
        <v>1</v>
      </c>
      <c r="P189" s="3">
        <f>N189</f>
      </c>
      <c r="Q189" s="3">
        <f>I189-J189-K189-M189-N189-O189</f>
      </c>
      <c r="R189" s="3">
        <f>(Q189-Z189)/G189*100</f>
      </c>
      <c r="S189" s="3">
        <f>J189-P189</f>
      </c>
      <c r="T189" t="s">
        <v>1</v>
      </c>
      <c r="U189" t="s">
        <v>173</v>
      </c>
      <c r="AA189" s="3">
        <f>Q189-Z189</f>
      </c>
      <c r="AB189" t="s">
        <v>1</v>
      </c>
      <c r="AC189" t="s">
        <v>1</v>
      </c>
    </row>
    <row r="190" spans="1:29" x14ac:dyDescent="0.25">
      <c r="A190" s="7">
        <v>46204.5</v>
      </c>
      <c r="B190" t="s">
        <v>3382</v>
      </c>
      <c r="C190" t="s">
        <v>253</v>
      </c>
      <c r="D190" s="8" t="s">
        <v>1</v>
      </c>
      <c r="E190" t="s">
        <v>57</v>
      </c>
      <c r="F190">
        <v>2</v>
      </c>
      <c r="G190" s="3">
        <v>1.6</v>
      </c>
      <c r="H190" s="3">
        <v>1.84</v>
      </c>
      <c r="I190" s="3">
        <f>H190-G190</f>
      </c>
      <c r="J190" s="3">
        <f>I190*16.67%</f>
      </c>
      <c r="K190" s="3">
        <v>0.08</v>
      </c>
      <c r="L190" s="3">
        <f>K190*20%</f>
      </c>
      <c r="M190" s="3">
        <v>0</v>
      </c>
      <c r="N190" s="3">
        <f>M190*20%</f>
      </c>
      <c r="O190" s="3">
        <v>1</v>
      </c>
      <c r="P190" s="3">
        <f>N190</f>
      </c>
      <c r="Q190" s="3">
        <f>I190-J190-K190-M190-N190-O190</f>
      </c>
      <c r="R190" s="3">
        <f>(Q190-Z190)/G190*100</f>
      </c>
      <c r="S190" s="3">
        <f>J190-P190</f>
      </c>
      <c r="T190" t="s">
        <v>1</v>
      </c>
      <c r="U190" t="s">
        <v>253</v>
      </c>
      <c r="AA190" s="3">
        <f>Q190-Z190</f>
      </c>
      <c r="AB190" t="s">
        <v>1</v>
      </c>
      <c r="AC190" t="s">
        <v>1</v>
      </c>
    </row>
    <row r="191" spans="1:29" x14ac:dyDescent="0.25">
      <c r="A191" s="7">
        <v>46203.5</v>
      </c>
      <c r="B191" t="s">
        <v>3383</v>
      </c>
      <c r="C191" t="s">
        <v>1</v>
      </c>
      <c r="D191" s="8" t="s">
        <v>3384</v>
      </c>
      <c r="E191" t="s">
        <v>63</v>
      </c>
      <c r="F191">
        <v>1</v>
      </c>
      <c r="G191" s="3">
        <v>307</v>
      </c>
      <c r="H191" s="3">
        <v>368.4</v>
      </c>
      <c r="I191" s="3">
        <f>H191-G191</f>
      </c>
      <c r="J191" s="3">
        <f>I191*16.67%</f>
      </c>
      <c r="K191" s="3">
        <v>16.98</v>
      </c>
      <c r="L191" s="3">
        <f>K191*20%</f>
      </c>
      <c r="M191" s="3">
        <v>0</v>
      </c>
      <c r="N191" s="3">
        <f>M191*20%</f>
      </c>
      <c r="O191" s="3">
        <v>1</v>
      </c>
      <c r="P191" s="3">
        <f>N191</f>
      </c>
      <c r="Q191" s="3">
        <f>I191-J191-K191-M191-N191-O191</f>
      </c>
      <c r="R191" s="3">
        <f>(Q191-Z191)/G191*100</f>
      </c>
      <c r="S191" s="3">
        <f>J191-P191</f>
      </c>
      <c r="T191" t="s">
        <v>1</v>
      </c>
      <c r="U191" t="s">
        <v>97</v>
      </c>
      <c r="AA191" s="3">
        <f>Q191-Z191</f>
      </c>
      <c r="AB191" t="s">
        <v>59</v>
      </c>
      <c r="AC191" t="s">
        <v>74</v>
      </c>
    </row>
    <row r="192" spans="1:29" x14ac:dyDescent="0.25">
      <c r="A192" s="7">
        <v>46203.5</v>
      </c>
      <c r="B192" t="s">
        <v>3385</v>
      </c>
      <c r="C192" t="s">
        <v>1</v>
      </c>
      <c r="D192" s="8" t="s">
        <v>3386</v>
      </c>
      <c r="E192" t="s">
        <v>77</v>
      </c>
      <c r="F192">
        <v>1</v>
      </c>
      <c r="G192" s="3">
        <v>316</v>
      </c>
      <c r="H192" s="3">
        <v>432.92</v>
      </c>
      <c r="I192" s="3">
        <f>H192-G192</f>
      </c>
      <c r="J192" s="3">
        <f>I192*16.67%</f>
      </c>
      <c r="K192" s="3">
        <v>19.96</v>
      </c>
      <c r="L192" s="3">
        <f>K192*20%</f>
      </c>
      <c r="M192" s="3">
        <v>0</v>
      </c>
      <c r="N192" s="3">
        <f>M192*20%</f>
      </c>
      <c r="O192" s="3">
        <v>1</v>
      </c>
      <c r="P192" s="3">
        <f>N192</f>
      </c>
      <c r="Q192" s="3">
        <f>I192-J192-K192-M192-N192-O192</f>
      </c>
      <c r="R192" s="3">
        <f>(Q192-Z192)/G192*100</f>
      </c>
      <c r="S192" s="3">
        <f>J192-P192</f>
      </c>
      <c r="T192" t="s">
        <v>1</v>
      </c>
      <c r="U192" t="s">
        <v>138</v>
      </c>
      <c r="AA192" s="3">
        <f>Q192-Z192</f>
      </c>
      <c r="AB192" t="s">
        <v>65</v>
      </c>
      <c r="AC192" t="s">
        <v>104</v>
      </c>
    </row>
    <row r="193" spans="1:29" x14ac:dyDescent="0.25">
      <c r="A193" s="7">
        <v>46203.5</v>
      </c>
      <c r="B193" t="s">
        <v>3387</v>
      </c>
      <c r="C193" t="s">
        <v>1</v>
      </c>
      <c r="D193" s="8" t="s">
        <v>3388</v>
      </c>
      <c r="E193" t="s">
        <v>77</v>
      </c>
      <c r="F193">
        <v>1</v>
      </c>
      <c r="G193" s="3">
        <v>108</v>
      </c>
      <c r="H193" s="3">
        <v>146.88</v>
      </c>
      <c r="I193" s="3">
        <f>H193-G193</f>
      </c>
      <c r="J193" s="3">
        <f>I193*16.67%</f>
      </c>
      <c r="K193" s="3">
        <v>6.77</v>
      </c>
      <c r="L193" s="3">
        <f>K193*20%</f>
      </c>
      <c r="M193" s="3">
        <v>0</v>
      </c>
      <c r="N193" s="3">
        <f>M193*20%</f>
      </c>
      <c r="O193" s="3">
        <v>1</v>
      </c>
      <c r="P193" s="3">
        <f>N193</f>
      </c>
      <c r="Q193" s="3">
        <f>I193-J193-K193-M193-N193-O193</f>
      </c>
      <c r="R193" s="3">
        <f>(Q193-Z193)/G193*100</f>
      </c>
      <c r="S193" s="3">
        <f>J193-P193</f>
      </c>
      <c r="T193" t="s">
        <v>1</v>
      </c>
      <c r="U193" t="s">
        <v>90</v>
      </c>
      <c r="AA193" s="3">
        <f>Q193-Z193</f>
      </c>
      <c r="AB193" t="s">
        <v>65</v>
      </c>
      <c r="AC193" t="s">
        <v>98</v>
      </c>
    </row>
    <row r="194" spans="1:29" x14ac:dyDescent="0.25">
      <c r="A194" s="7">
        <v>46203.5</v>
      </c>
      <c r="B194" t="s">
        <v>3389</v>
      </c>
      <c r="C194" t="s">
        <v>253</v>
      </c>
      <c r="D194" s="8" t="s">
        <v>1</v>
      </c>
      <c r="E194" t="s">
        <v>57</v>
      </c>
      <c r="F194">
        <v>3</v>
      </c>
      <c r="G194" s="3">
        <v>2.4</v>
      </c>
      <c r="H194" s="3">
        <v>3.22</v>
      </c>
      <c r="I194" s="3">
        <f>H194-G194</f>
      </c>
      <c r="J194" s="3">
        <f>I194*16.67%</f>
      </c>
      <c r="K194" s="3">
        <v>0.15</v>
      </c>
      <c r="L194" s="3">
        <f>K194*20%</f>
      </c>
      <c r="M194" s="3">
        <v>0</v>
      </c>
      <c r="N194" s="3">
        <f>M194*20%</f>
      </c>
      <c r="O194" s="3">
        <v>1</v>
      </c>
      <c r="P194" s="3">
        <f>N194</f>
      </c>
      <c r="Q194" s="3">
        <f>I194-J194-K194-M194-N194-O194</f>
      </c>
      <c r="R194" s="3">
        <f>(Q194-Z194)/G194*100</f>
      </c>
      <c r="S194" s="3">
        <f>J194-P194</f>
      </c>
      <c r="T194" t="s">
        <v>1</v>
      </c>
      <c r="U194" t="s">
        <v>253</v>
      </c>
      <c r="AA194" s="3">
        <f>Q194-Z194</f>
      </c>
      <c r="AB194" t="s">
        <v>1</v>
      </c>
      <c r="AC194" t="s">
        <v>1</v>
      </c>
    </row>
    <row r="195" spans="1:29" x14ac:dyDescent="0.25">
      <c r="A195" s="7">
        <v>46203.5</v>
      </c>
      <c r="B195" t="s">
        <v>3390</v>
      </c>
      <c r="C195" t="s">
        <v>1</v>
      </c>
      <c r="D195" s="8" t="s">
        <v>1</v>
      </c>
      <c r="E195" t="s">
        <v>101</v>
      </c>
      <c r="F195">
        <v>1</v>
      </c>
      <c r="G195" s="3">
        <v>180</v>
      </c>
      <c r="H195" s="3">
        <v>219.6</v>
      </c>
      <c r="I195" s="3">
        <f>H195-G195</f>
      </c>
      <c r="J195" s="3">
        <f>I195*16.67%</f>
      </c>
      <c r="K195" s="3">
        <v>10.12</v>
      </c>
      <c r="L195" s="3">
        <f>K195*20%</f>
      </c>
      <c r="M195" s="3">
        <v>0</v>
      </c>
      <c r="N195" s="3">
        <f>M195*20%</f>
      </c>
      <c r="O195" s="3">
        <v>1</v>
      </c>
      <c r="P195" s="3">
        <f>N195</f>
      </c>
      <c r="Q195" s="3">
        <f>I195-J195-K195-M195-N195-O195</f>
      </c>
      <c r="R195" s="3">
        <f>(Q195-Z195)/G195*100</f>
      </c>
      <c r="S195" s="3">
        <f>J195-P195</f>
      </c>
      <c r="T195" t="s">
        <v>1</v>
      </c>
      <c r="U195" t="s">
        <v>1</v>
      </c>
      <c r="AA195" s="3">
        <f>Q195-Z195</f>
      </c>
      <c r="AB195" t="s">
        <v>1</v>
      </c>
      <c r="AC195" t="s">
        <v>1</v>
      </c>
    </row>
    <row r="196" spans="1:29" x14ac:dyDescent="0.25">
      <c r="A196" s="7">
        <v>46203.5</v>
      </c>
      <c r="B196" t="s">
        <v>3391</v>
      </c>
      <c r="C196" t="s">
        <v>1</v>
      </c>
      <c r="D196" s="8" t="s">
        <v>1</v>
      </c>
      <c r="E196" t="s">
        <v>77</v>
      </c>
      <c r="F196">
        <v>1</v>
      </c>
      <c r="G196" s="3">
        <v>92</v>
      </c>
      <c r="H196" s="3">
        <v>115</v>
      </c>
      <c r="I196" s="3">
        <f>H196-G196</f>
      </c>
      <c r="J196" s="3">
        <f>I196*16.67%</f>
      </c>
      <c r="K196" s="3">
        <v>5.3</v>
      </c>
      <c r="L196" s="3">
        <f>K196*20%</f>
      </c>
      <c r="M196" s="3">
        <v>0</v>
      </c>
      <c r="N196" s="3">
        <f>M196*20%</f>
      </c>
      <c r="O196" s="3">
        <v>1</v>
      </c>
      <c r="P196" s="3">
        <f>N196</f>
      </c>
      <c r="Q196" s="3">
        <f>I196-J196-K196-M196-N196-O196</f>
      </c>
      <c r="R196" s="3">
        <f>(Q196-Z196)/G196*100</f>
      </c>
      <c r="S196" s="3">
        <f>J196-P196</f>
      </c>
      <c r="T196" t="s">
        <v>1</v>
      </c>
      <c r="U196" t="s">
        <v>1</v>
      </c>
      <c r="AA196" s="3">
        <f>Q196-Z196</f>
      </c>
      <c r="AB196" t="s">
        <v>1</v>
      </c>
      <c r="AC196" t="s">
        <v>1</v>
      </c>
    </row>
    <row r="197" spans="1:29" x14ac:dyDescent="0.25">
      <c r="A197" s="7">
        <v>46202.5</v>
      </c>
      <c r="B197" t="s">
        <v>3392</v>
      </c>
      <c r="C197" t="s">
        <v>1</v>
      </c>
      <c r="D197" s="8" t="s">
        <v>3393</v>
      </c>
      <c r="E197" t="s">
        <v>57</v>
      </c>
      <c r="F197">
        <v>1</v>
      </c>
      <c r="G197" s="3">
        <v>71</v>
      </c>
      <c r="H197" s="3">
        <v>84.49</v>
      </c>
      <c r="I197" s="3">
        <f>H197-G197</f>
      </c>
      <c r="J197" s="3">
        <f>I197*16.67%</f>
      </c>
      <c r="K197" s="3">
        <v>3.89</v>
      </c>
      <c r="L197" s="3">
        <f>K197*20%</f>
      </c>
      <c r="M197" s="3">
        <v>0</v>
      </c>
      <c r="N197" s="3">
        <f>M197*20%</f>
      </c>
      <c r="O197" s="3">
        <v>1</v>
      </c>
      <c r="P197" s="3">
        <f>N197</f>
      </c>
      <c r="Q197" s="3">
        <f>I197-J197-K197-M197-N197-O197</f>
      </c>
      <c r="R197" s="3">
        <f>(Q197-Z197)/G197*100</f>
      </c>
      <c r="S197" s="3">
        <f>J197-P197</f>
      </c>
      <c r="T197" t="s">
        <v>1</v>
      </c>
      <c r="U197" t="s">
        <v>93</v>
      </c>
      <c r="AA197" s="3">
        <f>Q197-Z197</f>
      </c>
      <c r="AB197" t="s">
        <v>94</v>
      </c>
      <c r="AC197" t="s">
        <v>104</v>
      </c>
    </row>
    <row r="198" spans="1:29" x14ac:dyDescent="0.25">
      <c r="A198" s="7">
        <v>46202.5</v>
      </c>
      <c r="B198" t="s">
        <v>3394</v>
      </c>
      <c r="C198" t="s">
        <v>1</v>
      </c>
      <c r="D198" s="8" t="s">
        <v>3395</v>
      </c>
      <c r="E198" t="s">
        <v>63</v>
      </c>
      <c r="F198">
        <v>1</v>
      </c>
      <c r="G198" s="3">
        <v>325</v>
      </c>
      <c r="H198" s="3">
        <v>419.25</v>
      </c>
      <c r="I198" s="3">
        <f>H198-G198</f>
      </c>
      <c r="J198" s="3">
        <f>I198*16.67%</f>
      </c>
      <c r="K198" s="3">
        <v>19.33</v>
      </c>
      <c r="L198" s="3">
        <f>K198*20%</f>
      </c>
      <c r="M198" s="3">
        <v>0</v>
      </c>
      <c r="N198" s="3">
        <f>M198*20%</f>
      </c>
      <c r="O198" s="3">
        <v>1</v>
      </c>
      <c r="P198" s="3">
        <f>N198</f>
      </c>
      <c r="Q198" s="3">
        <f>I198-J198-K198-M198-N198-O198</f>
      </c>
      <c r="R198" s="3">
        <f>(Q198-Z198)/G198*100</f>
      </c>
      <c r="S198" s="3">
        <f>J198-P198</f>
      </c>
      <c r="T198" t="s">
        <v>1</v>
      </c>
      <c r="U198" t="s">
        <v>138</v>
      </c>
      <c r="AA198" s="3">
        <f>Q198-Z198</f>
      </c>
      <c r="AB198" t="s">
        <v>65</v>
      </c>
      <c r="AC198" t="s">
        <v>60</v>
      </c>
    </row>
    <row r="199" spans="1:29" x14ac:dyDescent="0.25">
      <c r="A199" s="7">
        <v>46202.5</v>
      </c>
      <c r="B199" t="s">
        <v>3396</v>
      </c>
      <c r="C199" t="s">
        <v>176</v>
      </c>
      <c r="D199" s="8" t="s">
        <v>1</v>
      </c>
      <c r="E199" t="s">
        <v>77</v>
      </c>
      <c r="F199">
        <v>3</v>
      </c>
      <c r="G199" s="3">
        <v>0.45</v>
      </c>
      <c r="H199" s="3">
        <v>0.52</v>
      </c>
      <c r="I199" s="3">
        <f>H199-G199</f>
      </c>
      <c r="J199" s="3">
        <f>I199*16.67%</f>
      </c>
      <c r="K199" s="3">
        <v>0.02</v>
      </c>
      <c r="L199" s="3">
        <f>K199*20%</f>
      </c>
      <c r="M199" s="3">
        <v>0</v>
      </c>
      <c r="N199" s="3">
        <f>M199*20%</f>
      </c>
      <c r="O199" s="3">
        <v>1</v>
      </c>
      <c r="P199" s="3">
        <f>N199</f>
      </c>
      <c r="Q199" s="3">
        <f>I199-J199-K199-M199-N199-O199</f>
      </c>
      <c r="R199" s="3">
        <f>(Q199-Z199)/G199*100</f>
      </c>
      <c r="S199" s="3">
        <f>J199-P199</f>
      </c>
      <c r="T199" t="s">
        <v>1</v>
      </c>
      <c r="U199" t="s">
        <v>176</v>
      </c>
      <c r="AA199" s="3">
        <f>Q199-Z199</f>
      </c>
      <c r="AB199" t="s">
        <v>1</v>
      </c>
      <c r="AC199" t="s">
        <v>1</v>
      </c>
    </row>
    <row r="200" spans="1:29" x14ac:dyDescent="0.25">
      <c r="A200" s="7">
        <v>46202.5</v>
      </c>
      <c r="B200" t="s">
        <v>3397</v>
      </c>
      <c r="C200" t="s">
        <v>1</v>
      </c>
      <c r="D200" s="8" t="s">
        <v>1</v>
      </c>
      <c r="E200" t="s">
        <v>63</v>
      </c>
      <c r="F200">
        <v>1</v>
      </c>
      <c r="G200" s="3">
        <v>338</v>
      </c>
      <c r="H200" s="3">
        <v>395.46</v>
      </c>
      <c r="I200" s="3">
        <f>H200-G200</f>
      </c>
      <c r="J200" s="3">
        <f>I200*16.67%</f>
      </c>
      <c r="K200" s="3">
        <v>18.23</v>
      </c>
      <c r="L200" s="3">
        <f>K200*20%</f>
      </c>
      <c r="M200" s="3">
        <v>0</v>
      </c>
      <c r="N200" s="3">
        <f>M200*20%</f>
      </c>
      <c r="O200" s="3">
        <v>1</v>
      </c>
      <c r="P200" s="3">
        <f>N200</f>
      </c>
      <c r="Q200" s="3">
        <f>I200-J200-K200-M200-N200-O200</f>
      </c>
      <c r="R200" s="3">
        <f>(Q200-Z200)/G200*100</f>
      </c>
      <c r="S200" s="3">
        <f>J200-P200</f>
      </c>
      <c r="T200" t="s">
        <v>1</v>
      </c>
      <c r="U200" t="s">
        <v>1</v>
      </c>
      <c r="AA200" s="3">
        <f>Q200-Z200</f>
      </c>
      <c r="AB200" t="s">
        <v>1</v>
      </c>
      <c r="AC200" t="s">
        <v>1</v>
      </c>
    </row>
    <row r="201" spans="1:29" x14ac:dyDescent="0.25">
      <c r="A201" s="7">
        <v>46201.5</v>
      </c>
      <c r="B201" t="s">
        <v>3398</v>
      </c>
      <c r="C201" t="s">
        <v>1</v>
      </c>
      <c r="D201" s="8" t="s">
        <v>3399</v>
      </c>
      <c r="E201" t="s">
        <v>77</v>
      </c>
      <c r="F201">
        <v>1</v>
      </c>
      <c r="G201" s="3">
        <v>180</v>
      </c>
      <c r="H201" s="3">
        <v>228.6</v>
      </c>
      <c r="I201" s="3">
        <f>H201-G201</f>
      </c>
      <c r="J201" s="3">
        <f>I201*16.67%</f>
      </c>
      <c r="K201" s="3">
        <v>10.54</v>
      </c>
      <c r="L201" s="3">
        <f>K201*20%</f>
      </c>
      <c r="M201" s="3">
        <v>0</v>
      </c>
      <c r="N201" s="3">
        <f>M201*20%</f>
      </c>
      <c r="O201" s="3">
        <v>1</v>
      </c>
      <c r="P201" s="3">
        <f>N201</f>
      </c>
      <c r="Q201" s="3">
        <f>I201-J201-K201-M201-N201-O201</f>
      </c>
      <c r="R201" s="3">
        <f>(Q201-Z201)/G201*100</f>
      </c>
      <c r="S201" s="3">
        <f>J201-P201</f>
      </c>
      <c r="T201" t="s">
        <v>1</v>
      </c>
      <c r="U201" t="s">
        <v>233</v>
      </c>
      <c r="AA201" s="3">
        <f>Q201-Z201</f>
      </c>
      <c r="AB201" t="s">
        <v>65</v>
      </c>
      <c r="AC201" t="s">
        <v>60</v>
      </c>
    </row>
    <row r="202" spans="1:29" x14ac:dyDescent="0.25">
      <c r="A202" s="7">
        <v>46201.5</v>
      </c>
      <c r="B202" t="s">
        <v>3400</v>
      </c>
      <c r="C202" t="s">
        <v>1</v>
      </c>
      <c r="D202" s="8" t="s">
        <v>3401</v>
      </c>
      <c r="E202" t="s">
        <v>72</v>
      </c>
      <c r="F202">
        <v>1</v>
      </c>
      <c r="G202" s="3">
        <v>83</v>
      </c>
      <c r="H202" s="3">
        <v>101.26</v>
      </c>
      <c r="I202" s="3">
        <f>H202-G202</f>
      </c>
      <c r="J202" s="3">
        <f>I202*16.67%</f>
      </c>
      <c r="K202" s="3">
        <v>4.67</v>
      </c>
      <c r="L202" s="3">
        <f>K202*20%</f>
      </c>
      <c r="M202" s="3">
        <v>0</v>
      </c>
      <c r="N202" s="3">
        <f>M202*20%</f>
      </c>
      <c r="O202" s="3">
        <v>1</v>
      </c>
      <c r="P202" s="3">
        <f>N202</f>
      </c>
      <c r="Q202" s="3">
        <f>I202-J202-K202-M202-N202-O202</f>
      </c>
      <c r="R202" s="3">
        <f>(Q202-Z202)/G202*100</f>
      </c>
      <c r="S202" s="3">
        <f>J202-P202</f>
      </c>
      <c r="T202" t="s">
        <v>1</v>
      </c>
      <c r="U202" t="s">
        <v>93</v>
      </c>
      <c r="AA202" s="3">
        <f>Q202-Z202</f>
      </c>
      <c r="AB202" t="s">
        <v>94</v>
      </c>
      <c r="AC202" t="s">
        <v>69</v>
      </c>
    </row>
    <row r="203" spans="1:29" x14ac:dyDescent="0.25">
      <c r="A203" s="7">
        <v>46201.5</v>
      </c>
      <c r="B203" t="s">
        <v>3402</v>
      </c>
      <c r="C203" t="s">
        <v>1</v>
      </c>
      <c r="D203" s="8" t="s">
        <v>3403</v>
      </c>
      <c r="E203" t="s">
        <v>63</v>
      </c>
      <c r="F203">
        <v>1</v>
      </c>
      <c r="G203" s="3">
        <v>536</v>
      </c>
      <c r="H203" s="3">
        <v>777.2</v>
      </c>
      <c r="I203" s="3">
        <f>H203-G203</f>
      </c>
      <c r="J203" s="3">
        <f>I203*16.67%</f>
      </c>
      <c r="K203" s="3">
        <v>35.83</v>
      </c>
      <c r="L203" s="3">
        <f>K203*20%</f>
      </c>
      <c r="M203" s="3">
        <v>0</v>
      </c>
      <c r="N203" s="3">
        <f>M203*20%</f>
      </c>
      <c r="O203" s="3">
        <v>1</v>
      </c>
      <c r="P203" s="3">
        <f>N203</f>
      </c>
      <c r="Q203" s="3">
        <f>I203-J203-K203-M203-N203-O203</f>
      </c>
      <c r="R203" s="3">
        <f>(Q203-Z203)/G203*100</f>
      </c>
      <c r="S203" s="3">
        <f>J203-P203</f>
      </c>
      <c r="T203" t="s">
        <v>1</v>
      </c>
      <c r="U203" t="s">
        <v>80</v>
      </c>
      <c r="AA203" s="3">
        <f>Q203-Z203</f>
      </c>
      <c r="AB203" t="s">
        <v>65</v>
      </c>
      <c r="AC203" t="s">
        <v>98</v>
      </c>
    </row>
    <row r="204" spans="1:29" x14ac:dyDescent="0.25">
      <c r="A204" s="7">
        <v>46201.5</v>
      </c>
      <c r="B204" t="s">
        <v>3404</v>
      </c>
      <c r="C204" t="s">
        <v>1</v>
      </c>
      <c r="D204" s="8" t="s">
        <v>3405</v>
      </c>
      <c r="E204" t="s">
        <v>72</v>
      </c>
      <c r="F204">
        <v>1</v>
      </c>
      <c r="G204" s="3">
        <v>321</v>
      </c>
      <c r="H204" s="3">
        <v>404.46</v>
      </c>
      <c r="I204" s="3">
        <f>H204-G204</f>
      </c>
      <c r="J204" s="3">
        <f>I204*16.67%</f>
      </c>
      <c r="K204" s="3">
        <v>18.65</v>
      </c>
      <c r="L204" s="3">
        <f>K204*20%</f>
      </c>
      <c r="M204" s="3">
        <v>0</v>
      </c>
      <c r="N204" s="3">
        <f>M204*20%</f>
      </c>
      <c r="O204" s="3">
        <v>1</v>
      </c>
      <c r="P204" s="3">
        <f>N204</f>
      </c>
      <c r="Q204" s="3">
        <f>I204-J204-K204-M204-N204-O204</f>
      </c>
      <c r="R204" s="3">
        <f>(Q204-Z204)/G204*100</f>
      </c>
      <c r="S204" s="3">
        <f>J204-P204</f>
      </c>
      <c r="T204" t="s">
        <v>1</v>
      </c>
      <c r="U204" t="s">
        <v>73</v>
      </c>
      <c r="AA204" s="3">
        <f>Q204-Z204</f>
      </c>
      <c r="AB204" t="s">
        <v>59</v>
      </c>
      <c r="AC204" t="s">
        <v>104</v>
      </c>
    </row>
    <row r="205" spans="1:29" x14ac:dyDescent="0.25">
      <c r="A205" s="7">
        <v>46201.5</v>
      </c>
      <c r="B205" t="s">
        <v>3406</v>
      </c>
      <c r="C205" t="s">
        <v>1</v>
      </c>
      <c r="D205" s="8" t="s">
        <v>3407</v>
      </c>
      <c r="E205" t="s">
        <v>63</v>
      </c>
      <c r="F205">
        <v>1</v>
      </c>
      <c r="G205" s="3">
        <v>464</v>
      </c>
      <c r="H205" s="3">
        <v>556.8</v>
      </c>
      <c r="I205" s="3">
        <f>H205-G205</f>
      </c>
      <c r="J205" s="3">
        <f>I205*16.67%</f>
      </c>
      <c r="K205" s="3">
        <v>25.67</v>
      </c>
      <c r="L205" s="3">
        <f>K205*20%</f>
      </c>
      <c r="M205" s="3">
        <v>0</v>
      </c>
      <c r="N205" s="3">
        <f>M205*20%</f>
      </c>
      <c r="O205" s="3">
        <v>1</v>
      </c>
      <c r="P205" s="3">
        <f>N205</f>
      </c>
      <c r="Q205" s="3">
        <f>I205-J205-K205-M205-N205-O205</f>
      </c>
      <c r="R205" s="3">
        <f>(Q205-Z205)/G205*100</f>
      </c>
      <c r="S205" s="3">
        <f>J205-P205</f>
      </c>
      <c r="T205" t="s">
        <v>1</v>
      </c>
      <c r="U205" t="s">
        <v>58</v>
      </c>
      <c r="AA205" s="3">
        <f>Q205-Z205</f>
      </c>
      <c r="AB205" t="s">
        <v>59</v>
      </c>
      <c r="AC205" t="s">
        <v>60</v>
      </c>
    </row>
    <row r="206" spans="1:29" x14ac:dyDescent="0.25">
      <c r="A206" s="7">
        <v>46201.5</v>
      </c>
      <c r="B206" t="s">
        <v>3408</v>
      </c>
      <c r="C206" t="s">
        <v>184</v>
      </c>
      <c r="D206" s="8" t="s">
        <v>1</v>
      </c>
      <c r="E206" t="s">
        <v>101</v>
      </c>
      <c r="F206">
        <v>1</v>
      </c>
      <c r="G206" s="3">
        <v>1.2</v>
      </c>
      <c r="H206" s="3">
        <v>1.73</v>
      </c>
      <c r="I206" s="3">
        <f>H206-G206</f>
      </c>
      <c r="J206" s="3">
        <f>I206*16.67%</f>
      </c>
      <c r="K206" s="3">
        <v>0.08</v>
      </c>
      <c r="L206" s="3">
        <f>K206*20%</f>
      </c>
      <c r="M206" s="3">
        <v>0</v>
      </c>
      <c r="N206" s="3">
        <f>M206*20%</f>
      </c>
      <c r="O206" s="3">
        <v>1</v>
      </c>
      <c r="P206" s="3">
        <f>N206</f>
      </c>
      <c r="Q206" s="3">
        <f>I206-J206-K206-M206-N206-O206</f>
      </c>
      <c r="R206" s="3">
        <f>(Q206-Z206)/G206*100</f>
      </c>
      <c r="S206" s="3">
        <f>J206-P206</f>
      </c>
      <c r="T206" t="s">
        <v>1</v>
      </c>
      <c r="U206" t="s">
        <v>184</v>
      </c>
      <c r="AA206" s="3">
        <f>Q206-Z206</f>
      </c>
      <c r="AB206" t="s">
        <v>1</v>
      </c>
      <c r="AC206" t="s">
        <v>1</v>
      </c>
    </row>
    <row r="207" spans="1:29" x14ac:dyDescent="0.25">
      <c r="A207" s="7">
        <v>46200.5</v>
      </c>
      <c r="B207" t="s">
        <v>3409</v>
      </c>
      <c r="C207" t="s">
        <v>1</v>
      </c>
      <c r="D207" s="8" t="s">
        <v>3410</v>
      </c>
      <c r="E207" t="s">
        <v>63</v>
      </c>
      <c r="F207">
        <v>1</v>
      </c>
      <c r="G207" s="3">
        <v>297</v>
      </c>
      <c r="H207" s="3">
        <v>356.4</v>
      </c>
      <c r="I207" s="3">
        <f>H207-G207</f>
      </c>
      <c r="J207" s="3">
        <f>I207*16.67%</f>
      </c>
      <c r="K207" s="3">
        <v>16.43</v>
      </c>
      <c r="L207" s="3">
        <f>K207*20%</f>
      </c>
      <c r="M207" s="3">
        <v>0</v>
      </c>
      <c r="N207" s="3">
        <f>M207*20%</f>
      </c>
      <c r="O207" s="3">
        <v>1</v>
      </c>
      <c r="P207" s="3">
        <f>N207</f>
      </c>
      <c r="Q207" s="3">
        <f>I207-J207-K207-M207-N207-O207</f>
      </c>
      <c r="R207" s="3">
        <f>(Q207-Z207)/G207*100</f>
      </c>
      <c r="S207" s="3">
        <f>J207-P207</f>
      </c>
      <c r="T207" t="s">
        <v>1</v>
      </c>
      <c r="U207" t="s">
        <v>130</v>
      </c>
      <c r="AA207" s="3">
        <f>Q207-Z207</f>
      </c>
      <c r="AB207" t="s">
        <v>65</v>
      </c>
      <c r="AC207" t="s">
        <v>69</v>
      </c>
    </row>
    <row r="208" spans="1:29" x14ac:dyDescent="0.25">
      <c r="A208" s="7">
        <v>46200.5</v>
      </c>
      <c r="B208" t="s">
        <v>3411</v>
      </c>
      <c r="C208" t="s">
        <v>1</v>
      </c>
      <c r="D208" s="8" t="s">
        <v>3412</v>
      </c>
      <c r="E208" t="s">
        <v>101</v>
      </c>
      <c r="F208">
        <v>1</v>
      </c>
      <c r="G208" s="3">
        <v>61</v>
      </c>
      <c r="H208" s="3">
        <v>81.13</v>
      </c>
      <c r="I208" s="3">
        <f>H208-G208</f>
      </c>
      <c r="J208" s="3">
        <f>I208*16.67%</f>
      </c>
      <c r="K208" s="3">
        <v>3.74</v>
      </c>
      <c r="L208" s="3">
        <f>K208*20%</f>
      </c>
      <c r="M208" s="3">
        <v>0</v>
      </c>
      <c r="N208" s="3">
        <f>M208*20%</f>
      </c>
      <c r="O208" s="3">
        <v>1</v>
      </c>
      <c r="P208" s="3">
        <f>N208</f>
      </c>
      <c r="Q208" s="3">
        <f>I208-J208-K208-M208-N208-O208</f>
      </c>
      <c r="R208" s="3">
        <f>(Q208-Z208)/G208*100</f>
      </c>
      <c r="S208" s="3">
        <f>J208-P208</f>
      </c>
      <c r="T208" t="s">
        <v>1</v>
      </c>
      <c r="U208" t="s">
        <v>93</v>
      </c>
      <c r="AA208" s="3">
        <f>Q208-Z208</f>
      </c>
      <c r="AB208" t="s">
        <v>94</v>
      </c>
      <c r="AC208" t="s">
        <v>98</v>
      </c>
    </row>
    <row r="209" spans="1:29" x14ac:dyDescent="0.25">
      <c r="A209" s="7">
        <v>46200.5</v>
      </c>
      <c r="B209" t="s">
        <v>3413</v>
      </c>
      <c r="C209" t="s">
        <v>181</v>
      </c>
      <c r="D209" s="8" t="s">
        <v>1</v>
      </c>
      <c r="E209" t="s">
        <v>72</v>
      </c>
      <c r="F209">
        <v>2</v>
      </c>
      <c r="G209" s="3">
        <v>3.8</v>
      </c>
      <c r="H209" s="3">
        <v>4.75</v>
      </c>
      <c r="I209" s="3">
        <f>H209-G209</f>
      </c>
      <c r="J209" s="3">
        <f>I209*16.67%</f>
      </c>
      <c r="K209" s="3">
        <v>0.22</v>
      </c>
      <c r="L209" s="3">
        <f>K209*20%</f>
      </c>
      <c r="M209" s="3">
        <v>0</v>
      </c>
      <c r="N209" s="3">
        <f>M209*20%</f>
      </c>
      <c r="O209" s="3">
        <v>1</v>
      </c>
      <c r="P209" s="3">
        <f>N209</f>
      </c>
      <c r="Q209" s="3">
        <f>I209-J209-K209-M209-N209-O209</f>
      </c>
      <c r="R209" s="3">
        <f>(Q209-Z209)/G209*100</f>
      </c>
      <c r="S209" s="3">
        <f>J209-P209</f>
      </c>
      <c r="T209" t="s">
        <v>1</v>
      </c>
      <c r="U209" t="s">
        <v>181</v>
      </c>
      <c r="AA209" s="3">
        <f>Q209-Z209</f>
      </c>
      <c r="AB209" t="s">
        <v>1</v>
      </c>
      <c r="AC209" t="s">
        <v>1</v>
      </c>
    </row>
    <row r="210" spans="1:29" x14ac:dyDescent="0.25">
      <c r="A210" s="7">
        <v>46200.5</v>
      </c>
      <c r="B210" t="s">
        <v>3414</v>
      </c>
      <c r="C210" t="s">
        <v>181</v>
      </c>
      <c r="D210" s="8" t="s">
        <v>1</v>
      </c>
      <c r="E210" t="s">
        <v>72</v>
      </c>
      <c r="F210">
        <v>4</v>
      </c>
      <c r="G210" s="3">
        <v>7.6</v>
      </c>
      <c r="H210" s="3">
        <v>9.88</v>
      </c>
      <c r="I210" s="3">
        <f>H210-G210</f>
      </c>
      <c r="J210" s="3">
        <f>I210*16.67%</f>
      </c>
      <c r="K210" s="3">
        <v>0.46</v>
      </c>
      <c r="L210" s="3">
        <f>K210*20%</f>
      </c>
      <c r="M210" s="3">
        <v>0</v>
      </c>
      <c r="N210" s="3">
        <f>M210*20%</f>
      </c>
      <c r="O210" s="3">
        <v>1</v>
      </c>
      <c r="P210" s="3">
        <f>N210</f>
      </c>
      <c r="Q210" s="3">
        <f>I210-J210-K210-M210-N210-O210</f>
      </c>
      <c r="R210" s="3">
        <f>(Q210-Z210)/G210*100</f>
      </c>
      <c r="S210" s="3">
        <f>J210-P210</f>
      </c>
      <c r="T210" t="s">
        <v>1</v>
      </c>
      <c r="U210" t="s">
        <v>181</v>
      </c>
      <c r="AA210" s="3">
        <f>Q210-Z210</f>
      </c>
      <c r="AB210" t="s">
        <v>1</v>
      </c>
      <c r="AC210" t="s">
        <v>1</v>
      </c>
    </row>
    <row r="211" spans="1:29" x14ac:dyDescent="0.25">
      <c r="A211" s="7">
        <v>46200.5</v>
      </c>
      <c r="B211" t="s">
        <v>3415</v>
      </c>
      <c r="C211" t="s">
        <v>184</v>
      </c>
      <c r="D211" s="8" t="s">
        <v>1</v>
      </c>
      <c r="E211" t="s">
        <v>101</v>
      </c>
      <c r="F211">
        <v>1</v>
      </c>
      <c r="G211" s="3">
        <v>1.2</v>
      </c>
      <c r="H211" s="3">
        <v>1.43</v>
      </c>
      <c r="I211" s="3">
        <f>H211-G211</f>
      </c>
      <c r="J211" s="3">
        <f>I211*16.67%</f>
      </c>
      <c r="K211" s="3">
        <v>0.07</v>
      </c>
      <c r="L211" s="3">
        <f>K211*20%</f>
      </c>
      <c r="M211" s="3">
        <v>0</v>
      </c>
      <c r="N211" s="3">
        <f>M211*20%</f>
      </c>
      <c r="O211" s="3">
        <v>1</v>
      </c>
      <c r="P211" s="3">
        <f>N211</f>
      </c>
      <c r="Q211" s="3">
        <f>I211-J211-K211-M211-N211-O211</f>
      </c>
      <c r="R211" s="3">
        <f>(Q211-Z211)/G211*100</f>
      </c>
      <c r="S211" s="3">
        <f>J211-P211</f>
      </c>
      <c r="T211" t="s">
        <v>1</v>
      </c>
      <c r="U211" t="s">
        <v>184</v>
      </c>
      <c r="AA211" s="3">
        <f>Q211-Z211</f>
      </c>
      <c r="AB211" t="s">
        <v>1</v>
      </c>
      <c r="AC211" t="s">
        <v>1</v>
      </c>
    </row>
    <row r="212" spans="1:29" x14ac:dyDescent="0.25">
      <c r="A212" s="7">
        <v>46200.5</v>
      </c>
      <c r="B212" t="s">
        <v>3416</v>
      </c>
      <c r="C212" t="s">
        <v>1</v>
      </c>
      <c r="D212" s="8" t="s">
        <v>1</v>
      </c>
      <c r="E212" t="s">
        <v>63</v>
      </c>
      <c r="F212">
        <v>1</v>
      </c>
      <c r="G212" s="3">
        <v>177</v>
      </c>
      <c r="H212" s="3">
        <v>203.55</v>
      </c>
      <c r="I212" s="3">
        <f>H212-G212</f>
      </c>
      <c r="J212" s="3">
        <f>I212*16.67%</f>
      </c>
      <c r="K212" s="3">
        <v>9.38</v>
      </c>
      <c r="L212" s="3">
        <f>K212*20%</f>
      </c>
      <c r="M212" s="3">
        <v>0</v>
      </c>
      <c r="N212" s="3">
        <f>M212*20%</f>
      </c>
      <c r="O212" s="3">
        <v>1</v>
      </c>
      <c r="P212" s="3">
        <f>N212</f>
      </c>
      <c r="Q212" s="3">
        <f>I212-J212-K212-M212-N212-O212</f>
      </c>
      <c r="R212" s="3">
        <f>(Q212-Z212)/G212*100</f>
      </c>
      <c r="S212" s="3">
        <f>J212-P212</f>
      </c>
      <c r="T212" t="s">
        <v>1</v>
      </c>
      <c r="U212" t="s">
        <v>1</v>
      </c>
      <c r="AA212" s="3">
        <f>Q212-Z212</f>
      </c>
      <c r="AB212" t="s">
        <v>1</v>
      </c>
      <c r="AC212" t="s">
        <v>1</v>
      </c>
    </row>
    <row r="213" spans="1:29" x14ac:dyDescent="0.25">
      <c r="A213" s="7">
        <v>46199.5</v>
      </c>
      <c r="B213" t="s">
        <v>3417</v>
      </c>
      <c r="C213" t="s">
        <v>1</v>
      </c>
      <c r="D213" s="8" t="s">
        <v>3418</v>
      </c>
      <c r="E213" t="s">
        <v>63</v>
      </c>
      <c r="F213">
        <v>1</v>
      </c>
      <c r="G213" s="3">
        <v>72</v>
      </c>
      <c r="H213" s="3">
        <v>87.12</v>
      </c>
      <c r="I213" s="3">
        <f>H213-G213</f>
      </c>
      <c r="J213" s="3">
        <f>I213*16.67%</f>
      </c>
      <c r="K213" s="3">
        <v>4.02</v>
      </c>
      <c r="L213" s="3">
        <f>K213*20%</f>
      </c>
      <c r="M213" s="3">
        <v>0</v>
      </c>
      <c r="N213" s="3">
        <f>M213*20%</f>
      </c>
      <c r="O213" s="3">
        <v>1</v>
      </c>
      <c r="P213" s="3">
        <f>N213</f>
      </c>
      <c r="Q213" s="3">
        <f>I213-J213-K213-M213-N213-O213</f>
      </c>
      <c r="R213" s="3">
        <f>(Q213-Z213)/G213*100</f>
      </c>
      <c r="S213" s="3">
        <f>J213-P213</f>
      </c>
      <c r="T213" t="s">
        <v>1</v>
      </c>
      <c r="U213" t="s">
        <v>93</v>
      </c>
      <c r="AA213" s="3">
        <f>Q213-Z213</f>
      </c>
      <c r="AB213" t="s">
        <v>94</v>
      </c>
      <c r="AC213" t="s">
        <v>84</v>
      </c>
    </row>
    <row r="214" spans="1:29" x14ac:dyDescent="0.25">
      <c r="A214" s="7">
        <v>46199.5</v>
      </c>
      <c r="B214" t="s">
        <v>3419</v>
      </c>
      <c r="C214" t="s">
        <v>1</v>
      </c>
      <c r="D214" s="8" t="s">
        <v>3420</v>
      </c>
      <c r="E214" t="s">
        <v>63</v>
      </c>
      <c r="F214">
        <v>1</v>
      </c>
      <c r="G214" s="3">
        <v>321</v>
      </c>
      <c r="H214" s="3">
        <v>423.72</v>
      </c>
      <c r="I214" s="3">
        <f>H214-G214</f>
      </c>
      <c r="J214" s="3">
        <f>I214*16.67%</f>
      </c>
      <c r="K214" s="3">
        <v>19.53</v>
      </c>
      <c r="L214" s="3">
        <f>K214*20%</f>
      </c>
      <c r="M214" s="3">
        <v>0</v>
      </c>
      <c r="N214" s="3">
        <f>M214*20%</f>
      </c>
      <c r="O214" s="3">
        <v>1</v>
      </c>
      <c r="P214" s="3">
        <f>N214</f>
      </c>
      <c r="Q214" s="3">
        <f>I214-J214-K214-M214-N214-O214</f>
      </c>
      <c r="R214" s="3">
        <f>(Q214-Z214)/G214*100</f>
      </c>
      <c r="S214" s="3">
        <f>J214-P214</f>
      </c>
      <c r="T214" t="s">
        <v>1</v>
      </c>
      <c r="U214" t="s">
        <v>97</v>
      </c>
      <c r="AA214" s="3">
        <f>Q214-Z214</f>
      </c>
      <c r="AB214" t="s">
        <v>65</v>
      </c>
      <c r="AC214" t="s">
        <v>87</v>
      </c>
    </row>
    <row r="215" spans="1:29" x14ac:dyDescent="0.25">
      <c r="A215" s="7">
        <v>46199.5</v>
      </c>
      <c r="B215" t="s">
        <v>3421</v>
      </c>
      <c r="C215" t="s">
        <v>1</v>
      </c>
      <c r="D215" s="8" t="s">
        <v>3422</v>
      </c>
      <c r="E215" t="s">
        <v>77</v>
      </c>
      <c r="F215">
        <v>1</v>
      </c>
      <c r="G215" s="3">
        <v>439</v>
      </c>
      <c r="H215" s="3">
        <v>605.82</v>
      </c>
      <c r="I215" s="3">
        <f>H215-G215</f>
      </c>
      <c r="J215" s="3">
        <f>I215*16.67%</f>
      </c>
      <c r="K215" s="3">
        <v>27.93</v>
      </c>
      <c r="L215" s="3">
        <f>K215*20%</f>
      </c>
      <c r="M215" s="3">
        <v>0</v>
      </c>
      <c r="N215" s="3">
        <f>M215*20%</f>
      </c>
      <c r="O215" s="3">
        <v>1</v>
      </c>
      <c r="P215" s="3">
        <f>N215</f>
      </c>
      <c r="Q215" s="3">
        <f>I215-J215-K215-M215-N215-O215</f>
      </c>
      <c r="R215" s="3">
        <f>(Q215-Z215)/G215*100</f>
      </c>
      <c r="S215" s="3">
        <f>J215-P215</f>
      </c>
      <c r="T215" t="s">
        <v>1</v>
      </c>
      <c r="U215" t="s">
        <v>58</v>
      </c>
      <c r="AA215" s="3">
        <f>Q215-Z215</f>
      </c>
      <c r="AB215" t="s">
        <v>59</v>
      </c>
      <c r="AC215" t="s">
        <v>104</v>
      </c>
    </row>
    <row r="216" spans="1:29" x14ac:dyDescent="0.25">
      <c r="A216" s="7">
        <v>46199.5</v>
      </c>
      <c r="B216" t="s">
        <v>3423</v>
      </c>
      <c r="C216" t="s">
        <v>1</v>
      </c>
      <c r="D216" s="8" t="s">
        <v>3424</v>
      </c>
      <c r="E216" t="s">
        <v>57</v>
      </c>
      <c r="F216">
        <v>1</v>
      </c>
      <c r="G216" s="3">
        <v>551</v>
      </c>
      <c r="H216" s="3">
        <v>793.44</v>
      </c>
      <c r="I216" s="3">
        <f>H216-G216</f>
      </c>
      <c r="J216" s="3">
        <f>I216*16.67%</f>
      </c>
      <c r="K216" s="3">
        <v>36.58</v>
      </c>
      <c r="L216" s="3">
        <f>K216*20%</f>
      </c>
      <c r="M216" s="3">
        <v>0</v>
      </c>
      <c r="N216" s="3">
        <f>M216*20%</f>
      </c>
      <c r="O216" s="3">
        <v>1</v>
      </c>
      <c r="P216" s="3">
        <f>N216</f>
      </c>
      <c r="Q216" s="3">
        <f>I216-J216-K216-M216-N216-O216</f>
      </c>
      <c r="R216" s="3">
        <f>(Q216-Z216)/G216*100</f>
      </c>
      <c r="S216" s="3">
        <f>J216-P216</f>
      </c>
      <c r="T216" t="s">
        <v>1</v>
      </c>
      <c r="U216" t="s">
        <v>68</v>
      </c>
      <c r="AA216" s="3">
        <f>Q216-Z216</f>
      </c>
      <c r="AB216" t="s">
        <v>59</v>
      </c>
      <c r="AC216" t="s">
        <v>74</v>
      </c>
    </row>
    <row r="217" spans="1:29" x14ac:dyDescent="0.25">
      <c r="A217" s="7">
        <v>46199.5</v>
      </c>
      <c r="B217" t="s">
        <v>3425</v>
      </c>
      <c r="C217" t="s">
        <v>176</v>
      </c>
      <c r="D217" s="8" t="s">
        <v>1</v>
      </c>
      <c r="E217" t="s">
        <v>77</v>
      </c>
      <c r="F217">
        <v>2</v>
      </c>
      <c r="G217" s="3">
        <v>0.3</v>
      </c>
      <c r="H217" s="3">
        <v>0.41</v>
      </c>
      <c r="I217" s="3">
        <f>H217-G217</f>
      </c>
      <c r="J217" s="3">
        <f>I217*16.67%</f>
      </c>
      <c r="K217" s="3">
        <v>0.02</v>
      </c>
      <c r="L217" s="3">
        <f>K217*20%</f>
      </c>
      <c r="M217" s="3">
        <v>0</v>
      </c>
      <c r="N217" s="3">
        <f>M217*20%</f>
      </c>
      <c r="O217" s="3">
        <v>1</v>
      </c>
      <c r="P217" s="3">
        <f>N217</f>
      </c>
      <c r="Q217" s="3">
        <f>I217-J217-K217-M217-N217-O217</f>
      </c>
      <c r="R217" s="3">
        <f>(Q217-Z217)/G217*100</f>
      </c>
      <c r="S217" s="3">
        <f>J217-P217</f>
      </c>
      <c r="T217" t="s">
        <v>1</v>
      </c>
      <c r="U217" t="s">
        <v>176</v>
      </c>
      <c r="AA217" s="3">
        <f>Q217-Z217</f>
      </c>
      <c r="AB217" t="s">
        <v>1</v>
      </c>
      <c r="AC217" t="s">
        <v>1</v>
      </c>
    </row>
    <row r="218" spans="1:29" x14ac:dyDescent="0.25">
      <c r="A218" s="7">
        <v>46199.5</v>
      </c>
      <c r="B218" t="s">
        <v>3426</v>
      </c>
      <c r="C218" t="s">
        <v>184</v>
      </c>
      <c r="D218" s="8" t="s">
        <v>1</v>
      </c>
      <c r="E218" t="s">
        <v>101</v>
      </c>
      <c r="F218">
        <v>1</v>
      </c>
      <c r="G218" s="3">
        <v>1.2</v>
      </c>
      <c r="H218" s="3">
        <v>1.61</v>
      </c>
      <c r="I218" s="3">
        <f>H218-G218</f>
      </c>
      <c r="J218" s="3">
        <f>I218*16.67%</f>
      </c>
      <c r="K218" s="3">
        <v>0.07</v>
      </c>
      <c r="L218" s="3">
        <f>K218*20%</f>
      </c>
      <c r="M218" s="3">
        <v>0</v>
      </c>
      <c r="N218" s="3">
        <f>M218*20%</f>
      </c>
      <c r="O218" s="3">
        <v>1</v>
      </c>
      <c r="P218" s="3">
        <f>N218</f>
      </c>
      <c r="Q218" s="3">
        <f>I218-J218-K218-M218-N218-O218</f>
      </c>
      <c r="R218" s="3">
        <f>(Q218-Z218)/G218*100</f>
      </c>
      <c r="S218" s="3">
        <f>J218-P218</f>
      </c>
      <c r="T218" t="s">
        <v>1</v>
      </c>
      <c r="U218" t="s">
        <v>184</v>
      </c>
      <c r="AA218" s="3">
        <f>Q218-Z218</f>
      </c>
      <c r="AB218" t="s">
        <v>1</v>
      </c>
      <c r="AC218" t="s">
        <v>1</v>
      </c>
    </row>
    <row r="219" spans="1:29" x14ac:dyDescent="0.25">
      <c r="A219" s="7">
        <v>46198.5</v>
      </c>
      <c r="B219" t="s">
        <v>3427</v>
      </c>
      <c r="C219" t="s">
        <v>1</v>
      </c>
      <c r="D219" s="8" t="s">
        <v>3428</v>
      </c>
      <c r="E219" t="s">
        <v>57</v>
      </c>
      <c r="F219">
        <v>1</v>
      </c>
      <c r="G219" s="3">
        <v>177</v>
      </c>
      <c r="H219" s="3">
        <v>242.49</v>
      </c>
      <c r="I219" s="3">
        <f>H219-G219</f>
      </c>
      <c r="J219" s="3">
        <f>I219*16.67%</f>
      </c>
      <c r="K219" s="3">
        <v>11.18</v>
      </c>
      <c r="L219" s="3">
        <f>K219*20%</f>
      </c>
      <c r="M219" s="3">
        <v>0</v>
      </c>
      <c r="N219" s="3">
        <f>M219*20%</f>
      </c>
      <c r="O219" s="3">
        <v>1</v>
      </c>
      <c r="P219" s="3">
        <f>N219</f>
      </c>
      <c r="Q219" s="3">
        <f>I219-J219-K219-M219-N219-O219</f>
      </c>
      <c r="R219" s="3">
        <f>(Q219-Z219)/G219*100</f>
      </c>
      <c r="S219" s="3">
        <f>J219-P219</f>
      </c>
      <c r="T219" t="s">
        <v>1</v>
      </c>
      <c r="U219" t="s">
        <v>171</v>
      </c>
      <c r="AA219" s="3">
        <f>Q219-Z219</f>
      </c>
      <c r="AB219" t="s">
        <v>65</v>
      </c>
      <c r="AC219" t="s">
        <v>104</v>
      </c>
    </row>
    <row r="220" spans="1:29" x14ac:dyDescent="0.25">
      <c r="A220" s="7">
        <v>46198.5</v>
      </c>
      <c r="B220" t="s">
        <v>3429</v>
      </c>
      <c r="C220" t="s">
        <v>1</v>
      </c>
      <c r="D220" s="8" t="s">
        <v>3430</v>
      </c>
      <c r="E220" t="s">
        <v>57</v>
      </c>
      <c r="F220">
        <v>1</v>
      </c>
      <c r="G220" s="3">
        <v>187</v>
      </c>
      <c r="H220" s="3">
        <v>248.71</v>
      </c>
      <c r="I220" s="3">
        <f>H220-G220</f>
      </c>
      <c r="J220" s="3">
        <f>I220*16.67%</f>
      </c>
      <c r="K220" s="3">
        <v>11.47</v>
      </c>
      <c r="L220" s="3">
        <f>K220*20%</f>
      </c>
      <c r="M220" s="3">
        <v>0</v>
      </c>
      <c r="N220" s="3">
        <f>M220*20%</f>
      </c>
      <c r="O220" s="3">
        <v>1</v>
      </c>
      <c r="P220" s="3">
        <f>N220</f>
      </c>
      <c r="Q220" s="3">
        <f>I220-J220-K220-M220-N220-O220</f>
      </c>
      <c r="R220" s="3">
        <f>(Q220-Z220)/G220*100</f>
      </c>
      <c r="S220" s="3">
        <f>J220-P220</f>
      </c>
      <c r="T220" t="s">
        <v>1</v>
      </c>
      <c r="U220" t="s">
        <v>291</v>
      </c>
      <c r="AA220" s="3">
        <f>Q220-Z220</f>
      </c>
      <c r="AB220" t="s">
        <v>125</v>
      </c>
      <c r="AC220" t="s">
        <v>104</v>
      </c>
    </row>
    <row r="221" spans="1:29" x14ac:dyDescent="0.25">
      <c r="A221" s="7">
        <v>46198.5</v>
      </c>
      <c r="B221" t="s">
        <v>3431</v>
      </c>
      <c r="C221" t="s">
        <v>1</v>
      </c>
      <c r="D221" s="8" t="s">
        <v>3432</v>
      </c>
      <c r="E221" t="s">
        <v>72</v>
      </c>
      <c r="F221">
        <v>1</v>
      </c>
      <c r="G221" s="3">
        <v>263</v>
      </c>
      <c r="H221" s="3">
        <v>315.6</v>
      </c>
      <c r="I221" s="3">
        <f>H221-G221</f>
      </c>
      <c r="J221" s="3">
        <f>I221*16.67%</f>
      </c>
      <c r="K221" s="3">
        <v>14.55</v>
      </c>
      <c r="L221" s="3">
        <f>K221*20%</f>
      </c>
      <c r="M221" s="3">
        <v>0</v>
      </c>
      <c r="N221" s="3">
        <f>M221*20%</f>
      </c>
      <c r="O221" s="3">
        <v>1</v>
      </c>
      <c r="P221" s="3">
        <f>N221</f>
      </c>
      <c r="Q221" s="3">
        <f>I221-J221-K221-M221-N221-O221</f>
      </c>
      <c r="R221" s="3">
        <f>(Q221-Z221)/G221*100</f>
      </c>
      <c r="S221" s="3">
        <f>J221-P221</f>
      </c>
      <c r="T221" t="s">
        <v>1</v>
      </c>
      <c r="U221" t="s">
        <v>130</v>
      </c>
      <c r="AA221" s="3">
        <f>Q221-Z221</f>
      </c>
      <c r="AB221" t="s">
        <v>65</v>
      </c>
      <c r="AC221" t="s">
        <v>84</v>
      </c>
    </row>
    <row r="222" spans="1:29" x14ac:dyDescent="0.25">
      <c r="A222" s="7">
        <v>46198.5</v>
      </c>
      <c r="B222" t="s">
        <v>3433</v>
      </c>
      <c r="C222" t="s">
        <v>1</v>
      </c>
      <c r="D222" s="8" t="s">
        <v>3434</v>
      </c>
      <c r="E222" t="s">
        <v>72</v>
      </c>
      <c r="F222">
        <v>1</v>
      </c>
      <c r="G222" s="3">
        <v>202</v>
      </c>
      <c r="H222" s="3">
        <v>276.74</v>
      </c>
      <c r="I222" s="3">
        <f>H222-G222</f>
      </c>
      <c r="J222" s="3">
        <f>I222*16.67%</f>
      </c>
      <c r="K222" s="3">
        <v>12.76</v>
      </c>
      <c r="L222" s="3">
        <f>K222*20%</f>
      </c>
      <c r="M222" s="3">
        <v>0</v>
      </c>
      <c r="N222" s="3">
        <f>M222*20%</f>
      </c>
      <c r="O222" s="3">
        <v>1</v>
      </c>
      <c r="P222" s="3">
        <f>N222</f>
      </c>
      <c r="Q222" s="3">
        <f>I222-J222-K222-M222-N222-O222</f>
      </c>
      <c r="R222" s="3">
        <f>(Q222-Z222)/G222*100</f>
      </c>
      <c r="S222" s="3">
        <f>J222-P222</f>
      </c>
      <c r="T222" t="s">
        <v>1</v>
      </c>
      <c r="U222" t="s">
        <v>291</v>
      </c>
      <c r="AA222" s="3">
        <f>Q222-Z222</f>
      </c>
      <c r="AB222" t="s">
        <v>125</v>
      </c>
      <c r="AC222" t="s">
        <v>60</v>
      </c>
    </row>
    <row r="223" spans="1:29" x14ac:dyDescent="0.25">
      <c r="A223" s="7">
        <v>46198.5</v>
      </c>
      <c r="B223" t="s">
        <v>3435</v>
      </c>
      <c r="C223" t="s">
        <v>1</v>
      </c>
      <c r="D223" s="8" t="s">
        <v>3436</v>
      </c>
      <c r="E223" t="s">
        <v>101</v>
      </c>
      <c r="F223">
        <v>1</v>
      </c>
      <c r="G223" s="3">
        <v>180</v>
      </c>
      <c r="H223" s="3">
        <v>239.4</v>
      </c>
      <c r="I223" s="3">
        <f>H223-G223</f>
      </c>
      <c r="J223" s="3">
        <f>I223*16.67%</f>
      </c>
      <c r="K223" s="3">
        <v>11.04</v>
      </c>
      <c r="L223" s="3">
        <f>K223*20%</f>
      </c>
      <c r="M223" s="3">
        <v>0</v>
      </c>
      <c r="N223" s="3">
        <f>M223*20%</f>
      </c>
      <c r="O223" s="3">
        <v>1</v>
      </c>
      <c r="P223" s="3">
        <f>N223</f>
      </c>
      <c r="Q223" s="3">
        <f>I223-J223-K223-M223-N223-O223</f>
      </c>
      <c r="R223" s="3">
        <f>(Q223-Z223)/G223*100</f>
      </c>
      <c r="S223" s="3">
        <f>J223-P223</f>
      </c>
      <c r="T223" t="s">
        <v>1</v>
      </c>
      <c r="U223" t="s">
        <v>113</v>
      </c>
      <c r="AA223" s="3">
        <f>Q223-Z223</f>
      </c>
      <c r="AB223" t="s">
        <v>94</v>
      </c>
      <c r="AC223" t="s">
        <v>98</v>
      </c>
    </row>
    <row r="224" spans="1:29" x14ac:dyDescent="0.25">
      <c r="A224" s="7">
        <v>46197.5</v>
      </c>
      <c r="B224" t="s">
        <v>3437</v>
      </c>
      <c r="C224" t="s">
        <v>1</v>
      </c>
      <c r="D224" s="8" t="s">
        <v>3438</v>
      </c>
      <c r="E224" t="s">
        <v>101</v>
      </c>
      <c r="F224">
        <v>1</v>
      </c>
      <c r="G224" s="3">
        <v>280</v>
      </c>
      <c r="H224" s="3">
        <v>380.8</v>
      </c>
      <c r="I224" s="3">
        <f>H224-G224</f>
      </c>
      <c r="J224" s="3">
        <f>I224*16.67%</f>
      </c>
      <c r="K224" s="3">
        <v>17.55</v>
      </c>
      <c r="L224" s="3">
        <f>K224*20%</f>
      </c>
      <c r="M224" s="3">
        <v>0</v>
      </c>
      <c r="N224" s="3">
        <f>M224*20%</f>
      </c>
      <c r="O224" s="3">
        <v>1</v>
      </c>
      <c r="P224" s="3">
        <f>N224</f>
      </c>
      <c r="Q224" s="3">
        <f>I224-J224-K224-M224-N224-O224</f>
      </c>
      <c r="R224" s="3">
        <f>(Q224-Z224)/G224*100</f>
      </c>
      <c r="S224" s="3">
        <f>J224-P224</f>
      </c>
      <c r="T224" t="s">
        <v>1</v>
      </c>
      <c r="U224" t="s">
        <v>97</v>
      </c>
      <c r="AA224" s="3">
        <f>Q224-Z224</f>
      </c>
      <c r="AB224" t="s">
        <v>59</v>
      </c>
      <c r="AC224" t="s">
        <v>74</v>
      </c>
    </row>
    <row r="225" spans="1:29" x14ac:dyDescent="0.25">
      <c r="A225" s="7">
        <v>46197.5</v>
      </c>
      <c r="B225" t="s">
        <v>3439</v>
      </c>
      <c r="C225" t="s">
        <v>1</v>
      </c>
      <c r="D225" s="8" t="s">
        <v>3440</v>
      </c>
      <c r="E225" t="s">
        <v>72</v>
      </c>
      <c r="F225">
        <v>1</v>
      </c>
      <c r="G225" s="3">
        <v>335</v>
      </c>
      <c r="H225" s="3">
        <v>475.7</v>
      </c>
      <c r="I225" s="3">
        <f>H225-G225</f>
      </c>
      <c r="J225" s="3">
        <f>I225*16.67%</f>
      </c>
      <c r="K225" s="3">
        <v>21.93</v>
      </c>
      <c r="L225" s="3">
        <f>K225*20%</f>
      </c>
      <c r="M225" s="3">
        <v>0</v>
      </c>
      <c r="N225" s="3">
        <f>M225*20%</f>
      </c>
      <c r="O225" s="3">
        <v>1</v>
      </c>
      <c r="P225" s="3">
        <f>N225</f>
      </c>
      <c r="Q225" s="3">
        <f>I225-J225-K225-M225-N225-O225</f>
      </c>
      <c r="R225" s="3">
        <f>(Q225-Z225)/G225*100</f>
      </c>
      <c r="S225" s="3">
        <f>J225-P225</f>
      </c>
      <c r="T225" t="s">
        <v>1</v>
      </c>
      <c r="U225" t="s">
        <v>130</v>
      </c>
      <c r="AA225" s="3">
        <f>Q225-Z225</f>
      </c>
      <c r="AB225" t="s">
        <v>59</v>
      </c>
      <c r="AC225" t="s">
        <v>69</v>
      </c>
    </row>
    <row r="226" spans="1:29" x14ac:dyDescent="0.25">
      <c r="A226" s="7">
        <v>46197.5</v>
      </c>
      <c r="B226" t="s">
        <v>3441</v>
      </c>
      <c r="C226" t="s">
        <v>1</v>
      </c>
      <c r="D226" s="8" t="s">
        <v>3442</v>
      </c>
      <c r="E226" t="s">
        <v>57</v>
      </c>
      <c r="F226">
        <v>1</v>
      </c>
      <c r="G226" s="3">
        <v>134</v>
      </c>
      <c r="H226" s="3">
        <v>186.26</v>
      </c>
      <c r="I226" s="3">
        <f>H226-G226</f>
      </c>
      <c r="J226" s="3">
        <f>I226*16.67%</f>
      </c>
      <c r="K226" s="3">
        <v>8.59</v>
      </c>
      <c r="L226" s="3">
        <f>K226*20%</f>
      </c>
      <c r="M226" s="3">
        <v>0</v>
      </c>
      <c r="N226" s="3">
        <f>M226*20%</f>
      </c>
      <c r="O226" s="3">
        <v>1</v>
      </c>
      <c r="P226" s="3">
        <f>N226</f>
      </c>
      <c r="Q226" s="3">
        <f>I226-J226-K226-M226-N226-O226</f>
      </c>
      <c r="R226" s="3">
        <f>(Q226-Z226)/G226*100</f>
      </c>
      <c r="S226" s="3">
        <f>J226-P226</f>
      </c>
      <c r="T226" t="s">
        <v>1</v>
      </c>
      <c r="U226" t="s">
        <v>133</v>
      </c>
      <c r="AA226" s="3">
        <f>Q226-Z226</f>
      </c>
      <c r="AB226" t="s">
        <v>65</v>
      </c>
      <c r="AC226" t="s">
        <v>60</v>
      </c>
    </row>
    <row r="227" spans="1:29" x14ac:dyDescent="0.25">
      <c r="A227" s="7">
        <v>46197.5</v>
      </c>
      <c r="B227" t="s">
        <v>3443</v>
      </c>
      <c r="C227" t="s">
        <v>1</v>
      </c>
      <c r="D227" s="8" t="s">
        <v>3444</v>
      </c>
      <c r="E227" t="s">
        <v>101</v>
      </c>
      <c r="F227">
        <v>1</v>
      </c>
      <c r="G227" s="3">
        <v>345</v>
      </c>
      <c r="H227" s="3">
        <v>414</v>
      </c>
      <c r="I227" s="3">
        <f>H227-G227</f>
      </c>
      <c r="J227" s="3">
        <f>I227*16.67%</f>
      </c>
      <c r="K227" s="3">
        <v>19.09</v>
      </c>
      <c r="L227" s="3">
        <f>K227*20%</f>
      </c>
      <c r="M227" s="3">
        <v>0</v>
      </c>
      <c r="N227" s="3">
        <f>M227*20%</f>
      </c>
      <c r="O227" s="3">
        <v>1</v>
      </c>
      <c r="P227" s="3">
        <f>N227</f>
      </c>
      <c r="Q227" s="3">
        <f>I227-J227-K227-M227-N227-O227</f>
      </c>
      <c r="R227" s="3">
        <f>(Q227-Z227)/G227*100</f>
      </c>
      <c r="S227" s="3">
        <f>J227-P227</f>
      </c>
      <c r="T227" t="s">
        <v>1</v>
      </c>
      <c r="U227" t="s">
        <v>138</v>
      </c>
      <c r="AA227" s="3">
        <f>Q227-Z227</f>
      </c>
      <c r="AB227" t="s">
        <v>59</v>
      </c>
      <c r="AC227" t="s">
        <v>60</v>
      </c>
    </row>
    <row r="228" spans="1:29" x14ac:dyDescent="0.25">
      <c r="A228" s="7">
        <v>46196.5</v>
      </c>
      <c r="B228" t="s">
        <v>3445</v>
      </c>
      <c r="C228" t="s">
        <v>1</v>
      </c>
      <c r="D228" s="8" t="s">
        <v>3446</v>
      </c>
      <c r="E228" t="s">
        <v>77</v>
      </c>
      <c r="F228">
        <v>1</v>
      </c>
      <c r="G228" s="3">
        <v>315</v>
      </c>
      <c r="H228" s="3">
        <v>412.65</v>
      </c>
      <c r="I228" s="3">
        <f>H228-G228</f>
      </c>
      <c r="J228" s="3">
        <f>I228*16.67%</f>
      </c>
      <c r="K228" s="3">
        <v>19.02</v>
      </c>
      <c r="L228" s="3">
        <f>K228*20%</f>
      </c>
      <c r="M228" s="3">
        <v>0</v>
      </c>
      <c r="N228" s="3">
        <f>M228*20%</f>
      </c>
      <c r="O228" s="3">
        <v>1</v>
      </c>
      <c r="P228" s="3">
        <f>N228</f>
      </c>
      <c r="Q228" s="3">
        <f>I228-J228-K228-M228-N228-O228</f>
      </c>
      <c r="R228" s="3">
        <f>(Q228-Z228)/G228*100</f>
      </c>
      <c r="S228" s="3">
        <f>J228-P228</f>
      </c>
      <c r="T228" t="s">
        <v>1</v>
      </c>
      <c r="U228" t="s">
        <v>97</v>
      </c>
      <c r="AA228" s="3">
        <f>Q228-Z228</f>
      </c>
      <c r="AB228" t="s">
        <v>59</v>
      </c>
      <c r="AC228" t="s">
        <v>60</v>
      </c>
    </row>
    <row r="229" spans="1:29" x14ac:dyDescent="0.25">
      <c r="A229" s="7">
        <v>46196.5</v>
      </c>
      <c r="B229" t="s">
        <v>3447</v>
      </c>
      <c r="C229" t="s">
        <v>1</v>
      </c>
      <c r="D229" s="8" t="s">
        <v>3448</v>
      </c>
      <c r="E229" t="s">
        <v>72</v>
      </c>
      <c r="F229">
        <v>1</v>
      </c>
      <c r="G229" s="3">
        <v>118</v>
      </c>
      <c r="H229" s="3">
        <v>156.94</v>
      </c>
      <c r="I229" s="3">
        <f>H229-G229</f>
      </c>
      <c r="J229" s="3">
        <f>I229*16.67%</f>
      </c>
      <c r="K229" s="3">
        <v>7.23</v>
      </c>
      <c r="L229" s="3">
        <f>K229*20%</f>
      </c>
      <c r="M229" s="3">
        <v>0</v>
      </c>
      <c r="N229" s="3">
        <f>M229*20%</f>
      </c>
      <c r="O229" s="3">
        <v>1</v>
      </c>
      <c r="P229" s="3">
        <f>N229</f>
      </c>
      <c r="Q229" s="3">
        <f>I229-J229-K229-M229-N229-O229</f>
      </c>
      <c r="R229" s="3">
        <f>(Q229-Z229)/G229*100</f>
      </c>
      <c r="S229" s="3">
        <f>J229-P229</f>
      </c>
      <c r="T229" t="s">
        <v>1</v>
      </c>
      <c r="U229" t="s">
        <v>90</v>
      </c>
      <c r="AA229" s="3">
        <f>Q229-Z229</f>
      </c>
      <c r="AB229" t="s">
        <v>65</v>
      </c>
      <c r="AC229" t="s">
        <v>98</v>
      </c>
    </row>
    <row r="230" spans="1:29" x14ac:dyDescent="0.25">
      <c r="A230" s="7">
        <v>46196.5</v>
      </c>
      <c r="B230" t="s">
        <v>3449</v>
      </c>
      <c r="C230" t="s">
        <v>1</v>
      </c>
      <c r="D230" s="8" t="s">
        <v>3450</v>
      </c>
      <c r="E230" t="s">
        <v>63</v>
      </c>
      <c r="F230">
        <v>1</v>
      </c>
      <c r="G230" s="3">
        <v>618</v>
      </c>
      <c r="H230" s="3">
        <v>865.2</v>
      </c>
      <c r="I230" s="3">
        <f>H230-G230</f>
      </c>
      <c r="J230" s="3">
        <f>I230*16.67%</f>
      </c>
      <c r="K230" s="3">
        <v>39.89</v>
      </c>
      <c r="L230" s="3">
        <f>K230*20%</f>
      </c>
      <c r="M230" s="3">
        <v>0</v>
      </c>
      <c r="N230" s="3">
        <f>M230*20%</f>
      </c>
      <c r="O230" s="3">
        <v>1</v>
      </c>
      <c r="P230" s="3">
        <f>N230</f>
      </c>
      <c r="Q230" s="3">
        <f>I230-J230-K230-M230-N230-O230</f>
      </c>
      <c r="R230" s="3">
        <f>(Q230-Z230)/G230*100</f>
      </c>
      <c r="S230" s="3">
        <f>J230-P230</f>
      </c>
      <c r="T230" t="s">
        <v>1</v>
      </c>
      <c r="U230" t="s">
        <v>80</v>
      </c>
      <c r="AA230" s="3">
        <f>Q230-Z230</f>
      </c>
      <c r="AB230" t="s">
        <v>65</v>
      </c>
      <c r="AC230" t="s">
        <v>104</v>
      </c>
    </row>
    <row r="231" spans="1:29" x14ac:dyDescent="0.25">
      <c r="A231" s="7">
        <v>46196.5</v>
      </c>
      <c r="B231" t="s">
        <v>3451</v>
      </c>
      <c r="C231" t="s">
        <v>1</v>
      </c>
      <c r="D231" s="8" t="s">
        <v>3452</v>
      </c>
      <c r="E231" t="s">
        <v>72</v>
      </c>
      <c r="F231">
        <v>1</v>
      </c>
      <c r="G231" s="3">
        <v>423</v>
      </c>
      <c r="H231" s="3">
        <v>558.36</v>
      </c>
      <c r="I231" s="3">
        <f>H231-G231</f>
      </c>
      <c r="J231" s="3">
        <f>I231*16.67%</f>
      </c>
      <c r="K231" s="3">
        <v>25.74</v>
      </c>
      <c r="L231" s="3">
        <f>K231*20%</f>
      </c>
      <c r="M231" s="3">
        <v>0</v>
      </c>
      <c r="N231" s="3">
        <f>M231*20%</f>
      </c>
      <c r="O231" s="3">
        <v>1</v>
      </c>
      <c r="P231" s="3">
        <f>N231</f>
      </c>
      <c r="Q231" s="3">
        <f>I231-J231-K231-M231-N231-O231</f>
      </c>
      <c r="R231" s="3">
        <f>(Q231-Z231)/G231*100</f>
      </c>
      <c r="S231" s="3">
        <f>J231-P231</f>
      </c>
      <c r="T231" t="s">
        <v>1</v>
      </c>
      <c r="U231" t="s">
        <v>58</v>
      </c>
      <c r="AA231" s="3">
        <f>Q231-Z231</f>
      </c>
      <c r="AB231" t="s">
        <v>59</v>
      </c>
      <c r="AC231" t="s">
        <v>60</v>
      </c>
    </row>
    <row r="232" spans="1:29" x14ac:dyDescent="0.25">
      <c r="A232" s="7">
        <v>46196.5</v>
      </c>
      <c r="B232" t="s">
        <v>3453</v>
      </c>
      <c r="C232" t="s">
        <v>1</v>
      </c>
      <c r="D232" s="8" t="s">
        <v>3454</v>
      </c>
      <c r="E232" t="s">
        <v>72</v>
      </c>
      <c r="F232">
        <v>1</v>
      </c>
      <c r="G232" s="3">
        <v>308</v>
      </c>
      <c r="H232" s="3">
        <v>428.12</v>
      </c>
      <c r="I232" s="3">
        <f>H232-G232</f>
      </c>
      <c r="J232" s="3">
        <f>I232*16.67%</f>
      </c>
      <c r="K232" s="3">
        <v>19.74</v>
      </c>
      <c r="L232" s="3">
        <f>K232*20%</f>
      </c>
      <c r="M232" s="3">
        <v>0</v>
      </c>
      <c r="N232" s="3">
        <f>M232*20%</f>
      </c>
      <c r="O232" s="3">
        <v>1</v>
      </c>
      <c r="P232" s="3">
        <f>N232</f>
      </c>
      <c r="Q232" s="3">
        <f>I232-J232-K232-M232-N232-O232</f>
      </c>
      <c r="R232" s="3">
        <f>(Q232-Z232)/G232*100</f>
      </c>
      <c r="S232" s="3">
        <f>J232-P232</f>
      </c>
      <c r="T232" t="s">
        <v>1</v>
      </c>
      <c r="U232" t="s">
        <v>97</v>
      </c>
      <c r="AA232" s="3">
        <f>Q232-Z232</f>
      </c>
      <c r="AB232" t="s">
        <v>59</v>
      </c>
      <c r="AC232" t="s">
        <v>74</v>
      </c>
    </row>
    <row r="233" spans="1:29" x14ac:dyDescent="0.25">
      <c r="A233" s="7">
        <v>46196.5</v>
      </c>
      <c r="B233" t="s">
        <v>3455</v>
      </c>
      <c r="C233" t="s">
        <v>1</v>
      </c>
      <c r="D233" s="8" t="s">
        <v>3456</v>
      </c>
      <c r="E233" t="s">
        <v>77</v>
      </c>
      <c r="F233">
        <v>1</v>
      </c>
      <c r="G233" s="3">
        <v>762</v>
      </c>
      <c r="H233" s="3">
        <v>982.98</v>
      </c>
      <c r="I233" s="3">
        <f>H233-G233</f>
      </c>
      <c r="J233" s="3">
        <f>I233*16.67%</f>
      </c>
      <c r="K233" s="3">
        <v>45.32</v>
      </c>
      <c r="L233" s="3">
        <f>K233*20%</f>
      </c>
      <c r="M233" s="3">
        <v>0</v>
      </c>
      <c r="N233" s="3">
        <f>M233*20%</f>
      </c>
      <c r="O233" s="3">
        <v>1</v>
      </c>
      <c r="P233" s="3">
        <f>N233</f>
      </c>
      <c r="Q233" s="3">
        <f>I233-J233-K233-M233-N233-O233</f>
      </c>
      <c r="R233" s="3">
        <f>(Q233-Z233)/G233*100</f>
      </c>
      <c r="S233" s="3">
        <f>J233-P233</f>
      </c>
      <c r="T233" t="s">
        <v>1</v>
      </c>
      <c r="U233" t="s">
        <v>83</v>
      </c>
      <c r="AA233" s="3">
        <f>Q233-Z233</f>
      </c>
      <c r="AB233" t="s">
        <v>59</v>
      </c>
      <c r="AC233" t="s">
        <v>84</v>
      </c>
    </row>
    <row r="234" spans="1:29" x14ac:dyDescent="0.25">
      <c r="A234" s="7">
        <v>46196.5</v>
      </c>
      <c r="B234" t="s">
        <v>3457</v>
      </c>
      <c r="C234" t="s">
        <v>1</v>
      </c>
      <c r="D234" s="8" t="s">
        <v>3458</v>
      </c>
      <c r="E234" t="s">
        <v>101</v>
      </c>
      <c r="F234">
        <v>1</v>
      </c>
      <c r="G234" s="3">
        <v>561</v>
      </c>
      <c r="H234" s="3">
        <v>802.23</v>
      </c>
      <c r="I234" s="3">
        <f>H234-G234</f>
      </c>
      <c r="J234" s="3">
        <f>I234*16.67%</f>
      </c>
      <c r="K234" s="3">
        <v>36.98</v>
      </c>
      <c r="L234" s="3">
        <f>K234*20%</f>
      </c>
      <c r="M234" s="3">
        <v>0</v>
      </c>
      <c r="N234" s="3">
        <f>M234*20%</f>
      </c>
      <c r="O234" s="3">
        <v>1</v>
      </c>
      <c r="P234" s="3">
        <f>N234</f>
      </c>
      <c r="Q234" s="3">
        <f>I234-J234-K234-M234-N234-O234</f>
      </c>
      <c r="R234" s="3">
        <f>(Q234-Z234)/G234*100</f>
      </c>
      <c r="S234" s="3">
        <f>J234-P234</f>
      </c>
      <c r="T234" t="s">
        <v>1</v>
      </c>
      <c r="U234" t="s">
        <v>80</v>
      </c>
      <c r="AA234" s="3">
        <f>Q234-Z234</f>
      </c>
      <c r="AB234" t="s">
        <v>65</v>
      </c>
      <c r="AC234" t="s">
        <v>104</v>
      </c>
    </row>
    <row r="235" spans="1:29" x14ac:dyDescent="0.25">
      <c r="A235" s="7">
        <v>46196.5</v>
      </c>
      <c r="B235" t="s">
        <v>3459</v>
      </c>
      <c r="C235" t="s">
        <v>1</v>
      </c>
      <c r="D235" s="8" t="s">
        <v>3460</v>
      </c>
      <c r="E235" t="s">
        <v>63</v>
      </c>
      <c r="F235">
        <v>1</v>
      </c>
      <c r="G235" s="3">
        <v>359</v>
      </c>
      <c r="H235" s="3">
        <v>488.24</v>
      </c>
      <c r="I235" s="3">
        <f>H235-G235</f>
      </c>
      <c r="J235" s="3">
        <f>I235*16.67%</f>
      </c>
      <c r="K235" s="3">
        <v>22.51</v>
      </c>
      <c r="L235" s="3">
        <f>K235*20%</f>
      </c>
      <c r="M235" s="3">
        <v>0</v>
      </c>
      <c r="N235" s="3">
        <f>M235*20%</f>
      </c>
      <c r="O235" s="3">
        <v>1</v>
      </c>
      <c r="P235" s="3">
        <f>N235</f>
      </c>
      <c r="Q235" s="3">
        <f>I235-J235-K235-M235-N235-O235</f>
      </c>
      <c r="R235" s="3">
        <f>(Q235-Z235)/G235*100</f>
      </c>
      <c r="S235" s="3">
        <f>J235-P235</f>
      </c>
      <c r="T235" t="s">
        <v>1</v>
      </c>
      <c r="U235" t="s">
        <v>73</v>
      </c>
      <c r="AA235" s="3">
        <f>Q235-Z235</f>
      </c>
      <c r="AB235" t="s">
        <v>59</v>
      </c>
      <c r="AC235" t="s">
        <v>60</v>
      </c>
    </row>
    <row r="236" spans="1:29" x14ac:dyDescent="0.25">
      <c r="A236" s="7">
        <v>46195.5</v>
      </c>
      <c r="B236" t="s">
        <v>3461</v>
      </c>
      <c r="C236" t="s">
        <v>1</v>
      </c>
      <c r="D236" s="8" t="s">
        <v>3462</v>
      </c>
      <c r="E236" t="s">
        <v>63</v>
      </c>
      <c r="F236">
        <v>1</v>
      </c>
      <c r="G236" s="3">
        <v>158</v>
      </c>
      <c r="H236" s="3">
        <v>192.76</v>
      </c>
      <c r="I236" s="3">
        <f>H236-G236</f>
      </c>
      <c r="J236" s="3">
        <f>I236*16.67%</f>
      </c>
      <c r="K236" s="3">
        <v>8.89</v>
      </c>
      <c r="L236" s="3">
        <f>K236*20%</f>
      </c>
      <c r="M236" s="3">
        <v>0</v>
      </c>
      <c r="N236" s="3">
        <f>M236*20%</f>
      </c>
      <c r="O236" s="3">
        <v>1</v>
      </c>
      <c r="P236" s="3">
        <f>N236</f>
      </c>
      <c r="Q236" s="3">
        <f>I236-J236-K236-M236-N236-O236</f>
      </c>
      <c r="R236" s="3">
        <f>(Q236-Z236)/G236*100</f>
      </c>
      <c r="S236" s="3">
        <f>J236-P236</f>
      </c>
      <c r="T236" t="s">
        <v>1</v>
      </c>
      <c r="U236" t="s">
        <v>233</v>
      </c>
      <c r="AA236" s="3">
        <f>Q236-Z236</f>
      </c>
      <c r="AB236" t="s">
        <v>65</v>
      </c>
      <c r="AC236" t="s">
        <v>87</v>
      </c>
    </row>
    <row r="237" spans="1:29" x14ac:dyDescent="0.25">
      <c r="A237" s="7">
        <v>46195.5</v>
      </c>
      <c r="B237" t="s">
        <v>3463</v>
      </c>
      <c r="C237" t="s">
        <v>1</v>
      </c>
      <c r="D237" s="8" t="s">
        <v>3464</v>
      </c>
      <c r="E237" t="s">
        <v>57</v>
      </c>
      <c r="F237">
        <v>1</v>
      </c>
      <c r="G237" s="3">
        <v>220</v>
      </c>
      <c r="H237" s="3">
        <v>312.4</v>
      </c>
      <c r="I237" s="3">
        <f>H237-G237</f>
      </c>
      <c r="J237" s="3">
        <f>I237*16.67%</f>
      </c>
      <c r="K237" s="3">
        <v>14.4</v>
      </c>
      <c r="L237" s="3">
        <f>K237*20%</f>
      </c>
      <c r="M237" s="3">
        <v>0</v>
      </c>
      <c r="N237" s="3">
        <f>M237*20%</f>
      </c>
      <c r="O237" s="3">
        <v>1</v>
      </c>
      <c r="P237" s="3">
        <f>N237</f>
      </c>
      <c r="Q237" s="3">
        <f>I237-J237-K237-M237-N237-O237</f>
      </c>
      <c r="R237" s="3">
        <f>(Q237-Z237)/G237*100</f>
      </c>
      <c r="S237" s="3">
        <f>J237-P237</f>
      </c>
      <c r="T237" t="s">
        <v>1</v>
      </c>
      <c r="U237" t="s">
        <v>64</v>
      </c>
      <c r="AA237" s="3">
        <f>Q237-Z237</f>
      </c>
      <c r="AB237" t="s">
        <v>65</v>
      </c>
      <c r="AC237" t="s">
        <v>60</v>
      </c>
    </row>
    <row r="238" spans="1:29" x14ac:dyDescent="0.25">
      <c r="A238" s="7">
        <v>46195.5</v>
      </c>
      <c r="B238" t="s">
        <v>3465</v>
      </c>
      <c r="C238" t="s">
        <v>1</v>
      </c>
      <c r="D238" s="8" t="s">
        <v>3466</v>
      </c>
      <c r="E238" t="s">
        <v>63</v>
      </c>
      <c r="F238">
        <v>1</v>
      </c>
      <c r="G238" s="3">
        <v>80</v>
      </c>
      <c r="H238" s="3">
        <v>108.8</v>
      </c>
      <c r="I238" s="3">
        <f>H238-G238</f>
      </c>
      <c r="J238" s="3">
        <f>I238*16.67%</f>
      </c>
      <c r="K238" s="3">
        <v>5.02</v>
      </c>
      <c r="L238" s="3">
        <f>K238*20%</f>
      </c>
      <c r="M238" s="3">
        <v>0</v>
      </c>
      <c r="N238" s="3">
        <f>M238*20%</f>
      </c>
      <c r="O238" s="3">
        <v>1</v>
      </c>
      <c r="P238" s="3">
        <f>N238</f>
      </c>
      <c r="Q238" s="3">
        <f>I238-J238-K238-M238-N238-O238</f>
      </c>
      <c r="R238" s="3">
        <f>(Q238-Z238)/G238*100</f>
      </c>
      <c r="S238" s="3">
        <f>J238-P238</f>
      </c>
      <c r="T238" t="s">
        <v>1</v>
      </c>
      <c r="U238" t="s">
        <v>93</v>
      </c>
      <c r="AA238" s="3">
        <f>Q238-Z238</f>
      </c>
      <c r="AB238" t="s">
        <v>94</v>
      </c>
      <c r="AC238" t="s">
        <v>104</v>
      </c>
    </row>
    <row r="239" spans="1:29" x14ac:dyDescent="0.25">
      <c r="A239" s="7">
        <v>46194.5</v>
      </c>
      <c r="B239" t="s">
        <v>3467</v>
      </c>
      <c r="C239" t="s">
        <v>1</v>
      </c>
      <c r="D239" s="8" t="s">
        <v>1</v>
      </c>
      <c r="E239" t="s">
        <v>101</v>
      </c>
      <c r="F239">
        <v>1</v>
      </c>
      <c r="G239" s="3">
        <v>486</v>
      </c>
      <c r="H239" s="3">
        <v>665.82</v>
      </c>
      <c r="I239" s="3">
        <f>H239-G239</f>
      </c>
      <c r="J239" s="3">
        <f>I239*16.67%</f>
      </c>
      <c r="K239" s="3">
        <v>30.69</v>
      </c>
      <c r="L239" s="3">
        <f>K239*20%</f>
      </c>
      <c r="M239" s="3">
        <v>0</v>
      </c>
      <c r="N239" s="3">
        <f>M239*20%</f>
      </c>
      <c r="O239" s="3">
        <v>1</v>
      </c>
      <c r="P239" s="3">
        <f>N239</f>
      </c>
      <c r="Q239" s="3">
        <f>I239-J239-K239-M239-N239-O239</f>
      </c>
      <c r="R239" s="3">
        <f>(Q239-Z239)/G239*100</f>
      </c>
      <c r="S239" s="3">
        <f>J239-P239</f>
      </c>
      <c r="T239" t="s">
        <v>1</v>
      </c>
      <c r="U239" t="s">
        <v>1</v>
      </c>
      <c r="AA239" s="3">
        <f>Q239-Z239</f>
      </c>
      <c r="AB239" t="s">
        <v>1</v>
      </c>
      <c r="AC239" t="s">
        <v>1</v>
      </c>
    </row>
    <row r="240" spans="1:29" x14ac:dyDescent="0.25">
      <c r="A240" s="7">
        <v>46193.5</v>
      </c>
      <c r="B240" t="s">
        <v>3468</v>
      </c>
      <c r="C240" t="s">
        <v>1</v>
      </c>
      <c r="D240" s="8" t="s">
        <v>3469</v>
      </c>
      <c r="E240" t="s">
        <v>57</v>
      </c>
      <c r="F240">
        <v>1</v>
      </c>
      <c r="G240" s="3">
        <v>583</v>
      </c>
      <c r="H240" s="3">
        <v>757.9</v>
      </c>
      <c r="I240" s="3">
        <f>H240-G240</f>
      </c>
      <c r="J240" s="3">
        <f>I240*16.67%</f>
      </c>
      <c r="K240" s="3">
        <v>34.94</v>
      </c>
      <c r="L240" s="3">
        <f>K240*20%</f>
      </c>
      <c r="M240" s="3">
        <v>0</v>
      </c>
      <c r="N240" s="3">
        <f>M240*20%</f>
      </c>
      <c r="O240" s="3">
        <v>1</v>
      </c>
      <c r="P240" s="3">
        <f>N240</f>
      </c>
      <c r="Q240" s="3">
        <f>I240-J240-K240-M240-N240-O240</f>
      </c>
      <c r="R240" s="3">
        <f>(Q240-Z240)/G240*100</f>
      </c>
      <c r="S240" s="3">
        <f>J240-P240</f>
      </c>
      <c r="T240" t="s">
        <v>1</v>
      </c>
      <c r="U240" t="s">
        <v>80</v>
      </c>
      <c r="AA240" s="3">
        <f>Q240-Z240</f>
      </c>
      <c r="AB240" t="s">
        <v>65</v>
      </c>
      <c r="AC240" t="s">
        <v>84</v>
      </c>
    </row>
    <row r="241" spans="1:29" x14ac:dyDescent="0.25">
      <c r="A241" s="7">
        <v>46193.5</v>
      </c>
      <c r="B241" t="s">
        <v>3470</v>
      </c>
      <c r="C241" t="s">
        <v>1</v>
      </c>
      <c r="D241" s="8" t="s">
        <v>3471</v>
      </c>
      <c r="E241" t="s">
        <v>72</v>
      </c>
      <c r="F241">
        <v>1</v>
      </c>
      <c r="G241" s="3">
        <v>246</v>
      </c>
      <c r="H241" s="3">
        <v>332.1</v>
      </c>
      <c r="I241" s="3">
        <f>H241-G241</f>
      </c>
      <c r="J241" s="3">
        <f>I241*16.67%</f>
      </c>
      <c r="K241" s="3">
        <v>15.31</v>
      </c>
      <c r="L241" s="3">
        <f>K241*20%</f>
      </c>
      <c r="M241" s="3">
        <v>0</v>
      </c>
      <c r="N241" s="3">
        <f>M241*20%</f>
      </c>
      <c r="O241" s="3">
        <v>1</v>
      </c>
      <c r="P241" s="3">
        <f>N241</f>
      </c>
      <c r="Q241" s="3">
        <f>I241-J241-K241-M241-N241-O241</f>
      </c>
      <c r="R241" s="3">
        <f>(Q241-Z241)/G241*100</f>
      </c>
      <c r="S241" s="3">
        <f>J241-P241</f>
      </c>
      <c r="T241" t="s">
        <v>1</v>
      </c>
      <c r="U241" t="s">
        <v>124</v>
      </c>
      <c r="AA241" s="3">
        <f>Q241-Z241</f>
      </c>
      <c r="AB241" t="s">
        <v>125</v>
      </c>
      <c r="AC241" t="s">
        <v>74</v>
      </c>
    </row>
    <row r="242" spans="1:29" x14ac:dyDescent="0.25">
      <c r="A242" s="7">
        <v>46193.5</v>
      </c>
      <c r="B242" t="s">
        <v>3472</v>
      </c>
      <c r="C242" t="s">
        <v>1</v>
      </c>
      <c r="D242" s="8" t="s">
        <v>3473</v>
      </c>
      <c r="E242" t="s">
        <v>57</v>
      </c>
      <c r="F242">
        <v>1</v>
      </c>
      <c r="G242" s="3">
        <v>246</v>
      </c>
      <c r="H242" s="3">
        <v>346.86</v>
      </c>
      <c r="I242" s="3">
        <f>H242-G242</f>
      </c>
      <c r="J242" s="3">
        <f>I242*16.67%</f>
      </c>
      <c r="K242" s="3">
        <v>15.99</v>
      </c>
      <c r="L242" s="3">
        <f>K242*20%</f>
      </c>
      <c r="M242" s="3">
        <v>0</v>
      </c>
      <c r="N242" s="3">
        <f>M242*20%</f>
      </c>
      <c r="O242" s="3">
        <v>1</v>
      </c>
      <c r="P242" s="3">
        <f>N242</f>
      </c>
      <c r="Q242" s="3">
        <f>I242-J242-K242-M242-N242-O242</f>
      </c>
      <c r="R242" s="3">
        <f>(Q242-Z242)/G242*100</f>
      </c>
      <c r="S242" s="3">
        <f>J242-P242</f>
      </c>
      <c r="T242" t="s">
        <v>1</v>
      </c>
      <c r="U242" t="s">
        <v>113</v>
      </c>
      <c r="AA242" s="3">
        <f>Q242-Z242</f>
      </c>
      <c r="AB242" t="s">
        <v>59</v>
      </c>
      <c r="AC242" t="s">
        <v>98</v>
      </c>
    </row>
    <row r="243" spans="1:29" x14ac:dyDescent="0.25">
      <c r="A243" s="7">
        <v>46193.5</v>
      </c>
      <c r="B243" t="s">
        <v>3474</v>
      </c>
      <c r="C243" t="s">
        <v>1</v>
      </c>
      <c r="D243" s="8" t="s">
        <v>3475</v>
      </c>
      <c r="E243" t="s">
        <v>57</v>
      </c>
      <c r="F243">
        <v>1</v>
      </c>
      <c r="G243" s="3">
        <v>111</v>
      </c>
      <c r="H243" s="3">
        <v>156.51</v>
      </c>
      <c r="I243" s="3">
        <f>H243-G243</f>
      </c>
      <c r="J243" s="3">
        <f>I243*16.67%</f>
      </c>
      <c r="K243" s="3">
        <v>7.22</v>
      </c>
      <c r="L243" s="3">
        <f>K243*20%</f>
      </c>
      <c r="M243" s="3">
        <v>0</v>
      </c>
      <c r="N243" s="3">
        <f>M243*20%</f>
      </c>
      <c r="O243" s="3">
        <v>1</v>
      </c>
      <c r="P243" s="3">
        <f>N243</f>
      </c>
      <c r="Q243" s="3">
        <f>I243-J243-K243-M243-N243-O243</f>
      </c>
      <c r="R243" s="3">
        <f>(Q243-Z243)/G243*100</f>
      </c>
      <c r="S243" s="3">
        <f>J243-P243</f>
      </c>
      <c r="T243" t="s">
        <v>1</v>
      </c>
      <c r="U243" t="s">
        <v>90</v>
      </c>
      <c r="AA243" s="3">
        <f>Q243-Z243</f>
      </c>
      <c r="AB243" t="s">
        <v>94</v>
      </c>
      <c r="AC243" t="s">
        <v>69</v>
      </c>
    </row>
    <row r="244" spans="1:29" x14ac:dyDescent="0.25">
      <c r="A244" s="7">
        <v>46193.5</v>
      </c>
      <c r="B244" t="s">
        <v>3476</v>
      </c>
      <c r="C244" t="s">
        <v>1</v>
      </c>
      <c r="D244" s="8" t="s">
        <v>3477</v>
      </c>
      <c r="E244" t="s">
        <v>101</v>
      </c>
      <c r="F244">
        <v>1</v>
      </c>
      <c r="G244" s="3">
        <v>144</v>
      </c>
      <c r="H244" s="3">
        <v>168.48</v>
      </c>
      <c r="I244" s="3">
        <f>H244-G244</f>
      </c>
      <c r="J244" s="3">
        <f>I244*16.67%</f>
      </c>
      <c r="K244" s="3">
        <v>7.77</v>
      </c>
      <c r="L244" s="3">
        <f>K244*20%</f>
      </c>
      <c r="M244" s="3">
        <v>0</v>
      </c>
      <c r="N244" s="3">
        <f>M244*20%</f>
      </c>
      <c r="O244" s="3">
        <v>1</v>
      </c>
      <c r="P244" s="3">
        <f>N244</f>
      </c>
      <c r="Q244" s="3">
        <f>I244-J244-K244-M244-N244-O244</f>
      </c>
      <c r="R244" s="3">
        <f>(Q244-Z244)/G244*100</f>
      </c>
      <c r="S244" s="3">
        <f>J244-P244</f>
      </c>
      <c r="T244" t="s">
        <v>1</v>
      </c>
      <c r="U244" t="s">
        <v>171</v>
      </c>
      <c r="AA244" s="3">
        <f>Q244-Z244</f>
      </c>
      <c r="AB244" t="s">
        <v>65</v>
      </c>
      <c r="AC244" t="s">
        <v>74</v>
      </c>
    </row>
    <row r="245" spans="1:29" x14ac:dyDescent="0.25">
      <c r="A245" s="7">
        <v>46193.5</v>
      </c>
      <c r="B245" t="s">
        <v>3478</v>
      </c>
      <c r="C245" t="s">
        <v>1</v>
      </c>
      <c r="D245" s="8" t="s">
        <v>1</v>
      </c>
      <c r="E245" t="s">
        <v>72</v>
      </c>
      <c r="F245">
        <v>1</v>
      </c>
      <c r="G245" s="3">
        <v>165</v>
      </c>
      <c r="H245" s="3">
        <v>206.25</v>
      </c>
      <c r="I245" s="3">
        <f>H245-G245</f>
      </c>
      <c r="J245" s="3">
        <f>I245*16.67%</f>
      </c>
      <c r="K245" s="3">
        <v>9.51</v>
      </c>
      <c r="L245" s="3">
        <f>K245*20%</f>
      </c>
      <c r="M245" s="3">
        <v>0</v>
      </c>
      <c r="N245" s="3">
        <f>M245*20%</f>
      </c>
      <c r="O245" s="3">
        <v>1</v>
      </c>
      <c r="P245" s="3">
        <f>N245</f>
      </c>
      <c r="Q245" s="3">
        <f>I245-J245-K245-M245-N245-O245</f>
      </c>
      <c r="R245" s="3">
        <f>(Q245-Z245)/G245*100</f>
      </c>
      <c r="S245" s="3">
        <f>J245-P245</f>
      </c>
      <c r="T245" t="s">
        <v>1</v>
      </c>
      <c r="U245" t="s">
        <v>1</v>
      </c>
      <c r="AA245" s="3">
        <f>Q245-Z245</f>
      </c>
      <c r="AB245" t="s">
        <v>1</v>
      </c>
      <c r="AC245" t="s">
        <v>1</v>
      </c>
    </row>
    <row r="246" spans="1:29" x14ac:dyDescent="0.25">
      <c r="A246" s="7">
        <v>46192.5</v>
      </c>
      <c r="B246" t="s">
        <v>3479</v>
      </c>
      <c r="C246" t="s">
        <v>1</v>
      </c>
      <c r="D246" s="8" t="s">
        <v>3480</v>
      </c>
      <c r="E246" t="s">
        <v>77</v>
      </c>
      <c r="F246">
        <v>1</v>
      </c>
      <c r="G246" s="3">
        <v>380</v>
      </c>
      <c r="H246" s="3">
        <v>532</v>
      </c>
      <c r="I246" s="3">
        <f>H246-G246</f>
      </c>
      <c r="J246" s="3">
        <f>I246*16.67%</f>
      </c>
      <c r="K246" s="3">
        <v>24.53</v>
      </c>
      <c r="L246" s="3">
        <f>K246*20%</f>
      </c>
      <c r="M246" s="3">
        <v>0</v>
      </c>
      <c r="N246" s="3">
        <f>M246*20%</f>
      </c>
      <c r="O246" s="3">
        <v>1</v>
      </c>
      <c r="P246" s="3">
        <f>N246</f>
      </c>
      <c r="Q246" s="3">
        <f>I246-J246-K246-M246-N246-O246</f>
      </c>
      <c r="R246" s="3">
        <f>(Q246-Z246)/G246*100</f>
      </c>
      <c r="S246" s="3">
        <f>J246-P246</f>
      </c>
      <c r="T246" t="s">
        <v>1</v>
      </c>
      <c r="U246" t="s">
        <v>73</v>
      </c>
      <c r="AA246" s="3">
        <f>Q246-Z246</f>
      </c>
      <c r="AB246" t="s">
        <v>59</v>
      </c>
      <c r="AC246" t="s">
        <v>60</v>
      </c>
    </row>
    <row r="247" spans="1:29" x14ac:dyDescent="0.25">
      <c r="A247" s="7">
        <v>46192.5</v>
      </c>
      <c r="B247" t="s">
        <v>3481</v>
      </c>
      <c r="C247" t="s">
        <v>1</v>
      </c>
      <c r="D247" s="8" t="s">
        <v>3482</v>
      </c>
      <c r="E247" t="s">
        <v>77</v>
      </c>
      <c r="F247">
        <v>1</v>
      </c>
      <c r="G247" s="3">
        <v>233</v>
      </c>
      <c r="H247" s="3">
        <v>328.53</v>
      </c>
      <c r="I247" s="3">
        <f>H247-G247</f>
      </c>
      <c r="J247" s="3">
        <f>I247*16.67%</f>
      </c>
      <c r="K247" s="3">
        <v>15.15</v>
      </c>
      <c r="L247" s="3">
        <f>K247*20%</f>
      </c>
      <c r="M247" s="3">
        <v>0</v>
      </c>
      <c r="N247" s="3">
        <f>M247*20%</f>
      </c>
      <c r="O247" s="3">
        <v>1</v>
      </c>
      <c r="P247" s="3">
        <f>N247</f>
      </c>
      <c r="Q247" s="3">
        <f>I247-J247-K247-M247-N247-O247</f>
      </c>
      <c r="R247" s="3">
        <f>(Q247-Z247)/G247*100</f>
      </c>
      <c r="S247" s="3">
        <f>J247-P247</f>
      </c>
      <c r="T247" t="s">
        <v>1</v>
      </c>
      <c r="U247" t="s">
        <v>124</v>
      </c>
      <c r="AA247" s="3">
        <f>Q247-Z247</f>
      </c>
      <c r="AB247" t="s">
        <v>125</v>
      </c>
      <c r="AC247" t="s">
        <v>74</v>
      </c>
    </row>
    <row r="248" spans="1:29" x14ac:dyDescent="0.25">
      <c r="A248" s="7">
        <v>46192.5</v>
      </c>
      <c r="B248" t="s">
        <v>3483</v>
      </c>
      <c r="C248" t="s">
        <v>1</v>
      </c>
      <c r="D248" s="8" t="s">
        <v>3484</v>
      </c>
      <c r="E248" t="s">
        <v>101</v>
      </c>
      <c r="F248">
        <v>1</v>
      </c>
      <c r="G248" s="3">
        <v>232</v>
      </c>
      <c r="H248" s="3">
        <v>329.44</v>
      </c>
      <c r="I248" s="3">
        <f>H248-G248</f>
      </c>
      <c r="J248" s="3">
        <f>I248*16.67%</f>
      </c>
      <c r="K248" s="3">
        <v>15.19</v>
      </c>
      <c r="L248" s="3">
        <f>K248*20%</f>
      </c>
      <c r="M248" s="3">
        <v>0</v>
      </c>
      <c r="N248" s="3">
        <f>M248*20%</f>
      </c>
      <c r="O248" s="3">
        <v>1</v>
      </c>
      <c r="P248" s="3">
        <f>N248</f>
      </c>
      <c r="Q248" s="3">
        <f>I248-J248-K248-M248-N248-O248</f>
      </c>
      <c r="R248" s="3">
        <f>(Q248-Z248)/G248*100</f>
      </c>
      <c r="S248" s="3">
        <f>J248-P248</f>
      </c>
      <c r="T248" t="s">
        <v>1</v>
      </c>
      <c r="U248" t="s">
        <v>64</v>
      </c>
      <c r="AA248" s="3">
        <f>Q248-Z248</f>
      </c>
      <c r="AB248" t="s">
        <v>65</v>
      </c>
      <c r="AC248" t="s">
        <v>74</v>
      </c>
    </row>
    <row r="249" spans="1:29" x14ac:dyDescent="0.25">
      <c r="A249" s="7">
        <v>46192.5</v>
      </c>
      <c r="B249" t="s">
        <v>3485</v>
      </c>
      <c r="C249" t="s">
        <v>1</v>
      </c>
      <c r="D249" s="8" t="s">
        <v>3486</v>
      </c>
      <c r="E249" t="s">
        <v>101</v>
      </c>
      <c r="F249">
        <v>1</v>
      </c>
      <c r="G249" s="3">
        <v>121</v>
      </c>
      <c r="H249" s="3">
        <v>173.03</v>
      </c>
      <c r="I249" s="3">
        <f>H249-G249</f>
      </c>
      <c r="J249" s="3">
        <f>I249*16.67%</f>
      </c>
      <c r="K249" s="3">
        <v>7.98</v>
      </c>
      <c r="L249" s="3">
        <f>K249*20%</f>
      </c>
      <c r="M249" s="3">
        <v>0</v>
      </c>
      <c r="N249" s="3">
        <f>M249*20%</f>
      </c>
      <c r="O249" s="3">
        <v>1</v>
      </c>
      <c r="P249" s="3">
        <f>N249</f>
      </c>
      <c r="Q249" s="3">
        <f>I249-J249-K249-M249-N249-O249</f>
      </c>
      <c r="R249" s="3">
        <f>(Q249-Z249)/G249*100</f>
      </c>
      <c r="S249" s="3">
        <f>J249-P249</f>
      </c>
      <c r="T249" t="s">
        <v>1</v>
      </c>
      <c r="U249" t="s">
        <v>133</v>
      </c>
      <c r="AA249" s="3">
        <f>Q249-Z249</f>
      </c>
      <c r="AB249" t="s">
        <v>65</v>
      </c>
      <c r="AC249" t="s">
        <v>74</v>
      </c>
    </row>
    <row r="250" spans="1:29" x14ac:dyDescent="0.25">
      <c r="A250" s="7">
        <v>46192.5</v>
      </c>
      <c r="B250" t="s">
        <v>3487</v>
      </c>
      <c r="C250" t="s">
        <v>1</v>
      </c>
      <c r="D250" s="8" t="s">
        <v>3488</v>
      </c>
      <c r="E250" t="s">
        <v>72</v>
      </c>
      <c r="F250">
        <v>1</v>
      </c>
      <c r="G250" s="3">
        <v>171</v>
      </c>
      <c r="H250" s="3">
        <v>203.49</v>
      </c>
      <c r="I250" s="3">
        <f>H250-G250</f>
      </c>
      <c r="J250" s="3">
        <f>I250*16.67%</f>
      </c>
      <c r="K250" s="3">
        <v>9.38</v>
      </c>
      <c r="L250" s="3">
        <f>K250*20%</f>
      </c>
      <c r="M250" s="3">
        <v>0</v>
      </c>
      <c r="N250" s="3">
        <f>M250*20%</f>
      </c>
      <c r="O250" s="3">
        <v>1</v>
      </c>
      <c r="P250" s="3">
        <f>N250</f>
      </c>
      <c r="Q250" s="3">
        <f>I250-J250-K250-M250-N250-O250</f>
      </c>
      <c r="R250" s="3">
        <f>(Q250-Z250)/G250*100</f>
      </c>
      <c r="S250" s="3">
        <f>J250-P250</f>
      </c>
      <c r="T250" t="s">
        <v>1</v>
      </c>
      <c r="U250" t="s">
        <v>291</v>
      </c>
      <c r="AA250" s="3">
        <f>Q250-Z250</f>
      </c>
      <c r="AB250" t="s">
        <v>125</v>
      </c>
      <c r="AC250" t="s">
        <v>84</v>
      </c>
    </row>
    <row r="251" spans="1:29" x14ac:dyDescent="0.25">
      <c r="A251" s="7">
        <v>46192.5</v>
      </c>
      <c r="B251" t="s">
        <v>3489</v>
      </c>
      <c r="C251" t="s">
        <v>188</v>
      </c>
      <c r="D251" s="8" t="s">
        <v>1</v>
      </c>
      <c r="E251" t="s">
        <v>63</v>
      </c>
      <c r="F251">
        <v>2</v>
      </c>
      <c r="G251" s="3">
        <v>7</v>
      </c>
      <c r="H251" s="3">
        <v>8.12</v>
      </c>
      <c r="I251" s="3">
        <f>H251-G251</f>
      </c>
      <c r="J251" s="3">
        <f>I251*16.67%</f>
      </c>
      <c r="K251" s="3">
        <v>0.37</v>
      </c>
      <c r="L251" s="3">
        <f>K251*20%</f>
      </c>
      <c r="M251" s="3">
        <v>0</v>
      </c>
      <c r="N251" s="3">
        <f>M251*20%</f>
      </c>
      <c r="O251" s="3">
        <v>1</v>
      </c>
      <c r="P251" s="3">
        <f>N251</f>
      </c>
      <c r="Q251" s="3">
        <f>I251-J251-K251-M251-N251-O251</f>
      </c>
      <c r="R251" s="3">
        <f>(Q251-Z251)/G251*100</f>
      </c>
      <c r="S251" s="3">
        <f>J251-P251</f>
      </c>
      <c r="T251" t="s">
        <v>1</v>
      </c>
      <c r="U251" t="s">
        <v>188</v>
      </c>
      <c r="AA251" s="3">
        <f>Q251-Z251</f>
      </c>
      <c r="AB251" t="s">
        <v>1</v>
      </c>
      <c r="AC251" t="s">
        <v>1</v>
      </c>
    </row>
    <row r="252" spans="1:29" x14ac:dyDescent="0.25">
      <c r="A252" s="7">
        <v>46192.5</v>
      </c>
      <c r="B252" t="s">
        <v>3490</v>
      </c>
      <c r="C252" t="s">
        <v>173</v>
      </c>
      <c r="D252" s="8" t="s">
        <v>1</v>
      </c>
      <c r="E252" t="s">
        <v>63</v>
      </c>
      <c r="F252">
        <v>3</v>
      </c>
      <c r="G252" s="3">
        <v>12.75</v>
      </c>
      <c r="H252" s="3">
        <v>16.45</v>
      </c>
      <c r="I252" s="3">
        <f>H252-G252</f>
      </c>
      <c r="J252" s="3">
        <f>I252*16.67%</f>
      </c>
      <c r="K252" s="3">
        <v>0.76</v>
      </c>
      <c r="L252" s="3">
        <f>K252*20%</f>
      </c>
      <c r="M252" s="3">
        <v>0</v>
      </c>
      <c r="N252" s="3">
        <f>M252*20%</f>
      </c>
      <c r="O252" s="3">
        <v>1</v>
      </c>
      <c r="P252" s="3">
        <f>N252</f>
      </c>
      <c r="Q252" s="3">
        <f>I252-J252-K252-M252-N252-O252</f>
      </c>
      <c r="R252" s="3">
        <f>(Q252-Z252)/G252*100</f>
      </c>
      <c r="S252" s="3">
        <f>J252-P252</f>
      </c>
      <c r="T252" t="s">
        <v>1</v>
      </c>
      <c r="U252" t="s">
        <v>173</v>
      </c>
      <c r="AA252" s="3">
        <f>Q252-Z252</f>
      </c>
      <c r="AB252" t="s">
        <v>1</v>
      </c>
      <c r="AC252" t="s">
        <v>1</v>
      </c>
    </row>
    <row r="253" spans="1:29" x14ac:dyDescent="0.25">
      <c r="A253" s="7">
        <v>46192.5</v>
      </c>
      <c r="B253" t="s">
        <v>3491</v>
      </c>
      <c r="C253" t="s">
        <v>176</v>
      </c>
      <c r="D253" s="8" t="s">
        <v>1</v>
      </c>
      <c r="E253" t="s">
        <v>77</v>
      </c>
      <c r="F253">
        <v>3</v>
      </c>
      <c r="G253" s="3">
        <v>0.45</v>
      </c>
      <c r="H253" s="3">
        <v>0.52</v>
      </c>
      <c r="I253" s="3">
        <f>H253-G253</f>
      </c>
      <c r="J253" s="3">
        <f>I253*16.67%</f>
      </c>
      <c r="K253" s="3">
        <v>0.02</v>
      </c>
      <c r="L253" s="3">
        <f>K253*20%</f>
      </c>
      <c r="M253" s="3">
        <v>0</v>
      </c>
      <c r="N253" s="3">
        <f>M253*20%</f>
      </c>
      <c r="O253" s="3">
        <v>1</v>
      </c>
      <c r="P253" s="3">
        <f>N253</f>
      </c>
      <c r="Q253" s="3">
        <f>I253-J253-K253-M253-N253-O253</f>
      </c>
      <c r="R253" s="3">
        <f>(Q253-Z253)/G253*100</f>
      </c>
      <c r="S253" s="3">
        <f>J253-P253</f>
      </c>
      <c r="T253" t="s">
        <v>1</v>
      </c>
      <c r="U253" t="s">
        <v>176</v>
      </c>
      <c r="AA253" s="3">
        <f>Q253-Z253</f>
      </c>
      <c r="AB253" t="s">
        <v>1</v>
      </c>
      <c r="AC253" t="s">
        <v>1</v>
      </c>
    </row>
    <row r="254" spans="1:29" x14ac:dyDescent="0.25">
      <c r="A254" s="7">
        <v>46192.5</v>
      </c>
      <c r="B254" t="s">
        <v>3492</v>
      </c>
      <c r="C254" t="s">
        <v>253</v>
      </c>
      <c r="D254" s="8" t="s">
        <v>1</v>
      </c>
      <c r="E254" t="s">
        <v>57</v>
      </c>
      <c r="F254">
        <v>4</v>
      </c>
      <c r="G254" s="3">
        <v>3.2</v>
      </c>
      <c r="H254" s="3">
        <v>4.51</v>
      </c>
      <c r="I254" s="3">
        <f>H254-G254</f>
      </c>
      <c r="J254" s="3">
        <f>I254*16.67%</f>
      </c>
      <c r="K254" s="3">
        <v>0.21</v>
      </c>
      <c r="L254" s="3">
        <f>K254*20%</f>
      </c>
      <c r="M254" s="3">
        <v>0</v>
      </c>
      <c r="N254" s="3">
        <f>M254*20%</f>
      </c>
      <c r="O254" s="3">
        <v>1</v>
      </c>
      <c r="P254" s="3">
        <f>N254</f>
      </c>
      <c r="Q254" s="3">
        <f>I254-J254-K254-M254-N254-O254</f>
      </c>
      <c r="R254" s="3">
        <f>(Q254-Z254)/G254*100</f>
      </c>
      <c r="S254" s="3">
        <f>J254-P254</f>
      </c>
      <c r="T254" t="s">
        <v>1</v>
      </c>
      <c r="U254" t="s">
        <v>253</v>
      </c>
      <c r="AA254" s="3">
        <f>Q254-Z254</f>
      </c>
      <c r="AB254" t="s">
        <v>1</v>
      </c>
      <c r="AC254" t="s">
        <v>1</v>
      </c>
    </row>
    <row r="255" spans="1:29" x14ac:dyDescent="0.25">
      <c r="A255" s="7">
        <v>46192.5</v>
      </c>
      <c r="B255" t="s">
        <v>3493</v>
      </c>
      <c r="C255" t="s">
        <v>184</v>
      </c>
      <c r="D255" s="8" t="s">
        <v>1</v>
      </c>
      <c r="E255" t="s">
        <v>101</v>
      </c>
      <c r="F255">
        <v>3</v>
      </c>
      <c r="G255" s="3">
        <v>3.6</v>
      </c>
      <c r="H255" s="3">
        <v>4.97</v>
      </c>
      <c r="I255" s="3">
        <f>H255-G255</f>
      </c>
      <c r="J255" s="3">
        <f>I255*16.67%</f>
      </c>
      <c r="K255" s="3">
        <v>0.23</v>
      </c>
      <c r="L255" s="3">
        <f>K255*20%</f>
      </c>
      <c r="M255" s="3">
        <v>0</v>
      </c>
      <c r="N255" s="3">
        <f>M255*20%</f>
      </c>
      <c r="O255" s="3">
        <v>1</v>
      </c>
      <c r="P255" s="3">
        <f>N255</f>
      </c>
      <c r="Q255" s="3">
        <f>I255-J255-K255-M255-N255-O255</f>
      </c>
      <c r="R255" s="3">
        <f>(Q255-Z255)/G255*100</f>
      </c>
      <c r="S255" s="3">
        <f>J255-P255</f>
      </c>
      <c r="T255" t="s">
        <v>1</v>
      </c>
      <c r="U255" t="s">
        <v>184</v>
      </c>
      <c r="AA255" s="3">
        <f>Q255-Z255</f>
      </c>
      <c r="AB255" t="s">
        <v>1</v>
      </c>
      <c r="AC255" t="s">
        <v>1</v>
      </c>
    </row>
    <row r="256" spans="1:29" x14ac:dyDescent="0.25">
      <c r="A256" s="7">
        <v>46191.5</v>
      </c>
      <c r="B256" t="s">
        <v>3494</v>
      </c>
      <c r="C256" t="s">
        <v>1</v>
      </c>
      <c r="D256" s="8" t="s">
        <v>3495</v>
      </c>
      <c r="E256" t="s">
        <v>101</v>
      </c>
      <c r="F256">
        <v>1</v>
      </c>
      <c r="G256" s="3">
        <v>444</v>
      </c>
      <c r="H256" s="3">
        <v>510.6</v>
      </c>
      <c r="I256" s="3">
        <f>H256-G256</f>
      </c>
      <c r="J256" s="3">
        <f>I256*16.67%</f>
      </c>
      <c r="K256" s="3">
        <v>23.54</v>
      </c>
      <c r="L256" s="3">
        <f>K256*20%</f>
      </c>
      <c r="M256" s="3">
        <v>0</v>
      </c>
      <c r="N256" s="3">
        <f>M256*20%</f>
      </c>
      <c r="O256" s="3">
        <v>1</v>
      </c>
      <c r="P256" s="3">
        <f>N256</f>
      </c>
      <c r="Q256" s="3">
        <f>I256-J256-K256-M256-N256-O256</f>
      </c>
      <c r="R256" s="3">
        <f>(Q256-Z256)/G256*100</f>
      </c>
      <c r="S256" s="3">
        <f>J256-P256</f>
      </c>
      <c r="T256" t="s">
        <v>1</v>
      </c>
      <c r="U256" t="s">
        <v>58</v>
      </c>
      <c r="AA256" s="3">
        <f>Q256-Z256</f>
      </c>
      <c r="AB256" t="s">
        <v>59</v>
      </c>
      <c r="AC256" t="s">
        <v>69</v>
      </c>
    </row>
    <row r="257" spans="1:29" x14ac:dyDescent="0.25">
      <c r="A257" s="7">
        <v>46191.5</v>
      </c>
      <c r="B257" t="s">
        <v>3496</v>
      </c>
      <c r="C257" t="s">
        <v>176</v>
      </c>
      <c r="D257" s="8" t="s">
        <v>1</v>
      </c>
      <c r="E257" t="s">
        <v>77</v>
      </c>
      <c r="F257">
        <v>2</v>
      </c>
      <c r="G257" s="3">
        <v>0.3</v>
      </c>
      <c r="H257" s="3">
        <v>0.42</v>
      </c>
      <c r="I257" s="3">
        <f>H257-G257</f>
      </c>
      <c r="J257" s="3">
        <f>I257*16.67%</f>
      </c>
      <c r="K257" s="3">
        <v>0.02</v>
      </c>
      <c r="L257" s="3">
        <f>K257*20%</f>
      </c>
      <c r="M257" s="3">
        <v>0</v>
      </c>
      <c r="N257" s="3">
        <f>M257*20%</f>
      </c>
      <c r="O257" s="3">
        <v>1</v>
      </c>
      <c r="P257" s="3">
        <f>N257</f>
      </c>
      <c r="Q257" s="3">
        <f>I257-J257-K257-M257-N257-O257</f>
      </c>
      <c r="R257" s="3">
        <f>(Q257-Z257)/G257*100</f>
      </c>
      <c r="S257" s="3">
        <f>J257-P257</f>
      </c>
      <c r="T257" t="s">
        <v>1</v>
      </c>
      <c r="U257" t="s">
        <v>176</v>
      </c>
      <c r="AA257" s="3">
        <f>Q257-Z257</f>
      </c>
      <c r="AB257" t="s">
        <v>1</v>
      </c>
      <c r="AC257" t="s">
        <v>1</v>
      </c>
    </row>
    <row r="258" spans="1:29" x14ac:dyDescent="0.25">
      <c r="A258" s="7">
        <v>46191.5</v>
      </c>
      <c r="B258" t="s">
        <v>3497</v>
      </c>
      <c r="C258" t="s">
        <v>181</v>
      </c>
      <c r="D258" s="8" t="s">
        <v>1</v>
      </c>
      <c r="E258" t="s">
        <v>72</v>
      </c>
      <c r="F258">
        <v>1</v>
      </c>
      <c r="G258" s="3">
        <v>1.9</v>
      </c>
      <c r="H258" s="3">
        <v>2.74</v>
      </c>
      <c r="I258" s="3">
        <f>H258-G258</f>
      </c>
      <c r="J258" s="3">
        <f>I258*16.67%</f>
      </c>
      <c r="K258" s="3">
        <v>0.13</v>
      </c>
      <c r="L258" s="3">
        <f>K258*20%</f>
      </c>
      <c r="M258" s="3">
        <v>0</v>
      </c>
      <c r="N258" s="3">
        <f>M258*20%</f>
      </c>
      <c r="O258" s="3">
        <v>1</v>
      </c>
      <c r="P258" s="3">
        <f>N258</f>
      </c>
      <c r="Q258" s="3">
        <f>I258-J258-K258-M258-N258-O258</f>
      </c>
      <c r="R258" s="3">
        <f>(Q258-Z258)/G258*100</f>
      </c>
      <c r="S258" s="3">
        <f>J258-P258</f>
      </c>
      <c r="T258" t="s">
        <v>1</v>
      </c>
      <c r="U258" t="s">
        <v>181</v>
      </c>
      <c r="AA258" s="3">
        <f>Q258-Z258</f>
      </c>
      <c r="AB258" t="s">
        <v>1</v>
      </c>
      <c r="AC258" t="s">
        <v>1</v>
      </c>
    </row>
    <row r="259" spans="1:29" x14ac:dyDescent="0.25">
      <c r="A259" s="7">
        <v>46191.5</v>
      </c>
      <c r="B259" t="s">
        <v>3498</v>
      </c>
      <c r="C259" t="s">
        <v>184</v>
      </c>
      <c r="D259" s="8" t="s">
        <v>1</v>
      </c>
      <c r="E259" t="s">
        <v>101</v>
      </c>
      <c r="F259">
        <v>4</v>
      </c>
      <c r="G259" s="3">
        <v>4.8</v>
      </c>
      <c r="H259" s="3">
        <v>6.53</v>
      </c>
      <c r="I259" s="3">
        <f>H259-G259</f>
      </c>
      <c r="J259" s="3">
        <f>I259*16.67%</f>
      </c>
      <c r="K259" s="3">
        <v>0.3</v>
      </c>
      <c r="L259" s="3">
        <f>K259*20%</f>
      </c>
      <c r="M259" s="3">
        <v>0</v>
      </c>
      <c r="N259" s="3">
        <f>M259*20%</f>
      </c>
      <c r="O259" s="3">
        <v>1</v>
      </c>
      <c r="P259" s="3">
        <f>N259</f>
      </c>
      <c r="Q259" s="3">
        <f>I259-J259-K259-M259-N259-O259</f>
      </c>
      <c r="R259" s="3">
        <f>(Q259-Z259)/G259*100</f>
      </c>
      <c r="S259" s="3">
        <f>J259-P259</f>
      </c>
      <c r="T259" t="s">
        <v>1</v>
      </c>
      <c r="U259" t="s">
        <v>184</v>
      </c>
      <c r="AA259" s="3">
        <f>Q259-Z259</f>
      </c>
      <c r="AB259" t="s">
        <v>1</v>
      </c>
      <c r="AC259" t="s">
        <v>1</v>
      </c>
    </row>
    <row r="260" spans="1:29" x14ac:dyDescent="0.25">
      <c r="A260" s="7">
        <v>46190.5</v>
      </c>
      <c r="B260" t="s">
        <v>3499</v>
      </c>
      <c r="C260" t="s">
        <v>1</v>
      </c>
      <c r="D260" s="8" t="s">
        <v>3500</v>
      </c>
      <c r="E260" t="s">
        <v>101</v>
      </c>
      <c r="F260">
        <v>1</v>
      </c>
      <c r="G260" s="3">
        <v>720</v>
      </c>
      <c r="H260" s="3">
        <v>828</v>
      </c>
      <c r="I260" s="3">
        <f>H260-G260</f>
      </c>
      <c r="J260" s="3">
        <f>I260*16.67%</f>
      </c>
      <c r="K260" s="3">
        <v>38.17</v>
      </c>
      <c r="L260" s="3">
        <f>K260*20%</f>
      </c>
      <c r="M260" s="3">
        <v>0</v>
      </c>
      <c r="N260" s="3">
        <f>M260*20%</f>
      </c>
      <c r="O260" s="3">
        <v>1</v>
      </c>
      <c r="P260" s="3">
        <f>N260</f>
      </c>
      <c r="Q260" s="3">
        <f>I260-J260-K260-M260-N260-O260</f>
      </c>
      <c r="R260" s="3">
        <f>(Q260-Z260)/G260*100</f>
      </c>
      <c r="S260" s="3">
        <f>J260-P260</f>
      </c>
      <c r="T260" t="s">
        <v>1</v>
      </c>
      <c r="U260" t="s">
        <v>83</v>
      </c>
      <c r="AA260" s="3">
        <f>Q260-Z260</f>
      </c>
      <c r="AB260" t="s">
        <v>59</v>
      </c>
      <c r="AC260" t="s">
        <v>98</v>
      </c>
    </row>
    <row r="261" spans="1:29" x14ac:dyDescent="0.25">
      <c r="A261" s="7">
        <v>46190.5</v>
      </c>
      <c r="B261" t="s">
        <v>3501</v>
      </c>
      <c r="C261" t="s">
        <v>1</v>
      </c>
      <c r="D261" s="8" t="s">
        <v>3502</v>
      </c>
      <c r="E261" t="s">
        <v>63</v>
      </c>
      <c r="F261">
        <v>1</v>
      </c>
      <c r="G261" s="3">
        <v>206</v>
      </c>
      <c r="H261" s="3">
        <v>255.44</v>
      </c>
      <c r="I261" s="3">
        <f>H261-G261</f>
      </c>
      <c r="J261" s="3">
        <f>I261*16.67%</f>
      </c>
      <c r="K261" s="3">
        <v>11.78</v>
      </c>
      <c r="L261" s="3">
        <f>K261*20%</f>
      </c>
      <c r="M261" s="3">
        <v>0</v>
      </c>
      <c r="N261" s="3">
        <f>M261*20%</f>
      </c>
      <c r="O261" s="3">
        <v>1</v>
      </c>
      <c r="P261" s="3">
        <f>N261</f>
      </c>
      <c r="Q261" s="3">
        <f>I261-J261-K261-M261-N261-O261</f>
      </c>
      <c r="R261" s="3">
        <f>(Q261-Z261)/G261*100</f>
      </c>
      <c r="S261" s="3">
        <f>J261-P261</f>
      </c>
      <c r="T261" t="s">
        <v>1</v>
      </c>
      <c r="U261" t="s">
        <v>113</v>
      </c>
      <c r="AA261" s="3">
        <f>Q261-Z261</f>
      </c>
      <c r="AB261" t="s">
        <v>59</v>
      </c>
      <c r="AC261" t="s">
        <v>74</v>
      </c>
    </row>
    <row r="262" spans="1:29" x14ac:dyDescent="0.25">
      <c r="A262" s="7">
        <v>46190.5</v>
      </c>
      <c r="B262" t="s">
        <v>3503</v>
      </c>
      <c r="C262" t="s">
        <v>1</v>
      </c>
      <c r="D262" s="8" t="s">
        <v>3504</v>
      </c>
      <c r="E262" t="s">
        <v>63</v>
      </c>
      <c r="F262">
        <v>1</v>
      </c>
      <c r="G262" s="3">
        <v>182</v>
      </c>
      <c r="H262" s="3">
        <v>249.34</v>
      </c>
      <c r="I262" s="3">
        <f>H262-G262</f>
      </c>
      <c r="J262" s="3">
        <f>I262*16.67%</f>
      </c>
      <c r="K262" s="3">
        <v>11.49</v>
      </c>
      <c r="L262" s="3">
        <f>K262*20%</f>
      </c>
      <c r="M262" s="3">
        <v>0</v>
      </c>
      <c r="N262" s="3">
        <f>M262*20%</f>
      </c>
      <c r="O262" s="3">
        <v>1</v>
      </c>
      <c r="P262" s="3">
        <f>N262</f>
      </c>
      <c r="Q262" s="3">
        <f>I262-J262-K262-M262-N262-O262</f>
      </c>
      <c r="R262" s="3">
        <f>(Q262-Z262)/G262*100</f>
      </c>
      <c r="S262" s="3">
        <f>J262-P262</f>
      </c>
      <c r="T262" t="s">
        <v>1</v>
      </c>
      <c r="U262" t="s">
        <v>233</v>
      </c>
      <c r="AA262" s="3">
        <f>Q262-Z262</f>
      </c>
      <c r="AB262" t="s">
        <v>65</v>
      </c>
      <c r="AC262" t="s">
        <v>60</v>
      </c>
    </row>
    <row r="263" spans="1:29" x14ac:dyDescent="0.25">
      <c r="A263" s="7">
        <v>46190.5</v>
      </c>
      <c r="B263" t="s">
        <v>3505</v>
      </c>
      <c r="C263" t="s">
        <v>1</v>
      </c>
      <c r="D263" s="8" t="s">
        <v>3506</v>
      </c>
      <c r="E263" t="s">
        <v>101</v>
      </c>
      <c r="F263">
        <v>1</v>
      </c>
      <c r="G263" s="3">
        <v>229</v>
      </c>
      <c r="H263" s="3">
        <v>263.35</v>
      </c>
      <c r="I263" s="3">
        <f>H263-G263</f>
      </c>
      <c r="J263" s="3">
        <f>I263*16.67%</f>
      </c>
      <c r="K263" s="3">
        <v>12.14</v>
      </c>
      <c r="L263" s="3">
        <f>K263*20%</f>
      </c>
      <c r="M263" s="3">
        <v>0</v>
      </c>
      <c r="N263" s="3">
        <f>M263*20%</f>
      </c>
      <c r="O263" s="3">
        <v>1</v>
      </c>
      <c r="P263" s="3">
        <f>N263</f>
      </c>
      <c r="Q263" s="3">
        <f>I263-J263-K263-M263-N263-O263</f>
      </c>
      <c r="R263" s="3">
        <f>(Q263-Z263)/G263*100</f>
      </c>
      <c r="S263" s="3">
        <f>J263-P263</f>
      </c>
      <c r="T263" t="s">
        <v>1</v>
      </c>
      <c r="U263" t="s">
        <v>113</v>
      </c>
      <c r="AA263" s="3">
        <f>Q263-Z263</f>
      </c>
      <c r="AB263" t="s">
        <v>59</v>
      </c>
      <c r="AC263" t="s">
        <v>98</v>
      </c>
    </row>
    <row r="264" spans="1:29" x14ac:dyDescent="0.25">
      <c r="A264" s="7">
        <v>46190.5</v>
      </c>
      <c r="B264" t="s">
        <v>3507</v>
      </c>
      <c r="C264" t="s">
        <v>1</v>
      </c>
      <c r="D264" s="8" t="s">
        <v>3508</v>
      </c>
      <c r="E264" t="s">
        <v>101</v>
      </c>
      <c r="F264">
        <v>1</v>
      </c>
      <c r="G264" s="3">
        <v>234</v>
      </c>
      <c r="H264" s="3">
        <v>297.18</v>
      </c>
      <c r="I264" s="3">
        <f>H264-G264</f>
      </c>
      <c r="J264" s="3">
        <f>I264*16.67%</f>
      </c>
      <c r="K264" s="3">
        <v>13.7</v>
      </c>
      <c r="L264" s="3">
        <f>K264*20%</f>
      </c>
      <c r="M264" s="3">
        <v>0</v>
      </c>
      <c r="N264" s="3">
        <f>M264*20%</f>
      </c>
      <c r="O264" s="3">
        <v>1</v>
      </c>
      <c r="P264" s="3">
        <f>N264</f>
      </c>
      <c r="Q264" s="3">
        <f>I264-J264-K264-M264-N264-O264</f>
      </c>
      <c r="R264" s="3">
        <f>(Q264-Z264)/G264*100</f>
      </c>
      <c r="S264" s="3">
        <f>J264-P264</f>
      </c>
      <c r="T264" t="s">
        <v>1</v>
      </c>
      <c r="U264" t="s">
        <v>64</v>
      </c>
      <c r="AA264" s="3">
        <f>Q264-Z264</f>
      </c>
      <c r="AB264" t="s">
        <v>65</v>
      </c>
      <c r="AC264" t="s">
        <v>98</v>
      </c>
    </row>
    <row r="265" spans="1:29" x14ac:dyDescent="0.25">
      <c r="A265" s="7">
        <v>46189.5</v>
      </c>
      <c r="B265" t="s">
        <v>3509</v>
      </c>
      <c r="C265" t="s">
        <v>1</v>
      </c>
      <c r="D265" s="8" t="s">
        <v>3510</v>
      </c>
      <c r="E265" t="s">
        <v>72</v>
      </c>
      <c r="F265">
        <v>1</v>
      </c>
      <c r="G265" s="3">
        <v>157</v>
      </c>
      <c r="H265" s="3">
        <v>202.53</v>
      </c>
      <c r="I265" s="3">
        <f>H265-G265</f>
      </c>
      <c r="J265" s="3">
        <f>I265*16.67%</f>
      </c>
      <c r="K265" s="3">
        <v>9.34</v>
      </c>
      <c r="L265" s="3">
        <f>K265*20%</f>
      </c>
      <c r="M265" s="3">
        <v>0</v>
      </c>
      <c r="N265" s="3">
        <f>M265*20%</f>
      </c>
      <c r="O265" s="3">
        <v>1</v>
      </c>
      <c r="P265" s="3">
        <f>N265</f>
      </c>
      <c r="Q265" s="3">
        <f>I265-J265-K265-M265-N265-O265</f>
      </c>
      <c r="R265" s="3">
        <f>(Q265-Z265)/G265*100</f>
      </c>
      <c r="S265" s="3">
        <f>J265-P265</f>
      </c>
      <c r="T265" t="s">
        <v>1</v>
      </c>
      <c r="U265" t="s">
        <v>291</v>
      </c>
      <c r="AA265" s="3">
        <f>Q265-Z265</f>
      </c>
      <c r="AB265" t="s">
        <v>125</v>
      </c>
      <c r="AC265" t="s">
        <v>87</v>
      </c>
    </row>
    <row r="266" spans="1:29" x14ac:dyDescent="0.25">
      <c r="A266" s="7">
        <v>46189.5</v>
      </c>
      <c r="B266" t="s">
        <v>3511</v>
      </c>
      <c r="C266" t="s">
        <v>1</v>
      </c>
      <c r="D266" s="8" t="s">
        <v>3512</v>
      </c>
      <c r="E266" t="s">
        <v>101</v>
      </c>
      <c r="F266">
        <v>1</v>
      </c>
      <c r="G266" s="3">
        <v>770</v>
      </c>
      <c r="H266" s="3">
        <v>1001</v>
      </c>
      <c r="I266" s="3">
        <f>H266-G266</f>
      </c>
      <c r="J266" s="3">
        <f>I266*16.67%</f>
      </c>
      <c r="K266" s="3">
        <v>46.15</v>
      </c>
      <c r="L266" s="3">
        <f>K266*20%</f>
      </c>
      <c r="M266" s="3">
        <v>0</v>
      </c>
      <c r="N266" s="3">
        <f>M266*20%</f>
      </c>
      <c r="O266" s="3">
        <v>1</v>
      </c>
      <c r="P266" s="3">
        <f>N266</f>
      </c>
      <c r="Q266" s="3">
        <f>I266-J266-K266-M266-N266-O266</f>
      </c>
      <c r="R266" s="3">
        <f>(Q266-Z266)/G266*100</f>
      </c>
      <c r="S266" s="3">
        <f>J266-P266</f>
      </c>
      <c r="T266" t="s">
        <v>1</v>
      </c>
      <c r="U266" t="s">
        <v>83</v>
      </c>
      <c r="AA266" s="3">
        <f>Q266-Z266</f>
      </c>
      <c r="AB266" t="s">
        <v>59</v>
      </c>
      <c r="AC266" t="s">
        <v>69</v>
      </c>
    </row>
    <row r="267" spans="1:29" x14ac:dyDescent="0.25">
      <c r="A267" s="7">
        <v>46189.5</v>
      </c>
      <c r="B267" t="s">
        <v>3513</v>
      </c>
      <c r="C267" t="s">
        <v>1</v>
      </c>
      <c r="D267" s="8" t="s">
        <v>3514</v>
      </c>
      <c r="E267" t="s">
        <v>57</v>
      </c>
      <c r="F267">
        <v>1</v>
      </c>
      <c r="G267" s="3">
        <v>370</v>
      </c>
      <c r="H267" s="3">
        <v>451.4</v>
      </c>
      <c r="I267" s="3">
        <f>H267-G267</f>
      </c>
      <c r="J267" s="3">
        <f>I267*16.67%</f>
      </c>
      <c r="K267" s="3">
        <v>20.81</v>
      </c>
      <c r="L267" s="3">
        <f>K267*20%</f>
      </c>
      <c r="M267" s="3">
        <v>0</v>
      </c>
      <c r="N267" s="3">
        <f>M267*20%</f>
      </c>
      <c r="O267" s="3">
        <v>1</v>
      </c>
      <c r="P267" s="3">
        <f>N267</f>
      </c>
      <c r="Q267" s="3">
        <f>I267-J267-K267-M267-N267-O267</f>
      </c>
      <c r="R267" s="3">
        <f>(Q267-Z267)/G267*100</f>
      </c>
      <c r="S267" s="3">
        <f>J267-P267</f>
      </c>
      <c r="T267" t="s">
        <v>1</v>
      </c>
      <c r="U267" t="s">
        <v>138</v>
      </c>
      <c r="AA267" s="3">
        <f>Q267-Z267</f>
      </c>
      <c r="AB267" t="s">
        <v>65</v>
      </c>
      <c r="AC267" t="s">
        <v>74</v>
      </c>
    </row>
    <row r="268" spans="1:29" x14ac:dyDescent="0.25">
      <c r="A268" s="7">
        <v>46188.5</v>
      </c>
      <c r="B268" t="s">
        <v>3515</v>
      </c>
      <c r="C268" t="s">
        <v>1</v>
      </c>
      <c r="D268" s="8" t="s">
        <v>3516</v>
      </c>
      <c r="E268" t="s">
        <v>57</v>
      </c>
      <c r="F268">
        <v>1</v>
      </c>
      <c r="G268" s="3">
        <v>173</v>
      </c>
      <c r="H268" s="3">
        <v>219.71</v>
      </c>
      <c r="I268" s="3">
        <f>H268-G268</f>
      </c>
      <c r="J268" s="3">
        <f>I268*16.67%</f>
      </c>
      <c r="K268" s="3">
        <v>10.13</v>
      </c>
      <c r="L268" s="3">
        <f>K268*20%</f>
      </c>
      <c r="M268" s="3">
        <v>0</v>
      </c>
      <c r="N268" s="3">
        <f>M268*20%</f>
      </c>
      <c r="O268" s="3">
        <v>1</v>
      </c>
      <c r="P268" s="3">
        <f>N268</f>
      </c>
      <c r="Q268" s="3">
        <f>I268-J268-K268-M268-N268-O268</f>
      </c>
      <c r="R268" s="3">
        <f>(Q268-Z268)/G268*100</f>
      </c>
      <c r="S268" s="3">
        <f>J268-P268</f>
      </c>
      <c r="T268" t="s">
        <v>1</v>
      </c>
      <c r="U268" t="s">
        <v>171</v>
      </c>
      <c r="AA268" s="3">
        <f>Q268-Z268</f>
      </c>
      <c r="AB268" t="s">
        <v>65</v>
      </c>
      <c r="AC268" t="s">
        <v>98</v>
      </c>
    </row>
    <row r="269" spans="1:29" x14ac:dyDescent="0.25">
      <c r="A269" s="7">
        <v>46188.5</v>
      </c>
      <c r="B269" t="s">
        <v>3517</v>
      </c>
      <c r="C269" t="s">
        <v>1</v>
      </c>
      <c r="D269" s="8" t="s">
        <v>3518</v>
      </c>
      <c r="E269" t="s">
        <v>57</v>
      </c>
      <c r="F269">
        <v>1</v>
      </c>
      <c r="G269" s="3">
        <v>253</v>
      </c>
      <c r="H269" s="3">
        <v>356.73</v>
      </c>
      <c r="I269" s="3">
        <f>H269-G269</f>
      </c>
      <c r="J269" s="3">
        <f>I269*16.67%</f>
      </c>
      <c r="K269" s="3">
        <v>16.45</v>
      </c>
      <c r="L269" s="3">
        <f>K269*20%</f>
      </c>
      <c r="M269" s="3">
        <v>0</v>
      </c>
      <c r="N269" s="3">
        <f>M269*20%</f>
      </c>
      <c r="O269" s="3">
        <v>1</v>
      </c>
      <c r="P269" s="3">
        <f>N269</f>
      </c>
      <c r="Q269" s="3">
        <f>I269-J269-K269-M269-N269-O269</f>
      </c>
      <c r="R269" s="3">
        <f>(Q269-Z269)/G269*100</f>
      </c>
      <c r="S269" s="3">
        <f>J269-P269</f>
      </c>
      <c r="T269" t="s">
        <v>1</v>
      </c>
      <c r="U269" t="s">
        <v>124</v>
      </c>
      <c r="AA269" s="3">
        <f>Q269-Z269</f>
      </c>
      <c r="AB269" t="s">
        <v>125</v>
      </c>
      <c r="AC269" t="s">
        <v>87</v>
      </c>
    </row>
    <row r="270" spans="1:29" x14ac:dyDescent="0.25">
      <c r="A270" s="7">
        <v>46188.5</v>
      </c>
      <c r="B270" t="s">
        <v>3519</v>
      </c>
      <c r="C270" t="s">
        <v>1</v>
      </c>
      <c r="D270" s="8" t="s">
        <v>3520</v>
      </c>
      <c r="E270" t="s">
        <v>57</v>
      </c>
      <c r="F270">
        <v>1</v>
      </c>
      <c r="G270" s="3">
        <v>302</v>
      </c>
      <c r="H270" s="3">
        <v>404.68</v>
      </c>
      <c r="I270" s="3">
        <f>H270-G270</f>
      </c>
      <c r="J270" s="3">
        <f>I270*16.67%</f>
      </c>
      <c r="K270" s="3">
        <v>18.66</v>
      </c>
      <c r="L270" s="3">
        <f>K270*20%</f>
      </c>
      <c r="M270" s="3">
        <v>0</v>
      </c>
      <c r="N270" s="3">
        <f>M270*20%</f>
      </c>
      <c r="O270" s="3">
        <v>1</v>
      </c>
      <c r="P270" s="3">
        <f>N270</f>
      </c>
      <c r="Q270" s="3">
        <f>I270-J270-K270-M270-N270-O270</f>
      </c>
      <c r="R270" s="3">
        <f>(Q270-Z270)/G270*100</f>
      </c>
      <c r="S270" s="3">
        <f>J270-P270</f>
      </c>
      <c r="T270" t="s">
        <v>1</v>
      </c>
      <c r="U270" t="s">
        <v>97</v>
      </c>
      <c r="AA270" s="3">
        <f>Q270-Z270</f>
      </c>
      <c r="AB270" t="s">
        <v>65</v>
      </c>
      <c r="AC270" t="s">
        <v>104</v>
      </c>
    </row>
    <row r="271" spans="1:29" x14ac:dyDescent="0.25">
      <c r="A271" s="7">
        <v>46188.5</v>
      </c>
      <c r="B271" t="s">
        <v>3521</v>
      </c>
      <c r="C271" t="s">
        <v>1</v>
      </c>
      <c r="D271" s="8" t="s">
        <v>3522</v>
      </c>
      <c r="E271" t="s">
        <v>101</v>
      </c>
      <c r="F271">
        <v>1</v>
      </c>
      <c r="G271" s="3">
        <v>560</v>
      </c>
      <c r="H271" s="3">
        <v>649.6</v>
      </c>
      <c r="I271" s="3">
        <f>H271-G271</f>
      </c>
      <c r="J271" s="3">
        <f>I271*16.67%</f>
      </c>
      <c r="K271" s="3">
        <v>29.95</v>
      </c>
      <c r="L271" s="3">
        <f>K271*20%</f>
      </c>
      <c r="M271" s="3">
        <v>0</v>
      </c>
      <c r="N271" s="3">
        <f>M271*20%</f>
      </c>
      <c r="O271" s="3">
        <v>1</v>
      </c>
      <c r="P271" s="3">
        <f>N271</f>
      </c>
      <c r="Q271" s="3">
        <f>I271-J271-K271-M271-N271-O271</f>
      </c>
      <c r="R271" s="3">
        <f>(Q271-Z271)/G271*100</f>
      </c>
      <c r="S271" s="3">
        <f>J271-P271</f>
      </c>
      <c r="T271" t="s">
        <v>1</v>
      </c>
      <c r="U271" t="s">
        <v>80</v>
      </c>
      <c r="AA271" s="3">
        <f>Q271-Z271</f>
      </c>
      <c r="AB271" t="s">
        <v>65</v>
      </c>
      <c r="AC271" t="s">
        <v>69</v>
      </c>
    </row>
    <row r="272" spans="1:29" x14ac:dyDescent="0.25">
      <c r="A272" s="7">
        <v>46188.5</v>
      </c>
      <c r="B272" t="s">
        <v>3523</v>
      </c>
      <c r="C272" t="s">
        <v>253</v>
      </c>
      <c r="D272" s="8" t="s">
        <v>1</v>
      </c>
      <c r="E272" t="s">
        <v>57</v>
      </c>
      <c r="F272">
        <v>4</v>
      </c>
      <c r="G272" s="3">
        <v>3.2</v>
      </c>
      <c r="H272" s="3">
        <v>4.64</v>
      </c>
      <c r="I272" s="3">
        <f>H272-G272</f>
      </c>
      <c r="J272" s="3">
        <f>I272*16.67%</f>
      </c>
      <c r="K272" s="3">
        <v>0.21</v>
      </c>
      <c r="L272" s="3">
        <f>K272*20%</f>
      </c>
      <c r="M272" s="3">
        <v>0</v>
      </c>
      <c r="N272" s="3">
        <f>M272*20%</f>
      </c>
      <c r="O272" s="3">
        <v>1</v>
      </c>
      <c r="P272" s="3">
        <f>N272</f>
      </c>
      <c r="Q272" s="3">
        <f>I272-J272-K272-M272-N272-O272</f>
      </c>
      <c r="R272" s="3">
        <f>(Q272-Z272)/G272*100</f>
      </c>
      <c r="S272" s="3">
        <f>J272-P272</f>
      </c>
      <c r="T272" t="s">
        <v>1</v>
      </c>
      <c r="U272" t="s">
        <v>253</v>
      </c>
      <c r="AA272" s="3">
        <f>Q272-Z272</f>
      </c>
      <c r="AB272" t="s">
        <v>1</v>
      </c>
      <c r="AC272" t="s">
        <v>1</v>
      </c>
    </row>
    <row r="273" spans="1:29" x14ac:dyDescent="0.25">
      <c r="A273" s="7">
        <v>46187.5</v>
      </c>
      <c r="B273" t="s">
        <v>3524</v>
      </c>
      <c r="C273" t="s">
        <v>1</v>
      </c>
      <c r="D273" s="8" t="s">
        <v>3525</v>
      </c>
      <c r="E273" t="s">
        <v>72</v>
      </c>
      <c r="F273">
        <v>1</v>
      </c>
      <c r="G273" s="3">
        <v>79</v>
      </c>
      <c r="H273" s="3">
        <v>91.64</v>
      </c>
      <c r="I273" s="3">
        <f>H273-G273</f>
      </c>
      <c r="J273" s="3">
        <f>I273*16.67%</f>
      </c>
      <c r="K273" s="3">
        <v>4.22</v>
      </c>
      <c r="L273" s="3">
        <f>K273*20%</f>
      </c>
      <c r="M273" s="3">
        <v>0</v>
      </c>
      <c r="N273" s="3">
        <f>M273*20%</f>
      </c>
      <c r="O273" s="3">
        <v>1</v>
      </c>
      <c r="P273" s="3">
        <f>N273</f>
      </c>
      <c r="Q273" s="3">
        <f>I273-J273-K273-M273-N273-O273</f>
      </c>
      <c r="R273" s="3">
        <f>(Q273-Z273)/G273*100</f>
      </c>
      <c r="S273" s="3">
        <f>J273-P273</f>
      </c>
      <c r="T273" t="s">
        <v>1</v>
      </c>
      <c r="U273" t="s">
        <v>93</v>
      </c>
      <c r="AA273" s="3">
        <f>Q273-Z273</f>
      </c>
      <c r="AB273" t="s">
        <v>94</v>
      </c>
      <c r="AC273" t="s">
        <v>69</v>
      </c>
    </row>
    <row r="274" spans="1:29" x14ac:dyDescent="0.25">
      <c r="A274" s="7">
        <v>46187.5</v>
      </c>
      <c r="B274" t="s">
        <v>3526</v>
      </c>
      <c r="C274" t="s">
        <v>1</v>
      </c>
      <c r="D274" s="8" t="s">
        <v>3527</v>
      </c>
      <c r="E274" t="s">
        <v>72</v>
      </c>
      <c r="F274">
        <v>1</v>
      </c>
      <c r="G274" s="3">
        <v>297</v>
      </c>
      <c r="H274" s="3">
        <v>421.74</v>
      </c>
      <c r="I274" s="3">
        <f>H274-G274</f>
      </c>
      <c r="J274" s="3">
        <f>I274*16.67%</f>
      </c>
      <c r="K274" s="3">
        <v>19.44</v>
      </c>
      <c r="L274" s="3">
        <f>K274*20%</f>
      </c>
      <c r="M274" s="3">
        <v>0</v>
      </c>
      <c r="N274" s="3">
        <f>M274*20%</f>
      </c>
      <c r="O274" s="3">
        <v>1</v>
      </c>
      <c r="P274" s="3">
        <f>N274</f>
      </c>
      <c r="Q274" s="3">
        <f>I274-J274-K274-M274-N274-O274</f>
      </c>
      <c r="R274" s="3">
        <f>(Q274-Z274)/G274*100</f>
      </c>
      <c r="S274" s="3">
        <f>J274-P274</f>
      </c>
      <c r="T274" t="s">
        <v>1</v>
      </c>
      <c r="U274" t="s">
        <v>97</v>
      </c>
      <c r="AA274" s="3">
        <f>Q274-Z274</f>
      </c>
      <c r="AB274" t="s">
        <v>59</v>
      </c>
      <c r="AC274" t="s">
        <v>74</v>
      </c>
    </row>
    <row r="275" spans="1:29" x14ac:dyDescent="0.25">
      <c r="A275" s="7">
        <v>46187.5</v>
      </c>
      <c r="B275" t="s">
        <v>3528</v>
      </c>
      <c r="C275" t="s">
        <v>188</v>
      </c>
      <c r="D275" s="8" t="s">
        <v>1</v>
      </c>
      <c r="E275" t="s">
        <v>63</v>
      </c>
      <c r="F275">
        <v>3</v>
      </c>
      <c r="G275" s="3">
        <v>10.5</v>
      </c>
      <c r="H275" s="3">
        <v>12.07</v>
      </c>
      <c r="I275" s="3">
        <f>H275-G275</f>
      </c>
      <c r="J275" s="3">
        <f>I275*16.67%</f>
      </c>
      <c r="K275" s="3">
        <v>0.56</v>
      </c>
      <c r="L275" s="3">
        <f>K275*20%</f>
      </c>
      <c r="M275" s="3">
        <v>0</v>
      </c>
      <c r="N275" s="3">
        <f>M275*20%</f>
      </c>
      <c r="O275" s="3">
        <v>1</v>
      </c>
      <c r="P275" s="3">
        <f>N275</f>
      </c>
      <c r="Q275" s="3">
        <f>I275-J275-K275-M275-N275-O275</f>
      </c>
      <c r="R275" s="3">
        <f>(Q275-Z275)/G275*100</f>
      </c>
      <c r="S275" s="3">
        <f>J275-P275</f>
      </c>
      <c r="T275" t="s">
        <v>1</v>
      </c>
      <c r="U275" t="s">
        <v>188</v>
      </c>
      <c r="AA275" s="3">
        <f>Q275-Z275</f>
      </c>
      <c r="AB275" t="s">
        <v>1</v>
      </c>
      <c r="AC275" t="s">
        <v>1</v>
      </c>
    </row>
    <row r="276" spans="1:29" x14ac:dyDescent="0.25">
      <c r="A276" s="7">
        <v>46186.5</v>
      </c>
      <c r="B276" t="s">
        <v>3529</v>
      </c>
      <c r="C276" t="s">
        <v>1</v>
      </c>
      <c r="D276" s="8" t="s">
        <v>3530</v>
      </c>
      <c r="E276" t="s">
        <v>63</v>
      </c>
      <c r="F276">
        <v>1</v>
      </c>
      <c r="G276" s="3">
        <v>168</v>
      </c>
      <c r="H276" s="3">
        <v>206.64</v>
      </c>
      <c r="I276" s="3">
        <f>H276-G276</f>
      </c>
      <c r="J276" s="3">
        <f>I276*16.67%</f>
      </c>
      <c r="K276" s="3">
        <v>9.53</v>
      </c>
      <c r="L276" s="3">
        <f>K276*20%</f>
      </c>
      <c r="M276" s="3">
        <v>0</v>
      </c>
      <c r="N276" s="3">
        <f>M276*20%</f>
      </c>
      <c r="O276" s="3">
        <v>1</v>
      </c>
      <c r="P276" s="3">
        <f>N276</f>
      </c>
      <c r="Q276" s="3">
        <f>I276-J276-K276-M276-N276-O276</f>
      </c>
      <c r="R276" s="3">
        <f>(Q276-Z276)/G276*100</f>
      </c>
      <c r="S276" s="3">
        <f>J276-P276</f>
      </c>
      <c r="T276" t="s">
        <v>1</v>
      </c>
      <c r="U276" t="s">
        <v>171</v>
      </c>
      <c r="AA276" s="3">
        <f>Q276-Z276</f>
      </c>
      <c r="AB276" t="s">
        <v>65</v>
      </c>
      <c r="AC276" t="s">
        <v>60</v>
      </c>
    </row>
    <row r="277" spans="1:29" x14ac:dyDescent="0.25">
      <c r="A277" s="7">
        <v>46186.5</v>
      </c>
      <c r="B277" t="s">
        <v>3531</v>
      </c>
      <c r="C277" t="s">
        <v>1</v>
      </c>
      <c r="D277" s="8" t="s">
        <v>3532</v>
      </c>
      <c r="E277" t="s">
        <v>57</v>
      </c>
      <c r="F277">
        <v>1</v>
      </c>
      <c r="G277" s="3">
        <v>480</v>
      </c>
      <c r="H277" s="3">
        <v>614.4</v>
      </c>
      <c r="I277" s="3">
        <f>H277-G277</f>
      </c>
      <c r="J277" s="3">
        <f>I277*16.67%</f>
      </c>
      <c r="K277" s="3">
        <v>28.32</v>
      </c>
      <c r="L277" s="3">
        <f>K277*20%</f>
      </c>
      <c r="M277" s="3">
        <v>0</v>
      </c>
      <c r="N277" s="3">
        <f>M277*20%</f>
      </c>
      <c r="O277" s="3">
        <v>1</v>
      </c>
      <c r="P277" s="3">
        <f>N277</f>
      </c>
      <c r="Q277" s="3">
        <f>I277-J277-K277-M277-N277-O277</f>
      </c>
      <c r="R277" s="3">
        <f>(Q277-Z277)/G277*100</f>
      </c>
      <c r="S277" s="3">
        <f>J277-P277</f>
      </c>
      <c r="T277" t="s">
        <v>1</v>
      </c>
      <c r="U277" t="s">
        <v>68</v>
      </c>
      <c r="AA277" s="3">
        <f>Q277-Z277</f>
      </c>
      <c r="AB277" t="s">
        <v>59</v>
      </c>
      <c r="AC277" t="s">
        <v>69</v>
      </c>
    </row>
    <row r="278" spans="1:29" x14ac:dyDescent="0.25">
      <c r="A278" s="7">
        <v>46186.5</v>
      </c>
      <c r="B278" t="s">
        <v>3533</v>
      </c>
      <c r="C278" t="s">
        <v>1</v>
      </c>
      <c r="D278" s="8" t="s">
        <v>3534</v>
      </c>
      <c r="E278" t="s">
        <v>72</v>
      </c>
      <c r="F278">
        <v>1</v>
      </c>
      <c r="G278" s="3">
        <v>348</v>
      </c>
      <c r="H278" s="3">
        <v>421.08</v>
      </c>
      <c r="I278" s="3">
        <f>H278-G278</f>
      </c>
      <c r="J278" s="3">
        <f>I278*16.67%</f>
      </c>
      <c r="K278" s="3">
        <v>19.41</v>
      </c>
      <c r="L278" s="3">
        <f>K278*20%</f>
      </c>
      <c r="M278" s="3">
        <v>0</v>
      </c>
      <c r="N278" s="3">
        <f>M278*20%</f>
      </c>
      <c r="O278" s="3">
        <v>1</v>
      </c>
      <c r="P278" s="3">
        <f>N278</f>
      </c>
      <c r="Q278" s="3">
        <f>I278-J278-K278-M278-N278-O278</f>
      </c>
      <c r="R278" s="3">
        <f>(Q278-Z278)/G278*100</f>
      </c>
      <c r="S278" s="3">
        <f>J278-P278</f>
      </c>
      <c r="T278" t="s">
        <v>1</v>
      </c>
      <c r="U278" t="s">
        <v>73</v>
      </c>
      <c r="AA278" s="3">
        <f>Q278-Z278</f>
      </c>
      <c r="AB278" t="s">
        <v>59</v>
      </c>
      <c r="AC278" t="s">
        <v>98</v>
      </c>
    </row>
    <row r="279" spans="1:29" x14ac:dyDescent="0.25">
      <c r="A279" s="7">
        <v>46186.5</v>
      </c>
      <c r="B279" t="s">
        <v>3535</v>
      </c>
      <c r="C279" t="s">
        <v>1</v>
      </c>
      <c r="D279" s="8" t="s">
        <v>1</v>
      </c>
      <c r="E279" t="s">
        <v>101</v>
      </c>
      <c r="F279">
        <v>1</v>
      </c>
      <c r="G279" s="3">
        <v>298</v>
      </c>
      <c r="H279" s="3">
        <v>399.32</v>
      </c>
      <c r="I279" s="3">
        <f>H279-G279</f>
      </c>
      <c r="J279" s="3">
        <f>I279*16.67%</f>
      </c>
      <c r="K279" s="3">
        <v>18.41</v>
      </c>
      <c r="L279" s="3">
        <f>K279*20%</f>
      </c>
      <c r="M279" s="3">
        <v>0</v>
      </c>
      <c r="N279" s="3">
        <f>M279*20%</f>
      </c>
      <c r="O279" s="3">
        <v>1</v>
      </c>
      <c r="P279" s="3">
        <f>N279</f>
      </c>
      <c r="Q279" s="3">
        <f>I279-J279-K279-M279-N279-O279</f>
      </c>
      <c r="R279" s="3">
        <f>(Q279-Z279)/G279*100</f>
      </c>
      <c r="S279" s="3">
        <f>J279-P279</f>
      </c>
      <c r="T279" t="s">
        <v>1</v>
      </c>
      <c r="U279" t="s">
        <v>1</v>
      </c>
      <c r="AA279" s="3">
        <f>Q279-Z279</f>
      </c>
      <c r="AB279" t="s">
        <v>1</v>
      </c>
      <c r="AC279" t="s">
        <v>1</v>
      </c>
    </row>
    <row r="280" spans="1:29" x14ac:dyDescent="0.25">
      <c r="A280" s="7">
        <v>46185.5</v>
      </c>
      <c r="B280" t="s">
        <v>3536</v>
      </c>
      <c r="C280" t="s">
        <v>1</v>
      </c>
      <c r="D280" s="8" t="s">
        <v>3537</v>
      </c>
      <c r="E280" t="s">
        <v>57</v>
      </c>
      <c r="F280">
        <v>1</v>
      </c>
      <c r="G280" s="3">
        <v>171</v>
      </c>
      <c r="H280" s="3">
        <v>200.07</v>
      </c>
      <c r="I280" s="3">
        <f>H280-G280</f>
      </c>
      <c r="J280" s="3">
        <f>I280*16.67%</f>
      </c>
      <c r="K280" s="3">
        <v>9.22</v>
      </c>
      <c r="L280" s="3">
        <f>K280*20%</f>
      </c>
      <c r="M280" s="3">
        <v>0</v>
      </c>
      <c r="N280" s="3">
        <f>M280*20%</f>
      </c>
      <c r="O280" s="3">
        <v>1</v>
      </c>
      <c r="P280" s="3">
        <f>N280</f>
      </c>
      <c r="Q280" s="3">
        <f>I280-J280-K280-M280-N280-O280</f>
      </c>
      <c r="R280" s="3">
        <f>(Q280-Z280)/G280*100</f>
      </c>
      <c r="S280" s="3">
        <f>J280-P280</f>
      </c>
      <c r="T280" t="s">
        <v>1</v>
      </c>
      <c r="U280" t="s">
        <v>171</v>
      </c>
      <c r="AA280" s="3">
        <f>Q280-Z280</f>
      </c>
      <c r="AB280" t="s">
        <v>65</v>
      </c>
      <c r="AC280" t="s">
        <v>60</v>
      </c>
    </row>
    <row r="281" spans="1:29" x14ac:dyDescent="0.25">
      <c r="A281" s="7">
        <v>46185.5</v>
      </c>
      <c r="B281" t="s">
        <v>3538</v>
      </c>
      <c r="C281" t="s">
        <v>1</v>
      </c>
      <c r="D281" s="8" t="s">
        <v>3539</v>
      </c>
      <c r="E281" t="s">
        <v>57</v>
      </c>
      <c r="F281">
        <v>1</v>
      </c>
      <c r="G281" s="3">
        <v>174</v>
      </c>
      <c r="H281" s="3">
        <v>248.82</v>
      </c>
      <c r="I281" s="3">
        <f>H281-G281</f>
      </c>
      <c r="J281" s="3">
        <f>I281*16.67%</f>
      </c>
      <c r="K281" s="3">
        <v>11.47</v>
      </c>
      <c r="L281" s="3">
        <f>K281*20%</f>
      </c>
      <c r="M281" s="3">
        <v>0</v>
      </c>
      <c r="N281" s="3">
        <f>M281*20%</f>
      </c>
      <c r="O281" s="3">
        <v>1</v>
      </c>
      <c r="P281" s="3">
        <f>N281</f>
      </c>
      <c r="Q281" s="3">
        <f>I281-J281-K281-M281-N281-O281</f>
      </c>
      <c r="R281" s="3">
        <f>(Q281-Z281)/G281*100</f>
      </c>
      <c r="S281" s="3">
        <f>J281-P281</f>
      </c>
      <c r="T281" t="s">
        <v>1</v>
      </c>
      <c r="U281" t="s">
        <v>291</v>
      </c>
      <c r="AA281" s="3">
        <f>Q281-Z281</f>
      </c>
      <c r="AB281" t="s">
        <v>125</v>
      </c>
      <c r="AC281" t="s">
        <v>98</v>
      </c>
    </row>
    <row r="282" spans="1:29" x14ac:dyDescent="0.25">
      <c r="A282" s="7">
        <v>46185.5</v>
      </c>
      <c r="B282" t="s">
        <v>3540</v>
      </c>
      <c r="C282" t="s">
        <v>173</v>
      </c>
      <c r="D282" s="8" t="s">
        <v>1</v>
      </c>
      <c r="E282" t="s">
        <v>63</v>
      </c>
      <c r="F282">
        <v>2</v>
      </c>
      <c r="G282" s="3">
        <v>8.5</v>
      </c>
      <c r="H282" s="3">
        <v>10.03</v>
      </c>
      <c r="I282" s="3">
        <f>H282-G282</f>
      </c>
      <c r="J282" s="3">
        <f>I282*16.67%</f>
      </c>
      <c r="K282" s="3">
        <v>0.46</v>
      </c>
      <c r="L282" s="3">
        <f>K282*20%</f>
      </c>
      <c r="M282" s="3">
        <v>0</v>
      </c>
      <c r="N282" s="3">
        <f>M282*20%</f>
      </c>
      <c r="O282" s="3">
        <v>1</v>
      </c>
      <c r="P282" s="3">
        <f>N282</f>
      </c>
      <c r="Q282" s="3">
        <f>I282-J282-K282-M282-N282-O282</f>
      </c>
      <c r="R282" s="3">
        <f>(Q282-Z282)/G282*100</f>
      </c>
      <c r="S282" s="3">
        <f>J282-P282</f>
      </c>
      <c r="T282" t="s">
        <v>1</v>
      </c>
      <c r="U282" t="s">
        <v>173</v>
      </c>
      <c r="AA282" s="3">
        <f>Q282-Z282</f>
      </c>
      <c r="AB282" t="s">
        <v>1</v>
      </c>
      <c r="AC282" t="s">
        <v>1</v>
      </c>
    </row>
    <row r="283" spans="1:29" x14ac:dyDescent="0.25">
      <c r="A283" s="7">
        <v>46185.5</v>
      </c>
      <c r="B283" t="s">
        <v>3541</v>
      </c>
      <c r="C283" t="s">
        <v>173</v>
      </c>
      <c r="D283" s="8" t="s">
        <v>1</v>
      </c>
      <c r="E283" t="s">
        <v>63</v>
      </c>
      <c r="F283">
        <v>1</v>
      </c>
      <c r="G283" s="3">
        <v>4.25</v>
      </c>
      <c r="H283" s="3">
        <v>5.31</v>
      </c>
      <c r="I283" s="3">
        <f>H283-G283</f>
      </c>
      <c r="J283" s="3">
        <f>I283*16.67%</f>
      </c>
      <c r="K283" s="3">
        <v>0.24</v>
      </c>
      <c r="L283" s="3">
        <f>K283*20%</f>
      </c>
      <c r="M283" s="3">
        <v>0</v>
      </c>
      <c r="N283" s="3">
        <f>M283*20%</f>
      </c>
      <c r="O283" s="3">
        <v>1</v>
      </c>
      <c r="P283" s="3">
        <f>N283</f>
      </c>
      <c r="Q283" s="3">
        <f>I283-J283-K283-M283-N283-O283</f>
      </c>
      <c r="R283" s="3">
        <f>(Q283-Z283)/G283*100</f>
      </c>
      <c r="S283" s="3">
        <f>J283-P283</f>
      </c>
      <c r="T283" t="s">
        <v>1</v>
      </c>
      <c r="U283" t="s">
        <v>173</v>
      </c>
      <c r="AA283" s="3">
        <f>Q283-Z283</f>
      </c>
      <c r="AB283" t="s">
        <v>1</v>
      </c>
      <c r="AC283" t="s">
        <v>1</v>
      </c>
    </row>
    <row r="284" spans="1:29" x14ac:dyDescent="0.25">
      <c r="A284" s="7">
        <v>46185.5</v>
      </c>
      <c r="B284" t="s">
        <v>3542</v>
      </c>
      <c r="C284" t="s">
        <v>253</v>
      </c>
      <c r="D284" s="8" t="s">
        <v>1</v>
      </c>
      <c r="E284" t="s">
        <v>57</v>
      </c>
      <c r="F284">
        <v>2</v>
      </c>
      <c r="G284" s="3">
        <v>1.6</v>
      </c>
      <c r="H284" s="3">
        <v>1.95</v>
      </c>
      <c r="I284" s="3">
        <f>H284-G284</f>
      </c>
      <c r="J284" s="3">
        <f>I284*16.67%</f>
      </c>
      <c r="K284" s="3">
        <v>0.09</v>
      </c>
      <c r="L284" s="3">
        <f>K284*20%</f>
      </c>
      <c r="M284" s="3">
        <v>0</v>
      </c>
      <c r="N284" s="3">
        <f>M284*20%</f>
      </c>
      <c r="O284" s="3">
        <v>1</v>
      </c>
      <c r="P284" s="3">
        <f>N284</f>
      </c>
      <c r="Q284" s="3">
        <f>I284-J284-K284-M284-N284-O284</f>
      </c>
      <c r="R284" s="3">
        <f>(Q284-Z284)/G284*100</f>
      </c>
      <c r="S284" s="3">
        <f>J284-P284</f>
      </c>
      <c r="T284" t="s">
        <v>1</v>
      </c>
      <c r="U284" t="s">
        <v>253</v>
      </c>
      <c r="AA284" s="3">
        <f>Q284-Z284</f>
      </c>
      <c r="AB284" t="s">
        <v>1</v>
      </c>
      <c r="AC284" t="s">
        <v>1</v>
      </c>
    </row>
    <row r="285" spans="1:29" x14ac:dyDescent="0.25">
      <c r="A285" s="7">
        <v>46184.5</v>
      </c>
      <c r="B285" t="s">
        <v>3543</v>
      </c>
      <c r="C285" t="s">
        <v>1</v>
      </c>
      <c r="D285" s="8" t="s">
        <v>3544</v>
      </c>
      <c r="E285" t="s">
        <v>63</v>
      </c>
      <c r="F285">
        <v>1</v>
      </c>
      <c r="G285" s="3">
        <v>186</v>
      </c>
      <c r="H285" s="3">
        <v>217.62</v>
      </c>
      <c r="I285" s="3">
        <f>H285-G285</f>
      </c>
      <c r="J285" s="3">
        <f>I285*16.67%</f>
      </c>
      <c r="K285" s="3">
        <v>10.03</v>
      </c>
      <c r="L285" s="3">
        <f>K285*20%</f>
      </c>
      <c r="M285" s="3">
        <v>0</v>
      </c>
      <c r="N285" s="3">
        <f>M285*20%</f>
      </c>
      <c r="O285" s="3">
        <v>1</v>
      </c>
      <c r="P285" s="3">
        <f>N285</f>
      </c>
      <c r="Q285" s="3">
        <f>I285-J285-K285-M285-N285-O285</f>
      </c>
      <c r="R285" s="3">
        <f>(Q285-Z285)/G285*100</f>
      </c>
      <c r="S285" s="3">
        <f>J285-P285</f>
      </c>
      <c r="T285" t="s">
        <v>1</v>
      </c>
      <c r="U285" t="s">
        <v>291</v>
      </c>
      <c r="AA285" s="3">
        <f>Q285-Z285</f>
      </c>
      <c r="AB285" t="s">
        <v>125</v>
      </c>
      <c r="AC285" t="s">
        <v>60</v>
      </c>
    </row>
    <row r="286" spans="1:29" x14ac:dyDescent="0.25">
      <c r="A286" s="7">
        <v>46184.5</v>
      </c>
      <c r="B286" t="s">
        <v>3545</v>
      </c>
      <c r="C286" t="s">
        <v>1</v>
      </c>
      <c r="D286" s="8" t="s">
        <v>3546</v>
      </c>
      <c r="E286" t="s">
        <v>72</v>
      </c>
      <c r="F286">
        <v>1</v>
      </c>
      <c r="G286" s="3">
        <v>200</v>
      </c>
      <c r="H286" s="3">
        <v>254</v>
      </c>
      <c r="I286" s="3">
        <f>H286-G286</f>
      </c>
      <c r="J286" s="3">
        <f>I286*16.67%</f>
      </c>
      <c r="K286" s="3">
        <v>11.71</v>
      </c>
      <c r="L286" s="3">
        <f>K286*20%</f>
      </c>
      <c r="M286" s="3">
        <v>0</v>
      </c>
      <c r="N286" s="3">
        <f>M286*20%</f>
      </c>
      <c r="O286" s="3">
        <v>1</v>
      </c>
      <c r="P286" s="3">
        <f>N286</f>
      </c>
      <c r="Q286" s="3">
        <f>I286-J286-K286-M286-N286-O286</f>
      </c>
      <c r="R286" s="3">
        <f>(Q286-Z286)/G286*100</f>
      </c>
      <c r="S286" s="3">
        <f>J286-P286</f>
      </c>
      <c r="T286" t="s">
        <v>1</v>
      </c>
      <c r="U286" t="s">
        <v>291</v>
      </c>
      <c r="AA286" s="3">
        <f>Q286-Z286</f>
      </c>
      <c r="AB286" t="s">
        <v>125</v>
      </c>
      <c r="AC286" t="s">
        <v>104</v>
      </c>
    </row>
    <row r="287" spans="1:29" x14ac:dyDescent="0.25">
      <c r="A287" s="7">
        <v>46184.5</v>
      </c>
      <c r="B287" t="s">
        <v>3547</v>
      </c>
      <c r="C287" t="s">
        <v>1</v>
      </c>
      <c r="D287" s="8" t="s">
        <v>3548</v>
      </c>
      <c r="E287" t="s">
        <v>77</v>
      </c>
      <c r="F287">
        <v>1</v>
      </c>
      <c r="G287" s="3">
        <v>323</v>
      </c>
      <c r="H287" s="3">
        <v>374.68</v>
      </c>
      <c r="I287" s="3">
        <f>H287-G287</f>
      </c>
      <c r="J287" s="3">
        <f>I287*16.67%</f>
      </c>
      <c r="K287" s="3">
        <v>17.27</v>
      </c>
      <c r="L287" s="3">
        <f>K287*20%</f>
      </c>
      <c r="M287" s="3">
        <v>0</v>
      </c>
      <c r="N287" s="3">
        <f>M287*20%</f>
      </c>
      <c r="O287" s="3">
        <v>1</v>
      </c>
      <c r="P287" s="3">
        <f>N287</f>
      </c>
      <c r="Q287" s="3">
        <f>I287-J287-K287-M287-N287-O287</f>
      </c>
      <c r="R287" s="3">
        <f>(Q287-Z287)/G287*100</f>
      </c>
      <c r="S287" s="3">
        <f>J287-P287</f>
      </c>
      <c r="T287" t="s">
        <v>1</v>
      </c>
      <c r="U287" t="s">
        <v>73</v>
      </c>
      <c r="AA287" s="3">
        <f>Q287-Z287</f>
      </c>
      <c r="AB287" t="s">
        <v>59</v>
      </c>
      <c r="AC287" t="s">
        <v>98</v>
      </c>
    </row>
    <row r="288" spans="1:29" x14ac:dyDescent="0.25">
      <c r="A288" s="7">
        <v>46184.5</v>
      </c>
      <c r="B288" t="s">
        <v>3549</v>
      </c>
      <c r="C288" t="s">
        <v>1</v>
      </c>
      <c r="D288" s="8" t="s">
        <v>3550</v>
      </c>
      <c r="E288" t="s">
        <v>63</v>
      </c>
      <c r="F288">
        <v>1</v>
      </c>
      <c r="G288" s="3">
        <v>170</v>
      </c>
      <c r="H288" s="3">
        <v>243.1</v>
      </c>
      <c r="I288" s="3">
        <f>H288-G288</f>
      </c>
      <c r="J288" s="3">
        <f>I288*16.67%</f>
      </c>
      <c r="K288" s="3">
        <v>11.21</v>
      </c>
      <c r="L288" s="3">
        <f>K288*20%</f>
      </c>
      <c r="M288" s="3">
        <v>0</v>
      </c>
      <c r="N288" s="3">
        <f>M288*20%</f>
      </c>
      <c r="O288" s="3">
        <v>1</v>
      </c>
      <c r="P288" s="3">
        <f>N288</f>
      </c>
      <c r="Q288" s="3">
        <f>I288-J288-K288-M288-N288-O288</f>
      </c>
      <c r="R288" s="3">
        <f>(Q288-Z288)/G288*100</f>
      </c>
      <c r="S288" s="3">
        <f>J288-P288</f>
      </c>
      <c r="T288" t="s">
        <v>1</v>
      </c>
      <c r="U288" t="s">
        <v>171</v>
      </c>
      <c r="AA288" s="3">
        <f>Q288-Z288</f>
      </c>
      <c r="AB288" t="s">
        <v>65</v>
      </c>
      <c r="AC288" t="s">
        <v>104</v>
      </c>
    </row>
    <row r="289" spans="1:29" x14ac:dyDescent="0.25">
      <c r="A289" s="7">
        <v>46184.5</v>
      </c>
      <c r="B289" t="s">
        <v>3551</v>
      </c>
      <c r="C289" t="s">
        <v>188</v>
      </c>
      <c r="D289" s="8" t="s">
        <v>1</v>
      </c>
      <c r="E289" t="s">
        <v>63</v>
      </c>
      <c r="F289">
        <v>1</v>
      </c>
      <c r="G289" s="3">
        <v>3.5</v>
      </c>
      <c r="H289" s="3">
        <v>4.13</v>
      </c>
      <c r="I289" s="3">
        <f>H289-G289</f>
      </c>
      <c r="J289" s="3">
        <f>I289*16.67%</f>
      </c>
      <c r="K289" s="3">
        <v>0.19</v>
      </c>
      <c r="L289" s="3">
        <f>K289*20%</f>
      </c>
      <c r="M289" s="3">
        <v>0</v>
      </c>
      <c r="N289" s="3">
        <f>M289*20%</f>
      </c>
      <c r="O289" s="3">
        <v>1</v>
      </c>
      <c r="P289" s="3">
        <f>N289</f>
      </c>
      <c r="Q289" s="3">
        <f>I289-J289-K289-M289-N289-O289</f>
      </c>
      <c r="R289" s="3">
        <f>(Q289-Z289)/G289*100</f>
      </c>
      <c r="S289" s="3">
        <f>J289-P289</f>
      </c>
      <c r="T289" t="s">
        <v>1</v>
      </c>
      <c r="U289" t="s">
        <v>188</v>
      </c>
      <c r="AA289" s="3">
        <f>Q289-Z289</f>
      </c>
      <c r="AB289" t="s">
        <v>1</v>
      </c>
      <c r="AC289" t="s">
        <v>1</v>
      </c>
    </row>
    <row r="290" spans="1:29" x14ac:dyDescent="0.25">
      <c r="A290" s="7">
        <v>46183.5</v>
      </c>
      <c r="B290" t="s">
        <v>3552</v>
      </c>
      <c r="C290" t="s">
        <v>1</v>
      </c>
      <c r="D290" s="8" t="s">
        <v>3553</v>
      </c>
      <c r="E290" t="s">
        <v>57</v>
      </c>
      <c r="F290">
        <v>1</v>
      </c>
      <c r="G290" s="3">
        <v>361</v>
      </c>
      <c r="H290" s="3">
        <v>454.86</v>
      </c>
      <c r="I290" s="3">
        <f>H290-G290</f>
      </c>
      <c r="J290" s="3">
        <f>I290*16.67%</f>
      </c>
      <c r="K290" s="3">
        <v>20.97</v>
      </c>
      <c r="L290" s="3">
        <f>K290*20%</f>
      </c>
      <c r="M290" s="3">
        <v>0</v>
      </c>
      <c r="N290" s="3">
        <f>M290*20%</f>
      </c>
      <c r="O290" s="3">
        <v>1</v>
      </c>
      <c r="P290" s="3">
        <f>N290</f>
      </c>
      <c r="Q290" s="3">
        <f>I290-J290-K290-M290-N290-O290</f>
      </c>
      <c r="R290" s="3">
        <f>(Q290-Z290)/G290*100</f>
      </c>
      <c r="S290" s="3">
        <f>J290-P290</f>
      </c>
      <c r="T290" t="s">
        <v>1</v>
      </c>
      <c r="U290" t="s">
        <v>73</v>
      </c>
      <c r="AA290" s="3">
        <f>Q290-Z290</f>
      </c>
      <c r="AB290" t="s">
        <v>59</v>
      </c>
      <c r="AC290" t="s">
        <v>87</v>
      </c>
    </row>
    <row r="291" spans="1:29" x14ac:dyDescent="0.25">
      <c r="A291" s="7">
        <v>46183.5</v>
      </c>
      <c r="B291" t="s">
        <v>3554</v>
      </c>
      <c r="C291" t="s">
        <v>253</v>
      </c>
      <c r="D291" s="8" t="s">
        <v>1</v>
      </c>
      <c r="E291" t="s">
        <v>57</v>
      </c>
      <c r="F291">
        <v>4</v>
      </c>
      <c r="G291" s="3">
        <v>3.2</v>
      </c>
      <c r="H291" s="3">
        <v>4.22</v>
      </c>
      <c r="I291" s="3">
        <f>H291-G291</f>
      </c>
      <c r="J291" s="3">
        <f>I291*16.67%</f>
      </c>
      <c r="K291" s="3">
        <v>0.19</v>
      </c>
      <c r="L291" s="3">
        <f>K291*20%</f>
      </c>
      <c r="M291" s="3">
        <v>0</v>
      </c>
      <c r="N291" s="3">
        <f>M291*20%</f>
      </c>
      <c r="O291" s="3">
        <v>1</v>
      </c>
      <c r="P291" s="3">
        <f>N291</f>
      </c>
      <c r="Q291" s="3">
        <f>I291-J291-K291-M291-N291-O291</f>
      </c>
      <c r="R291" s="3">
        <f>(Q291-Z291)/G291*100</f>
      </c>
      <c r="S291" s="3">
        <f>J291-P291</f>
      </c>
      <c r="T291" t="s">
        <v>1</v>
      </c>
      <c r="U291" t="s">
        <v>253</v>
      </c>
      <c r="AA291" s="3">
        <f>Q291-Z291</f>
      </c>
      <c r="AB291" t="s">
        <v>1</v>
      </c>
      <c r="AC291" t="s">
        <v>1</v>
      </c>
    </row>
    <row r="292" spans="1:29" x14ac:dyDescent="0.25">
      <c r="A292" s="7">
        <v>46183.5</v>
      </c>
      <c r="B292" t="s">
        <v>3555</v>
      </c>
      <c r="C292" t="s">
        <v>188</v>
      </c>
      <c r="D292" s="8" t="s">
        <v>1</v>
      </c>
      <c r="E292" t="s">
        <v>63</v>
      </c>
      <c r="F292">
        <v>1</v>
      </c>
      <c r="G292" s="3">
        <v>3.5</v>
      </c>
      <c r="H292" s="3">
        <v>4.2</v>
      </c>
      <c r="I292" s="3">
        <f>H292-G292</f>
      </c>
      <c r="J292" s="3">
        <f>I292*16.67%</f>
      </c>
      <c r="K292" s="3">
        <v>0.19</v>
      </c>
      <c r="L292" s="3">
        <f>K292*20%</f>
      </c>
      <c r="M292" s="3">
        <v>0</v>
      </c>
      <c r="N292" s="3">
        <f>M292*20%</f>
      </c>
      <c r="O292" s="3">
        <v>1</v>
      </c>
      <c r="P292" s="3">
        <f>N292</f>
      </c>
      <c r="Q292" s="3">
        <f>I292-J292-K292-M292-N292-O292</f>
      </c>
      <c r="R292" s="3">
        <f>(Q292-Z292)/G292*100</f>
      </c>
      <c r="S292" s="3">
        <f>J292-P292</f>
      </c>
      <c r="T292" t="s">
        <v>1</v>
      </c>
      <c r="U292" t="s">
        <v>188</v>
      </c>
      <c r="AA292" s="3">
        <f>Q292-Z292</f>
      </c>
      <c r="AB292" t="s">
        <v>1</v>
      </c>
      <c r="AC292" t="s">
        <v>1</v>
      </c>
    </row>
    <row r="293" spans="1:29" x14ac:dyDescent="0.25">
      <c r="A293" s="7">
        <v>46182.5</v>
      </c>
      <c r="B293" t="s">
        <v>3556</v>
      </c>
      <c r="C293" t="s">
        <v>1</v>
      </c>
      <c r="D293" s="8" t="s">
        <v>3557</v>
      </c>
      <c r="E293" t="s">
        <v>101</v>
      </c>
      <c r="F293">
        <v>1</v>
      </c>
      <c r="G293" s="3">
        <v>186</v>
      </c>
      <c r="H293" s="3">
        <v>251.1</v>
      </c>
      <c r="I293" s="3">
        <f>H293-G293</f>
      </c>
      <c r="J293" s="3">
        <f>I293*16.67%</f>
      </c>
      <c r="K293" s="3">
        <v>11.58</v>
      </c>
      <c r="L293" s="3">
        <f>K293*20%</f>
      </c>
      <c r="M293" s="3">
        <v>0</v>
      </c>
      <c r="N293" s="3">
        <f>M293*20%</f>
      </c>
      <c r="O293" s="3">
        <v>1</v>
      </c>
      <c r="P293" s="3">
        <f>N293</f>
      </c>
      <c r="Q293" s="3">
        <f>I293-J293-K293-M293-N293-O293</f>
      </c>
      <c r="R293" s="3">
        <f>(Q293-Z293)/G293*100</f>
      </c>
      <c r="S293" s="3">
        <f>J293-P293</f>
      </c>
      <c r="T293" t="s">
        <v>1</v>
      </c>
      <c r="U293" t="s">
        <v>233</v>
      </c>
      <c r="AA293" s="3">
        <f>Q293-Z293</f>
      </c>
      <c r="AB293" t="s">
        <v>65</v>
      </c>
      <c r="AC293" t="s">
        <v>87</v>
      </c>
    </row>
    <row r="294" spans="1:29" x14ac:dyDescent="0.25">
      <c r="A294" s="7">
        <v>46182.5</v>
      </c>
      <c r="B294" t="s">
        <v>3558</v>
      </c>
      <c r="C294" t="s">
        <v>1</v>
      </c>
      <c r="D294" s="8" t="s">
        <v>3559</v>
      </c>
      <c r="E294" t="s">
        <v>63</v>
      </c>
      <c r="F294">
        <v>1</v>
      </c>
      <c r="G294" s="3">
        <v>256</v>
      </c>
      <c r="H294" s="3">
        <v>320</v>
      </c>
      <c r="I294" s="3">
        <f>H294-G294</f>
      </c>
      <c r="J294" s="3">
        <f>I294*16.67%</f>
      </c>
      <c r="K294" s="3">
        <v>14.75</v>
      </c>
      <c r="L294" s="3">
        <f>K294*20%</f>
      </c>
      <c r="M294" s="3">
        <v>0</v>
      </c>
      <c r="N294" s="3">
        <f>M294*20%</f>
      </c>
      <c r="O294" s="3">
        <v>1</v>
      </c>
      <c r="P294" s="3">
        <f>N294</f>
      </c>
      <c r="Q294" s="3">
        <f>I294-J294-K294-M294-N294-O294</f>
      </c>
      <c r="R294" s="3">
        <f>(Q294-Z294)/G294*100</f>
      </c>
      <c r="S294" s="3">
        <f>J294-P294</f>
      </c>
      <c r="T294" t="s">
        <v>1</v>
      </c>
      <c r="U294" t="s">
        <v>64</v>
      </c>
      <c r="AA294" s="3">
        <f>Q294-Z294</f>
      </c>
      <c r="AB294" t="s">
        <v>65</v>
      </c>
      <c r="AC294" t="s">
        <v>84</v>
      </c>
    </row>
    <row r="295" spans="1:29" x14ac:dyDescent="0.25">
      <c r="A295" s="7">
        <v>46182.5</v>
      </c>
      <c r="B295" t="s">
        <v>3560</v>
      </c>
      <c r="C295" t="s">
        <v>1</v>
      </c>
      <c r="D295" s="8" t="s">
        <v>3561</v>
      </c>
      <c r="E295" t="s">
        <v>57</v>
      </c>
      <c r="F295">
        <v>1</v>
      </c>
      <c r="G295" s="3">
        <v>67</v>
      </c>
      <c r="H295" s="3">
        <v>95.81</v>
      </c>
      <c r="I295" s="3">
        <f>H295-G295</f>
      </c>
      <c r="J295" s="3">
        <f>I295*16.67%</f>
      </c>
      <c r="K295" s="3">
        <v>4.42</v>
      </c>
      <c r="L295" s="3">
        <f>K295*20%</f>
      </c>
      <c r="M295" s="3">
        <v>0</v>
      </c>
      <c r="N295" s="3">
        <f>M295*20%</f>
      </c>
      <c r="O295" s="3">
        <v>1</v>
      </c>
      <c r="P295" s="3">
        <f>N295</f>
      </c>
      <c r="Q295" s="3">
        <f>I295-J295-K295-M295-N295-O295</f>
      </c>
      <c r="R295" s="3">
        <f>(Q295-Z295)/G295*100</f>
      </c>
      <c r="S295" s="3">
        <f>J295-P295</f>
      </c>
      <c r="T295" t="s">
        <v>1</v>
      </c>
      <c r="U295" t="s">
        <v>93</v>
      </c>
      <c r="AA295" s="3">
        <f>Q295-Z295</f>
      </c>
      <c r="AB295" t="s">
        <v>94</v>
      </c>
      <c r="AC295" t="s">
        <v>74</v>
      </c>
    </row>
    <row r="296" spans="1:29" x14ac:dyDescent="0.25">
      <c r="A296" s="7">
        <v>46182.5</v>
      </c>
      <c r="B296" t="s">
        <v>3562</v>
      </c>
      <c r="C296" t="s">
        <v>1</v>
      </c>
      <c r="D296" s="8" t="s">
        <v>3563</v>
      </c>
      <c r="E296" t="s">
        <v>63</v>
      </c>
      <c r="F296">
        <v>1</v>
      </c>
      <c r="G296" s="3">
        <v>268</v>
      </c>
      <c r="H296" s="3">
        <v>361.8</v>
      </c>
      <c r="I296" s="3">
        <f>H296-G296</f>
      </c>
      <c r="J296" s="3">
        <f>I296*16.67%</f>
      </c>
      <c r="K296" s="3">
        <v>16.68</v>
      </c>
      <c r="L296" s="3">
        <f>K296*20%</f>
      </c>
      <c r="M296" s="3">
        <v>0</v>
      </c>
      <c r="N296" s="3">
        <f>M296*20%</f>
      </c>
      <c r="O296" s="3">
        <v>1</v>
      </c>
      <c r="P296" s="3">
        <f>N296</f>
      </c>
      <c r="Q296" s="3">
        <f>I296-J296-K296-M296-N296-O296</f>
      </c>
      <c r="R296" s="3">
        <f>(Q296-Z296)/G296*100</f>
      </c>
      <c r="S296" s="3">
        <f>J296-P296</f>
      </c>
      <c r="T296" t="s">
        <v>1</v>
      </c>
      <c r="U296" t="s">
        <v>130</v>
      </c>
      <c r="AA296" s="3">
        <f>Q296-Z296</f>
      </c>
      <c r="AB296" t="s">
        <v>59</v>
      </c>
      <c r="AC296" t="s">
        <v>98</v>
      </c>
    </row>
    <row r="297" spans="1:29" x14ac:dyDescent="0.25">
      <c r="A297" s="7">
        <v>46182.5</v>
      </c>
      <c r="B297" t="s">
        <v>3564</v>
      </c>
      <c r="C297" t="s">
        <v>1</v>
      </c>
      <c r="D297" s="8" t="s">
        <v>3565</v>
      </c>
      <c r="E297" t="s">
        <v>101</v>
      </c>
      <c r="F297">
        <v>1</v>
      </c>
      <c r="G297" s="3">
        <v>201</v>
      </c>
      <c r="H297" s="3">
        <v>251.25</v>
      </c>
      <c r="I297" s="3">
        <f>H297-G297</f>
      </c>
      <c r="J297" s="3">
        <f>I297*16.67%</f>
      </c>
      <c r="K297" s="3">
        <v>11.58</v>
      </c>
      <c r="L297" s="3">
        <f>K297*20%</f>
      </c>
      <c r="M297" s="3">
        <v>0</v>
      </c>
      <c r="N297" s="3">
        <f>M297*20%</f>
      </c>
      <c r="O297" s="3">
        <v>1</v>
      </c>
      <c r="P297" s="3">
        <f>N297</f>
      </c>
      <c r="Q297" s="3">
        <f>I297-J297-K297-M297-N297-O297</f>
      </c>
      <c r="R297" s="3">
        <f>(Q297-Z297)/G297*100</f>
      </c>
      <c r="S297" s="3">
        <f>J297-P297</f>
      </c>
      <c r="T297" t="s">
        <v>1</v>
      </c>
      <c r="U297" t="s">
        <v>291</v>
      </c>
      <c r="AA297" s="3">
        <f>Q297-Z297</f>
      </c>
      <c r="AB297" t="s">
        <v>125</v>
      </c>
      <c r="AC297" t="s">
        <v>104</v>
      </c>
    </row>
    <row r="298" spans="1:29" x14ac:dyDescent="0.25">
      <c r="A298" s="7">
        <v>46182.5</v>
      </c>
      <c r="B298" t="s">
        <v>3566</v>
      </c>
      <c r="C298" t="s">
        <v>1</v>
      </c>
      <c r="D298" s="8" t="s">
        <v>1</v>
      </c>
      <c r="E298" t="s">
        <v>72</v>
      </c>
      <c r="F298">
        <v>1</v>
      </c>
      <c r="G298" s="3">
        <v>547</v>
      </c>
      <c r="H298" s="3">
        <v>732.98</v>
      </c>
      <c r="I298" s="3">
        <f>H298-G298</f>
      </c>
      <c r="J298" s="3">
        <f>I298*16.67%</f>
      </c>
      <c r="K298" s="3">
        <v>33.79</v>
      </c>
      <c r="L298" s="3">
        <f>K298*20%</f>
      </c>
      <c r="M298" s="3">
        <v>0</v>
      </c>
      <c r="N298" s="3">
        <f>M298*20%</f>
      </c>
      <c r="O298" s="3">
        <v>1</v>
      </c>
      <c r="P298" s="3">
        <f>N298</f>
      </c>
      <c r="Q298" s="3">
        <f>I298-J298-K298-M298-N298-O298</f>
      </c>
      <c r="R298" s="3">
        <f>(Q298-Z298)/G298*100</f>
      </c>
      <c r="S298" s="3">
        <f>J298-P298</f>
      </c>
      <c r="T298" t="s">
        <v>1</v>
      </c>
      <c r="U298" t="s">
        <v>1</v>
      </c>
      <c r="AA298" s="3">
        <f>Q298-Z298</f>
      </c>
      <c r="AB298" t="s">
        <v>1</v>
      </c>
      <c r="AC298" t="s">
        <v>1</v>
      </c>
    </row>
    <row r="299" spans="1:29" x14ac:dyDescent="0.25">
      <c r="A299" s="7">
        <v>46181.5</v>
      </c>
      <c r="B299" t="s">
        <v>3567</v>
      </c>
      <c r="C299" t="s">
        <v>1</v>
      </c>
      <c r="D299" s="8" t="s">
        <v>3568</v>
      </c>
      <c r="E299" t="s">
        <v>101</v>
      </c>
      <c r="F299">
        <v>1</v>
      </c>
      <c r="G299" s="3">
        <v>331</v>
      </c>
      <c r="H299" s="3">
        <v>430.3</v>
      </c>
      <c r="I299" s="3">
        <f>H299-G299</f>
      </c>
      <c r="J299" s="3">
        <f>I299*16.67%</f>
      </c>
      <c r="K299" s="3">
        <v>19.84</v>
      </c>
      <c r="L299" s="3">
        <f>K299*20%</f>
      </c>
      <c r="M299" s="3">
        <v>0</v>
      </c>
      <c r="N299" s="3">
        <f>M299*20%</f>
      </c>
      <c r="O299" s="3">
        <v>1</v>
      </c>
      <c r="P299" s="3">
        <f>N299</f>
      </c>
      <c r="Q299" s="3">
        <f>I299-J299-K299-M299-N299-O299</f>
      </c>
      <c r="R299" s="3">
        <f>(Q299-Z299)/G299*100</f>
      </c>
      <c r="S299" s="3">
        <f>J299-P299</f>
      </c>
      <c r="T299" t="s">
        <v>1</v>
      </c>
      <c r="U299" t="s">
        <v>138</v>
      </c>
      <c r="AA299" s="3">
        <f>Q299-Z299</f>
      </c>
      <c r="AB299" t="s">
        <v>65</v>
      </c>
      <c r="AC299" t="s">
        <v>104</v>
      </c>
    </row>
    <row r="300" spans="1:29" x14ac:dyDescent="0.25">
      <c r="A300" s="7">
        <v>46181.5</v>
      </c>
      <c r="B300" t="s">
        <v>3569</v>
      </c>
      <c r="C300" t="s">
        <v>1</v>
      </c>
      <c r="D300" s="8" t="s">
        <v>3570</v>
      </c>
      <c r="E300" t="s">
        <v>101</v>
      </c>
      <c r="F300">
        <v>1</v>
      </c>
      <c r="G300" s="3">
        <v>545</v>
      </c>
      <c r="H300" s="3">
        <v>779.35</v>
      </c>
      <c r="I300" s="3">
        <f>H300-G300</f>
      </c>
      <c r="J300" s="3">
        <f>I300*16.67%</f>
      </c>
      <c r="K300" s="3">
        <v>35.93</v>
      </c>
      <c r="L300" s="3">
        <f>K300*20%</f>
      </c>
      <c r="M300" s="3">
        <v>0</v>
      </c>
      <c r="N300" s="3">
        <f>M300*20%</f>
      </c>
      <c r="O300" s="3">
        <v>1</v>
      </c>
      <c r="P300" s="3">
        <f>N300</f>
      </c>
      <c r="Q300" s="3">
        <f>I300-J300-K300-M300-N300-O300</f>
      </c>
      <c r="R300" s="3">
        <f>(Q300-Z300)/G300*100</f>
      </c>
      <c r="S300" s="3">
        <f>J300-P300</f>
      </c>
      <c r="T300" t="s">
        <v>1</v>
      </c>
      <c r="U300" t="s">
        <v>68</v>
      </c>
      <c r="AA300" s="3">
        <f>Q300-Z300</f>
      </c>
      <c r="AB300" t="s">
        <v>59</v>
      </c>
      <c r="AC300" t="s">
        <v>98</v>
      </c>
    </row>
    <row r="301" spans="1:29" x14ac:dyDescent="0.25">
      <c r="A301" s="7">
        <v>46181.5</v>
      </c>
      <c r="B301" t="s">
        <v>3571</v>
      </c>
      <c r="C301" t="s">
        <v>1</v>
      </c>
      <c r="D301" s="8" t="s">
        <v>1</v>
      </c>
      <c r="E301" t="s">
        <v>101</v>
      </c>
      <c r="F301">
        <v>1</v>
      </c>
      <c r="G301" s="3">
        <v>171</v>
      </c>
      <c r="H301" s="3">
        <v>232.56</v>
      </c>
      <c r="I301" s="3">
        <f>H301-G301</f>
      </c>
      <c r="J301" s="3">
        <f>I301*16.67%</f>
      </c>
      <c r="K301" s="3">
        <v>10.72</v>
      </c>
      <c r="L301" s="3">
        <f>K301*20%</f>
      </c>
      <c r="M301" s="3">
        <v>0</v>
      </c>
      <c r="N301" s="3">
        <f>M301*20%</f>
      </c>
      <c r="O301" s="3">
        <v>1</v>
      </c>
      <c r="P301" s="3">
        <f>N301</f>
      </c>
      <c r="Q301" s="3">
        <f>I301-J301-K301-M301-N301-O301</f>
      </c>
      <c r="R301" s="3">
        <f>(Q301-Z301)/G301*100</f>
      </c>
      <c r="S301" s="3">
        <f>J301-P301</f>
      </c>
      <c r="T301" t="s">
        <v>1</v>
      </c>
      <c r="U301" t="s">
        <v>1</v>
      </c>
      <c r="AA301" s="3">
        <f>Q301-Z301</f>
      </c>
      <c r="AB301" t="s">
        <v>1</v>
      </c>
      <c r="AC301" t="s">
        <v>1</v>
      </c>
    </row>
    <row r="302" spans="1:29" x14ac:dyDescent="0.25">
      <c r="A302" s="7">
        <v>46180.5</v>
      </c>
      <c r="B302" t="s">
        <v>3572</v>
      </c>
      <c r="C302" t="s">
        <v>1</v>
      </c>
      <c r="D302" s="8" t="s">
        <v>3573</v>
      </c>
      <c r="E302" t="s">
        <v>63</v>
      </c>
      <c r="F302">
        <v>1</v>
      </c>
      <c r="G302" s="3">
        <v>353</v>
      </c>
      <c r="H302" s="3">
        <v>405.95</v>
      </c>
      <c r="I302" s="3">
        <f>H302-G302</f>
      </c>
      <c r="J302" s="3">
        <f>I302*16.67%</f>
      </c>
      <c r="K302" s="3">
        <v>18.71</v>
      </c>
      <c r="L302" s="3">
        <f>K302*20%</f>
      </c>
      <c r="M302" s="3">
        <v>0</v>
      </c>
      <c r="N302" s="3">
        <f>M302*20%</f>
      </c>
      <c r="O302" s="3">
        <v>1</v>
      </c>
      <c r="P302" s="3">
        <f>N302</f>
      </c>
      <c r="Q302" s="3">
        <f>I302-J302-K302-M302-N302-O302</f>
      </c>
      <c r="R302" s="3">
        <f>(Q302-Z302)/G302*100</f>
      </c>
      <c r="S302" s="3">
        <f>J302-P302</f>
      </c>
      <c r="T302" t="s">
        <v>1</v>
      </c>
      <c r="U302" t="s">
        <v>73</v>
      </c>
      <c r="AA302" s="3">
        <f>Q302-Z302</f>
      </c>
      <c r="AB302" t="s">
        <v>59</v>
      </c>
      <c r="AC302" t="s">
        <v>98</v>
      </c>
    </row>
    <row r="303" spans="1:29" x14ac:dyDescent="0.25">
      <c r="A303" s="7">
        <v>46180.5</v>
      </c>
      <c r="B303" t="s">
        <v>3574</v>
      </c>
      <c r="C303" t="s">
        <v>1</v>
      </c>
      <c r="D303" s="8" t="s">
        <v>3575</v>
      </c>
      <c r="E303" t="s">
        <v>57</v>
      </c>
      <c r="F303">
        <v>1</v>
      </c>
      <c r="G303" s="3">
        <v>298</v>
      </c>
      <c r="H303" s="3">
        <v>360.58</v>
      </c>
      <c r="I303" s="3">
        <f>H303-G303</f>
      </c>
      <c r="J303" s="3">
        <f>I303*16.67%</f>
      </c>
      <c r="K303" s="3">
        <v>16.62</v>
      </c>
      <c r="L303" s="3">
        <f>K303*20%</f>
      </c>
      <c r="M303" s="3">
        <v>0</v>
      </c>
      <c r="N303" s="3">
        <f>M303*20%</f>
      </c>
      <c r="O303" s="3">
        <v>1</v>
      </c>
      <c r="P303" s="3">
        <f>N303</f>
      </c>
      <c r="Q303" s="3">
        <f>I303-J303-K303-M303-N303-O303</f>
      </c>
      <c r="R303" s="3">
        <f>(Q303-Z303)/G303*100</f>
      </c>
      <c r="S303" s="3">
        <f>J303-P303</f>
      </c>
      <c r="T303" t="s">
        <v>1</v>
      </c>
      <c r="U303" t="s">
        <v>97</v>
      </c>
      <c r="AA303" s="3">
        <f>Q303-Z303</f>
      </c>
      <c r="AB303" t="s">
        <v>59</v>
      </c>
      <c r="AC303" t="s">
        <v>60</v>
      </c>
    </row>
    <row r="304" spans="1:29" x14ac:dyDescent="0.25">
      <c r="A304" s="7">
        <v>46180.5</v>
      </c>
      <c r="B304" t="s">
        <v>3576</v>
      </c>
      <c r="C304" t="s">
        <v>1</v>
      </c>
      <c r="D304" s="8" t="s">
        <v>3577</v>
      </c>
      <c r="E304" t="s">
        <v>57</v>
      </c>
      <c r="F304">
        <v>1</v>
      </c>
      <c r="G304" s="3">
        <v>246</v>
      </c>
      <c r="H304" s="3">
        <v>297.66</v>
      </c>
      <c r="I304" s="3">
        <f>H304-G304</f>
      </c>
      <c r="J304" s="3">
        <f>I304*16.67%</f>
      </c>
      <c r="K304" s="3">
        <v>13.72</v>
      </c>
      <c r="L304" s="3">
        <f>K304*20%</f>
      </c>
      <c r="M304" s="3">
        <v>0</v>
      </c>
      <c r="N304" s="3">
        <f>M304*20%</f>
      </c>
      <c r="O304" s="3">
        <v>1</v>
      </c>
      <c r="P304" s="3">
        <f>N304</f>
      </c>
      <c r="Q304" s="3">
        <f>I304-J304-K304-M304-N304-O304</f>
      </c>
      <c r="R304" s="3">
        <f>(Q304-Z304)/G304*100</f>
      </c>
      <c r="S304" s="3">
        <f>J304-P304</f>
      </c>
      <c r="T304" t="s">
        <v>1</v>
      </c>
      <c r="U304" t="s">
        <v>113</v>
      </c>
      <c r="AA304" s="3">
        <f>Q304-Z304</f>
      </c>
      <c r="AB304" t="s">
        <v>59</v>
      </c>
      <c r="AC304" t="s">
        <v>60</v>
      </c>
    </row>
    <row r="305" spans="1:29" x14ac:dyDescent="0.25">
      <c r="A305" s="7">
        <v>46180.5</v>
      </c>
      <c r="B305" t="s">
        <v>3578</v>
      </c>
      <c r="C305" t="s">
        <v>1</v>
      </c>
      <c r="D305" s="8" t="s">
        <v>3579</v>
      </c>
      <c r="E305" t="s">
        <v>63</v>
      </c>
      <c r="F305">
        <v>1</v>
      </c>
      <c r="G305" s="3">
        <v>126</v>
      </c>
      <c r="H305" s="3">
        <v>167.58</v>
      </c>
      <c r="I305" s="3">
        <f>H305-G305</f>
      </c>
      <c r="J305" s="3">
        <f>I305*16.67%</f>
      </c>
      <c r="K305" s="3">
        <v>7.73</v>
      </c>
      <c r="L305" s="3">
        <f>K305*20%</f>
      </c>
      <c r="M305" s="3">
        <v>0</v>
      </c>
      <c r="N305" s="3">
        <f>M305*20%</f>
      </c>
      <c r="O305" s="3">
        <v>1</v>
      </c>
      <c r="P305" s="3">
        <f>N305</f>
      </c>
      <c r="Q305" s="3">
        <f>I305-J305-K305-M305-N305-O305</f>
      </c>
      <c r="R305" s="3">
        <f>(Q305-Z305)/G305*100</f>
      </c>
      <c r="S305" s="3">
        <f>J305-P305</f>
      </c>
      <c r="T305" t="s">
        <v>1</v>
      </c>
      <c r="U305" t="s">
        <v>133</v>
      </c>
      <c r="AA305" s="3">
        <f>Q305-Z305</f>
      </c>
      <c r="AB305" t="s">
        <v>94</v>
      </c>
      <c r="AC305" t="s">
        <v>98</v>
      </c>
    </row>
    <row r="306" spans="1:29" x14ac:dyDescent="0.25">
      <c r="A306" s="7">
        <v>46179.5</v>
      </c>
      <c r="B306" t="s">
        <v>3580</v>
      </c>
      <c r="C306" t="s">
        <v>1</v>
      </c>
      <c r="D306" s="8" t="s">
        <v>3581</v>
      </c>
      <c r="E306" t="s">
        <v>57</v>
      </c>
      <c r="F306">
        <v>1</v>
      </c>
      <c r="G306" s="3">
        <v>554</v>
      </c>
      <c r="H306" s="3">
        <v>703.58</v>
      </c>
      <c r="I306" s="3">
        <f>H306-G306</f>
      </c>
      <c r="J306" s="3">
        <f>I306*16.67%</f>
      </c>
      <c r="K306" s="3">
        <v>32.44</v>
      </c>
      <c r="L306" s="3">
        <f>K306*20%</f>
      </c>
      <c r="M306" s="3">
        <v>0</v>
      </c>
      <c r="N306" s="3">
        <f>M306*20%</f>
      </c>
      <c r="O306" s="3">
        <v>1</v>
      </c>
      <c r="P306" s="3">
        <f>N306</f>
      </c>
      <c r="Q306" s="3">
        <f>I306-J306-K306-M306-N306-O306</f>
      </c>
      <c r="R306" s="3">
        <f>(Q306-Z306)/G306*100</f>
      </c>
      <c r="S306" s="3">
        <f>J306-P306</f>
      </c>
      <c r="T306" t="s">
        <v>1</v>
      </c>
      <c r="U306" t="s">
        <v>80</v>
      </c>
      <c r="AA306" s="3">
        <f>Q306-Z306</f>
      </c>
      <c r="AB306" t="s">
        <v>59</v>
      </c>
      <c r="AC306" t="s">
        <v>84</v>
      </c>
    </row>
    <row r="307" spans="1:29" x14ac:dyDescent="0.25">
      <c r="A307" s="7">
        <v>46179.5</v>
      </c>
      <c r="B307" t="s">
        <v>3582</v>
      </c>
      <c r="C307" t="s">
        <v>1</v>
      </c>
      <c r="D307" s="8" t="s">
        <v>3583</v>
      </c>
      <c r="E307" t="s">
        <v>77</v>
      </c>
      <c r="F307">
        <v>1</v>
      </c>
      <c r="G307" s="3">
        <v>230</v>
      </c>
      <c r="H307" s="3">
        <v>287.5</v>
      </c>
      <c r="I307" s="3">
        <f>H307-G307</f>
      </c>
      <c r="J307" s="3">
        <f>I307*16.67%</f>
      </c>
      <c r="K307" s="3">
        <v>13.25</v>
      </c>
      <c r="L307" s="3">
        <f>K307*20%</f>
      </c>
      <c r="M307" s="3">
        <v>0</v>
      </c>
      <c r="N307" s="3">
        <f>M307*20%</f>
      </c>
      <c r="O307" s="3">
        <v>1</v>
      </c>
      <c r="P307" s="3">
        <f>N307</f>
      </c>
      <c r="Q307" s="3">
        <f>I307-J307-K307-M307-N307-O307</f>
      </c>
      <c r="R307" s="3">
        <f>(Q307-Z307)/G307*100</f>
      </c>
      <c r="S307" s="3">
        <f>J307-P307</f>
      </c>
      <c r="T307" t="s">
        <v>1</v>
      </c>
      <c r="U307" t="s">
        <v>124</v>
      </c>
      <c r="AA307" s="3">
        <f>Q307-Z307</f>
      </c>
      <c r="AB307" t="s">
        <v>125</v>
      </c>
      <c r="AC307" t="s">
        <v>74</v>
      </c>
    </row>
    <row r="308" spans="1:29" x14ac:dyDescent="0.25">
      <c r="A308" s="7">
        <v>46179.5</v>
      </c>
      <c r="B308" t="s">
        <v>3584</v>
      </c>
      <c r="C308" t="s">
        <v>1</v>
      </c>
      <c r="D308" s="8" t="s">
        <v>3585</v>
      </c>
      <c r="E308" t="s">
        <v>63</v>
      </c>
      <c r="F308">
        <v>1</v>
      </c>
      <c r="G308" s="3">
        <v>184</v>
      </c>
      <c r="H308" s="3">
        <v>252.08</v>
      </c>
      <c r="I308" s="3">
        <f>H308-G308</f>
      </c>
      <c r="J308" s="3">
        <f>I308*16.67%</f>
      </c>
      <c r="K308" s="3">
        <v>11.62</v>
      </c>
      <c r="L308" s="3">
        <f>K308*20%</f>
      </c>
      <c r="M308" s="3">
        <v>0</v>
      </c>
      <c r="N308" s="3">
        <f>M308*20%</f>
      </c>
      <c r="O308" s="3">
        <v>1</v>
      </c>
      <c r="P308" s="3">
        <f>N308</f>
      </c>
      <c r="Q308" s="3">
        <f>I308-J308-K308-M308-N308-O308</f>
      </c>
      <c r="R308" s="3">
        <f>(Q308-Z308)/G308*100</f>
      </c>
      <c r="S308" s="3">
        <f>J308-P308</f>
      </c>
      <c r="T308" t="s">
        <v>1</v>
      </c>
      <c r="U308" t="s">
        <v>233</v>
      </c>
      <c r="AA308" s="3">
        <f>Q308-Z308</f>
      </c>
      <c r="AB308" t="s">
        <v>65</v>
      </c>
      <c r="AC308" t="s">
        <v>69</v>
      </c>
    </row>
    <row r="309" spans="1:29" x14ac:dyDescent="0.25">
      <c r="A309" s="7">
        <v>46179.5</v>
      </c>
      <c r="B309" t="s">
        <v>3586</v>
      </c>
      <c r="C309" t="s">
        <v>1</v>
      </c>
      <c r="D309" s="8" t="s">
        <v>3587</v>
      </c>
      <c r="E309" t="s">
        <v>77</v>
      </c>
      <c r="F309">
        <v>1</v>
      </c>
      <c r="G309" s="3">
        <v>330</v>
      </c>
      <c r="H309" s="3">
        <v>448.8</v>
      </c>
      <c r="I309" s="3">
        <f>H309-G309</f>
      </c>
      <c r="J309" s="3">
        <f>I309*16.67%</f>
      </c>
      <c r="K309" s="3">
        <v>20.69</v>
      </c>
      <c r="L309" s="3">
        <f>K309*20%</f>
      </c>
      <c r="M309" s="3">
        <v>0</v>
      </c>
      <c r="N309" s="3">
        <f>M309*20%</f>
      </c>
      <c r="O309" s="3">
        <v>1</v>
      </c>
      <c r="P309" s="3">
        <f>N309</f>
      </c>
      <c r="Q309" s="3">
        <f>I309-J309-K309-M309-N309-O309</f>
      </c>
      <c r="R309" s="3">
        <f>(Q309-Z309)/G309*100</f>
      </c>
      <c r="S309" s="3">
        <f>J309-P309</f>
      </c>
      <c r="T309" t="s">
        <v>1</v>
      </c>
      <c r="U309" t="s">
        <v>130</v>
      </c>
      <c r="AA309" s="3">
        <f>Q309-Z309</f>
      </c>
      <c r="AB309" t="s">
        <v>65</v>
      </c>
      <c r="AC309" t="s">
        <v>69</v>
      </c>
    </row>
    <row r="310" spans="1:29" x14ac:dyDescent="0.25">
      <c r="A310" s="7">
        <v>46179.5</v>
      </c>
      <c r="B310" t="s">
        <v>3588</v>
      </c>
      <c r="C310" t="s">
        <v>1</v>
      </c>
      <c r="D310" s="8" t="s">
        <v>3589</v>
      </c>
      <c r="E310" t="s">
        <v>72</v>
      </c>
      <c r="F310">
        <v>1</v>
      </c>
      <c r="G310" s="3">
        <v>370</v>
      </c>
      <c r="H310" s="3">
        <v>495.8</v>
      </c>
      <c r="I310" s="3">
        <f>H310-G310</f>
      </c>
      <c r="J310" s="3">
        <f>I310*16.67%</f>
      </c>
      <c r="K310" s="3">
        <v>22.86</v>
      </c>
      <c r="L310" s="3">
        <f>K310*20%</f>
      </c>
      <c r="M310" s="3">
        <v>0</v>
      </c>
      <c r="N310" s="3">
        <f>M310*20%</f>
      </c>
      <c r="O310" s="3">
        <v>1</v>
      </c>
      <c r="P310" s="3">
        <f>N310</f>
      </c>
      <c r="Q310" s="3">
        <f>I310-J310-K310-M310-N310-O310</f>
      </c>
      <c r="R310" s="3">
        <f>(Q310-Z310)/G310*100</f>
      </c>
      <c r="S310" s="3">
        <f>J310-P310</f>
      </c>
      <c r="T310" t="s">
        <v>1</v>
      </c>
      <c r="U310" t="s">
        <v>73</v>
      </c>
      <c r="AA310" s="3">
        <f>Q310-Z310</f>
      </c>
      <c r="AB310" t="s">
        <v>59</v>
      </c>
      <c r="AC310" t="s">
        <v>98</v>
      </c>
    </row>
    <row r="311" spans="1:29" x14ac:dyDescent="0.25">
      <c r="A311" s="7">
        <v>46179.5</v>
      </c>
      <c r="B311" t="s">
        <v>3590</v>
      </c>
      <c r="C311" t="s">
        <v>1</v>
      </c>
      <c r="D311" s="8" t="s">
        <v>3591</v>
      </c>
      <c r="E311" t="s">
        <v>101</v>
      </c>
      <c r="F311">
        <v>1</v>
      </c>
      <c r="G311" s="3">
        <v>470</v>
      </c>
      <c r="H311" s="3">
        <v>596.9</v>
      </c>
      <c r="I311" s="3">
        <f>H311-G311</f>
      </c>
      <c r="J311" s="3">
        <f>I311*16.67%</f>
      </c>
      <c r="K311" s="3">
        <v>27.52</v>
      </c>
      <c r="L311" s="3">
        <f>K311*20%</f>
      </c>
      <c r="M311" s="3">
        <v>0</v>
      </c>
      <c r="N311" s="3">
        <f>M311*20%</f>
      </c>
      <c r="O311" s="3">
        <v>1</v>
      </c>
      <c r="P311" s="3">
        <f>N311</f>
      </c>
      <c r="Q311" s="3">
        <f>I311-J311-K311-M311-N311-O311</f>
      </c>
      <c r="R311" s="3">
        <f>(Q311-Z311)/G311*100</f>
      </c>
      <c r="S311" s="3">
        <f>J311-P311</f>
      </c>
      <c r="T311" t="s">
        <v>1</v>
      </c>
      <c r="U311" t="s">
        <v>58</v>
      </c>
      <c r="AA311" s="3">
        <f>Q311-Z311</f>
      </c>
      <c r="AB311" t="s">
        <v>59</v>
      </c>
      <c r="AC311" t="s">
        <v>84</v>
      </c>
    </row>
    <row r="312" spans="1:29" x14ac:dyDescent="0.25">
      <c r="A312" s="7">
        <v>46179.5</v>
      </c>
      <c r="B312" t="s">
        <v>3592</v>
      </c>
      <c r="C312" t="s">
        <v>181</v>
      </c>
      <c r="D312" s="8" t="s">
        <v>1</v>
      </c>
      <c r="E312" t="s">
        <v>72</v>
      </c>
      <c r="F312">
        <v>3</v>
      </c>
      <c r="G312" s="3">
        <v>5.7</v>
      </c>
      <c r="H312" s="3">
        <v>7.24</v>
      </c>
      <c r="I312" s="3">
        <f>H312-G312</f>
      </c>
      <c r="J312" s="3">
        <f>I312*16.67%</f>
      </c>
      <c r="K312" s="3">
        <v>0.33</v>
      </c>
      <c r="L312" s="3">
        <f>K312*20%</f>
      </c>
      <c r="M312" s="3">
        <v>0</v>
      </c>
      <c r="N312" s="3">
        <f>M312*20%</f>
      </c>
      <c r="O312" s="3">
        <v>1</v>
      </c>
      <c r="P312" s="3">
        <f>N312</f>
      </c>
      <c r="Q312" s="3">
        <f>I312-J312-K312-M312-N312-O312</f>
      </c>
      <c r="R312" s="3">
        <f>(Q312-Z312)/G312*100</f>
      </c>
      <c r="S312" s="3">
        <f>J312-P312</f>
      </c>
      <c r="T312" t="s">
        <v>1</v>
      </c>
      <c r="U312" t="s">
        <v>181</v>
      </c>
      <c r="AA312" s="3">
        <f>Q312-Z312</f>
      </c>
      <c r="AB312" t="s">
        <v>1</v>
      </c>
      <c r="AC312" t="s">
        <v>1</v>
      </c>
    </row>
    <row r="313" spans="1:29" x14ac:dyDescent="0.25">
      <c r="A313" s="7">
        <v>46179.5</v>
      </c>
      <c r="B313" t="s">
        <v>3593</v>
      </c>
      <c r="C313" t="s">
        <v>184</v>
      </c>
      <c r="D313" s="8" t="s">
        <v>1</v>
      </c>
      <c r="E313" t="s">
        <v>101</v>
      </c>
      <c r="F313">
        <v>1</v>
      </c>
      <c r="G313" s="3">
        <v>1.2</v>
      </c>
      <c r="H313" s="3">
        <v>1.64</v>
      </c>
      <c r="I313" s="3">
        <f>H313-G313</f>
      </c>
      <c r="J313" s="3">
        <f>I313*16.67%</f>
      </c>
      <c r="K313" s="3">
        <v>0.08</v>
      </c>
      <c r="L313" s="3">
        <f>K313*20%</f>
      </c>
      <c r="M313" s="3">
        <v>0</v>
      </c>
      <c r="N313" s="3">
        <f>M313*20%</f>
      </c>
      <c r="O313" s="3">
        <v>1</v>
      </c>
      <c r="P313" s="3">
        <f>N313</f>
      </c>
      <c r="Q313" s="3">
        <f>I313-J313-K313-M313-N313-O313</f>
      </c>
      <c r="R313" s="3">
        <f>(Q313-Z313)/G313*100</f>
      </c>
      <c r="S313" s="3">
        <f>J313-P313</f>
      </c>
      <c r="T313" t="s">
        <v>1</v>
      </c>
      <c r="U313" t="s">
        <v>184</v>
      </c>
      <c r="AA313" s="3">
        <f>Q313-Z313</f>
      </c>
      <c r="AB313" t="s">
        <v>1</v>
      </c>
      <c r="AC313" t="s">
        <v>1</v>
      </c>
    </row>
    <row r="314" spans="1:29" x14ac:dyDescent="0.25">
      <c r="A314" s="7">
        <v>46179.5</v>
      </c>
      <c r="B314" t="s">
        <v>3594</v>
      </c>
      <c r="C314" t="s">
        <v>188</v>
      </c>
      <c r="D314" s="8" t="s">
        <v>1</v>
      </c>
      <c r="E314" t="s">
        <v>63</v>
      </c>
      <c r="F314">
        <v>3</v>
      </c>
      <c r="G314" s="3">
        <v>10.5</v>
      </c>
      <c r="H314" s="3">
        <v>13.96</v>
      </c>
      <c r="I314" s="3">
        <f>H314-G314</f>
      </c>
      <c r="J314" s="3">
        <f>I314*16.67%</f>
      </c>
      <c r="K314" s="3">
        <v>0.64</v>
      </c>
      <c r="L314" s="3">
        <f>K314*20%</f>
      </c>
      <c r="M314" s="3">
        <v>0</v>
      </c>
      <c r="N314" s="3">
        <f>M314*20%</f>
      </c>
      <c r="O314" s="3">
        <v>1</v>
      </c>
      <c r="P314" s="3">
        <f>N314</f>
      </c>
      <c r="Q314" s="3">
        <f>I314-J314-K314-M314-N314-O314</f>
      </c>
      <c r="R314" s="3">
        <f>(Q314-Z314)/G314*100</f>
      </c>
      <c r="S314" s="3">
        <f>J314-P314</f>
      </c>
      <c r="T314" t="s">
        <v>1</v>
      </c>
      <c r="U314" t="s">
        <v>188</v>
      </c>
      <c r="AA314" s="3">
        <f>Q314-Z314</f>
      </c>
      <c r="AB314" t="s">
        <v>1</v>
      </c>
      <c r="AC314" t="s">
        <v>1</v>
      </c>
    </row>
    <row r="315" spans="1:29" x14ac:dyDescent="0.25">
      <c r="A315" s="7">
        <v>46179.5</v>
      </c>
      <c r="B315" t="s">
        <v>3595</v>
      </c>
      <c r="C315" t="s">
        <v>1</v>
      </c>
      <c r="D315" s="8" t="s">
        <v>1</v>
      </c>
      <c r="E315" t="s">
        <v>77</v>
      </c>
      <c r="F315">
        <v>1</v>
      </c>
      <c r="G315" s="3">
        <v>237</v>
      </c>
      <c r="H315" s="3">
        <v>331.8</v>
      </c>
      <c r="I315" s="3">
        <f>H315-G315</f>
      </c>
      <c r="J315" s="3">
        <f>I315*16.67%</f>
      </c>
      <c r="K315" s="3">
        <v>15.3</v>
      </c>
      <c r="L315" s="3">
        <f>K315*20%</f>
      </c>
      <c r="M315" s="3">
        <v>0</v>
      </c>
      <c r="N315" s="3">
        <f>M315*20%</f>
      </c>
      <c r="O315" s="3">
        <v>1</v>
      </c>
      <c r="P315" s="3">
        <f>N315</f>
      </c>
      <c r="Q315" s="3">
        <f>I315-J315-K315-M315-N315-O315</f>
      </c>
      <c r="R315" s="3">
        <f>(Q315-Z315)/G315*100</f>
      </c>
      <c r="S315" s="3">
        <f>J315-P315</f>
      </c>
      <c r="T315" t="s">
        <v>1</v>
      </c>
      <c r="U315" t="s">
        <v>1</v>
      </c>
      <c r="AA315" s="3">
        <f>Q315-Z315</f>
      </c>
      <c r="AB315" t="s">
        <v>1</v>
      </c>
      <c r="AC315" t="s">
        <v>1</v>
      </c>
    </row>
    <row r="316" spans="1:29" x14ac:dyDescent="0.25">
      <c r="A316" s="7">
        <v>46179.5</v>
      </c>
      <c r="B316" t="s">
        <v>3596</v>
      </c>
      <c r="C316" t="s">
        <v>1</v>
      </c>
      <c r="D316" s="8" t="s">
        <v>1</v>
      </c>
      <c r="E316" t="s">
        <v>77</v>
      </c>
      <c r="F316">
        <v>1</v>
      </c>
      <c r="G316" s="3">
        <v>173</v>
      </c>
      <c r="H316" s="3">
        <v>242.2</v>
      </c>
      <c r="I316" s="3">
        <f>H316-G316</f>
      </c>
      <c r="J316" s="3">
        <f>I316*16.67%</f>
      </c>
      <c r="K316" s="3">
        <v>11.17</v>
      </c>
      <c r="L316" s="3">
        <f>K316*20%</f>
      </c>
      <c r="M316" s="3">
        <v>0</v>
      </c>
      <c r="N316" s="3">
        <f>M316*20%</f>
      </c>
      <c r="O316" s="3">
        <v>1</v>
      </c>
      <c r="P316" s="3">
        <f>N316</f>
      </c>
      <c r="Q316" s="3">
        <f>I316-J316-K316-M316-N316-O316</f>
      </c>
      <c r="R316" s="3">
        <f>(Q316-Z316)/G316*100</f>
      </c>
      <c r="S316" s="3">
        <f>J316-P316</f>
      </c>
      <c r="T316" t="s">
        <v>1</v>
      </c>
      <c r="U316" t="s">
        <v>1</v>
      </c>
      <c r="AA316" s="3">
        <f>Q316-Z316</f>
      </c>
      <c r="AB316" t="s">
        <v>1</v>
      </c>
      <c r="AC316" t="s">
        <v>1</v>
      </c>
    </row>
    <row r="317" spans="1:29" x14ac:dyDescent="0.25">
      <c r="A317" s="7">
        <v>46178.5</v>
      </c>
      <c r="B317" t="s">
        <v>3597</v>
      </c>
      <c r="C317" t="s">
        <v>1</v>
      </c>
      <c r="D317" s="8" t="s">
        <v>3598</v>
      </c>
      <c r="E317" t="s">
        <v>63</v>
      </c>
      <c r="F317">
        <v>1</v>
      </c>
      <c r="G317" s="3">
        <v>236</v>
      </c>
      <c r="H317" s="3">
        <v>295</v>
      </c>
      <c r="I317" s="3">
        <f>H317-G317</f>
      </c>
      <c r="J317" s="3">
        <f>I317*16.67%</f>
      </c>
      <c r="K317" s="3">
        <v>13.6</v>
      </c>
      <c r="L317" s="3">
        <f>K317*20%</f>
      </c>
      <c r="M317" s="3">
        <v>0</v>
      </c>
      <c r="N317" s="3">
        <f>M317*20%</f>
      </c>
      <c r="O317" s="3">
        <v>1</v>
      </c>
      <c r="P317" s="3">
        <f>N317</f>
      </c>
      <c r="Q317" s="3">
        <f>I317-J317-K317-M317-N317-O317</f>
      </c>
      <c r="R317" s="3">
        <f>(Q317-Z317)/G317*100</f>
      </c>
      <c r="S317" s="3">
        <f>J317-P317</f>
      </c>
      <c r="T317" t="s">
        <v>1</v>
      </c>
      <c r="U317" t="s">
        <v>64</v>
      </c>
      <c r="AA317" s="3">
        <f>Q317-Z317</f>
      </c>
      <c r="AB317" t="s">
        <v>65</v>
      </c>
      <c r="AC317" t="s">
        <v>60</v>
      </c>
    </row>
    <row r="318" spans="1:29" x14ac:dyDescent="0.25">
      <c r="A318" s="7">
        <v>46178.5</v>
      </c>
      <c r="B318" t="s">
        <v>3599</v>
      </c>
      <c r="C318" t="s">
        <v>1</v>
      </c>
      <c r="D318" s="8" t="s">
        <v>3600</v>
      </c>
      <c r="E318" t="s">
        <v>72</v>
      </c>
      <c r="F318">
        <v>1</v>
      </c>
      <c r="G318" s="3">
        <v>133</v>
      </c>
      <c r="H318" s="3">
        <v>174.23</v>
      </c>
      <c r="I318" s="3">
        <f>H318-G318</f>
      </c>
      <c r="J318" s="3">
        <f>I318*16.67%</f>
      </c>
      <c r="K318" s="3">
        <v>8.03</v>
      </c>
      <c r="L318" s="3">
        <f>K318*20%</f>
      </c>
      <c r="M318" s="3">
        <v>0</v>
      </c>
      <c r="N318" s="3">
        <f>M318*20%</f>
      </c>
      <c r="O318" s="3">
        <v>1</v>
      </c>
      <c r="P318" s="3">
        <f>N318</f>
      </c>
      <c r="Q318" s="3">
        <f>I318-J318-K318-M318-N318-O318</f>
      </c>
      <c r="R318" s="3">
        <f>(Q318-Z318)/G318*100</f>
      </c>
      <c r="S318" s="3">
        <f>J318-P318</f>
      </c>
      <c r="T318" t="s">
        <v>1</v>
      </c>
      <c r="U318" t="s">
        <v>133</v>
      </c>
      <c r="AA318" s="3">
        <f>Q318-Z318</f>
      </c>
      <c r="AB318" t="s">
        <v>94</v>
      </c>
      <c r="AC318" t="s">
        <v>69</v>
      </c>
    </row>
    <row r="319" spans="1:29" x14ac:dyDescent="0.25">
      <c r="A319" s="7">
        <v>46178.5</v>
      </c>
      <c r="B319" t="s">
        <v>3601</v>
      </c>
      <c r="C319" t="s">
        <v>1</v>
      </c>
      <c r="D319" s="8" t="s">
        <v>3602</v>
      </c>
      <c r="E319" t="s">
        <v>57</v>
      </c>
      <c r="F319">
        <v>1</v>
      </c>
      <c r="G319" s="3">
        <v>148</v>
      </c>
      <c r="H319" s="3">
        <v>205.72</v>
      </c>
      <c r="I319" s="3">
        <f>H319-G319</f>
      </c>
      <c r="J319" s="3">
        <f>I319*16.67%</f>
      </c>
      <c r="K319" s="3">
        <v>9.48</v>
      </c>
      <c r="L319" s="3">
        <f>K319*20%</f>
      </c>
      <c r="M319" s="3">
        <v>0</v>
      </c>
      <c r="N319" s="3">
        <f>M319*20%</f>
      </c>
      <c r="O319" s="3">
        <v>1</v>
      </c>
      <c r="P319" s="3">
        <f>N319</f>
      </c>
      <c r="Q319" s="3">
        <f>I319-J319-K319-M319-N319-O319</f>
      </c>
      <c r="R319" s="3">
        <f>(Q319-Z319)/G319*100</f>
      </c>
      <c r="S319" s="3">
        <f>J319-P319</f>
      </c>
      <c r="T319" t="s">
        <v>1</v>
      </c>
      <c r="U319" t="s">
        <v>171</v>
      </c>
      <c r="AA319" s="3">
        <f>Q319-Z319</f>
      </c>
      <c r="AB319" t="s">
        <v>65</v>
      </c>
      <c r="AC319" t="s">
        <v>69</v>
      </c>
    </row>
    <row r="320" spans="1:29" x14ac:dyDescent="0.25">
      <c r="A320" s="7">
        <v>46178.5</v>
      </c>
      <c r="B320" t="s">
        <v>3603</v>
      </c>
      <c r="C320" t="s">
        <v>1</v>
      </c>
      <c r="D320" s="8" t="s">
        <v>3604</v>
      </c>
      <c r="E320" t="s">
        <v>72</v>
      </c>
      <c r="F320">
        <v>1</v>
      </c>
      <c r="G320" s="3">
        <v>540</v>
      </c>
      <c r="H320" s="3">
        <v>772.2</v>
      </c>
      <c r="I320" s="3">
        <f>H320-G320</f>
      </c>
      <c r="J320" s="3">
        <f>I320*16.67%</f>
      </c>
      <c r="K320" s="3">
        <v>35.6</v>
      </c>
      <c r="L320" s="3">
        <f>K320*20%</f>
      </c>
      <c r="M320" s="3">
        <v>0</v>
      </c>
      <c r="N320" s="3">
        <f>M320*20%</f>
      </c>
      <c r="O320" s="3">
        <v>1</v>
      </c>
      <c r="P320" s="3">
        <f>N320</f>
      </c>
      <c r="Q320" s="3">
        <f>I320-J320-K320-M320-N320-O320</f>
      </c>
      <c r="R320" s="3">
        <f>(Q320-Z320)/G320*100</f>
      </c>
      <c r="S320" s="3">
        <f>J320-P320</f>
      </c>
      <c r="T320" t="s">
        <v>1</v>
      </c>
      <c r="U320" t="s">
        <v>80</v>
      </c>
      <c r="AA320" s="3">
        <f>Q320-Z320</f>
      </c>
      <c r="AB320" t="s">
        <v>59</v>
      </c>
      <c r="AC320" t="s">
        <v>60</v>
      </c>
    </row>
    <row r="321" spans="1:29" x14ac:dyDescent="0.25">
      <c r="A321" s="7">
        <v>46178.5</v>
      </c>
      <c r="B321" t="s">
        <v>3605</v>
      </c>
      <c r="C321" t="s">
        <v>1</v>
      </c>
      <c r="D321" s="8" t="s">
        <v>3606</v>
      </c>
      <c r="E321" t="s">
        <v>72</v>
      </c>
      <c r="F321">
        <v>1</v>
      </c>
      <c r="G321" s="3">
        <v>346</v>
      </c>
      <c r="H321" s="3">
        <v>453.26</v>
      </c>
      <c r="I321" s="3">
        <f>H321-G321</f>
      </c>
      <c r="J321" s="3">
        <f>I321*16.67%</f>
      </c>
      <c r="K321" s="3">
        <v>20.9</v>
      </c>
      <c r="L321" s="3">
        <f>K321*20%</f>
      </c>
      <c r="M321" s="3">
        <v>0</v>
      </c>
      <c r="N321" s="3">
        <f>M321*20%</f>
      </c>
      <c r="O321" s="3">
        <v>1</v>
      </c>
      <c r="P321" s="3">
        <f>N321</f>
      </c>
      <c r="Q321" s="3">
        <f>I321-J321-K321-M321-N321-O321</f>
      </c>
      <c r="R321" s="3">
        <f>(Q321-Z321)/G321*100</f>
      </c>
      <c r="S321" s="3">
        <f>J321-P321</f>
      </c>
      <c r="T321" t="s">
        <v>1</v>
      </c>
      <c r="U321" t="s">
        <v>73</v>
      </c>
      <c r="AA321" s="3">
        <f>Q321-Z321</f>
      </c>
      <c r="AB321" t="s">
        <v>59</v>
      </c>
      <c r="AC321" t="s">
        <v>98</v>
      </c>
    </row>
    <row r="322" spans="1:29" x14ac:dyDescent="0.25">
      <c r="A322" s="7">
        <v>46178.5</v>
      </c>
      <c r="B322" t="s">
        <v>3607</v>
      </c>
      <c r="C322" t="s">
        <v>184</v>
      </c>
      <c r="D322" s="8" t="s">
        <v>1</v>
      </c>
      <c r="E322" t="s">
        <v>101</v>
      </c>
      <c r="F322">
        <v>3</v>
      </c>
      <c r="G322" s="3">
        <v>3.6</v>
      </c>
      <c r="H322" s="3">
        <v>4.14</v>
      </c>
      <c r="I322" s="3">
        <f>H322-G322</f>
      </c>
      <c r="J322" s="3">
        <f>I322*16.67%</f>
      </c>
      <c r="K322" s="3">
        <v>0.19</v>
      </c>
      <c r="L322" s="3">
        <f>K322*20%</f>
      </c>
      <c r="M322" s="3">
        <v>0</v>
      </c>
      <c r="N322" s="3">
        <f>M322*20%</f>
      </c>
      <c r="O322" s="3">
        <v>1</v>
      </c>
      <c r="P322" s="3">
        <f>N322</f>
      </c>
      <c r="Q322" s="3">
        <f>I322-J322-K322-M322-N322-O322</f>
      </c>
      <c r="R322" s="3">
        <f>(Q322-Z322)/G322*100</f>
      </c>
      <c r="S322" s="3">
        <f>J322-P322</f>
      </c>
      <c r="T322" t="s">
        <v>1</v>
      </c>
      <c r="U322" t="s">
        <v>184</v>
      </c>
      <c r="AA322" s="3">
        <f>Q322-Z322</f>
      </c>
      <c r="AB322" t="s">
        <v>1</v>
      </c>
      <c r="AC322" t="s">
        <v>1</v>
      </c>
    </row>
    <row r="323" spans="1:29" x14ac:dyDescent="0.25">
      <c r="A323" s="7">
        <v>46178.5</v>
      </c>
      <c r="B323" t="s">
        <v>3608</v>
      </c>
      <c r="C323" t="s">
        <v>253</v>
      </c>
      <c r="D323" s="8" t="s">
        <v>1</v>
      </c>
      <c r="E323" t="s">
        <v>57</v>
      </c>
      <c r="F323">
        <v>3</v>
      </c>
      <c r="G323" s="3">
        <v>2.4</v>
      </c>
      <c r="H323" s="3">
        <v>2.83</v>
      </c>
      <c r="I323" s="3">
        <f>H323-G323</f>
      </c>
      <c r="J323" s="3">
        <f>I323*16.67%</f>
      </c>
      <c r="K323" s="3">
        <v>0.13</v>
      </c>
      <c r="L323" s="3">
        <f>K323*20%</f>
      </c>
      <c r="M323" s="3">
        <v>0</v>
      </c>
      <c r="N323" s="3">
        <f>M323*20%</f>
      </c>
      <c r="O323" s="3">
        <v>1</v>
      </c>
      <c r="P323" s="3">
        <f>N323</f>
      </c>
      <c r="Q323" s="3">
        <f>I323-J323-K323-M323-N323-O323</f>
      </c>
      <c r="R323" s="3">
        <f>(Q323-Z323)/G323*100</f>
      </c>
      <c r="S323" s="3">
        <f>J323-P323</f>
      </c>
      <c r="T323" t="s">
        <v>1</v>
      </c>
      <c r="U323" t="s">
        <v>253</v>
      </c>
      <c r="AA323" s="3">
        <f>Q323-Z323</f>
      </c>
      <c r="AB323" t="s">
        <v>1</v>
      </c>
      <c r="AC323" t="s">
        <v>1</v>
      </c>
    </row>
    <row r="324" spans="1:29" x14ac:dyDescent="0.25">
      <c r="A324" s="7">
        <v>46178.5</v>
      </c>
      <c r="B324" t="s">
        <v>3609</v>
      </c>
      <c r="C324" t="s">
        <v>184</v>
      </c>
      <c r="D324" s="8" t="s">
        <v>1</v>
      </c>
      <c r="E324" t="s">
        <v>101</v>
      </c>
      <c r="F324">
        <v>4</v>
      </c>
      <c r="G324" s="3">
        <v>4.8</v>
      </c>
      <c r="H324" s="3">
        <v>5.9</v>
      </c>
      <c r="I324" s="3">
        <f>H324-G324</f>
      </c>
      <c r="J324" s="3">
        <f>I324*16.67%</f>
      </c>
      <c r="K324" s="3">
        <v>0.27</v>
      </c>
      <c r="L324" s="3">
        <f>K324*20%</f>
      </c>
      <c r="M324" s="3">
        <v>0</v>
      </c>
      <c r="N324" s="3">
        <f>M324*20%</f>
      </c>
      <c r="O324" s="3">
        <v>1</v>
      </c>
      <c r="P324" s="3">
        <f>N324</f>
      </c>
      <c r="Q324" s="3">
        <f>I324-J324-K324-M324-N324-O324</f>
      </c>
      <c r="R324" s="3">
        <f>(Q324-Z324)/G324*100</f>
      </c>
      <c r="S324" s="3">
        <f>J324-P324</f>
      </c>
      <c r="T324" t="s">
        <v>1</v>
      </c>
      <c r="U324" t="s">
        <v>184</v>
      </c>
      <c r="AA324" s="3">
        <f>Q324-Z324</f>
      </c>
      <c r="AB324" t="s">
        <v>1</v>
      </c>
      <c r="AC324" t="s">
        <v>1</v>
      </c>
    </row>
    <row r="325" spans="1:29" x14ac:dyDescent="0.25">
      <c r="A325" s="7">
        <v>46177.5</v>
      </c>
      <c r="B325" t="s">
        <v>3610</v>
      </c>
      <c r="C325" t="s">
        <v>1</v>
      </c>
      <c r="D325" s="8" t="s">
        <v>3611</v>
      </c>
      <c r="E325" t="s">
        <v>72</v>
      </c>
      <c r="F325">
        <v>1</v>
      </c>
      <c r="G325" s="3">
        <v>201</v>
      </c>
      <c r="H325" s="3">
        <v>263.31</v>
      </c>
      <c r="I325" s="3">
        <f>H325-G325</f>
      </c>
      <c r="J325" s="3">
        <f>I325*16.67%</f>
      </c>
      <c r="K325" s="3">
        <v>12.14</v>
      </c>
      <c r="L325" s="3">
        <f>K325*20%</f>
      </c>
      <c r="M325" s="3">
        <v>0</v>
      </c>
      <c r="N325" s="3">
        <f>M325*20%</f>
      </c>
      <c r="O325" s="3">
        <v>1</v>
      </c>
      <c r="P325" s="3">
        <f>N325</f>
      </c>
      <c r="Q325" s="3">
        <f>I325-J325-K325-M325-N325-O325</f>
      </c>
      <c r="R325" s="3">
        <f>(Q325-Z325)/G325*100</f>
      </c>
      <c r="S325" s="3">
        <f>J325-P325</f>
      </c>
      <c r="T325" t="s">
        <v>1</v>
      </c>
      <c r="U325" t="s">
        <v>113</v>
      </c>
      <c r="AA325" s="3">
        <f>Q325-Z325</f>
      </c>
      <c r="AB325" t="s">
        <v>94</v>
      </c>
      <c r="AC325" t="s">
        <v>87</v>
      </c>
    </row>
    <row r="326" spans="1:29" x14ac:dyDescent="0.25">
      <c r="A326" s="7">
        <v>46177.5</v>
      </c>
      <c r="B326" t="s">
        <v>3612</v>
      </c>
      <c r="C326" t="s">
        <v>1</v>
      </c>
      <c r="D326" s="8" t="s">
        <v>3613</v>
      </c>
      <c r="E326" t="s">
        <v>63</v>
      </c>
      <c r="F326">
        <v>1</v>
      </c>
      <c r="G326" s="3">
        <v>284</v>
      </c>
      <c r="H326" s="3">
        <v>389.08</v>
      </c>
      <c r="I326" s="3">
        <f>H326-G326</f>
      </c>
      <c r="J326" s="3">
        <f>I326*16.67%</f>
      </c>
      <c r="K326" s="3">
        <v>17.94</v>
      </c>
      <c r="L326" s="3">
        <f>K326*20%</f>
      </c>
      <c r="M326" s="3">
        <v>0</v>
      </c>
      <c r="N326" s="3">
        <f>M326*20%</f>
      </c>
      <c r="O326" s="3">
        <v>1</v>
      </c>
      <c r="P326" s="3">
        <f>N326</f>
      </c>
      <c r="Q326" s="3">
        <f>I326-J326-K326-M326-N326-O326</f>
      </c>
      <c r="R326" s="3">
        <f>(Q326-Z326)/G326*100</f>
      </c>
      <c r="S326" s="3">
        <f>J326-P326</f>
      </c>
      <c r="T326" t="s">
        <v>1</v>
      </c>
      <c r="U326" t="s">
        <v>97</v>
      </c>
      <c r="AA326" s="3">
        <f>Q326-Z326</f>
      </c>
      <c r="AB326" t="s">
        <v>65</v>
      </c>
      <c r="AC326" t="s">
        <v>74</v>
      </c>
    </row>
    <row r="327" spans="1:29" x14ac:dyDescent="0.25">
      <c r="A327" s="7">
        <v>46177.5</v>
      </c>
      <c r="B327" t="s">
        <v>3614</v>
      </c>
      <c r="C327" t="s">
        <v>1</v>
      </c>
      <c r="D327" s="8" t="s">
        <v>3615</v>
      </c>
      <c r="E327" t="s">
        <v>77</v>
      </c>
      <c r="F327">
        <v>1</v>
      </c>
      <c r="G327" s="3">
        <v>534</v>
      </c>
      <c r="H327" s="3">
        <v>614.1</v>
      </c>
      <c r="I327" s="3">
        <f>H327-G327</f>
      </c>
      <c r="J327" s="3">
        <f>I327*16.67%</f>
      </c>
      <c r="K327" s="3">
        <v>28.31</v>
      </c>
      <c r="L327" s="3">
        <f>K327*20%</f>
      </c>
      <c r="M327" s="3">
        <v>0</v>
      </c>
      <c r="N327" s="3">
        <f>M327*20%</f>
      </c>
      <c r="O327" s="3">
        <v>1</v>
      </c>
      <c r="P327" s="3">
        <f>N327</f>
      </c>
      <c r="Q327" s="3">
        <f>I327-J327-K327-M327-N327-O327</f>
      </c>
      <c r="R327" s="3">
        <f>(Q327-Z327)/G327*100</f>
      </c>
      <c r="S327" s="3">
        <f>J327-P327</f>
      </c>
      <c r="T327" t="s">
        <v>1</v>
      </c>
      <c r="U327" t="s">
        <v>68</v>
      </c>
      <c r="AA327" s="3">
        <f>Q327-Z327</f>
      </c>
      <c r="AB327" t="s">
        <v>59</v>
      </c>
      <c r="AC327" t="s">
        <v>98</v>
      </c>
    </row>
    <row r="328" spans="1:29" x14ac:dyDescent="0.25">
      <c r="A328" s="7">
        <v>46177.5</v>
      </c>
      <c r="B328" t="s">
        <v>3616</v>
      </c>
      <c r="C328" t="s">
        <v>1</v>
      </c>
      <c r="D328" s="8" t="s">
        <v>3617</v>
      </c>
      <c r="E328" t="s">
        <v>57</v>
      </c>
      <c r="F328">
        <v>1</v>
      </c>
      <c r="G328" s="3">
        <v>221</v>
      </c>
      <c r="H328" s="3">
        <v>289.51</v>
      </c>
      <c r="I328" s="3">
        <f>H328-G328</f>
      </c>
      <c r="J328" s="3">
        <f>I328*16.67%</f>
      </c>
      <c r="K328" s="3">
        <v>13.35</v>
      </c>
      <c r="L328" s="3">
        <f>K328*20%</f>
      </c>
      <c r="M328" s="3">
        <v>0</v>
      </c>
      <c r="N328" s="3">
        <f>M328*20%</f>
      </c>
      <c r="O328" s="3">
        <v>1</v>
      </c>
      <c r="P328" s="3">
        <f>N328</f>
      </c>
      <c r="Q328" s="3">
        <f>I328-J328-K328-M328-N328-O328</f>
      </c>
      <c r="R328" s="3">
        <f>(Q328-Z328)/G328*100</f>
      </c>
      <c r="S328" s="3">
        <f>J328-P328</f>
      </c>
      <c r="T328" t="s">
        <v>1</v>
      </c>
      <c r="U328" t="s">
        <v>113</v>
      </c>
      <c r="AA328" s="3">
        <f>Q328-Z328</f>
      </c>
      <c r="AB328" t="s">
        <v>59</v>
      </c>
      <c r="AC328" t="s">
        <v>69</v>
      </c>
    </row>
    <row r="329" spans="1:29" x14ac:dyDescent="0.25">
      <c r="A329" s="7">
        <v>46177.5</v>
      </c>
      <c r="B329" t="s">
        <v>3618</v>
      </c>
      <c r="C329" t="s">
        <v>184</v>
      </c>
      <c r="D329" s="8" t="s">
        <v>1</v>
      </c>
      <c r="E329" t="s">
        <v>101</v>
      </c>
      <c r="F329">
        <v>2</v>
      </c>
      <c r="G329" s="3">
        <v>2.4</v>
      </c>
      <c r="H329" s="3">
        <v>2.81</v>
      </c>
      <c r="I329" s="3">
        <f>H329-G329</f>
      </c>
      <c r="J329" s="3">
        <f>I329*16.67%</f>
      </c>
      <c r="K329" s="3">
        <v>0.13</v>
      </c>
      <c r="L329" s="3">
        <f>K329*20%</f>
      </c>
      <c r="M329" s="3">
        <v>0</v>
      </c>
      <c r="N329" s="3">
        <f>M329*20%</f>
      </c>
      <c r="O329" s="3">
        <v>1</v>
      </c>
      <c r="P329" s="3">
        <f>N329</f>
      </c>
      <c r="Q329" s="3">
        <f>I329-J329-K329-M329-N329-O329</f>
      </c>
      <c r="R329" s="3">
        <f>(Q329-Z329)/G329*100</f>
      </c>
      <c r="S329" s="3">
        <f>J329-P329</f>
      </c>
      <c r="T329" t="s">
        <v>1</v>
      </c>
      <c r="U329" t="s">
        <v>184</v>
      </c>
      <c r="AA329" s="3">
        <f>Q329-Z329</f>
      </c>
      <c r="AB329" t="s">
        <v>1</v>
      </c>
      <c r="AC329" t="s">
        <v>1</v>
      </c>
    </row>
    <row r="330" spans="1:29" x14ac:dyDescent="0.25">
      <c r="A330" s="7">
        <v>46176.5</v>
      </c>
      <c r="B330" t="s">
        <v>3619</v>
      </c>
      <c r="C330" t="s">
        <v>1</v>
      </c>
      <c r="D330" s="8" t="s">
        <v>3620</v>
      </c>
      <c r="E330" t="s">
        <v>72</v>
      </c>
      <c r="F330">
        <v>1</v>
      </c>
      <c r="G330" s="3">
        <v>339</v>
      </c>
      <c r="H330" s="3">
        <v>430.53</v>
      </c>
      <c r="I330" s="3">
        <f>H330-G330</f>
      </c>
      <c r="J330" s="3">
        <f>I330*16.67%</f>
      </c>
      <c r="K330" s="3">
        <v>19.85</v>
      </c>
      <c r="L330" s="3">
        <f>K330*20%</f>
      </c>
      <c r="M330" s="3">
        <v>0</v>
      </c>
      <c r="N330" s="3">
        <f>M330*20%</f>
      </c>
      <c r="O330" s="3">
        <v>1</v>
      </c>
      <c r="P330" s="3">
        <f>N330</f>
      </c>
      <c r="Q330" s="3">
        <f>I330-J330-K330-M330-N330-O330</f>
      </c>
      <c r="R330" s="3">
        <f>(Q330-Z330)/G330*100</f>
      </c>
      <c r="S330" s="3">
        <f>J330-P330</f>
      </c>
      <c r="T330" t="s">
        <v>1</v>
      </c>
      <c r="U330" t="s">
        <v>130</v>
      </c>
      <c r="AA330" s="3">
        <f>Q330-Z330</f>
      </c>
      <c r="AB330" t="s">
        <v>59</v>
      </c>
      <c r="AC330" t="s">
        <v>84</v>
      </c>
    </row>
    <row r="331" spans="1:29" x14ac:dyDescent="0.25">
      <c r="A331" s="7">
        <v>46176.5</v>
      </c>
      <c r="B331" t="s">
        <v>3621</v>
      </c>
      <c r="C331" t="s">
        <v>1</v>
      </c>
      <c r="D331" s="8" t="s">
        <v>3622</v>
      </c>
      <c r="E331" t="s">
        <v>63</v>
      </c>
      <c r="F331">
        <v>1</v>
      </c>
      <c r="G331" s="3">
        <v>229</v>
      </c>
      <c r="H331" s="3">
        <v>313.73</v>
      </c>
      <c r="I331" s="3">
        <f>H331-G331</f>
      </c>
      <c r="J331" s="3">
        <f>I331*16.67%</f>
      </c>
      <c r="K331" s="3">
        <v>14.46</v>
      </c>
      <c r="L331" s="3">
        <f>K331*20%</f>
      </c>
      <c r="M331" s="3">
        <v>0</v>
      </c>
      <c r="N331" s="3">
        <f>M331*20%</f>
      </c>
      <c r="O331" s="3">
        <v>1</v>
      </c>
      <c r="P331" s="3">
        <f>N331</f>
      </c>
      <c r="Q331" s="3">
        <f>I331-J331-K331-M331-N331-O331</f>
      </c>
      <c r="R331" s="3">
        <f>(Q331-Z331)/G331*100</f>
      </c>
      <c r="S331" s="3">
        <f>J331-P331</f>
      </c>
      <c r="T331" t="s">
        <v>1</v>
      </c>
      <c r="U331" t="s">
        <v>64</v>
      </c>
      <c r="AA331" s="3">
        <f>Q331-Z331</f>
      </c>
      <c r="AB331" t="s">
        <v>65</v>
      </c>
      <c r="AC331" t="s">
        <v>87</v>
      </c>
    </row>
    <row r="332" spans="1:29" x14ac:dyDescent="0.25">
      <c r="A332" s="7">
        <v>46175.5</v>
      </c>
      <c r="B332" t="s">
        <v>3623</v>
      </c>
      <c r="C332" t="s">
        <v>1</v>
      </c>
      <c r="D332" s="8" t="s">
        <v>3624</v>
      </c>
      <c r="E332" t="s">
        <v>57</v>
      </c>
      <c r="F332">
        <v>1</v>
      </c>
      <c r="G332" s="3">
        <v>477</v>
      </c>
      <c r="H332" s="3">
        <v>691.65</v>
      </c>
      <c r="I332" s="3">
        <f>H332-G332</f>
      </c>
      <c r="J332" s="3">
        <f>I332*16.67%</f>
      </c>
      <c r="K332" s="3">
        <v>31.89</v>
      </c>
      <c r="L332" s="3">
        <f>K332*20%</f>
      </c>
      <c r="M332" s="3">
        <v>0</v>
      </c>
      <c r="N332" s="3">
        <f>M332*20%</f>
      </c>
      <c r="O332" s="3">
        <v>1</v>
      </c>
      <c r="P332" s="3">
        <f>N332</f>
      </c>
      <c r="Q332" s="3">
        <f>I332-J332-K332-M332-N332-O332</f>
      </c>
      <c r="R332" s="3">
        <f>(Q332-Z332)/G332*100</f>
      </c>
      <c r="S332" s="3">
        <f>J332-P332</f>
      </c>
      <c r="T332" t="s">
        <v>1</v>
      </c>
      <c r="U332" t="s">
        <v>58</v>
      </c>
      <c r="AA332" s="3">
        <f>Q332-Z332</f>
      </c>
      <c r="AB332" t="s">
        <v>59</v>
      </c>
      <c r="AC332" t="s">
        <v>84</v>
      </c>
    </row>
    <row r="333" spans="1:29" x14ac:dyDescent="0.25">
      <c r="A333" s="7">
        <v>46175.5</v>
      </c>
      <c r="B333" t="s">
        <v>3625</v>
      </c>
      <c r="C333" t="s">
        <v>1</v>
      </c>
      <c r="D333" s="8" t="s">
        <v>3626</v>
      </c>
      <c r="E333" t="s">
        <v>77</v>
      </c>
      <c r="F333">
        <v>1</v>
      </c>
      <c r="G333" s="3">
        <v>146</v>
      </c>
      <c r="H333" s="3">
        <v>179.58</v>
      </c>
      <c r="I333" s="3">
        <f>H333-G333</f>
      </c>
      <c r="J333" s="3">
        <f>I333*16.67%</f>
      </c>
      <c r="K333" s="3">
        <v>8.28</v>
      </c>
      <c r="L333" s="3">
        <f>K333*20%</f>
      </c>
      <c r="M333" s="3">
        <v>0</v>
      </c>
      <c r="N333" s="3">
        <f>M333*20%</f>
      </c>
      <c r="O333" s="3">
        <v>1</v>
      </c>
      <c r="P333" s="3">
        <f>N333</f>
      </c>
      <c r="Q333" s="3">
        <f>I333-J333-K333-M333-N333-O333</f>
      </c>
      <c r="R333" s="3">
        <f>(Q333-Z333)/G333*100</f>
      </c>
      <c r="S333" s="3">
        <f>J333-P333</f>
      </c>
      <c r="T333" t="s">
        <v>1</v>
      </c>
      <c r="U333" t="s">
        <v>171</v>
      </c>
      <c r="AA333" s="3">
        <f>Q333-Z333</f>
      </c>
      <c r="AB333" t="s">
        <v>65</v>
      </c>
      <c r="AC333" t="s">
        <v>74</v>
      </c>
    </row>
    <row r="334" spans="1:29" x14ac:dyDescent="0.25">
      <c r="A334" s="7">
        <v>46175.5</v>
      </c>
      <c r="B334" t="s">
        <v>3627</v>
      </c>
      <c r="C334" t="s">
        <v>1</v>
      </c>
      <c r="D334" s="8" t="s">
        <v>3628</v>
      </c>
      <c r="E334" t="s">
        <v>101</v>
      </c>
      <c r="F334">
        <v>1</v>
      </c>
      <c r="G334" s="3">
        <v>292</v>
      </c>
      <c r="H334" s="3">
        <v>376.68</v>
      </c>
      <c r="I334" s="3">
        <f>H334-G334</f>
      </c>
      <c r="J334" s="3">
        <f>I334*16.67%</f>
      </c>
      <c r="K334" s="3">
        <v>17.36</v>
      </c>
      <c r="L334" s="3">
        <f>K334*20%</f>
      </c>
      <c r="M334" s="3">
        <v>0</v>
      </c>
      <c r="N334" s="3">
        <f>M334*20%</f>
      </c>
      <c r="O334" s="3">
        <v>1</v>
      </c>
      <c r="P334" s="3">
        <f>N334</f>
      </c>
      <c r="Q334" s="3">
        <f>I334-J334-K334-M334-N334-O334</f>
      </c>
      <c r="R334" s="3">
        <f>(Q334-Z334)/G334*100</f>
      </c>
      <c r="S334" s="3">
        <f>J334-P334</f>
      </c>
      <c r="T334" t="s">
        <v>1</v>
      </c>
      <c r="U334" t="s">
        <v>130</v>
      </c>
      <c r="AA334" s="3">
        <f>Q334-Z334</f>
      </c>
      <c r="AB334" t="s">
        <v>59</v>
      </c>
      <c r="AC334" t="s">
        <v>98</v>
      </c>
    </row>
    <row r="335" spans="1:29" x14ac:dyDescent="0.25">
      <c r="A335" s="7">
        <v>46175.5</v>
      </c>
      <c r="B335" t="s">
        <v>3629</v>
      </c>
      <c r="C335" t="s">
        <v>1</v>
      </c>
      <c r="D335" s="8" t="s">
        <v>3630</v>
      </c>
      <c r="E335" t="s">
        <v>101</v>
      </c>
      <c r="F335">
        <v>1</v>
      </c>
      <c r="G335" s="3">
        <v>125</v>
      </c>
      <c r="H335" s="3">
        <v>172.5</v>
      </c>
      <c r="I335" s="3">
        <f>H335-G335</f>
      </c>
      <c r="J335" s="3">
        <f>I335*16.67%</f>
      </c>
      <c r="K335" s="3">
        <v>7.95</v>
      </c>
      <c r="L335" s="3">
        <f>K335*20%</f>
      </c>
      <c r="M335" s="3">
        <v>0</v>
      </c>
      <c r="N335" s="3">
        <f>M335*20%</f>
      </c>
      <c r="O335" s="3">
        <v>1</v>
      </c>
      <c r="P335" s="3">
        <f>N335</f>
      </c>
      <c r="Q335" s="3">
        <f>I335-J335-K335-M335-N335-O335</f>
      </c>
      <c r="R335" s="3">
        <f>(Q335-Z335)/G335*100</f>
      </c>
      <c r="S335" s="3">
        <f>J335-P335</f>
      </c>
      <c r="T335" t="s">
        <v>1</v>
      </c>
      <c r="U335" t="s">
        <v>133</v>
      </c>
      <c r="AA335" s="3">
        <f>Q335-Z335</f>
      </c>
      <c r="AB335" t="s">
        <v>65</v>
      </c>
      <c r="AC335" t="s">
        <v>98</v>
      </c>
    </row>
    <row r="336" spans="1:29" x14ac:dyDescent="0.25">
      <c r="A336" s="7">
        <v>46175.5</v>
      </c>
      <c r="B336" t="s">
        <v>3631</v>
      </c>
      <c r="C336" t="s">
        <v>1</v>
      </c>
      <c r="D336" s="8" t="s">
        <v>3632</v>
      </c>
      <c r="E336" t="s">
        <v>77</v>
      </c>
      <c r="F336">
        <v>1</v>
      </c>
      <c r="G336" s="3">
        <v>154</v>
      </c>
      <c r="H336" s="3">
        <v>217.14</v>
      </c>
      <c r="I336" s="3">
        <f>H336-G336</f>
      </c>
      <c r="J336" s="3">
        <f>I336*16.67%</f>
      </c>
      <c r="K336" s="3">
        <v>10.01</v>
      </c>
      <c r="L336" s="3">
        <f>K336*20%</f>
      </c>
      <c r="M336" s="3">
        <v>0</v>
      </c>
      <c r="N336" s="3">
        <f>M336*20%</f>
      </c>
      <c r="O336" s="3">
        <v>1</v>
      </c>
      <c r="P336" s="3">
        <f>N336</f>
      </c>
      <c r="Q336" s="3">
        <f>I336-J336-K336-M336-N336-O336</f>
      </c>
      <c r="R336" s="3">
        <f>(Q336-Z336)/G336*100</f>
      </c>
      <c r="S336" s="3">
        <f>J336-P336</f>
      </c>
      <c r="T336" t="s">
        <v>1</v>
      </c>
      <c r="U336" t="s">
        <v>171</v>
      </c>
      <c r="AA336" s="3">
        <f>Q336-Z336</f>
      </c>
      <c r="AB336" t="s">
        <v>65</v>
      </c>
      <c r="AC336" t="s">
        <v>84</v>
      </c>
    </row>
    <row r="337" spans="1:29" x14ac:dyDescent="0.25">
      <c r="A337" s="7">
        <v>46175.5</v>
      </c>
      <c r="B337" t="s">
        <v>3633</v>
      </c>
      <c r="C337" t="s">
        <v>181</v>
      </c>
      <c r="D337" s="8" t="s">
        <v>1</v>
      </c>
      <c r="E337" t="s">
        <v>72</v>
      </c>
      <c r="F337">
        <v>1</v>
      </c>
      <c r="G337" s="3">
        <v>1.9</v>
      </c>
      <c r="H337" s="3">
        <v>2.74</v>
      </c>
      <c r="I337" s="3">
        <f>H337-G337</f>
      </c>
      <c r="J337" s="3">
        <f>I337*16.67%</f>
      </c>
      <c r="K337" s="3">
        <v>0.13</v>
      </c>
      <c r="L337" s="3">
        <f>K337*20%</f>
      </c>
      <c r="M337" s="3">
        <v>0</v>
      </c>
      <c r="N337" s="3">
        <f>M337*20%</f>
      </c>
      <c r="O337" s="3">
        <v>1</v>
      </c>
      <c r="P337" s="3">
        <f>N337</f>
      </c>
      <c r="Q337" s="3">
        <f>I337-J337-K337-M337-N337-O337</f>
      </c>
      <c r="R337" s="3">
        <f>(Q337-Z337)/G337*100</f>
      </c>
      <c r="S337" s="3">
        <f>J337-P337</f>
      </c>
      <c r="T337" t="s">
        <v>1</v>
      </c>
      <c r="U337" t="s">
        <v>181</v>
      </c>
      <c r="AA337" s="3">
        <f>Q337-Z337</f>
      </c>
      <c r="AB337" t="s">
        <v>1</v>
      </c>
      <c r="AC337" t="s">
        <v>1</v>
      </c>
    </row>
    <row r="338" spans="1:29" x14ac:dyDescent="0.25">
      <c r="A338" s="7">
        <v>46175.5</v>
      </c>
      <c r="B338" t="s">
        <v>3634</v>
      </c>
      <c r="C338" t="s">
        <v>176</v>
      </c>
      <c r="D338" s="8" t="s">
        <v>1</v>
      </c>
      <c r="E338" t="s">
        <v>77</v>
      </c>
      <c r="F338">
        <v>2</v>
      </c>
      <c r="G338" s="3">
        <v>0.3</v>
      </c>
      <c r="H338" s="3">
        <v>0.43</v>
      </c>
      <c r="I338" s="3">
        <f>H338-G338</f>
      </c>
      <c r="J338" s="3">
        <f>I338*16.67%</f>
      </c>
      <c r="K338" s="3">
        <v>0.02</v>
      </c>
      <c r="L338" s="3">
        <f>K338*20%</f>
      </c>
      <c r="M338" s="3">
        <v>0</v>
      </c>
      <c r="N338" s="3">
        <f>M338*20%</f>
      </c>
      <c r="O338" s="3">
        <v>1</v>
      </c>
      <c r="P338" s="3">
        <f>N338</f>
      </c>
      <c r="Q338" s="3">
        <f>I338-J338-K338-M338-N338-O338</f>
      </c>
      <c r="R338" s="3">
        <f>(Q338-Z338)/G338*100</f>
      </c>
      <c r="S338" s="3">
        <f>J338-P338</f>
      </c>
      <c r="T338" t="s">
        <v>1</v>
      </c>
      <c r="U338" t="s">
        <v>176</v>
      </c>
      <c r="AA338" s="3">
        <f>Q338-Z338</f>
      </c>
      <c r="AB338" t="s">
        <v>1</v>
      </c>
      <c r="AC338" t="s">
        <v>1</v>
      </c>
    </row>
    <row r="339" spans="1:29" x14ac:dyDescent="0.25">
      <c r="A339" s="7">
        <v>46174.5</v>
      </c>
      <c r="B339" t="s">
        <v>3635</v>
      </c>
      <c r="C339" t="s">
        <v>1</v>
      </c>
      <c r="D339" s="8" t="s">
        <v>3636</v>
      </c>
      <c r="E339" t="s">
        <v>77</v>
      </c>
      <c r="F339">
        <v>1</v>
      </c>
      <c r="G339" s="3">
        <v>125</v>
      </c>
      <c r="H339" s="3">
        <v>148.75</v>
      </c>
      <c r="I339" s="3">
        <f>H339-G339</f>
      </c>
      <c r="J339" s="3">
        <f>I339*16.67%</f>
      </c>
      <c r="K339" s="3">
        <v>6.86</v>
      </c>
      <c r="L339" s="3">
        <f>K339*20%</f>
      </c>
      <c r="M339" s="3">
        <v>0</v>
      </c>
      <c r="N339" s="3">
        <f>M339*20%</f>
      </c>
      <c r="O339" s="3">
        <v>1</v>
      </c>
      <c r="P339" s="3">
        <f>N339</f>
      </c>
      <c r="Q339" s="3">
        <f>I339-J339-K339-M339-N339-O339</f>
      </c>
      <c r="R339" s="3">
        <f>(Q339-Z339)/G339*100</f>
      </c>
      <c r="S339" s="3">
        <f>J339-P339</f>
      </c>
      <c r="T339" t="s">
        <v>1</v>
      </c>
      <c r="U339" t="s">
        <v>133</v>
      </c>
      <c r="AA339" s="3">
        <f>Q339-Z339</f>
      </c>
      <c r="AB339" t="s">
        <v>65</v>
      </c>
      <c r="AC339" t="s">
        <v>60</v>
      </c>
    </row>
    <row r="340" spans="1:29" x14ac:dyDescent="0.25">
      <c r="A340" s="7">
        <v>46174.5</v>
      </c>
      <c r="B340" t="s">
        <v>3637</v>
      </c>
      <c r="C340" t="s">
        <v>1</v>
      </c>
      <c r="D340" s="8" t="s">
        <v>3638</v>
      </c>
      <c r="E340" t="s">
        <v>77</v>
      </c>
      <c r="F340">
        <v>1</v>
      </c>
      <c r="G340" s="3">
        <v>436</v>
      </c>
      <c r="H340" s="3">
        <v>592.96</v>
      </c>
      <c r="I340" s="3">
        <f>H340-G340</f>
      </c>
      <c r="J340" s="3">
        <f>I340*16.67%</f>
      </c>
      <c r="K340" s="3">
        <v>27.34</v>
      </c>
      <c r="L340" s="3">
        <f>K340*20%</f>
      </c>
      <c r="M340" s="3">
        <v>0</v>
      </c>
      <c r="N340" s="3">
        <f>M340*20%</f>
      </c>
      <c r="O340" s="3">
        <v>1</v>
      </c>
      <c r="P340" s="3">
        <f>N340</f>
      </c>
      <c r="Q340" s="3">
        <f>I340-J340-K340-M340-N340-O340</f>
      </c>
      <c r="R340" s="3">
        <f>(Q340-Z340)/G340*100</f>
      </c>
      <c r="S340" s="3">
        <f>J340-P340</f>
      </c>
      <c r="T340" t="s">
        <v>1</v>
      </c>
      <c r="U340" t="s">
        <v>58</v>
      </c>
      <c r="AA340" s="3">
        <f>Q340-Z340</f>
      </c>
      <c r="AB340" t="s">
        <v>59</v>
      </c>
      <c r="AC340" t="s">
        <v>74</v>
      </c>
    </row>
    <row r="341" spans="1:29" x14ac:dyDescent="0.25">
      <c r="A341" s="7">
        <v>46174.5</v>
      </c>
      <c r="B341" t="s">
        <v>3639</v>
      </c>
      <c r="C341" t="s">
        <v>1</v>
      </c>
      <c r="D341" s="8" t="s">
        <v>3640</v>
      </c>
      <c r="E341" t="s">
        <v>72</v>
      </c>
      <c r="F341">
        <v>1</v>
      </c>
      <c r="G341" s="3">
        <v>587</v>
      </c>
      <c r="H341" s="3">
        <v>680.92</v>
      </c>
      <c r="I341" s="3">
        <f>H341-G341</f>
      </c>
      <c r="J341" s="3">
        <f>I341*16.67%</f>
      </c>
      <c r="K341" s="3">
        <v>31.39</v>
      </c>
      <c r="L341" s="3">
        <f>K341*20%</f>
      </c>
      <c r="M341" s="3">
        <v>0</v>
      </c>
      <c r="N341" s="3">
        <f>M341*20%</f>
      </c>
      <c r="O341" s="3">
        <v>1</v>
      </c>
      <c r="P341" s="3">
        <f>N341</f>
      </c>
      <c r="Q341" s="3">
        <f>I341-J341-K341-M341-N341-O341</f>
      </c>
      <c r="R341" s="3">
        <f>(Q341-Z341)/G341*100</f>
      </c>
      <c r="S341" s="3">
        <f>J341-P341</f>
      </c>
      <c r="T341" t="s">
        <v>1</v>
      </c>
      <c r="U341" t="s">
        <v>80</v>
      </c>
      <c r="AA341" s="3">
        <f>Q341-Z341</f>
      </c>
      <c r="AB341" t="s">
        <v>65</v>
      </c>
      <c r="AC341" t="s">
        <v>74</v>
      </c>
    </row>
    <row r="342" spans="1:29" x14ac:dyDescent="0.25">
      <c r="A342" s="7">
        <v>46174.5</v>
      </c>
      <c r="B342" t="s">
        <v>3641</v>
      </c>
      <c r="C342" t="s">
        <v>1</v>
      </c>
      <c r="D342" s="8" t="s">
        <v>3642</v>
      </c>
      <c r="E342" t="s">
        <v>63</v>
      </c>
      <c r="F342">
        <v>1</v>
      </c>
      <c r="G342" s="3">
        <v>427</v>
      </c>
      <c r="H342" s="3">
        <v>499.59</v>
      </c>
      <c r="I342" s="3">
        <f>H342-G342</f>
      </c>
      <c r="J342" s="3">
        <f>I342*16.67%</f>
      </c>
      <c r="K342" s="3">
        <v>23.03</v>
      </c>
      <c r="L342" s="3">
        <f>K342*20%</f>
      </c>
      <c r="M342" s="3">
        <v>0</v>
      </c>
      <c r="N342" s="3">
        <f>M342*20%</f>
      </c>
      <c r="O342" s="3">
        <v>1</v>
      </c>
      <c r="P342" s="3">
        <f>N342</f>
      </c>
      <c r="Q342" s="3">
        <f>I342-J342-K342-M342-N342-O342</f>
      </c>
      <c r="R342" s="3">
        <f>(Q342-Z342)/G342*100</f>
      </c>
      <c r="S342" s="3">
        <f>J342-P342</f>
      </c>
      <c r="T342" t="s">
        <v>1</v>
      </c>
      <c r="U342" t="s">
        <v>58</v>
      </c>
      <c r="AA342" s="3">
        <f>Q342-Z342</f>
      </c>
      <c r="AB342" t="s">
        <v>59</v>
      </c>
      <c r="AC342" t="s">
        <v>98</v>
      </c>
    </row>
    <row r="343" spans="1:29" x14ac:dyDescent="0.25">
      <c r="A343" s="7">
        <v>46174.5</v>
      </c>
      <c r="B343" t="s">
        <v>3643</v>
      </c>
      <c r="C343" t="s">
        <v>181</v>
      </c>
      <c r="D343" s="8" t="s">
        <v>1</v>
      </c>
      <c r="E343" t="s">
        <v>72</v>
      </c>
      <c r="F343">
        <v>3</v>
      </c>
      <c r="G343" s="3">
        <v>5.7</v>
      </c>
      <c r="H343" s="3">
        <v>7.41</v>
      </c>
      <c r="I343" s="3">
        <f>H343-G343</f>
      </c>
      <c r="J343" s="3">
        <f>I343*16.67%</f>
      </c>
      <c r="K343" s="3">
        <v>0.34</v>
      </c>
      <c r="L343" s="3">
        <f>K343*20%</f>
      </c>
      <c r="M343" s="3">
        <v>0</v>
      </c>
      <c r="N343" s="3">
        <f>M343*20%</f>
      </c>
      <c r="O343" s="3">
        <v>1</v>
      </c>
      <c r="P343" s="3">
        <f>N343</f>
      </c>
      <c r="Q343" s="3">
        <f>I343-J343-K343-M343-N343-O343</f>
      </c>
      <c r="R343" s="3">
        <f>(Q343-Z343)/G343*100</f>
      </c>
      <c r="S343" s="3">
        <f>J343-P343</f>
      </c>
      <c r="T343" t="s">
        <v>1</v>
      </c>
      <c r="U343" t="s">
        <v>181</v>
      </c>
      <c r="AA343" s="3">
        <f>Q343-Z343</f>
      </c>
      <c r="AB343" t="s">
        <v>1</v>
      </c>
      <c r="AC343" t="s">
        <v>1</v>
      </c>
    </row>
    <row r="344" spans="1:29" x14ac:dyDescent="0.25">
      <c r="A344" s="7">
        <v>46174.5</v>
      </c>
      <c r="B344" t="s">
        <v>3644</v>
      </c>
      <c r="C344" t="s">
        <v>176</v>
      </c>
      <c r="D344" s="8" t="s">
        <v>1</v>
      </c>
      <c r="E344" t="s">
        <v>77</v>
      </c>
      <c r="F344">
        <v>3</v>
      </c>
      <c r="G344" s="3">
        <v>0.45</v>
      </c>
      <c r="H344" s="3">
        <v>0.63</v>
      </c>
      <c r="I344" s="3">
        <f>H344-G344</f>
      </c>
      <c r="J344" s="3">
        <f>I344*16.67%</f>
      </c>
      <c r="K344" s="3">
        <v>0.03</v>
      </c>
      <c r="L344" s="3">
        <f>K344*20%</f>
      </c>
      <c r="M344" s="3">
        <v>0</v>
      </c>
      <c r="N344" s="3">
        <f>M344*20%</f>
      </c>
      <c r="O344" s="3">
        <v>1</v>
      </c>
      <c r="P344" s="3">
        <f>N344</f>
      </c>
      <c r="Q344" s="3">
        <f>I344-J344-K344-M344-N344-O344</f>
      </c>
      <c r="R344" s="3">
        <f>(Q344-Z344)/G344*100</f>
      </c>
      <c r="S344" s="3">
        <f>J344-P344</f>
      </c>
      <c r="T344" t="s">
        <v>1</v>
      </c>
      <c r="U344" t="s">
        <v>176</v>
      </c>
      <c r="AA344" s="3">
        <f>Q344-Z344</f>
      </c>
      <c r="AB344" t="s">
        <v>1</v>
      </c>
      <c r="AC344" t="s">
        <v>1</v>
      </c>
    </row>
    <row r="345" spans="1:29" x14ac:dyDescent="0.25">
      <c r="A345" s="7">
        <v>46174.5</v>
      </c>
      <c r="B345" t="s">
        <v>3645</v>
      </c>
      <c r="C345" t="s">
        <v>1</v>
      </c>
      <c r="D345" s="8" t="s">
        <v>1</v>
      </c>
      <c r="E345" t="s">
        <v>101</v>
      </c>
      <c r="F345">
        <v>1</v>
      </c>
      <c r="G345" s="3">
        <v>698</v>
      </c>
      <c r="H345" s="3">
        <v>844.58</v>
      </c>
      <c r="I345" s="3">
        <f>H345-G345</f>
      </c>
      <c r="J345" s="3">
        <f>I345*16.67%</f>
      </c>
      <c r="K345" s="3">
        <v>38.94</v>
      </c>
      <c r="L345" s="3">
        <f>K345*20%</f>
      </c>
      <c r="M345" s="3">
        <v>0</v>
      </c>
      <c r="N345" s="3">
        <f>M345*20%</f>
      </c>
      <c r="O345" s="3">
        <v>1</v>
      </c>
      <c r="P345" s="3">
        <f>N345</f>
      </c>
      <c r="Q345" s="3">
        <f>I345-J345-K345-M345-N345-O345</f>
      </c>
      <c r="R345" s="3">
        <f>(Q345-Z345)/G345*100</f>
      </c>
      <c r="S345" s="3">
        <f>J345-P345</f>
      </c>
      <c r="T345" t="s">
        <v>1</v>
      </c>
      <c r="U345" t="s">
        <v>1</v>
      </c>
      <c r="AA345" s="3">
        <f>Q345-Z345</f>
      </c>
      <c r="AB345" t="s">
        <v>1</v>
      </c>
      <c r="AC345" t="s">
        <v>1</v>
      </c>
    </row>
    <row r="346" spans="1:29" x14ac:dyDescent="0.25">
      <c r="A346" s="7">
        <v>46173.5</v>
      </c>
      <c r="B346" t="s">
        <v>3646</v>
      </c>
      <c r="C346" t="s">
        <v>1</v>
      </c>
      <c r="D346" s="8" t="s">
        <v>3647</v>
      </c>
      <c r="E346" t="s">
        <v>101</v>
      </c>
      <c r="F346">
        <v>1</v>
      </c>
      <c r="G346" s="3">
        <v>257</v>
      </c>
      <c r="H346" s="3">
        <v>354.66</v>
      </c>
      <c r="I346" s="3">
        <f>H346-G346</f>
      </c>
      <c r="J346" s="3">
        <f>I346*16.67%</f>
      </c>
      <c r="K346" s="3">
        <v>16.35</v>
      </c>
      <c r="L346" s="3">
        <f>K346*20%</f>
      </c>
      <c r="M346" s="3">
        <v>0</v>
      </c>
      <c r="N346" s="3">
        <f>M346*20%</f>
      </c>
      <c r="O346" s="3">
        <v>1</v>
      </c>
      <c r="P346" s="3">
        <f>N346</f>
      </c>
      <c r="Q346" s="3">
        <f>I346-J346-K346-M346-N346-O346</f>
      </c>
      <c r="R346" s="3">
        <f>(Q346-Z346)/G346*100</f>
      </c>
      <c r="S346" s="3">
        <f>J346-P346</f>
      </c>
      <c r="T346" t="s">
        <v>1</v>
      </c>
      <c r="U346" t="s">
        <v>113</v>
      </c>
      <c r="AA346" s="3">
        <f>Q346-Z346</f>
      </c>
      <c r="AB346" t="s">
        <v>59</v>
      </c>
      <c r="AC346" t="s">
        <v>104</v>
      </c>
    </row>
    <row r="347" spans="1:29" x14ac:dyDescent="0.25">
      <c r="A347" s="7">
        <v>46173.5</v>
      </c>
      <c r="B347" t="s">
        <v>3648</v>
      </c>
      <c r="C347" t="s">
        <v>1</v>
      </c>
      <c r="D347" s="8" t="s">
        <v>3649</v>
      </c>
      <c r="E347" t="s">
        <v>72</v>
      </c>
      <c r="F347">
        <v>1</v>
      </c>
      <c r="G347" s="3">
        <v>280</v>
      </c>
      <c r="H347" s="3">
        <v>394.8</v>
      </c>
      <c r="I347" s="3">
        <f>H347-G347</f>
      </c>
      <c r="J347" s="3">
        <f>I347*16.67%</f>
      </c>
      <c r="K347" s="3">
        <v>18.2</v>
      </c>
      <c r="L347" s="3">
        <f>K347*20%</f>
      </c>
      <c r="M347" s="3">
        <v>0</v>
      </c>
      <c r="N347" s="3">
        <f>M347*20%</f>
      </c>
      <c r="O347" s="3">
        <v>1</v>
      </c>
      <c r="P347" s="3">
        <f>N347</f>
      </c>
      <c r="Q347" s="3">
        <f>I347-J347-K347-M347-N347-O347</f>
      </c>
      <c r="R347" s="3">
        <f>(Q347-Z347)/G347*100</f>
      </c>
      <c r="S347" s="3">
        <f>J347-P347</f>
      </c>
      <c r="T347" t="s">
        <v>1</v>
      </c>
      <c r="U347" t="s">
        <v>124</v>
      </c>
      <c r="AA347" s="3">
        <f>Q347-Z347</f>
      </c>
      <c r="AB347" t="s">
        <v>125</v>
      </c>
      <c r="AC347" t="s">
        <v>84</v>
      </c>
    </row>
    <row r="348" spans="1:29" x14ac:dyDescent="0.25">
      <c r="A348" s="7">
        <v>46173.5</v>
      </c>
      <c r="B348" t="s">
        <v>3650</v>
      </c>
      <c r="C348" t="s">
        <v>1</v>
      </c>
      <c r="D348" s="8" t="s">
        <v>3651</v>
      </c>
      <c r="E348" t="s">
        <v>101</v>
      </c>
      <c r="F348">
        <v>1</v>
      </c>
      <c r="G348" s="3">
        <v>309</v>
      </c>
      <c r="H348" s="3">
        <v>404.79</v>
      </c>
      <c r="I348" s="3">
        <f>H348-G348</f>
      </c>
      <c r="J348" s="3">
        <f>I348*16.67%</f>
      </c>
      <c r="K348" s="3">
        <v>18.66</v>
      </c>
      <c r="L348" s="3">
        <f>K348*20%</f>
      </c>
      <c r="M348" s="3">
        <v>0</v>
      </c>
      <c r="N348" s="3">
        <f>M348*20%</f>
      </c>
      <c r="O348" s="3">
        <v>1</v>
      </c>
      <c r="P348" s="3">
        <f>N348</f>
      </c>
      <c r="Q348" s="3">
        <f>I348-J348-K348-M348-N348-O348</f>
      </c>
      <c r="R348" s="3">
        <f>(Q348-Z348)/G348*100</f>
      </c>
      <c r="S348" s="3">
        <f>J348-P348</f>
      </c>
      <c r="T348" t="s">
        <v>1</v>
      </c>
      <c r="U348" t="s">
        <v>130</v>
      </c>
      <c r="AA348" s="3">
        <f>Q348-Z348</f>
      </c>
      <c r="AB348" t="s">
        <v>65</v>
      </c>
      <c r="AC348" t="s">
        <v>60</v>
      </c>
    </row>
    <row r="349" spans="1:29" x14ac:dyDescent="0.25">
      <c r="A349" s="7">
        <v>46172.5</v>
      </c>
      <c r="B349" t="s">
        <v>3652</v>
      </c>
      <c r="C349" t="s">
        <v>1</v>
      </c>
      <c r="D349" s="8" t="s">
        <v>3653</v>
      </c>
      <c r="E349" t="s">
        <v>63</v>
      </c>
      <c r="F349">
        <v>1</v>
      </c>
      <c r="G349" s="3">
        <v>318</v>
      </c>
      <c r="H349" s="3">
        <v>454.74</v>
      </c>
      <c r="I349" s="3">
        <f>H349-G349</f>
      </c>
      <c r="J349" s="3">
        <f>I349*16.67%</f>
      </c>
      <c r="K349" s="3">
        <v>20.96</v>
      </c>
      <c r="L349" s="3">
        <f>K349*20%</f>
      </c>
      <c r="M349" s="3">
        <v>0</v>
      </c>
      <c r="N349" s="3">
        <f>M349*20%</f>
      </c>
      <c r="O349" s="3">
        <v>1</v>
      </c>
      <c r="P349" s="3">
        <f>N349</f>
      </c>
      <c r="Q349" s="3">
        <f>I349-J349-K349-M349-N349-O349</f>
      </c>
      <c r="R349" s="3">
        <f>(Q349-Z349)/G349*100</f>
      </c>
      <c r="S349" s="3">
        <f>J349-P349</f>
      </c>
      <c r="T349" t="s">
        <v>1</v>
      </c>
      <c r="U349" t="s">
        <v>97</v>
      </c>
      <c r="AA349" s="3">
        <f>Q349-Z349</f>
      </c>
      <c r="AB349" t="s">
        <v>59</v>
      </c>
      <c r="AC349" t="s">
        <v>69</v>
      </c>
    </row>
    <row r="350" spans="1:29" x14ac:dyDescent="0.25">
      <c r="A350" s="7">
        <v>46172.5</v>
      </c>
      <c r="B350" t="s">
        <v>3654</v>
      </c>
      <c r="C350" t="s">
        <v>1</v>
      </c>
      <c r="D350" s="8" t="s">
        <v>3655</v>
      </c>
      <c r="E350" t="s">
        <v>101</v>
      </c>
      <c r="F350">
        <v>1</v>
      </c>
      <c r="G350" s="3">
        <v>134</v>
      </c>
      <c r="H350" s="3">
        <v>164.82</v>
      </c>
      <c r="I350" s="3">
        <f>H350-G350</f>
      </c>
      <c r="J350" s="3">
        <f>I350*16.67%</f>
      </c>
      <c r="K350" s="3">
        <v>7.6</v>
      </c>
      <c r="L350" s="3">
        <f>K350*20%</f>
      </c>
      <c r="M350" s="3">
        <v>0</v>
      </c>
      <c r="N350" s="3">
        <f>M350*20%</f>
      </c>
      <c r="O350" s="3">
        <v>1</v>
      </c>
      <c r="P350" s="3">
        <f>N350</f>
      </c>
      <c r="Q350" s="3">
        <f>I350-J350-K350-M350-N350-O350</f>
      </c>
      <c r="R350" s="3">
        <f>(Q350-Z350)/G350*100</f>
      </c>
      <c r="S350" s="3">
        <f>J350-P350</f>
      </c>
      <c r="T350" t="s">
        <v>1</v>
      </c>
      <c r="U350" t="s">
        <v>90</v>
      </c>
      <c r="AA350" s="3">
        <f>Q350-Z350</f>
      </c>
      <c r="AB350" t="s">
        <v>94</v>
      </c>
      <c r="AC350" t="s">
        <v>69</v>
      </c>
    </row>
    <row r="351" spans="1:29" x14ac:dyDescent="0.25">
      <c r="A351" s="7">
        <v>46172.5</v>
      </c>
      <c r="B351" t="s">
        <v>3656</v>
      </c>
      <c r="C351" t="s">
        <v>1</v>
      </c>
      <c r="D351" s="8" t="s">
        <v>3657</v>
      </c>
      <c r="E351" t="s">
        <v>72</v>
      </c>
      <c r="F351">
        <v>1</v>
      </c>
      <c r="G351" s="3">
        <v>162</v>
      </c>
      <c r="H351" s="3">
        <v>230.04</v>
      </c>
      <c r="I351" s="3">
        <f>H351-G351</f>
      </c>
      <c r="J351" s="3">
        <f>I351*16.67%</f>
      </c>
      <c r="K351" s="3">
        <v>10.6</v>
      </c>
      <c r="L351" s="3">
        <f>K351*20%</f>
      </c>
      <c r="M351" s="3">
        <v>0</v>
      </c>
      <c r="N351" s="3">
        <f>M351*20%</f>
      </c>
      <c r="O351" s="3">
        <v>1</v>
      </c>
      <c r="P351" s="3">
        <f>N351</f>
      </c>
      <c r="Q351" s="3">
        <f>I351-J351-K351-M351-N351-O351</f>
      </c>
      <c r="R351" s="3">
        <f>(Q351-Z351)/G351*100</f>
      </c>
      <c r="S351" s="3">
        <f>J351-P351</f>
      </c>
      <c r="T351" t="s">
        <v>1</v>
      </c>
      <c r="U351" t="s">
        <v>171</v>
      </c>
      <c r="AA351" s="3">
        <f>Q351-Z351</f>
      </c>
      <c r="AB351" t="s">
        <v>65</v>
      </c>
      <c r="AC351" t="s">
        <v>98</v>
      </c>
    </row>
    <row r="352" spans="1:29" x14ac:dyDescent="0.25">
      <c r="A352" s="7">
        <v>46172.5</v>
      </c>
      <c r="B352" t="s">
        <v>3658</v>
      </c>
      <c r="C352" t="s">
        <v>188</v>
      </c>
      <c r="D352" s="8" t="s">
        <v>1</v>
      </c>
      <c r="E352" t="s">
        <v>63</v>
      </c>
      <c r="F352">
        <v>1</v>
      </c>
      <c r="G352" s="3">
        <v>3.5</v>
      </c>
      <c r="H352" s="3">
        <v>4.97</v>
      </c>
      <c r="I352" s="3">
        <f>H352-G352</f>
      </c>
      <c r="J352" s="3">
        <f>I352*16.67%</f>
      </c>
      <c r="K352" s="3">
        <v>0.23</v>
      </c>
      <c r="L352" s="3">
        <f>K352*20%</f>
      </c>
      <c r="M352" s="3">
        <v>0</v>
      </c>
      <c r="N352" s="3">
        <f>M352*20%</f>
      </c>
      <c r="O352" s="3">
        <v>1</v>
      </c>
      <c r="P352" s="3">
        <f>N352</f>
      </c>
      <c r="Q352" s="3">
        <f>I352-J352-K352-M352-N352-O352</f>
      </c>
      <c r="R352" s="3">
        <f>(Q352-Z352)/G352*100</f>
      </c>
      <c r="S352" s="3">
        <f>J352-P352</f>
      </c>
      <c r="T352" t="s">
        <v>1</v>
      </c>
      <c r="U352" t="s">
        <v>188</v>
      </c>
      <c r="AA352" s="3">
        <f>Q352-Z352</f>
      </c>
      <c r="AB352" t="s">
        <v>1</v>
      </c>
      <c r="AC352" t="s">
        <v>1</v>
      </c>
    </row>
    <row r="353" spans="1:29" x14ac:dyDescent="0.25">
      <c r="A353" s="7">
        <v>46171.5</v>
      </c>
      <c r="B353" t="s">
        <v>3659</v>
      </c>
      <c r="C353" t="s">
        <v>1</v>
      </c>
      <c r="D353" s="8" t="s">
        <v>3660</v>
      </c>
      <c r="E353" t="s">
        <v>101</v>
      </c>
      <c r="F353">
        <v>1</v>
      </c>
      <c r="G353" s="3">
        <v>610</v>
      </c>
      <c r="H353" s="3">
        <v>756.4</v>
      </c>
      <c r="I353" s="3">
        <f>H353-G353</f>
      </c>
      <c r="J353" s="3">
        <f>I353*16.67%</f>
      </c>
      <c r="K353" s="3">
        <v>34.87</v>
      </c>
      <c r="L353" s="3">
        <f>K353*20%</f>
      </c>
      <c r="M353" s="3">
        <v>0</v>
      </c>
      <c r="N353" s="3">
        <f>M353*20%</f>
      </c>
      <c r="O353" s="3">
        <v>1</v>
      </c>
      <c r="P353" s="3">
        <f>N353</f>
      </c>
      <c r="Q353" s="3">
        <f>I353-J353-K353-M353-N353-O353</f>
      </c>
      <c r="R353" s="3">
        <f>(Q353-Z353)/G353*100</f>
      </c>
      <c r="S353" s="3">
        <f>J353-P353</f>
      </c>
      <c r="T353" t="s">
        <v>1</v>
      </c>
      <c r="U353" t="s">
        <v>80</v>
      </c>
      <c r="AA353" s="3">
        <f>Q353-Z353</f>
      </c>
      <c r="AB353" t="s">
        <v>59</v>
      </c>
      <c r="AC353" t="s">
        <v>74</v>
      </c>
    </row>
    <row r="354" spans="1:29" x14ac:dyDescent="0.25">
      <c r="A354" s="7">
        <v>46171.5</v>
      </c>
      <c r="B354" t="s">
        <v>3661</v>
      </c>
      <c r="C354" t="s">
        <v>1</v>
      </c>
      <c r="D354" s="8" t="s">
        <v>3662</v>
      </c>
      <c r="E354" t="s">
        <v>101</v>
      </c>
      <c r="F354">
        <v>1</v>
      </c>
      <c r="G354" s="3">
        <v>199</v>
      </c>
      <c r="H354" s="3">
        <v>256.71</v>
      </c>
      <c r="I354" s="3">
        <f>H354-G354</f>
      </c>
      <c r="J354" s="3">
        <f>I354*16.67%</f>
      </c>
      <c r="K354" s="3">
        <v>11.83</v>
      </c>
      <c r="L354" s="3">
        <f>K354*20%</f>
      </c>
      <c r="M354" s="3">
        <v>0</v>
      </c>
      <c r="N354" s="3">
        <f>M354*20%</f>
      </c>
      <c r="O354" s="3">
        <v>1</v>
      </c>
      <c r="P354" s="3">
        <f>N354</f>
      </c>
      <c r="Q354" s="3">
        <f>I354-J354-K354-M354-N354-O354</f>
      </c>
      <c r="R354" s="3">
        <f>(Q354-Z354)/G354*100</f>
      </c>
      <c r="S354" s="3">
        <f>J354-P354</f>
      </c>
      <c r="T354" t="s">
        <v>1</v>
      </c>
      <c r="U354" t="s">
        <v>291</v>
      </c>
      <c r="AA354" s="3">
        <f>Q354-Z354</f>
      </c>
      <c r="AB354" t="s">
        <v>125</v>
      </c>
      <c r="AC354" t="s">
        <v>87</v>
      </c>
    </row>
    <row r="355" spans="1:29" x14ac:dyDescent="0.25">
      <c r="A355" s="7">
        <v>46171.5</v>
      </c>
      <c r="B355" t="s">
        <v>3663</v>
      </c>
      <c r="C355" t="s">
        <v>1</v>
      </c>
      <c r="D355" s="8" t="s">
        <v>3664</v>
      </c>
      <c r="E355" t="s">
        <v>101</v>
      </c>
      <c r="F355">
        <v>1</v>
      </c>
      <c r="G355" s="3">
        <v>165</v>
      </c>
      <c r="H355" s="3">
        <v>212.85</v>
      </c>
      <c r="I355" s="3">
        <f>H355-G355</f>
      </c>
      <c r="J355" s="3">
        <f>I355*16.67%</f>
      </c>
      <c r="K355" s="3">
        <v>9.81</v>
      </c>
      <c r="L355" s="3">
        <f>K355*20%</f>
      </c>
      <c r="M355" s="3">
        <v>0</v>
      </c>
      <c r="N355" s="3">
        <f>M355*20%</f>
      </c>
      <c r="O355" s="3">
        <v>1</v>
      </c>
      <c r="P355" s="3">
        <f>N355</f>
      </c>
      <c r="Q355" s="3">
        <f>I355-J355-K355-M355-N355-O355</f>
      </c>
      <c r="R355" s="3">
        <f>(Q355-Z355)/G355*100</f>
      </c>
      <c r="S355" s="3">
        <f>J355-P355</f>
      </c>
      <c r="T355" t="s">
        <v>1</v>
      </c>
      <c r="U355" t="s">
        <v>233</v>
      </c>
      <c r="AA355" s="3">
        <f>Q355-Z355</f>
      </c>
      <c r="AB355" t="s">
        <v>65</v>
      </c>
      <c r="AC355" t="s">
        <v>87</v>
      </c>
    </row>
    <row r="356" spans="1:29" x14ac:dyDescent="0.25">
      <c r="A356" s="7">
        <v>46171.5</v>
      </c>
      <c r="B356" t="s">
        <v>3665</v>
      </c>
      <c r="C356" t="s">
        <v>181</v>
      </c>
      <c r="D356" s="8" t="s">
        <v>1</v>
      </c>
      <c r="E356" t="s">
        <v>72</v>
      </c>
      <c r="F356">
        <v>3</v>
      </c>
      <c r="G356" s="3">
        <v>5.7</v>
      </c>
      <c r="H356" s="3">
        <v>7.75</v>
      </c>
      <c r="I356" s="3">
        <f>H356-G356</f>
      </c>
      <c r="J356" s="3">
        <f>I356*16.67%</f>
      </c>
      <c r="K356" s="3">
        <v>0.36</v>
      </c>
      <c r="L356" s="3">
        <f>K356*20%</f>
      </c>
      <c r="M356" s="3">
        <v>0</v>
      </c>
      <c r="N356" s="3">
        <f>M356*20%</f>
      </c>
      <c r="O356" s="3">
        <v>1</v>
      </c>
      <c r="P356" s="3">
        <f>N356</f>
      </c>
      <c r="Q356" s="3">
        <f>I356-J356-K356-M356-N356-O356</f>
      </c>
      <c r="R356" s="3">
        <f>(Q356-Z356)/G356*100</f>
      </c>
      <c r="S356" s="3">
        <f>J356-P356</f>
      </c>
      <c r="T356" t="s">
        <v>1</v>
      </c>
      <c r="U356" t="s">
        <v>181</v>
      </c>
      <c r="AA356" s="3">
        <f>Q356-Z356</f>
      </c>
      <c r="AB356" t="s">
        <v>1</v>
      </c>
      <c r="AC356" t="s">
        <v>1</v>
      </c>
    </row>
    <row r="357" spans="1:29" x14ac:dyDescent="0.25">
      <c r="A357" s="7">
        <v>46171.5</v>
      </c>
      <c r="B357" t="s">
        <v>3666</v>
      </c>
      <c r="C357" t="s">
        <v>184</v>
      </c>
      <c r="D357" s="8" t="s">
        <v>1</v>
      </c>
      <c r="E357" t="s">
        <v>101</v>
      </c>
      <c r="F357">
        <v>3</v>
      </c>
      <c r="G357" s="3">
        <v>3.6</v>
      </c>
      <c r="H357" s="3">
        <v>4.28</v>
      </c>
      <c r="I357" s="3">
        <f>H357-G357</f>
      </c>
      <c r="J357" s="3">
        <f>I357*16.67%</f>
      </c>
      <c r="K357" s="3">
        <v>0.2</v>
      </c>
      <c r="L357" s="3">
        <f>K357*20%</f>
      </c>
      <c r="M357" s="3">
        <v>0</v>
      </c>
      <c r="N357" s="3">
        <f>M357*20%</f>
      </c>
      <c r="O357" s="3">
        <v>1</v>
      </c>
      <c r="P357" s="3">
        <f>N357</f>
      </c>
      <c r="Q357" s="3">
        <f>I357-J357-K357-M357-N357-O357</f>
      </c>
      <c r="R357" s="3">
        <f>(Q357-Z357)/G357*100</f>
      </c>
      <c r="S357" s="3">
        <f>J357-P357</f>
      </c>
      <c r="T357" t="s">
        <v>1</v>
      </c>
      <c r="U357" t="s">
        <v>184</v>
      </c>
      <c r="AA357" s="3">
        <f>Q357-Z357</f>
      </c>
      <c r="AB357" t="s">
        <v>1</v>
      </c>
      <c r="AC357" t="s">
        <v>1</v>
      </c>
    </row>
    <row r="358" spans="1:29" x14ac:dyDescent="0.25">
      <c r="A358" s="7">
        <v>46171.5</v>
      </c>
      <c r="B358" t="s">
        <v>3667</v>
      </c>
      <c r="C358" t="s">
        <v>173</v>
      </c>
      <c r="D358" s="8" t="s">
        <v>1</v>
      </c>
      <c r="E358" t="s">
        <v>63</v>
      </c>
      <c r="F358">
        <v>3</v>
      </c>
      <c r="G358" s="3">
        <v>12.75</v>
      </c>
      <c r="H358" s="3">
        <v>17.59</v>
      </c>
      <c r="I358" s="3">
        <f>H358-G358</f>
      </c>
      <c r="J358" s="3">
        <f>I358*16.67%</f>
      </c>
      <c r="K358" s="3">
        <v>0.81</v>
      </c>
      <c r="L358" s="3">
        <f>K358*20%</f>
      </c>
      <c r="M358" s="3">
        <v>0</v>
      </c>
      <c r="N358" s="3">
        <f>M358*20%</f>
      </c>
      <c r="O358" s="3">
        <v>1</v>
      </c>
      <c r="P358" s="3">
        <f>N358</f>
      </c>
      <c r="Q358" s="3">
        <f>I358-J358-K358-M358-N358-O358</f>
      </c>
      <c r="R358" s="3">
        <f>(Q358-Z358)/G358*100</f>
      </c>
      <c r="S358" s="3">
        <f>J358-P358</f>
      </c>
      <c r="T358" t="s">
        <v>1</v>
      </c>
      <c r="U358" t="s">
        <v>173</v>
      </c>
      <c r="AA358" s="3">
        <f>Q358-Z358</f>
      </c>
      <c r="AB358" t="s">
        <v>1</v>
      </c>
      <c r="AC358" t="s">
        <v>1</v>
      </c>
    </row>
    <row r="359" spans="1:29" x14ac:dyDescent="0.25">
      <c r="A359" s="7">
        <v>46170.5</v>
      </c>
      <c r="B359" t="s">
        <v>3668</v>
      </c>
      <c r="C359" t="s">
        <v>1</v>
      </c>
      <c r="D359" s="8" t="s">
        <v>3669</v>
      </c>
      <c r="E359" t="s">
        <v>77</v>
      </c>
      <c r="F359">
        <v>1</v>
      </c>
      <c r="G359" s="3">
        <v>442</v>
      </c>
      <c r="H359" s="3">
        <v>627.64</v>
      </c>
      <c r="I359" s="3">
        <f>H359-G359</f>
      </c>
      <c r="J359" s="3">
        <f>I359*16.67%</f>
      </c>
      <c r="K359" s="3">
        <v>28.93</v>
      </c>
      <c r="L359" s="3">
        <f>K359*20%</f>
      </c>
      <c r="M359" s="3">
        <v>0</v>
      </c>
      <c r="N359" s="3">
        <f>M359*20%</f>
      </c>
      <c r="O359" s="3">
        <v>1</v>
      </c>
      <c r="P359" s="3">
        <f>N359</f>
      </c>
      <c r="Q359" s="3">
        <f>I359-J359-K359-M359-N359-O359</f>
      </c>
      <c r="R359" s="3">
        <f>(Q359-Z359)/G359*100</f>
      </c>
      <c r="S359" s="3">
        <f>J359-P359</f>
      </c>
      <c r="T359" t="s">
        <v>1</v>
      </c>
      <c r="U359" t="s">
        <v>58</v>
      </c>
      <c r="AA359" s="3">
        <f>Q359-Z359</f>
      </c>
      <c r="AB359" t="s">
        <v>59</v>
      </c>
      <c r="AC359" t="s">
        <v>98</v>
      </c>
    </row>
    <row r="360" spans="1:29" x14ac:dyDescent="0.25">
      <c r="A360" s="7">
        <v>46170.5</v>
      </c>
      <c r="B360" t="s">
        <v>3670</v>
      </c>
      <c r="C360" t="s">
        <v>1</v>
      </c>
      <c r="D360" s="8" t="s">
        <v>3671</v>
      </c>
      <c r="E360" t="s">
        <v>63</v>
      </c>
      <c r="F360">
        <v>1</v>
      </c>
      <c r="G360" s="3">
        <v>63</v>
      </c>
      <c r="H360" s="3">
        <v>86.31</v>
      </c>
      <c r="I360" s="3">
        <f>H360-G360</f>
      </c>
      <c r="J360" s="3">
        <f>I360*16.67%</f>
      </c>
      <c r="K360" s="3">
        <v>3.98</v>
      </c>
      <c r="L360" s="3">
        <f>K360*20%</f>
      </c>
      <c r="M360" s="3">
        <v>0</v>
      </c>
      <c r="N360" s="3">
        <f>M360*20%</f>
      </c>
      <c r="O360" s="3">
        <v>1</v>
      </c>
      <c r="P360" s="3">
        <f>N360</f>
      </c>
      <c r="Q360" s="3">
        <f>I360-J360-K360-M360-N360-O360</f>
      </c>
      <c r="R360" s="3">
        <f>(Q360-Z360)/G360*100</f>
      </c>
      <c r="S360" s="3">
        <f>J360-P360</f>
      </c>
      <c r="T360" t="s">
        <v>1</v>
      </c>
      <c r="U360" t="s">
        <v>93</v>
      </c>
      <c r="AA360" s="3">
        <f>Q360-Z360</f>
      </c>
      <c r="AB360" t="s">
        <v>94</v>
      </c>
      <c r="AC360" t="s">
        <v>60</v>
      </c>
    </row>
    <row r="361" spans="1:29" x14ac:dyDescent="0.25">
      <c r="A361" s="7">
        <v>46169.5</v>
      </c>
      <c r="B361" t="s">
        <v>3672</v>
      </c>
      <c r="C361" t="s">
        <v>1</v>
      </c>
      <c r="D361" s="8" t="s">
        <v>3673</v>
      </c>
      <c r="E361" t="s">
        <v>57</v>
      </c>
      <c r="F361">
        <v>1</v>
      </c>
      <c r="G361" s="3">
        <v>105</v>
      </c>
      <c r="H361" s="3">
        <v>145.95</v>
      </c>
      <c r="I361" s="3">
        <f>H361-G361</f>
      </c>
      <c r="J361" s="3">
        <f>I361*16.67%</f>
      </c>
      <c r="K361" s="3">
        <v>6.73</v>
      </c>
      <c r="L361" s="3">
        <f>K361*20%</f>
      </c>
      <c r="M361" s="3">
        <v>0</v>
      </c>
      <c r="N361" s="3">
        <f>M361*20%</f>
      </c>
      <c r="O361" s="3">
        <v>1</v>
      </c>
      <c r="P361" s="3">
        <f>N361</f>
      </c>
      <c r="Q361" s="3">
        <f>I361-J361-K361-M361-N361-O361</f>
      </c>
      <c r="R361" s="3">
        <f>(Q361-Z361)/G361*100</f>
      </c>
      <c r="S361" s="3">
        <f>J361-P361</f>
      </c>
      <c r="T361" t="s">
        <v>1</v>
      </c>
      <c r="U361" t="s">
        <v>133</v>
      </c>
      <c r="AA361" s="3">
        <f>Q361-Z361</f>
      </c>
      <c r="AB361" t="s">
        <v>94</v>
      </c>
      <c r="AC361" t="s">
        <v>84</v>
      </c>
    </row>
    <row r="362" spans="1:29" x14ac:dyDescent="0.25">
      <c r="A362" s="7">
        <v>46169.5</v>
      </c>
      <c r="B362" t="s">
        <v>3674</v>
      </c>
      <c r="C362" t="s">
        <v>1</v>
      </c>
      <c r="D362" s="8" t="s">
        <v>3675</v>
      </c>
      <c r="E362" t="s">
        <v>72</v>
      </c>
      <c r="F362">
        <v>1</v>
      </c>
      <c r="G362" s="3">
        <v>726</v>
      </c>
      <c r="H362" s="3">
        <v>878.46</v>
      </c>
      <c r="I362" s="3">
        <f>H362-G362</f>
      </c>
      <c r="J362" s="3">
        <f>I362*16.67%</f>
      </c>
      <c r="K362" s="3">
        <v>40.5</v>
      </c>
      <c r="L362" s="3">
        <f>K362*20%</f>
      </c>
      <c r="M362" s="3">
        <v>0</v>
      </c>
      <c r="N362" s="3">
        <f>M362*20%</f>
      </c>
      <c r="O362" s="3">
        <v>1</v>
      </c>
      <c r="P362" s="3">
        <f>N362</f>
      </c>
      <c r="Q362" s="3">
        <f>I362-J362-K362-M362-N362-O362</f>
      </c>
      <c r="R362" s="3">
        <f>(Q362-Z362)/G362*100</f>
      </c>
      <c r="S362" s="3">
        <f>J362-P362</f>
      </c>
      <c r="T362" t="s">
        <v>1</v>
      </c>
      <c r="U362" t="s">
        <v>83</v>
      </c>
      <c r="AA362" s="3">
        <f>Q362-Z362</f>
      </c>
      <c r="AB362" t="s">
        <v>59</v>
      </c>
      <c r="AC362" t="s">
        <v>60</v>
      </c>
    </row>
    <row r="363" spans="1:29" x14ac:dyDescent="0.25">
      <c r="A363" s="7">
        <v>46169.5</v>
      </c>
      <c r="B363" t="s">
        <v>3676</v>
      </c>
      <c r="C363" t="s">
        <v>188</v>
      </c>
      <c r="D363" s="8" t="s">
        <v>1</v>
      </c>
      <c r="E363" t="s">
        <v>63</v>
      </c>
      <c r="F363">
        <v>3</v>
      </c>
      <c r="G363" s="3">
        <v>10.5</v>
      </c>
      <c r="H363" s="3">
        <v>14.39</v>
      </c>
      <c r="I363" s="3">
        <f>H363-G363</f>
      </c>
      <c r="J363" s="3">
        <f>I363*16.67%</f>
      </c>
      <c r="K363" s="3">
        <v>0.66</v>
      </c>
      <c r="L363" s="3">
        <f>K363*20%</f>
      </c>
      <c r="M363" s="3">
        <v>0</v>
      </c>
      <c r="N363" s="3">
        <f>M363*20%</f>
      </c>
      <c r="O363" s="3">
        <v>1</v>
      </c>
      <c r="P363" s="3">
        <f>N363</f>
      </c>
      <c r="Q363" s="3">
        <f>I363-J363-K363-M363-N363-O363</f>
      </c>
      <c r="R363" s="3">
        <f>(Q363-Z363)/G363*100</f>
      </c>
      <c r="S363" s="3">
        <f>J363-P363</f>
      </c>
      <c r="T363" t="s">
        <v>1</v>
      </c>
      <c r="U363" t="s">
        <v>188</v>
      </c>
      <c r="AA363" s="3">
        <f>Q363-Z363</f>
      </c>
      <c r="AB363" t="s">
        <v>1</v>
      </c>
      <c r="AC363" t="s">
        <v>1</v>
      </c>
    </row>
    <row r="364" spans="1:29" x14ac:dyDescent="0.25">
      <c r="A364" s="7">
        <v>46169.5</v>
      </c>
      <c r="B364" t="s">
        <v>3677</v>
      </c>
      <c r="C364" t="s">
        <v>253</v>
      </c>
      <c r="D364" s="8" t="s">
        <v>1</v>
      </c>
      <c r="E364" t="s">
        <v>57</v>
      </c>
      <c r="F364">
        <v>2</v>
      </c>
      <c r="G364" s="3">
        <v>1.6</v>
      </c>
      <c r="H364" s="3">
        <v>1.92</v>
      </c>
      <c r="I364" s="3">
        <f>H364-G364</f>
      </c>
      <c r="J364" s="3">
        <f>I364*16.67%</f>
      </c>
      <c r="K364" s="3">
        <v>0.09</v>
      </c>
      <c r="L364" s="3">
        <f>K364*20%</f>
      </c>
      <c r="M364" s="3">
        <v>0</v>
      </c>
      <c r="N364" s="3">
        <f>M364*20%</f>
      </c>
      <c r="O364" s="3">
        <v>1</v>
      </c>
      <c r="P364" s="3">
        <f>N364</f>
      </c>
      <c r="Q364" s="3">
        <f>I364-J364-K364-M364-N364-O364</f>
      </c>
      <c r="R364" s="3">
        <f>(Q364-Z364)/G364*100</f>
      </c>
      <c r="S364" s="3">
        <f>J364-P364</f>
      </c>
      <c r="T364" t="s">
        <v>1</v>
      </c>
      <c r="U364" t="s">
        <v>253</v>
      </c>
      <c r="AA364" s="3">
        <f>Q364-Z364</f>
      </c>
      <c r="AB364" t="s">
        <v>1</v>
      </c>
      <c r="AC364" t="s">
        <v>1</v>
      </c>
    </row>
    <row r="365" spans="1:29" x14ac:dyDescent="0.25">
      <c r="A365" s="7">
        <v>46169.5</v>
      </c>
      <c r="B365" t="s">
        <v>3678</v>
      </c>
      <c r="C365" t="s">
        <v>184</v>
      </c>
      <c r="D365" s="8" t="s">
        <v>1</v>
      </c>
      <c r="E365" t="s">
        <v>101</v>
      </c>
      <c r="F365">
        <v>4</v>
      </c>
      <c r="G365" s="3">
        <v>4.8</v>
      </c>
      <c r="H365" s="3">
        <v>5.81</v>
      </c>
      <c r="I365" s="3">
        <f>H365-G365</f>
      </c>
      <c r="J365" s="3">
        <f>I365*16.67%</f>
      </c>
      <c r="K365" s="3">
        <v>0.27</v>
      </c>
      <c r="L365" s="3">
        <f>K365*20%</f>
      </c>
      <c r="M365" s="3">
        <v>0</v>
      </c>
      <c r="N365" s="3">
        <f>M365*20%</f>
      </c>
      <c r="O365" s="3">
        <v>1</v>
      </c>
      <c r="P365" s="3">
        <f>N365</f>
      </c>
      <c r="Q365" s="3">
        <f>I365-J365-K365-M365-N365-O365</f>
      </c>
      <c r="R365" s="3">
        <f>(Q365-Z365)/G365*100</f>
      </c>
      <c r="S365" s="3">
        <f>J365-P365</f>
      </c>
      <c r="T365" t="s">
        <v>1</v>
      </c>
      <c r="U365" t="s">
        <v>184</v>
      </c>
      <c r="AA365" s="3">
        <f>Q365-Z365</f>
      </c>
      <c r="AB365" t="s">
        <v>1</v>
      </c>
      <c r="AC365" t="s">
        <v>1</v>
      </c>
    </row>
    <row r="366" spans="1:29" x14ac:dyDescent="0.25">
      <c r="A366" s="7">
        <v>46168.5</v>
      </c>
      <c r="B366" t="s">
        <v>3679</v>
      </c>
      <c r="C366" t="s">
        <v>1</v>
      </c>
      <c r="D366" s="8" t="s">
        <v>3680</v>
      </c>
      <c r="E366" t="s">
        <v>57</v>
      </c>
      <c r="F366">
        <v>1</v>
      </c>
      <c r="G366" s="3">
        <v>165</v>
      </c>
      <c r="H366" s="3">
        <v>237.6</v>
      </c>
      <c r="I366" s="3">
        <f>H366-G366</f>
      </c>
      <c r="J366" s="3">
        <f>I366*16.67%</f>
      </c>
      <c r="K366" s="3">
        <v>10.95</v>
      </c>
      <c r="L366" s="3">
        <f>K366*20%</f>
      </c>
      <c r="M366" s="3">
        <v>0</v>
      </c>
      <c r="N366" s="3">
        <f>M366*20%</f>
      </c>
      <c r="O366" s="3">
        <v>1</v>
      </c>
      <c r="P366" s="3">
        <f>N366</f>
      </c>
      <c r="Q366" s="3">
        <f>I366-J366-K366-M366-N366-O366</f>
      </c>
      <c r="R366" s="3">
        <f>(Q366-Z366)/G366*100</f>
      </c>
      <c r="S366" s="3">
        <f>J366-P366</f>
      </c>
      <c r="T366" t="s">
        <v>1</v>
      </c>
      <c r="U366" t="s">
        <v>233</v>
      </c>
      <c r="AA366" s="3">
        <f>Q366-Z366</f>
      </c>
      <c r="AB366" t="s">
        <v>65</v>
      </c>
      <c r="AC366" t="s">
        <v>69</v>
      </c>
    </row>
    <row r="367" spans="1:29" x14ac:dyDescent="0.25">
      <c r="A367" s="7">
        <v>46168.5</v>
      </c>
      <c r="B367" t="s">
        <v>3681</v>
      </c>
      <c r="C367" t="s">
        <v>1</v>
      </c>
      <c r="D367" s="8" t="s">
        <v>3682</v>
      </c>
      <c r="E367" t="s">
        <v>72</v>
      </c>
      <c r="F367">
        <v>1</v>
      </c>
      <c r="G367" s="3">
        <v>88</v>
      </c>
      <c r="H367" s="3">
        <v>101.2</v>
      </c>
      <c r="I367" s="3">
        <f>H367-G367</f>
      </c>
      <c r="J367" s="3">
        <f>I367*16.67%</f>
      </c>
      <c r="K367" s="3">
        <v>4.67</v>
      </c>
      <c r="L367" s="3">
        <f>K367*20%</f>
      </c>
      <c r="M367" s="3">
        <v>0</v>
      </c>
      <c r="N367" s="3">
        <f>M367*20%</f>
      </c>
      <c r="O367" s="3">
        <v>1</v>
      </c>
      <c r="P367" s="3">
        <f>N367</f>
      </c>
      <c r="Q367" s="3">
        <f>I367-J367-K367-M367-N367-O367</f>
      </c>
      <c r="R367" s="3">
        <f>(Q367-Z367)/G367*100</f>
      </c>
      <c r="S367" s="3">
        <f>J367-P367</f>
      </c>
      <c r="T367" t="s">
        <v>1</v>
      </c>
      <c r="U367" t="s">
        <v>93</v>
      </c>
      <c r="AA367" s="3">
        <f>Q367-Z367</f>
      </c>
      <c r="AB367" t="s">
        <v>94</v>
      </c>
      <c r="AC367" t="s">
        <v>74</v>
      </c>
    </row>
    <row r="368" spans="1:29" x14ac:dyDescent="0.25">
      <c r="A368" s="7">
        <v>46168.5</v>
      </c>
      <c r="B368" t="s">
        <v>3683</v>
      </c>
      <c r="C368" t="s">
        <v>1</v>
      </c>
      <c r="D368" s="8" t="s">
        <v>3684</v>
      </c>
      <c r="E368" t="s">
        <v>77</v>
      </c>
      <c r="F368">
        <v>1</v>
      </c>
      <c r="G368" s="3">
        <v>163</v>
      </c>
      <c r="H368" s="3">
        <v>200.49</v>
      </c>
      <c r="I368" s="3">
        <f>H368-G368</f>
      </c>
      <c r="J368" s="3">
        <f>I368*16.67%</f>
      </c>
      <c r="K368" s="3">
        <v>9.24</v>
      </c>
      <c r="L368" s="3">
        <f>K368*20%</f>
      </c>
      <c r="M368" s="3">
        <v>0</v>
      </c>
      <c r="N368" s="3">
        <f>M368*20%</f>
      </c>
      <c r="O368" s="3">
        <v>1</v>
      </c>
      <c r="P368" s="3">
        <f>N368</f>
      </c>
      <c r="Q368" s="3">
        <f>I368-J368-K368-M368-N368-O368</f>
      </c>
      <c r="R368" s="3">
        <f>(Q368-Z368)/G368*100</f>
      </c>
      <c r="S368" s="3">
        <f>J368-P368</f>
      </c>
      <c r="T368" t="s">
        <v>1</v>
      </c>
      <c r="U368" t="s">
        <v>171</v>
      </c>
      <c r="AA368" s="3">
        <f>Q368-Z368</f>
      </c>
      <c r="AB368" t="s">
        <v>65</v>
      </c>
      <c r="AC368" t="s">
        <v>104</v>
      </c>
    </row>
    <row r="369" spans="1:29" x14ac:dyDescent="0.25">
      <c r="A369" s="7">
        <v>46167.5</v>
      </c>
      <c r="B369" t="s">
        <v>3685</v>
      </c>
      <c r="C369" t="s">
        <v>1</v>
      </c>
      <c r="D369" s="8" t="s">
        <v>3686</v>
      </c>
      <c r="E369" t="s">
        <v>101</v>
      </c>
      <c r="F369">
        <v>1</v>
      </c>
      <c r="G369" s="3">
        <v>766</v>
      </c>
      <c r="H369" s="3">
        <v>1026.44</v>
      </c>
      <c r="I369" s="3">
        <f>H369-G369</f>
      </c>
      <c r="J369" s="3">
        <f>I369*16.67%</f>
      </c>
      <c r="K369" s="3">
        <v>47.32</v>
      </c>
      <c r="L369" s="3">
        <f>K369*20%</f>
      </c>
      <c r="M369" s="3">
        <v>0</v>
      </c>
      <c r="N369" s="3">
        <f>M369*20%</f>
      </c>
      <c r="O369" s="3">
        <v>1</v>
      </c>
      <c r="P369" s="3">
        <f>N369</f>
      </c>
      <c r="Q369" s="3">
        <f>I369-J369-K369-M369-N369-O369</f>
      </c>
      <c r="R369" s="3">
        <f>(Q369-Z369)/G369*100</f>
      </c>
      <c r="S369" s="3">
        <f>J369-P369</f>
      </c>
      <c r="T369" t="s">
        <v>1</v>
      </c>
      <c r="U369" t="s">
        <v>83</v>
      </c>
      <c r="AA369" s="3">
        <f>Q369-Z369</f>
      </c>
      <c r="AB369" t="s">
        <v>59</v>
      </c>
      <c r="AC369" t="s">
        <v>60</v>
      </c>
    </row>
    <row r="370" spans="1:29" x14ac:dyDescent="0.25">
      <c r="A370" s="7">
        <v>46166.5</v>
      </c>
      <c r="B370" t="s">
        <v>3687</v>
      </c>
      <c r="C370" t="s">
        <v>1</v>
      </c>
      <c r="D370" s="8" t="s">
        <v>3688</v>
      </c>
      <c r="E370" t="s">
        <v>101</v>
      </c>
      <c r="F370">
        <v>1</v>
      </c>
      <c r="G370" s="3">
        <v>483</v>
      </c>
      <c r="H370" s="3">
        <v>685.86</v>
      </c>
      <c r="I370" s="3">
        <f>H370-G370</f>
      </c>
      <c r="J370" s="3">
        <f>I370*16.67%</f>
      </c>
      <c r="K370" s="3">
        <v>31.62</v>
      </c>
      <c r="L370" s="3">
        <f>K370*20%</f>
      </c>
      <c r="M370" s="3">
        <v>0</v>
      </c>
      <c r="N370" s="3">
        <f>M370*20%</f>
      </c>
      <c r="O370" s="3">
        <v>1</v>
      </c>
      <c r="P370" s="3">
        <f>N370</f>
      </c>
      <c r="Q370" s="3">
        <f>I370-J370-K370-M370-N370-O370</f>
      </c>
      <c r="R370" s="3">
        <f>(Q370-Z370)/G370*100</f>
      </c>
      <c r="S370" s="3">
        <f>J370-P370</f>
      </c>
      <c r="T370" t="s">
        <v>1</v>
      </c>
      <c r="U370" t="s">
        <v>68</v>
      </c>
      <c r="AA370" s="3">
        <f>Q370-Z370</f>
      </c>
      <c r="AB370" t="s">
        <v>59</v>
      </c>
      <c r="AC370" t="s">
        <v>69</v>
      </c>
    </row>
    <row r="371" spans="1:29" x14ac:dyDescent="0.25">
      <c r="A371" s="7">
        <v>46166.5</v>
      </c>
      <c r="B371" t="s">
        <v>3689</v>
      </c>
      <c r="C371" t="s">
        <v>1</v>
      </c>
      <c r="D371" s="8" t="s">
        <v>3690</v>
      </c>
      <c r="E371" t="s">
        <v>101</v>
      </c>
      <c r="F371">
        <v>1</v>
      </c>
      <c r="G371" s="3">
        <v>321</v>
      </c>
      <c r="H371" s="3">
        <v>452.61</v>
      </c>
      <c r="I371" s="3">
        <f>H371-G371</f>
      </c>
      <c r="J371" s="3">
        <f>I371*16.67%</f>
      </c>
      <c r="K371" s="3">
        <v>20.87</v>
      </c>
      <c r="L371" s="3">
        <f>K371*20%</f>
      </c>
      <c r="M371" s="3">
        <v>0</v>
      </c>
      <c r="N371" s="3">
        <f>M371*20%</f>
      </c>
      <c r="O371" s="3">
        <v>1</v>
      </c>
      <c r="P371" s="3">
        <f>N371</f>
      </c>
      <c r="Q371" s="3">
        <f>I371-J371-K371-M371-N371-O371</f>
      </c>
      <c r="R371" s="3">
        <f>(Q371-Z371)/G371*100</f>
      </c>
      <c r="S371" s="3">
        <f>J371-P371</f>
      </c>
      <c r="T371" t="s">
        <v>1</v>
      </c>
      <c r="U371" t="s">
        <v>73</v>
      </c>
      <c r="AA371" s="3">
        <f>Q371-Z371</f>
      </c>
      <c r="AB371" t="s">
        <v>59</v>
      </c>
      <c r="AC371" t="s">
        <v>98</v>
      </c>
    </row>
    <row r="372" spans="1:29" x14ac:dyDescent="0.25">
      <c r="A372" s="7">
        <v>46166.5</v>
      </c>
      <c r="B372" t="s">
        <v>3691</v>
      </c>
      <c r="C372" t="s">
        <v>188</v>
      </c>
      <c r="D372" s="8" t="s">
        <v>1</v>
      </c>
      <c r="E372" t="s">
        <v>63</v>
      </c>
      <c r="F372">
        <v>1</v>
      </c>
      <c r="G372" s="3">
        <v>3.5</v>
      </c>
      <c r="H372" s="3">
        <v>4.13</v>
      </c>
      <c r="I372" s="3">
        <f>H372-G372</f>
      </c>
      <c r="J372" s="3">
        <f>I372*16.67%</f>
      </c>
      <c r="K372" s="3">
        <v>0.19</v>
      </c>
      <c r="L372" s="3">
        <f>K372*20%</f>
      </c>
      <c r="M372" s="3">
        <v>0</v>
      </c>
      <c r="N372" s="3">
        <f>M372*20%</f>
      </c>
      <c r="O372" s="3">
        <v>1</v>
      </c>
      <c r="P372" s="3">
        <f>N372</f>
      </c>
      <c r="Q372" s="3">
        <f>I372-J372-K372-M372-N372-O372</f>
      </c>
      <c r="R372" s="3">
        <f>(Q372-Z372)/G372*100</f>
      </c>
      <c r="S372" s="3">
        <f>J372-P372</f>
      </c>
      <c r="T372" t="s">
        <v>1</v>
      </c>
      <c r="U372" t="s">
        <v>188</v>
      </c>
      <c r="AA372" s="3">
        <f>Q372-Z372</f>
      </c>
      <c r="AB372" t="s">
        <v>1</v>
      </c>
      <c r="AC372" t="s">
        <v>1</v>
      </c>
    </row>
    <row r="373" spans="1:29" x14ac:dyDescent="0.25">
      <c r="A373" s="7">
        <v>46166.5</v>
      </c>
      <c r="B373" t="s">
        <v>3692</v>
      </c>
      <c r="C373" t="s">
        <v>188</v>
      </c>
      <c r="D373" s="8" t="s">
        <v>1</v>
      </c>
      <c r="E373" t="s">
        <v>63</v>
      </c>
      <c r="F373">
        <v>3</v>
      </c>
      <c r="G373" s="3">
        <v>10.5</v>
      </c>
      <c r="H373" s="3">
        <v>14.91</v>
      </c>
      <c r="I373" s="3">
        <f>H373-G373</f>
      </c>
      <c r="J373" s="3">
        <f>I373*16.67%</f>
      </c>
      <c r="K373" s="3">
        <v>0.69</v>
      </c>
      <c r="L373" s="3">
        <f>K373*20%</f>
      </c>
      <c r="M373" s="3">
        <v>0</v>
      </c>
      <c r="N373" s="3">
        <f>M373*20%</f>
      </c>
      <c r="O373" s="3">
        <v>1</v>
      </c>
      <c r="P373" s="3">
        <f>N373</f>
      </c>
      <c r="Q373" s="3">
        <f>I373-J373-K373-M373-N373-O373</f>
      </c>
      <c r="R373" s="3">
        <f>(Q373-Z373)/G373*100</f>
      </c>
      <c r="S373" s="3">
        <f>J373-P373</f>
      </c>
      <c r="T373" t="s">
        <v>1</v>
      </c>
      <c r="U373" t="s">
        <v>188</v>
      </c>
      <c r="AA373" s="3">
        <f>Q373-Z373</f>
      </c>
      <c r="AB373" t="s">
        <v>1</v>
      </c>
      <c r="AC373" t="s">
        <v>1</v>
      </c>
    </row>
    <row r="374" spans="1:29" x14ac:dyDescent="0.25">
      <c r="A374" s="7">
        <v>46166.5</v>
      </c>
      <c r="B374" t="s">
        <v>3693</v>
      </c>
      <c r="C374" t="s">
        <v>176</v>
      </c>
      <c r="D374" s="8" t="s">
        <v>1</v>
      </c>
      <c r="E374" t="s">
        <v>77</v>
      </c>
      <c r="F374">
        <v>1</v>
      </c>
      <c r="G374" s="3">
        <v>0.15</v>
      </c>
      <c r="H374" s="3">
        <v>0.19</v>
      </c>
      <c r="I374" s="3">
        <f>H374-G374</f>
      </c>
      <c r="J374" s="3">
        <f>I374*16.67%</f>
      </c>
      <c r="K374" s="3">
        <v>0.01</v>
      </c>
      <c r="L374" s="3">
        <f>K374*20%</f>
      </c>
      <c r="M374" s="3">
        <v>0</v>
      </c>
      <c r="N374" s="3">
        <f>M374*20%</f>
      </c>
      <c r="O374" s="3">
        <v>1</v>
      </c>
      <c r="P374" s="3">
        <f>N374</f>
      </c>
      <c r="Q374" s="3">
        <f>I374-J374-K374-M374-N374-O374</f>
      </c>
      <c r="R374" s="3">
        <f>(Q374-Z374)/G374*100</f>
      </c>
      <c r="S374" s="3">
        <f>J374-P374</f>
      </c>
      <c r="T374" t="s">
        <v>1</v>
      </c>
      <c r="U374" t="s">
        <v>176</v>
      </c>
      <c r="AA374" s="3">
        <f>Q374-Z374</f>
      </c>
      <c r="AB374" t="s">
        <v>1</v>
      </c>
      <c r="AC374" t="s">
        <v>1</v>
      </c>
    </row>
    <row r="375" spans="1:29" x14ac:dyDescent="0.25">
      <c r="A375" s="7">
        <v>46165.5</v>
      </c>
      <c r="B375" t="s">
        <v>3694</v>
      </c>
      <c r="C375" t="s">
        <v>1</v>
      </c>
      <c r="D375" s="8" t="s">
        <v>3695</v>
      </c>
      <c r="E375" t="s">
        <v>77</v>
      </c>
      <c r="F375">
        <v>1</v>
      </c>
      <c r="G375" s="3">
        <v>307</v>
      </c>
      <c r="H375" s="3">
        <v>408.31</v>
      </c>
      <c r="I375" s="3">
        <f>H375-G375</f>
      </c>
      <c r="J375" s="3">
        <f>I375*16.67%</f>
      </c>
      <c r="K375" s="3">
        <v>18.82</v>
      </c>
      <c r="L375" s="3">
        <f>K375*20%</f>
      </c>
      <c r="M375" s="3">
        <v>0</v>
      </c>
      <c r="N375" s="3">
        <f>M375*20%</f>
      </c>
      <c r="O375" s="3">
        <v>1</v>
      </c>
      <c r="P375" s="3">
        <f>N375</f>
      </c>
      <c r="Q375" s="3">
        <f>I375-J375-K375-M375-N375-O375</f>
      </c>
      <c r="R375" s="3">
        <f>(Q375-Z375)/G375*100</f>
      </c>
      <c r="S375" s="3">
        <f>J375-P375</f>
      </c>
      <c r="T375" t="s">
        <v>1</v>
      </c>
      <c r="U375" t="s">
        <v>138</v>
      </c>
      <c r="AA375" s="3">
        <f>Q375-Z375</f>
      </c>
      <c r="AB375" t="s">
        <v>59</v>
      </c>
      <c r="AC375" t="s">
        <v>60</v>
      </c>
    </row>
    <row r="376" spans="1:29" x14ac:dyDescent="0.25">
      <c r="A376" s="7">
        <v>46165.5</v>
      </c>
      <c r="B376" t="s">
        <v>3696</v>
      </c>
      <c r="C376" t="s">
        <v>1</v>
      </c>
      <c r="D376" s="8" t="s">
        <v>3697</v>
      </c>
      <c r="E376" t="s">
        <v>72</v>
      </c>
      <c r="F376">
        <v>1</v>
      </c>
      <c r="G376" s="3">
        <v>309</v>
      </c>
      <c r="H376" s="3">
        <v>355.35</v>
      </c>
      <c r="I376" s="3">
        <f>H376-G376</f>
      </c>
      <c r="J376" s="3">
        <f>I376*16.67%</f>
      </c>
      <c r="K376" s="3">
        <v>16.38</v>
      </c>
      <c r="L376" s="3">
        <f>K376*20%</f>
      </c>
      <c r="M376" s="3">
        <v>0</v>
      </c>
      <c r="N376" s="3">
        <f>M376*20%</f>
      </c>
      <c r="O376" s="3">
        <v>1</v>
      </c>
      <c r="P376" s="3">
        <f>N376</f>
      </c>
      <c r="Q376" s="3">
        <f>I376-J376-K376-M376-N376-O376</f>
      </c>
      <c r="R376" s="3">
        <f>(Q376-Z376)/G376*100</f>
      </c>
      <c r="S376" s="3">
        <f>J376-P376</f>
      </c>
      <c r="T376" t="s">
        <v>1</v>
      </c>
      <c r="U376" t="s">
        <v>138</v>
      </c>
      <c r="AA376" s="3">
        <f>Q376-Z376</f>
      </c>
      <c r="AB376" t="s">
        <v>59</v>
      </c>
      <c r="AC376" t="s">
        <v>69</v>
      </c>
    </row>
    <row r="377" spans="1:29" x14ac:dyDescent="0.25">
      <c r="A377" s="7">
        <v>46165.5</v>
      </c>
      <c r="B377" t="s">
        <v>3698</v>
      </c>
      <c r="C377" t="s">
        <v>1</v>
      </c>
      <c r="D377" s="8" t="s">
        <v>3699</v>
      </c>
      <c r="E377" t="s">
        <v>77</v>
      </c>
      <c r="F377">
        <v>1</v>
      </c>
      <c r="G377" s="3">
        <v>183</v>
      </c>
      <c r="H377" s="3">
        <v>250.71</v>
      </c>
      <c r="I377" s="3">
        <f>H377-G377</f>
      </c>
      <c r="J377" s="3">
        <f>I377*16.67%</f>
      </c>
      <c r="K377" s="3">
        <v>11.56</v>
      </c>
      <c r="L377" s="3">
        <f>K377*20%</f>
      </c>
      <c r="M377" s="3">
        <v>0</v>
      </c>
      <c r="N377" s="3">
        <f>M377*20%</f>
      </c>
      <c r="O377" s="3">
        <v>1</v>
      </c>
      <c r="P377" s="3">
        <f>N377</f>
      </c>
      <c r="Q377" s="3">
        <f>I377-J377-K377-M377-N377-O377</f>
      </c>
      <c r="R377" s="3">
        <f>(Q377-Z377)/G377*100</f>
      </c>
      <c r="S377" s="3">
        <f>J377-P377</f>
      </c>
      <c r="T377" t="s">
        <v>1</v>
      </c>
      <c r="U377" t="s">
        <v>233</v>
      </c>
      <c r="AA377" s="3">
        <f>Q377-Z377</f>
      </c>
      <c r="AB377" t="s">
        <v>65</v>
      </c>
      <c r="AC377" t="s">
        <v>87</v>
      </c>
    </row>
    <row r="378" spans="1:29" x14ac:dyDescent="0.25">
      <c r="A378" s="7">
        <v>46165.5</v>
      </c>
      <c r="B378" t="s">
        <v>3700</v>
      </c>
      <c r="C378" t="s">
        <v>1</v>
      </c>
      <c r="D378" s="8" t="s">
        <v>3701</v>
      </c>
      <c r="E378" t="s">
        <v>72</v>
      </c>
      <c r="F378">
        <v>1</v>
      </c>
      <c r="G378" s="3">
        <v>184</v>
      </c>
      <c r="H378" s="3">
        <v>228.16</v>
      </c>
      <c r="I378" s="3">
        <f>H378-G378</f>
      </c>
      <c r="J378" s="3">
        <f>I378*16.67%</f>
      </c>
      <c r="K378" s="3">
        <v>10.52</v>
      </c>
      <c r="L378" s="3">
        <f>K378*20%</f>
      </c>
      <c r="M378" s="3">
        <v>0</v>
      </c>
      <c r="N378" s="3">
        <f>M378*20%</f>
      </c>
      <c r="O378" s="3">
        <v>1</v>
      </c>
      <c r="P378" s="3">
        <f>N378</f>
      </c>
      <c r="Q378" s="3">
        <f>I378-J378-K378-M378-N378-O378</f>
      </c>
      <c r="R378" s="3">
        <f>(Q378-Z378)/G378*100</f>
      </c>
      <c r="S378" s="3">
        <f>J378-P378</f>
      </c>
      <c r="T378" t="s">
        <v>1</v>
      </c>
      <c r="U378" t="s">
        <v>291</v>
      </c>
      <c r="AA378" s="3">
        <f>Q378-Z378</f>
      </c>
      <c r="AB378" t="s">
        <v>125</v>
      </c>
      <c r="AC378" t="s">
        <v>87</v>
      </c>
    </row>
    <row r="379" spans="1:29" x14ac:dyDescent="0.25">
      <c r="A379" s="7">
        <v>46164.5</v>
      </c>
      <c r="B379" t="s">
        <v>3702</v>
      </c>
      <c r="C379" t="s">
        <v>1</v>
      </c>
      <c r="D379" s="8" t="s">
        <v>3703</v>
      </c>
      <c r="E379" t="s">
        <v>77</v>
      </c>
      <c r="F379">
        <v>1</v>
      </c>
      <c r="G379" s="3">
        <v>766</v>
      </c>
      <c r="H379" s="3">
        <v>1041.76</v>
      </c>
      <c r="I379" s="3">
        <f>H379-G379</f>
      </c>
      <c r="J379" s="3">
        <f>I379*16.67%</f>
      </c>
      <c r="K379" s="3">
        <v>48.03</v>
      </c>
      <c r="L379" s="3">
        <f>K379*20%</f>
      </c>
      <c r="M379" s="3">
        <v>0</v>
      </c>
      <c r="N379" s="3">
        <f>M379*20%</f>
      </c>
      <c r="O379" s="3">
        <v>1</v>
      </c>
      <c r="P379" s="3">
        <f>N379</f>
      </c>
      <c r="Q379" s="3">
        <f>I379-J379-K379-M379-N379-O379</f>
      </c>
      <c r="R379" s="3">
        <f>(Q379-Z379)/G379*100</f>
      </c>
      <c r="S379" s="3">
        <f>J379-P379</f>
      </c>
      <c r="T379" t="s">
        <v>1</v>
      </c>
      <c r="U379" t="s">
        <v>83</v>
      </c>
      <c r="AA379" s="3">
        <f>Q379-Z379</f>
      </c>
      <c r="AB379" t="s">
        <v>59</v>
      </c>
      <c r="AC379" t="s">
        <v>87</v>
      </c>
    </row>
    <row r="380" spans="1:29" x14ac:dyDescent="0.25">
      <c r="A380" s="7">
        <v>46164.5</v>
      </c>
      <c r="B380" t="s">
        <v>3704</v>
      </c>
      <c r="C380" t="s">
        <v>1</v>
      </c>
      <c r="D380" s="8" t="s">
        <v>3705</v>
      </c>
      <c r="E380" t="s">
        <v>72</v>
      </c>
      <c r="F380">
        <v>1</v>
      </c>
      <c r="G380" s="3">
        <v>173</v>
      </c>
      <c r="H380" s="3">
        <v>238.74</v>
      </c>
      <c r="I380" s="3">
        <f>H380-G380</f>
      </c>
      <c r="J380" s="3">
        <f>I380*16.67%</f>
      </c>
      <c r="K380" s="3">
        <v>11.01</v>
      </c>
      <c r="L380" s="3">
        <f>K380*20%</f>
      </c>
      <c r="M380" s="3">
        <v>0</v>
      </c>
      <c r="N380" s="3">
        <f>M380*20%</f>
      </c>
      <c r="O380" s="3">
        <v>1</v>
      </c>
      <c r="P380" s="3">
        <f>N380</f>
      </c>
      <c r="Q380" s="3">
        <f>I380-J380-K380-M380-N380-O380</f>
      </c>
      <c r="R380" s="3">
        <f>(Q380-Z380)/G380*100</f>
      </c>
      <c r="S380" s="3">
        <f>J380-P380</f>
      </c>
      <c r="T380" t="s">
        <v>1</v>
      </c>
      <c r="U380" t="s">
        <v>291</v>
      </c>
      <c r="AA380" s="3">
        <f>Q380-Z380</f>
      </c>
      <c r="AB380" t="s">
        <v>125</v>
      </c>
      <c r="AC380" t="s">
        <v>98</v>
      </c>
    </row>
    <row r="381" spans="1:29" x14ac:dyDescent="0.25">
      <c r="A381" s="7">
        <v>46164.5</v>
      </c>
      <c r="B381" t="s">
        <v>3706</v>
      </c>
      <c r="C381" t="s">
        <v>1</v>
      </c>
      <c r="D381" s="8" t="s">
        <v>3707</v>
      </c>
      <c r="E381" t="s">
        <v>77</v>
      </c>
      <c r="F381">
        <v>1</v>
      </c>
      <c r="G381" s="3">
        <v>358</v>
      </c>
      <c r="H381" s="3">
        <v>483.3</v>
      </c>
      <c r="I381" s="3">
        <f>H381-G381</f>
      </c>
      <c r="J381" s="3">
        <f>I381*16.67%</f>
      </c>
      <c r="K381" s="3">
        <v>22.28</v>
      </c>
      <c r="L381" s="3">
        <f>K381*20%</f>
      </c>
      <c r="M381" s="3">
        <v>0</v>
      </c>
      <c r="N381" s="3">
        <f>M381*20%</f>
      </c>
      <c r="O381" s="3">
        <v>1</v>
      </c>
      <c r="P381" s="3">
        <f>N381</f>
      </c>
      <c r="Q381" s="3">
        <f>I381-J381-K381-M381-N381-O381</f>
      </c>
      <c r="R381" s="3">
        <f>(Q381-Z381)/G381*100</f>
      </c>
      <c r="S381" s="3">
        <f>J381-P381</f>
      </c>
      <c r="T381" t="s">
        <v>1</v>
      </c>
      <c r="U381" t="s">
        <v>73</v>
      </c>
      <c r="AA381" s="3">
        <f>Q381-Z381</f>
      </c>
      <c r="AB381" t="s">
        <v>59</v>
      </c>
      <c r="AC381" t="s">
        <v>87</v>
      </c>
    </row>
    <row r="382" spans="1:29" x14ac:dyDescent="0.25">
      <c r="A382" s="7">
        <v>46164.5</v>
      </c>
      <c r="B382" t="s">
        <v>3708</v>
      </c>
      <c r="C382" t="s">
        <v>1</v>
      </c>
      <c r="D382" s="8" t="s">
        <v>3709</v>
      </c>
      <c r="E382" t="s">
        <v>77</v>
      </c>
      <c r="F382">
        <v>1</v>
      </c>
      <c r="G382" s="3">
        <v>65</v>
      </c>
      <c r="H382" s="3">
        <v>82.55</v>
      </c>
      <c r="I382" s="3">
        <f>H382-G382</f>
      </c>
      <c r="J382" s="3">
        <f>I382*16.67%</f>
      </c>
      <c r="K382" s="3">
        <v>3.81</v>
      </c>
      <c r="L382" s="3">
        <f>K382*20%</f>
      </c>
      <c r="M382" s="3">
        <v>0</v>
      </c>
      <c r="N382" s="3">
        <f>M382*20%</f>
      </c>
      <c r="O382" s="3">
        <v>1</v>
      </c>
      <c r="P382" s="3">
        <f>N382</f>
      </c>
      <c r="Q382" s="3">
        <f>I382-J382-K382-M382-N382-O382</f>
      </c>
      <c r="R382" s="3">
        <f>(Q382-Z382)/G382*100</f>
      </c>
      <c r="S382" s="3">
        <f>J382-P382</f>
      </c>
      <c r="T382" t="s">
        <v>1</v>
      </c>
      <c r="U382" t="s">
        <v>93</v>
      </c>
      <c r="AA382" s="3">
        <f>Q382-Z382</f>
      </c>
      <c r="AB382" t="s">
        <v>94</v>
      </c>
      <c r="AC382" t="s">
        <v>69</v>
      </c>
    </row>
    <row r="383" spans="1:29" x14ac:dyDescent="0.25">
      <c r="A383" s="7">
        <v>46164.5</v>
      </c>
      <c r="B383" t="s">
        <v>3710</v>
      </c>
      <c r="C383" t="s">
        <v>188</v>
      </c>
      <c r="D383" s="8" t="s">
        <v>1</v>
      </c>
      <c r="E383" t="s">
        <v>63</v>
      </c>
      <c r="F383">
        <v>4</v>
      </c>
      <c r="G383" s="3">
        <v>14</v>
      </c>
      <c r="H383" s="3">
        <v>19.32</v>
      </c>
      <c r="I383" s="3">
        <f>H383-G383</f>
      </c>
      <c r="J383" s="3">
        <f>I383*16.67%</f>
      </c>
      <c r="K383" s="3">
        <v>0.89</v>
      </c>
      <c r="L383" s="3">
        <f>K383*20%</f>
      </c>
      <c r="M383" s="3">
        <v>0</v>
      </c>
      <c r="N383" s="3">
        <f>M383*20%</f>
      </c>
      <c r="O383" s="3">
        <v>1</v>
      </c>
      <c r="P383" s="3">
        <f>N383</f>
      </c>
      <c r="Q383" s="3">
        <f>I383-J383-K383-M383-N383-O383</f>
      </c>
      <c r="R383" s="3">
        <f>(Q383-Z383)/G383*100</f>
      </c>
      <c r="S383" s="3">
        <f>J383-P383</f>
      </c>
      <c r="T383" t="s">
        <v>1</v>
      </c>
      <c r="U383" t="s">
        <v>188</v>
      </c>
      <c r="AA383" s="3">
        <f>Q383-Z383</f>
      </c>
      <c r="AB383" t="s">
        <v>1</v>
      </c>
      <c r="AC383" t="s">
        <v>1</v>
      </c>
    </row>
    <row r="384" spans="1:29" x14ac:dyDescent="0.25">
      <c r="A384" s="7">
        <v>46164.5</v>
      </c>
      <c r="B384" t="s">
        <v>3711</v>
      </c>
      <c r="C384" t="s">
        <v>173</v>
      </c>
      <c r="D384" s="8" t="s">
        <v>1</v>
      </c>
      <c r="E384" t="s">
        <v>63</v>
      </c>
      <c r="F384">
        <v>4</v>
      </c>
      <c r="G384" s="3">
        <v>17</v>
      </c>
      <c r="H384" s="3">
        <v>21.59</v>
      </c>
      <c r="I384" s="3">
        <f>H384-G384</f>
      </c>
      <c r="J384" s="3">
        <f>I384*16.67%</f>
      </c>
      <c r="K384" s="3">
        <v>1</v>
      </c>
      <c r="L384" s="3">
        <f>K384*20%</f>
      </c>
      <c r="M384" s="3">
        <v>0</v>
      </c>
      <c r="N384" s="3">
        <f>M384*20%</f>
      </c>
      <c r="O384" s="3">
        <v>1</v>
      </c>
      <c r="P384" s="3">
        <f>N384</f>
      </c>
      <c r="Q384" s="3">
        <f>I384-J384-K384-M384-N384-O384</f>
      </c>
      <c r="R384" s="3">
        <f>(Q384-Z384)/G384*100</f>
      </c>
      <c r="S384" s="3">
        <f>J384-P384</f>
      </c>
      <c r="T384" t="s">
        <v>1</v>
      </c>
      <c r="U384" t="s">
        <v>173</v>
      </c>
      <c r="AA384" s="3">
        <f>Q384-Z384</f>
      </c>
      <c r="AB384" t="s">
        <v>1</v>
      </c>
      <c r="AC384" t="s">
        <v>1</v>
      </c>
    </row>
    <row r="385" spans="1:29" x14ac:dyDescent="0.25">
      <c r="A385" s="7">
        <v>46163.5</v>
      </c>
      <c r="B385" t="s">
        <v>3712</v>
      </c>
      <c r="C385" t="s">
        <v>1</v>
      </c>
      <c r="D385" s="8" t="s">
        <v>3713</v>
      </c>
      <c r="E385" t="s">
        <v>77</v>
      </c>
      <c r="F385">
        <v>1</v>
      </c>
      <c r="G385" s="3">
        <v>280</v>
      </c>
      <c r="H385" s="3">
        <v>406</v>
      </c>
      <c r="I385" s="3">
        <f>H385-G385</f>
      </c>
      <c r="J385" s="3">
        <f>I385*16.67%</f>
      </c>
      <c r="K385" s="3">
        <v>18.72</v>
      </c>
      <c r="L385" s="3">
        <f>K385*20%</f>
      </c>
      <c r="M385" s="3">
        <v>0</v>
      </c>
      <c r="N385" s="3">
        <f>M385*20%</f>
      </c>
      <c r="O385" s="3">
        <v>1</v>
      </c>
      <c r="P385" s="3">
        <f>N385</f>
      </c>
      <c r="Q385" s="3">
        <f>I385-J385-K385-M385-N385-O385</f>
      </c>
      <c r="R385" s="3">
        <f>(Q385-Z385)/G385*100</f>
      </c>
      <c r="S385" s="3">
        <f>J385-P385</f>
      </c>
      <c r="T385" t="s">
        <v>1</v>
      </c>
      <c r="U385" t="s">
        <v>130</v>
      </c>
      <c r="AA385" s="3">
        <f>Q385-Z385</f>
      </c>
      <c r="AB385" t="s">
        <v>65</v>
      </c>
      <c r="AC385" t="s">
        <v>60</v>
      </c>
    </row>
    <row r="386" spans="1:29" x14ac:dyDescent="0.25">
      <c r="A386" s="7">
        <v>46163.5</v>
      </c>
      <c r="B386" t="s">
        <v>3714</v>
      </c>
      <c r="C386" t="s">
        <v>188</v>
      </c>
      <c r="D386" s="8" t="s">
        <v>1</v>
      </c>
      <c r="E386" t="s">
        <v>63</v>
      </c>
      <c r="F386">
        <v>3</v>
      </c>
      <c r="G386" s="3">
        <v>10.5</v>
      </c>
      <c r="H386" s="3">
        <v>13.23</v>
      </c>
      <c r="I386" s="3">
        <f>H386-G386</f>
      </c>
      <c r="J386" s="3">
        <f>I386*16.67%</f>
      </c>
      <c r="K386" s="3">
        <v>0.61</v>
      </c>
      <c r="L386" s="3">
        <f>K386*20%</f>
      </c>
      <c r="M386" s="3">
        <v>0</v>
      </c>
      <c r="N386" s="3">
        <f>M386*20%</f>
      </c>
      <c r="O386" s="3">
        <v>1</v>
      </c>
      <c r="P386" s="3">
        <f>N386</f>
      </c>
      <c r="Q386" s="3">
        <f>I386-J386-K386-M386-N386-O386</f>
      </c>
      <c r="R386" s="3">
        <f>(Q386-Z386)/G386*100</f>
      </c>
      <c r="S386" s="3">
        <f>J386-P386</f>
      </c>
      <c r="T386" t="s">
        <v>1</v>
      </c>
      <c r="U386" t="s">
        <v>188</v>
      </c>
      <c r="AA386" s="3">
        <f>Q386-Z386</f>
      </c>
      <c r="AB386" t="s">
        <v>1</v>
      </c>
      <c r="AC386" t="s">
        <v>1</v>
      </c>
    </row>
    <row r="387" spans="1:29" x14ac:dyDescent="0.25">
      <c r="A387" s="7">
        <v>46162.5</v>
      </c>
      <c r="B387" t="s">
        <v>3715</v>
      </c>
      <c r="C387" t="s">
        <v>1</v>
      </c>
      <c r="D387" s="8" t="s">
        <v>3716</v>
      </c>
      <c r="E387" t="s">
        <v>63</v>
      </c>
      <c r="F387">
        <v>1</v>
      </c>
      <c r="G387" s="3">
        <v>78</v>
      </c>
      <c r="H387" s="3">
        <v>105.3</v>
      </c>
      <c r="I387" s="3">
        <f>H387-G387</f>
      </c>
      <c r="J387" s="3">
        <f>I387*16.67%</f>
      </c>
      <c r="K387" s="3">
        <v>4.85</v>
      </c>
      <c r="L387" s="3">
        <f>K387*20%</f>
      </c>
      <c r="M387" s="3">
        <v>0</v>
      </c>
      <c r="N387" s="3">
        <f>M387*20%</f>
      </c>
      <c r="O387" s="3">
        <v>1</v>
      </c>
      <c r="P387" s="3">
        <f>N387</f>
      </c>
      <c r="Q387" s="3">
        <f>I387-J387-K387-M387-N387-O387</f>
      </c>
      <c r="R387" s="3">
        <f>(Q387-Z387)/G387*100</f>
      </c>
      <c r="S387" s="3">
        <f>J387-P387</f>
      </c>
      <c r="T387" t="s">
        <v>1</v>
      </c>
      <c r="U387" t="s">
        <v>93</v>
      </c>
      <c r="AA387" s="3">
        <f>Q387-Z387</f>
      </c>
      <c r="AB387" t="s">
        <v>94</v>
      </c>
      <c r="AC387" t="s">
        <v>98</v>
      </c>
    </row>
    <row r="388" spans="1:29" x14ac:dyDescent="0.25">
      <c r="A388" s="7">
        <v>46162.5</v>
      </c>
      <c r="B388" t="s">
        <v>3717</v>
      </c>
      <c r="C388" t="s">
        <v>1</v>
      </c>
      <c r="D388" s="8" t="s">
        <v>3718</v>
      </c>
      <c r="E388" t="s">
        <v>101</v>
      </c>
      <c r="F388">
        <v>1</v>
      </c>
      <c r="G388" s="3">
        <v>477</v>
      </c>
      <c r="H388" s="3">
        <v>586.71</v>
      </c>
      <c r="I388" s="3">
        <f>H388-G388</f>
      </c>
      <c r="J388" s="3">
        <f>I388*16.67%</f>
      </c>
      <c r="K388" s="3">
        <v>27.05</v>
      </c>
      <c r="L388" s="3">
        <f>K388*20%</f>
      </c>
      <c r="M388" s="3">
        <v>0</v>
      </c>
      <c r="N388" s="3">
        <f>M388*20%</f>
      </c>
      <c r="O388" s="3">
        <v>1</v>
      </c>
      <c r="P388" s="3">
        <f>N388</f>
      </c>
      <c r="Q388" s="3">
        <f>I388-J388-K388-M388-N388-O388</f>
      </c>
      <c r="R388" s="3">
        <f>(Q388-Z388)/G388*100</f>
      </c>
      <c r="S388" s="3">
        <f>J388-P388</f>
      </c>
      <c r="T388" t="s">
        <v>1</v>
      </c>
      <c r="U388" t="s">
        <v>58</v>
      </c>
      <c r="AA388" s="3">
        <f>Q388-Z388</f>
      </c>
      <c r="AB388" t="s">
        <v>59</v>
      </c>
      <c r="AC388" t="s">
        <v>84</v>
      </c>
    </row>
    <row r="389" spans="1:29" x14ac:dyDescent="0.25">
      <c r="A389" s="7">
        <v>46162.5</v>
      </c>
      <c r="B389" t="s">
        <v>3719</v>
      </c>
      <c r="C389" t="s">
        <v>1</v>
      </c>
      <c r="D389" s="8" t="s">
        <v>3720</v>
      </c>
      <c r="E389" t="s">
        <v>77</v>
      </c>
      <c r="F389">
        <v>1</v>
      </c>
      <c r="G389" s="3">
        <v>459</v>
      </c>
      <c r="H389" s="3">
        <v>582.93</v>
      </c>
      <c r="I389" s="3">
        <f>H389-G389</f>
      </c>
      <c r="J389" s="3">
        <f>I389*16.67%</f>
      </c>
      <c r="K389" s="3">
        <v>26.87</v>
      </c>
      <c r="L389" s="3">
        <f>K389*20%</f>
      </c>
      <c r="M389" s="3">
        <v>0</v>
      </c>
      <c r="N389" s="3">
        <f>M389*20%</f>
      </c>
      <c r="O389" s="3">
        <v>1</v>
      </c>
      <c r="P389" s="3">
        <f>N389</f>
      </c>
      <c r="Q389" s="3">
        <f>I389-J389-K389-M389-N389-O389</f>
      </c>
      <c r="R389" s="3">
        <f>(Q389-Z389)/G389*100</f>
      </c>
      <c r="S389" s="3">
        <f>J389-P389</f>
      </c>
      <c r="T389" t="s">
        <v>1</v>
      </c>
      <c r="U389" t="s">
        <v>58</v>
      </c>
      <c r="AA389" s="3">
        <f>Q389-Z389</f>
      </c>
      <c r="AB389" t="s">
        <v>59</v>
      </c>
      <c r="AC389" t="s">
        <v>74</v>
      </c>
    </row>
    <row r="390" spans="1:29" x14ac:dyDescent="0.25">
      <c r="A390" s="7">
        <v>46162.5</v>
      </c>
      <c r="B390" t="s">
        <v>3721</v>
      </c>
      <c r="C390" t="s">
        <v>173</v>
      </c>
      <c r="D390" s="8" t="s">
        <v>1</v>
      </c>
      <c r="E390" t="s">
        <v>63</v>
      </c>
      <c r="F390">
        <v>2</v>
      </c>
      <c r="G390" s="3">
        <v>8.5</v>
      </c>
      <c r="H390" s="3">
        <v>12.15</v>
      </c>
      <c r="I390" s="3">
        <f>H390-G390</f>
      </c>
      <c r="J390" s="3">
        <f>I390*16.67%</f>
      </c>
      <c r="K390" s="3">
        <v>0.56</v>
      </c>
      <c r="L390" s="3">
        <f>K390*20%</f>
      </c>
      <c r="M390" s="3">
        <v>0</v>
      </c>
      <c r="N390" s="3">
        <f>M390*20%</f>
      </c>
      <c r="O390" s="3">
        <v>1</v>
      </c>
      <c r="P390" s="3">
        <f>N390</f>
      </c>
      <c r="Q390" s="3">
        <f>I390-J390-K390-M390-N390-O390</f>
      </c>
      <c r="R390" s="3">
        <f>(Q390-Z390)/G390*100</f>
      </c>
      <c r="S390" s="3">
        <f>J390-P390</f>
      </c>
      <c r="T390" t="s">
        <v>1</v>
      </c>
      <c r="U390" t="s">
        <v>173</v>
      </c>
      <c r="AA390" s="3">
        <f>Q390-Z390</f>
      </c>
      <c r="AB390" t="s">
        <v>1</v>
      </c>
      <c r="AC390" t="s">
        <v>1</v>
      </c>
    </row>
    <row r="391" spans="1:29" x14ac:dyDescent="0.25">
      <c r="A391" s="7">
        <v>46161.5</v>
      </c>
      <c r="B391" t="s">
        <v>3722</v>
      </c>
      <c r="C391" t="s">
        <v>1</v>
      </c>
      <c r="D391" s="8" t="s">
        <v>3723</v>
      </c>
      <c r="E391" t="s">
        <v>63</v>
      </c>
      <c r="F391">
        <v>1</v>
      </c>
      <c r="G391" s="3">
        <v>372</v>
      </c>
      <c r="H391" s="3">
        <v>535.68</v>
      </c>
      <c r="I391" s="3">
        <f>H391-G391</f>
      </c>
      <c r="J391" s="3">
        <f>I391*16.67%</f>
      </c>
      <c r="K391" s="3">
        <v>24.69</v>
      </c>
      <c r="L391" s="3">
        <f>K391*20%</f>
      </c>
      <c r="M391" s="3">
        <v>0</v>
      </c>
      <c r="N391" s="3">
        <f>M391*20%</f>
      </c>
      <c r="O391" s="3">
        <v>1</v>
      </c>
      <c r="P391" s="3">
        <f>N391</f>
      </c>
      <c r="Q391" s="3">
        <f>I391-J391-K391-M391-N391-O391</f>
      </c>
      <c r="R391" s="3">
        <f>(Q391-Z391)/G391*100</f>
      </c>
      <c r="S391" s="3">
        <f>J391-P391</f>
      </c>
      <c r="T391" t="s">
        <v>1</v>
      </c>
      <c r="U391" t="s">
        <v>138</v>
      </c>
      <c r="AA391" s="3">
        <f>Q391-Z391</f>
      </c>
      <c r="AB391" t="s">
        <v>65</v>
      </c>
      <c r="AC391" t="s">
        <v>69</v>
      </c>
    </row>
    <row r="392" spans="1:29" x14ac:dyDescent="0.25">
      <c r="A392" s="7">
        <v>46161.5</v>
      </c>
      <c r="B392" t="s">
        <v>3724</v>
      </c>
      <c r="C392" t="s">
        <v>1</v>
      </c>
      <c r="D392" s="8" t="s">
        <v>3725</v>
      </c>
      <c r="E392" t="s">
        <v>63</v>
      </c>
      <c r="F392">
        <v>1</v>
      </c>
      <c r="G392" s="3">
        <v>60</v>
      </c>
      <c r="H392" s="3">
        <v>79.2</v>
      </c>
      <c r="I392" s="3">
        <f>H392-G392</f>
      </c>
      <c r="J392" s="3">
        <f>I392*16.67%</f>
      </c>
      <c r="K392" s="3">
        <v>3.65</v>
      </c>
      <c r="L392" s="3">
        <f>K392*20%</f>
      </c>
      <c r="M392" s="3">
        <v>0</v>
      </c>
      <c r="N392" s="3">
        <f>M392*20%</f>
      </c>
      <c r="O392" s="3">
        <v>1</v>
      </c>
      <c r="P392" s="3">
        <f>N392</f>
      </c>
      <c r="Q392" s="3">
        <f>I392-J392-K392-M392-N392-O392</f>
      </c>
      <c r="R392" s="3">
        <f>(Q392-Z392)/G392*100</f>
      </c>
      <c r="S392" s="3">
        <f>J392-P392</f>
      </c>
      <c r="T392" t="s">
        <v>1</v>
      </c>
      <c r="U392" t="s">
        <v>93</v>
      </c>
      <c r="AA392" s="3">
        <f>Q392-Z392</f>
      </c>
      <c r="AB392" t="s">
        <v>94</v>
      </c>
      <c r="AC392" t="s">
        <v>104</v>
      </c>
    </row>
    <row r="393" spans="1:29" x14ac:dyDescent="0.25">
      <c r="A393" s="7">
        <v>46161.5</v>
      </c>
      <c r="B393" t="s">
        <v>3726</v>
      </c>
      <c r="C393" t="s">
        <v>1</v>
      </c>
      <c r="D393" s="8" t="s">
        <v>3727</v>
      </c>
      <c r="E393" t="s">
        <v>72</v>
      </c>
      <c r="F393">
        <v>1</v>
      </c>
      <c r="G393" s="3">
        <v>441</v>
      </c>
      <c r="H393" s="3">
        <v>577.71</v>
      </c>
      <c r="I393" s="3">
        <f>H393-G393</f>
      </c>
      <c r="J393" s="3">
        <f>I393*16.67%</f>
      </c>
      <c r="K393" s="3">
        <v>26.63</v>
      </c>
      <c r="L393" s="3">
        <f>K393*20%</f>
      </c>
      <c r="M393" s="3">
        <v>0</v>
      </c>
      <c r="N393" s="3">
        <f>M393*20%</f>
      </c>
      <c r="O393" s="3">
        <v>1</v>
      </c>
      <c r="P393" s="3">
        <f>N393</f>
      </c>
      <c r="Q393" s="3">
        <f>I393-J393-K393-M393-N393-O393</f>
      </c>
      <c r="R393" s="3">
        <f>(Q393-Z393)/G393*100</f>
      </c>
      <c r="S393" s="3">
        <f>J393-P393</f>
      </c>
      <c r="T393" t="s">
        <v>1</v>
      </c>
      <c r="U393" t="s">
        <v>58</v>
      </c>
      <c r="AA393" s="3">
        <f>Q393-Z393</f>
      </c>
      <c r="AB393" t="s">
        <v>59</v>
      </c>
      <c r="AC393" t="s">
        <v>87</v>
      </c>
    </row>
    <row r="394" spans="1:29" x14ac:dyDescent="0.25">
      <c r="A394" s="7">
        <v>46161.5</v>
      </c>
      <c r="B394" t="s">
        <v>3728</v>
      </c>
      <c r="C394" t="s">
        <v>253</v>
      </c>
      <c r="D394" s="8" t="s">
        <v>1</v>
      </c>
      <c r="E394" t="s">
        <v>57</v>
      </c>
      <c r="F394">
        <v>2</v>
      </c>
      <c r="G394" s="3">
        <v>1.6</v>
      </c>
      <c r="H394" s="3">
        <v>2.21</v>
      </c>
      <c r="I394" s="3">
        <f>H394-G394</f>
      </c>
      <c r="J394" s="3">
        <f>I394*16.67%</f>
      </c>
      <c r="K394" s="3">
        <v>0.1</v>
      </c>
      <c r="L394" s="3">
        <f>K394*20%</f>
      </c>
      <c r="M394" s="3">
        <v>0</v>
      </c>
      <c r="N394" s="3">
        <f>M394*20%</f>
      </c>
      <c r="O394" s="3">
        <v>1</v>
      </c>
      <c r="P394" s="3">
        <f>N394</f>
      </c>
      <c r="Q394" s="3">
        <f>I394-J394-K394-M394-N394-O394</f>
      </c>
      <c r="R394" s="3">
        <f>(Q394-Z394)/G394*100</f>
      </c>
      <c r="S394" s="3">
        <f>J394-P394</f>
      </c>
      <c r="T394" t="s">
        <v>1</v>
      </c>
      <c r="U394" t="s">
        <v>253</v>
      </c>
      <c r="AA394" s="3">
        <f>Q394-Z394</f>
      </c>
      <c r="AB394" t="s">
        <v>1</v>
      </c>
      <c r="AC394" t="s">
        <v>1</v>
      </c>
    </row>
    <row r="395" spans="1:29" x14ac:dyDescent="0.25">
      <c r="A395" s="7">
        <v>46161.5</v>
      </c>
      <c r="B395" t="s">
        <v>3729</v>
      </c>
      <c r="C395" t="s">
        <v>181</v>
      </c>
      <c r="D395" s="8" t="s">
        <v>1</v>
      </c>
      <c r="E395" t="s">
        <v>72</v>
      </c>
      <c r="F395">
        <v>4</v>
      </c>
      <c r="G395" s="3">
        <v>7.6</v>
      </c>
      <c r="H395" s="3">
        <v>10.87</v>
      </c>
      <c r="I395" s="3">
        <f>H395-G395</f>
      </c>
      <c r="J395" s="3">
        <f>I395*16.67%</f>
      </c>
      <c r="K395" s="3">
        <v>0.5</v>
      </c>
      <c r="L395" s="3">
        <f>K395*20%</f>
      </c>
      <c r="M395" s="3">
        <v>0</v>
      </c>
      <c r="N395" s="3">
        <f>M395*20%</f>
      </c>
      <c r="O395" s="3">
        <v>1</v>
      </c>
      <c r="P395" s="3">
        <f>N395</f>
      </c>
      <c r="Q395" s="3">
        <f>I395-J395-K395-M395-N395-O395</f>
      </c>
      <c r="R395" s="3">
        <f>(Q395-Z395)/G395*100</f>
      </c>
      <c r="S395" s="3">
        <f>J395-P395</f>
      </c>
      <c r="T395" t="s">
        <v>1</v>
      </c>
      <c r="U395" t="s">
        <v>181</v>
      </c>
      <c r="AA395" s="3">
        <f>Q395-Z395</f>
      </c>
      <c r="AB395" t="s">
        <v>1</v>
      </c>
      <c r="AC395" t="s">
        <v>1</v>
      </c>
    </row>
    <row r="396" spans="1:29" x14ac:dyDescent="0.25">
      <c r="A396" s="7">
        <v>46160.5</v>
      </c>
      <c r="B396" t="s">
        <v>3730</v>
      </c>
      <c r="C396" t="s">
        <v>1</v>
      </c>
      <c r="D396" s="8" t="s">
        <v>3731</v>
      </c>
      <c r="E396" t="s">
        <v>63</v>
      </c>
      <c r="F396">
        <v>1</v>
      </c>
      <c r="G396" s="3">
        <v>236</v>
      </c>
      <c r="H396" s="3">
        <v>316.24</v>
      </c>
      <c r="I396" s="3">
        <f>H396-G396</f>
      </c>
      <c r="J396" s="3">
        <f>I396*16.67%</f>
      </c>
      <c r="K396" s="3">
        <v>14.58</v>
      </c>
      <c r="L396" s="3">
        <f>K396*20%</f>
      </c>
      <c r="M396" s="3">
        <v>0</v>
      </c>
      <c r="N396" s="3">
        <f>M396*20%</f>
      </c>
      <c r="O396" s="3">
        <v>1</v>
      </c>
      <c r="P396" s="3">
        <f>N396</f>
      </c>
      <c r="Q396" s="3">
        <f>I396-J396-K396-M396-N396-O396</f>
      </c>
      <c r="R396" s="3">
        <f>(Q396-Z396)/G396*100</f>
      </c>
      <c r="S396" s="3">
        <f>J396-P396</f>
      </c>
      <c r="T396" t="s">
        <v>1</v>
      </c>
      <c r="U396" t="s">
        <v>124</v>
      </c>
      <c r="AA396" s="3">
        <f>Q396-Z396</f>
      </c>
      <c r="AB396" t="s">
        <v>125</v>
      </c>
      <c r="AC396" t="s">
        <v>87</v>
      </c>
    </row>
    <row r="397" spans="1:29" x14ac:dyDescent="0.25">
      <c r="A397" s="7">
        <v>46160.5</v>
      </c>
      <c r="B397" t="s">
        <v>3732</v>
      </c>
      <c r="C397" t="s">
        <v>1</v>
      </c>
      <c r="D397" s="8" t="s">
        <v>3733</v>
      </c>
      <c r="E397" t="s">
        <v>57</v>
      </c>
      <c r="F397">
        <v>1</v>
      </c>
      <c r="G397" s="3">
        <v>290</v>
      </c>
      <c r="H397" s="3">
        <v>400.2</v>
      </c>
      <c r="I397" s="3">
        <f>H397-G397</f>
      </c>
      <c r="J397" s="3">
        <f>I397*16.67%</f>
      </c>
      <c r="K397" s="3">
        <v>18.45</v>
      </c>
      <c r="L397" s="3">
        <f>K397*20%</f>
      </c>
      <c r="M397" s="3">
        <v>0</v>
      </c>
      <c r="N397" s="3">
        <f>M397*20%</f>
      </c>
      <c r="O397" s="3">
        <v>1</v>
      </c>
      <c r="P397" s="3">
        <f>N397</f>
      </c>
      <c r="Q397" s="3">
        <f>I397-J397-K397-M397-N397-O397</f>
      </c>
      <c r="R397" s="3">
        <f>(Q397-Z397)/G397*100</f>
      </c>
      <c r="S397" s="3">
        <f>J397-P397</f>
      </c>
      <c r="T397" t="s">
        <v>1</v>
      </c>
      <c r="U397" t="s">
        <v>130</v>
      </c>
      <c r="AA397" s="3">
        <f>Q397-Z397</f>
      </c>
      <c r="AB397" t="s">
        <v>65</v>
      </c>
      <c r="AC397" t="s">
        <v>87</v>
      </c>
    </row>
    <row r="398" spans="1:29" x14ac:dyDescent="0.25">
      <c r="A398" s="7">
        <v>46160.5</v>
      </c>
      <c r="B398" t="s">
        <v>3734</v>
      </c>
      <c r="C398" t="s">
        <v>1</v>
      </c>
      <c r="D398" s="8" t="s">
        <v>3735</v>
      </c>
      <c r="E398" t="s">
        <v>57</v>
      </c>
      <c r="F398">
        <v>1</v>
      </c>
      <c r="G398" s="3">
        <v>453</v>
      </c>
      <c r="H398" s="3">
        <v>588.9</v>
      </c>
      <c r="I398" s="3">
        <f>H398-G398</f>
      </c>
      <c r="J398" s="3">
        <f>I398*16.67%</f>
      </c>
      <c r="K398" s="3">
        <v>27.15</v>
      </c>
      <c r="L398" s="3">
        <f>K398*20%</f>
      </c>
      <c r="M398" s="3">
        <v>0</v>
      </c>
      <c r="N398" s="3">
        <f>M398*20%</f>
      </c>
      <c r="O398" s="3">
        <v>1</v>
      </c>
      <c r="P398" s="3">
        <f>N398</f>
      </c>
      <c r="Q398" s="3">
        <f>I398-J398-K398-M398-N398-O398</f>
      </c>
      <c r="R398" s="3">
        <f>(Q398-Z398)/G398*100</f>
      </c>
      <c r="S398" s="3">
        <f>J398-P398</f>
      </c>
      <c r="T398" t="s">
        <v>1</v>
      </c>
      <c r="U398" t="s">
        <v>58</v>
      </c>
      <c r="AA398" s="3">
        <f>Q398-Z398</f>
      </c>
      <c r="AB398" t="s">
        <v>59</v>
      </c>
      <c r="AC398" t="s">
        <v>60</v>
      </c>
    </row>
    <row r="399" spans="1:29" x14ac:dyDescent="0.25">
      <c r="A399" s="7">
        <v>46160.5</v>
      </c>
      <c r="B399" t="s">
        <v>3736</v>
      </c>
      <c r="C399" t="s">
        <v>1</v>
      </c>
      <c r="D399" s="8" t="s">
        <v>3737</v>
      </c>
      <c r="E399" t="s">
        <v>57</v>
      </c>
      <c r="F399">
        <v>1</v>
      </c>
      <c r="G399" s="3">
        <v>235</v>
      </c>
      <c r="H399" s="3">
        <v>333.7</v>
      </c>
      <c r="I399" s="3">
        <f>H399-G399</f>
      </c>
      <c r="J399" s="3">
        <f>I399*16.67%</f>
      </c>
      <c r="K399" s="3">
        <v>15.38</v>
      </c>
      <c r="L399" s="3">
        <f>K399*20%</f>
      </c>
      <c r="M399" s="3">
        <v>0</v>
      </c>
      <c r="N399" s="3">
        <f>M399*20%</f>
      </c>
      <c r="O399" s="3">
        <v>1</v>
      </c>
      <c r="P399" s="3">
        <f>N399</f>
      </c>
      <c r="Q399" s="3">
        <f>I399-J399-K399-M399-N399-O399</f>
      </c>
      <c r="R399" s="3">
        <f>(Q399-Z399)/G399*100</f>
      </c>
      <c r="S399" s="3">
        <f>J399-P399</f>
      </c>
      <c r="T399" t="s">
        <v>1</v>
      </c>
      <c r="U399" t="s">
        <v>64</v>
      </c>
      <c r="AA399" s="3">
        <f>Q399-Z399</f>
      </c>
      <c r="AB399" t="s">
        <v>65</v>
      </c>
      <c r="AC399" t="s">
        <v>87</v>
      </c>
    </row>
    <row r="400" spans="1:29" x14ac:dyDescent="0.25">
      <c r="A400" s="7">
        <v>46160.5</v>
      </c>
      <c r="B400" t="s">
        <v>3738</v>
      </c>
      <c r="C400" t="s">
        <v>173</v>
      </c>
      <c r="D400" s="8" t="s">
        <v>1</v>
      </c>
      <c r="E400" t="s">
        <v>63</v>
      </c>
      <c r="F400">
        <v>2</v>
      </c>
      <c r="G400" s="3">
        <v>8.5</v>
      </c>
      <c r="H400" s="3">
        <v>10.2</v>
      </c>
      <c r="I400" s="3">
        <f>H400-G400</f>
      </c>
      <c r="J400" s="3">
        <f>I400*16.67%</f>
      </c>
      <c r="K400" s="3">
        <v>0.47</v>
      </c>
      <c r="L400" s="3">
        <f>K400*20%</f>
      </c>
      <c r="M400" s="3">
        <v>0</v>
      </c>
      <c r="N400" s="3">
        <f>M400*20%</f>
      </c>
      <c r="O400" s="3">
        <v>1</v>
      </c>
      <c r="P400" s="3">
        <f>N400</f>
      </c>
      <c r="Q400" s="3">
        <f>I400-J400-K400-M400-N400-O400</f>
      </c>
      <c r="R400" s="3">
        <f>(Q400-Z400)/G400*100</f>
      </c>
      <c r="S400" s="3">
        <f>J400-P400</f>
      </c>
      <c r="T400" t="s">
        <v>1</v>
      </c>
      <c r="U400" t="s">
        <v>173</v>
      </c>
      <c r="AA400" s="3">
        <f>Q400-Z400</f>
      </c>
      <c r="AB400" t="s">
        <v>1</v>
      </c>
      <c r="AC400" t="s">
        <v>1</v>
      </c>
    </row>
    <row r="401" spans="1:29" x14ac:dyDescent="0.25">
      <c r="A401" s="7">
        <v>46160.5</v>
      </c>
      <c r="B401" t="s">
        <v>3739</v>
      </c>
      <c r="C401" t="s">
        <v>253</v>
      </c>
      <c r="D401" s="8" t="s">
        <v>1</v>
      </c>
      <c r="E401" t="s">
        <v>57</v>
      </c>
      <c r="F401">
        <v>3</v>
      </c>
      <c r="G401" s="3">
        <v>2.4</v>
      </c>
      <c r="H401" s="3">
        <v>3.05</v>
      </c>
      <c r="I401" s="3">
        <f>H401-G401</f>
      </c>
      <c r="J401" s="3">
        <f>I401*16.67%</f>
      </c>
      <c r="K401" s="3">
        <v>0.14</v>
      </c>
      <c r="L401" s="3">
        <f>K401*20%</f>
      </c>
      <c r="M401" s="3">
        <v>0</v>
      </c>
      <c r="N401" s="3">
        <f>M401*20%</f>
      </c>
      <c r="O401" s="3">
        <v>1</v>
      </c>
      <c r="P401" s="3">
        <f>N401</f>
      </c>
      <c r="Q401" s="3">
        <f>I401-J401-K401-M401-N401-O401</f>
      </c>
      <c r="R401" s="3">
        <f>(Q401-Z401)/G401*100</f>
      </c>
      <c r="S401" s="3">
        <f>J401-P401</f>
      </c>
      <c r="T401" t="s">
        <v>1</v>
      </c>
      <c r="U401" t="s">
        <v>253</v>
      </c>
      <c r="AA401" s="3">
        <f>Q401-Z401</f>
      </c>
      <c r="AB401" t="s">
        <v>1</v>
      </c>
      <c r="AC401" t="s">
        <v>1</v>
      </c>
    </row>
    <row r="402" spans="1:29" x14ac:dyDescent="0.25">
      <c r="A402" s="7">
        <v>46159.5</v>
      </c>
      <c r="B402" t="s">
        <v>3740</v>
      </c>
      <c r="C402" t="s">
        <v>1</v>
      </c>
      <c r="D402" s="8" t="s">
        <v>3741</v>
      </c>
      <c r="E402" t="s">
        <v>101</v>
      </c>
      <c r="F402">
        <v>1</v>
      </c>
      <c r="G402" s="3">
        <v>266</v>
      </c>
      <c r="H402" s="3">
        <v>356.44</v>
      </c>
      <c r="I402" s="3">
        <f>H402-G402</f>
      </c>
      <c r="J402" s="3">
        <f>I402*16.67%</f>
      </c>
      <c r="K402" s="3">
        <v>16.43</v>
      </c>
      <c r="L402" s="3">
        <f>K402*20%</f>
      </c>
      <c r="M402" s="3">
        <v>0</v>
      </c>
      <c r="N402" s="3">
        <f>M402*20%</f>
      </c>
      <c r="O402" s="3">
        <v>1</v>
      </c>
      <c r="P402" s="3">
        <f>N402</f>
      </c>
      <c r="Q402" s="3">
        <f>I402-J402-K402-M402-N402-O402</f>
      </c>
      <c r="R402" s="3">
        <f>(Q402-Z402)/G402*100</f>
      </c>
      <c r="S402" s="3">
        <f>J402-P402</f>
      </c>
      <c r="T402" t="s">
        <v>1</v>
      </c>
      <c r="U402" t="s">
        <v>130</v>
      </c>
      <c r="AA402" s="3">
        <f>Q402-Z402</f>
      </c>
      <c r="AB402" t="s">
        <v>65</v>
      </c>
      <c r="AC402" t="s">
        <v>104</v>
      </c>
    </row>
    <row r="403" spans="1:29" x14ac:dyDescent="0.25">
      <c r="A403" s="7">
        <v>46159.5</v>
      </c>
      <c r="B403" t="s">
        <v>3742</v>
      </c>
      <c r="C403" t="s">
        <v>1</v>
      </c>
      <c r="D403" s="8" t="s">
        <v>3743</v>
      </c>
      <c r="E403" t="s">
        <v>72</v>
      </c>
      <c r="F403">
        <v>1</v>
      </c>
      <c r="G403" s="3">
        <v>81</v>
      </c>
      <c r="H403" s="3">
        <v>98.01</v>
      </c>
      <c r="I403" s="3">
        <f>H403-G403</f>
      </c>
      <c r="J403" s="3">
        <f>I403*16.67%</f>
      </c>
      <c r="K403" s="3">
        <v>4.52</v>
      </c>
      <c r="L403" s="3">
        <f>K403*20%</f>
      </c>
      <c r="M403" s="3">
        <v>0</v>
      </c>
      <c r="N403" s="3">
        <f>M403*20%</f>
      </c>
      <c r="O403" s="3">
        <v>1</v>
      </c>
      <c r="P403" s="3">
        <f>N403</f>
      </c>
      <c r="Q403" s="3">
        <f>I403-J403-K403-M403-N403-O403</f>
      </c>
      <c r="R403" s="3">
        <f>(Q403-Z403)/G403*100</f>
      </c>
      <c r="S403" s="3">
        <f>J403-P403</f>
      </c>
      <c r="T403" t="s">
        <v>1</v>
      </c>
      <c r="U403" t="s">
        <v>93</v>
      </c>
      <c r="AA403" s="3">
        <f>Q403-Z403</f>
      </c>
      <c r="AB403" t="s">
        <v>94</v>
      </c>
      <c r="AC403" t="s">
        <v>60</v>
      </c>
    </row>
    <row r="404" spans="1:29" x14ac:dyDescent="0.25">
      <c r="A404" s="7">
        <v>46159.5</v>
      </c>
      <c r="B404" t="s">
        <v>3744</v>
      </c>
      <c r="C404" t="s">
        <v>173</v>
      </c>
      <c r="D404" s="8" t="s">
        <v>1</v>
      </c>
      <c r="E404" t="s">
        <v>63</v>
      </c>
      <c r="F404">
        <v>3</v>
      </c>
      <c r="G404" s="3">
        <v>12.75</v>
      </c>
      <c r="H404" s="3">
        <v>16.7</v>
      </c>
      <c r="I404" s="3">
        <f>H404-G404</f>
      </c>
      <c r="J404" s="3">
        <f>I404*16.67%</f>
      </c>
      <c r="K404" s="3">
        <v>0.77</v>
      </c>
      <c r="L404" s="3">
        <f>K404*20%</f>
      </c>
      <c r="M404" s="3">
        <v>0</v>
      </c>
      <c r="N404" s="3">
        <f>M404*20%</f>
      </c>
      <c r="O404" s="3">
        <v>1</v>
      </c>
      <c r="P404" s="3">
        <f>N404</f>
      </c>
      <c r="Q404" s="3">
        <f>I404-J404-K404-M404-N404-O404</f>
      </c>
      <c r="R404" s="3">
        <f>(Q404-Z404)/G404*100</f>
      </c>
      <c r="S404" s="3">
        <f>J404-P404</f>
      </c>
      <c r="T404" t="s">
        <v>1</v>
      </c>
      <c r="U404" t="s">
        <v>173</v>
      </c>
      <c r="AA404" s="3">
        <f>Q404-Z404</f>
      </c>
      <c r="AB404" t="s">
        <v>1</v>
      </c>
      <c r="AC404" t="s">
        <v>1</v>
      </c>
    </row>
    <row r="405" spans="1:29" x14ac:dyDescent="0.25">
      <c r="A405" s="7">
        <v>46158.5</v>
      </c>
      <c r="B405" t="s">
        <v>3745</v>
      </c>
      <c r="C405" t="s">
        <v>1</v>
      </c>
      <c r="D405" s="8" t="s">
        <v>3746</v>
      </c>
      <c r="E405" t="s">
        <v>72</v>
      </c>
      <c r="F405">
        <v>1</v>
      </c>
      <c r="G405" s="3">
        <v>261</v>
      </c>
      <c r="H405" s="3">
        <v>344.52</v>
      </c>
      <c r="I405" s="3">
        <f>H405-G405</f>
      </c>
      <c r="J405" s="3">
        <f>I405*16.67%</f>
      </c>
      <c r="K405" s="3">
        <v>15.88</v>
      </c>
      <c r="L405" s="3">
        <f>K405*20%</f>
      </c>
      <c r="M405" s="3">
        <v>0</v>
      </c>
      <c r="N405" s="3">
        <f>M405*20%</f>
      </c>
      <c r="O405" s="3">
        <v>1</v>
      </c>
      <c r="P405" s="3">
        <f>N405</f>
      </c>
      <c r="Q405" s="3">
        <f>I405-J405-K405-M405-N405-O405</f>
      </c>
      <c r="R405" s="3">
        <f>(Q405-Z405)/G405*100</f>
      </c>
      <c r="S405" s="3">
        <f>J405-P405</f>
      </c>
      <c r="T405" t="s">
        <v>1</v>
      </c>
      <c r="U405" t="s">
        <v>130</v>
      </c>
      <c r="AA405" s="3">
        <f>Q405-Z405</f>
      </c>
      <c r="AB405" t="s">
        <v>65</v>
      </c>
      <c r="AC405" t="s">
        <v>98</v>
      </c>
    </row>
    <row r="406" spans="1:29" x14ac:dyDescent="0.25">
      <c r="A406" s="7">
        <v>46158.5</v>
      </c>
      <c r="B406" t="s">
        <v>3747</v>
      </c>
      <c r="C406" t="s">
        <v>1</v>
      </c>
      <c r="D406" s="8" t="s">
        <v>3748</v>
      </c>
      <c r="E406" t="s">
        <v>101</v>
      </c>
      <c r="F406">
        <v>1</v>
      </c>
      <c r="G406" s="3">
        <v>284</v>
      </c>
      <c r="H406" s="3">
        <v>397.6</v>
      </c>
      <c r="I406" s="3">
        <f>H406-G406</f>
      </c>
      <c r="J406" s="3">
        <f>I406*16.67%</f>
      </c>
      <c r="K406" s="3">
        <v>18.33</v>
      </c>
      <c r="L406" s="3">
        <f>K406*20%</f>
      </c>
      <c r="M406" s="3">
        <v>0</v>
      </c>
      <c r="N406" s="3">
        <f>M406*20%</f>
      </c>
      <c r="O406" s="3">
        <v>1</v>
      </c>
      <c r="P406" s="3">
        <f>N406</f>
      </c>
      <c r="Q406" s="3">
        <f>I406-J406-K406-M406-N406-O406</f>
      </c>
      <c r="R406" s="3">
        <f>(Q406-Z406)/G406*100</f>
      </c>
      <c r="S406" s="3">
        <f>J406-P406</f>
      </c>
      <c r="T406" t="s">
        <v>1</v>
      </c>
      <c r="U406" t="s">
        <v>124</v>
      </c>
      <c r="AA406" s="3">
        <f>Q406-Z406</f>
      </c>
      <c r="AB406" t="s">
        <v>125</v>
      </c>
      <c r="AC406" t="s">
        <v>60</v>
      </c>
    </row>
    <row r="407" spans="1:29" x14ac:dyDescent="0.25">
      <c r="A407" s="7">
        <v>46157.5</v>
      </c>
      <c r="B407" t="s">
        <v>3749</v>
      </c>
      <c r="C407" t="s">
        <v>1</v>
      </c>
      <c r="D407" s="8" t="s">
        <v>3750</v>
      </c>
      <c r="E407" t="s">
        <v>77</v>
      </c>
      <c r="F407">
        <v>1</v>
      </c>
      <c r="G407" s="3">
        <v>313</v>
      </c>
      <c r="H407" s="3">
        <v>372.47</v>
      </c>
      <c r="I407" s="3">
        <f>H407-G407</f>
      </c>
      <c r="J407" s="3">
        <f>I407*16.67%</f>
      </c>
      <c r="K407" s="3">
        <v>17.17</v>
      </c>
      <c r="L407" s="3">
        <f>K407*20%</f>
      </c>
      <c r="M407" s="3">
        <v>0</v>
      </c>
      <c r="N407" s="3">
        <f>M407*20%</f>
      </c>
      <c r="O407" s="3">
        <v>1</v>
      </c>
      <c r="P407" s="3">
        <f>N407</f>
      </c>
      <c r="Q407" s="3">
        <f>I407-J407-K407-M407-N407-O407</f>
      </c>
      <c r="R407" s="3">
        <f>(Q407-Z407)/G407*100</f>
      </c>
      <c r="S407" s="3">
        <f>J407-P407</f>
      </c>
      <c r="T407" t="s">
        <v>1</v>
      </c>
      <c r="U407" t="s">
        <v>97</v>
      </c>
      <c r="AA407" s="3">
        <f>Q407-Z407</f>
      </c>
      <c r="AB407" t="s">
        <v>65</v>
      </c>
      <c r="AC407" t="s">
        <v>84</v>
      </c>
    </row>
    <row r="408" spans="1:29" x14ac:dyDescent="0.25">
      <c r="A408" s="7">
        <v>46157.5</v>
      </c>
      <c r="B408" t="s">
        <v>3751</v>
      </c>
      <c r="C408" t="s">
        <v>1</v>
      </c>
      <c r="D408" s="8" t="s">
        <v>3752</v>
      </c>
      <c r="E408" t="s">
        <v>72</v>
      </c>
      <c r="F408">
        <v>1</v>
      </c>
      <c r="G408" s="3">
        <v>264</v>
      </c>
      <c r="H408" s="3">
        <v>372.24</v>
      </c>
      <c r="I408" s="3">
        <f>H408-G408</f>
      </c>
      <c r="J408" s="3">
        <f>I408*16.67%</f>
      </c>
      <c r="K408" s="3">
        <v>17.16</v>
      </c>
      <c r="L408" s="3">
        <f>K408*20%</f>
      </c>
      <c r="M408" s="3">
        <v>0</v>
      </c>
      <c r="N408" s="3">
        <f>M408*20%</f>
      </c>
      <c r="O408" s="3">
        <v>1</v>
      </c>
      <c r="P408" s="3">
        <f>N408</f>
      </c>
      <c r="Q408" s="3">
        <f>I408-J408-K408-M408-N408-O408</f>
      </c>
      <c r="R408" s="3">
        <f>(Q408-Z408)/G408*100</f>
      </c>
      <c r="S408" s="3">
        <f>J408-P408</f>
      </c>
      <c r="T408" t="s">
        <v>1</v>
      </c>
      <c r="U408" t="s">
        <v>130</v>
      </c>
      <c r="AA408" s="3">
        <f>Q408-Z408</f>
      </c>
      <c r="AB408" t="s">
        <v>65</v>
      </c>
      <c r="AC408" t="s">
        <v>87</v>
      </c>
    </row>
    <row r="409" spans="1:29" x14ac:dyDescent="0.25">
      <c r="A409" s="7">
        <v>46157.5</v>
      </c>
      <c r="B409" t="s">
        <v>3753</v>
      </c>
      <c r="C409" t="s">
        <v>173</v>
      </c>
      <c r="D409" s="8" t="s">
        <v>1</v>
      </c>
      <c r="E409" t="s">
        <v>63</v>
      </c>
      <c r="F409">
        <v>1</v>
      </c>
      <c r="G409" s="3">
        <v>4.25</v>
      </c>
      <c r="H409" s="3">
        <v>5.74</v>
      </c>
      <c r="I409" s="3">
        <f>H409-G409</f>
      </c>
      <c r="J409" s="3">
        <f>I409*16.67%</f>
      </c>
      <c r="K409" s="3">
        <v>0.26</v>
      </c>
      <c r="L409" s="3">
        <f>K409*20%</f>
      </c>
      <c r="M409" s="3">
        <v>0</v>
      </c>
      <c r="N409" s="3">
        <f>M409*20%</f>
      </c>
      <c r="O409" s="3">
        <v>1</v>
      </c>
      <c r="P409" s="3">
        <f>N409</f>
      </c>
      <c r="Q409" s="3">
        <f>I409-J409-K409-M409-N409-O409</f>
      </c>
      <c r="R409" s="3">
        <f>(Q409-Z409)/G409*100</f>
      </c>
      <c r="S409" s="3">
        <f>J409-P409</f>
      </c>
      <c r="T409" t="s">
        <v>1</v>
      </c>
      <c r="U409" t="s">
        <v>173</v>
      </c>
      <c r="AA409" s="3">
        <f>Q409-Z409</f>
      </c>
      <c r="AB409" t="s">
        <v>1</v>
      </c>
      <c r="AC409" t="s">
        <v>1</v>
      </c>
    </row>
    <row r="410" spans="1:29" x14ac:dyDescent="0.25">
      <c r="A410" s="7">
        <v>46157.5</v>
      </c>
      <c r="B410" t="s">
        <v>3754</v>
      </c>
      <c r="C410" t="s">
        <v>1</v>
      </c>
      <c r="D410" s="8" t="s">
        <v>1</v>
      </c>
      <c r="E410" t="s">
        <v>77</v>
      </c>
      <c r="F410">
        <v>1</v>
      </c>
      <c r="G410" s="3">
        <v>422</v>
      </c>
      <c r="H410" s="3">
        <v>565.48</v>
      </c>
      <c r="I410" s="3">
        <f>H410-G410</f>
      </c>
      <c r="J410" s="3">
        <f>I410*16.67%</f>
      </c>
      <c r="K410" s="3">
        <v>26.07</v>
      </c>
      <c r="L410" s="3">
        <f>K410*20%</f>
      </c>
      <c r="M410" s="3">
        <v>0</v>
      </c>
      <c r="N410" s="3">
        <f>M410*20%</f>
      </c>
      <c r="O410" s="3">
        <v>1</v>
      </c>
      <c r="P410" s="3">
        <f>N410</f>
      </c>
      <c r="Q410" s="3">
        <f>I410-J410-K410-M410-N410-O410</f>
      </c>
      <c r="R410" s="3">
        <f>(Q410-Z410)/G410*100</f>
      </c>
      <c r="S410" s="3">
        <f>J410-P410</f>
      </c>
      <c r="T410" t="s">
        <v>1</v>
      </c>
      <c r="U410" t="s">
        <v>1</v>
      </c>
      <c r="AA410" s="3">
        <f>Q410-Z410</f>
      </c>
      <c r="AB410" t="s">
        <v>1</v>
      </c>
      <c r="AC410" t="s">
        <v>1</v>
      </c>
    </row>
    <row r="411" spans="1:29" x14ac:dyDescent="0.25">
      <c r="A411" s="7">
        <v>46156.5</v>
      </c>
      <c r="B411" t="s">
        <v>3755</v>
      </c>
      <c r="C411" t="s">
        <v>1</v>
      </c>
      <c r="D411" s="8" t="s">
        <v>3756</v>
      </c>
      <c r="E411" t="s">
        <v>72</v>
      </c>
      <c r="F411">
        <v>1</v>
      </c>
      <c r="G411" s="3">
        <v>733</v>
      </c>
      <c r="H411" s="3">
        <v>857.61</v>
      </c>
      <c r="I411" s="3">
        <f>H411-G411</f>
      </c>
      <c r="J411" s="3">
        <f>I411*16.67%</f>
      </c>
      <c r="K411" s="3">
        <v>39.54</v>
      </c>
      <c r="L411" s="3">
        <f>K411*20%</f>
      </c>
      <c r="M411" s="3">
        <v>0</v>
      </c>
      <c r="N411" s="3">
        <f>M411*20%</f>
      </c>
      <c r="O411" s="3">
        <v>1</v>
      </c>
      <c r="P411" s="3">
        <f>N411</f>
      </c>
      <c r="Q411" s="3">
        <f>I411-J411-K411-M411-N411-O411</f>
      </c>
      <c r="R411" s="3">
        <f>(Q411-Z411)/G411*100</f>
      </c>
      <c r="S411" s="3">
        <f>J411-P411</f>
      </c>
      <c r="T411" t="s">
        <v>1</v>
      </c>
      <c r="U411" t="s">
        <v>83</v>
      </c>
      <c r="AA411" s="3">
        <f>Q411-Z411</f>
      </c>
      <c r="AB411" t="s">
        <v>59</v>
      </c>
      <c r="AC411" t="s">
        <v>74</v>
      </c>
    </row>
    <row r="412" spans="1:29" x14ac:dyDescent="0.25">
      <c r="A412" s="7">
        <v>46156.5</v>
      </c>
      <c r="B412" t="s">
        <v>3757</v>
      </c>
      <c r="C412" t="s">
        <v>188</v>
      </c>
      <c r="D412" s="8" t="s">
        <v>1</v>
      </c>
      <c r="E412" t="s">
        <v>63</v>
      </c>
      <c r="F412">
        <v>1</v>
      </c>
      <c r="G412" s="3">
        <v>3.5</v>
      </c>
      <c r="H412" s="3">
        <v>4.76</v>
      </c>
      <c r="I412" s="3">
        <f>H412-G412</f>
      </c>
      <c r="J412" s="3">
        <f>I412*16.67%</f>
      </c>
      <c r="K412" s="3">
        <v>0.22</v>
      </c>
      <c r="L412" s="3">
        <f>K412*20%</f>
      </c>
      <c r="M412" s="3">
        <v>0</v>
      </c>
      <c r="N412" s="3">
        <f>M412*20%</f>
      </c>
      <c r="O412" s="3">
        <v>1</v>
      </c>
      <c r="P412" s="3">
        <f>N412</f>
      </c>
      <c r="Q412" s="3">
        <f>I412-J412-K412-M412-N412-O412</f>
      </c>
      <c r="R412" s="3">
        <f>(Q412-Z412)/G412*100</f>
      </c>
      <c r="S412" s="3">
        <f>J412-P412</f>
      </c>
      <c r="T412" t="s">
        <v>1</v>
      </c>
      <c r="U412" t="s">
        <v>188</v>
      </c>
      <c r="AA412" s="3">
        <f>Q412-Z412</f>
      </c>
      <c r="AB412" t="s">
        <v>1</v>
      </c>
      <c r="AC412" t="s">
        <v>1</v>
      </c>
    </row>
    <row r="413" spans="1:29" x14ac:dyDescent="0.25">
      <c r="A413" s="7">
        <v>46155.5</v>
      </c>
      <c r="B413" t="s">
        <v>3758</v>
      </c>
      <c r="C413" t="s">
        <v>1</v>
      </c>
      <c r="D413" s="8" t="s">
        <v>3759</v>
      </c>
      <c r="E413" t="s">
        <v>63</v>
      </c>
      <c r="F413">
        <v>1</v>
      </c>
      <c r="G413" s="3">
        <v>110</v>
      </c>
      <c r="H413" s="3">
        <v>147.4</v>
      </c>
      <c r="I413" s="3">
        <f>H413-G413</f>
      </c>
      <c r="J413" s="3">
        <f>I413*16.67%</f>
      </c>
      <c r="K413" s="3">
        <v>6.8</v>
      </c>
      <c r="L413" s="3">
        <f>K413*20%</f>
      </c>
      <c r="M413" s="3">
        <v>0</v>
      </c>
      <c r="N413" s="3">
        <f>M413*20%</f>
      </c>
      <c r="O413" s="3">
        <v>1</v>
      </c>
      <c r="P413" s="3">
        <f>N413</f>
      </c>
      <c r="Q413" s="3">
        <f>I413-J413-K413-M413-N413-O413</f>
      </c>
      <c r="R413" s="3">
        <f>(Q413-Z413)/G413*100</f>
      </c>
      <c r="S413" s="3">
        <f>J413-P413</f>
      </c>
      <c r="T413" t="s">
        <v>1</v>
      </c>
      <c r="U413" t="s">
        <v>90</v>
      </c>
      <c r="AA413" s="3">
        <f>Q413-Z413</f>
      </c>
      <c r="AB413" t="s">
        <v>94</v>
      </c>
      <c r="AC413" t="s">
        <v>60</v>
      </c>
    </row>
    <row r="414" spans="1:29" x14ac:dyDescent="0.25">
      <c r="A414" s="7">
        <v>46155.5</v>
      </c>
      <c r="B414" t="s">
        <v>3760</v>
      </c>
      <c r="C414" t="s">
        <v>1</v>
      </c>
      <c r="D414" s="8" t="s">
        <v>3761</v>
      </c>
      <c r="E414" t="s">
        <v>72</v>
      </c>
      <c r="F414">
        <v>1</v>
      </c>
      <c r="G414" s="3">
        <v>187</v>
      </c>
      <c r="H414" s="3">
        <v>235.62</v>
      </c>
      <c r="I414" s="3">
        <f>H414-G414</f>
      </c>
      <c r="J414" s="3">
        <f>I414*16.67%</f>
      </c>
      <c r="K414" s="3">
        <v>10.86</v>
      </c>
      <c r="L414" s="3">
        <f>K414*20%</f>
      </c>
      <c r="M414" s="3">
        <v>0</v>
      </c>
      <c r="N414" s="3">
        <f>M414*20%</f>
      </c>
      <c r="O414" s="3">
        <v>1</v>
      </c>
      <c r="P414" s="3">
        <f>N414</f>
      </c>
      <c r="Q414" s="3">
        <f>I414-J414-K414-M414-N414-O414</f>
      </c>
      <c r="R414" s="3">
        <f>(Q414-Z414)/G414*100</f>
      </c>
      <c r="S414" s="3">
        <f>J414-P414</f>
      </c>
      <c r="T414" t="s">
        <v>1</v>
      </c>
      <c r="U414" t="s">
        <v>233</v>
      </c>
      <c r="AA414" s="3">
        <f>Q414-Z414</f>
      </c>
      <c r="AB414" t="s">
        <v>65</v>
      </c>
      <c r="AC414" t="s">
        <v>69</v>
      </c>
    </row>
    <row r="415" spans="1:29" x14ac:dyDescent="0.25">
      <c r="A415" s="7">
        <v>46155.5</v>
      </c>
      <c r="B415" t="s">
        <v>3762</v>
      </c>
      <c r="C415" t="s">
        <v>1</v>
      </c>
      <c r="D415" s="8" t="s">
        <v>3763</v>
      </c>
      <c r="E415" t="s">
        <v>63</v>
      </c>
      <c r="F415">
        <v>1</v>
      </c>
      <c r="G415" s="3">
        <v>336</v>
      </c>
      <c r="H415" s="3">
        <v>416.64</v>
      </c>
      <c r="I415" s="3">
        <f>H415-G415</f>
      </c>
      <c r="J415" s="3">
        <f>I415*16.67%</f>
      </c>
      <c r="K415" s="3">
        <v>19.21</v>
      </c>
      <c r="L415" s="3">
        <f>K415*20%</f>
      </c>
      <c r="M415" s="3">
        <v>0</v>
      </c>
      <c r="N415" s="3">
        <f>M415*20%</f>
      </c>
      <c r="O415" s="3">
        <v>1</v>
      </c>
      <c r="P415" s="3">
        <f>N415</f>
      </c>
      <c r="Q415" s="3">
        <f>I415-J415-K415-M415-N415-O415</f>
      </c>
      <c r="R415" s="3">
        <f>(Q415-Z415)/G415*100</f>
      </c>
      <c r="S415" s="3">
        <f>J415-P415</f>
      </c>
      <c r="T415" t="s">
        <v>1</v>
      </c>
      <c r="U415" t="s">
        <v>73</v>
      </c>
      <c r="AA415" s="3">
        <f>Q415-Z415</f>
      </c>
      <c r="AB415" t="s">
        <v>59</v>
      </c>
      <c r="AC415" t="s">
        <v>98</v>
      </c>
    </row>
    <row r="416" spans="1:29" x14ac:dyDescent="0.25">
      <c r="A416" s="7">
        <v>46155.5</v>
      </c>
      <c r="B416" t="s">
        <v>3764</v>
      </c>
      <c r="C416" t="s">
        <v>1</v>
      </c>
      <c r="D416" s="8" t="s">
        <v>3765</v>
      </c>
      <c r="E416" t="s">
        <v>72</v>
      </c>
      <c r="F416">
        <v>1</v>
      </c>
      <c r="G416" s="3">
        <v>664</v>
      </c>
      <c r="H416" s="3">
        <v>962.8</v>
      </c>
      <c r="I416" s="3">
        <f>H416-G416</f>
      </c>
      <c r="J416" s="3">
        <f>I416*16.67%</f>
      </c>
      <c r="K416" s="3">
        <v>44.39</v>
      </c>
      <c r="L416" s="3">
        <f>K416*20%</f>
      </c>
      <c r="M416" s="3">
        <v>0</v>
      </c>
      <c r="N416" s="3">
        <f>M416*20%</f>
      </c>
      <c r="O416" s="3">
        <v>1</v>
      </c>
      <c r="P416" s="3">
        <f>N416</f>
      </c>
      <c r="Q416" s="3">
        <f>I416-J416-K416-M416-N416-O416</f>
      </c>
      <c r="R416" s="3">
        <f>(Q416-Z416)/G416*100</f>
      </c>
      <c r="S416" s="3">
        <f>J416-P416</f>
      </c>
      <c r="T416" t="s">
        <v>1</v>
      </c>
      <c r="U416" t="s">
        <v>83</v>
      </c>
      <c r="AA416" s="3">
        <f>Q416-Z416</f>
      </c>
      <c r="AB416" t="s">
        <v>59</v>
      </c>
      <c r="AC416" t="s">
        <v>60</v>
      </c>
    </row>
    <row r="417" spans="1:29" x14ac:dyDescent="0.25">
      <c r="A417" s="7">
        <v>46155.5</v>
      </c>
      <c r="B417" t="s">
        <v>3766</v>
      </c>
      <c r="C417" t="s">
        <v>1</v>
      </c>
      <c r="D417" s="8" t="s">
        <v>3767</v>
      </c>
      <c r="E417" t="s">
        <v>101</v>
      </c>
      <c r="F417">
        <v>1</v>
      </c>
      <c r="G417" s="3">
        <v>492</v>
      </c>
      <c r="H417" s="3">
        <v>678.96</v>
      </c>
      <c r="I417" s="3">
        <f>H417-G417</f>
      </c>
      <c r="J417" s="3">
        <f>I417*16.67%</f>
      </c>
      <c r="K417" s="3">
        <v>31.3</v>
      </c>
      <c r="L417" s="3">
        <f>K417*20%</f>
      </c>
      <c r="M417" s="3">
        <v>0</v>
      </c>
      <c r="N417" s="3">
        <f>M417*20%</f>
      </c>
      <c r="O417" s="3">
        <v>1</v>
      </c>
      <c r="P417" s="3">
        <f>N417</f>
      </c>
      <c r="Q417" s="3">
        <f>I417-J417-K417-M417-N417-O417</f>
      </c>
      <c r="R417" s="3">
        <f>(Q417-Z417)/G417*100</f>
      </c>
      <c r="S417" s="3">
        <f>J417-P417</f>
      </c>
      <c r="T417" t="s">
        <v>1</v>
      </c>
      <c r="U417" t="s">
        <v>68</v>
      </c>
      <c r="AA417" s="3">
        <f>Q417-Z417</f>
      </c>
      <c r="AB417" t="s">
        <v>59</v>
      </c>
      <c r="AC417" t="s">
        <v>69</v>
      </c>
    </row>
    <row r="418" spans="1:29" x14ac:dyDescent="0.25">
      <c r="A418" s="7">
        <v>46155.5</v>
      </c>
      <c r="B418" t="s">
        <v>3768</v>
      </c>
      <c r="C418" t="s">
        <v>1</v>
      </c>
      <c r="D418" s="8" t="s">
        <v>3769</v>
      </c>
      <c r="E418" t="s">
        <v>77</v>
      </c>
      <c r="F418">
        <v>1</v>
      </c>
      <c r="G418" s="3">
        <v>461</v>
      </c>
      <c r="H418" s="3">
        <v>534.76</v>
      </c>
      <c r="I418" s="3">
        <f>H418-G418</f>
      </c>
      <c r="J418" s="3">
        <f>I418*16.67%</f>
      </c>
      <c r="K418" s="3">
        <v>24.65</v>
      </c>
      <c r="L418" s="3">
        <f>K418*20%</f>
      </c>
      <c r="M418" s="3">
        <v>0</v>
      </c>
      <c r="N418" s="3">
        <f>M418*20%</f>
      </c>
      <c r="O418" s="3">
        <v>1</v>
      </c>
      <c r="P418" s="3">
        <f>N418</f>
      </c>
      <c r="Q418" s="3">
        <f>I418-J418-K418-M418-N418-O418</f>
      </c>
      <c r="R418" s="3">
        <f>(Q418-Z418)/G418*100</f>
      </c>
      <c r="S418" s="3">
        <f>J418-P418</f>
      </c>
      <c r="T418" t="s">
        <v>1</v>
      </c>
      <c r="U418" t="s">
        <v>58</v>
      </c>
      <c r="AA418" s="3">
        <f>Q418-Z418</f>
      </c>
      <c r="AB418" t="s">
        <v>59</v>
      </c>
      <c r="AC418" t="s">
        <v>104</v>
      </c>
    </row>
    <row r="419" spans="1:29" x14ac:dyDescent="0.25">
      <c r="A419" s="7">
        <v>46155.5</v>
      </c>
      <c r="B419" t="s">
        <v>3770</v>
      </c>
      <c r="C419" t="s">
        <v>188</v>
      </c>
      <c r="D419" s="8" t="s">
        <v>1</v>
      </c>
      <c r="E419" t="s">
        <v>63</v>
      </c>
      <c r="F419">
        <v>1</v>
      </c>
      <c r="G419" s="3">
        <v>3.5</v>
      </c>
      <c r="H419" s="3">
        <v>4.55</v>
      </c>
      <c r="I419" s="3">
        <f>H419-G419</f>
      </c>
      <c r="J419" s="3">
        <f>I419*16.67%</f>
      </c>
      <c r="K419" s="3">
        <v>0.21</v>
      </c>
      <c r="L419" s="3">
        <f>K419*20%</f>
      </c>
      <c r="M419" s="3">
        <v>0</v>
      </c>
      <c r="N419" s="3">
        <f>M419*20%</f>
      </c>
      <c r="O419" s="3">
        <v>1</v>
      </c>
      <c r="P419" s="3">
        <f>N419</f>
      </c>
      <c r="Q419" s="3">
        <f>I419-J419-K419-M419-N419-O419</f>
      </c>
      <c r="R419" s="3">
        <f>(Q419-Z419)/G419*100</f>
      </c>
      <c r="S419" s="3">
        <f>J419-P419</f>
      </c>
      <c r="T419" t="s">
        <v>1</v>
      </c>
      <c r="U419" t="s">
        <v>188</v>
      </c>
      <c r="AA419" s="3">
        <f>Q419-Z419</f>
      </c>
      <c r="AB419" t="s">
        <v>1</v>
      </c>
      <c r="AC419" t="s">
        <v>1</v>
      </c>
    </row>
    <row r="420" spans="1:29" x14ac:dyDescent="0.25">
      <c r="A420" s="7">
        <v>46155.5</v>
      </c>
      <c r="B420" t="s">
        <v>3771</v>
      </c>
      <c r="C420" t="s">
        <v>176</v>
      </c>
      <c r="D420" s="8" t="s">
        <v>1</v>
      </c>
      <c r="E420" t="s">
        <v>77</v>
      </c>
      <c r="F420">
        <v>4</v>
      </c>
      <c r="G420" s="3">
        <v>0.6</v>
      </c>
      <c r="H420" s="3">
        <v>0.7</v>
      </c>
      <c r="I420" s="3">
        <f>H420-G420</f>
      </c>
      <c r="J420" s="3">
        <f>I420*16.67%</f>
      </c>
      <c r="K420" s="3">
        <v>0.03</v>
      </c>
      <c r="L420" s="3">
        <f>K420*20%</f>
      </c>
      <c r="M420" s="3">
        <v>0</v>
      </c>
      <c r="N420" s="3">
        <f>M420*20%</f>
      </c>
      <c r="O420" s="3">
        <v>1</v>
      </c>
      <c r="P420" s="3">
        <f>N420</f>
      </c>
      <c r="Q420" s="3">
        <f>I420-J420-K420-M420-N420-O420</f>
      </c>
      <c r="R420" s="3">
        <f>(Q420-Z420)/G420*100</f>
      </c>
      <c r="S420" s="3">
        <f>J420-P420</f>
      </c>
      <c r="T420" t="s">
        <v>1</v>
      </c>
      <c r="U420" t="s">
        <v>176</v>
      </c>
      <c r="AA420" s="3">
        <f>Q420-Z420</f>
      </c>
      <c r="AB420" t="s">
        <v>1</v>
      </c>
      <c r="AC420" t="s">
        <v>1</v>
      </c>
    </row>
    <row r="421" spans="1:29" x14ac:dyDescent="0.25">
      <c r="A421" s="7">
        <v>46154.5</v>
      </c>
      <c r="B421" t="s">
        <v>3772</v>
      </c>
      <c r="C421" t="s">
        <v>253</v>
      </c>
      <c r="D421" s="8" t="s">
        <v>1</v>
      </c>
      <c r="E421" t="s">
        <v>57</v>
      </c>
      <c r="F421">
        <v>3</v>
      </c>
      <c r="G421" s="3">
        <v>2.4</v>
      </c>
      <c r="H421" s="3">
        <v>3.34</v>
      </c>
      <c r="I421" s="3">
        <f>H421-G421</f>
      </c>
      <c r="J421" s="3">
        <f>I421*16.67%</f>
      </c>
      <c r="K421" s="3">
        <v>0.15</v>
      </c>
      <c r="L421" s="3">
        <f>K421*20%</f>
      </c>
      <c r="M421" s="3">
        <v>0</v>
      </c>
      <c r="N421" s="3">
        <f>M421*20%</f>
      </c>
      <c r="O421" s="3">
        <v>1</v>
      </c>
      <c r="P421" s="3">
        <f>N421</f>
      </c>
      <c r="Q421" s="3">
        <f>I421-J421-K421-M421-N421-O421</f>
      </c>
      <c r="R421" s="3">
        <f>(Q421-Z421)/G421*100</f>
      </c>
      <c r="S421" s="3">
        <f>J421-P421</f>
      </c>
      <c r="T421" t="s">
        <v>1</v>
      </c>
      <c r="U421" t="s">
        <v>253</v>
      </c>
      <c r="AA421" s="3">
        <f>Q421-Z421</f>
      </c>
      <c r="AB421" t="s">
        <v>1</v>
      </c>
      <c r="AC421" t="s">
        <v>1</v>
      </c>
    </row>
    <row r="422" spans="1:29" x14ac:dyDescent="0.25">
      <c r="A422" s="7">
        <v>46154.5</v>
      </c>
      <c r="B422" t="s">
        <v>3773</v>
      </c>
      <c r="C422" t="s">
        <v>184</v>
      </c>
      <c r="D422" s="8" t="s">
        <v>1</v>
      </c>
      <c r="E422" t="s">
        <v>101</v>
      </c>
      <c r="F422">
        <v>2</v>
      </c>
      <c r="G422" s="3">
        <v>2.4</v>
      </c>
      <c r="H422" s="3">
        <v>3.43</v>
      </c>
      <c r="I422" s="3">
        <f>H422-G422</f>
      </c>
      <c r="J422" s="3">
        <f>I422*16.67%</f>
      </c>
      <c r="K422" s="3">
        <v>0.16</v>
      </c>
      <c r="L422" s="3">
        <f>K422*20%</f>
      </c>
      <c r="M422" s="3">
        <v>0</v>
      </c>
      <c r="N422" s="3">
        <f>M422*20%</f>
      </c>
      <c r="O422" s="3">
        <v>1</v>
      </c>
      <c r="P422" s="3">
        <f>N422</f>
      </c>
      <c r="Q422" s="3">
        <f>I422-J422-K422-M422-N422-O422</f>
      </c>
      <c r="R422" s="3">
        <f>(Q422-Z422)/G422*100</f>
      </c>
      <c r="S422" s="3">
        <f>J422-P422</f>
      </c>
      <c r="T422" t="s">
        <v>1</v>
      </c>
      <c r="U422" t="s">
        <v>184</v>
      </c>
      <c r="AA422" s="3">
        <f>Q422-Z422</f>
      </c>
      <c r="AB422" t="s">
        <v>1</v>
      </c>
      <c r="AC422" t="s">
        <v>1</v>
      </c>
    </row>
    <row r="423" spans="1:29" x14ac:dyDescent="0.25">
      <c r="A423" s="7">
        <v>46154.5</v>
      </c>
      <c r="B423" t="s">
        <v>3774</v>
      </c>
      <c r="C423" t="s">
        <v>1</v>
      </c>
      <c r="D423" s="8" t="s">
        <v>1</v>
      </c>
      <c r="E423" t="s">
        <v>77</v>
      </c>
      <c r="F423">
        <v>1</v>
      </c>
      <c r="G423" s="3">
        <v>179</v>
      </c>
      <c r="H423" s="3">
        <v>250.6</v>
      </c>
      <c r="I423" s="3">
        <f>H423-G423</f>
      </c>
      <c r="J423" s="3">
        <f>I423*16.67%</f>
      </c>
      <c r="K423" s="3">
        <v>11.55</v>
      </c>
      <c r="L423" s="3">
        <f>K423*20%</f>
      </c>
      <c r="M423" s="3">
        <v>0</v>
      </c>
      <c r="N423" s="3">
        <f>M423*20%</f>
      </c>
      <c r="O423" s="3">
        <v>1</v>
      </c>
      <c r="P423" s="3">
        <f>N423</f>
      </c>
      <c r="Q423" s="3">
        <f>I423-J423-K423-M423-N423-O423</f>
      </c>
      <c r="R423" s="3">
        <f>(Q423-Z423)/G423*100</f>
      </c>
      <c r="S423" s="3">
        <f>J423-P423</f>
      </c>
      <c r="T423" t="s">
        <v>1</v>
      </c>
      <c r="U423" t="s">
        <v>1</v>
      </c>
      <c r="AA423" s="3">
        <f>Q423-Z423</f>
      </c>
      <c r="AB423" t="s">
        <v>1</v>
      </c>
      <c r="AC423" t="s">
        <v>1</v>
      </c>
    </row>
    <row r="424" spans="1:29" x14ac:dyDescent="0.25">
      <c r="A424" s="7">
        <v>46153.5</v>
      </c>
      <c r="B424" t="s">
        <v>3775</v>
      </c>
      <c r="C424" t="s">
        <v>1</v>
      </c>
      <c r="D424" s="8" t="s">
        <v>3776</v>
      </c>
      <c r="E424" t="s">
        <v>57</v>
      </c>
      <c r="F424">
        <v>1</v>
      </c>
      <c r="G424" s="3">
        <v>86</v>
      </c>
      <c r="H424" s="3">
        <v>99.76</v>
      </c>
      <c r="I424" s="3">
        <f>H424-G424</f>
      </c>
      <c r="J424" s="3">
        <f>I424*16.67%</f>
      </c>
      <c r="K424" s="3">
        <v>4.6</v>
      </c>
      <c r="L424" s="3">
        <f>K424*20%</f>
      </c>
      <c r="M424" s="3">
        <v>0</v>
      </c>
      <c r="N424" s="3">
        <f>M424*20%</f>
      </c>
      <c r="O424" s="3">
        <v>1</v>
      </c>
      <c r="P424" s="3">
        <f>N424</f>
      </c>
      <c r="Q424" s="3">
        <f>I424-J424-K424-M424-N424-O424</f>
      </c>
      <c r="R424" s="3">
        <f>(Q424-Z424)/G424*100</f>
      </c>
      <c r="S424" s="3">
        <f>J424-P424</f>
      </c>
      <c r="T424" t="s">
        <v>1</v>
      </c>
      <c r="U424" t="s">
        <v>93</v>
      </c>
      <c r="AA424" s="3">
        <f>Q424-Z424</f>
      </c>
      <c r="AB424" t="s">
        <v>94</v>
      </c>
      <c r="AC424" t="s">
        <v>74</v>
      </c>
    </row>
    <row r="425" spans="1:29" x14ac:dyDescent="0.25">
      <c r="A425" s="7">
        <v>46153.5</v>
      </c>
      <c r="B425" t="s">
        <v>3777</v>
      </c>
      <c r="C425" t="s">
        <v>176</v>
      </c>
      <c r="D425" s="8" t="s">
        <v>1</v>
      </c>
      <c r="E425" t="s">
        <v>77</v>
      </c>
      <c r="F425">
        <v>1</v>
      </c>
      <c r="G425" s="3">
        <v>0.15</v>
      </c>
      <c r="H425" s="3">
        <v>0.21</v>
      </c>
      <c r="I425" s="3">
        <f>H425-G425</f>
      </c>
      <c r="J425" s="3">
        <f>I425*16.67%</f>
      </c>
      <c r="K425" s="3">
        <v>0.01</v>
      </c>
      <c r="L425" s="3">
        <f>K425*20%</f>
      </c>
      <c r="M425" s="3">
        <v>0</v>
      </c>
      <c r="N425" s="3">
        <f>M425*20%</f>
      </c>
      <c r="O425" s="3">
        <v>1</v>
      </c>
      <c r="P425" s="3">
        <f>N425</f>
      </c>
      <c r="Q425" s="3">
        <f>I425-J425-K425-M425-N425-O425</f>
      </c>
      <c r="R425" s="3">
        <f>(Q425-Z425)/G425*100</f>
      </c>
      <c r="S425" s="3">
        <f>J425-P425</f>
      </c>
      <c r="T425" t="s">
        <v>1</v>
      </c>
      <c r="U425" t="s">
        <v>176</v>
      </c>
      <c r="AA425" s="3">
        <f>Q425-Z425</f>
      </c>
      <c r="AB425" t="s">
        <v>1</v>
      </c>
      <c r="AC425" t="s">
        <v>1</v>
      </c>
    </row>
    <row r="426" spans="1:29" x14ac:dyDescent="0.25">
      <c r="A426" s="7">
        <v>46152.5</v>
      </c>
      <c r="B426" t="s">
        <v>3778</v>
      </c>
      <c r="C426" t="s">
        <v>1</v>
      </c>
      <c r="D426" s="8" t="s">
        <v>3779</v>
      </c>
      <c r="E426" t="s">
        <v>77</v>
      </c>
      <c r="F426">
        <v>1</v>
      </c>
      <c r="G426" s="3">
        <v>515</v>
      </c>
      <c r="H426" s="3">
        <v>679.8</v>
      </c>
      <c r="I426" s="3">
        <f>H426-G426</f>
      </c>
      <c r="J426" s="3">
        <f>I426*16.67%</f>
      </c>
      <c r="K426" s="3">
        <v>31.34</v>
      </c>
      <c r="L426" s="3">
        <f>K426*20%</f>
      </c>
      <c r="M426" s="3">
        <v>0</v>
      </c>
      <c r="N426" s="3">
        <f>M426*20%</f>
      </c>
      <c r="O426" s="3">
        <v>1</v>
      </c>
      <c r="P426" s="3">
        <f>N426</f>
      </c>
      <c r="Q426" s="3">
        <f>I426-J426-K426-M426-N426-O426</f>
      </c>
      <c r="R426" s="3">
        <f>(Q426-Z426)/G426*100</f>
      </c>
      <c r="S426" s="3">
        <f>J426-P426</f>
      </c>
      <c r="T426" t="s">
        <v>1</v>
      </c>
      <c r="U426" t="s">
        <v>68</v>
      </c>
      <c r="AA426" s="3">
        <f>Q426-Z426</f>
      </c>
      <c r="AB426" t="s">
        <v>59</v>
      </c>
      <c r="AC426" t="s">
        <v>69</v>
      </c>
    </row>
    <row r="427" spans="1:29" x14ac:dyDescent="0.25">
      <c r="A427" s="7">
        <v>46152.5</v>
      </c>
      <c r="B427" t="s">
        <v>3780</v>
      </c>
      <c r="C427" t="s">
        <v>1</v>
      </c>
      <c r="D427" s="8" t="s">
        <v>3781</v>
      </c>
      <c r="E427" t="s">
        <v>101</v>
      </c>
      <c r="F427">
        <v>1</v>
      </c>
      <c r="G427" s="3">
        <v>325</v>
      </c>
      <c r="H427" s="3">
        <v>409.5</v>
      </c>
      <c r="I427" s="3">
        <f>H427-G427</f>
      </c>
      <c r="J427" s="3">
        <f>I427*16.67%</f>
      </c>
      <c r="K427" s="3">
        <v>18.88</v>
      </c>
      <c r="L427" s="3">
        <f>K427*20%</f>
      </c>
      <c r="M427" s="3">
        <v>0</v>
      </c>
      <c r="N427" s="3">
        <f>M427*20%</f>
      </c>
      <c r="O427" s="3">
        <v>1</v>
      </c>
      <c r="P427" s="3">
        <f>N427</f>
      </c>
      <c r="Q427" s="3">
        <f>I427-J427-K427-M427-N427-O427</f>
      </c>
      <c r="R427" s="3">
        <f>(Q427-Z427)/G427*100</f>
      </c>
      <c r="S427" s="3">
        <f>J427-P427</f>
      </c>
      <c r="T427" t="s">
        <v>1</v>
      </c>
      <c r="U427" t="s">
        <v>73</v>
      </c>
      <c r="AA427" s="3">
        <f>Q427-Z427</f>
      </c>
      <c r="AB427" t="s">
        <v>59</v>
      </c>
      <c r="AC427" t="s">
        <v>60</v>
      </c>
    </row>
    <row r="428" spans="1:29" x14ac:dyDescent="0.25">
      <c r="A428" s="7">
        <v>46152.5</v>
      </c>
      <c r="B428" t="s">
        <v>3782</v>
      </c>
      <c r="C428" t="s">
        <v>176</v>
      </c>
      <c r="D428" s="8" t="s">
        <v>1</v>
      </c>
      <c r="E428" t="s">
        <v>77</v>
      </c>
      <c r="F428">
        <v>1</v>
      </c>
      <c r="G428" s="3">
        <v>0.15</v>
      </c>
      <c r="H428" s="3">
        <v>0.21</v>
      </c>
      <c r="I428" s="3">
        <f>H428-G428</f>
      </c>
      <c r="J428" s="3">
        <f>I428*16.67%</f>
      </c>
      <c r="K428" s="3">
        <v>0.01</v>
      </c>
      <c r="L428" s="3">
        <f>K428*20%</f>
      </c>
      <c r="M428" s="3">
        <v>0</v>
      </c>
      <c r="N428" s="3">
        <f>M428*20%</f>
      </c>
      <c r="O428" s="3">
        <v>1</v>
      </c>
      <c r="P428" s="3">
        <f>N428</f>
      </c>
      <c r="Q428" s="3">
        <f>I428-J428-K428-M428-N428-O428</f>
      </c>
      <c r="R428" s="3">
        <f>(Q428-Z428)/G428*100</f>
      </c>
      <c r="S428" s="3">
        <f>J428-P428</f>
      </c>
      <c r="T428" t="s">
        <v>1</v>
      </c>
      <c r="U428" t="s">
        <v>176</v>
      </c>
      <c r="AA428" s="3">
        <f>Q428-Z428</f>
      </c>
      <c r="AB428" t="s">
        <v>1</v>
      </c>
      <c r="AC428" t="s">
        <v>1</v>
      </c>
    </row>
    <row r="429" spans="1:29" x14ac:dyDescent="0.25">
      <c r="A429" s="7">
        <v>46151.5</v>
      </c>
      <c r="B429" t="s">
        <v>3783</v>
      </c>
      <c r="C429" t="s">
        <v>1</v>
      </c>
      <c r="D429" s="8" t="s">
        <v>3784</v>
      </c>
      <c r="E429" t="s">
        <v>101</v>
      </c>
      <c r="F429">
        <v>1</v>
      </c>
      <c r="G429" s="3">
        <v>519</v>
      </c>
      <c r="H429" s="3">
        <v>742.17</v>
      </c>
      <c r="I429" s="3">
        <f>H429-G429</f>
      </c>
      <c r="J429" s="3">
        <f>I429*16.67%</f>
      </c>
      <c r="K429" s="3">
        <v>34.21</v>
      </c>
      <c r="L429" s="3">
        <f>K429*20%</f>
      </c>
      <c r="M429" s="3">
        <v>0</v>
      </c>
      <c r="N429" s="3">
        <f>M429*20%</f>
      </c>
      <c r="O429" s="3">
        <v>1</v>
      </c>
      <c r="P429" s="3">
        <f>N429</f>
      </c>
      <c r="Q429" s="3">
        <f>I429-J429-K429-M429-N429-O429</f>
      </c>
      <c r="R429" s="3">
        <f>(Q429-Z429)/G429*100</f>
      </c>
      <c r="S429" s="3">
        <f>J429-P429</f>
      </c>
      <c r="T429" t="s">
        <v>1</v>
      </c>
      <c r="U429" t="s">
        <v>68</v>
      </c>
      <c r="AA429" s="3">
        <f>Q429-Z429</f>
      </c>
      <c r="AB429" t="s">
        <v>59</v>
      </c>
      <c r="AC429" t="s">
        <v>69</v>
      </c>
    </row>
    <row r="430" spans="1:29" x14ac:dyDescent="0.25">
      <c r="A430" s="7">
        <v>46151.5</v>
      </c>
      <c r="B430" t="s">
        <v>3785</v>
      </c>
      <c r="C430" t="s">
        <v>1</v>
      </c>
      <c r="D430" s="8" t="s">
        <v>3786</v>
      </c>
      <c r="E430" t="s">
        <v>63</v>
      </c>
      <c r="F430">
        <v>1</v>
      </c>
      <c r="G430" s="3">
        <v>248</v>
      </c>
      <c r="H430" s="3">
        <v>300.08</v>
      </c>
      <c r="I430" s="3">
        <f>H430-G430</f>
      </c>
      <c r="J430" s="3">
        <f>I430*16.67%</f>
      </c>
      <c r="K430" s="3">
        <v>13.83</v>
      </c>
      <c r="L430" s="3">
        <f>K430*20%</f>
      </c>
      <c r="M430" s="3">
        <v>0</v>
      </c>
      <c r="N430" s="3">
        <f>M430*20%</f>
      </c>
      <c r="O430" s="3">
        <v>1</v>
      </c>
      <c r="P430" s="3">
        <f>N430</f>
      </c>
      <c r="Q430" s="3">
        <f>I430-J430-K430-M430-N430-O430</f>
      </c>
      <c r="R430" s="3">
        <f>(Q430-Z430)/G430*100</f>
      </c>
      <c r="S430" s="3">
        <f>J430-P430</f>
      </c>
      <c r="T430" t="s">
        <v>1</v>
      </c>
      <c r="U430" t="s">
        <v>124</v>
      </c>
      <c r="AA430" s="3">
        <f>Q430-Z430</f>
      </c>
      <c r="AB430" t="s">
        <v>125</v>
      </c>
      <c r="AC430" t="s">
        <v>60</v>
      </c>
    </row>
    <row r="431" spans="1:29" x14ac:dyDescent="0.25">
      <c r="A431" s="7">
        <v>46151.5</v>
      </c>
      <c r="B431" t="s">
        <v>3787</v>
      </c>
      <c r="C431" t="s">
        <v>188</v>
      </c>
      <c r="D431" s="8" t="s">
        <v>1</v>
      </c>
      <c r="E431" t="s">
        <v>63</v>
      </c>
      <c r="F431">
        <v>2</v>
      </c>
      <c r="G431" s="3">
        <v>7</v>
      </c>
      <c r="H431" s="3">
        <v>8.82</v>
      </c>
      <c r="I431" s="3">
        <f>H431-G431</f>
      </c>
      <c r="J431" s="3">
        <f>I431*16.67%</f>
      </c>
      <c r="K431" s="3">
        <v>0.41</v>
      </c>
      <c r="L431" s="3">
        <f>K431*20%</f>
      </c>
      <c r="M431" s="3">
        <v>0</v>
      </c>
      <c r="N431" s="3">
        <f>M431*20%</f>
      </c>
      <c r="O431" s="3">
        <v>1</v>
      </c>
      <c r="P431" s="3">
        <f>N431</f>
      </c>
      <c r="Q431" s="3">
        <f>I431-J431-K431-M431-N431-O431</f>
      </c>
      <c r="R431" s="3">
        <f>(Q431-Z431)/G431*100</f>
      </c>
      <c r="S431" s="3">
        <f>J431-P431</f>
      </c>
      <c r="T431" t="s">
        <v>1</v>
      </c>
      <c r="U431" t="s">
        <v>188</v>
      </c>
      <c r="AA431" s="3">
        <f>Q431-Z431</f>
      </c>
      <c r="AB431" t="s">
        <v>1</v>
      </c>
      <c r="AC431" t="s">
        <v>1</v>
      </c>
    </row>
    <row r="432" spans="1:29" x14ac:dyDescent="0.25">
      <c r="A432" s="7">
        <v>46150.5</v>
      </c>
      <c r="B432" t="s">
        <v>3788</v>
      </c>
      <c r="C432" t="s">
        <v>1</v>
      </c>
      <c r="D432" s="8" t="s">
        <v>3789</v>
      </c>
      <c r="E432" t="s">
        <v>77</v>
      </c>
      <c r="F432">
        <v>1</v>
      </c>
      <c r="G432" s="3">
        <v>237</v>
      </c>
      <c r="H432" s="3">
        <v>298.62</v>
      </c>
      <c r="I432" s="3">
        <f>H432-G432</f>
      </c>
      <c r="J432" s="3">
        <f>I432*16.67%</f>
      </c>
      <c r="K432" s="3">
        <v>13.77</v>
      </c>
      <c r="L432" s="3">
        <f>K432*20%</f>
      </c>
      <c r="M432" s="3">
        <v>0</v>
      </c>
      <c r="N432" s="3">
        <f>M432*20%</f>
      </c>
      <c r="O432" s="3">
        <v>1</v>
      </c>
      <c r="P432" s="3">
        <f>N432</f>
      </c>
      <c r="Q432" s="3">
        <f>I432-J432-K432-M432-N432-O432</f>
      </c>
      <c r="R432" s="3">
        <f>(Q432-Z432)/G432*100</f>
      </c>
      <c r="S432" s="3">
        <f>J432-P432</f>
      </c>
      <c r="T432" t="s">
        <v>1</v>
      </c>
      <c r="U432" t="s">
        <v>113</v>
      </c>
      <c r="AA432" s="3">
        <f>Q432-Z432</f>
      </c>
      <c r="AB432" t="s">
        <v>94</v>
      </c>
      <c r="AC432" t="s">
        <v>60</v>
      </c>
    </row>
    <row r="433" spans="1:29" x14ac:dyDescent="0.25">
      <c r="A433" s="7">
        <v>46149.5</v>
      </c>
      <c r="B433" t="s">
        <v>3790</v>
      </c>
      <c r="C433" t="s">
        <v>1</v>
      </c>
      <c r="D433" s="8" t="s">
        <v>3791</v>
      </c>
      <c r="E433" t="s">
        <v>72</v>
      </c>
      <c r="F433">
        <v>1</v>
      </c>
      <c r="G433" s="3">
        <v>309</v>
      </c>
      <c r="H433" s="3">
        <v>355.35</v>
      </c>
      <c r="I433" s="3">
        <f>H433-G433</f>
      </c>
      <c r="J433" s="3">
        <f>I433*16.67%</f>
      </c>
      <c r="K433" s="3">
        <v>16.38</v>
      </c>
      <c r="L433" s="3">
        <f>K433*20%</f>
      </c>
      <c r="M433" s="3">
        <v>0</v>
      </c>
      <c r="N433" s="3">
        <f>M433*20%</f>
      </c>
      <c r="O433" s="3">
        <v>1</v>
      </c>
      <c r="P433" s="3">
        <f>N433</f>
      </c>
      <c r="Q433" s="3">
        <f>I433-J433-K433-M433-N433-O433</f>
      </c>
      <c r="R433" s="3">
        <f>(Q433-Z433)/G433*100</f>
      </c>
      <c r="S433" s="3">
        <f>J433-P433</f>
      </c>
      <c r="T433" t="s">
        <v>1</v>
      </c>
      <c r="U433" t="s">
        <v>130</v>
      </c>
      <c r="AA433" s="3">
        <f>Q433-Z433</f>
      </c>
      <c r="AB433" t="s">
        <v>65</v>
      </c>
      <c r="AC433" t="s">
        <v>104</v>
      </c>
    </row>
    <row r="434" spans="1:29" x14ac:dyDescent="0.25">
      <c r="A434" s="7">
        <v>46149.5</v>
      </c>
      <c r="B434" t="s">
        <v>3792</v>
      </c>
      <c r="C434" t="s">
        <v>173</v>
      </c>
      <c r="D434" s="8" t="s">
        <v>1</v>
      </c>
      <c r="E434" t="s">
        <v>63</v>
      </c>
      <c r="F434">
        <v>4</v>
      </c>
      <c r="G434" s="3">
        <v>17</v>
      </c>
      <c r="H434" s="3">
        <v>20.4</v>
      </c>
      <c r="I434" s="3">
        <f>H434-G434</f>
      </c>
      <c r="J434" s="3">
        <f>I434*16.67%</f>
      </c>
      <c r="K434" s="3">
        <v>0.94</v>
      </c>
      <c r="L434" s="3">
        <f>K434*20%</f>
      </c>
      <c r="M434" s="3">
        <v>0</v>
      </c>
      <c r="N434" s="3">
        <f>M434*20%</f>
      </c>
      <c r="O434" s="3">
        <v>1</v>
      </c>
      <c r="P434" s="3">
        <f>N434</f>
      </c>
      <c r="Q434" s="3">
        <f>I434-J434-K434-M434-N434-O434</f>
      </c>
      <c r="R434" s="3">
        <f>(Q434-Z434)/G434*100</f>
      </c>
      <c r="S434" s="3">
        <f>J434-P434</f>
      </c>
      <c r="T434" t="s">
        <v>1</v>
      </c>
      <c r="U434" t="s">
        <v>173</v>
      </c>
      <c r="AA434" s="3">
        <f>Q434-Z434</f>
      </c>
      <c r="AB434" t="s">
        <v>1</v>
      </c>
      <c r="AC434" t="s">
        <v>1</v>
      </c>
    </row>
    <row r="435" spans="1:29" x14ac:dyDescent="0.25">
      <c r="A435" s="7">
        <v>46149.5</v>
      </c>
      <c r="B435" t="s">
        <v>3793</v>
      </c>
      <c r="C435" t="s">
        <v>181</v>
      </c>
      <c r="D435" s="8" t="s">
        <v>1</v>
      </c>
      <c r="E435" t="s">
        <v>72</v>
      </c>
      <c r="F435">
        <v>1</v>
      </c>
      <c r="G435" s="3">
        <v>1.9</v>
      </c>
      <c r="H435" s="3">
        <v>2.72</v>
      </c>
      <c r="I435" s="3">
        <f>H435-G435</f>
      </c>
      <c r="J435" s="3">
        <f>I435*16.67%</f>
      </c>
      <c r="K435" s="3">
        <v>0.13</v>
      </c>
      <c r="L435" s="3">
        <f>K435*20%</f>
      </c>
      <c r="M435" s="3">
        <v>0</v>
      </c>
      <c r="N435" s="3">
        <f>M435*20%</f>
      </c>
      <c r="O435" s="3">
        <v>1</v>
      </c>
      <c r="P435" s="3">
        <f>N435</f>
      </c>
      <c r="Q435" s="3">
        <f>I435-J435-K435-M435-N435-O435</f>
      </c>
      <c r="R435" s="3">
        <f>(Q435-Z435)/G435*100</f>
      </c>
      <c r="S435" s="3">
        <f>J435-P435</f>
      </c>
      <c r="T435" t="s">
        <v>1</v>
      </c>
      <c r="U435" t="s">
        <v>181</v>
      </c>
      <c r="AA435" s="3">
        <f>Q435-Z435</f>
      </c>
      <c r="AB435" t="s">
        <v>1</v>
      </c>
      <c r="AC435" t="s">
        <v>1</v>
      </c>
    </row>
    <row r="436" spans="1:29" x14ac:dyDescent="0.25">
      <c r="A436" s="7">
        <v>46149.5</v>
      </c>
      <c r="B436" t="s">
        <v>3794</v>
      </c>
      <c r="C436" t="s">
        <v>184</v>
      </c>
      <c r="D436" s="8" t="s">
        <v>1</v>
      </c>
      <c r="E436" t="s">
        <v>101</v>
      </c>
      <c r="F436">
        <v>3</v>
      </c>
      <c r="G436" s="3">
        <v>3.6</v>
      </c>
      <c r="H436" s="3">
        <v>4.79</v>
      </c>
      <c r="I436" s="3">
        <f>H436-G436</f>
      </c>
      <c r="J436" s="3">
        <f>I436*16.67%</f>
      </c>
      <c r="K436" s="3">
        <v>0.22</v>
      </c>
      <c r="L436" s="3">
        <f>K436*20%</f>
      </c>
      <c r="M436" s="3">
        <v>0</v>
      </c>
      <c r="N436" s="3">
        <f>M436*20%</f>
      </c>
      <c r="O436" s="3">
        <v>1</v>
      </c>
      <c r="P436" s="3">
        <f>N436</f>
      </c>
      <c r="Q436" s="3">
        <f>I436-J436-K436-M436-N436-O436</f>
      </c>
      <c r="R436" s="3">
        <f>(Q436-Z436)/G436*100</f>
      </c>
      <c r="S436" s="3">
        <f>J436-P436</f>
      </c>
      <c r="T436" t="s">
        <v>1</v>
      </c>
      <c r="U436" t="s">
        <v>184</v>
      </c>
      <c r="AA436" s="3">
        <f>Q436-Z436</f>
      </c>
      <c r="AB436" t="s">
        <v>1</v>
      </c>
      <c r="AC436" t="s">
        <v>1</v>
      </c>
    </row>
    <row r="437" spans="1:29" x14ac:dyDescent="0.25">
      <c r="A437" s="7">
        <v>46148.5</v>
      </c>
      <c r="B437" t="s">
        <v>3795</v>
      </c>
      <c r="C437" t="s">
        <v>1</v>
      </c>
      <c r="D437" s="8" t="s">
        <v>3796</v>
      </c>
      <c r="E437" t="s">
        <v>101</v>
      </c>
      <c r="F437">
        <v>1</v>
      </c>
      <c r="G437" s="3">
        <v>243</v>
      </c>
      <c r="H437" s="3">
        <v>289.17</v>
      </c>
      <c r="I437" s="3">
        <f>H437-G437</f>
      </c>
      <c r="J437" s="3">
        <f>I437*16.67%</f>
      </c>
      <c r="K437" s="3">
        <v>13.33</v>
      </c>
      <c r="L437" s="3">
        <f>K437*20%</f>
      </c>
      <c r="M437" s="3">
        <v>0</v>
      </c>
      <c r="N437" s="3">
        <f>M437*20%</f>
      </c>
      <c r="O437" s="3">
        <v>1</v>
      </c>
      <c r="P437" s="3">
        <f>N437</f>
      </c>
      <c r="Q437" s="3">
        <f>I437-J437-K437-M437-N437-O437</f>
      </c>
      <c r="R437" s="3">
        <f>(Q437-Z437)/G437*100</f>
      </c>
      <c r="S437" s="3">
        <f>J437-P437</f>
      </c>
      <c r="T437" t="s">
        <v>1</v>
      </c>
      <c r="U437" t="s">
        <v>64</v>
      </c>
      <c r="AA437" s="3">
        <f>Q437-Z437</f>
      </c>
      <c r="AB437" t="s">
        <v>65</v>
      </c>
      <c r="AC437" t="s">
        <v>60</v>
      </c>
    </row>
    <row r="438" spans="1:29" x14ac:dyDescent="0.25">
      <c r="A438" s="7">
        <v>46148.5</v>
      </c>
      <c r="B438" t="s">
        <v>3797</v>
      </c>
      <c r="C438" t="s">
        <v>181</v>
      </c>
      <c r="D438" s="8" t="s">
        <v>1</v>
      </c>
      <c r="E438" t="s">
        <v>72</v>
      </c>
      <c r="F438">
        <v>3</v>
      </c>
      <c r="G438" s="3">
        <v>5.7</v>
      </c>
      <c r="H438" s="3">
        <v>7.52</v>
      </c>
      <c r="I438" s="3">
        <f>H438-G438</f>
      </c>
      <c r="J438" s="3">
        <f>I438*16.67%</f>
      </c>
      <c r="K438" s="3">
        <v>0.35</v>
      </c>
      <c r="L438" s="3">
        <f>K438*20%</f>
      </c>
      <c r="M438" s="3">
        <v>0</v>
      </c>
      <c r="N438" s="3">
        <f>M438*20%</f>
      </c>
      <c r="O438" s="3">
        <v>1</v>
      </c>
      <c r="P438" s="3">
        <f>N438</f>
      </c>
      <c r="Q438" s="3">
        <f>I438-J438-K438-M438-N438-O438</f>
      </c>
      <c r="R438" s="3">
        <f>(Q438-Z438)/G438*100</f>
      </c>
      <c r="S438" s="3">
        <f>J438-P438</f>
      </c>
      <c r="T438" t="s">
        <v>1</v>
      </c>
      <c r="U438" t="s">
        <v>181</v>
      </c>
      <c r="AA438" s="3">
        <f>Q438-Z438</f>
      </c>
      <c r="AB438" t="s">
        <v>1</v>
      </c>
      <c r="AC438" t="s">
        <v>1</v>
      </c>
    </row>
    <row r="439" spans="1:29" x14ac:dyDescent="0.25">
      <c r="A439" s="7">
        <v>46146.5</v>
      </c>
      <c r="B439" t="s">
        <v>3798</v>
      </c>
      <c r="C439" t="s">
        <v>253</v>
      </c>
      <c r="D439" s="8" t="s">
        <v>1</v>
      </c>
      <c r="E439" t="s">
        <v>57</v>
      </c>
      <c r="F439">
        <v>1</v>
      </c>
      <c r="G439" s="3">
        <v>0.8</v>
      </c>
      <c r="H439" s="3">
        <v>1.02</v>
      </c>
      <c r="I439" s="3">
        <f>H439-G439</f>
      </c>
      <c r="J439" s="3">
        <f>I439*16.67%</f>
      </c>
      <c r="K439" s="3">
        <v>0.05</v>
      </c>
      <c r="L439" s="3">
        <f>K439*20%</f>
      </c>
      <c r="M439" s="3">
        <v>0</v>
      </c>
      <c r="N439" s="3">
        <f>M439*20%</f>
      </c>
      <c r="O439" s="3">
        <v>1</v>
      </c>
      <c r="P439" s="3">
        <f>N439</f>
      </c>
      <c r="Q439" s="3">
        <f>I439-J439-K439-M439-N439-O439</f>
      </c>
      <c r="R439" s="3">
        <f>(Q439-Z439)/G439*100</f>
      </c>
      <c r="S439" s="3">
        <f>J439-P439</f>
      </c>
      <c r="T439" t="s">
        <v>1</v>
      </c>
      <c r="U439" t="s">
        <v>253</v>
      </c>
      <c r="AA439" s="3">
        <f>Q439-Z439</f>
      </c>
      <c r="AB439" t="s">
        <v>1</v>
      </c>
      <c r="AC439" t="s">
        <v>1</v>
      </c>
    </row>
    <row r="440" spans="1:29" x14ac:dyDescent="0.25">
      <c r="A440" s="7">
        <v>46146.5</v>
      </c>
      <c r="B440" t="s">
        <v>3799</v>
      </c>
      <c r="C440" t="s">
        <v>184</v>
      </c>
      <c r="D440" s="8" t="s">
        <v>1</v>
      </c>
      <c r="E440" t="s">
        <v>101</v>
      </c>
      <c r="F440">
        <v>3</v>
      </c>
      <c r="G440" s="3">
        <v>3.6</v>
      </c>
      <c r="H440" s="3">
        <v>4.97</v>
      </c>
      <c r="I440" s="3">
        <f>H440-G440</f>
      </c>
      <c r="J440" s="3">
        <f>I440*16.67%</f>
      </c>
      <c r="K440" s="3">
        <v>0.23</v>
      </c>
      <c r="L440" s="3">
        <f>K440*20%</f>
      </c>
      <c r="M440" s="3">
        <v>0</v>
      </c>
      <c r="N440" s="3">
        <f>M440*20%</f>
      </c>
      <c r="O440" s="3">
        <v>1</v>
      </c>
      <c r="P440" s="3">
        <f>N440</f>
      </c>
      <c r="Q440" s="3">
        <f>I440-J440-K440-M440-N440-O440</f>
      </c>
      <c r="R440" s="3">
        <f>(Q440-Z440)/G440*100</f>
      </c>
      <c r="S440" s="3">
        <f>J440-P440</f>
      </c>
      <c r="T440" t="s">
        <v>1</v>
      </c>
      <c r="U440" t="s">
        <v>184</v>
      </c>
      <c r="AA440" s="3">
        <f>Q440-Z440</f>
      </c>
      <c r="AB440" t="s">
        <v>1</v>
      </c>
      <c r="AC440" t="s">
        <v>1</v>
      </c>
    </row>
    <row r="441" spans="1:29" x14ac:dyDescent="0.25">
      <c r="A441" s="9">
        <v>46144.5</v>
      </c>
      <c r="B441" s="10" t="s">
        <v>3800</v>
      </c>
      <c r="C441" s="10" t="s">
        <v>1</v>
      </c>
      <c r="D441" s="11" t="s">
        <v>3801</v>
      </c>
      <c r="E441" s="10" t="s">
        <v>101</v>
      </c>
      <c r="F441" s="10">
        <v>1</v>
      </c>
      <c r="G441" s="12">
        <v>81</v>
      </c>
      <c r="H441" s="12">
        <v>107.73</v>
      </c>
      <c r="I441" s="12">
        <f>H441-G441</f>
      </c>
      <c r="J441" s="12">
        <f>I441*16.67%</f>
      </c>
      <c r="K441" s="12">
        <v>4.97</v>
      </c>
      <c r="L441" s="12">
        <f>K441*20%</f>
      </c>
      <c r="M441" s="12">
        <v>0</v>
      </c>
      <c r="N441" s="12">
        <f>M441*20%</f>
      </c>
      <c r="O441" s="12">
        <v>1</v>
      </c>
      <c r="P441" s="12">
        <f>N441</f>
      </c>
      <c r="Q441" s="12">
        <f>I441-J441-K441-M441-N441-O441</f>
      </c>
      <c r="R441" s="12">
        <f>(Q441-Z441)/G441*100</f>
      </c>
      <c r="S441" s="12">
        <f>J441-P441</f>
      </c>
      <c r="T441" s="10" t="s">
        <v>1</v>
      </c>
      <c r="U441" s="10" t="s">
        <v>93</v>
      </c>
      <c r="V441" s="9">
        <v>46237.5</v>
      </c>
      <c r="W441" s="10" t="s">
        <v>3802</v>
      </c>
      <c r="X441" s="10" t="s">
        <v>3803</v>
      </c>
      <c r="Y441" s="10">
        <v>2</v>
      </c>
      <c r="Z441" s="10"/>
      <c r="AA441" s="12">
        <f>Q441-Z441</f>
      </c>
      <c r="AB441" s="10" t="s">
        <v>94</v>
      </c>
      <c r="AC441" s="10" t="s">
        <v>87</v>
      </c>
    </row>
    <row r="442" spans="1:29" x14ac:dyDescent="0.25">
      <c r="A442" s="7">
        <v>46144.5</v>
      </c>
      <c r="B442" t="s">
        <v>3804</v>
      </c>
      <c r="C442" t="s">
        <v>173</v>
      </c>
      <c r="D442" s="8" t="s">
        <v>1</v>
      </c>
      <c r="E442" t="s">
        <v>63</v>
      </c>
      <c r="F442">
        <v>2</v>
      </c>
      <c r="G442" s="3">
        <v>8.5</v>
      </c>
      <c r="H442" s="3">
        <v>12.32</v>
      </c>
      <c r="I442" s="3">
        <f>H442-G442</f>
      </c>
      <c r="J442" s="3">
        <f>I442*16.67%</f>
      </c>
      <c r="K442" s="3">
        <v>0.57</v>
      </c>
      <c r="L442" s="3">
        <f>K442*20%</f>
      </c>
      <c r="M442" s="3">
        <v>0</v>
      </c>
      <c r="N442" s="3">
        <f>M442*20%</f>
      </c>
      <c r="O442" s="3">
        <v>1</v>
      </c>
      <c r="P442" s="3">
        <f>N442</f>
      </c>
      <c r="Q442" s="3">
        <f>I442-J442-K442-M442-N442-O442</f>
      </c>
      <c r="R442" s="3">
        <f>(Q442-Z442)/G442*100</f>
      </c>
      <c r="S442" s="3">
        <f>J442-P442</f>
      </c>
      <c r="T442" t="s">
        <v>1</v>
      </c>
      <c r="U442" t="s">
        <v>173</v>
      </c>
      <c r="AA442" s="3">
        <f>Q442-Z442</f>
      </c>
      <c r="AB442" t="s">
        <v>1</v>
      </c>
      <c r="AC442" t="s">
        <v>1</v>
      </c>
    </row>
    <row r="443" spans="1:29" x14ac:dyDescent="0.25">
      <c r="A443" s="7">
        <v>46144.5</v>
      </c>
      <c r="B443" t="s">
        <v>3805</v>
      </c>
      <c r="C443" t="s">
        <v>253</v>
      </c>
      <c r="D443" s="8" t="s">
        <v>1</v>
      </c>
      <c r="E443" t="s">
        <v>57</v>
      </c>
      <c r="F443">
        <v>1</v>
      </c>
      <c r="G443" s="3">
        <v>0.8</v>
      </c>
      <c r="H443" s="3">
        <v>0.94</v>
      </c>
      <c r="I443" s="3">
        <f>H443-G443</f>
      </c>
      <c r="J443" s="3">
        <f>I443*16.67%</f>
      </c>
      <c r="K443" s="3">
        <v>0.04</v>
      </c>
      <c r="L443" s="3">
        <f>K443*20%</f>
      </c>
      <c r="M443" s="3">
        <v>0</v>
      </c>
      <c r="N443" s="3">
        <f>M443*20%</f>
      </c>
      <c r="O443" s="3">
        <v>1</v>
      </c>
      <c r="P443" s="3">
        <f>N443</f>
      </c>
      <c r="Q443" s="3">
        <f>I443-J443-K443-M443-N443-O443</f>
      </c>
      <c r="R443" s="3">
        <f>(Q443-Z443)/G443*100</f>
      </c>
      <c r="S443" s="3">
        <f>J443-P443</f>
      </c>
      <c r="T443" t="s">
        <v>1</v>
      </c>
      <c r="U443" t="s">
        <v>253</v>
      </c>
      <c r="AA443" s="3">
        <f>Q443-Z443</f>
      </c>
      <c r="AB443" t="s">
        <v>1</v>
      </c>
      <c r="AC443" t="s">
        <v>1</v>
      </c>
    </row>
    <row r="444" spans="1:29" x14ac:dyDescent="0.25">
      <c r="A444" s="7">
        <v>46144.5</v>
      </c>
      <c r="B444" t="s">
        <v>3806</v>
      </c>
      <c r="C444" t="s">
        <v>253</v>
      </c>
      <c r="D444" s="8" t="s">
        <v>1</v>
      </c>
      <c r="E444" t="s">
        <v>57</v>
      </c>
      <c r="F444">
        <v>3</v>
      </c>
      <c r="G444" s="3">
        <v>2.4</v>
      </c>
      <c r="H444" s="3">
        <v>3.36</v>
      </c>
      <c r="I444" s="3">
        <f>H444-G444</f>
      </c>
      <c r="J444" s="3">
        <f>I444*16.67%</f>
      </c>
      <c r="K444" s="3">
        <v>0.15</v>
      </c>
      <c r="L444" s="3">
        <f>K444*20%</f>
      </c>
      <c r="M444" s="3">
        <v>0</v>
      </c>
      <c r="N444" s="3">
        <f>M444*20%</f>
      </c>
      <c r="O444" s="3">
        <v>1</v>
      </c>
      <c r="P444" s="3">
        <f>N444</f>
      </c>
      <c r="Q444" s="3">
        <f>I444-J444-K444-M444-N444-O444</f>
      </c>
      <c r="R444" s="3">
        <f>(Q444-Z444)/G444*100</f>
      </c>
      <c r="S444" s="3">
        <f>J444-P444</f>
      </c>
      <c r="T444" t="s">
        <v>1</v>
      </c>
      <c r="U444" t="s">
        <v>253</v>
      </c>
      <c r="AA444" s="3">
        <f>Q444-Z444</f>
      </c>
      <c r="AB444" t="s">
        <v>1</v>
      </c>
      <c r="AC444" t="s">
        <v>1</v>
      </c>
    </row>
    <row r="445" spans="1:29" x14ac:dyDescent="0.25">
      <c r="A445" s="7">
        <v>46142.5</v>
      </c>
      <c r="B445" t="s">
        <v>3807</v>
      </c>
      <c r="C445" t="s">
        <v>173</v>
      </c>
      <c r="D445" s="8" t="s">
        <v>1</v>
      </c>
      <c r="E445" t="s">
        <v>63</v>
      </c>
      <c r="F445">
        <v>2</v>
      </c>
      <c r="G445" s="3">
        <v>8.5</v>
      </c>
      <c r="H445" s="3">
        <v>11.48</v>
      </c>
      <c r="I445" s="3">
        <f>H445-G445</f>
      </c>
      <c r="J445" s="3">
        <f>I445*16.67%</f>
      </c>
      <c r="K445" s="3">
        <v>0.53</v>
      </c>
      <c r="L445" s="3">
        <f>K445*20%</f>
      </c>
      <c r="M445" s="3">
        <v>0</v>
      </c>
      <c r="N445" s="3">
        <f>M445*20%</f>
      </c>
      <c r="O445" s="3">
        <v>1</v>
      </c>
      <c r="P445" s="3">
        <f>N445</f>
      </c>
      <c r="Q445" s="3">
        <f>I445-J445-K445-M445-N445-O445</f>
      </c>
      <c r="R445" s="3">
        <f>(Q445-Z445)/G445*100</f>
      </c>
      <c r="S445" s="3">
        <f>J445-P445</f>
      </c>
      <c r="T445" t="s">
        <v>1</v>
      </c>
      <c r="U445" t="s">
        <v>173</v>
      </c>
      <c r="AA445" s="3">
        <f>Q445-Z445</f>
      </c>
      <c r="AB445" t="s">
        <v>1</v>
      </c>
      <c r="AC445" t="s">
        <v>1</v>
      </c>
    </row>
    <row r="446" spans="1:29" x14ac:dyDescent="0.25">
      <c r="A446" s="7">
        <v>46142.5</v>
      </c>
      <c r="B446" t="s">
        <v>3808</v>
      </c>
      <c r="C446" t="s">
        <v>253</v>
      </c>
      <c r="D446" s="8" t="s">
        <v>1</v>
      </c>
      <c r="E446" t="s">
        <v>57</v>
      </c>
      <c r="F446">
        <v>1</v>
      </c>
      <c r="G446" s="3">
        <v>0.8</v>
      </c>
      <c r="H446" s="3">
        <v>1.16</v>
      </c>
      <c r="I446" s="3">
        <f>H446-G446</f>
      </c>
      <c r="J446" s="3">
        <f>I446*16.67%</f>
      </c>
      <c r="K446" s="3">
        <v>0.05</v>
      </c>
      <c r="L446" s="3">
        <f>K446*20%</f>
      </c>
      <c r="M446" s="3">
        <v>0</v>
      </c>
      <c r="N446" s="3">
        <f>M446*20%</f>
      </c>
      <c r="O446" s="3">
        <v>1</v>
      </c>
      <c r="P446" s="3">
        <f>N446</f>
      </c>
      <c r="Q446" s="3">
        <f>I446-J446-K446-M446-N446-O446</f>
      </c>
      <c r="R446" s="3">
        <f>(Q446-Z446)/G446*100</f>
      </c>
      <c r="S446" s="3">
        <f>J446-P446</f>
      </c>
      <c r="T446" t="s">
        <v>1</v>
      </c>
      <c r="U446" t="s">
        <v>253</v>
      </c>
      <c r="AA446" s="3">
        <f>Q446-Z446</f>
      </c>
      <c r="AB446" t="s">
        <v>1</v>
      </c>
      <c r="AC446" t="s">
        <v>1</v>
      </c>
    </row>
    <row r="447" spans="1:29" s="6" customFormat="1" x14ac:dyDescent="0.25">
      <c r="A447" s="2" t="s">
        <v>17</v>
      </c>
      <c r="B447" s="6"/>
      <c r="C447" s="6"/>
      <c r="D447" s="6"/>
      <c r="E447" s="6"/>
      <c r="F447" s="13">
        <f>SUM(F2:F446)</f>
      </c>
      <c r="G447" s="13">
        <f>SUM(G2:G446)</f>
      </c>
      <c r="H447" s="13">
        <f>SUM(H2:H446)</f>
      </c>
      <c r="I447" s="13">
        <f>SUM(I2:I446)</f>
      </c>
      <c r="J447" s="13">
        <f>SUM(J2:J446)</f>
      </c>
      <c r="K447" s="13">
        <f>SUM(K2:K446)</f>
      </c>
      <c r="L447" s="13">
        <f>SUM(L2:L446)</f>
      </c>
      <c r="M447" s="13">
        <f>SUM(M2:M446)</f>
      </c>
      <c r="N447" s="13">
        <f>SUM(N2:N446)</f>
      </c>
      <c r="O447" s="13">
        <f>SUM(O2:O446)</f>
      </c>
      <c r="P447" s="13">
        <f>SUM(P2:P446)</f>
      </c>
      <c r="Q447" s="13">
        <f>SUM(Q2:Q446)</f>
      </c>
      <c r="R447" s="13">
        <f>IFERROR((Q447-Z447)/G447*100,0)</f>
      </c>
      <c r="S447" s="13">
        <f>SUM(S2:S446)</f>
      </c>
      <c r="T447" s="6"/>
      <c r="U447" s="6"/>
      <c r="V447" s="6"/>
      <c r="W447" s="6"/>
      <c r="X447" s="6"/>
      <c r="Y447" s="6"/>
      <c r="Z447" s="13">
        <f>SUM(Z2:Z446)</f>
      </c>
      <c r="AA447" s="13">
        <f>SUM(AA2:AA446)</f>
      </c>
      <c r="AB447" s="6"/>
      <c r="AC447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6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6" customFormat="1" x14ac:dyDescent="0.25">
      <c r="A1" s="6" t="s">
        <v>25</v>
      </c>
      <c r="B1" s="6" t="s">
        <v>3</v>
      </c>
      <c r="C1" s="6" t="s">
        <v>26</v>
      </c>
      <c r="D1" s="6" t="s">
        <v>27</v>
      </c>
      <c r="E1" s="6" t="s">
        <v>3809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43</v>
      </c>
      <c r="K1" s="6" t="s">
        <v>44</v>
      </c>
      <c r="L1" s="6" t="s">
        <v>46</v>
      </c>
    </row>
    <row r="2" spans="1:12" x14ac:dyDescent="0.25">
      <c r="A2" s="7">
        <v>46237.5</v>
      </c>
      <c r="B2" t="s">
        <v>14</v>
      </c>
      <c r="C2" t="s">
        <v>1494</v>
      </c>
      <c r="D2" t="s">
        <v>188</v>
      </c>
      <c r="E2" t="s">
        <v>3810</v>
      </c>
      <c r="F2" t="s">
        <v>63</v>
      </c>
      <c r="G2">
        <v>1</v>
      </c>
      <c r="H2" s="3">
        <v>3.5</v>
      </c>
      <c r="I2" s="3">
        <v>9.99</v>
      </c>
      <c r="J2" s="3">
        <v>3.14</v>
      </c>
      <c r="K2" s="14">
        <v>31.45</v>
      </c>
      <c r="L2" t="s">
        <v>1</v>
      </c>
    </row>
    <row r="3" spans="1:12" x14ac:dyDescent="0.25">
      <c r="A3" s="7">
        <v>46231.5</v>
      </c>
      <c r="B3" t="s">
        <v>12</v>
      </c>
      <c r="C3" t="s">
        <v>172</v>
      </c>
      <c r="D3" t="s">
        <v>173</v>
      </c>
      <c r="E3" t="s">
        <v>3811</v>
      </c>
      <c r="F3" t="s">
        <v>63</v>
      </c>
      <c r="G3">
        <v>3</v>
      </c>
      <c r="H3" s="3">
        <v>12.75</v>
      </c>
      <c r="I3" s="3">
        <v>15.04</v>
      </c>
      <c r="J3" s="3">
        <v>-0.38</v>
      </c>
      <c r="K3" s="14">
        <v>-2.98</v>
      </c>
      <c r="L3" t="s">
        <v>1</v>
      </c>
    </row>
    <row r="4" spans="1:12" x14ac:dyDescent="0.25">
      <c r="A4" s="7">
        <v>46231.5</v>
      </c>
      <c r="B4" t="s">
        <v>12</v>
      </c>
      <c r="C4" t="s">
        <v>174</v>
      </c>
      <c r="D4" t="s">
        <v>173</v>
      </c>
      <c r="E4" t="s">
        <v>3811</v>
      </c>
      <c r="F4" t="s">
        <v>63</v>
      </c>
      <c r="G4">
        <v>1</v>
      </c>
      <c r="H4" s="3">
        <v>4.25</v>
      </c>
      <c r="I4" s="3">
        <v>5.4</v>
      </c>
      <c r="J4" s="3">
        <v>-0.5</v>
      </c>
      <c r="K4" s="14">
        <v>-11.87</v>
      </c>
      <c r="L4" t="s">
        <v>1</v>
      </c>
    </row>
    <row r="5" spans="1:12" x14ac:dyDescent="0.25">
      <c r="A5" s="7">
        <v>46231.5</v>
      </c>
      <c r="B5" t="s">
        <v>12</v>
      </c>
      <c r="C5" t="s">
        <v>175</v>
      </c>
      <c r="D5" t="s">
        <v>176</v>
      </c>
      <c r="E5" t="s">
        <v>3812</v>
      </c>
      <c r="F5" t="s">
        <v>77</v>
      </c>
      <c r="G5">
        <v>2</v>
      </c>
      <c r="H5" s="3">
        <v>0.3</v>
      </c>
      <c r="I5" s="3">
        <v>0.4</v>
      </c>
      <c r="J5" s="3">
        <v>-0.95</v>
      </c>
      <c r="K5" s="14">
        <v>-316.98</v>
      </c>
      <c r="L5" t="s">
        <v>1</v>
      </c>
    </row>
    <row r="6" spans="1:12" x14ac:dyDescent="0.25">
      <c r="A6" s="7">
        <v>46231.5</v>
      </c>
      <c r="B6" t="s">
        <v>12</v>
      </c>
      <c r="C6" t="s">
        <v>177</v>
      </c>
      <c r="D6" t="s">
        <v>176</v>
      </c>
      <c r="E6" t="s">
        <v>3812</v>
      </c>
      <c r="F6" t="s">
        <v>77</v>
      </c>
      <c r="G6">
        <v>2</v>
      </c>
      <c r="H6" s="3">
        <v>0.3</v>
      </c>
      <c r="I6" s="3">
        <v>0.41</v>
      </c>
      <c r="J6" s="3">
        <v>-0.94</v>
      </c>
      <c r="K6" s="14">
        <v>-314.49</v>
      </c>
      <c r="L6" t="s">
        <v>1</v>
      </c>
    </row>
    <row r="7" spans="1:12" x14ac:dyDescent="0.25">
      <c r="A7" s="7">
        <v>46231.5</v>
      </c>
      <c r="B7" t="s">
        <v>12</v>
      </c>
      <c r="C7" t="s">
        <v>178</v>
      </c>
      <c r="D7" t="s">
        <v>176</v>
      </c>
      <c r="E7" t="s">
        <v>3812</v>
      </c>
      <c r="F7" t="s">
        <v>77</v>
      </c>
      <c r="G7">
        <v>1</v>
      </c>
      <c r="H7" s="3">
        <v>0.15</v>
      </c>
      <c r="I7" s="3">
        <v>0.19</v>
      </c>
      <c r="J7" s="3">
        <v>-0.98</v>
      </c>
      <c r="K7" s="14">
        <v>-655.3</v>
      </c>
      <c r="L7" t="s">
        <v>1</v>
      </c>
    </row>
    <row r="8" spans="1:12" x14ac:dyDescent="0.25">
      <c r="A8" s="7">
        <v>46231.5</v>
      </c>
      <c r="B8" t="s">
        <v>12</v>
      </c>
      <c r="C8" t="s">
        <v>179</v>
      </c>
      <c r="D8" t="s">
        <v>176</v>
      </c>
      <c r="E8" t="s">
        <v>3812</v>
      </c>
      <c r="F8" t="s">
        <v>77</v>
      </c>
      <c r="G8">
        <v>2</v>
      </c>
      <c r="H8" s="3">
        <v>0.3</v>
      </c>
      <c r="I8" s="3">
        <v>0.4</v>
      </c>
      <c r="J8" s="3">
        <v>-0.95</v>
      </c>
      <c r="K8" s="14">
        <v>-316.98</v>
      </c>
      <c r="L8" t="s">
        <v>1</v>
      </c>
    </row>
    <row r="9" spans="1:12" x14ac:dyDescent="0.25">
      <c r="A9" s="7">
        <v>46231.5</v>
      </c>
      <c r="B9" t="s">
        <v>12</v>
      </c>
      <c r="C9" t="s">
        <v>180</v>
      </c>
      <c r="D9" t="s">
        <v>181</v>
      </c>
      <c r="E9" t="s">
        <v>3813</v>
      </c>
      <c r="F9" t="s">
        <v>72</v>
      </c>
      <c r="G9">
        <v>1</v>
      </c>
      <c r="H9" s="3">
        <v>1.9</v>
      </c>
      <c r="I9" s="3">
        <v>2.74</v>
      </c>
      <c r="J9" s="3">
        <v>-0.53</v>
      </c>
      <c r="K9" s="14">
        <v>-28.15</v>
      </c>
      <c r="L9" t="s">
        <v>1</v>
      </c>
    </row>
    <row r="10" spans="1:12" x14ac:dyDescent="0.25">
      <c r="A10" s="7">
        <v>46231.5</v>
      </c>
      <c r="B10" t="s">
        <v>12</v>
      </c>
      <c r="C10" t="s">
        <v>182</v>
      </c>
      <c r="D10" t="s">
        <v>181</v>
      </c>
      <c r="E10" t="s">
        <v>3813</v>
      </c>
      <c r="F10" t="s">
        <v>72</v>
      </c>
      <c r="G10">
        <v>4</v>
      </c>
      <c r="H10" s="3">
        <v>7.6</v>
      </c>
      <c r="I10" s="3">
        <v>10.72</v>
      </c>
      <c r="J10" s="3">
        <v>0.68</v>
      </c>
      <c r="K10" s="14">
        <v>8.97</v>
      </c>
      <c r="L10" t="s">
        <v>1</v>
      </c>
    </row>
    <row r="11" spans="1:12" x14ac:dyDescent="0.25">
      <c r="A11" s="7">
        <v>46231.5</v>
      </c>
      <c r="B11" t="s">
        <v>12</v>
      </c>
      <c r="C11" t="s">
        <v>183</v>
      </c>
      <c r="D11" t="s">
        <v>184</v>
      </c>
      <c r="E11" t="s">
        <v>3814</v>
      </c>
      <c r="F11" t="s">
        <v>101</v>
      </c>
      <c r="G11">
        <v>3</v>
      </c>
      <c r="H11" s="3">
        <v>3.6</v>
      </c>
      <c r="I11" s="3">
        <v>4.18</v>
      </c>
      <c r="J11" s="3">
        <v>-0.87</v>
      </c>
      <c r="K11" s="14">
        <v>-24.3</v>
      </c>
      <c r="L11" t="s">
        <v>1</v>
      </c>
    </row>
    <row r="12" spans="1:12" x14ac:dyDescent="0.25">
      <c r="A12" s="7">
        <v>46231.5</v>
      </c>
      <c r="B12" t="s">
        <v>13</v>
      </c>
      <c r="C12" t="s">
        <v>817</v>
      </c>
      <c r="D12" t="s">
        <v>188</v>
      </c>
      <c r="E12" t="s">
        <v>3810</v>
      </c>
      <c r="F12" t="s">
        <v>63</v>
      </c>
      <c r="G12">
        <v>3</v>
      </c>
      <c r="H12" s="3">
        <v>10.5</v>
      </c>
      <c r="I12" s="3">
        <v>13.65</v>
      </c>
      <c r="J12" s="3">
        <v>-8.87</v>
      </c>
      <c r="K12" s="14">
        <v>-84.44</v>
      </c>
      <c r="L12" t="s">
        <v>1</v>
      </c>
    </row>
    <row r="13" spans="1:12" x14ac:dyDescent="0.25">
      <c r="A13" s="7">
        <v>46231.5</v>
      </c>
      <c r="B13" t="s">
        <v>13</v>
      </c>
      <c r="C13" t="s">
        <v>818</v>
      </c>
      <c r="D13" t="s">
        <v>188</v>
      </c>
      <c r="E13" t="s">
        <v>3810</v>
      </c>
      <c r="F13" t="s">
        <v>63</v>
      </c>
      <c r="G13">
        <v>3</v>
      </c>
      <c r="H13" s="3">
        <v>10.5</v>
      </c>
      <c r="I13" s="3">
        <v>13.23</v>
      </c>
      <c r="J13" s="3">
        <v>-9.17</v>
      </c>
      <c r="K13" s="14">
        <v>-87.34</v>
      </c>
      <c r="L13" t="s">
        <v>1</v>
      </c>
    </row>
    <row r="14" spans="1:12" x14ac:dyDescent="0.25">
      <c r="A14" s="7">
        <v>46231.5</v>
      </c>
      <c r="B14" t="s">
        <v>13</v>
      </c>
      <c r="C14" t="s">
        <v>819</v>
      </c>
      <c r="D14" t="s">
        <v>173</v>
      </c>
      <c r="E14" t="s">
        <v>3811</v>
      </c>
      <c r="F14" t="s">
        <v>63</v>
      </c>
      <c r="G14">
        <v>1</v>
      </c>
      <c r="H14" s="3">
        <v>4.25</v>
      </c>
      <c r="I14" s="3">
        <v>5.99</v>
      </c>
      <c r="J14" s="3">
        <v>-9.2</v>
      </c>
      <c r="K14" s="14">
        <v>-216.45</v>
      </c>
      <c r="L14" t="s">
        <v>1</v>
      </c>
    </row>
    <row r="15" spans="1:12" x14ac:dyDescent="0.25">
      <c r="A15" s="7">
        <v>46231.5</v>
      </c>
      <c r="B15" t="s">
        <v>13</v>
      </c>
      <c r="C15" t="s">
        <v>820</v>
      </c>
      <c r="D15" t="s">
        <v>253</v>
      </c>
      <c r="E15" t="s">
        <v>3815</v>
      </c>
      <c r="F15" t="s">
        <v>57</v>
      </c>
      <c r="G15">
        <v>4</v>
      </c>
      <c r="H15" s="3">
        <v>3.2</v>
      </c>
      <c r="I15" s="3">
        <v>4.58</v>
      </c>
      <c r="J15" s="3">
        <v>-9.34</v>
      </c>
      <c r="K15" s="14">
        <v>-292</v>
      </c>
      <c r="L15" t="s">
        <v>1</v>
      </c>
    </row>
    <row r="16" spans="1:12" x14ac:dyDescent="0.25">
      <c r="A16" s="7">
        <v>46231.5</v>
      </c>
      <c r="B16" t="s">
        <v>13</v>
      </c>
      <c r="C16" t="s">
        <v>821</v>
      </c>
      <c r="D16" t="s">
        <v>253</v>
      </c>
      <c r="E16" t="s">
        <v>3815</v>
      </c>
      <c r="F16" t="s">
        <v>57</v>
      </c>
      <c r="G16">
        <v>3</v>
      </c>
      <c r="H16" s="3">
        <v>2.4</v>
      </c>
      <c r="I16" s="3">
        <v>2.86</v>
      </c>
      <c r="J16" s="3">
        <v>-9.92</v>
      </c>
      <c r="K16" s="14">
        <v>-413.39</v>
      </c>
      <c r="L16" t="s">
        <v>1</v>
      </c>
    </row>
    <row r="17" spans="1:12" x14ac:dyDescent="0.25">
      <c r="A17" s="7">
        <v>46231.5</v>
      </c>
      <c r="B17" t="s">
        <v>13</v>
      </c>
      <c r="C17" t="s">
        <v>822</v>
      </c>
      <c r="D17" t="s">
        <v>253</v>
      </c>
      <c r="E17" t="s">
        <v>3815</v>
      </c>
      <c r="F17" t="s">
        <v>57</v>
      </c>
      <c r="G17">
        <v>4</v>
      </c>
      <c r="H17" s="3">
        <v>3.2</v>
      </c>
      <c r="I17" s="3">
        <v>4.22</v>
      </c>
      <c r="J17" s="3">
        <v>-9.6</v>
      </c>
      <c r="K17" s="14">
        <v>-300.13</v>
      </c>
      <c r="L17" t="s">
        <v>1</v>
      </c>
    </row>
    <row r="18" spans="1:12" x14ac:dyDescent="0.25">
      <c r="A18" s="7">
        <v>46231.5</v>
      </c>
      <c r="B18" t="s">
        <v>13</v>
      </c>
      <c r="C18" t="s">
        <v>823</v>
      </c>
      <c r="D18" t="s">
        <v>253</v>
      </c>
      <c r="E18" t="s">
        <v>3815</v>
      </c>
      <c r="F18" t="s">
        <v>57</v>
      </c>
      <c r="G18">
        <v>1</v>
      </c>
      <c r="H18" s="3">
        <v>0.8</v>
      </c>
      <c r="I18" s="3">
        <v>0.99</v>
      </c>
      <c r="J18" s="3">
        <v>-9.94</v>
      </c>
      <c r="K18" s="14">
        <v>-1242.57</v>
      </c>
      <c r="L18" t="s">
        <v>1</v>
      </c>
    </row>
    <row r="19" spans="1:12" x14ac:dyDescent="0.25">
      <c r="A19" s="7">
        <v>46231.5</v>
      </c>
      <c r="B19" t="s">
        <v>13</v>
      </c>
      <c r="C19" t="s">
        <v>824</v>
      </c>
      <c r="D19" t="s">
        <v>181</v>
      </c>
      <c r="E19" t="s">
        <v>3813</v>
      </c>
      <c r="F19" t="s">
        <v>72</v>
      </c>
      <c r="G19">
        <v>3</v>
      </c>
      <c r="H19" s="3">
        <v>5.7</v>
      </c>
      <c r="I19" s="3">
        <v>7.52</v>
      </c>
      <c r="J19" s="3">
        <v>-9.3</v>
      </c>
      <c r="K19" s="14">
        <v>-163.17</v>
      </c>
      <c r="L19" t="s">
        <v>1</v>
      </c>
    </row>
    <row r="20" spans="1:12" x14ac:dyDescent="0.25">
      <c r="A20" s="7">
        <v>46231.5</v>
      </c>
      <c r="B20" t="s">
        <v>13</v>
      </c>
      <c r="C20" t="s">
        <v>825</v>
      </c>
      <c r="D20" t="s">
        <v>181</v>
      </c>
      <c r="E20" t="s">
        <v>3813</v>
      </c>
      <c r="F20" t="s">
        <v>72</v>
      </c>
      <c r="G20">
        <v>1</v>
      </c>
      <c r="H20" s="3">
        <v>1.9</v>
      </c>
      <c r="I20" s="3">
        <v>2.68</v>
      </c>
      <c r="J20" s="3">
        <v>-9.63</v>
      </c>
      <c r="K20" s="14">
        <v>-507.1</v>
      </c>
      <c r="L20" t="s">
        <v>1</v>
      </c>
    </row>
    <row r="21" spans="1:12" x14ac:dyDescent="0.25">
      <c r="A21" s="7">
        <v>46231.5</v>
      </c>
      <c r="B21" t="s">
        <v>13</v>
      </c>
      <c r="C21" t="s">
        <v>815</v>
      </c>
      <c r="D21" t="s">
        <v>184</v>
      </c>
      <c r="E21" t="s">
        <v>3814</v>
      </c>
      <c r="F21" t="s">
        <v>101</v>
      </c>
      <c r="G21">
        <v>2</v>
      </c>
      <c r="H21" s="3">
        <v>2.4</v>
      </c>
      <c r="I21" s="3">
        <v>3.22</v>
      </c>
      <c r="J21" s="3">
        <v>-9.66</v>
      </c>
      <c r="K21" s="14">
        <v>-402.54</v>
      </c>
      <c r="L21" t="s">
        <v>1</v>
      </c>
    </row>
    <row r="22" spans="1:12" x14ac:dyDescent="0.25">
      <c r="A22" s="7">
        <v>46231.5</v>
      </c>
      <c r="B22" t="s">
        <v>13</v>
      </c>
      <c r="C22" t="s">
        <v>816</v>
      </c>
      <c r="D22" t="s">
        <v>184</v>
      </c>
      <c r="E22" t="s">
        <v>3814</v>
      </c>
      <c r="F22" t="s">
        <v>101</v>
      </c>
      <c r="G22">
        <v>2</v>
      </c>
      <c r="H22" s="3">
        <v>2.4</v>
      </c>
      <c r="I22" s="3">
        <v>3.36</v>
      </c>
      <c r="J22" s="3">
        <v>-9.56</v>
      </c>
      <c r="K22" s="14">
        <v>-398.32</v>
      </c>
      <c r="L22" t="s">
        <v>1</v>
      </c>
    </row>
    <row r="23" spans="1:12" x14ac:dyDescent="0.25">
      <c r="A23" s="7">
        <v>46231.5</v>
      </c>
      <c r="B23" t="s">
        <v>14</v>
      </c>
      <c r="C23" t="s">
        <v>1589</v>
      </c>
      <c r="D23" t="s">
        <v>188</v>
      </c>
      <c r="E23" t="s">
        <v>3810</v>
      </c>
      <c r="F23" t="s">
        <v>63</v>
      </c>
      <c r="G23">
        <v>2</v>
      </c>
      <c r="H23" s="3">
        <v>7</v>
      </c>
      <c r="I23" s="3">
        <v>9.8</v>
      </c>
      <c r="J23" s="3">
        <v>0.08</v>
      </c>
      <c r="K23" s="14">
        <v>0.83</v>
      </c>
      <c r="L23" t="s">
        <v>1</v>
      </c>
    </row>
    <row r="24" spans="1:12" x14ac:dyDescent="0.25">
      <c r="A24" s="7">
        <v>46231.5</v>
      </c>
      <c r="B24" t="s">
        <v>14</v>
      </c>
      <c r="C24" t="s">
        <v>1590</v>
      </c>
      <c r="D24" t="s">
        <v>188</v>
      </c>
      <c r="E24" t="s">
        <v>3810</v>
      </c>
      <c r="F24" t="s">
        <v>63</v>
      </c>
      <c r="G24">
        <v>3</v>
      </c>
      <c r="H24" s="3">
        <v>10.5</v>
      </c>
      <c r="I24" s="3">
        <v>15.12</v>
      </c>
      <c r="J24" s="3">
        <v>1.18</v>
      </c>
      <c r="K24" s="14">
        <v>7.8</v>
      </c>
      <c r="L24" t="s">
        <v>1</v>
      </c>
    </row>
    <row r="25" spans="1:12" x14ac:dyDescent="0.25">
      <c r="A25" s="7">
        <v>46231.5</v>
      </c>
      <c r="B25" t="s">
        <v>14</v>
      </c>
      <c r="C25" t="s">
        <v>1591</v>
      </c>
      <c r="D25" t="s">
        <v>176</v>
      </c>
      <c r="E25" t="s">
        <v>3812</v>
      </c>
      <c r="F25" t="s">
        <v>77</v>
      </c>
      <c r="G25">
        <v>2</v>
      </c>
      <c r="H25" s="3">
        <v>0.3</v>
      </c>
      <c r="I25" s="3">
        <v>0.37</v>
      </c>
      <c r="J25" s="3">
        <v>-1.45</v>
      </c>
      <c r="K25" s="14">
        <v>-392.11</v>
      </c>
      <c r="L25" t="s">
        <v>1</v>
      </c>
    </row>
    <row r="26" spans="1:12" x14ac:dyDescent="0.25">
      <c r="A26" s="7">
        <v>46231.5</v>
      </c>
      <c r="B26" t="s">
        <v>14</v>
      </c>
      <c r="C26" t="s">
        <v>1592</v>
      </c>
      <c r="D26" t="s">
        <v>253</v>
      </c>
      <c r="E26" t="s">
        <v>3815</v>
      </c>
      <c r="F26" t="s">
        <v>57</v>
      </c>
      <c r="G26">
        <v>3</v>
      </c>
      <c r="H26" s="3">
        <v>2.4</v>
      </c>
      <c r="I26" s="3">
        <v>3.48</v>
      </c>
      <c r="J26" s="3">
        <v>-0.85</v>
      </c>
      <c r="K26" s="14">
        <v>-24.54</v>
      </c>
      <c r="L26" t="s">
        <v>1</v>
      </c>
    </row>
    <row r="27" spans="1:12" x14ac:dyDescent="0.25">
      <c r="A27" s="7">
        <v>46231.5</v>
      </c>
      <c r="B27" t="s">
        <v>14</v>
      </c>
      <c r="C27" t="s">
        <v>1593</v>
      </c>
      <c r="D27" t="s">
        <v>253</v>
      </c>
      <c r="E27" t="s">
        <v>3815</v>
      </c>
      <c r="F27" t="s">
        <v>57</v>
      </c>
      <c r="G27">
        <v>3</v>
      </c>
      <c r="H27" s="3">
        <v>2.4</v>
      </c>
      <c r="I27" s="3">
        <v>3.31</v>
      </c>
      <c r="J27" s="3">
        <v>-0.98</v>
      </c>
      <c r="K27" s="14">
        <v>-29.68</v>
      </c>
      <c r="L27" t="s">
        <v>1</v>
      </c>
    </row>
    <row r="28" spans="1:12" x14ac:dyDescent="0.25">
      <c r="A28" s="7">
        <v>46231.5</v>
      </c>
      <c r="B28" t="s">
        <v>14</v>
      </c>
      <c r="C28" t="s">
        <v>1594</v>
      </c>
      <c r="D28" t="s">
        <v>181</v>
      </c>
      <c r="E28" t="s">
        <v>3813</v>
      </c>
      <c r="F28" t="s">
        <v>72</v>
      </c>
      <c r="G28">
        <v>2</v>
      </c>
      <c r="H28" s="3">
        <v>3.8</v>
      </c>
      <c r="I28" s="3">
        <v>4.52</v>
      </c>
      <c r="J28" s="3">
        <v>-1.24</v>
      </c>
      <c r="K28" s="14">
        <v>-27.34</v>
      </c>
      <c r="L28" t="s">
        <v>1</v>
      </c>
    </row>
    <row r="29" spans="1:12" x14ac:dyDescent="0.25">
      <c r="A29" s="7">
        <v>46231.5</v>
      </c>
      <c r="B29" t="s">
        <v>14</v>
      </c>
      <c r="C29" t="s">
        <v>1595</v>
      </c>
      <c r="D29" t="s">
        <v>181</v>
      </c>
      <c r="E29" t="s">
        <v>3813</v>
      </c>
      <c r="F29" t="s">
        <v>72</v>
      </c>
      <c r="G29">
        <v>4</v>
      </c>
      <c r="H29" s="3">
        <v>7.6</v>
      </c>
      <c r="I29" s="3">
        <v>9.96</v>
      </c>
      <c r="J29" s="3">
        <v>-0.3</v>
      </c>
      <c r="K29" s="14">
        <v>-2.99</v>
      </c>
      <c r="L29" t="s">
        <v>1</v>
      </c>
    </row>
    <row r="30" spans="1:12" x14ac:dyDescent="0.25">
      <c r="A30" s="7">
        <v>46231.5</v>
      </c>
      <c r="B30" t="s">
        <v>14</v>
      </c>
      <c r="C30" t="s">
        <v>1596</v>
      </c>
      <c r="D30" t="s">
        <v>181</v>
      </c>
      <c r="E30" t="s">
        <v>3813</v>
      </c>
      <c r="F30" t="s">
        <v>72</v>
      </c>
      <c r="G30">
        <v>1</v>
      </c>
      <c r="H30" s="3">
        <v>1.9</v>
      </c>
      <c r="I30" s="3">
        <v>2.49</v>
      </c>
      <c r="J30" s="3">
        <v>-1.18</v>
      </c>
      <c r="K30" s="14">
        <v>-47.56</v>
      </c>
      <c r="L30" t="s">
        <v>1</v>
      </c>
    </row>
    <row r="31" spans="1:12" x14ac:dyDescent="0.25">
      <c r="A31" s="7">
        <v>46231.5</v>
      </c>
      <c r="B31" t="s">
        <v>14</v>
      </c>
      <c r="C31" t="s">
        <v>1597</v>
      </c>
      <c r="D31" t="s">
        <v>181</v>
      </c>
      <c r="E31" t="s">
        <v>3813</v>
      </c>
      <c r="F31" t="s">
        <v>72</v>
      </c>
      <c r="G31">
        <v>2</v>
      </c>
      <c r="H31" s="3">
        <v>3.8</v>
      </c>
      <c r="I31" s="3">
        <v>4.83</v>
      </c>
      <c r="J31" s="3">
        <v>-1</v>
      </c>
      <c r="K31" s="14">
        <v>-20.74</v>
      </c>
      <c r="L31" t="s">
        <v>1</v>
      </c>
    </row>
    <row r="32" spans="1:12" x14ac:dyDescent="0.25">
      <c r="A32" s="7">
        <v>46231.5</v>
      </c>
      <c r="B32" t="s">
        <v>14</v>
      </c>
      <c r="C32" t="s">
        <v>1598</v>
      </c>
      <c r="D32" t="s">
        <v>184</v>
      </c>
      <c r="E32" t="s">
        <v>3814</v>
      </c>
      <c r="F32" t="s">
        <v>101</v>
      </c>
      <c r="G32">
        <v>3</v>
      </c>
      <c r="H32" s="3">
        <v>3.6</v>
      </c>
      <c r="I32" s="3">
        <v>4.46</v>
      </c>
      <c r="J32" s="3">
        <v>-1.11</v>
      </c>
      <c r="K32" s="14">
        <v>-24.99</v>
      </c>
      <c r="L32" t="s">
        <v>1</v>
      </c>
    </row>
    <row r="33" spans="1:12" x14ac:dyDescent="0.25">
      <c r="A33" s="7">
        <v>46231.5</v>
      </c>
      <c r="B33" t="s">
        <v>14</v>
      </c>
      <c r="C33" t="s">
        <v>1599</v>
      </c>
      <c r="D33" t="s">
        <v>184</v>
      </c>
      <c r="E33" t="s">
        <v>3814</v>
      </c>
      <c r="F33" t="s">
        <v>101</v>
      </c>
      <c r="G33">
        <v>2</v>
      </c>
      <c r="H33" s="3">
        <v>2.4</v>
      </c>
      <c r="I33" s="3">
        <v>3.41</v>
      </c>
      <c r="J33" s="3">
        <v>-0.91</v>
      </c>
      <c r="K33" s="14">
        <v>-26.59</v>
      </c>
      <c r="L33" t="s">
        <v>1</v>
      </c>
    </row>
    <row r="34" spans="1:12" x14ac:dyDescent="0.25">
      <c r="A34" s="7">
        <v>46231.5</v>
      </c>
      <c r="B34" t="s">
        <v>14</v>
      </c>
      <c r="C34" t="s">
        <v>1587</v>
      </c>
      <c r="D34" t="s">
        <v>184</v>
      </c>
      <c r="E34" t="s">
        <v>3814</v>
      </c>
      <c r="F34" t="s">
        <v>101</v>
      </c>
      <c r="G34">
        <v>4</v>
      </c>
      <c r="H34" s="3">
        <v>4.8</v>
      </c>
      <c r="I34" s="3">
        <v>6.1</v>
      </c>
      <c r="J34" s="3">
        <v>-0.88</v>
      </c>
      <c r="K34" s="14">
        <v>-14.38</v>
      </c>
      <c r="L34" t="s">
        <v>1</v>
      </c>
    </row>
    <row r="35" spans="1:12" x14ac:dyDescent="0.25">
      <c r="A35" s="7">
        <v>46231.5</v>
      </c>
      <c r="B35" t="s">
        <v>14</v>
      </c>
      <c r="C35" t="s">
        <v>1588</v>
      </c>
      <c r="D35" t="s">
        <v>184</v>
      </c>
      <c r="E35" t="s">
        <v>3814</v>
      </c>
      <c r="F35" t="s">
        <v>101</v>
      </c>
      <c r="G35">
        <v>3</v>
      </c>
      <c r="H35" s="3">
        <v>3.6</v>
      </c>
      <c r="I35" s="3">
        <v>4.61</v>
      </c>
      <c r="J35" s="3">
        <v>-1</v>
      </c>
      <c r="K35" s="14">
        <v>-21.72</v>
      </c>
      <c r="L35" t="s">
        <v>1</v>
      </c>
    </row>
    <row r="36" spans="1:12" x14ac:dyDescent="0.25">
      <c r="A36" s="7">
        <v>46231.5</v>
      </c>
      <c r="B36" t="s">
        <v>15</v>
      </c>
      <c r="C36" t="s">
        <v>2397</v>
      </c>
      <c r="D36" t="s">
        <v>188</v>
      </c>
      <c r="E36" t="s">
        <v>3810</v>
      </c>
      <c r="F36" t="s">
        <v>63</v>
      </c>
      <c r="G36">
        <v>1</v>
      </c>
      <c r="H36" s="3">
        <v>3.5</v>
      </c>
      <c r="I36" s="3">
        <v>4.83</v>
      </c>
      <c r="J36" s="3">
        <v>-0.3</v>
      </c>
      <c r="K36" s="14">
        <v>-8.5</v>
      </c>
      <c r="L36" t="s">
        <v>1</v>
      </c>
    </row>
    <row r="37" spans="1:12" x14ac:dyDescent="0.25">
      <c r="A37" s="7">
        <v>46231.5</v>
      </c>
      <c r="B37" t="s">
        <v>15</v>
      </c>
      <c r="C37" t="s">
        <v>2398</v>
      </c>
      <c r="D37" t="s">
        <v>188</v>
      </c>
      <c r="E37" t="s">
        <v>3810</v>
      </c>
      <c r="F37" t="s">
        <v>63</v>
      </c>
      <c r="G37">
        <v>1</v>
      </c>
      <c r="H37" s="3">
        <v>3.5</v>
      </c>
      <c r="I37" s="3">
        <v>5.08</v>
      </c>
      <c r="J37" s="3">
        <v>-0.11</v>
      </c>
      <c r="K37" s="14">
        <v>-3.15</v>
      </c>
      <c r="L37" t="s">
        <v>1</v>
      </c>
    </row>
    <row r="38" spans="1:12" x14ac:dyDescent="0.25">
      <c r="A38" s="7">
        <v>46231.5</v>
      </c>
      <c r="B38" t="s">
        <v>15</v>
      </c>
      <c r="C38" t="s">
        <v>2399</v>
      </c>
      <c r="D38" t="s">
        <v>188</v>
      </c>
      <c r="E38" t="s">
        <v>3810</v>
      </c>
      <c r="F38" t="s">
        <v>63</v>
      </c>
      <c r="G38">
        <v>1</v>
      </c>
      <c r="H38" s="3">
        <v>3.5</v>
      </c>
      <c r="I38" s="3">
        <v>4.3</v>
      </c>
      <c r="J38" s="3">
        <v>-0.69</v>
      </c>
      <c r="K38" s="14">
        <v>-19.84</v>
      </c>
      <c r="L38" t="s">
        <v>1</v>
      </c>
    </row>
    <row r="39" spans="1:12" x14ac:dyDescent="0.25">
      <c r="A39" s="7">
        <v>46231.5</v>
      </c>
      <c r="B39" t="s">
        <v>15</v>
      </c>
      <c r="C39" t="s">
        <v>2392</v>
      </c>
      <c r="D39" t="s">
        <v>173</v>
      </c>
      <c r="E39" t="s">
        <v>3811</v>
      </c>
      <c r="F39" t="s">
        <v>63</v>
      </c>
      <c r="G39">
        <v>1</v>
      </c>
      <c r="H39" s="3">
        <v>4.25</v>
      </c>
      <c r="I39" s="3">
        <v>4.97</v>
      </c>
      <c r="J39" s="3">
        <v>-0.82</v>
      </c>
      <c r="K39" s="14">
        <v>-19.24</v>
      </c>
      <c r="L39" t="s">
        <v>1</v>
      </c>
    </row>
    <row r="40" spans="1:12" x14ac:dyDescent="0.25">
      <c r="A40" s="7">
        <v>46231.5</v>
      </c>
      <c r="B40" t="s">
        <v>15</v>
      </c>
      <c r="C40" t="s">
        <v>2393</v>
      </c>
      <c r="D40" t="s">
        <v>253</v>
      </c>
      <c r="E40" t="s">
        <v>3815</v>
      </c>
      <c r="F40" t="s">
        <v>57</v>
      </c>
      <c r="G40">
        <v>1</v>
      </c>
      <c r="H40" s="3">
        <v>0.8</v>
      </c>
      <c r="I40" s="3">
        <v>1.01</v>
      </c>
      <c r="J40" s="3">
        <v>-0.91</v>
      </c>
      <c r="K40" s="14">
        <v>-113.73</v>
      </c>
      <c r="L40" t="s">
        <v>1</v>
      </c>
    </row>
    <row r="41" spans="1:12" x14ac:dyDescent="0.25">
      <c r="A41" s="7">
        <v>46231.5</v>
      </c>
      <c r="B41" t="s">
        <v>15</v>
      </c>
      <c r="C41" t="s">
        <v>2394</v>
      </c>
      <c r="D41" t="s">
        <v>181</v>
      </c>
      <c r="E41" t="s">
        <v>3813</v>
      </c>
      <c r="F41" t="s">
        <v>72</v>
      </c>
      <c r="G41">
        <v>1</v>
      </c>
      <c r="H41" s="3">
        <v>1.9</v>
      </c>
      <c r="I41" s="3">
        <v>2.6</v>
      </c>
      <c r="J41" s="3">
        <v>-0.64</v>
      </c>
      <c r="K41" s="14">
        <v>-33.43</v>
      </c>
      <c r="L41" t="s">
        <v>1</v>
      </c>
    </row>
    <row r="42" spans="1:12" x14ac:dyDescent="0.25">
      <c r="A42" s="7">
        <v>46231.5</v>
      </c>
      <c r="B42" t="s">
        <v>15</v>
      </c>
      <c r="C42" t="s">
        <v>2395</v>
      </c>
      <c r="D42" t="s">
        <v>181</v>
      </c>
      <c r="E42" t="s">
        <v>3813</v>
      </c>
      <c r="F42" t="s">
        <v>72</v>
      </c>
      <c r="G42">
        <v>1</v>
      </c>
      <c r="H42" s="3">
        <v>1.9</v>
      </c>
      <c r="I42" s="3">
        <v>2.72</v>
      </c>
      <c r="J42" s="3">
        <v>-0.55</v>
      </c>
      <c r="K42" s="14">
        <v>-28.69</v>
      </c>
      <c r="L42" t="s">
        <v>1</v>
      </c>
    </row>
    <row r="43" spans="1:12" x14ac:dyDescent="0.25">
      <c r="A43" s="7">
        <v>46231.5</v>
      </c>
      <c r="B43" t="s">
        <v>15</v>
      </c>
      <c r="C43" t="s">
        <v>2396</v>
      </c>
      <c r="D43" t="s">
        <v>184</v>
      </c>
      <c r="E43" t="s">
        <v>3814</v>
      </c>
      <c r="F43" t="s">
        <v>101</v>
      </c>
      <c r="G43">
        <v>1</v>
      </c>
      <c r="H43" s="3">
        <v>1.2</v>
      </c>
      <c r="I43" s="3">
        <v>1.46</v>
      </c>
      <c r="J43" s="3">
        <v>-0.91</v>
      </c>
      <c r="K43" s="14">
        <v>-75.5</v>
      </c>
      <c r="L43" t="s">
        <v>1</v>
      </c>
    </row>
    <row r="44" spans="1:12" x14ac:dyDescent="0.25">
      <c r="A44" s="7">
        <v>46231.5</v>
      </c>
      <c r="B44" t="s">
        <v>16</v>
      </c>
      <c r="C44" t="s">
        <v>3148</v>
      </c>
      <c r="D44" t="s">
        <v>188</v>
      </c>
      <c r="E44" t="s">
        <v>3810</v>
      </c>
      <c r="F44" t="s">
        <v>63</v>
      </c>
      <c r="G44">
        <v>3</v>
      </c>
      <c r="H44" s="3">
        <v>10.5</v>
      </c>
      <c r="I44" s="3">
        <v>15.22</v>
      </c>
      <c r="J44" s="3">
        <v>2.23</v>
      </c>
      <c r="K44" s="14">
        <v>21.27</v>
      </c>
      <c r="L44" t="s">
        <v>1</v>
      </c>
    </row>
    <row r="45" spans="1:12" x14ac:dyDescent="0.25">
      <c r="A45" s="7">
        <v>46231.5</v>
      </c>
      <c r="B45" t="s">
        <v>16</v>
      </c>
      <c r="C45" t="s">
        <v>3149</v>
      </c>
      <c r="D45" t="s">
        <v>173</v>
      </c>
      <c r="E45" t="s">
        <v>3811</v>
      </c>
      <c r="F45" t="s">
        <v>63</v>
      </c>
      <c r="G45">
        <v>4</v>
      </c>
      <c r="H45" s="3">
        <v>17</v>
      </c>
      <c r="I45" s="3">
        <v>23.29</v>
      </c>
      <c r="J45" s="3">
        <v>3.17</v>
      </c>
      <c r="K45" s="14">
        <v>18.66</v>
      </c>
      <c r="L45" t="s">
        <v>1</v>
      </c>
    </row>
    <row r="46" spans="1:12" x14ac:dyDescent="0.25">
      <c r="A46" s="7">
        <v>46231.5</v>
      </c>
      <c r="B46" t="s">
        <v>16</v>
      </c>
      <c r="C46" t="s">
        <v>3150</v>
      </c>
      <c r="D46" t="s">
        <v>173</v>
      </c>
      <c r="E46" t="s">
        <v>3811</v>
      </c>
      <c r="F46" t="s">
        <v>63</v>
      </c>
      <c r="G46">
        <v>4</v>
      </c>
      <c r="H46" s="3">
        <v>17</v>
      </c>
      <c r="I46" s="3">
        <v>22.61</v>
      </c>
      <c r="J46" s="3">
        <v>2.63</v>
      </c>
      <c r="K46" s="14">
        <v>15.5</v>
      </c>
      <c r="L46" t="s">
        <v>1</v>
      </c>
    </row>
    <row r="47" spans="1:12" x14ac:dyDescent="0.25">
      <c r="A47" s="7">
        <v>46231.5</v>
      </c>
      <c r="B47" t="s">
        <v>16</v>
      </c>
      <c r="C47" t="s">
        <v>3151</v>
      </c>
      <c r="D47" t="s">
        <v>176</v>
      </c>
      <c r="E47" t="s">
        <v>3812</v>
      </c>
      <c r="F47" t="s">
        <v>77</v>
      </c>
      <c r="G47">
        <v>1</v>
      </c>
      <c r="H47" s="3">
        <v>0.15</v>
      </c>
      <c r="I47" s="3">
        <v>0.2</v>
      </c>
      <c r="J47" s="3">
        <v>-0.97</v>
      </c>
      <c r="K47" s="14">
        <v>-645.56</v>
      </c>
      <c r="L47" t="s">
        <v>1</v>
      </c>
    </row>
    <row r="48" spans="1:12" x14ac:dyDescent="0.25">
      <c r="A48" s="7">
        <v>46231.5</v>
      </c>
      <c r="B48" t="s">
        <v>16</v>
      </c>
      <c r="C48" t="s">
        <v>3152</v>
      </c>
      <c r="D48" t="s">
        <v>176</v>
      </c>
      <c r="E48" t="s">
        <v>3812</v>
      </c>
      <c r="F48" t="s">
        <v>77</v>
      </c>
      <c r="G48">
        <v>1</v>
      </c>
      <c r="H48" s="3">
        <v>0.15</v>
      </c>
      <c r="I48" s="3">
        <v>0.21</v>
      </c>
      <c r="J48" s="3">
        <v>-0.96</v>
      </c>
      <c r="K48" s="14">
        <v>-640</v>
      </c>
      <c r="L48" t="s">
        <v>1</v>
      </c>
    </row>
    <row r="49" spans="1:12" x14ac:dyDescent="0.25">
      <c r="A49" s="7">
        <v>46231.5</v>
      </c>
      <c r="B49" t="s">
        <v>16</v>
      </c>
      <c r="C49" t="s">
        <v>3153</v>
      </c>
      <c r="D49" t="s">
        <v>176</v>
      </c>
      <c r="E49" t="s">
        <v>3812</v>
      </c>
      <c r="F49" t="s">
        <v>77</v>
      </c>
      <c r="G49">
        <v>4</v>
      </c>
      <c r="H49" s="3">
        <v>0.6</v>
      </c>
      <c r="I49" s="3">
        <v>0.83</v>
      </c>
      <c r="J49" s="3">
        <v>-0.85</v>
      </c>
      <c r="K49" s="14">
        <v>-141.39</v>
      </c>
      <c r="L49" t="s">
        <v>1</v>
      </c>
    </row>
    <row r="50" spans="1:12" x14ac:dyDescent="0.25">
      <c r="A50" s="7">
        <v>46231.5</v>
      </c>
      <c r="B50" t="s">
        <v>16</v>
      </c>
      <c r="C50" t="s">
        <v>3154</v>
      </c>
      <c r="D50" t="s">
        <v>176</v>
      </c>
      <c r="E50" t="s">
        <v>3812</v>
      </c>
      <c r="F50" t="s">
        <v>77</v>
      </c>
      <c r="G50">
        <v>2</v>
      </c>
      <c r="H50" s="3">
        <v>0.3</v>
      </c>
      <c r="I50" s="3">
        <v>0.38</v>
      </c>
      <c r="J50" s="3">
        <v>-0.95</v>
      </c>
      <c r="K50" s="14">
        <v>-317.78</v>
      </c>
      <c r="L50" t="s">
        <v>1</v>
      </c>
    </row>
    <row r="51" spans="1:12" x14ac:dyDescent="0.25">
      <c r="A51" s="7">
        <v>46231.5</v>
      </c>
      <c r="B51" t="s">
        <v>16</v>
      </c>
      <c r="C51" t="s">
        <v>3155</v>
      </c>
      <c r="D51" t="s">
        <v>176</v>
      </c>
      <c r="E51" t="s">
        <v>3812</v>
      </c>
      <c r="F51" t="s">
        <v>77</v>
      </c>
      <c r="G51">
        <v>1</v>
      </c>
      <c r="H51" s="3">
        <v>0.15</v>
      </c>
      <c r="I51" s="3">
        <v>0.22</v>
      </c>
      <c r="J51" s="3">
        <v>-0.95</v>
      </c>
      <c r="K51" s="14">
        <v>-634.45</v>
      </c>
      <c r="L51" t="s">
        <v>1</v>
      </c>
    </row>
    <row r="52" spans="1:12" x14ac:dyDescent="0.25">
      <c r="A52" s="7">
        <v>46231.5</v>
      </c>
      <c r="B52" t="s">
        <v>16</v>
      </c>
      <c r="C52" t="s">
        <v>3156</v>
      </c>
      <c r="D52" t="s">
        <v>253</v>
      </c>
      <c r="E52" t="s">
        <v>3815</v>
      </c>
      <c r="F52" t="s">
        <v>57</v>
      </c>
      <c r="G52">
        <v>2</v>
      </c>
      <c r="H52" s="3">
        <v>1.6</v>
      </c>
      <c r="I52" s="3">
        <v>2.14</v>
      </c>
      <c r="J52" s="3">
        <v>-0.65</v>
      </c>
      <c r="K52" s="14">
        <v>-40.63</v>
      </c>
      <c r="L52" t="s">
        <v>1</v>
      </c>
    </row>
    <row r="53" spans="1:12" x14ac:dyDescent="0.25">
      <c r="A53" s="7">
        <v>46231.5</v>
      </c>
      <c r="B53" t="s">
        <v>16</v>
      </c>
      <c r="C53" t="s">
        <v>3157</v>
      </c>
      <c r="D53" t="s">
        <v>181</v>
      </c>
      <c r="E53" t="s">
        <v>3813</v>
      </c>
      <c r="F53" t="s">
        <v>72</v>
      </c>
      <c r="G53">
        <v>1</v>
      </c>
      <c r="H53" s="3">
        <v>1.9</v>
      </c>
      <c r="I53" s="3">
        <v>2.6</v>
      </c>
      <c r="J53" s="3">
        <v>-0.54</v>
      </c>
      <c r="K53" s="14">
        <v>-28.25</v>
      </c>
      <c r="L53" t="s">
        <v>1</v>
      </c>
    </row>
    <row r="54" spans="1:12" x14ac:dyDescent="0.25">
      <c r="A54" s="7">
        <v>46230.5</v>
      </c>
      <c r="B54" t="s">
        <v>16</v>
      </c>
      <c r="C54" t="s">
        <v>3160</v>
      </c>
      <c r="D54" t="s">
        <v>188</v>
      </c>
      <c r="E54" t="s">
        <v>3810</v>
      </c>
      <c r="F54" t="s">
        <v>63</v>
      </c>
      <c r="G54">
        <v>4</v>
      </c>
      <c r="H54" s="3">
        <v>14</v>
      </c>
      <c r="I54" s="3">
        <v>18.9</v>
      </c>
      <c r="J54" s="3">
        <v>2.21</v>
      </c>
      <c r="K54" s="14">
        <v>15.81</v>
      </c>
      <c r="L54" t="s">
        <v>1</v>
      </c>
    </row>
    <row r="55" spans="1:12" x14ac:dyDescent="0.25">
      <c r="A55" s="7">
        <v>46230.5</v>
      </c>
      <c r="B55" t="s">
        <v>16</v>
      </c>
      <c r="C55" t="s">
        <v>3161</v>
      </c>
      <c r="D55" t="s">
        <v>253</v>
      </c>
      <c r="E55" t="s">
        <v>3815</v>
      </c>
      <c r="F55" t="s">
        <v>57</v>
      </c>
      <c r="G55">
        <v>3</v>
      </c>
      <c r="H55" s="3">
        <v>2.4</v>
      </c>
      <c r="I55" s="3">
        <v>3.36</v>
      </c>
      <c r="J55" s="3">
        <v>-0.35</v>
      </c>
      <c r="K55" s="14">
        <v>-14.58</v>
      </c>
      <c r="L55" t="s">
        <v>1</v>
      </c>
    </row>
    <row r="56" spans="1:12" x14ac:dyDescent="0.25">
      <c r="A56" s="7">
        <v>46230.5</v>
      </c>
      <c r="B56" t="s">
        <v>16</v>
      </c>
      <c r="C56" t="s">
        <v>3162</v>
      </c>
      <c r="D56" t="s">
        <v>184</v>
      </c>
      <c r="E56" t="s">
        <v>3814</v>
      </c>
      <c r="F56" t="s">
        <v>101</v>
      </c>
      <c r="G56">
        <v>1</v>
      </c>
      <c r="H56" s="3">
        <v>1.2</v>
      </c>
      <c r="I56" s="3">
        <v>1.38</v>
      </c>
      <c r="J56" s="3">
        <v>-0.91</v>
      </c>
      <c r="K56" s="14">
        <v>-75.83</v>
      </c>
      <c r="L56" t="s">
        <v>1</v>
      </c>
    </row>
    <row r="57" spans="1:12" x14ac:dyDescent="0.25">
      <c r="A57" s="7">
        <v>46229.5</v>
      </c>
      <c r="B57" t="s">
        <v>12</v>
      </c>
      <c r="C57" t="s">
        <v>187</v>
      </c>
      <c r="D57" t="s">
        <v>188</v>
      </c>
      <c r="E57" t="s">
        <v>3810</v>
      </c>
      <c r="F57" t="s">
        <v>63</v>
      </c>
      <c r="G57">
        <v>1</v>
      </c>
      <c r="H57" s="3">
        <v>3.5</v>
      </c>
      <c r="I57" s="3">
        <v>4.66</v>
      </c>
      <c r="J57" s="3">
        <v>-0.43</v>
      </c>
      <c r="K57" s="14">
        <v>-12.36</v>
      </c>
      <c r="L57" t="s">
        <v>1</v>
      </c>
    </row>
    <row r="58" spans="1:12" x14ac:dyDescent="0.25">
      <c r="A58" s="7">
        <v>46229.5</v>
      </c>
      <c r="B58" t="s">
        <v>13</v>
      </c>
      <c r="C58" t="s">
        <v>841</v>
      </c>
      <c r="D58" t="s">
        <v>188</v>
      </c>
      <c r="E58" t="s">
        <v>3810</v>
      </c>
      <c r="F58" t="s">
        <v>63</v>
      </c>
      <c r="G58">
        <v>3</v>
      </c>
      <c r="H58" s="3">
        <v>10.5</v>
      </c>
      <c r="I58" s="3">
        <v>12.39</v>
      </c>
      <c r="J58" s="3">
        <v>-9.78</v>
      </c>
      <c r="K58" s="14">
        <v>-93.12</v>
      </c>
      <c r="L58" t="s">
        <v>1</v>
      </c>
    </row>
    <row r="59" spans="1:12" x14ac:dyDescent="0.25">
      <c r="A59" s="7">
        <v>46229.5</v>
      </c>
      <c r="B59" t="s">
        <v>14</v>
      </c>
      <c r="C59" t="s">
        <v>1611</v>
      </c>
      <c r="D59" t="s">
        <v>173</v>
      </c>
      <c r="E59" t="s">
        <v>3811</v>
      </c>
      <c r="F59" t="s">
        <v>63</v>
      </c>
      <c r="G59">
        <v>3</v>
      </c>
      <c r="H59" s="3">
        <v>12.75</v>
      </c>
      <c r="I59" s="3">
        <v>16.7</v>
      </c>
      <c r="J59" s="3">
        <v>0.5</v>
      </c>
      <c r="K59" s="14">
        <v>2.98</v>
      </c>
      <c r="L59" t="s">
        <v>1</v>
      </c>
    </row>
    <row r="60" spans="1:12" x14ac:dyDescent="0.25">
      <c r="A60" s="7">
        <v>46229.5</v>
      </c>
      <c r="B60" t="s">
        <v>14</v>
      </c>
      <c r="C60" t="s">
        <v>1612</v>
      </c>
      <c r="D60" t="s">
        <v>181</v>
      </c>
      <c r="E60" t="s">
        <v>3813</v>
      </c>
      <c r="F60" t="s">
        <v>72</v>
      </c>
      <c r="G60">
        <v>4</v>
      </c>
      <c r="H60" s="3">
        <v>7.6</v>
      </c>
      <c r="I60" s="3">
        <v>8.82</v>
      </c>
      <c r="J60" s="3">
        <v>-1.16</v>
      </c>
      <c r="K60" s="14">
        <v>-13.13</v>
      </c>
      <c r="L60" t="s">
        <v>1</v>
      </c>
    </row>
    <row r="61" spans="1:12" x14ac:dyDescent="0.25">
      <c r="A61" s="7">
        <v>46229.5</v>
      </c>
      <c r="B61" t="s">
        <v>15</v>
      </c>
      <c r="C61" t="s">
        <v>2406</v>
      </c>
      <c r="D61" t="s">
        <v>173</v>
      </c>
      <c r="E61" t="s">
        <v>3811</v>
      </c>
      <c r="F61" t="s">
        <v>63</v>
      </c>
      <c r="G61">
        <v>1</v>
      </c>
      <c r="H61" s="3">
        <v>4.25</v>
      </c>
      <c r="I61" s="3">
        <v>6.12</v>
      </c>
      <c r="J61" s="3">
        <v>0.04</v>
      </c>
      <c r="K61" s="14">
        <v>1.04</v>
      </c>
      <c r="L61" t="s">
        <v>1</v>
      </c>
    </row>
    <row r="62" spans="1:12" x14ac:dyDescent="0.25">
      <c r="A62" s="7">
        <v>46229.5</v>
      </c>
      <c r="B62" t="s">
        <v>16</v>
      </c>
      <c r="C62" t="s">
        <v>3171</v>
      </c>
      <c r="D62" t="s">
        <v>173</v>
      </c>
      <c r="E62" t="s">
        <v>3811</v>
      </c>
      <c r="F62" t="s">
        <v>63</v>
      </c>
      <c r="G62">
        <v>1</v>
      </c>
      <c r="H62" s="3">
        <v>4.25</v>
      </c>
      <c r="I62" s="3">
        <v>5.18</v>
      </c>
      <c r="J62" s="3">
        <v>-0.47</v>
      </c>
      <c r="K62" s="14">
        <v>-10.94</v>
      </c>
      <c r="L62" t="s">
        <v>1</v>
      </c>
    </row>
    <row r="63" spans="1:12" x14ac:dyDescent="0.25">
      <c r="A63" s="7">
        <v>46229.5</v>
      </c>
      <c r="B63" t="s">
        <v>16</v>
      </c>
      <c r="C63" t="s">
        <v>3172</v>
      </c>
      <c r="D63" t="s">
        <v>176</v>
      </c>
      <c r="E63" t="s">
        <v>3812</v>
      </c>
      <c r="F63" t="s">
        <v>77</v>
      </c>
      <c r="G63">
        <v>1</v>
      </c>
      <c r="H63" s="3">
        <v>0.15</v>
      </c>
      <c r="I63" s="3">
        <v>0.2</v>
      </c>
      <c r="J63" s="3">
        <v>-0.97</v>
      </c>
      <c r="K63" s="14">
        <v>-645.56</v>
      </c>
      <c r="L63" t="s">
        <v>1</v>
      </c>
    </row>
    <row r="64" spans="1:12" x14ac:dyDescent="0.25">
      <c r="A64" s="7">
        <v>46229.5</v>
      </c>
      <c r="B64" t="s">
        <v>16</v>
      </c>
      <c r="C64" t="s">
        <v>3173</v>
      </c>
      <c r="D64" t="s">
        <v>253</v>
      </c>
      <c r="E64" t="s">
        <v>3815</v>
      </c>
      <c r="F64" t="s">
        <v>57</v>
      </c>
      <c r="G64">
        <v>3</v>
      </c>
      <c r="H64" s="3">
        <v>2.4</v>
      </c>
      <c r="I64" s="3">
        <v>3.14</v>
      </c>
      <c r="J64" s="3">
        <v>-0.52</v>
      </c>
      <c r="K64" s="14">
        <v>-21.81</v>
      </c>
      <c r="L64" t="s">
        <v>1</v>
      </c>
    </row>
    <row r="65" spans="1:12" x14ac:dyDescent="0.25">
      <c r="A65" s="7">
        <v>46228.5</v>
      </c>
      <c r="B65" t="s">
        <v>12</v>
      </c>
      <c r="C65" t="s">
        <v>199</v>
      </c>
      <c r="D65" t="s">
        <v>173</v>
      </c>
      <c r="E65" t="s">
        <v>3811</v>
      </c>
      <c r="F65" t="s">
        <v>63</v>
      </c>
      <c r="G65">
        <v>2</v>
      </c>
      <c r="H65" s="3">
        <v>8.5</v>
      </c>
      <c r="I65" s="3">
        <v>11.56</v>
      </c>
      <c r="J65" s="3">
        <v>0.56</v>
      </c>
      <c r="K65" s="14">
        <v>6.58</v>
      </c>
      <c r="L65" t="s">
        <v>1</v>
      </c>
    </row>
    <row r="66" spans="1:12" x14ac:dyDescent="0.25">
      <c r="A66" s="7">
        <v>46228.5</v>
      </c>
      <c r="B66" t="s">
        <v>13</v>
      </c>
      <c r="C66" t="s">
        <v>853</v>
      </c>
      <c r="D66" t="s">
        <v>173</v>
      </c>
      <c r="E66" t="s">
        <v>3811</v>
      </c>
      <c r="F66" t="s">
        <v>63</v>
      </c>
      <c r="G66">
        <v>3</v>
      </c>
      <c r="H66" s="3">
        <v>12.75</v>
      </c>
      <c r="I66" s="3">
        <v>17.59</v>
      </c>
      <c r="J66" s="3">
        <v>-7.89</v>
      </c>
      <c r="K66" s="14">
        <v>-61.9</v>
      </c>
      <c r="L66" t="s">
        <v>1</v>
      </c>
    </row>
    <row r="67" spans="1:12" x14ac:dyDescent="0.25">
      <c r="A67" s="7">
        <v>46228.5</v>
      </c>
      <c r="B67" t="s">
        <v>13</v>
      </c>
      <c r="C67" t="s">
        <v>854</v>
      </c>
      <c r="D67" t="s">
        <v>173</v>
      </c>
      <c r="E67" t="s">
        <v>3811</v>
      </c>
      <c r="F67" t="s">
        <v>63</v>
      </c>
      <c r="G67">
        <v>2</v>
      </c>
      <c r="H67" s="3">
        <v>8.5</v>
      </c>
      <c r="I67" s="3">
        <v>10.88</v>
      </c>
      <c r="J67" s="3">
        <v>-9.2</v>
      </c>
      <c r="K67" s="14">
        <v>-108.28</v>
      </c>
      <c r="L67" t="s">
        <v>1</v>
      </c>
    </row>
    <row r="68" spans="1:12" x14ac:dyDescent="0.25">
      <c r="A68" s="7">
        <v>46228.5</v>
      </c>
      <c r="B68" t="s">
        <v>13</v>
      </c>
      <c r="C68" t="s">
        <v>852</v>
      </c>
      <c r="D68" t="s">
        <v>181</v>
      </c>
      <c r="E68" t="s">
        <v>3813</v>
      </c>
      <c r="F68" t="s">
        <v>72</v>
      </c>
      <c r="G68">
        <v>4</v>
      </c>
      <c r="H68" s="3">
        <v>7.6</v>
      </c>
      <c r="I68" s="3">
        <v>10.79</v>
      </c>
      <c r="J68" s="3">
        <v>-8.52</v>
      </c>
      <c r="K68" s="14">
        <v>-112.09</v>
      </c>
      <c r="L68" t="s">
        <v>1</v>
      </c>
    </row>
    <row r="69" spans="1:12" x14ac:dyDescent="0.25">
      <c r="A69" s="7">
        <v>46228.5</v>
      </c>
      <c r="B69" t="s">
        <v>14</v>
      </c>
      <c r="C69" t="s">
        <v>1621</v>
      </c>
      <c r="D69" t="s">
        <v>184</v>
      </c>
      <c r="E69" t="s">
        <v>3814</v>
      </c>
      <c r="F69" t="s">
        <v>101</v>
      </c>
      <c r="G69">
        <v>2</v>
      </c>
      <c r="H69" s="3">
        <v>2.4</v>
      </c>
      <c r="I69" s="3">
        <v>3.31</v>
      </c>
      <c r="J69" s="3">
        <v>-0.98</v>
      </c>
      <c r="K69" s="14">
        <v>-29.68</v>
      </c>
      <c r="L69" t="s">
        <v>1</v>
      </c>
    </row>
    <row r="70" spans="1:12" x14ac:dyDescent="0.25">
      <c r="A70" s="7">
        <v>46228.5</v>
      </c>
      <c r="B70" t="s">
        <v>15</v>
      </c>
      <c r="C70" t="s">
        <v>2418</v>
      </c>
      <c r="D70" t="s">
        <v>188</v>
      </c>
      <c r="E70" t="s">
        <v>3810</v>
      </c>
      <c r="F70" t="s">
        <v>63</v>
      </c>
      <c r="G70">
        <v>1</v>
      </c>
      <c r="H70" s="3">
        <v>3.5</v>
      </c>
      <c r="I70" s="3">
        <v>4.97</v>
      </c>
      <c r="J70" s="3">
        <v>-0.19</v>
      </c>
      <c r="K70" s="14">
        <v>-5.5</v>
      </c>
      <c r="L70" t="s">
        <v>1</v>
      </c>
    </row>
    <row r="71" spans="1:12" x14ac:dyDescent="0.25">
      <c r="A71" s="7">
        <v>46228.5</v>
      </c>
      <c r="B71" t="s">
        <v>16</v>
      </c>
      <c r="C71" t="s">
        <v>3186</v>
      </c>
      <c r="D71" t="s">
        <v>188</v>
      </c>
      <c r="E71" t="s">
        <v>3810</v>
      </c>
      <c r="F71" t="s">
        <v>63</v>
      </c>
      <c r="G71">
        <v>1</v>
      </c>
      <c r="H71" s="3">
        <v>3.5</v>
      </c>
      <c r="I71" s="3">
        <v>4.93</v>
      </c>
      <c r="J71" s="3">
        <v>-0.04</v>
      </c>
      <c r="K71" s="14">
        <v>-1.1</v>
      </c>
      <c r="L71" t="s">
        <v>1</v>
      </c>
    </row>
    <row r="72" spans="1:12" x14ac:dyDescent="0.25">
      <c r="A72" s="7">
        <v>46227.5</v>
      </c>
      <c r="B72" t="s">
        <v>13</v>
      </c>
      <c r="C72" t="s">
        <v>868</v>
      </c>
      <c r="D72" t="s">
        <v>184</v>
      </c>
      <c r="E72" t="s">
        <v>3814</v>
      </c>
      <c r="F72" t="s">
        <v>101</v>
      </c>
      <c r="G72">
        <v>3</v>
      </c>
      <c r="H72" s="3">
        <v>3.6</v>
      </c>
      <c r="I72" s="3">
        <v>4.72</v>
      </c>
      <c r="J72" s="3">
        <v>-9.58</v>
      </c>
      <c r="K72" s="14">
        <v>-266</v>
      </c>
      <c r="L72" t="s">
        <v>1</v>
      </c>
    </row>
    <row r="73" spans="1:12" x14ac:dyDescent="0.25">
      <c r="A73" s="7">
        <v>46227.5</v>
      </c>
      <c r="B73" t="s">
        <v>15</v>
      </c>
      <c r="C73" t="s">
        <v>2431</v>
      </c>
      <c r="D73" t="s">
        <v>176</v>
      </c>
      <c r="E73" t="s">
        <v>3812</v>
      </c>
      <c r="F73" t="s">
        <v>77</v>
      </c>
      <c r="G73">
        <v>1</v>
      </c>
      <c r="H73" s="3">
        <v>0.15</v>
      </c>
      <c r="I73" s="3">
        <v>0.18</v>
      </c>
      <c r="J73" s="3">
        <v>-0.99</v>
      </c>
      <c r="K73" s="14">
        <v>-660.08</v>
      </c>
      <c r="L73" t="s">
        <v>1</v>
      </c>
    </row>
    <row r="74" spans="1:12" x14ac:dyDescent="0.25">
      <c r="A74" s="7">
        <v>46227.5</v>
      </c>
      <c r="B74" t="s">
        <v>16</v>
      </c>
      <c r="C74" t="s">
        <v>3191</v>
      </c>
      <c r="D74" t="s">
        <v>173</v>
      </c>
      <c r="E74" t="s">
        <v>3811</v>
      </c>
      <c r="F74" t="s">
        <v>63</v>
      </c>
      <c r="G74">
        <v>2</v>
      </c>
      <c r="H74" s="3">
        <v>8.5</v>
      </c>
      <c r="I74" s="3">
        <v>10.88</v>
      </c>
      <c r="J74" s="3">
        <v>0.48</v>
      </c>
      <c r="K74" s="14">
        <v>5.69</v>
      </c>
      <c r="L74" t="s">
        <v>1</v>
      </c>
    </row>
    <row r="75" spans="1:12" x14ac:dyDescent="0.25">
      <c r="A75" s="7">
        <v>46226.5</v>
      </c>
      <c r="B75" t="s">
        <v>12</v>
      </c>
      <c r="C75" t="s">
        <v>219</v>
      </c>
      <c r="D75" t="s">
        <v>184</v>
      </c>
      <c r="E75" t="s">
        <v>3814</v>
      </c>
      <c r="F75" t="s">
        <v>101</v>
      </c>
      <c r="G75">
        <v>1</v>
      </c>
      <c r="H75" s="3">
        <v>1.2</v>
      </c>
      <c r="I75" s="3">
        <v>1.39</v>
      </c>
      <c r="J75" s="3">
        <v>-0.96</v>
      </c>
      <c r="K75" s="14">
        <v>-80.06</v>
      </c>
      <c r="L75" t="s">
        <v>1</v>
      </c>
    </row>
    <row r="76" spans="1:12" x14ac:dyDescent="0.25">
      <c r="A76" s="7">
        <v>46226.5</v>
      </c>
      <c r="B76" t="s">
        <v>13</v>
      </c>
      <c r="C76" t="s">
        <v>875</v>
      </c>
      <c r="D76" t="s">
        <v>176</v>
      </c>
      <c r="E76" t="s">
        <v>3812</v>
      </c>
      <c r="F76" t="s">
        <v>77</v>
      </c>
      <c r="G76">
        <v>3</v>
      </c>
      <c r="H76" s="3">
        <v>0.45</v>
      </c>
      <c r="I76" s="3">
        <v>0.65</v>
      </c>
      <c r="J76" s="3">
        <v>-9.89</v>
      </c>
      <c r="K76" s="14">
        <v>-2198.85</v>
      </c>
      <c r="L76" t="s">
        <v>1</v>
      </c>
    </row>
    <row r="77" spans="1:12" x14ac:dyDescent="0.25">
      <c r="A77" s="7">
        <v>46226.5</v>
      </c>
      <c r="B77" t="s">
        <v>14</v>
      </c>
      <c r="C77" t="s">
        <v>1635</v>
      </c>
      <c r="D77" t="s">
        <v>184</v>
      </c>
      <c r="E77" t="s">
        <v>3814</v>
      </c>
      <c r="F77" t="s">
        <v>101</v>
      </c>
      <c r="G77">
        <v>3</v>
      </c>
      <c r="H77" s="3">
        <v>3.6</v>
      </c>
      <c r="I77" s="3">
        <v>5.18</v>
      </c>
      <c r="J77" s="3">
        <v>-0.57</v>
      </c>
      <c r="K77" s="14">
        <v>-11.03</v>
      </c>
      <c r="L77" t="s">
        <v>1</v>
      </c>
    </row>
    <row r="78" spans="1:12" x14ac:dyDescent="0.25">
      <c r="A78" s="7">
        <v>46225.5</v>
      </c>
      <c r="B78" t="s">
        <v>12</v>
      </c>
      <c r="C78" t="s">
        <v>226</v>
      </c>
      <c r="D78" t="s">
        <v>184</v>
      </c>
      <c r="E78" t="s">
        <v>3814</v>
      </c>
      <c r="F78" t="s">
        <v>101</v>
      </c>
      <c r="G78">
        <v>3</v>
      </c>
      <c r="H78" s="3">
        <v>3.6</v>
      </c>
      <c r="I78" s="3">
        <v>4.32</v>
      </c>
      <c r="J78" s="3">
        <v>-0.77</v>
      </c>
      <c r="K78" s="14">
        <v>-21.39</v>
      </c>
      <c r="L78" t="s">
        <v>1</v>
      </c>
    </row>
    <row r="79" spans="1:12" x14ac:dyDescent="0.25">
      <c r="A79" s="7">
        <v>46225.5</v>
      </c>
      <c r="B79" t="s">
        <v>13</v>
      </c>
      <c r="C79" t="s">
        <v>886</v>
      </c>
      <c r="D79" t="s">
        <v>173</v>
      </c>
      <c r="E79" t="s">
        <v>3811</v>
      </c>
      <c r="F79" t="s">
        <v>63</v>
      </c>
      <c r="G79">
        <v>1</v>
      </c>
      <c r="H79" s="3">
        <v>4.25</v>
      </c>
      <c r="I79" s="3">
        <v>5.61</v>
      </c>
      <c r="J79" s="3">
        <v>-9.47</v>
      </c>
      <c r="K79" s="14">
        <v>-222.91</v>
      </c>
      <c r="L79" t="s">
        <v>1</v>
      </c>
    </row>
    <row r="80" spans="1:12" x14ac:dyDescent="0.25">
      <c r="A80" s="7">
        <v>46225.5</v>
      </c>
      <c r="B80" t="s">
        <v>13</v>
      </c>
      <c r="C80" t="s">
        <v>887</v>
      </c>
      <c r="D80" t="s">
        <v>173</v>
      </c>
      <c r="E80" t="s">
        <v>3811</v>
      </c>
      <c r="F80" t="s">
        <v>63</v>
      </c>
      <c r="G80">
        <v>2</v>
      </c>
      <c r="H80" s="3">
        <v>8.5</v>
      </c>
      <c r="I80" s="3">
        <v>11.82</v>
      </c>
      <c r="J80" s="3">
        <v>-8.52</v>
      </c>
      <c r="K80" s="14">
        <v>-100.28</v>
      </c>
      <c r="L80" t="s">
        <v>1</v>
      </c>
    </row>
    <row r="81" spans="1:12" x14ac:dyDescent="0.25">
      <c r="A81" s="7">
        <v>46225.5</v>
      </c>
      <c r="B81" t="s">
        <v>14</v>
      </c>
      <c r="C81" t="s">
        <v>1651</v>
      </c>
      <c r="D81" t="s">
        <v>173</v>
      </c>
      <c r="E81" t="s">
        <v>3811</v>
      </c>
      <c r="F81" t="s">
        <v>63</v>
      </c>
      <c r="G81">
        <v>4</v>
      </c>
      <c r="H81" s="3">
        <v>17</v>
      </c>
      <c r="I81" s="3">
        <v>23.12</v>
      </c>
      <c r="J81" s="3">
        <v>1.8</v>
      </c>
      <c r="K81" s="14">
        <v>7.78</v>
      </c>
      <c r="L81" t="s">
        <v>1</v>
      </c>
    </row>
    <row r="82" spans="1:12" x14ac:dyDescent="0.25">
      <c r="A82" s="7">
        <v>46225.5</v>
      </c>
      <c r="B82" t="s">
        <v>15</v>
      </c>
      <c r="C82" t="s">
        <v>2448</v>
      </c>
      <c r="D82" t="s">
        <v>176</v>
      </c>
      <c r="E82" t="s">
        <v>3812</v>
      </c>
      <c r="F82" t="s">
        <v>77</v>
      </c>
      <c r="G82">
        <v>1</v>
      </c>
      <c r="H82" s="3">
        <v>0.15</v>
      </c>
      <c r="I82" s="3">
        <v>0.19</v>
      </c>
      <c r="J82" s="3">
        <v>-0.98</v>
      </c>
      <c r="K82" s="14">
        <v>-655.09</v>
      </c>
      <c r="L82" t="s">
        <v>1</v>
      </c>
    </row>
    <row r="83" spans="1:12" x14ac:dyDescent="0.25">
      <c r="A83" s="7">
        <v>46225.5</v>
      </c>
      <c r="B83" t="s">
        <v>15</v>
      </c>
      <c r="C83" t="s">
        <v>2449</v>
      </c>
      <c r="D83" t="s">
        <v>176</v>
      </c>
      <c r="E83" t="s">
        <v>3812</v>
      </c>
      <c r="F83" t="s">
        <v>77</v>
      </c>
      <c r="G83">
        <v>1</v>
      </c>
      <c r="H83" s="3">
        <v>0.15</v>
      </c>
      <c r="I83" s="3">
        <v>0.19</v>
      </c>
      <c r="J83" s="3">
        <v>-0.98</v>
      </c>
      <c r="K83" s="14">
        <v>-655.09</v>
      </c>
      <c r="L83" t="s">
        <v>1</v>
      </c>
    </row>
    <row r="84" spans="1:12" x14ac:dyDescent="0.25">
      <c r="A84" s="7">
        <v>46224.5</v>
      </c>
      <c r="B84" t="s">
        <v>13</v>
      </c>
      <c r="C84" t="s">
        <v>893</v>
      </c>
      <c r="D84" t="s">
        <v>188</v>
      </c>
      <c r="E84" t="s">
        <v>3810</v>
      </c>
      <c r="F84" t="s">
        <v>63</v>
      </c>
      <c r="G84">
        <v>2</v>
      </c>
      <c r="H84" s="3">
        <v>7</v>
      </c>
      <c r="I84" s="3">
        <v>9.03</v>
      </c>
      <c r="J84" s="3">
        <v>-9.29</v>
      </c>
      <c r="K84" s="14">
        <v>-132.74</v>
      </c>
      <c r="L84" t="s">
        <v>1</v>
      </c>
    </row>
    <row r="85" spans="1:12" x14ac:dyDescent="0.25">
      <c r="A85" s="7">
        <v>46224.5</v>
      </c>
      <c r="B85" t="s">
        <v>13</v>
      </c>
      <c r="C85" t="s">
        <v>894</v>
      </c>
      <c r="D85" t="s">
        <v>253</v>
      </c>
      <c r="E85" t="s">
        <v>3815</v>
      </c>
      <c r="F85" t="s">
        <v>57</v>
      </c>
      <c r="G85">
        <v>2</v>
      </c>
      <c r="H85" s="3">
        <v>1.6</v>
      </c>
      <c r="I85" s="3">
        <v>2.21</v>
      </c>
      <c r="J85" s="3">
        <v>-9.72</v>
      </c>
      <c r="K85" s="14">
        <v>-607.8</v>
      </c>
      <c r="L85" t="s">
        <v>1</v>
      </c>
    </row>
    <row r="86" spans="1:12" x14ac:dyDescent="0.25">
      <c r="A86" s="7">
        <v>46223.5</v>
      </c>
      <c r="B86" t="s">
        <v>14</v>
      </c>
      <c r="C86" t="s">
        <v>1660</v>
      </c>
      <c r="D86" t="s">
        <v>184</v>
      </c>
      <c r="E86" t="s">
        <v>3814</v>
      </c>
      <c r="F86" t="s">
        <v>101</v>
      </c>
      <c r="G86">
        <v>1</v>
      </c>
      <c r="H86" s="3">
        <v>1.2</v>
      </c>
      <c r="I86" s="3">
        <v>1.61</v>
      </c>
      <c r="J86" s="3">
        <v>-1.27</v>
      </c>
      <c r="K86" s="14">
        <v>-78.58</v>
      </c>
      <c r="L86" t="s">
        <v>1</v>
      </c>
    </row>
    <row r="87" spans="1:12" x14ac:dyDescent="0.25">
      <c r="A87" s="7">
        <v>46222.5</v>
      </c>
      <c r="B87" t="s">
        <v>12</v>
      </c>
      <c r="C87" t="s">
        <v>245</v>
      </c>
      <c r="D87" t="s">
        <v>181</v>
      </c>
      <c r="E87" t="s">
        <v>3813</v>
      </c>
      <c r="F87" t="s">
        <v>72</v>
      </c>
      <c r="G87">
        <v>2</v>
      </c>
      <c r="H87" s="3">
        <v>3.8</v>
      </c>
      <c r="I87" s="3">
        <v>4.56</v>
      </c>
      <c r="J87" s="3">
        <v>-0.76</v>
      </c>
      <c r="K87" s="14">
        <v>-19.93</v>
      </c>
      <c r="L87" t="s">
        <v>1</v>
      </c>
    </row>
    <row r="88" spans="1:12" x14ac:dyDescent="0.25">
      <c r="A88" s="7">
        <v>46222.5</v>
      </c>
      <c r="B88" t="s">
        <v>13</v>
      </c>
      <c r="C88" t="s">
        <v>899</v>
      </c>
      <c r="D88" t="s">
        <v>188</v>
      </c>
      <c r="E88" t="s">
        <v>3810</v>
      </c>
      <c r="F88" t="s">
        <v>63</v>
      </c>
      <c r="G88">
        <v>3</v>
      </c>
      <c r="H88" s="3">
        <v>10.5</v>
      </c>
      <c r="I88" s="3">
        <v>13.65</v>
      </c>
      <c r="J88" s="3">
        <v>-8.87</v>
      </c>
      <c r="K88" s="14">
        <v>-84.44</v>
      </c>
      <c r="L88" t="s">
        <v>1</v>
      </c>
    </row>
    <row r="89" spans="1:12" x14ac:dyDescent="0.25">
      <c r="A89" s="7">
        <v>46222.5</v>
      </c>
      <c r="B89" t="s">
        <v>14</v>
      </c>
      <c r="C89" t="s">
        <v>1667</v>
      </c>
      <c r="D89" t="s">
        <v>184</v>
      </c>
      <c r="E89" t="s">
        <v>3814</v>
      </c>
      <c r="F89" t="s">
        <v>101</v>
      </c>
      <c r="G89">
        <v>2</v>
      </c>
      <c r="H89" s="3">
        <v>2.4</v>
      </c>
      <c r="I89" s="3">
        <v>2.95</v>
      </c>
      <c r="J89" s="3">
        <v>-1.25</v>
      </c>
      <c r="K89" s="14">
        <v>-42.51</v>
      </c>
      <c r="L89" t="s">
        <v>1</v>
      </c>
    </row>
    <row r="90" spans="1:12" x14ac:dyDescent="0.25">
      <c r="A90" s="7">
        <v>46222.5</v>
      </c>
      <c r="B90" t="s">
        <v>16</v>
      </c>
      <c r="C90" t="s">
        <v>3219</v>
      </c>
      <c r="D90" t="s">
        <v>181</v>
      </c>
      <c r="E90" t="s">
        <v>3813</v>
      </c>
      <c r="F90" t="s">
        <v>72</v>
      </c>
      <c r="G90">
        <v>2</v>
      </c>
      <c r="H90" s="3">
        <v>3.8</v>
      </c>
      <c r="I90" s="3">
        <v>4.9</v>
      </c>
      <c r="J90" s="3">
        <v>-0.31</v>
      </c>
      <c r="K90" s="14">
        <v>-8.25</v>
      </c>
      <c r="L90" t="s">
        <v>1</v>
      </c>
    </row>
    <row r="91" spans="1:12" x14ac:dyDescent="0.25">
      <c r="A91" s="7">
        <v>46221.5</v>
      </c>
      <c r="B91" t="s">
        <v>12</v>
      </c>
      <c r="C91" t="s">
        <v>251</v>
      </c>
      <c r="D91" t="s">
        <v>188</v>
      </c>
      <c r="E91" t="s">
        <v>3810</v>
      </c>
      <c r="F91" t="s">
        <v>63</v>
      </c>
      <c r="G91">
        <v>1</v>
      </c>
      <c r="H91" s="3">
        <v>3.5</v>
      </c>
      <c r="I91" s="3">
        <v>4.55</v>
      </c>
      <c r="J91" s="3">
        <v>-0.51</v>
      </c>
      <c r="K91" s="14">
        <v>-14.71</v>
      </c>
      <c r="L91" t="s">
        <v>1</v>
      </c>
    </row>
    <row r="92" spans="1:12" x14ac:dyDescent="0.25">
      <c r="A92" s="7">
        <v>46221.5</v>
      </c>
      <c r="B92" t="s">
        <v>12</v>
      </c>
      <c r="C92" t="s">
        <v>252</v>
      </c>
      <c r="D92" t="s">
        <v>253</v>
      </c>
      <c r="E92" t="s">
        <v>3815</v>
      </c>
      <c r="F92" t="s">
        <v>57</v>
      </c>
      <c r="G92">
        <v>3</v>
      </c>
      <c r="H92" s="3">
        <v>2.4</v>
      </c>
      <c r="I92" s="3">
        <v>2.95</v>
      </c>
      <c r="J92" s="3">
        <v>-0.79</v>
      </c>
      <c r="K92" s="14">
        <v>-33.1</v>
      </c>
      <c r="L92" t="s">
        <v>1</v>
      </c>
    </row>
    <row r="93" spans="1:12" x14ac:dyDescent="0.25">
      <c r="A93" s="7">
        <v>46221.5</v>
      </c>
      <c r="B93" t="s">
        <v>13</v>
      </c>
      <c r="C93" t="s">
        <v>910</v>
      </c>
      <c r="D93" t="s">
        <v>176</v>
      </c>
      <c r="E93" t="s">
        <v>3812</v>
      </c>
      <c r="F93" t="s">
        <v>77</v>
      </c>
      <c r="G93">
        <v>3</v>
      </c>
      <c r="H93" s="3">
        <v>0.45</v>
      </c>
      <c r="I93" s="3">
        <v>0.54</v>
      </c>
      <c r="J93" s="3">
        <v>-9.97</v>
      </c>
      <c r="K93" s="14">
        <v>-2216.53</v>
      </c>
      <c r="L93" t="s">
        <v>1</v>
      </c>
    </row>
    <row r="94" spans="1:12" x14ac:dyDescent="0.25">
      <c r="A94" s="7">
        <v>46221.5</v>
      </c>
      <c r="B94" t="s">
        <v>14</v>
      </c>
      <c r="C94" t="s">
        <v>1684</v>
      </c>
      <c r="D94" t="s">
        <v>253</v>
      </c>
      <c r="E94" t="s">
        <v>3815</v>
      </c>
      <c r="F94" t="s">
        <v>57</v>
      </c>
      <c r="G94">
        <v>3</v>
      </c>
      <c r="H94" s="3">
        <v>2.4</v>
      </c>
      <c r="I94" s="3">
        <v>3.43</v>
      </c>
      <c r="J94" s="3">
        <v>-0.89</v>
      </c>
      <c r="K94" s="14">
        <v>-26</v>
      </c>
      <c r="L94" t="s">
        <v>1</v>
      </c>
    </row>
    <row r="95" spans="1:12" x14ac:dyDescent="0.25">
      <c r="A95" s="7">
        <v>46221.5</v>
      </c>
      <c r="B95" t="s">
        <v>15</v>
      </c>
      <c r="C95" t="s">
        <v>2481</v>
      </c>
      <c r="D95" t="s">
        <v>181</v>
      </c>
      <c r="E95" t="s">
        <v>3813</v>
      </c>
      <c r="F95" t="s">
        <v>72</v>
      </c>
      <c r="G95">
        <v>1</v>
      </c>
      <c r="H95" s="3">
        <v>1.9</v>
      </c>
      <c r="I95" s="3">
        <v>2.34</v>
      </c>
      <c r="J95" s="3">
        <v>-0.83</v>
      </c>
      <c r="K95" s="14">
        <v>-43.68</v>
      </c>
      <c r="L95" t="s">
        <v>1</v>
      </c>
    </row>
    <row r="96" spans="1:12" x14ac:dyDescent="0.25">
      <c r="A96" s="7">
        <v>46221.5</v>
      </c>
      <c r="B96" t="s">
        <v>16</v>
      </c>
      <c r="C96" t="s">
        <v>3228</v>
      </c>
      <c r="D96" t="s">
        <v>173</v>
      </c>
      <c r="E96" t="s">
        <v>3811</v>
      </c>
      <c r="F96" t="s">
        <v>63</v>
      </c>
      <c r="G96">
        <v>1</v>
      </c>
      <c r="H96" s="3">
        <v>4.25</v>
      </c>
      <c r="I96" s="3">
        <v>5.53</v>
      </c>
      <c r="J96" s="3">
        <v>-0.18</v>
      </c>
      <c r="K96" s="14">
        <v>-4.31</v>
      </c>
      <c r="L96" t="s">
        <v>1</v>
      </c>
    </row>
    <row r="97" spans="1:12" x14ac:dyDescent="0.25">
      <c r="A97" s="7">
        <v>46220.5</v>
      </c>
      <c r="B97" t="s">
        <v>12</v>
      </c>
      <c r="C97" t="s">
        <v>260</v>
      </c>
      <c r="D97" t="s">
        <v>181</v>
      </c>
      <c r="E97" t="s">
        <v>3813</v>
      </c>
      <c r="F97" t="s">
        <v>72</v>
      </c>
      <c r="G97">
        <v>4</v>
      </c>
      <c r="H97" s="3">
        <v>7.6</v>
      </c>
      <c r="I97" s="3">
        <v>8.89</v>
      </c>
      <c r="J97" s="3">
        <v>-0.69</v>
      </c>
      <c r="K97" s="14">
        <v>-9.04</v>
      </c>
      <c r="L97" t="s">
        <v>1</v>
      </c>
    </row>
    <row r="98" spans="1:12" x14ac:dyDescent="0.25">
      <c r="A98" s="7">
        <v>46220.5</v>
      </c>
      <c r="B98" t="s">
        <v>12</v>
      </c>
      <c r="C98" t="s">
        <v>261</v>
      </c>
      <c r="D98" t="s">
        <v>181</v>
      </c>
      <c r="E98" t="s">
        <v>3813</v>
      </c>
      <c r="F98" t="s">
        <v>72</v>
      </c>
      <c r="G98">
        <v>3</v>
      </c>
      <c r="H98" s="3">
        <v>5.7</v>
      </c>
      <c r="I98" s="3">
        <v>7.52</v>
      </c>
      <c r="J98" s="3">
        <v>-0.13</v>
      </c>
      <c r="K98" s="14">
        <v>-2.24</v>
      </c>
      <c r="L98" t="s">
        <v>1</v>
      </c>
    </row>
    <row r="99" spans="1:12" x14ac:dyDescent="0.25">
      <c r="A99" s="7">
        <v>46220.5</v>
      </c>
      <c r="B99" t="s">
        <v>16</v>
      </c>
      <c r="C99" t="s">
        <v>3231</v>
      </c>
      <c r="D99" t="s">
        <v>173</v>
      </c>
      <c r="E99" t="s">
        <v>3811</v>
      </c>
      <c r="F99" t="s">
        <v>63</v>
      </c>
      <c r="G99">
        <v>1</v>
      </c>
      <c r="H99" s="3">
        <v>4.25</v>
      </c>
      <c r="I99" s="3">
        <v>5.31</v>
      </c>
      <c r="J99" s="3">
        <v>-0.36</v>
      </c>
      <c r="K99" s="14">
        <v>-8.39</v>
      </c>
      <c r="L99" t="s">
        <v>1</v>
      </c>
    </row>
    <row r="100" spans="1:12" x14ac:dyDescent="0.25">
      <c r="A100" s="7">
        <v>46219.5</v>
      </c>
      <c r="B100" t="s">
        <v>13</v>
      </c>
      <c r="C100" t="s">
        <v>932</v>
      </c>
      <c r="D100" t="s">
        <v>176</v>
      </c>
      <c r="E100" t="s">
        <v>3812</v>
      </c>
      <c r="F100" t="s">
        <v>77</v>
      </c>
      <c r="G100">
        <v>3</v>
      </c>
      <c r="H100" s="3">
        <v>0.45</v>
      </c>
      <c r="I100" s="3">
        <v>0.59</v>
      </c>
      <c r="J100" s="3">
        <v>-9.94</v>
      </c>
      <c r="K100" s="14">
        <v>-2208.5</v>
      </c>
      <c r="L100" t="s">
        <v>1</v>
      </c>
    </row>
    <row r="101" spans="1:12" x14ac:dyDescent="0.25">
      <c r="A101" s="7">
        <v>46219.5</v>
      </c>
      <c r="B101" t="s">
        <v>13</v>
      </c>
      <c r="C101" t="s">
        <v>933</v>
      </c>
      <c r="D101" t="s">
        <v>181</v>
      </c>
      <c r="E101" t="s">
        <v>3813</v>
      </c>
      <c r="F101" t="s">
        <v>72</v>
      </c>
      <c r="G101">
        <v>2</v>
      </c>
      <c r="H101" s="3">
        <v>3.8</v>
      </c>
      <c r="I101" s="3">
        <v>5.21</v>
      </c>
      <c r="J101" s="3">
        <v>-9.39</v>
      </c>
      <c r="K101" s="14">
        <v>-247.06</v>
      </c>
      <c r="L101" t="s">
        <v>1</v>
      </c>
    </row>
    <row r="102" spans="1:12" x14ac:dyDescent="0.25">
      <c r="A102" s="7">
        <v>46219.5</v>
      </c>
      <c r="B102" t="s">
        <v>14</v>
      </c>
      <c r="C102" t="s">
        <v>1703</v>
      </c>
      <c r="D102" t="s">
        <v>188</v>
      </c>
      <c r="E102" t="s">
        <v>3810</v>
      </c>
      <c r="F102" t="s">
        <v>63</v>
      </c>
      <c r="G102">
        <v>4</v>
      </c>
      <c r="H102" s="3">
        <v>14</v>
      </c>
      <c r="I102" s="3">
        <v>16.1</v>
      </c>
      <c r="J102" s="3">
        <v>-1</v>
      </c>
      <c r="K102" s="14">
        <v>-6.2</v>
      </c>
      <c r="L102" t="s">
        <v>1</v>
      </c>
    </row>
    <row r="103" spans="1:12" x14ac:dyDescent="0.25">
      <c r="A103" s="7">
        <v>46219.5</v>
      </c>
      <c r="B103" t="s">
        <v>14</v>
      </c>
      <c r="C103" t="s">
        <v>1704</v>
      </c>
      <c r="D103" t="s">
        <v>253</v>
      </c>
      <c r="E103" t="s">
        <v>3815</v>
      </c>
      <c r="F103" t="s">
        <v>57</v>
      </c>
      <c r="G103">
        <v>1</v>
      </c>
      <c r="H103" s="3">
        <v>0.8</v>
      </c>
      <c r="I103" s="3">
        <v>1.14</v>
      </c>
      <c r="J103" s="3">
        <v>-1.29</v>
      </c>
      <c r="K103" s="14">
        <v>-112.84</v>
      </c>
      <c r="L103" t="s">
        <v>1</v>
      </c>
    </row>
    <row r="104" spans="1:12" x14ac:dyDescent="0.25">
      <c r="A104" s="7">
        <v>46219.5</v>
      </c>
      <c r="B104" t="s">
        <v>14</v>
      </c>
      <c r="C104" t="s">
        <v>1705</v>
      </c>
      <c r="D104" t="s">
        <v>181</v>
      </c>
      <c r="E104" t="s">
        <v>3813</v>
      </c>
      <c r="F104" t="s">
        <v>72</v>
      </c>
      <c r="G104">
        <v>2</v>
      </c>
      <c r="H104" s="3">
        <v>3.8</v>
      </c>
      <c r="I104" s="3">
        <v>4.94</v>
      </c>
      <c r="J104" s="3">
        <v>-0.92</v>
      </c>
      <c r="K104" s="14">
        <v>-18.6</v>
      </c>
      <c r="L104" t="s">
        <v>1</v>
      </c>
    </row>
    <row r="105" spans="1:12" x14ac:dyDescent="0.25">
      <c r="A105" s="7">
        <v>46219.5</v>
      </c>
      <c r="B105" t="s">
        <v>16</v>
      </c>
      <c r="C105" t="s">
        <v>3236</v>
      </c>
      <c r="D105" t="s">
        <v>173</v>
      </c>
      <c r="E105" t="s">
        <v>3811</v>
      </c>
      <c r="F105" t="s">
        <v>63</v>
      </c>
      <c r="G105">
        <v>4</v>
      </c>
      <c r="H105" s="3">
        <v>17</v>
      </c>
      <c r="I105" s="3">
        <v>20.06</v>
      </c>
      <c r="J105" s="3">
        <v>0.63</v>
      </c>
      <c r="K105" s="14">
        <v>3.71</v>
      </c>
      <c r="L105" t="s">
        <v>1</v>
      </c>
    </row>
    <row r="106" spans="1:12" x14ac:dyDescent="0.25">
      <c r="A106" s="7">
        <v>46218.5</v>
      </c>
      <c r="B106" t="s">
        <v>12</v>
      </c>
      <c r="C106" t="s">
        <v>274</v>
      </c>
      <c r="D106" t="s">
        <v>176</v>
      </c>
      <c r="E106" t="s">
        <v>3812</v>
      </c>
      <c r="F106" t="s">
        <v>77</v>
      </c>
      <c r="G106">
        <v>4</v>
      </c>
      <c r="H106" s="3">
        <v>0.6</v>
      </c>
      <c r="I106" s="3">
        <v>0.8</v>
      </c>
      <c r="J106" s="3">
        <v>-0.9</v>
      </c>
      <c r="K106" s="14">
        <v>-150.31</v>
      </c>
      <c r="L106" t="s">
        <v>1</v>
      </c>
    </row>
    <row r="107" spans="1:12" x14ac:dyDescent="0.25">
      <c r="A107" s="7">
        <v>46218.5</v>
      </c>
      <c r="B107" t="s">
        <v>12</v>
      </c>
      <c r="C107" t="s">
        <v>275</v>
      </c>
      <c r="D107" t="s">
        <v>176</v>
      </c>
      <c r="E107" t="s">
        <v>3812</v>
      </c>
      <c r="F107" t="s">
        <v>77</v>
      </c>
      <c r="G107">
        <v>2</v>
      </c>
      <c r="H107" s="3">
        <v>0.3</v>
      </c>
      <c r="I107" s="3">
        <v>0.34</v>
      </c>
      <c r="J107" s="3">
        <v>-1</v>
      </c>
      <c r="K107" s="14">
        <v>-331.93</v>
      </c>
      <c r="L107" t="s">
        <v>1</v>
      </c>
    </row>
    <row r="108" spans="1:12" x14ac:dyDescent="0.25">
      <c r="A108" s="7">
        <v>46218.5</v>
      </c>
      <c r="B108" t="s">
        <v>14</v>
      </c>
      <c r="C108" t="s">
        <v>1716</v>
      </c>
      <c r="D108" t="s">
        <v>188</v>
      </c>
      <c r="E108" t="s">
        <v>3810</v>
      </c>
      <c r="F108" t="s">
        <v>63</v>
      </c>
      <c r="G108">
        <v>1</v>
      </c>
      <c r="H108" s="3">
        <v>3.5</v>
      </c>
      <c r="I108" s="3">
        <v>5</v>
      </c>
      <c r="J108" s="3">
        <v>-0.62</v>
      </c>
      <c r="K108" s="14">
        <v>-12.47</v>
      </c>
      <c r="L108" t="s">
        <v>1</v>
      </c>
    </row>
    <row r="109" spans="1:12" x14ac:dyDescent="0.25">
      <c r="A109" s="7">
        <v>46218.5</v>
      </c>
      <c r="B109" t="s">
        <v>14</v>
      </c>
      <c r="C109" t="s">
        <v>1717</v>
      </c>
      <c r="D109" t="s">
        <v>253</v>
      </c>
      <c r="E109" t="s">
        <v>3815</v>
      </c>
      <c r="F109" t="s">
        <v>57</v>
      </c>
      <c r="G109">
        <v>3</v>
      </c>
      <c r="H109" s="3">
        <v>2.4</v>
      </c>
      <c r="I109" s="3">
        <v>3.48</v>
      </c>
      <c r="J109" s="3">
        <v>-0.85</v>
      </c>
      <c r="K109" s="14">
        <v>-24.54</v>
      </c>
      <c r="L109" t="s">
        <v>1</v>
      </c>
    </row>
    <row r="110" spans="1:12" x14ac:dyDescent="0.25">
      <c r="A110" s="7">
        <v>46218.5</v>
      </c>
      <c r="B110" t="s">
        <v>15</v>
      </c>
      <c r="C110" t="s">
        <v>2497</v>
      </c>
      <c r="D110" t="s">
        <v>253</v>
      </c>
      <c r="E110" t="s">
        <v>3815</v>
      </c>
      <c r="F110" t="s">
        <v>57</v>
      </c>
      <c r="G110">
        <v>1</v>
      </c>
      <c r="H110" s="3">
        <v>0.8</v>
      </c>
      <c r="I110" s="3">
        <v>1.11</v>
      </c>
      <c r="J110" s="3">
        <v>-0.83</v>
      </c>
      <c r="K110" s="14">
        <v>-104.36</v>
      </c>
      <c r="L110" t="s">
        <v>1</v>
      </c>
    </row>
    <row r="111" spans="1:12" x14ac:dyDescent="0.25">
      <c r="A111" s="7">
        <v>46218.5</v>
      </c>
      <c r="B111" t="s">
        <v>15</v>
      </c>
      <c r="C111" t="s">
        <v>2498</v>
      </c>
      <c r="D111" t="s">
        <v>253</v>
      </c>
      <c r="E111" t="s">
        <v>3815</v>
      </c>
      <c r="F111" t="s">
        <v>57</v>
      </c>
      <c r="G111">
        <v>1</v>
      </c>
      <c r="H111" s="3">
        <v>0.8</v>
      </c>
      <c r="I111" s="3">
        <v>1.05</v>
      </c>
      <c r="J111" s="3">
        <v>-0.88</v>
      </c>
      <c r="K111" s="14">
        <v>-109.98</v>
      </c>
      <c r="L111" t="s">
        <v>1</v>
      </c>
    </row>
    <row r="112" spans="1:12" x14ac:dyDescent="0.25">
      <c r="A112" s="7">
        <v>46218.5</v>
      </c>
      <c r="B112" t="s">
        <v>15</v>
      </c>
      <c r="C112" t="s">
        <v>2499</v>
      </c>
      <c r="D112" t="s">
        <v>184</v>
      </c>
      <c r="E112" t="s">
        <v>3814</v>
      </c>
      <c r="F112" t="s">
        <v>101</v>
      </c>
      <c r="G112">
        <v>1</v>
      </c>
      <c r="H112" s="3">
        <v>1.2</v>
      </c>
      <c r="I112" s="3">
        <v>1.51</v>
      </c>
      <c r="J112" s="3">
        <v>-0.87</v>
      </c>
      <c r="K112" s="14">
        <v>-72.38</v>
      </c>
      <c r="L112" t="s">
        <v>1</v>
      </c>
    </row>
    <row r="113" spans="1:12" x14ac:dyDescent="0.25">
      <c r="A113" s="7">
        <v>46218.5</v>
      </c>
      <c r="B113" t="s">
        <v>16</v>
      </c>
      <c r="C113" t="s">
        <v>3248</v>
      </c>
      <c r="D113" t="s">
        <v>181</v>
      </c>
      <c r="E113" t="s">
        <v>3813</v>
      </c>
      <c r="F113" t="s">
        <v>72</v>
      </c>
      <c r="G113">
        <v>1</v>
      </c>
      <c r="H113" s="3">
        <v>1.9</v>
      </c>
      <c r="I113" s="3">
        <v>2.56</v>
      </c>
      <c r="J113" s="3">
        <v>-0.57</v>
      </c>
      <c r="K113" s="14">
        <v>-30</v>
      </c>
      <c r="L113" t="s">
        <v>1</v>
      </c>
    </row>
    <row r="114" spans="1:12" x14ac:dyDescent="0.25">
      <c r="A114" s="7">
        <v>46217.5</v>
      </c>
      <c r="B114" t="s">
        <v>12</v>
      </c>
      <c r="C114" t="s">
        <v>278</v>
      </c>
      <c r="D114" t="s">
        <v>176</v>
      </c>
      <c r="E114" t="s">
        <v>3812</v>
      </c>
      <c r="F114" t="s">
        <v>77</v>
      </c>
      <c r="G114">
        <v>4</v>
      </c>
      <c r="H114" s="3">
        <v>0.6</v>
      </c>
      <c r="I114" s="3">
        <v>0.73</v>
      </c>
      <c r="J114" s="3">
        <v>-0.95</v>
      </c>
      <c r="K114" s="14">
        <v>-159.04</v>
      </c>
      <c r="L114" t="s">
        <v>1</v>
      </c>
    </row>
    <row r="115" spans="1:12" x14ac:dyDescent="0.25">
      <c r="A115" s="7">
        <v>46217.5</v>
      </c>
      <c r="B115" t="s">
        <v>14</v>
      </c>
      <c r="C115" t="s">
        <v>1722</v>
      </c>
      <c r="D115" t="s">
        <v>253</v>
      </c>
      <c r="E115" t="s">
        <v>3815</v>
      </c>
      <c r="F115" t="s">
        <v>57</v>
      </c>
      <c r="G115">
        <v>1</v>
      </c>
      <c r="H115" s="3">
        <v>0.8</v>
      </c>
      <c r="I115" s="3">
        <v>0.95</v>
      </c>
      <c r="J115" s="3">
        <v>-1.43</v>
      </c>
      <c r="K115" s="14">
        <v>-150.5</v>
      </c>
      <c r="L115" t="s">
        <v>1</v>
      </c>
    </row>
    <row r="116" spans="1:12" x14ac:dyDescent="0.25">
      <c r="A116" s="7">
        <v>46217.5</v>
      </c>
      <c r="B116" t="s">
        <v>15</v>
      </c>
      <c r="C116" t="s">
        <v>2508</v>
      </c>
      <c r="D116" t="s">
        <v>173</v>
      </c>
      <c r="E116" t="s">
        <v>3811</v>
      </c>
      <c r="F116" t="s">
        <v>63</v>
      </c>
      <c r="G116">
        <v>1</v>
      </c>
      <c r="H116" s="3">
        <v>4.25</v>
      </c>
      <c r="I116" s="3">
        <v>4.97</v>
      </c>
      <c r="J116" s="3">
        <v>-0.82</v>
      </c>
      <c r="K116" s="14">
        <v>-19.24</v>
      </c>
      <c r="L116" t="s">
        <v>1</v>
      </c>
    </row>
    <row r="117" spans="1:12" x14ac:dyDescent="0.25">
      <c r="A117" s="7">
        <v>46217.5</v>
      </c>
      <c r="B117" t="s">
        <v>15</v>
      </c>
      <c r="C117" t="s">
        <v>2509</v>
      </c>
      <c r="D117" t="s">
        <v>253</v>
      </c>
      <c r="E117" t="s">
        <v>3815</v>
      </c>
      <c r="F117" t="s">
        <v>57</v>
      </c>
      <c r="G117">
        <v>1</v>
      </c>
      <c r="H117" s="3">
        <v>0.8</v>
      </c>
      <c r="I117" s="3">
        <v>0.94</v>
      </c>
      <c r="J117" s="3">
        <v>-0.96</v>
      </c>
      <c r="K117" s="14">
        <v>-120.29</v>
      </c>
      <c r="L117" t="s">
        <v>1</v>
      </c>
    </row>
    <row r="118" spans="1:12" x14ac:dyDescent="0.25">
      <c r="A118" s="7">
        <v>46217.5</v>
      </c>
      <c r="B118" t="s">
        <v>15</v>
      </c>
      <c r="C118" t="s">
        <v>2510</v>
      </c>
      <c r="D118" t="s">
        <v>184</v>
      </c>
      <c r="E118" t="s">
        <v>3814</v>
      </c>
      <c r="F118" t="s">
        <v>101</v>
      </c>
      <c r="G118">
        <v>1</v>
      </c>
      <c r="H118" s="3">
        <v>1.2</v>
      </c>
      <c r="I118" s="3">
        <v>1.44</v>
      </c>
      <c r="J118" s="3">
        <v>-0.92</v>
      </c>
      <c r="K118" s="14">
        <v>-76.75</v>
      </c>
      <c r="L118" t="s">
        <v>1</v>
      </c>
    </row>
    <row r="119" spans="1:12" x14ac:dyDescent="0.25">
      <c r="A119" s="7">
        <v>46217.5</v>
      </c>
      <c r="B119" t="s">
        <v>16</v>
      </c>
      <c r="C119" t="s">
        <v>3262</v>
      </c>
      <c r="D119" t="s">
        <v>173</v>
      </c>
      <c r="E119" t="s">
        <v>3811</v>
      </c>
      <c r="F119" t="s">
        <v>63</v>
      </c>
      <c r="G119">
        <v>1</v>
      </c>
      <c r="H119" s="3">
        <v>4.25</v>
      </c>
      <c r="I119" s="3">
        <v>5.06</v>
      </c>
      <c r="J119" s="3">
        <v>-0.56</v>
      </c>
      <c r="K119" s="14">
        <v>-13.06</v>
      </c>
      <c r="L119" t="s">
        <v>1</v>
      </c>
    </row>
    <row r="120" spans="1:12" x14ac:dyDescent="0.25">
      <c r="A120" s="7">
        <v>46217.5</v>
      </c>
      <c r="B120" t="s">
        <v>16</v>
      </c>
      <c r="C120" t="s">
        <v>3263</v>
      </c>
      <c r="D120" t="s">
        <v>253</v>
      </c>
      <c r="E120" t="s">
        <v>3815</v>
      </c>
      <c r="F120" t="s">
        <v>57</v>
      </c>
      <c r="G120">
        <v>2</v>
      </c>
      <c r="H120" s="3">
        <v>1.6</v>
      </c>
      <c r="I120" s="3">
        <v>1.89</v>
      </c>
      <c r="J120" s="3">
        <v>-0.85</v>
      </c>
      <c r="K120" s="14">
        <v>-53.02</v>
      </c>
      <c r="L120" t="s">
        <v>1</v>
      </c>
    </row>
    <row r="121" spans="1:12" x14ac:dyDescent="0.25">
      <c r="A121" s="7">
        <v>46217.5</v>
      </c>
      <c r="B121" t="s">
        <v>16</v>
      </c>
      <c r="C121" t="s">
        <v>3264</v>
      </c>
      <c r="D121" t="s">
        <v>181</v>
      </c>
      <c r="E121" t="s">
        <v>3813</v>
      </c>
      <c r="F121" t="s">
        <v>72</v>
      </c>
      <c r="G121">
        <v>2</v>
      </c>
      <c r="H121" s="3">
        <v>3.8</v>
      </c>
      <c r="I121" s="3">
        <v>4.94</v>
      </c>
      <c r="J121" s="3">
        <v>-0.28</v>
      </c>
      <c r="K121" s="14">
        <v>-7.37</v>
      </c>
      <c r="L121" t="s">
        <v>1</v>
      </c>
    </row>
    <row r="122" spans="1:12" x14ac:dyDescent="0.25">
      <c r="A122" s="7">
        <v>46216.5</v>
      </c>
      <c r="B122" t="s">
        <v>12</v>
      </c>
      <c r="C122" t="s">
        <v>281</v>
      </c>
      <c r="D122" t="s">
        <v>188</v>
      </c>
      <c r="E122" t="s">
        <v>3810</v>
      </c>
      <c r="F122" t="s">
        <v>63</v>
      </c>
      <c r="G122">
        <v>3</v>
      </c>
      <c r="H122" s="3">
        <v>10.5</v>
      </c>
      <c r="I122" s="3">
        <v>14.91</v>
      </c>
      <c r="J122" s="3">
        <v>1.4</v>
      </c>
      <c r="K122" s="14">
        <v>13.31</v>
      </c>
      <c r="L122" t="s">
        <v>1</v>
      </c>
    </row>
    <row r="123" spans="1:12" x14ac:dyDescent="0.25">
      <c r="A123" s="7">
        <v>46216.5</v>
      </c>
      <c r="B123" t="s">
        <v>12</v>
      </c>
      <c r="C123" t="s">
        <v>282</v>
      </c>
      <c r="D123" t="s">
        <v>188</v>
      </c>
      <c r="E123" t="s">
        <v>3810</v>
      </c>
      <c r="F123" t="s">
        <v>63</v>
      </c>
      <c r="G123">
        <v>4</v>
      </c>
      <c r="H123" s="3">
        <v>14</v>
      </c>
      <c r="I123" s="3">
        <v>16.38</v>
      </c>
      <c r="J123" s="3">
        <v>-0.42</v>
      </c>
      <c r="K123" s="14">
        <v>-3</v>
      </c>
      <c r="L123" t="s">
        <v>1</v>
      </c>
    </row>
    <row r="124" spans="1:12" x14ac:dyDescent="0.25">
      <c r="A124" s="7">
        <v>46216.5</v>
      </c>
      <c r="B124" t="s">
        <v>13</v>
      </c>
      <c r="C124" t="s">
        <v>955</v>
      </c>
      <c r="D124" t="s">
        <v>184</v>
      </c>
      <c r="E124" t="s">
        <v>3814</v>
      </c>
      <c r="F124" t="s">
        <v>101</v>
      </c>
      <c r="G124">
        <v>4</v>
      </c>
      <c r="H124" s="3">
        <v>4.8</v>
      </c>
      <c r="I124" s="3">
        <v>6.67</v>
      </c>
      <c r="J124" s="3">
        <v>-9.17</v>
      </c>
      <c r="K124" s="14">
        <v>-190.95</v>
      </c>
      <c r="L124" t="s">
        <v>1</v>
      </c>
    </row>
    <row r="125" spans="1:12" x14ac:dyDescent="0.25">
      <c r="A125" s="7">
        <v>46216.5</v>
      </c>
      <c r="B125" t="s">
        <v>14</v>
      </c>
      <c r="C125" t="s">
        <v>1741</v>
      </c>
      <c r="D125" t="s">
        <v>188</v>
      </c>
      <c r="E125" t="s">
        <v>3810</v>
      </c>
      <c r="F125" t="s">
        <v>63</v>
      </c>
      <c r="G125">
        <v>1</v>
      </c>
      <c r="H125" s="3">
        <v>3.5</v>
      </c>
      <c r="I125" s="3">
        <v>4.06</v>
      </c>
      <c r="J125" s="3">
        <v>-1.33</v>
      </c>
      <c r="K125" s="14">
        <v>-32.83</v>
      </c>
      <c r="L125" t="s">
        <v>1</v>
      </c>
    </row>
    <row r="126" spans="1:12" x14ac:dyDescent="0.25">
      <c r="A126" s="7">
        <v>46216.5</v>
      </c>
      <c r="B126" t="s">
        <v>14</v>
      </c>
      <c r="C126" t="s">
        <v>1742</v>
      </c>
      <c r="D126" t="s">
        <v>176</v>
      </c>
      <c r="E126" t="s">
        <v>3812</v>
      </c>
      <c r="F126" t="s">
        <v>77</v>
      </c>
      <c r="G126">
        <v>4</v>
      </c>
      <c r="H126" s="3">
        <v>0.6</v>
      </c>
      <c r="I126" s="3">
        <v>0.79</v>
      </c>
      <c r="J126" s="3">
        <v>-1.38</v>
      </c>
      <c r="K126" s="14">
        <v>-175.17</v>
      </c>
      <c r="L126" t="s">
        <v>1</v>
      </c>
    </row>
    <row r="127" spans="1:12" x14ac:dyDescent="0.25">
      <c r="A127" s="7">
        <v>46216.5</v>
      </c>
      <c r="B127" t="s">
        <v>14</v>
      </c>
      <c r="C127" t="s">
        <v>1743</v>
      </c>
      <c r="D127" t="s">
        <v>176</v>
      </c>
      <c r="E127" t="s">
        <v>3812</v>
      </c>
      <c r="F127" t="s">
        <v>77</v>
      </c>
      <c r="G127">
        <v>1</v>
      </c>
      <c r="H127" s="3">
        <v>0.15</v>
      </c>
      <c r="I127" s="3">
        <v>0.19</v>
      </c>
      <c r="J127" s="3">
        <v>-1.46</v>
      </c>
      <c r="K127" s="14">
        <v>-769.28</v>
      </c>
      <c r="L127" t="s">
        <v>1</v>
      </c>
    </row>
    <row r="128" spans="1:12" x14ac:dyDescent="0.25">
      <c r="A128" s="7">
        <v>46216.5</v>
      </c>
      <c r="B128" t="s">
        <v>15</v>
      </c>
      <c r="C128" t="s">
        <v>2523</v>
      </c>
      <c r="D128" t="s">
        <v>188</v>
      </c>
      <c r="E128" t="s">
        <v>3810</v>
      </c>
      <c r="F128" t="s">
        <v>63</v>
      </c>
      <c r="G128">
        <v>1</v>
      </c>
      <c r="H128" s="3">
        <v>3.5</v>
      </c>
      <c r="I128" s="3">
        <v>4.66</v>
      </c>
      <c r="J128" s="3">
        <v>-0.42</v>
      </c>
      <c r="K128" s="14">
        <v>-12.14</v>
      </c>
      <c r="L128" t="s">
        <v>1</v>
      </c>
    </row>
    <row r="129" spans="1:12" x14ac:dyDescent="0.25">
      <c r="A129" s="7">
        <v>46216.5</v>
      </c>
      <c r="B129" t="s">
        <v>15</v>
      </c>
      <c r="C129" t="s">
        <v>2524</v>
      </c>
      <c r="D129" t="s">
        <v>173</v>
      </c>
      <c r="E129" t="s">
        <v>3811</v>
      </c>
      <c r="F129" t="s">
        <v>63</v>
      </c>
      <c r="G129">
        <v>1</v>
      </c>
      <c r="H129" s="3">
        <v>4.25</v>
      </c>
      <c r="I129" s="3">
        <v>5.91</v>
      </c>
      <c r="J129" s="3">
        <v>-0.11</v>
      </c>
      <c r="K129" s="14">
        <v>-2.66</v>
      </c>
      <c r="L129" t="s">
        <v>1</v>
      </c>
    </row>
    <row r="130" spans="1:12" x14ac:dyDescent="0.25">
      <c r="A130" s="7">
        <v>46216.5</v>
      </c>
      <c r="B130" t="s">
        <v>15</v>
      </c>
      <c r="C130" t="s">
        <v>2525</v>
      </c>
      <c r="D130" t="s">
        <v>184</v>
      </c>
      <c r="E130" t="s">
        <v>3814</v>
      </c>
      <c r="F130" t="s">
        <v>101</v>
      </c>
      <c r="G130">
        <v>1</v>
      </c>
      <c r="H130" s="3">
        <v>1.2</v>
      </c>
      <c r="I130" s="3">
        <v>1.63</v>
      </c>
      <c r="J130" s="3">
        <v>-0.78</v>
      </c>
      <c r="K130" s="14">
        <v>-64.88</v>
      </c>
      <c r="L130" t="s">
        <v>1</v>
      </c>
    </row>
    <row r="131" spans="1:12" x14ac:dyDescent="0.25">
      <c r="A131" s="7">
        <v>46216.5</v>
      </c>
      <c r="B131" t="s">
        <v>15</v>
      </c>
      <c r="C131" t="s">
        <v>2526</v>
      </c>
      <c r="D131" t="s">
        <v>184</v>
      </c>
      <c r="E131" t="s">
        <v>3814</v>
      </c>
      <c r="F131" t="s">
        <v>101</v>
      </c>
      <c r="G131">
        <v>1</v>
      </c>
      <c r="H131" s="3">
        <v>1.2</v>
      </c>
      <c r="I131" s="3">
        <v>1.63</v>
      </c>
      <c r="J131" s="3">
        <v>-0.78</v>
      </c>
      <c r="K131" s="14">
        <v>-64.88</v>
      </c>
      <c r="L131" t="s">
        <v>1</v>
      </c>
    </row>
    <row r="132" spans="1:12" x14ac:dyDescent="0.25">
      <c r="A132" s="7">
        <v>46216.5</v>
      </c>
      <c r="B132" t="s">
        <v>16</v>
      </c>
      <c r="C132" t="s">
        <v>3270</v>
      </c>
      <c r="D132" t="s">
        <v>188</v>
      </c>
      <c r="E132" t="s">
        <v>3810</v>
      </c>
      <c r="F132" t="s">
        <v>63</v>
      </c>
      <c r="G132">
        <v>4</v>
      </c>
      <c r="H132" s="3">
        <v>14</v>
      </c>
      <c r="I132" s="3">
        <v>17.64</v>
      </c>
      <c r="J132" s="3">
        <v>1.22</v>
      </c>
      <c r="K132" s="14">
        <v>8.74</v>
      </c>
      <c r="L132" t="s">
        <v>1</v>
      </c>
    </row>
    <row r="133" spans="1:12" x14ac:dyDescent="0.25">
      <c r="A133" s="7">
        <v>46216.5</v>
      </c>
      <c r="B133" t="s">
        <v>16</v>
      </c>
      <c r="C133" t="s">
        <v>3271</v>
      </c>
      <c r="D133" t="s">
        <v>184</v>
      </c>
      <c r="E133" t="s">
        <v>3814</v>
      </c>
      <c r="F133" t="s">
        <v>101</v>
      </c>
      <c r="G133">
        <v>4</v>
      </c>
      <c r="H133" s="3">
        <v>4.8</v>
      </c>
      <c r="I133" s="3">
        <v>6.82</v>
      </c>
      <c r="J133" s="3">
        <v>0.37</v>
      </c>
      <c r="K133" s="14">
        <v>7.78</v>
      </c>
      <c r="L133" t="s">
        <v>1</v>
      </c>
    </row>
    <row r="134" spans="1:12" x14ac:dyDescent="0.25">
      <c r="A134" s="7">
        <v>46215.5</v>
      </c>
      <c r="B134" t="s">
        <v>13</v>
      </c>
      <c r="C134" t="s">
        <v>961</v>
      </c>
      <c r="D134" t="s">
        <v>173</v>
      </c>
      <c r="E134" t="s">
        <v>3811</v>
      </c>
      <c r="F134" t="s">
        <v>63</v>
      </c>
      <c r="G134">
        <v>2</v>
      </c>
      <c r="H134" s="3">
        <v>8.5</v>
      </c>
      <c r="I134" s="3">
        <v>9.86</v>
      </c>
      <c r="J134" s="3">
        <v>-9.94</v>
      </c>
      <c r="K134" s="14">
        <v>-116.96</v>
      </c>
      <c r="L134" t="s">
        <v>1</v>
      </c>
    </row>
    <row r="135" spans="1:12" x14ac:dyDescent="0.25">
      <c r="A135" s="7">
        <v>46215.5</v>
      </c>
      <c r="B135" t="s">
        <v>13</v>
      </c>
      <c r="C135" t="s">
        <v>962</v>
      </c>
      <c r="D135" t="s">
        <v>184</v>
      </c>
      <c r="E135" t="s">
        <v>3814</v>
      </c>
      <c r="F135" t="s">
        <v>101</v>
      </c>
      <c r="G135">
        <v>2</v>
      </c>
      <c r="H135" s="3">
        <v>2.4</v>
      </c>
      <c r="I135" s="3">
        <v>2.83</v>
      </c>
      <c r="J135" s="3">
        <v>-9.94</v>
      </c>
      <c r="K135" s="14">
        <v>-414.29</v>
      </c>
      <c r="L135" t="s">
        <v>1</v>
      </c>
    </row>
    <row r="136" spans="1:12" x14ac:dyDescent="0.25">
      <c r="A136" s="7">
        <v>46214.5</v>
      </c>
      <c r="B136" t="s">
        <v>12</v>
      </c>
      <c r="C136" t="s">
        <v>294</v>
      </c>
      <c r="D136" t="s">
        <v>181</v>
      </c>
      <c r="E136" t="s">
        <v>3813</v>
      </c>
      <c r="F136" t="s">
        <v>72</v>
      </c>
      <c r="G136">
        <v>1</v>
      </c>
      <c r="H136" s="3">
        <v>1.9</v>
      </c>
      <c r="I136" s="3">
        <v>2.43</v>
      </c>
      <c r="J136" s="3">
        <v>-0.77</v>
      </c>
      <c r="K136" s="14">
        <v>-40.34</v>
      </c>
      <c r="L136" t="s">
        <v>1</v>
      </c>
    </row>
    <row r="137" spans="1:12" x14ac:dyDescent="0.25">
      <c r="A137" s="7">
        <v>46214.5</v>
      </c>
      <c r="B137" t="s">
        <v>13</v>
      </c>
      <c r="C137" t="s">
        <v>973</v>
      </c>
      <c r="D137" t="s">
        <v>184</v>
      </c>
      <c r="E137" t="s">
        <v>3814</v>
      </c>
      <c r="F137" t="s">
        <v>101</v>
      </c>
      <c r="G137">
        <v>2</v>
      </c>
      <c r="H137" s="3">
        <v>2.4</v>
      </c>
      <c r="I137" s="3">
        <v>3.26</v>
      </c>
      <c r="J137" s="3">
        <v>-9.63</v>
      </c>
      <c r="K137" s="14">
        <v>-401.33</v>
      </c>
      <c r="L137" t="s">
        <v>1</v>
      </c>
    </row>
    <row r="138" spans="1:12" x14ac:dyDescent="0.25">
      <c r="A138" s="7">
        <v>46214.5</v>
      </c>
      <c r="B138" t="s">
        <v>14</v>
      </c>
      <c r="C138" t="s">
        <v>1759</v>
      </c>
      <c r="D138" t="s">
        <v>188</v>
      </c>
      <c r="E138" t="s">
        <v>3810</v>
      </c>
      <c r="F138" t="s">
        <v>63</v>
      </c>
      <c r="G138">
        <v>4</v>
      </c>
      <c r="H138" s="3">
        <v>14</v>
      </c>
      <c r="I138" s="3">
        <v>17.5</v>
      </c>
      <c r="J138" s="3">
        <v>0.06</v>
      </c>
      <c r="K138" s="14">
        <v>0.34</v>
      </c>
      <c r="L138" t="s">
        <v>1</v>
      </c>
    </row>
    <row r="139" spans="1:12" x14ac:dyDescent="0.25">
      <c r="A139" s="7">
        <v>46214.5</v>
      </c>
      <c r="B139" t="s">
        <v>14</v>
      </c>
      <c r="C139" t="s">
        <v>1760</v>
      </c>
      <c r="D139" t="s">
        <v>173</v>
      </c>
      <c r="E139" t="s">
        <v>3811</v>
      </c>
      <c r="F139" t="s">
        <v>63</v>
      </c>
      <c r="G139">
        <v>4</v>
      </c>
      <c r="H139" s="3">
        <v>17</v>
      </c>
      <c r="I139" s="3">
        <v>24.65</v>
      </c>
      <c r="J139" s="3">
        <v>2.95</v>
      </c>
      <c r="K139" s="14">
        <v>11.98</v>
      </c>
      <c r="L139" t="s">
        <v>1</v>
      </c>
    </row>
    <row r="140" spans="1:12" x14ac:dyDescent="0.25">
      <c r="A140" s="7">
        <v>46214.5</v>
      </c>
      <c r="B140" t="s">
        <v>14</v>
      </c>
      <c r="C140" t="s">
        <v>1761</v>
      </c>
      <c r="D140" t="s">
        <v>181</v>
      </c>
      <c r="E140" t="s">
        <v>3813</v>
      </c>
      <c r="F140" t="s">
        <v>72</v>
      </c>
      <c r="G140">
        <v>2</v>
      </c>
      <c r="H140" s="3">
        <v>3.8</v>
      </c>
      <c r="I140" s="3">
        <v>4.83</v>
      </c>
      <c r="J140" s="3">
        <v>-1</v>
      </c>
      <c r="K140" s="14">
        <v>-20.74</v>
      </c>
      <c r="L140" t="s">
        <v>1</v>
      </c>
    </row>
    <row r="141" spans="1:12" x14ac:dyDescent="0.25">
      <c r="A141" s="7">
        <v>46214.5</v>
      </c>
      <c r="B141" t="s">
        <v>16</v>
      </c>
      <c r="C141" t="s">
        <v>3281</v>
      </c>
      <c r="D141" t="s">
        <v>253</v>
      </c>
      <c r="E141" t="s">
        <v>3815</v>
      </c>
      <c r="F141" t="s">
        <v>57</v>
      </c>
      <c r="G141">
        <v>1</v>
      </c>
      <c r="H141" s="3">
        <v>0.8</v>
      </c>
      <c r="I141" s="3">
        <v>1.09</v>
      </c>
      <c r="J141" s="3">
        <v>-0.81</v>
      </c>
      <c r="K141" s="14">
        <v>-101.04</v>
      </c>
      <c r="L141" t="s">
        <v>1</v>
      </c>
    </row>
    <row r="142" spans="1:12" x14ac:dyDescent="0.25">
      <c r="A142" s="7">
        <v>46213.5</v>
      </c>
      <c r="B142" t="s">
        <v>12</v>
      </c>
      <c r="C142" t="s">
        <v>297</v>
      </c>
      <c r="D142" t="s">
        <v>188</v>
      </c>
      <c r="E142" t="s">
        <v>3810</v>
      </c>
      <c r="F142" t="s">
        <v>63</v>
      </c>
      <c r="G142">
        <v>1</v>
      </c>
      <c r="H142" s="3">
        <v>3.5</v>
      </c>
      <c r="I142" s="3">
        <v>4.02</v>
      </c>
      <c r="J142" s="3">
        <v>-0.91</v>
      </c>
      <c r="K142" s="14">
        <v>-26.03</v>
      </c>
      <c r="L142" t="s">
        <v>1</v>
      </c>
    </row>
    <row r="143" spans="1:12" x14ac:dyDescent="0.25">
      <c r="A143" s="7">
        <v>46213.5</v>
      </c>
      <c r="B143" t="s">
        <v>12</v>
      </c>
      <c r="C143" t="s">
        <v>298</v>
      </c>
      <c r="D143" t="s">
        <v>173</v>
      </c>
      <c r="E143" t="s">
        <v>3811</v>
      </c>
      <c r="F143" t="s">
        <v>63</v>
      </c>
      <c r="G143">
        <v>1</v>
      </c>
      <c r="H143" s="3">
        <v>4.25</v>
      </c>
      <c r="I143" s="3">
        <v>5.82</v>
      </c>
      <c r="J143" s="3">
        <v>-0.19</v>
      </c>
      <c r="K143" s="14">
        <v>-4.48</v>
      </c>
      <c r="L143" t="s">
        <v>1</v>
      </c>
    </row>
    <row r="144" spans="1:12" x14ac:dyDescent="0.25">
      <c r="A144" s="7">
        <v>46213.5</v>
      </c>
      <c r="B144" t="s">
        <v>13</v>
      </c>
      <c r="C144" t="s">
        <v>980</v>
      </c>
      <c r="D144" t="s">
        <v>176</v>
      </c>
      <c r="E144" t="s">
        <v>3812</v>
      </c>
      <c r="F144" t="s">
        <v>77</v>
      </c>
      <c r="G144">
        <v>4</v>
      </c>
      <c r="H144" s="3">
        <v>0.6</v>
      </c>
      <c r="I144" s="3">
        <v>0.86</v>
      </c>
      <c r="J144" s="3">
        <v>-9.87</v>
      </c>
      <c r="K144" s="14">
        <v>-1644.66</v>
      </c>
      <c r="L144" t="s">
        <v>1</v>
      </c>
    </row>
    <row r="145" spans="1:12" x14ac:dyDescent="0.25">
      <c r="A145" s="7">
        <v>46213.5</v>
      </c>
      <c r="B145" t="s">
        <v>13</v>
      </c>
      <c r="C145" t="s">
        <v>981</v>
      </c>
      <c r="D145" t="s">
        <v>253</v>
      </c>
      <c r="E145" t="s">
        <v>3815</v>
      </c>
      <c r="F145" t="s">
        <v>57</v>
      </c>
      <c r="G145">
        <v>4</v>
      </c>
      <c r="H145" s="3">
        <v>3.2</v>
      </c>
      <c r="I145" s="3">
        <v>3.9</v>
      </c>
      <c r="J145" s="3">
        <v>-9.84</v>
      </c>
      <c r="K145" s="14">
        <v>-307.37</v>
      </c>
      <c r="L145" t="s">
        <v>1</v>
      </c>
    </row>
    <row r="146" spans="1:12" x14ac:dyDescent="0.25">
      <c r="A146" s="7">
        <v>46213.5</v>
      </c>
      <c r="B146" t="s">
        <v>13</v>
      </c>
      <c r="C146" t="s">
        <v>982</v>
      </c>
      <c r="D146" t="s">
        <v>181</v>
      </c>
      <c r="E146" t="s">
        <v>3813</v>
      </c>
      <c r="F146" t="s">
        <v>72</v>
      </c>
      <c r="G146">
        <v>4</v>
      </c>
      <c r="H146" s="3">
        <v>7.6</v>
      </c>
      <c r="I146" s="3">
        <v>10.72</v>
      </c>
      <c r="J146" s="3">
        <v>-8.57</v>
      </c>
      <c r="K146" s="14">
        <v>-112.75</v>
      </c>
      <c r="L146" t="s">
        <v>1</v>
      </c>
    </row>
    <row r="147" spans="1:12" x14ac:dyDescent="0.25">
      <c r="A147" s="7">
        <v>46213.5</v>
      </c>
      <c r="B147" t="s">
        <v>15</v>
      </c>
      <c r="C147" t="s">
        <v>2549</v>
      </c>
      <c r="D147" t="s">
        <v>173</v>
      </c>
      <c r="E147" t="s">
        <v>3811</v>
      </c>
      <c r="F147" t="s">
        <v>63</v>
      </c>
      <c r="G147">
        <v>1</v>
      </c>
      <c r="H147" s="3">
        <v>4.25</v>
      </c>
      <c r="I147" s="3">
        <v>5.86</v>
      </c>
      <c r="J147" s="3">
        <v>-0.15</v>
      </c>
      <c r="K147" s="14">
        <v>-3.54</v>
      </c>
      <c r="L147" t="s">
        <v>1</v>
      </c>
    </row>
    <row r="148" spans="1:12" x14ac:dyDescent="0.25">
      <c r="A148" s="7">
        <v>46213.5</v>
      </c>
      <c r="B148" t="s">
        <v>16</v>
      </c>
      <c r="C148" t="s">
        <v>3290</v>
      </c>
      <c r="D148" t="s">
        <v>253</v>
      </c>
      <c r="E148" t="s">
        <v>3815</v>
      </c>
      <c r="F148" t="s">
        <v>57</v>
      </c>
      <c r="G148">
        <v>4</v>
      </c>
      <c r="H148" s="3">
        <v>3.2</v>
      </c>
      <c r="I148" s="3">
        <v>4.45</v>
      </c>
      <c r="J148" s="3">
        <v>-0.17</v>
      </c>
      <c r="K148" s="14">
        <v>-5.26</v>
      </c>
      <c r="L148" t="s">
        <v>1</v>
      </c>
    </row>
    <row r="149" spans="1:12" x14ac:dyDescent="0.25">
      <c r="A149" s="7">
        <v>46213.5</v>
      </c>
      <c r="B149" t="s">
        <v>16</v>
      </c>
      <c r="C149" t="s">
        <v>3291</v>
      </c>
      <c r="D149" t="s">
        <v>181</v>
      </c>
      <c r="E149" t="s">
        <v>3813</v>
      </c>
      <c r="F149" t="s">
        <v>72</v>
      </c>
      <c r="G149">
        <v>4</v>
      </c>
      <c r="H149" s="3">
        <v>7.6</v>
      </c>
      <c r="I149" s="3">
        <v>9.04</v>
      </c>
      <c r="J149" s="3">
        <v>-0.22</v>
      </c>
      <c r="K149" s="14">
        <v>-2.9</v>
      </c>
      <c r="L149" t="s">
        <v>1</v>
      </c>
    </row>
    <row r="150" spans="1:12" x14ac:dyDescent="0.25">
      <c r="A150" s="7">
        <v>46213.5</v>
      </c>
      <c r="B150" t="s">
        <v>16</v>
      </c>
      <c r="C150" t="s">
        <v>3292</v>
      </c>
      <c r="D150" t="s">
        <v>184</v>
      </c>
      <c r="E150" t="s">
        <v>3814</v>
      </c>
      <c r="F150" t="s">
        <v>101</v>
      </c>
      <c r="G150">
        <v>3</v>
      </c>
      <c r="H150" s="3">
        <v>3.6</v>
      </c>
      <c r="I150" s="3">
        <v>5</v>
      </c>
      <c r="J150" s="3">
        <v>-0.06</v>
      </c>
      <c r="K150" s="14">
        <v>-1.76</v>
      </c>
      <c r="L150" t="s">
        <v>1</v>
      </c>
    </row>
    <row r="151" spans="1:12" x14ac:dyDescent="0.25">
      <c r="A151" s="7">
        <v>46213.5</v>
      </c>
      <c r="B151" t="s">
        <v>16</v>
      </c>
      <c r="C151" t="s">
        <v>3289</v>
      </c>
      <c r="D151" t="s">
        <v>184</v>
      </c>
      <c r="E151" t="s">
        <v>3814</v>
      </c>
      <c r="F151" t="s">
        <v>101</v>
      </c>
      <c r="G151">
        <v>1</v>
      </c>
      <c r="H151" s="3">
        <v>1.2</v>
      </c>
      <c r="I151" s="3">
        <v>1.55</v>
      </c>
      <c r="J151" s="3">
        <v>-0.78</v>
      </c>
      <c r="K151" s="14">
        <v>-64.86</v>
      </c>
      <c r="L151" t="s">
        <v>1</v>
      </c>
    </row>
    <row r="152" spans="1:12" x14ac:dyDescent="0.25">
      <c r="A152" s="7">
        <v>46212.5</v>
      </c>
      <c r="B152" t="s">
        <v>15</v>
      </c>
      <c r="C152" t="s">
        <v>2561</v>
      </c>
      <c r="D152" t="s">
        <v>188</v>
      </c>
      <c r="E152" t="s">
        <v>3810</v>
      </c>
      <c r="F152" t="s">
        <v>63</v>
      </c>
      <c r="G152">
        <v>1</v>
      </c>
      <c r="H152" s="3">
        <v>3.5</v>
      </c>
      <c r="I152" s="3">
        <v>4.55</v>
      </c>
      <c r="J152" s="3">
        <v>-0.51</v>
      </c>
      <c r="K152" s="14">
        <v>-14.49</v>
      </c>
      <c r="L152" t="s">
        <v>1</v>
      </c>
    </row>
    <row r="153" spans="1:12" x14ac:dyDescent="0.25">
      <c r="A153" s="7">
        <v>46212.5</v>
      </c>
      <c r="B153" t="s">
        <v>16</v>
      </c>
      <c r="C153" t="s">
        <v>3300</v>
      </c>
      <c r="D153" t="s">
        <v>176</v>
      </c>
      <c r="E153" t="s">
        <v>3812</v>
      </c>
      <c r="F153" t="s">
        <v>77</v>
      </c>
      <c r="G153">
        <v>2</v>
      </c>
      <c r="H153" s="3">
        <v>0.3</v>
      </c>
      <c r="I153" s="3">
        <v>0.34</v>
      </c>
      <c r="J153" s="3">
        <v>-0.99</v>
      </c>
      <c r="K153" s="14">
        <v>-328.89</v>
      </c>
      <c r="L153" t="s">
        <v>1</v>
      </c>
    </row>
    <row r="154" spans="1:12" x14ac:dyDescent="0.25">
      <c r="A154" s="7">
        <v>46211.5</v>
      </c>
      <c r="B154" t="s">
        <v>14</v>
      </c>
      <c r="C154" t="s">
        <v>1776</v>
      </c>
      <c r="D154" t="s">
        <v>253</v>
      </c>
      <c r="E154" t="s">
        <v>3815</v>
      </c>
      <c r="F154" t="s">
        <v>57</v>
      </c>
      <c r="G154">
        <v>3</v>
      </c>
      <c r="H154" s="3">
        <v>2.4</v>
      </c>
      <c r="I154" s="3">
        <v>2.83</v>
      </c>
      <c r="J154" s="3">
        <v>-1.34</v>
      </c>
      <c r="K154" s="14">
        <v>-47.51</v>
      </c>
      <c r="L154" t="s">
        <v>1</v>
      </c>
    </row>
    <row r="155" spans="1:12" x14ac:dyDescent="0.25">
      <c r="A155" s="7">
        <v>46211.5</v>
      </c>
      <c r="B155" t="s">
        <v>14</v>
      </c>
      <c r="C155" t="s">
        <v>1777</v>
      </c>
      <c r="D155" t="s">
        <v>181</v>
      </c>
      <c r="E155" t="s">
        <v>3813</v>
      </c>
      <c r="F155" t="s">
        <v>72</v>
      </c>
      <c r="G155">
        <v>1</v>
      </c>
      <c r="H155" s="3">
        <v>1.9</v>
      </c>
      <c r="I155" s="3">
        <v>2.55</v>
      </c>
      <c r="J155" s="3">
        <v>-1.14</v>
      </c>
      <c r="K155" s="14">
        <v>-44.67</v>
      </c>
      <c r="L155" t="s">
        <v>1</v>
      </c>
    </row>
    <row r="156" spans="1:12" x14ac:dyDescent="0.25">
      <c r="A156" s="7">
        <v>46211.5</v>
      </c>
      <c r="B156" t="s">
        <v>16</v>
      </c>
      <c r="C156" t="s">
        <v>3313</v>
      </c>
      <c r="D156" t="s">
        <v>253</v>
      </c>
      <c r="E156" t="s">
        <v>3815</v>
      </c>
      <c r="F156" t="s">
        <v>57</v>
      </c>
      <c r="G156">
        <v>4</v>
      </c>
      <c r="H156" s="3">
        <v>3.2</v>
      </c>
      <c r="I156" s="3">
        <v>4.48</v>
      </c>
      <c r="J156" s="3">
        <v>-0.14</v>
      </c>
      <c r="K156" s="14">
        <v>-4.48</v>
      </c>
      <c r="L156" t="s">
        <v>1</v>
      </c>
    </row>
    <row r="157" spans="1:12" x14ac:dyDescent="0.25">
      <c r="A157" s="7">
        <v>46211.5</v>
      </c>
      <c r="B157" t="s">
        <v>16</v>
      </c>
      <c r="C157" t="s">
        <v>3314</v>
      </c>
      <c r="D157" t="s">
        <v>181</v>
      </c>
      <c r="E157" t="s">
        <v>3813</v>
      </c>
      <c r="F157" t="s">
        <v>72</v>
      </c>
      <c r="G157">
        <v>4</v>
      </c>
      <c r="H157" s="3">
        <v>7.6</v>
      </c>
      <c r="I157" s="3">
        <v>8.82</v>
      </c>
      <c r="J157" s="3">
        <v>-0.39</v>
      </c>
      <c r="K157" s="14">
        <v>-5.18</v>
      </c>
      <c r="L157" t="s">
        <v>1</v>
      </c>
    </row>
    <row r="158" spans="1:12" x14ac:dyDescent="0.25">
      <c r="A158" s="7">
        <v>46210.5</v>
      </c>
      <c r="B158" t="s">
        <v>12</v>
      </c>
      <c r="C158" t="s">
        <v>313</v>
      </c>
      <c r="D158" t="s">
        <v>184</v>
      </c>
      <c r="E158" t="s">
        <v>3814</v>
      </c>
      <c r="F158" t="s">
        <v>101</v>
      </c>
      <c r="G158">
        <v>4</v>
      </c>
      <c r="H158" s="3">
        <v>4.8</v>
      </c>
      <c r="I158" s="3">
        <v>6.72</v>
      </c>
      <c r="J158" s="3">
        <v>0.02</v>
      </c>
      <c r="K158" s="14">
        <v>0.5</v>
      </c>
      <c r="L158" t="s">
        <v>1</v>
      </c>
    </row>
    <row r="159" spans="1:12" x14ac:dyDescent="0.25">
      <c r="A159" s="7">
        <v>46210.5</v>
      </c>
      <c r="B159" t="s">
        <v>12</v>
      </c>
      <c r="C159" t="s">
        <v>314</v>
      </c>
      <c r="D159" t="s">
        <v>184</v>
      </c>
      <c r="E159" t="s">
        <v>3814</v>
      </c>
      <c r="F159" t="s">
        <v>101</v>
      </c>
      <c r="G159">
        <v>2</v>
      </c>
      <c r="H159" s="3">
        <v>2.4</v>
      </c>
      <c r="I159" s="3">
        <v>2.78</v>
      </c>
      <c r="J159" s="3">
        <v>-0.92</v>
      </c>
      <c r="K159" s="14">
        <v>-38.4</v>
      </c>
      <c r="L159" t="s">
        <v>1</v>
      </c>
    </row>
    <row r="160" spans="1:12" x14ac:dyDescent="0.25">
      <c r="A160" s="7">
        <v>46210.5</v>
      </c>
      <c r="B160" t="s">
        <v>13</v>
      </c>
      <c r="C160" t="s">
        <v>1006</v>
      </c>
      <c r="D160" t="s">
        <v>181</v>
      </c>
      <c r="E160" t="s">
        <v>3813</v>
      </c>
      <c r="F160" t="s">
        <v>72</v>
      </c>
      <c r="G160">
        <v>1</v>
      </c>
      <c r="H160" s="3">
        <v>1.9</v>
      </c>
      <c r="I160" s="3">
        <v>2.43</v>
      </c>
      <c r="J160" s="3">
        <v>-9.82</v>
      </c>
      <c r="K160" s="14">
        <v>-516.61</v>
      </c>
      <c r="L160" t="s">
        <v>1</v>
      </c>
    </row>
    <row r="161" spans="1:12" x14ac:dyDescent="0.25">
      <c r="A161" s="7">
        <v>46210.5</v>
      </c>
      <c r="B161" t="s">
        <v>13</v>
      </c>
      <c r="C161" t="s">
        <v>1007</v>
      </c>
      <c r="D161" t="s">
        <v>184</v>
      </c>
      <c r="E161" t="s">
        <v>3814</v>
      </c>
      <c r="F161" t="s">
        <v>101</v>
      </c>
      <c r="G161">
        <v>4</v>
      </c>
      <c r="H161" s="3">
        <v>4.8</v>
      </c>
      <c r="I161" s="3">
        <v>6.53</v>
      </c>
      <c r="J161" s="3">
        <v>-9.27</v>
      </c>
      <c r="K161" s="14">
        <v>-193.06</v>
      </c>
      <c r="L161" t="s">
        <v>1</v>
      </c>
    </row>
    <row r="162" spans="1:12" x14ac:dyDescent="0.25">
      <c r="A162" s="7">
        <v>46210.5</v>
      </c>
      <c r="B162" t="s">
        <v>14</v>
      </c>
      <c r="C162" t="s">
        <v>1786</v>
      </c>
      <c r="D162" t="s">
        <v>188</v>
      </c>
      <c r="E162" t="s">
        <v>3810</v>
      </c>
      <c r="F162" t="s">
        <v>63</v>
      </c>
      <c r="G162">
        <v>4</v>
      </c>
      <c r="H162" s="3">
        <v>14</v>
      </c>
      <c r="I162" s="3">
        <v>19.18</v>
      </c>
      <c r="J162" s="3">
        <v>1.33</v>
      </c>
      <c r="K162" s="14">
        <v>6.92</v>
      </c>
      <c r="L162" t="s">
        <v>1</v>
      </c>
    </row>
    <row r="163" spans="1:12" x14ac:dyDescent="0.25">
      <c r="A163" s="7">
        <v>46210.5</v>
      </c>
      <c r="B163" t="s">
        <v>15</v>
      </c>
      <c r="C163" t="s">
        <v>2573</v>
      </c>
      <c r="D163" t="s">
        <v>176</v>
      </c>
      <c r="E163" t="s">
        <v>3812</v>
      </c>
      <c r="F163" t="s">
        <v>77</v>
      </c>
      <c r="G163">
        <v>1</v>
      </c>
      <c r="H163" s="3">
        <v>0.15</v>
      </c>
      <c r="I163" s="3">
        <v>0.19</v>
      </c>
      <c r="J163" s="3">
        <v>-0.98</v>
      </c>
      <c r="K163" s="14">
        <v>-655.09</v>
      </c>
      <c r="L163" t="s">
        <v>1</v>
      </c>
    </row>
    <row r="164" spans="1:12" x14ac:dyDescent="0.25">
      <c r="A164" s="7">
        <v>46209.5</v>
      </c>
      <c r="B164" t="s">
        <v>13</v>
      </c>
      <c r="C164" t="s">
        <v>1016</v>
      </c>
      <c r="D164" t="s">
        <v>188</v>
      </c>
      <c r="E164" t="s">
        <v>3810</v>
      </c>
      <c r="F164" t="s">
        <v>63</v>
      </c>
      <c r="G164">
        <v>4</v>
      </c>
      <c r="H164" s="3">
        <v>14</v>
      </c>
      <c r="I164" s="3">
        <v>20.02</v>
      </c>
      <c r="J164" s="3">
        <v>-7.18</v>
      </c>
      <c r="K164" s="14">
        <v>-51.26</v>
      </c>
      <c r="L164" t="s">
        <v>1</v>
      </c>
    </row>
    <row r="165" spans="1:12" x14ac:dyDescent="0.25">
      <c r="A165" s="7">
        <v>46208.5</v>
      </c>
      <c r="B165" t="s">
        <v>14</v>
      </c>
      <c r="C165" t="s">
        <v>1794</v>
      </c>
      <c r="D165" t="s">
        <v>188</v>
      </c>
      <c r="E165" t="s">
        <v>3810</v>
      </c>
      <c r="F165" t="s">
        <v>63</v>
      </c>
      <c r="G165">
        <v>2</v>
      </c>
      <c r="H165" s="3">
        <v>7</v>
      </c>
      <c r="I165" s="3">
        <v>8.75</v>
      </c>
      <c r="J165" s="3">
        <v>-0.71</v>
      </c>
      <c r="K165" s="14">
        <v>-8.12</v>
      </c>
      <c r="L165" t="s">
        <v>1</v>
      </c>
    </row>
    <row r="166" spans="1:12" x14ac:dyDescent="0.25">
      <c r="A166" s="7">
        <v>46208.5</v>
      </c>
      <c r="B166" t="s">
        <v>14</v>
      </c>
      <c r="C166" t="s">
        <v>1795</v>
      </c>
      <c r="D166" t="s">
        <v>188</v>
      </c>
      <c r="E166" t="s">
        <v>3810</v>
      </c>
      <c r="F166" t="s">
        <v>63</v>
      </c>
      <c r="G166">
        <v>4</v>
      </c>
      <c r="H166" s="3">
        <v>14</v>
      </c>
      <c r="I166" s="3">
        <v>16.8</v>
      </c>
      <c r="J166" s="3">
        <v>-0.47</v>
      </c>
      <c r="K166" s="14">
        <v>-2.79</v>
      </c>
      <c r="L166" t="s">
        <v>1</v>
      </c>
    </row>
    <row r="167" spans="1:12" x14ac:dyDescent="0.25">
      <c r="A167" s="7">
        <v>46208.5</v>
      </c>
      <c r="B167" t="s">
        <v>14</v>
      </c>
      <c r="C167" t="s">
        <v>1796</v>
      </c>
      <c r="D167" t="s">
        <v>173</v>
      </c>
      <c r="E167" t="s">
        <v>3811</v>
      </c>
      <c r="F167" t="s">
        <v>63</v>
      </c>
      <c r="G167">
        <v>2</v>
      </c>
      <c r="H167" s="3">
        <v>8.5</v>
      </c>
      <c r="I167" s="3">
        <v>11.73</v>
      </c>
      <c r="J167" s="3">
        <v>0.29</v>
      </c>
      <c r="K167" s="14">
        <v>2.46</v>
      </c>
      <c r="L167" t="s">
        <v>1</v>
      </c>
    </row>
    <row r="168" spans="1:12" x14ac:dyDescent="0.25">
      <c r="A168" s="7">
        <v>46208.5</v>
      </c>
      <c r="B168" t="s">
        <v>14</v>
      </c>
      <c r="C168" t="s">
        <v>1797</v>
      </c>
      <c r="D168" t="s">
        <v>176</v>
      </c>
      <c r="E168" t="s">
        <v>3812</v>
      </c>
      <c r="F168" t="s">
        <v>77</v>
      </c>
      <c r="G168">
        <v>4</v>
      </c>
      <c r="H168" s="3">
        <v>0.6</v>
      </c>
      <c r="I168" s="3">
        <v>0.7</v>
      </c>
      <c r="J168" s="3">
        <v>-1.45</v>
      </c>
      <c r="K168" s="14">
        <v>-207.4</v>
      </c>
      <c r="L168" t="s">
        <v>1</v>
      </c>
    </row>
    <row r="169" spans="1:12" x14ac:dyDescent="0.25">
      <c r="A169" s="7">
        <v>46208.5</v>
      </c>
      <c r="B169" t="s">
        <v>15</v>
      </c>
      <c r="C169" t="s">
        <v>2592</v>
      </c>
      <c r="D169" t="s">
        <v>173</v>
      </c>
      <c r="E169" t="s">
        <v>3811</v>
      </c>
      <c r="F169" t="s">
        <v>63</v>
      </c>
      <c r="G169">
        <v>1</v>
      </c>
      <c r="H169" s="3">
        <v>4.25</v>
      </c>
      <c r="I169" s="3">
        <v>5.86</v>
      </c>
      <c r="J169" s="3">
        <v>-0.15</v>
      </c>
      <c r="K169" s="14">
        <v>-3.54</v>
      </c>
      <c r="L169" t="s">
        <v>1</v>
      </c>
    </row>
    <row r="170" spans="1:12" x14ac:dyDescent="0.25">
      <c r="A170" s="7">
        <v>46208.5</v>
      </c>
      <c r="B170" t="s">
        <v>15</v>
      </c>
      <c r="C170" t="s">
        <v>2593</v>
      </c>
      <c r="D170" t="s">
        <v>176</v>
      </c>
      <c r="E170" t="s">
        <v>3812</v>
      </c>
      <c r="F170" t="s">
        <v>77</v>
      </c>
      <c r="G170">
        <v>1</v>
      </c>
      <c r="H170" s="3">
        <v>0.15</v>
      </c>
      <c r="I170" s="3">
        <v>0.21</v>
      </c>
      <c r="J170" s="3">
        <v>-0.97</v>
      </c>
      <c r="K170" s="14">
        <v>-645.09</v>
      </c>
      <c r="L170" t="s">
        <v>1</v>
      </c>
    </row>
    <row r="171" spans="1:12" x14ac:dyDescent="0.25">
      <c r="A171" s="7">
        <v>46208.5</v>
      </c>
      <c r="B171" t="s">
        <v>15</v>
      </c>
      <c r="C171" t="s">
        <v>2594</v>
      </c>
      <c r="D171" t="s">
        <v>176</v>
      </c>
      <c r="E171" t="s">
        <v>3812</v>
      </c>
      <c r="F171" t="s">
        <v>77</v>
      </c>
      <c r="G171">
        <v>1</v>
      </c>
      <c r="H171" s="3">
        <v>0.15</v>
      </c>
      <c r="I171" s="3">
        <v>0.19</v>
      </c>
      <c r="J171" s="3">
        <v>-0.98</v>
      </c>
      <c r="K171" s="14">
        <v>-655.09</v>
      </c>
      <c r="L171" t="s">
        <v>1</v>
      </c>
    </row>
    <row r="172" spans="1:12" x14ac:dyDescent="0.25">
      <c r="A172" s="7">
        <v>46208.5</v>
      </c>
      <c r="B172" t="s">
        <v>15</v>
      </c>
      <c r="C172" t="s">
        <v>2595</v>
      </c>
      <c r="D172" t="s">
        <v>253</v>
      </c>
      <c r="E172" t="s">
        <v>3815</v>
      </c>
      <c r="F172" t="s">
        <v>57</v>
      </c>
      <c r="G172">
        <v>1</v>
      </c>
      <c r="H172" s="3">
        <v>0.8</v>
      </c>
      <c r="I172" s="3">
        <v>0.94</v>
      </c>
      <c r="J172" s="3">
        <v>-0.96</v>
      </c>
      <c r="K172" s="14">
        <v>-120.29</v>
      </c>
      <c r="L172" t="s">
        <v>1</v>
      </c>
    </row>
    <row r="173" spans="1:12" x14ac:dyDescent="0.25">
      <c r="A173" s="7">
        <v>46208.5</v>
      </c>
      <c r="B173" t="s">
        <v>16</v>
      </c>
      <c r="C173" t="s">
        <v>3333</v>
      </c>
      <c r="D173" t="s">
        <v>188</v>
      </c>
      <c r="E173" t="s">
        <v>3810</v>
      </c>
      <c r="F173" t="s">
        <v>63</v>
      </c>
      <c r="G173">
        <v>1</v>
      </c>
      <c r="H173" s="3">
        <v>3.5</v>
      </c>
      <c r="I173" s="3">
        <v>5</v>
      </c>
      <c r="J173" s="3">
        <v>0.02</v>
      </c>
      <c r="K173" s="14">
        <v>0.57</v>
      </c>
      <c r="L173" t="s">
        <v>1</v>
      </c>
    </row>
    <row r="174" spans="1:12" x14ac:dyDescent="0.25">
      <c r="A174" s="7">
        <v>46208.5</v>
      </c>
      <c r="B174" t="s">
        <v>16</v>
      </c>
      <c r="C174" t="s">
        <v>3334</v>
      </c>
      <c r="D174" t="s">
        <v>253</v>
      </c>
      <c r="E174" t="s">
        <v>3815</v>
      </c>
      <c r="F174" t="s">
        <v>57</v>
      </c>
      <c r="G174">
        <v>4</v>
      </c>
      <c r="H174" s="3">
        <v>3.2</v>
      </c>
      <c r="I174" s="3">
        <v>3.78</v>
      </c>
      <c r="J174" s="3">
        <v>-0.69</v>
      </c>
      <c r="K174" s="14">
        <v>-21.46</v>
      </c>
      <c r="L174" t="s">
        <v>1</v>
      </c>
    </row>
    <row r="175" spans="1:12" x14ac:dyDescent="0.25">
      <c r="A175" s="7">
        <v>46207.5</v>
      </c>
      <c r="B175" t="s">
        <v>12</v>
      </c>
      <c r="C175" t="s">
        <v>327</v>
      </c>
      <c r="D175" t="s">
        <v>173</v>
      </c>
      <c r="E175" t="s">
        <v>3811</v>
      </c>
      <c r="F175" t="s">
        <v>63</v>
      </c>
      <c r="G175">
        <v>4</v>
      </c>
      <c r="H175" s="3">
        <v>17</v>
      </c>
      <c r="I175" s="3">
        <v>24.65</v>
      </c>
      <c r="J175" s="3">
        <v>3.26</v>
      </c>
      <c r="K175" s="14">
        <v>19.19</v>
      </c>
      <c r="L175" t="s">
        <v>1</v>
      </c>
    </row>
    <row r="176" spans="1:12" x14ac:dyDescent="0.25">
      <c r="A176" s="7">
        <v>46207.5</v>
      </c>
      <c r="B176" t="s">
        <v>15</v>
      </c>
      <c r="C176" t="s">
        <v>2608</v>
      </c>
      <c r="D176" t="s">
        <v>181</v>
      </c>
      <c r="E176" t="s">
        <v>3813</v>
      </c>
      <c r="F176" t="s">
        <v>72</v>
      </c>
      <c r="G176">
        <v>1</v>
      </c>
      <c r="H176" s="3">
        <v>1.9</v>
      </c>
      <c r="I176" s="3">
        <v>2.47</v>
      </c>
      <c r="J176" s="3">
        <v>-0.73</v>
      </c>
      <c r="K176" s="14">
        <v>-38.55</v>
      </c>
      <c r="L176" t="s">
        <v>1</v>
      </c>
    </row>
    <row r="177" spans="1:12" x14ac:dyDescent="0.25">
      <c r="A177" s="7">
        <v>46206.5</v>
      </c>
      <c r="B177" t="s">
        <v>13</v>
      </c>
      <c r="C177" t="s">
        <v>1039</v>
      </c>
      <c r="D177" t="s">
        <v>173</v>
      </c>
      <c r="E177" t="s">
        <v>3811</v>
      </c>
      <c r="F177" t="s">
        <v>63</v>
      </c>
      <c r="G177">
        <v>2</v>
      </c>
      <c r="H177" s="3">
        <v>8.5</v>
      </c>
      <c r="I177" s="3">
        <v>10.2</v>
      </c>
      <c r="J177" s="3">
        <v>-9.7</v>
      </c>
      <c r="K177" s="14">
        <v>-114.06</v>
      </c>
      <c r="L177" t="s">
        <v>1</v>
      </c>
    </row>
    <row r="178" spans="1:12" x14ac:dyDescent="0.25">
      <c r="A178" s="7">
        <v>46206.5</v>
      </c>
      <c r="B178" t="s">
        <v>14</v>
      </c>
      <c r="C178" t="s">
        <v>1810</v>
      </c>
      <c r="D178" t="s">
        <v>253</v>
      </c>
      <c r="E178" t="s">
        <v>3815</v>
      </c>
      <c r="F178" t="s">
        <v>57</v>
      </c>
      <c r="G178">
        <v>4</v>
      </c>
      <c r="H178" s="3">
        <v>3.2</v>
      </c>
      <c r="I178" s="3">
        <v>4.16</v>
      </c>
      <c r="J178" s="3">
        <v>-1.01</v>
      </c>
      <c r="K178" s="14">
        <v>-24.22</v>
      </c>
      <c r="L178" t="s">
        <v>1</v>
      </c>
    </row>
    <row r="179" spans="1:12" x14ac:dyDescent="0.25">
      <c r="A179" s="7">
        <v>46206.5</v>
      </c>
      <c r="B179" t="s">
        <v>14</v>
      </c>
      <c r="C179" t="s">
        <v>1811</v>
      </c>
      <c r="D179" t="s">
        <v>253</v>
      </c>
      <c r="E179" t="s">
        <v>3815</v>
      </c>
      <c r="F179" t="s">
        <v>57</v>
      </c>
      <c r="G179">
        <v>1</v>
      </c>
      <c r="H179" s="3">
        <v>0.8</v>
      </c>
      <c r="I179" s="3">
        <v>0.92</v>
      </c>
      <c r="J179" s="3">
        <v>-1.45</v>
      </c>
      <c r="K179" s="14">
        <v>-157.87</v>
      </c>
      <c r="L179" t="s">
        <v>1</v>
      </c>
    </row>
    <row r="180" spans="1:12" x14ac:dyDescent="0.25">
      <c r="A180" s="7">
        <v>46206.5</v>
      </c>
      <c r="B180" t="s">
        <v>14</v>
      </c>
      <c r="C180" t="s">
        <v>1812</v>
      </c>
      <c r="D180" t="s">
        <v>181</v>
      </c>
      <c r="E180" t="s">
        <v>3813</v>
      </c>
      <c r="F180" t="s">
        <v>72</v>
      </c>
      <c r="G180">
        <v>4</v>
      </c>
      <c r="H180" s="3">
        <v>7.6</v>
      </c>
      <c r="I180" s="3">
        <v>9.35</v>
      </c>
      <c r="J180" s="3">
        <v>-0.76</v>
      </c>
      <c r="K180" s="14">
        <v>-8.1</v>
      </c>
      <c r="L180" t="s">
        <v>1</v>
      </c>
    </row>
    <row r="181" spans="1:12" x14ac:dyDescent="0.25">
      <c r="A181" s="7">
        <v>46206.5</v>
      </c>
      <c r="B181" t="s">
        <v>14</v>
      </c>
      <c r="C181" t="s">
        <v>1813</v>
      </c>
      <c r="D181" t="s">
        <v>181</v>
      </c>
      <c r="E181" t="s">
        <v>3813</v>
      </c>
      <c r="F181" t="s">
        <v>72</v>
      </c>
      <c r="G181">
        <v>4</v>
      </c>
      <c r="H181" s="3">
        <v>7.6</v>
      </c>
      <c r="I181" s="3">
        <v>9.65</v>
      </c>
      <c r="J181" s="3">
        <v>-0.53</v>
      </c>
      <c r="K181" s="14">
        <v>-5.51</v>
      </c>
      <c r="L181" t="s">
        <v>1</v>
      </c>
    </row>
    <row r="182" spans="1:12" x14ac:dyDescent="0.25">
      <c r="A182" s="7">
        <v>46206.5</v>
      </c>
      <c r="B182" t="s">
        <v>14</v>
      </c>
      <c r="C182" t="s">
        <v>1814</v>
      </c>
      <c r="D182" t="s">
        <v>181</v>
      </c>
      <c r="E182" t="s">
        <v>3813</v>
      </c>
      <c r="F182" t="s">
        <v>72</v>
      </c>
      <c r="G182">
        <v>4</v>
      </c>
      <c r="H182" s="3">
        <v>7.6</v>
      </c>
      <c r="I182" s="3">
        <v>10.64</v>
      </c>
      <c r="J182" s="3">
        <v>0.22</v>
      </c>
      <c r="K182" s="14">
        <v>2.03</v>
      </c>
      <c r="L182" t="s">
        <v>1</v>
      </c>
    </row>
    <row r="183" spans="1:12" x14ac:dyDescent="0.25">
      <c r="A183" s="7">
        <v>46206.5</v>
      </c>
      <c r="B183" t="s">
        <v>15</v>
      </c>
      <c r="C183" t="s">
        <v>2611</v>
      </c>
      <c r="D183" t="s">
        <v>188</v>
      </c>
      <c r="E183" t="s">
        <v>3810</v>
      </c>
      <c r="F183" t="s">
        <v>63</v>
      </c>
      <c r="G183">
        <v>1</v>
      </c>
      <c r="H183" s="3">
        <v>3.5</v>
      </c>
      <c r="I183" s="3">
        <v>4.73</v>
      </c>
      <c r="J183" s="3">
        <v>-0.37</v>
      </c>
      <c r="K183" s="14">
        <v>-10.64</v>
      </c>
      <c r="L183" t="s">
        <v>1</v>
      </c>
    </row>
    <row r="184" spans="1:12" x14ac:dyDescent="0.25">
      <c r="A184" s="7">
        <v>46205.5</v>
      </c>
      <c r="B184" t="s">
        <v>12</v>
      </c>
      <c r="C184" t="s">
        <v>341</v>
      </c>
      <c r="D184" t="s">
        <v>253</v>
      </c>
      <c r="E184" t="s">
        <v>3815</v>
      </c>
      <c r="F184" t="s">
        <v>57</v>
      </c>
      <c r="G184">
        <v>4</v>
      </c>
      <c r="H184" s="3">
        <v>3.2</v>
      </c>
      <c r="I184" s="3">
        <v>4.61</v>
      </c>
      <c r="J184" s="3">
        <v>-0.22</v>
      </c>
      <c r="K184" s="14">
        <v>-6.88</v>
      </c>
      <c r="L184" t="s">
        <v>1</v>
      </c>
    </row>
    <row r="185" spans="1:12" x14ac:dyDescent="0.25">
      <c r="A185" s="7">
        <v>46205.5</v>
      </c>
      <c r="B185" t="s">
        <v>14</v>
      </c>
      <c r="C185" t="s">
        <v>1825</v>
      </c>
      <c r="D185" t="s">
        <v>176</v>
      </c>
      <c r="E185" t="s">
        <v>3812</v>
      </c>
      <c r="F185" t="s">
        <v>77</v>
      </c>
      <c r="G185">
        <v>1</v>
      </c>
      <c r="H185" s="3">
        <v>0.15</v>
      </c>
      <c r="I185" s="3">
        <v>0.2</v>
      </c>
      <c r="J185" s="3">
        <v>-1.45</v>
      </c>
      <c r="K185" s="14">
        <v>-727.04</v>
      </c>
      <c r="L185" t="s">
        <v>1</v>
      </c>
    </row>
    <row r="186" spans="1:12" x14ac:dyDescent="0.25">
      <c r="A186" s="7">
        <v>46205.5</v>
      </c>
      <c r="B186" t="s">
        <v>15</v>
      </c>
      <c r="C186" t="s">
        <v>2614</v>
      </c>
      <c r="D186" t="s">
        <v>181</v>
      </c>
      <c r="E186" t="s">
        <v>3813</v>
      </c>
      <c r="F186" t="s">
        <v>72</v>
      </c>
      <c r="G186">
        <v>1</v>
      </c>
      <c r="H186" s="3">
        <v>1.9</v>
      </c>
      <c r="I186" s="3">
        <v>2.6</v>
      </c>
      <c r="J186" s="3">
        <v>-0.64</v>
      </c>
      <c r="K186" s="14">
        <v>-33.43</v>
      </c>
      <c r="L186" t="s">
        <v>1</v>
      </c>
    </row>
    <row r="187" spans="1:12" x14ac:dyDescent="0.25">
      <c r="A187" s="7">
        <v>46205.5</v>
      </c>
      <c r="B187" t="s">
        <v>16</v>
      </c>
      <c r="C187" t="s">
        <v>3366</v>
      </c>
      <c r="D187" t="s">
        <v>188</v>
      </c>
      <c r="E187" t="s">
        <v>3810</v>
      </c>
      <c r="F187" t="s">
        <v>63</v>
      </c>
      <c r="G187">
        <v>4</v>
      </c>
      <c r="H187" s="3">
        <v>14</v>
      </c>
      <c r="I187" s="3">
        <v>17.92</v>
      </c>
      <c r="J187" s="3">
        <v>1.44</v>
      </c>
      <c r="K187" s="14">
        <v>10.26</v>
      </c>
      <c r="L187" t="s">
        <v>1</v>
      </c>
    </row>
    <row r="188" spans="1:12" x14ac:dyDescent="0.25">
      <c r="A188" s="7">
        <v>46205.5</v>
      </c>
      <c r="B188" t="s">
        <v>16</v>
      </c>
      <c r="C188" t="s">
        <v>3367</v>
      </c>
      <c r="D188" t="s">
        <v>173</v>
      </c>
      <c r="E188" t="s">
        <v>3811</v>
      </c>
      <c r="F188" t="s">
        <v>63</v>
      </c>
      <c r="G188">
        <v>1</v>
      </c>
      <c r="H188" s="3">
        <v>4.25</v>
      </c>
      <c r="I188" s="3">
        <v>5.31</v>
      </c>
      <c r="J188" s="3">
        <v>-0.36</v>
      </c>
      <c r="K188" s="14">
        <v>-8.39</v>
      </c>
      <c r="L188" t="s">
        <v>1</v>
      </c>
    </row>
    <row r="189" spans="1:12" x14ac:dyDescent="0.25">
      <c r="A189" s="7">
        <v>46205.5</v>
      </c>
      <c r="B189" t="s">
        <v>16</v>
      </c>
      <c r="C189" t="s">
        <v>3368</v>
      </c>
      <c r="D189" t="s">
        <v>184</v>
      </c>
      <c r="E189" t="s">
        <v>3814</v>
      </c>
      <c r="F189" t="s">
        <v>101</v>
      </c>
      <c r="G189">
        <v>4</v>
      </c>
      <c r="H189" s="3">
        <v>4.8</v>
      </c>
      <c r="I189" s="3">
        <v>5.52</v>
      </c>
      <c r="J189" s="3">
        <v>-0.65</v>
      </c>
      <c r="K189" s="14">
        <v>-13.54</v>
      </c>
      <c r="L189" t="s">
        <v>1</v>
      </c>
    </row>
    <row r="190" spans="1:12" x14ac:dyDescent="0.25">
      <c r="A190" s="7">
        <v>46204.5</v>
      </c>
      <c r="B190" t="s">
        <v>14</v>
      </c>
      <c r="C190" t="s">
        <v>1832</v>
      </c>
      <c r="D190" t="s">
        <v>176</v>
      </c>
      <c r="E190" t="s">
        <v>3812</v>
      </c>
      <c r="F190" t="s">
        <v>77</v>
      </c>
      <c r="G190">
        <v>3</v>
      </c>
      <c r="H190" s="3">
        <v>0.45</v>
      </c>
      <c r="I190" s="3">
        <v>0.6</v>
      </c>
      <c r="J190" s="3">
        <v>-1.4</v>
      </c>
      <c r="K190" s="14">
        <v>-233.71</v>
      </c>
      <c r="L190" t="s">
        <v>1</v>
      </c>
    </row>
    <row r="191" spans="1:12" x14ac:dyDescent="0.25">
      <c r="A191" s="7">
        <v>46204.5</v>
      </c>
      <c r="B191" t="s">
        <v>15</v>
      </c>
      <c r="C191" t="s">
        <v>2624</v>
      </c>
      <c r="D191" t="s">
        <v>188</v>
      </c>
      <c r="E191" t="s">
        <v>3810</v>
      </c>
      <c r="F191" t="s">
        <v>63</v>
      </c>
      <c r="G191">
        <v>1</v>
      </c>
      <c r="H191" s="3">
        <v>3.5</v>
      </c>
      <c r="I191" s="3">
        <v>4.69</v>
      </c>
      <c r="J191" s="3">
        <v>-0.4</v>
      </c>
      <c r="K191" s="14">
        <v>-11.5</v>
      </c>
      <c r="L191" t="s">
        <v>1</v>
      </c>
    </row>
    <row r="192" spans="1:12" x14ac:dyDescent="0.25">
      <c r="A192" s="7">
        <v>46204.5</v>
      </c>
      <c r="B192" t="s">
        <v>15</v>
      </c>
      <c r="C192" t="s">
        <v>2623</v>
      </c>
      <c r="D192" t="s">
        <v>184</v>
      </c>
      <c r="E192" t="s">
        <v>3814</v>
      </c>
      <c r="F192" t="s">
        <v>101</v>
      </c>
      <c r="G192">
        <v>1</v>
      </c>
      <c r="H192" s="3">
        <v>1.2</v>
      </c>
      <c r="I192" s="3">
        <v>1.49</v>
      </c>
      <c r="J192" s="3">
        <v>-0.88</v>
      </c>
      <c r="K192" s="14">
        <v>-73.63</v>
      </c>
      <c r="L192" t="s">
        <v>1</v>
      </c>
    </row>
    <row r="193" spans="1:12" x14ac:dyDescent="0.25">
      <c r="A193" s="7">
        <v>46204.5</v>
      </c>
      <c r="B193" t="s">
        <v>16</v>
      </c>
      <c r="C193" t="s">
        <v>3381</v>
      </c>
      <c r="D193" t="s">
        <v>173</v>
      </c>
      <c r="E193" t="s">
        <v>3811</v>
      </c>
      <c r="F193" t="s">
        <v>63</v>
      </c>
      <c r="G193">
        <v>4</v>
      </c>
      <c r="H193" s="3">
        <v>17</v>
      </c>
      <c r="I193" s="3">
        <v>19.55</v>
      </c>
      <c r="J193" s="3">
        <v>0.22</v>
      </c>
      <c r="K193" s="14">
        <v>1.32</v>
      </c>
      <c r="L193" t="s">
        <v>1</v>
      </c>
    </row>
    <row r="194" spans="1:12" x14ac:dyDescent="0.25">
      <c r="A194" s="7">
        <v>46204.5</v>
      </c>
      <c r="B194" t="s">
        <v>16</v>
      </c>
      <c r="C194" t="s">
        <v>3382</v>
      </c>
      <c r="D194" t="s">
        <v>253</v>
      </c>
      <c r="E194" t="s">
        <v>3815</v>
      </c>
      <c r="F194" t="s">
        <v>57</v>
      </c>
      <c r="G194">
        <v>2</v>
      </c>
      <c r="H194" s="3">
        <v>1.6</v>
      </c>
      <c r="I194" s="3">
        <v>1.84</v>
      </c>
      <c r="J194" s="3">
        <v>-0.88</v>
      </c>
      <c r="K194" s="14">
        <v>-55</v>
      </c>
      <c r="L194" t="s">
        <v>1</v>
      </c>
    </row>
    <row r="195" spans="1:12" x14ac:dyDescent="0.25">
      <c r="A195" s="7">
        <v>46203.5</v>
      </c>
      <c r="B195" t="s">
        <v>12</v>
      </c>
      <c r="C195" t="s">
        <v>358</v>
      </c>
      <c r="D195" t="s">
        <v>173</v>
      </c>
      <c r="E195" t="s">
        <v>3811</v>
      </c>
      <c r="F195" t="s">
        <v>63</v>
      </c>
      <c r="G195">
        <v>1</v>
      </c>
      <c r="H195" s="3">
        <v>4.25</v>
      </c>
      <c r="I195" s="3">
        <v>5.1</v>
      </c>
      <c r="J195" s="3">
        <v>-0.73</v>
      </c>
      <c r="K195" s="14">
        <v>-17.15</v>
      </c>
      <c r="L195" t="s">
        <v>1</v>
      </c>
    </row>
    <row r="196" spans="1:12" x14ac:dyDescent="0.25">
      <c r="A196" s="7">
        <v>46203.5</v>
      </c>
      <c r="B196" t="s">
        <v>12</v>
      </c>
      <c r="C196" t="s">
        <v>356</v>
      </c>
      <c r="D196" t="s">
        <v>176</v>
      </c>
      <c r="E196" t="s">
        <v>3812</v>
      </c>
      <c r="F196" t="s">
        <v>77</v>
      </c>
      <c r="G196">
        <v>3</v>
      </c>
      <c r="H196" s="3">
        <v>0.45</v>
      </c>
      <c r="I196" s="3">
        <v>0.65</v>
      </c>
      <c r="J196" s="3">
        <v>-0.89</v>
      </c>
      <c r="K196" s="14">
        <v>-197.56</v>
      </c>
      <c r="L196" t="s">
        <v>1</v>
      </c>
    </row>
    <row r="197" spans="1:12" x14ac:dyDescent="0.25">
      <c r="A197" s="7">
        <v>46203.5</v>
      </c>
      <c r="B197" t="s">
        <v>12</v>
      </c>
      <c r="C197" t="s">
        <v>357</v>
      </c>
      <c r="D197" t="s">
        <v>181</v>
      </c>
      <c r="E197" t="s">
        <v>3813</v>
      </c>
      <c r="F197" t="s">
        <v>72</v>
      </c>
      <c r="G197">
        <v>2</v>
      </c>
      <c r="H197" s="3">
        <v>3.8</v>
      </c>
      <c r="I197" s="3">
        <v>4.83</v>
      </c>
      <c r="J197" s="3">
        <v>-0.56</v>
      </c>
      <c r="K197" s="14">
        <v>-14.62</v>
      </c>
      <c r="L197" t="s">
        <v>1</v>
      </c>
    </row>
    <row r="198" spans="1:12" x14ac:dyDescent="0.25">
      <c r="A198" s="7">
        <v>46203.5</v>
      </c>
      <c r="B198" t="s">
        <v>13</v>
      </c>
      <c r="C198" t="s">
        <v>1053</v>
      </c>
      <c r="D198" t="s">
        <v>176</v>
      </c>
      <c r="E198" t="s">
        <v>3812</v>
      </c>
      <c r="F198" t="s">
        <v>77</v>
      </c>
      <c r="G198">
        <v>4</v>
      </c>
      <c r="H198" s="3">
        <v>0.6</v>
      </c>
      <c r="I198" s="3">
        <v>0.82</v>
      </c>
      <c r="J198" s="3">
        <v>-9.9</v>
      </c>
      <c r="K198" s="14">
        <v>-1649.48</v>
      </c>
      <c r="L198" t="s">
        <v>1</v>
      </c>
    </row>
    <row r="199" spans="1:12" x14ac:dyDescent="0.25">
      <c r="A199" s="7">
        <v>46203.5</v>
      </c>
      <c r="B199" t="s">
        <v>13</v>
      </c>
      <c r="C199" t="s">
        <v>1054</v>
      </c>
      <c r="D199" t="s">
        <v>181</v>
      </c>
      <c r="E199" t="s">
        <v>3813</v>
      </c>
      <c r="F199" t="s">
        <v>72</v>
      </c>
      <c r="G199">
        <v>1</v>
      </c>
      <c r="H199" s="3">
        <v>1.9</v>
      </c>
      <c r="I199" s="3">
        <v>2.36</v>
      </c>
      <c r="J199" s="3">
        <v>-9.87</v>
      </c>
      <c r="K199" s="14">
        <v>-519.28</v>
      </c>
      <c r="L199" t="s">
        <v>1</v>
      </c>
    </row>
    <row r="200" spans="1:12" x14ac:dyDescent="0.25">
      <c r="A200" s="7">
        <v>46203.5</v>
      </c>
      <c r="B200" t="s">
        <v>15</v>
      </c>
      <c r="C200" t="s">
        <v>2629</v>
      </c>
      <c r="D200" t="s">
        <v>184</v>
      </c>
      <c r="E200" t="s">
        <v>3814</v>
      </c>
      <c r="F200" t="s">
        <v>101</v>
      </c>
      <c r="G200">
        <v>1</v>
      </c>
      <c r="H200" s="3">
        <v>1.2</v>
      </c>
      <c r="I200" s="3">
        <v>1.54</v>
      </c>
      <c r="J200" s="3">
        <v>-0.85</v>
      </c>
      <c r="K200" s="14">
        <v>-70.5</v>
      </c>
      <c r="L200" t="s">
        <v>1</v>
      </c>
    </row>
    <row r="201" spans="1:12" x14ac:dyDescent="0.25">
      <c r="A201" s="7">
        <v>46203.5</v>
      </c>
      <c r="B201" t="s">
        <v>16</v>
      </c>
      <c r="C201" t="s">
        <v>3389</v>
      </c>
      <c r="D201" t="s">
        <v>253</v>
      </c>
      <c r="E201" t="s">
        <v>3815</v>
      </c>
      <c r="F201" t="s">
        <v>57</v>
      </c>
      <c r="G201">
        <v>3</v>
      </c>
      <c r="H201" s="3">
        <v>2.4</v>
      </c>
      <c r="I201" s="3">
        <v>3.22</v>
      </c>
      <c r="J201" s="3">
        <v>-0.47</v>
      </c>
      <c r="K201" s="14">
        <v>-19.45</v>
      </c>
      <c r="L201" t="s">
        <v>1</v>
      </c>
    </row>
    <row r="202" spans="1:12" x14ac:dyDescent="0.25">
      <c r="A202" s="7">
        <v>46202.5</v>
      </c>
      <c r="B202" t="s">
        <v>12</v>
      </c>
      <c r="C202" t="s">
        <v>361</v>
      </c>
      <c r="D202" t="s">
        <v>173</v>
      </c>
      <c r="E202" t="s">
        <v>3811</v>
      </c>
      <c r="F202" t="s">
        <v>63</v>
      </c>
      <c r="G202">
        <v>4</v>
      </c>
      <c r="H202" s="3">
        <v>17</v>
      </c>
      <c r="I202" s="3">
        <v>23.8</v>
      </c>
      <c r="J202" s="3">
        <v>2.63</v>
      </c>
      <c r="K202" s="14">
        <v>15.45</v>
      </c>
      <c r="L202" t="s">
        <v>1</v>
      </c>
    </row>
    <row r="203" spans="1:12" x14ac:dyDescent="0.25">
      <c r="A203" s="7">
        <v>46202.5</v>
      </c>
      <c r="B203" t="s">
        <v>13</v>
      </c>
      <c r="C203" t="s">
        <v>1059</v>
      </c>
      <c r="D203" t="s">
        <v>184</v>
      </c>
      <c r="E203" t="s">
        <v>3814</v>
      </c>
      <c r="F203" t="s">
        <v>101</v>
      </c>
      <c r="G203">
        <v>4</v>
      </c>
      <c r="H203" s="3">
        <v>4.8</v>
      </c>
      <c r="I203" s="3">
        <v>6.86</v>
      </c>
      <c r="J203" s="3">
        <v>-9.03</v>
      </c>
      <c r="K203" s="14">
        <v>-188.08</v>
      </c>
      <c r="L203" t="s">
        <v>1</v>
      </c>
    </row>
    <row r="204" spans="1:12" x14ac:dyDescent="0.25">
      <c r="A204" s="7">
        <v>46202.5</v>
      </c>
      <c r="B204" t="s">
        <v>14</v>
      </c>
      <c r="C204" t="s">
        <v>1849</v>
      </c>
      <c r="D204" t="s">
        <v>253</v>
      </c>
      <c r="E204" t="s">
        <v>3815</v>
      </c>
      <c r="F204" t="s">
        <v>57</v>
      </c>
      <c r="G204">
        <v>2</v>
      </c>
      <c r="H204" s="3">
        <v>1.6</v>
      </c>
      <c r="I204" s="3">
        <v>2.18</v>
      </c>
      <c r="J204" s="3">
        <v>-1.17</v>
      </c>
      <c r="K204" s="14">
        <v>-53.59</v>
      </c>
      <c r="L204" t="s">
        <v>1</v>
      </c>
    </row>
    <row r="205" spans="1:12" x14ac:dyDescent="0.25">
      <c r="A205" s="7">
        <v>46202.5</v>
      </c>
      <c r="B205" t="s">
        <v>15</v>
      </c>
      <c r="C205" t="s">
        <v>2644</v>
      </c>
      <c r="D205" t="s">
        <v>188</v>
      </c>
      <c r="E205" t="s">
        <v>3810</v>
      </c>
      <c r="F205" t="s">
        <v>63</v>
      </c>
      <c r="G205">
        <v>1</v>
      </c>
      <c r="H205" s="3">
        <v>3.5</v>
      </c>
      <c r="I205" s="3">
        <v>4.69</v>
      </c>
      <c r="J205" s="3">
        <v>-0.4</v>
      </c>
      <c r="K205" s="14">
        <v>-11.5</v>
      </c>
      <c r="L205" t="s">
        <v>1</v>
      </c>
    </row>
    <row r="206" spans="1:12" x14ac:dyDescent="0.25">
      <c r="A206" s="7">
        <v>46202.5</v>
      </c>
      <c r="B206" t="s">
        <v>15</v>
      </c>
      <c r="C206" t="s">
        <v>2645</v>
      </c>
      <c r="D206" t="s">
        <v>173</v>
      </c>
      <c r="E206" t="s">
        <v>3811</v>
      </c>
      <c r="F206" t="s">
        <v>63</v>
      </c>
      <c r="G206">
        <v>1</v>
      </c>
      <c r="H206" s="3">
        <v>4.25</v>
      </c>
      <c r="I206" s="3">
        <v>5.23</v>
      </c>
      <c r="J206" s="3">
        <v>-0.62</v>
      </c>
      <c r="K206" s="14">
        <v>-14.65</v>
      </c>
      <c r="L206" t="s">
        <v>1</v>
      </c>
    </row>
    <row r="207" spans="1:12" x14ac:dyDescent="0.25">
      <c r="A207" s="7">
        <v>46202.5</v>
      </c>
      <c r="B207" t="s">
        <v>16</v>
      </c>
      <c r="C207" t="s">
        <v>3396</v>
      </c>
      <c r="D207" t="s">
        <v>176</v>
      </c>
      <c r="E207" t="s">
        <v>3812</v>
      </c>
      <c r="F207" t="s">
        <v>77</v>
      </c>
      <c r="G207">
        <v>3</v>
      </c>
      <c r="H207" s="3">
        <v>0.45</v>
      </c>
      <c r="I207" s="3">
        <v>0.52</v>
      </c>
      <c r="J207" s="3">
        <v>-0.96</v>
      </c>
      <c r="K207" s="14">
        <v>-213.7</v>
      </c>
      <c r="L207" t="s">
        <v>1</v>
      </c>
    </row>
    <row r="208" spans="1:12" x14ac:dyDescent="0.25">
      <c r="A208" s="7">
        <v>46201.5</v>
      </c>
      <c r="B208" t="s">
        <v>12</v>
      </c>
      <c r="C208" t="s">
        <v>366</v>
      </c>
      <c r="D208" t="s">
        <v>253</v>
      </c>
      <c r="E208" t="s">
        <v>3815</v>
      </c>
      <c r="F208" t="s">
        <v>57</v>
      </c>
      <c r="G208">
        <v>2</v>
      </c>
      <c r="H208" s="3">
        <v>1.6</v>
      </c>
      <c r="I208" s="3">
        <v>2.21</v>
      </c>
      <c r="J208" s="3">
        <v>-0.68</v>
      </c>
      <c r="K208" s="14">
        <v>-42.56</v>
      </c>
      <c r="L208" t="s">
        <v>1</v>
      </c>
    </row>
    <row r="209" spans="1:12" x14ac:dyDescent="0.25">
      <c r="A209" s="7">
        <v>46201.5</v>
      </c>
      <c r="B209" t="s">
        <v>12</v>
      </c>
      <c r="C209" t="s">
        <v>367</v>
      </c>
      <c r="D209" t="s">
        <v>184</v>
      </c>
      <c r="E209" t="s">
        <v>3814</v>
      </c>
      <c r="F209" t="s">
        <v>101</v>
      </c>
      <c r="G209">
        <v>4</v>
      </c>
      <c r="H209" s="3">
        <v>4.8</v>
      </c>
      <c r="I209" s="3">
        <v>5.95</v>
      </c>
      <c r="J209" s="3">
        <v>-0.55</v>
      </c>
      <c r="K209" s="14">
        <v>-11.49</v>
      </c>
      <c r="L209" t="s">
        <v>1</v>
      </c>
    </row>
    <row r="210" spans="1:12" x14ac:dyDescent="0.25">
      <c r="A210" s="7">
        <v>46201.5</v>
      </c>
      <c r="B210" t="s">
        <v>13</v>
      </c>
      <c r="C210" t="s">
        <v>1066</v>
      </c>
      <c r="D210" t="s">
        <v>253</v>
      </c>
      <c r="E210" t="s">
        <v>3815</v>
      </c>
      <c r="F210" t="s">
        <v>57</v>
      </c>
      <c r="G210">
        <v>4</v>
      </c>
      <c r="H210" s="3">
        <v>3.2</v>
      </c>
      <c r="I210" s="3">
        <v>4</v>
      </c>
      <c r="J210" s="3">
        <v>-9.76</v>
      </c>
      <c r="K210" s="14">
        <v>-305.11</v>
      </c>
      <c r="L210" t="s">
        <v>1</v>
      </c>
    </row>
    <row r="211" spans="1:12" x14ac:dyDescent="0.25">
      <c r="A211" s="7">
        <v>46201.5</v>
      </c>
      <c r="B211" t="s">
        <v>15</v>
      </c>
      <c r="C211" t="s">
        <v>2649</v>
      </c>
      <c r="D211" t="s">
        <v>188</v>
      </c>
      <c r="E211" t="s">
        <v>3810</v>
      </c>
      <c r="F211" t="s">
        <v>63</v>
      </c>
      <c r="G211">
        <v>1</v>
      </c>
      <c r="H211" s="3">
        <v>3.5</v>
      </c>
      <c r="I211" s="3">
        <v>4.9</v>
      </c>
      <c r="J211" s="3">
        <v>-0.24</v>
      </c>
      <c r="K211" s="14">
        <v>-7</v>
      </c>
      <c r="L211" t="s">
        <v>1</v>
      </c>
    </row>
    <row r="212" spans="1:12" x14ac:dyDescent="0.25">
      <c r="A212" s="7">
        <v>46201.5</v>
      </c>
      <c r="B212" t="s">
        <v>16</v>
      </c>
      <c r="C212" t="s">
        <v>3408</v>
      </c>
      <c r="D212" t="s">
        <v>184</v>
      </c>
      <c r="E212" t="s">
        <v>3814</v>
      </c>
      <c r="F212" t="s">
        <v>101</v>
      </c>
      <c r="G212">
        <v>1</v>
      </c>
      <c r="H212" s="3">
        <v>1.2</v>
      </c>
      <c r="I212" s="3">
        <v>1.73</v>
      </c>
      <c r="J212" s="3">
        <v>-0.64</v>
      </c>
      <c r="K212" s="14">
        <v>-53.2</v>
      </c>
      <c r="L212" t="s">
        <v>1</v>
      </c>
    </row>
    <row r="213" spans="1:12" x14ac:dyDescent="0.25">
      <c r="A213" s="7">
        <v>46200.5</v>
      </c>
      <c r="B213" t="s">
        <v>14</v>
      </c>
      <c r="C213" t="s">
        <v>1858</v>
      </c>
      <c r="D213" t="s">
        <v>173</v>
      </c>
      <c r="E213" t="s">
        <v>3811</v>
      </c>
      <c r="F213" t="s">
        <v>63</v>
      </c>
      <c r="G213">
        <v>3</v>
      </c>
      <c r="H213" s="3">
        <v>12.75</v>
      </c>
      <c r="I213" s="3">
        <v>17.85</v>
      </c>
      <c r="J213" s="3">
        <v>1.36</v>
      </c>
      <c r="K213" s="14">
        <v>7.65</v>
      </c>
      <c r="L213" t="s">
        <v>1</v>
      </c>
    </row>
    <row r="214" spans="1:12" x14ac:dyDescent="0.25">
      <c r="A214" s="7">
        <v>46200.5</v>
      </c>
      <c r="B214" t="s">
        <v>16</v>
      </c>
      <c r="C214" t="s">
        <v>3413</v>
      </c>
      <c r="D214" t="s">
        <v>181</v>
      </c>
      <c r="E214" t="s">
        <v>3813</v>
      </c>
      <c r="F214" t="s">
        <v>72</v>
      </c>
      <c r="G214">
        <v>2</v>
      </c>
      <c r="H214" s="3">
        <v>3.8</v>
      </c>
      <c r="I214" s="3">
        <v>4.75</v>
      </c>
      <c r="J214" s="3">
        <v>-0.43</v>
      </c>
      <c r="K214" s="14">
        <v>-11.27</v>
      </c>
      <c r="L214" t="s">
        <v>1</v>
      </c>
    </row>
    <row r="215" spans="1:12" x14ac:dyDescent="0.25">
      <c r="A215" s="7">
        <v>46200.5</v>
      </c>
      <c r="B215" t="s">
        <v>16</v>
      </c>
      <c r="C215" t="s">
        <v>3414</v>
      </c>
      <c r="D215" t="s">
        <v>181</v>
      </c>
      <c r="E215" t="s">
        <v>3813</v>
      </c>
      <c r="F215" t="s">
        <v>72</v>
      </c>
      <c r="G215">
        <v>4</v>
      </c>
      <c r="H215" s="3">
        <v>7.6</v>
      </c>
      <c r="I215" s="3">
        <v>9.88</v>
      </c>
      <c r="J215" s="3">
        <v>0.44</v>
      </c>
      <c r="K215" s="14">
        <v>5.79</v>
      </c>
      <c r="L215" t="s">
        <v>1</v>
      </c>
    </row>
    <row r="216" spans="1:12" x14ac:dyDescent="0.25">
      <c r="A216" s="7">
        <v>46200.5</v>
      </c>
      <c r="B216" t="s">
        <v>16</v>
      </c>
      <c r="C216" t="s">
        <v>3415</v>
      </c>
      <c r="D216" t="s">
        <v>184</v>
      </c>
      <c r="E216" t="s">
        <v>3814</v>
      </c>
      <c r="F216" t="s">
        <v>101</v>
      </c>
      <c r="G216">
        <v>1</v>
      </c>
      <c r="H216" s="3">
        <v>1.2</v>
      </c>
      <c r="I216" s="3">
        <v>1.43</v>
      </c>
      <c r="J216" s="3">
        <v>-0.88</v>
      </c>
      <c r="K216" s="14">
        <v>-73.2</v>
      </c>
      <c r="L216" t="s">
        <v>1</v>
      </c>
    </row>
    <row r="217" spans="1:12" x14ac:dyDescent="0.25">
      <c r="A217" s="7">
        <v>46199.5</v>
      </c>
      <c r="B217" t="s">
        <v>12</v>
      </c>
      <c r="C217" t="s">
        <v>389</v>
      </c>
      <c r="D217" t="s">
        <v>188</v>
      </c>
      <c r="E217" t="s">
        <v>3810</v>
      </c>
      <c r="F217" t="s">
        <v>63</v>
      </c>
      <c r="G217">
        <v>4</v>
      </c>
      <c r="H217" s="3">
        <v>14</v>
      </c>
      <c r="I217" s="3">
        <v>17.22</v>
      </c>
      <c r="J217" s="3">
        <v>0.21</v>
      </c>
      <c r="K217" s="14">
        <v>1.48</v>
      </c>
      <c r="L217" t="s">
        <v>1</v>
      </c>
    </row>
    <row r="218" spans="1:12" x14ac:dyDescent="0.25">
      <c r="A218" s="7">
        <v>46199.5</v>
      </c>
      <c r="B218" t="s">
        <v>12</v>
      </c>
      <c r="C218" t="s">
        <v>388</v>
      </c>
      <c r="D218" t="s">
        <v>253</v>
      </c>
      <c r="E218" t="s">
        <v>3815</v>
      </c>
      <c r="F218" t="s">
        <v>57</v>
      </c>
      <c r="G218">
        <v>3</v>
      </c>
      <c r="H218" s="3">
        <v>2.4</v>
      </c>
      <c r="I218" s="3">
        <v>2.88</v>
      </c>
      <c r="J218" s="3">
        <v>-0.85</v>
      </c>
      <c r="K218" s="14">
        <v>-35.28</v>
      </c>
      <c r="L218" t="s">
        <v>1</v>
      </c>
    </row>
    <row r="219" spans="1:12" x14ac:dyDescent="0.25">
      <c r="A219" s="7">
        <v>46199.5</v>
      </c>
      <c r="B219" t="s">
        <v>14</v>
      </c>
      <c r="C219" t="s">
        <v>1871</v>
      </c>
      <c r="D219" t="s">
        <v>173</v>
      </c>
      <c r="E219" t="s">
        <v>3811</v>
      </c>
      <c r="F219" t="s">
        <v>63</v>
      </c>
      <c r="G219">
        <v>2</v>
      </c>
      <c r="H219" s="3">
        <v>8.5</v>
      </c>
      <c r="I219" s="3">
        <v>11.13</v>
      </c>
      <c r="J219" s="3">
        <v>-0.16</v>
      </c>
      <c r="K219" s="14">
        <v>-1.48</v>
      </c>
      <c r="L219" t="s">
        <v>1</v>
      </c>
    </row>
    <row r="220" spans="1:12" x14ac:dyDescent="0.25">
      <c r="A220" s="7">
        <v>46199.5</v>
      </c>
      <c r="B220" t="s">
        <v>14</v>
      </c>
      <c r="C220" t="s">
        <v>1872</v>
      </c>
      <c r="D220" t="s">
        <v>173</v>
      </c>
      <c r="E220" t="s">
        <v>3811</v>
      </c>
      <c r="F220" t="s">
        <v>63</v>
      </c>
      <c r="G220">
        <v>3</v>
      </c>
      <c r="H220" s="3">
        <v>12.75</v>
      </c>
      <c r="I220" s="3">
        <v>16.57</v>
      </c>
      <c r="J220" s="3">
        <v>0.4</v>
      </c>
      <c r="K220" s="14">
        <v>2.41</v>
      </c>
      <c r="L220" t="s">
        <v>1</v>
      </c>
    </row>
    <row r="221" spans="1:12" x14ac:dyDescent="0.25">
      <c r="A221" s="7">
        <v>46199.5</v>
      </c>
      <c r="B221" t="s">
        <v>15</v>
      </c>
      <c r="C221" t="s">
        <v>2664</v>
      </c>
      <c r="D221" t="s">
        <v>188</v>
      </c>
      <c r="E221" t="s">
        <v>3810</v>
      </c>
      <c r="F221" t="s">
        <v>63</v>
      </c>
      <c r="G221">
        <v>1</v>
      </c>
      <c r="H221" s="3">
        <v>3.5</v>
      </c>
      <c r="I221" s="3">
        <v>4.58</v>
      </c>
      <c r="J221" s="3">
        <v>-0.48</v>
      </c>
      <c r="K221" s="14">
        <v>-13.85</v>
      </c>
      <c r="L221" t="s">
        <v>1</v>
      </c>
    </row>
    <row r="222" spans="1:12" x14ac:dyDescent="0.25">
      <c r="A222" s="7">
        <v>46199.5</v>
      </c>
      <c r="B222" t="s">
        <v>15</v>
      </c>
      <c r="C222" t="s">
        <v>2665</v>
      </c>
      <c r="D222" t="s">
        <v>188</v>
      </c>
      <c r="E222" t="s">
        <v>3810</v>
      </c>
      <c r="F222" t="s">
        <v>63</v>
      </c>
      <c r="G222">
        <v>1</v>
      </c>
      <c r="H222" s="3">
        <v>3.5</v>
      </c>
      <c r="I222" s="3">
        <v>4.09</v>
      </c>
      <c r="J222" s="3">
        <v>-0.85</v>
      </c>
      <c r="K222" s="14">
        <v>-24.34</v>
      </c>
      <c r="L222" t="s">
        <v>1</v>
      </c>
    </row>
    <row r="223" spans="1:12" x14ac:dyDescent="0.25">
      <c r="A223" s="7">
        <v>46199.5</v>
      </c>
      <c r="B223" t="s">
        <v>15</v>
      </c>
      <c r="C223" t="s">
        <v>2666</v>
      </c>
      <c r="D223" t="s">
        <v>173</v>
      </c>
      <c r="E223" t="s">
        <v>3811</v>
      </c>
      <c r="F223" t="s">
        <v>63</v>
      </c>
      <c r="G223">
        <v>1</v>
      </c>
      <c r="H223" s="3">
        <v>4.25</v>
      </c>
      <c r="I223" s="3">
        <v>5.44</v>
      </c>
      <c r="J223" s="3">
        <v>-0.47</v>
      </c>
      <c r="K223" s="14">
        <v>-10.95</v>
      </c>
      <c r="L223" t="s">
        <v>1</v>
      </c>
    </row>
    <row r="224" spans="1:12" x14ac:dyDescent="0.25">
      <c r="A224" s="7">
        <v>46199.5</v>
      </c>
      <c r="B224" t="s">
        <v>15</v>
      </c>
      <c r="C224" t="s">
        <v>2667</v>
      </c>
      <c r="D224" t="s">
        <v>176</v>
      </c>
      <c r="E224" t="s">
        <v>3812</v>
      </c>
      <c r="F224" t="s">
        <v>77</v>
      </c>
      <c r="G224">
        <v>1</v>
      </c>
      <c r="H224" s="3">
        <v>0.15</v>
      </c>
      <c r="I224" s="3">
        <v>0.17</v>
      </c>
      <c r="J224" s="3">
        <v>-1</v>
      </c>
      <c r="K224" s="14">
        <v>-665.08</v>
      </c>
      <c r="L224" t="s">
        <v>1</v>
      </c>
    </row>
    <row r="225" spans="1:12" x14ac:dyDescent="0.25">
      <c r="A225" s="7">
        <v>46199.5</v>
      </c>
      <c r="B225" t="s">
        <v>16</v>
      </c>
      <c r="C225" t="s">
        <v>3425</v>
      </c>
      <c r="D225" t="s">
        <v>176</v>
      </c>
      <c r="E225" t="s">
        <v>3812</v>
      </c>
      <c r="F225" t="s">
        <v>77</v>
      </c>
      <c r="G225">
        <v>2</v>
      </c>
      <c r="H225" s="3">
        <v>0.3</v>
      </c>
      <c r="I225" s="3">
        <v>0.41</v>
      </c>
      <c r="J225" s="3">
        <v>-0.93</v>
      </c>
      <c r="K225" s="14">
        <v>-309.45</v>
      </c>
      <c r="L225" t="s">
        <v>1</v>
      </c>
    </row>
    <row r="226" spans="1:12" x14ac:dyDescent="0.25">
      <c r="A226" s="7">
        <v>46199.5</v>
      </c>
      <c r="B226" t="s">
        <v>16</v>
      </c>
      <c r="C226" t="s">
        <v>3426</v>
      </c>
      <c r="D226" t="s">
        <v>184</v>
      </c>
      <c r="E226" t="s">
        <v>3814</v>
      </c>
      <c r="F226" t="s">
        <v>101</v>
      </c>
      <c r="G226">
        <v>1</v>
      </c>
      <c r="H226" s="3">
        <v>1.2</v>
      </c>
      <c r="I226" s="3">
        <v>1.61</v>
      </c>
      <c r="J226" s="3">
        <v>-0.73</v>
      </c>
      <c r="K226" s="14">
        <v>-60.7</v>
      </c>
      <c r="L226" t="s">
        <v>1</v>
      </c>
    </row>
    <row r="227" spans="1:12" x14ac:dyDescent="0.25">
      <c r="A227" s="7">
        <v>46198.5</v>
      </c>
      <c r="B227" t="s">
        <v>13</v>
      </c>
      <c r="C227" t="s">
        <v>1088</v>
      </c>
      <c r="D227" t="s">
        <v>176</v>
      </c>
      <c r="E227" t="s">
        <v>3812</v>
      </c>
      <c r="F227" t="s">
        <v>77</v>
      </c>
      <c r="G227">
        <v>4</v>
      </c>
      <c r="H227" s="3">
        <v>0.6</v>
      </c>
      <c r="I227" s="3">
        <v>0.73</v>
      </c>
      <c r="J227" s="3">
        <v>-9.96</v>
      </c>
      <c r="K227" s="14">
        <v>-1660.33</v>
      </c>
      <c r="L227" t="s">
        <v>1</v>
      </c>
    </row>
    <row r="228" spans="1:12" x14ac:dyDescent="0.25">
      <c r="A228" s="7">
        <v>46198.5</v>
      </c>
      <c r="B228" t="s">
        <v>13</v>
      </c>
      <c r="C228" t="s">
        <v>1089</v>
      </c>
      <c r="D228" t="s">
        <v>184</v>
      </c>
      <c r="E228" t="s">
        <v>3814</v>
      </c>
      <c r="F228" t="s">
        <v>101</v>
      </c>
      <c r="G228">
        <v>1</v>
      </c>
      <c r="H228" s="3">
        <v>1.2</v>
      </c>
      <c r="I228" s="3">
        <v>1.55</v>
      </c>
      <c r="J228" s="3">
        <v>-9.87</v>
      </c>
      <c r="K228" s="14">
        <v>-822.4</v>
      </c>
      <c r="L228" t="s">
        <v>1</v>
      </c>
    </row>
    <row r="229" spans="1:12" x14ac:dyDescent="0.25">
      <c r="A229" s="7">
        <v>46198.5</v>
      </c>
      <c r="B229" t="s">
        <v>14</v>
      </c>
      <c r="C229" t="s">
        <v>1883</v>
      </c>
      <c r="D229" t="s">
        <v>176</v>
      </c>
      <c r="E229" t="s">
        <v>3812</v>
      </c>
      <c r="F229" t="s">
        <v>77</v>
      </c>
      <c r="G229">
        <v>4</v>
      </c>
      <c r="H229" s="3">
        <v>0.6</v>
      </c>
      <c r="I229" s="3">
        <v>0.73</v>
      </c>
      <c r="J229" s="3">
        <v>-1.43</v>
      </c>
      <c r="K229" s="14">
        <v>-195.77</v>
      </c>
      <c r="L229" t="s">
        <v>1</v>
      </c>
    </row>
    <row r="230" spans="1:12" x14ac:dyDescent="0.25">
      <c r="A230" s="7">
        <v>46198.5</v>
      </c>
      <c r="B230" t="s">
        <v>15</v>
      </c>
      <c r="C230" t="s">
        <v>2674</v>
      </c>
      <c r="D230" t="s">
        <v>181</v>
      </c>
      <c r="E230" t="s">
        <v>3813</v>
      </c>
      <c r="F230" t="s">
        <v>72</v>
      </c>
      <c r="G230">
        <v>1</v>
      </c>
      <c r="H230" s="3">
        <v>1.9</v>
      </c>
      <c r="I230" s="3">
        <v>2.49</v>
      </c>
      <c r="J230" s="3">
        <v>-0.72</v>
      </c>
      <c r="K230" s="14">
        <v>-37.76</v>
      </c>
      <c r="L230" t="s">
        <v>1</v>
      </c>
    </row>
    <row r="231" spans="1:12" x14ac:dyDescent="0.25">
      <c r="A231" s="7">
        <v>46197.5</v>
      </c>
      <c r="B231" t="s">
        <v>12</v>
      </c>
      <c r="C231" t="s">
        <v>403</v>
      </c>
      <c r="D231" t="s">
        <v>184</v>
      </c>
      <c r="E231" t="s">
        <v>3814</v>
      </c>
      <c r="F231" t="s">
        <v>101</v>
      </c>
      <c r="G231">
        <v>1</v>
      </c>
      <c r="H231" s="3">
        <v>1.2</v>
      </c>
      <c r="I231" s="3">
        <v>1.43</v>
      </c>
      <c r="J231" s="3">
        <v>-0.93</v>
      </c>
      <c r="K231" s="14">
        <v>-77.57</v>
      </c>
      <c r="L231" t="s">
        <v>1</v>
      </c>
    </row>
    <row r="232" spans="1:12" x14ac:dyDescent="0.25">
      <c r="A232" s="7">
        <v>46197.5</v>
      </c>
      <c r="B232" t="s">
        <v>12</v>
      </c>
      <c r="C232" t="s">
        <v>404</v>
      </c>
      <c r="D232" t="s">
        <v>184</v>
      </c>
      <c r="E232" t="s">
        <v>3814</v>
      </c>
      <c r="F232" t="s">
        <v>101</v>
      </c>
      <c r="G232">
        <v>2</v>
      </c>
      <c r="H232" s="3">
        <v>2.4</v>
      </c>
      <c r="I232" s="3">
        <v>3.19</v>
      </c>
      <c r="J232" s="3">
        <v>-0.62</v>
      </c>
      <c r="K232" s="14">
        <v>-25.63</v>
      </c>
      <c r="L232" t="s">
        <v>1</v>
      </c>
    </row>
    <row r="233" spans="1:12" x14ac:dyDescent="0.25">
      <c r="A233" s="7">
        <v>46197.5</v>
      </c>
      <c r="B233" t="s">
        <v>13</v>
      </c>
      <c r="C233" t="s">
        <v>1094</v>
      </c>
      <c r="D233" t="s">
        <v>184</v>
      </c>
      <c r="E233" t="s">
        <v>3814</v>
      </c>
      <c r="F233" t="s">
        <v>101</v>
      </c>
      <c r="G233">
        <v>4</v>
      </c>
      <c r="H233" s="3">
        <v>4.8</v>
      </c>
      <c r="I233" s="3">
        <v>6</v>
      </c>
      <c r="J233" s="3">
        <v>-9.65</v>
      </c>
      <c r="K233" s="14">
        <v>-201.04</v>
      </c>
      <c r="L233" t="s">
        <v>1</v>
      </c>
    </row>
    <row r="234" spans="1:12" x14ac:dyDescent="0.25">
      <c r="A234" s="7">
        <v>46197.5</v>
      </c>
      <c r="B234" t="s">
        <v>14</v>
      </c>
      <c r="C234" t="s">
        <v>1898</v>
      </c>
      <c r="D234" t="s">
        <v>188</v>
      </c>
      <c r="E234" t="s">
        <v>3810</v>
      </c>
      <c r="F234" t="s">
        <v>63</v>
      </c>
      <c r="G234">
        <v>2</v>
      </c>
      <c r="H234" s="3">
        <v>7</v>
      </c>
      <c r="I234" s="3">
        <v>9.31</v>
      </c>
      <c r="J234" s="3">
        <v>-0.29</v>
      </c>
      <c r="K234" s="14">
        <v>-3.09</v>
      </c>
      <c r="L234" t="s">
        <v>1</v>
      </c>
    </row>
    <row r="235" spans="1:12" x14ac:dyDescent="0.25">
      <c r="A235" s="7">
        <v>46197.5</v>
      </c>
      <c r="B235" t="s">
        <v>14</v>
      </c>
      <c r="C235" t="s">
        <v>1899</v>
      </c>
      <c r="D235" t="s">
        <v>176</v>
      </c>
      <c r="E235" t="s">
        <v>3812</v>
      </c>
      <c r="F235" t="s">
        <v>77</v>
      </c>
      <c r="G235">
        <v>4</v>
      </c>
      <c r="H235" s="3">
        <v>0.6</v>
      </c>
      <c r="I235" s="3">
        <v>0.71</v>
      </c>
      <c r="J235" s="3">
        <v>-1.44</v>
      </c>
      <c r="K235" s="14">
        <v>-203.41</v>
      </c>
      <c r="L235" t="s">
        <v>1</v>
      </c>
    </row>
    <row r="236" spans="1:12" x14ac:dyDescent="0.25">
      <c r="A236" s="7">
        <v>46196.5</v>
      </c>
      <c r="B236" t="s">
        <v>12</v>
      </c>
      <c r="C236" t="s">
        <v>411</v>
      </c>
      <c r="D236" t="s">
        <v>176</v>
      </c>
      <c r="E236" t="s">
        <v>3812</v>
      </c>
      <c r="F236" t="s">
        <v>77</v>
      </c>
      <c r="G236">
        <v>3</v>
      </c>
      <c r="H236" s="3">
        <v>0.45</v>
      </c>
      <c r="I236" s="3">
        <v>0.64</v>
      </c>
      <c r="J236" s="3">
        <v>-0.9</v>
      </c>
      <c r="K236" s="14">
        <v>-199.22</v>
      </c>
      <c r="L236" t="s">
        <v>1</v>
      </c>
    </row>
    <row r="237" spans="1:12" x14ac:dyDescent="0.25">
      <c r="A237" s="7">
        <v>46196.5</v>
      </c>
      <c r="B237" t="s">
        <v>13</v>
      </c>
      <c r="C237" t="s">
        <v>1097</v>
      </c>
      <c r="D237" t="s">
        <v>188</v>
      </c>
      <c r="E237" t="s">
        <v>3810</v>
      </c>
      <c r="F237" t="s">
        <v>63</v>
      </c>
      <c r="G237">
        <v>1</v>
      </c>
      <c r="H237" s="3">
        <v>3.5</v>
      </c>
      <c r="I237" s="3">
        <v>4.62</v>
      </c>
      <c r="J237" s="3">
        <v>-9.56</v>
      </c>
      <c r="K237" s="14">
        <v>-273.28</v>
      </c>
      <c r="L237" t="s">
        <v>1</v>
      </c>
    </row>
    <row r="238" spans="1:12" x14ac:dyDescent="0.25">
      <c r="A238" s="7">
        <v>46196.5</v>
      </c>
      <c r="B238" t="s">
        <v>13</v>
      </c>
      <c r="C238" t="s">
        <v>1098</v>
      </c>
      <c r="D238" t="s">
        <v>173</v>
      </c>
      <c r="E238" t="s">
        <v>3811</v>
      </c>
      <c r="F238" t="s">
        <v>63</v>
      </c>
      <c r="G238">
        <v>3</v>
      </c>
      <c r="H238" s="3">
        <v>12.75</v>
      </c>
      <c r="I238" s="3">
        <v>16.57</v>
      </c>
      <c r="J238" s="3">
        <v>-8.63</v>
      </c>
      <c r="K238" s="14">
        <v>-67.68</v>
      </c>
      <c r="L238" t="s">
        <v>1</v>
      </c>
    </row>
    <row r="239" spans="1:12" x14ac:dyDescent="0.25">
      <c r="A239" s="7">
        <v>46196.5</v>
      </c>
      <c r="B239" t="s">
        <v>14</v>
      </c>
      <c r="C239" t="s">
        <v>1908</v>
      </c>
      <c r="D239" t="s">
        <v>188</v>
      </c>
      <c r="E239" t="s">
        <v>3810</v>
      </c>
      <c r="F239" t="s">
        <v>63</v>
      </c>
      <c r="G239">
        <v>1</v>
      </c>
      <c r="H239" s="3">
        <v>3.5</v>
      </c>
      <c r="I239" s="3">
        <v>4.87</v>
      </c>
      <c r="J239" s="3">
        <v>-0.72</v>
      </c>
      <c r="K239" s="14">
        <v>-14.82</v>
      </c>
      <c r="L239" t="s">
        <v>1</v>
      </c>
    </row>
    <row r="240" spans="1:12" x14ac:dyDescent="0.25">
      <c r="A240" s="7">
        <v>46196.5</v>
      </c>
      <c r="B240" t="s">
        <v>14</v>
      </c>
      <c r="C240" t="s">
        <v>1909</v>
      </c>
      <c r="D240" t="s">
        <v>253</v>
      </c>
      <c r="E240" t="s">
        <v>3815</v>
      </c>
      <c r="F240" t="s">
        <v>57</v>
      </c>
      <c r="G240">
        <v>2</v>
      </c>
      <c r="H240" s="3">
        <v>1.6</v>
      </c>
      <c r="I240" s="3">
        <v>2.14</v>
      </c>
      <c r="J240" s="3">
        <v>-1.2</v>
      </c>
      <c r="K240" s="14">
        <v>-56</v>
      </c>
      <c r="L240" t="s">
        <v>1</v>
      </c>
    </row>
    <row r="241" spans="1:12" x14ac:dyDescent="0.25">
      <c r="A241" s="7">
        <v>46195.5</v>
      </c>
      <c r="B241" t="s">
        <v>12</v>
      </c>
      <c r="C241" t="s">
        <v>416</v>
      </c>
      <c r="D241" t="s">
        <v>188</v>
      </c>
      <c r="E241" t="s">
        <v>3810</v>
      </c>
      <c r="F241" t="s">
        <v>63</v>
      </c>
      <c r="G241">
        <v>4</v>
      </c>
      <c r="H241" s="3">
        <v>14</v>
      </c>
      <c r="I241" s="3">
        <v>19.74</v>
      </c>
      <c r="J241" s="3">
        <v>2.09</v>
      </c>
      <c r="K241" s="14">
        <v>14.94</v>
      </c>
      <c r="L241" t="s">
        <v>1</v>
      </c>
    </row>
    <row r="242" spans="1:12" x14ac:dyDescent="0.25">
      <c r="A242" s="7">
        <v>46194.5</v>
      </c>
      <c r="B242" t="s">
        <v>12</v>
      </c>
      <c r="C242" t="s">
        <v>424</v>
      </c>
      <c r="D242" t="s">
        <v>253</v>
      </c>
      <c r="E242" t="s">
        <v>3815</v>
      </c>
      <c r="F242" t="s">
        <v>57</v>
      </c>
      <c r="G242">
        <v>1</v>
      </c>
      <c r="H242" s="3">
        <v>0.8</v>
      </c>
      <c r="I242" s="3">
        <v>1.08</v>
      </c>
      <c r="J242" s="3">
        <v>-0.86</v>
      </c>
      <c r="K242" s="14">
        <v>-107.4</v>
      </c>
      <c r="L242" t="s">
        <v>1</v>
      </c>
    </row>
    <row r="243" spans="1:12" x14ac:dyDescent="0.25">
      <c r="A243" s="7">
        <v>46194.5</v>
      </c>
      <c r="B243" t="s">
        <v>15</v>
      </c>
      <c r="C243" t="s">
        <v>2689</v>
      </c>
      <c r="D243" t="s">
        <v>173</v>
      </c>
      <c r="E243" t="s">
        <v>3811</v>
      </c>
      <c r="F243" t="s">
        <v>63</v>
      </c>
      <c r="G243">
        <v>1</v>
      </c>
      <c r="H243" s="3">
        <v>4.25</v>
      </c>
      <c r="I243" s="3">
        <v>5.01</v>
      </c>
      <c r="J243" s="3">
        <v>-0.79</v>
      </c>
      <c r="K243" s="14">
        <v>-18.53</v>
      </c>
      <c r="L243" t="s">
        <v>1</v>
      </c>
    </row>
    <row r="244" spans="1:12" x14ac:dyDescent="0.25">
      <c r="A244" s="7">
        <v>46193.5</v>
      </c>
      <c r="B244" t="s">
        <v>12</v>
      </c>
      <c r="C244" t="s">
        <v>433</v>
      </c>
      <c r="D244" t="s">
        <v>184</v>
      </c>
      <c r="E244" t="s">
        <v>3814</v>
      </c>
      <c r="F244" t="s">
        <v>101</v>
      </c>
      <c r="G244">
        <v>2</v>
      </c>
      <c r="H244" s="3">
        <v>2.4</v>
      </c>
      <c r="I244" s="3">
        <v>3.26</v>
      </c>
      <c r="J244" s="3">
        <v>-0.56</v>
      </c>
      <c r="K244" s="14">
        <v>-23.44</v>
      </c>
      <c r="L244" t="s">
        <v>1</v>
      </c>
    </row>
    <row r="245" spans="1:12" x14ac:dyDescent="0.25">
      <c r="A245" s="7">
        <v>46193.5</v>
      </c>
      <c r="B245" t="s">
        <v>12</v>
      </c>
      <c r="C245" t="s">
        <v>434</v>
      </c>
      <c r="D245" t="s">
        <v>184</v>
      </c>
      <c r="E245" t="s">
        <v>3814</v>
      </c>
      <c r="F245" t="s">
        <v>101</v>
      </c>
      <c r="G245">
        <v>1</v>
      </c>
      <c r="H245" s="3">
        <v>1.2</v>
      </c>
      <c r="I245" s="3">
        <v>1.64</v>
      </c>
      <c r="J245" s="3">
        <v>-0.77</v>
      </c>
      <c r="K245" s="14">
        <v>-64.49</v>
      </c>
      <c r="L245" t="s">
        <v>1</v>
      </c>
    </row>
    <row r="246" spans="1:12" x14ac:dyDescent="0.25">
      <c r="A246" s="7">
        <v>46193.5</v>
      </c>
      <c r="B246" t="s">
        <v>13</v>
      </c>
      <c r="C246" t="s">
        <v>1119</v>
      </c>
      <c r="D246" t="s">
        <v>253</v>
      </c>
      <c r="E246" t="s">
        <v>3815</v>
      </c>
      <c r="F246" t="s">
        <v>57</v>
      </c>
      <c r="G246">
        <v>3</v>
      </c>
      <c r="H246" s="3">
        <v>2.4</v>
      </c>
      <c r="I246" s="3">
        <v>3.46</v>
      </c>
      <c r="J246" s="3">
        <v>-9.49</v>
      </c>
      <c r="K246" s="14">
        <v>-395.3</v>
      </c>
      <c r="L246" t="s">
        <v>1</v>
      </c>
    </row>
    <row r="247" spans="1:12" x14ac:dyDescent="0.25">
      <c r="A247" s="7">
        <v>46193.5</v>
      </c>
      <c r="B247" t="s">
        <v>13</v>
      </c>
      <c r="C247" t="s">
        <v>1118</v>
      </c>
      <c r="D247" t="s">
        <v>181</v>
      </c>
      <c r="E247" t="s">
        <v>3813</v>
      </c>
      <c r="F247" t="s">
        <v>72</v>
      </c>
      <c r="G247">
        <v>2</v>
      </c>
      <c r="H247" s="3">
        <v>3.8</v>
      </c>
      <c r="I247" s="3">
        <v>5.43</v>
      </c>
      <c r="J247" s="3">
        <v>-9.23</v>
      </c>
      <c r="K247" s="14">
        <v>-242.87</v>
      </c>
      <c r="L247" t="s">
        <v>1</v>
      </c>
    </row>
    <row r="248" spans="1:12" x14ac:dyDescent="0.25">
      <c r="A248" s="7">
        <v>46193.5</v>
      </c>
      <c r="B248" t="s">
        <v>14</v>
      </c>
      <c r="C248" t="s">
        <v>1925</v>
      </c>
      <c r="D248" t="s">
        <v>176</v>
      </c>
      <c r="E248" t="s">
        <v>3812</v>
      </c>
      <c r="F248" t="s">
        <v>77</v>
      </c>
      <c r="G248">
        <v>3</v>
      </c>
      <c r="H248" s="3">
        <v>0.45</v>
      </c>
      <c r="I248" s="3">
        <v>0.54</v>
      </c>
      <c r="J248" s="3">
        <v>-1.45</v>
      </c>
      <c r="K248" s="14">
        <v>-268.06</v>
      </c>
      <c r="L248" t="s">
        <v>1</v>
      </c>
    </row>
    <row r="249" spans="1:12" x14ac:dyDescent="0.25">
      <c r="A249" s="7">
        <v>46193.5</v>
      </c>
      <c r="B249" t="s">
        <v>14</v>
      </c>
      <c r="C249" t="s">
        <v>1926</v>
      </c>
      <c r="D249" t="s">
        <v>184</v>
      </c>
      <c r="E249" t="s">
        <v>3814</v>
      </c>
      <c r="F249" t="s">
        <v>101</v>
      </c>
      <c r="G249">
        <v>2</v>
      </c>
      <c r="H249" s="3">
        <v>2.4</v>
      </c>
      <c r="I249" s="3">
        <v>2.86</v>
      </c>
      <c r="J249" s="3">
        <v>-1.32</v>
      </c>
      <c r="K249" s="14">
        <v>-46.22</v>
      </c>
      <c r="L249" t="s">
        <v>1</v>
      </c>
    </row>
    <row r="250" spans="1:12" x14ac:dyDescent="0.25">
      <c r="A250" s="7">
        <v>46192.5</v>
      </c>
      <c r="B250" t="s">
        <v>14</v>
      </c>
      <c r="C250" t="s">
        <v>1933</v>
      </c>
      <c r="D250" t="s">
        <v>253</v>
      </c>
      <c r="E250" t="s">
        <v>3815</v>
      </c>
      <c r="F250" t="s">
        <v>57</v>
      </c>
      <c r="G250">
        <v>4</v>
      </c>
      <c r="H250" s="3">
        <v>3.2</v>
      </c>
      <c r="I250" s="3">
        <v>3.68</v>
      </c>
      <c r="J250" s="3">
        <v>-1.37</v>
      </c>
      <c r="K250" s="14">
        <v>-37.22</v>
      </c>
      <c r="L250" t="s">
        <v>1</v>
      </c>
    </row>
    <row r="251" spans="1:12" x14ac:dyDescent="0.25">
      <c r="A251" s="7">
        <v>46192.5</v>
      </c>
      <c r="B251" t="s">
        <v>15</v>
      </c>
      <c r="C251" t="s">
        <v>2706</v>
      </c>
      <c r="D251" t="s">
        <v>188</v>
      </c>
      <c r="E251" t="s">
        <v>3810</v>
      </c>
      <c r="F251" t="s">
        <v>63</v>
      </c>
      <c r="G251">
        <v>1</v>
      </c>
      <c r="H251" s="3">
        <v>3.5</v>
      </c>
      <c r="I251" s="3">
        <v>5.08</v>
      </c>
      <c r="J251" s="3">
        <v>-0.11</v>
      </c>
      <c r="K251" s="14">
        <v>-3.15</v>
      </c>
      <c r="L251" t="s">
        <v>1</v>
      </c>
    </row>
    <row r="252" spans="1:12" x14ac:dyDescent="0.25">
      <c r="A252" s="7">
        <v>46192.5</v>
      </c>
      <c r="B252" t="s">
        <v>15</v>
      </c>
      <c r="C252" t="s">
        <v>2707</v>
      </c>
      <c r="D252" t="s">
        <v>173</v>
      </c>
      <c r="E252" t="s">
        <v>3811</v>
      </c>
      <c r="F252" t="s">
        <v>63</v>
      </c>
      <c r="G252">
        <v>1</v>
      </c>
      <c r="H252" s="3">
        <v>4.25</v>
      </c>
      <c r="I252" s="3">
        <v>5.95</v>
      </c>
      <c r="J252" s="3">
        <v>-0.08</v>
      </c>
      <c r="K252" s="14">
        <v>-1.96</v>
      </c>
      <c r="L252" t="s">
        <v>1</v>
      </c>
    </row>
    <row r="253" spans="1:12" x14ac:dyDescent="0.25">
      <c r="A253" s="7">
        <v>46192.5</v>
      </c>
      <c r="B253" t="s">
        <v>15</v>
      </c>
      <c r="C253" t="s">
        <v>2708</v>
      </c>
      <c r="D253" t="s">
        <v>173</v>
      </c>
      <c r="E253" t="s">
        <v>3811</v>
      </c>
      <c r="F253" t="s">
        <v>63</v>
      </c>
      <c r="G253">
        <v>1</v>
      </c>
      <c r="H253" s="3">
        <v>4.25</v>
      </c>
      <c r="I253" s="3">
        <v>5.18</v>
      </c>
      <c r="J253" s="3">
        <v>-0.66</v>
      </c>
      <c r="K253" s="14">
        <v>-15.53</v>
      </c>
      <c r="L253" t="s">
        <v>1</v>
      </c>
    </row>
    <row r="254" spans="1:12" x14ac:dyDescent="0.25">
      <c r="A254" s="7">
        <v>46192.5</v>
      </c>
      <c r="B254" t="s">
        <v>16</v>
      </c>
      <c r="C254" t="s">
        <v>3489</v>
      </c>
      <c r="D254" t="s">
        <v>188</v>
      </c>
      <c r="E254" t="s">
        <v>3810</v>
      </c>
      <c r="F254" t="s">
        <v>63</v>
      </c>
      <c r="G254">
        <v>2</v>
      </c>
      <c r="H254" s="3">
        <v>7</v>
      </c>
      <c r="I254" s="3">
        <v>8.12</v>
      </c>
      <c r="J254" s="3">
        <v>-0.44</v>
      </c>
      <c r="K254" s="14">
        <v>-6.24</v>
      </c>
      <c r="L254" t="s">
        <v>1</v>
      </c>
    </row>
    <row r="255" spans="1:12" x14ac:dyDescent="0.25">
      <c r="A255" s="7">
        <v>46192.5</v>
      </c>
      <c r="B255" t="s">
        <v>16</v>
      </c>
      <c r="C255" t="s">
        <v>3490</v>
      </c>
      <c r="D255" t="s">
        <v>173</v>
      </c>
      <c r="E255" t="s">
        <v>3811</v>
      </c>
      <c r="F255" t="s">
        <v>63</v>
      </c>
      <c r="G255">
        <v>3</v>
      </c>
      <c r="H255" s="3">
        <v>12.75</v>
      </c>
      <c r="I255" s="3">
        <v>16.45</v>
      </c>
      <c r="J255" s="3">
        <v>1.32</v>
      </c>
      <c r="K255" s="14">
        <v>10.38</v>
      </c>
      <c r="L255" t="s">
        <v>1</v>
      </c>
    </row>
    <row r="256" spans="1:12" x14ac:dyDescent="0.25">
      <c r="A256" s="7">
        <v>46192.5</v>
      </c>
      <c r="B256" t="s">
        <v>16</v>
      </c>
      <c r="C256" t="s">
        <v>3491</v>
      </c>
      <c r="D256" t="s">
        <v>176</v>
      </c>
      <c r="E256" t="s">
        <v>3812</v>
      </c>
      <c r="F256" t="s">
        <v>77</v>
      </c>
      <c r="G256">
        <v>3</v>
      </c>
      <c r="H256" s="3">
        <v>0.45</v>
      </c>
      <c r="I256" s="3">
        <v>0.52</v>
      </c>
      <c r="J256" s="3">
        <v>-0.96</v>
      </c>
      <c r="K256" s="14">
        <v>-213.7</v>
      </c>
      <c r="L256" t="s">
        <v>1</v>
      </c>
    </row>
    <row r="257" spans="1:12" x14ac:dyDescent="0.25">
      <c r="A257" s="7">
        <v>46192.5</v>
      </c>
      <c r="B257" t="s">
        <v>16</v>
      </c>
      <c r="C257" t="s">
        <v>3492</v>
      </c>
      <c r="D257" t="s">
        <v>253</v>
      </c>
      <c r="E257" t="s">
        <v>3815</v>
      </c>
      <c r="F257" t="s">
        <v>57</v>
      </c>
      <c r="G257">
        <v>4</v>
      </c>
      <c r="H257" s="3">
        <v>3.2</v>
      </c>
      <c r="I257" s="3">
        <v>4.51</v>
      </c>
      <c r="J257" s="3">
        <v>-0.12</v>
      </c>
      <c r="K257" s="14">
        <v>-3.7</v>
      </c>
      <c r="L257" t="s">
        <v>1</v>
      </c>
    </row>
    <row r="258" spans="1:12" x14ac:dyDescent="0.25">
      <c r="A258" s="7">
        <v>46192.5</v>
      </c>
      <c r="B258" t="s">
        <v>16</v>
      </c>
      <c r="C258" t="s">
        <v>3493</v>
      </c>
      <c r="D258" t="s">
        <v>184</v>
      </c>
      <c r="E258" t="s">
        <v>3814</v>
      </c>
      <c r="F258" t="s">
        <v>101</v>
      </c>
      <c r="G258">
        <v>3</v>
      </c>
      <c r="H258" s="3">
        <v>3.6</v>
      </c>
      <c r="I258" s="3">
        <v>4.97</v>
      </c>
      <c r="J258" s="3">
        <v>-0.09</v>
      </c>
      <c r="K258" s="14">
        <v>-2.45</v>
      </c>
      <c r="L258" t="s">
        <v>1</v>
      </c>
    </row>
    <row r="259" spans="1:12" x14ac:dyDescent="0.25">
      <c r="A259" s="7">
        <v>46191.5</v>
      </c>
      <c r="B259" t="s">
        <v>12</v>
      </c>
      <c r="C259" t="s">
        <v>455</v>
      </c>
      <c r="D259" t="s">
        <v>181</v>
      </c>
      <c r="E259" t="s">
        <v>3813</v>
      </c>
      <c r="F259" t="s">
        <v>72</v>
      </c>
      <c r="G259">
        <v>4</v>
      </c>
      <c r="H259" s="3">
        <v>7.6</v>
      </c>
      <c r="I259" s="3">
        <v>9.42</v>
      </c>
      <c r="J259" s="3">
        <v>-0.29</v>
      </c>
      <c r="K259" s="14">
        <v>-3.82</v>
      </c>
      <c r="L259" t="s">
        <v>1</v>
      </c>
    </row>
    <row r="260" spans="1:12" x14ac:dyDescent="0.25">
      <c r="A260" s="7">
        <v>46191.5</v>
      </c>
      <c r="B260" t="s">
        <v>12</v>
      </c>
      <c r="C260" t="s">
        <v>456</v>
      </c>
      <c r="D260" t="s">
        <v>181</v>
      </c>
      <c r="E260" t="s">
        <v>3813</v>
      </c>
      <c r="F260" t="s">
        <v>72</v>
      </c>
      <c r="G260">
        <v>1</v>
      </c>
      <c r="H260" s="3">
        <v>1.9</v>
      </c>
      <c r="I260" s="3">
        <v>2.32</v>
      </c>
      <c r="J260" s="3">
        <v>-0.85</v>
      </c>
      <c r="K260" s="14">
        <v>-44.67</v>
      </c>
      <c r="L260" t="s">
        <v>1</v>
      </c>
    </row>
    <row r="261" spans="1:12" x14ac:dyDescent="0.25">
      <c r="A261" s="7">
        <v>46191.5</v>
      </c>
      <c r="B261" t="s">
        <v>12</v>
      </c>
      <c r="C261" t="s">
        <v>457</v>
      </c>
      <c r="D261" t="s">
        <v>181</v>
      </c>
      <c r="E261" t="s">
        <v>3813</v>
      </c>
      <c r="F261" t="s">
        <v>72</v>
      </c>
      <c r="G261">
        <v>3</v>
      </c>
      <c r="H261" s="3">
        <v>5.7</v>
      </c>
      <c r="I261" s="3">
        <v>6.95</v>
      </c>
      <c r="J261" s="3">
        <v>-0.55</v>
      </c>
      <c r="K261" s="14">
        <v>-9.72</v>
      </c>
      <c r="L261" t="s">
        <v>1</v>
      </c>
    </row>
    <row r="262" spans="1:12" x14ac:dyDescent="0.25">
      <c r="A262" s="7">
        <v>46191.5</v>
      </c>
      <c r="B262" t="s">
        <v>13</v>
      </c>
      <c r="C262" t="s">
        <v>1143</v>
      </c>
      <c r="D262" t="s">
        <v>253</v>
      </c>
      <c r="E262" t="s">
        <v>3815</v>
      </c>
      <c r="F262" t="s">
        <v>57</v>
      </c>
      <c r="G262">
        <v>1</v>
      </c>
      <c r="H262" s="3">
        <v>0.8</v>
      </c>
      <c r="I262" s="3">
        <v>1.1</v>
      </c>
      <c r="J262" s="3">
        <v>-9.86</v>
      </c>
      <c r="K262" s="14">
        <v>-1232.63</v>
      </c>
      <c r="L262" t="s">
        <v>1</v>
      </c>
    </row>
    <row r="263" spans="1:12" x14ac:dyDescent="0.25">
      <c r="A263" s="7">
        <v>46191.5</v>
      </c>
      <c r="B263" t="s">
        <v>15</v>
      </c>
      <c r="C263" t="s">
        <v>2713</v>
      </c>
      <c r="D263" t="s">
        <v>173</v>
      </c>
      <c r="E263" t="s">
        <v>3811</v>
      </c>
      <c r="F263" t="s">
        <v>63</v>
      </c>
      <c r="G263">
        <v>1</v>
      </c>
      <c r="H263" s="3">
        <v>4.25</v>
      </c>
      <c r="I263" s="3">
        <v>6.08</v>
      </c>
      <c r="J263" s="3">
        <v>0.01</v>
      </c>
      <c r="K263" s="14">
        <v>0.33</v>
      </c>
      <c r="L263" t="s">
        <v>1</v>
      </c>
    </row>
    <row r="264" spans="1:12" x14ac:dyDescent="0.25">
      <c r="A264" s="7">
        <v>46191.5</v>
      </c>
      <c r="B264" t="s">
        <v>16</v>
      </c>
      <c r="C264" t="s">
        <v>3496</v>
      </c>
      <c r="D264" t="s">
        <v>176</v>
      </c>
      <c r="E264" t="s">
        <v>3812</v>
      </c>
      <c r="F264" t="s">
        <v>77</v>
      </c>
      <c r="G264">
        <v>2</v>
      </c>
      <c r="H264" s="3">
        <v>0.3</v>
      </c>
      <c r="I264" s="3">
        <v>0.42</v>
      </c>
      <c r="J264" s="3">
        <v>-0.92</v>
      </c>
      <c r="K264" s="14">
        <v>-306.67</v>
      </c>
      <c r="L264" t="s">
        <v>1</v>
      </c>
    </row>
    <row r="265" spans="1:12" x14ac:dyDescent="0.25">
      <c r="A265" s="7">
        <v>46191.5</v>
      </c>
      <c r="B265" t="s">
        <v>16</v>
      </c>
      <c r="C265" t="s">
        <v>3497</v>
      </c>
      <c r="D265" t="s">
        <v>181</v>
      </c>
      <c r="E265" t="s">
        <v>3813</v>
      </c>
      <c r="F265" t="s">
        <v>72</v>
      </c>
      <c r="G265">
        <v>1</v>
      </c>
      <c r="H265" s="3">
        <v>1.9</v>
      </c>
      <c r="I265" s="3">
        <v>2.74</v>
      </c>
      <c r="J265" s="3">
        <v>-0.43</v>
      </c>
      <c r="K265" s="14">
        <v>-22.63</v>
      </c>
      <c r="L265" t="s">
        <v>1</v>
      </c>
    </row>
    <row r="266" spans="1:12" x14ac:dyDescent="0.25">
      <c r="A266" s="7">
        <v>46191.5</v>
      </c>
      <c r="B266" t="s">
        <v>16</v>
      </c>
      <c r="C266" t="s">
        <v>3498</v>
      </c>
      <c r="D266" t="s">
        <v>184</v>
      </c>
      <c r="E266" t="s">
        <v>3814</v>
      </c>
      <c r="F266" t="s">
        <v>101</v>
      </c>
      <c r="G266">
        <v>4</v>
      </c>
      <c r="H266" s="3">
        <v>4.8</v>
      </c>
      <c r="I266" s="3">
        <v>6.53</v>
      </c>
      <c r="J266" s="3">
        <v>0.14</v>
      </c>
      <c r="K266" s="14">
        <v>2.95</v>
      </c>
      <c r="L266" t="s">
        <v>1</v>
      </c>
    </row>
    <row r="267" spans="1:12" x14ac:dyDescent="0.25">
      <c r="A267" s="7">
        <v>46190.5</v>
      </c>
      <c r="B267" t="s">
        <v>15</v>
      </c>
      <c r="C267" t="s">
        <v>2726</v>
      </c>
      <c r="D267" t="s">
        <v>176</v>
      </c>
      <c r="E267" t="s">
        <v>3812</v>
      </c>
      <c r="F267" t="s">
        <v>77</v>
      </c>
      <c r="G267">
        <v>1</v>
      </c>
      <c r="H267" s="3">
        <v>0.15</v>
      </c>
      <c r="I267" s="3">
        <v>0.19</v>
      </c>
      <c r="J267" s="3">
        <v>-0.98</v>
      </c>
      <c r="K267" s="14">
        <v>-655.09</v>
      </c>
      <c r="L267" t="s">
        <v>1</v>
      </c>
    </row>
    <row r="268" spans="1:12" x14ac:dyDescent="0.25">
      <c r="A268" s="7">
        <v>46189.5</v>
      </c>
      <c r="B268" t="s">
        <v>13</v>
      </c>
      <c r="C268" t="s">
        <v>1165</v>
      </c>
      <c r="D268" t="s">
        <v>188</v>
      </c>
      <c r="E268" t="s">
        <v>3810</v>
      </c>
      <c r="F268" t="s">
        <v>63</v>
      </c>
      <c r="G268">
        <v>1</v>
      </c>
      <c r="H268" s="3">
        <v>3.5</v>
      </c>
      <c r="I268" s="3">
        <v>4.2</v>
      </c>
      <c r="J268" s="3">
        <v>-9.87</v>
      </c>
      <c r="K268" s="14">
        <v>-281.96</v>
      </c>
      <c r="L268" t="s">
        <v>1</v>
      </c>
    </row>
    <row r="269" spans="1:12" x14ac:dyDescent="0.25">
      <c r="A269" s="7">
        <v>46189.5</v>
      </c>
      <c r="B269" t="s">
        <v>13</v>
      </c>
      <c r="C269" t="s">
        <v>1166</v>
      </c>
      <c r="D269" t="s">
        <v>173</v>
      </c>
      <c r="E269" t="s">
        <v>3811</v>
      </c>
      <c r="F269" t="s">
        <v>63</v>
      </c>
      <c r="G269">
        <v>4</v>
      </c>
      <c r="H269" s="3">
        <v>17</v>
      </c>
      <c r="I269" s="3">
        <v>19.55</v>
      </c>
      <c r="J269" s="3">
        <v>-10.02</v>
      </c>
      <c r="K269" s="14">
        <v>-58.92</v>
      </c>
      <c r="L269" t="s">
        <v>1</v>
      </c>
    </row>
    <row r="270" spans="1:12" x14ac:dyDescent="0.25">
      <c r="A270" s="7">
        <v>46189.5</v>
      </c>
      <c r="B270" t="s">
        <v>13</v>
      </c>
      <c r="C270" t="s">
        <v>1162</v>
      </c>
      <c r="D270" t="s">
        <v>181</v>
      </c>
      <c r="E270" t="s">
        <v>3813</v>
      </c>
      <c r="F270" t="s">
        <v>72</v>
      </c>
      <c r="G270">
        <v>2</v>
      </c>
      <c r="H270" s="3">
        <v>3.8</v>
      </c>
      <c r="I270" s="3">
        <v>4.64</v>
      </c>
      <c r="J270" s="3">
        <v>-9.8</v>
      </c>
      <c r="K270" s="14">
        <v>-257.91</v>
      </c>
      <c r="L270" t="s">
        <v>1</v>
      </c>
    </row>
    <row r="271" spans="1:12" x14ac:dyDescent="0.25">
      <c r="A271" s="7">
        <v>46189.5</v>
      </c>
      <c r="B271" t="s">
        <v>13</v>
      </c>
      <c r="C271" t="s">
        <v>1163</v>
      </c>
      <c r="D271" t="s">
        <v>181</v>
      </c>
      <c r="E271" t="s">
        <v>3813</v>
      </c>
      <c r="F271" t="s">
        <v>72</v>
      </c>
      <c r="G271">
        <v>2</v>
      </c>
      <c r="H271" s="3">
        <v>3.8</v>
      </c>
      <c r="I271" s="3">
        <v>4.41</v>
      </c>
      <c r="J271" s="3">
        <v>-9.97</v>
      </c>
      <c r="K271" s="14">
        <v>-262.28</v>
      </c>
      <c r="L271" t="s">
        <v>1</v>
      </c>
    </row>
    <row r="272" spans="1:12" x14ac:dyDescent="0.25">
      <c r="A272" s="7">
        <v>46189.5</v>
      </c>
      <c r="B272" t="s">
        <v>13</v>
      </c>
      <c r="C272" t="s">
        <v>1164</v>
      </c>
      <c r="D272" t="s">
        <v>184</v>
      </c>
      <c r="E272" t="s">
        <v>3814</v>
      </c>
      <c r="F272" t="s">
        <v>101</v>
      </c>
      <c r="G272">
        <v>4</v>
      </c>
      <c r="H272" s="3">
        <v>4.8</v>
      </c>
      <c r="I272" s="3">
        <v>6.58</v>
      </c>
      <c r="J272" s="3">
        <v>-9.23</v>
      </c>
      <c r="K272" s="14">
        <v>-192.3</v>
      </c>
      <c r="L272" t="s">
        <v>1</v>
      </c>
    </row>
    <row r="273" spans="1:12" x14ac:dyDescent="0.25">
      <c r="A273" s="7">
        <v>46189.5</v>
      </c>
      <c r="B273" t="s">
        <v>14</v>
      </c>
      <c r="C273" t="s">
        <v>1957</v>
      </c>
      <c r="D273" t="s">
        <v>176</v>
      </c>
      <c r="E273" t="s">
        <v>3812</v>
      </c>
      <c r="F273" t="s">
        <v>77</v>
      </c>
      <c r="G273">
        <v>1</v>
      </c>
      <c r="H273" s="3">
        <v>0.15</v>
      </c>
      <c r="I273" s="3">
        <v>0.2</v>
      </c>
      <c r="J273" s="3">
        <v>-1.45</v>
      </c>
      <c r="K273" s="14">
        <v>-727.04</v>
      </c>
      <c r="L273" t="s">
        <v>1</v>
      </c>
    </row>
    <row r="274" spans="1:12" x14ac:dyDescent="0.25">
      <c r="A274" s="7">
        <v>46189.5</v>
      </c>
      <c r="B274" t="s">
        <v>14</v>
      </c>
      <c r="C274" t="s">
        <v>1958</v>
      </c>
      <c r="D274" t="s">
        <v>176</v>
      </c>
      <c r="E274" t="s">
        <v>3812</v>
      </c>
      <c r="F274" t="s">
        <v>77</v>
      </c>
      <c r="G274">
        <v>1</v>
      </c>
      <c r="H274" s="3">
        <v>0.15</v>
      </c>
      <c r="I274" s="3">
        <v>0.2</v>
      </c>
      <c r="J274" s="3">
        <v>-1.45</v>
      </c>
      <c r="K274" s="14">
        <v>-727.04</v>
      </c>
      <c r="L274" t="s">
        <v>1</v>
      </c>
    </row>
    <row r="275" spans="1:12" x14ac:dyDescent="0.25">
      <c r="A275" s="7">
        <v>46189.5</v>
      </c>
      <c r="B275" t="s">
        <v>14</v>
      </c>
      <c r="C275" t="s">
        <v>1959</v>
      </c>
      <c r="D275" t="s">
        <v>184</v>
      </c>
      <c r="E275" t="s">
        <v>3814</v>
      </c>
      <c r="F275" t="s">
        <v>101</v>
      </c>
      <c r="G275">
        <v>1</v>
      </c>
      <c r="H275" s="3">
        <v>1.2</v>
      </c>
      <c r="I275" s="3">
        <v>1.4</v>
      </c>
      <c r="J275" s="3">
        <v>-1.42</v>
      </c>
      <c r="K275" s="14">
        <v>-101.68</v>
      </c>
      <c r="L275" t="s">
        <v>1</v>
      </c>
    </row>
    <row r="276" spans="1:12" x14ac:dyDescent="0.25">
      <c r="A276" s="7">
        <v>46189.5</v>
      </c>
      <c r="B276" t="s">
        <v>15</v>
      </c>
      <c r="C276" t="s">
        <v>2733</v>
      </c>
      <c r="D276" t="s">
        <v>188</v>
      </c>
      <c r="E276" t="s">
        <v>3810</v>
      </c>
      <c r="F276" t="s">
        <v>63</v>
      </c>
      <c r="G276">
        <v>1</v>
      </c>
      <c r="H276" s="3">
        <v>3.5</v>
      </c>
      <c r="I276" s="3">
        <v>4.41</v>
      </c>
      <c r="J276" s="3">
        <v>-0.61</v>
      </c>
      <c r="K276" s="14">
        <v>-17.49</v>
      </c>
      <c r="L276" t="s">
        <v>1</v>
      </c>
    </row>
    <row r="277" spans="1:12" x14ac:dyDescent="0.25">
      <c r="A277" s="7">
        <v>46188.5</v>
      </c>
      <c r="B277" t="s">
        <v>13</v>
      </c>
      <c r="C277" t="s">
        <v>1175</v>
      </c>
      <c r="D277" t="s">
        <v>188</v>
      </c>
      <c r="E277" t="s">
        <v>3810</v>
      </c>
      <c r="F277" t="s">
        <v>63</v>
      </c>
      <c r="G277">
        <v>3</v>
      </c>
      <c r="H277" s="3">
        <v>10.5</v>
      </c>
      <c r="I277" s="3">
        <v>13.86</v>
      </c>
      <c r="J277" s="3">
        <v>-8.71</v>
      </c>
      <c r="K277" s="14">
        <v>-83</v>
      </c>
      <c r="L277" t="s">
        <v>1</v>
      </c>
    </row>
    <row r="278" spans="1:12" x14ac:dyDescent="0.25">
      <c r="A278" s="7">
        <v>46188.5</v>
      </c>
      <c r="B278" t="s">
        <v>13</v>
      </c>
      <c r="C278" t="s">
        <v>1176</v>
      </c>
      <c r="D278" t="s">
        <v>173</v>
      </c>
      <c r="E278" t="s">
        <v>3811</v>
      </c>
      <c r="F278" t="s">
        <v>63</v>
      </c>
      <c r="G278">
        <v>2</v>
      </c>
      <c r="H278" s="3">
        <v>8.5</v>
      </c>
      <c r="I278" s="3">
        <v>11.98</v>
      </c>
      <c r="J278" s="3">
        <v>-8.41</v>
      </c>
      <c r="K278" s="14">
        <v>-98.92</v>
      </c>
      <c r="L278" t="s">
        <v>1</v>
      </c>
    </row>
    <row r="279" spans="1:12" x14ac:dyDescent="0.25">
      <c r="A279" s="7">
        <v>46188.5</v>
      </c>
      <c r="B279" t="s">
        <v>14</v>
      </c>
      <c r="C279" t="s">
        <v>1967</v>
      </c>
      <c r="D279" t="s">
        <v>253</v>
      </c>
      <c r="E279" t="s">
        <v>3815</v>
      </c>
      <c r="F279" t="s">
        <v>57</v>
      </c>
      <c r="G279">
        <v>4</v>
      </c>
      <c r="H279" s="3">
        <v>3.2</v>
      </c>
      <c r="I279" s="3">
        <v>4.64</v>
      </c>
      <c r="J279" s="3">
        <v>-0.65</v>
      </c>
      <c r="K279" s="14">
        <v>-13.91</v>
      </c>
      <c r="L279" t="s">
        <v>1</v>
      </c>
    </row>
    <row r="280" spans="1:12" x14ac:dyDescent="0.25">
      <c r="A280" s="7">
        <v>46188.5</v>
      </c>
      <c r="B280" t="s">
        <v>15</v>
      </c>
      <c r="C280" t="s">
        <v>2746</v>
      </c>
      <c r="D280" t="s">
        <v>253</v>
      </c>
      <c r="E280" t="s">
        <v>3815</v>
      </c>
      <c r="F280" t="s">
        <v>57</v>
      </c>
      <c r="G280">
        <v>1</v>
      </c>
      <c r="H280" s="3">
        <v>0.8</v>
      </c>
      <c r="I280" s="3">
        <v>0.92</v>
      </c>
      <c r="J280" s="3">
        <v>-0.98</v>
      </c>
      <c r="K280" s="14">
        <v>-122.16</v>
      </c>
      <c r="L280" t="s">
        <v>1</v>
      </c>
    </row>
    <row r="281" spans="1:12" x14ac:dyDescent="0.25">
      <c r="A281" s="7">
        <v>46188.5</v>
      </c>
      <c r="B281" t="s">
        <v>16</v>
      </c>
      <c r="C281" t="s">
        <v>3523</v>
      </c>
      <c r="D281" t="s">
        <v>253</v>
      </c>
      <c r="E281" t="s">
        <v>3815</v>
      </c>
      <c r="F281" t="s">
        <v>57</v>
      </c>
      <c r="G281">
        <v>4</v>
      </c>
      <c r="H281" s="3">
        <v>3.2</v>
      </c>
      <c r="I281" s="3">
        <v>4.64</v>
      </c>
      <c r="J281" s="3">
        <v>-0.01</v>
      </c>
      <c r="K281" s="14">
        <v>-0.31</v>
      </c>
      <c r="L281" t="s">
        <v>1</v>
      </c>
    </row>
    <row r="282" spans="1:12" x14ac:dyDescent="0.25">
      <c r="A282" s="7">
        <v>46187.5</v>
      </c>
      <c r="B282" t="s">
        <v>13</v>
      </c>
      <c r="C282" t="s">
        <v>1182</v>
      </c>
      <c r="D282" t="s">
        <v>176</v>
      </c>
      <c r="E282" t="s">
        <v>3812</v>
      </c>
      <c r="F282" t="s">
        <v>77</v>
      </c>
      <c r="G282">
        <v>1</v>
      </c>
      <c r="H282" s="3">
        <v>0.15</v>
      </c>
      <c r="I282" s="3">
        <v>0.2</v>
      </c>
      <c r="J282" s="3">
        <v>-9.97</v>
      </c>
      <c r="K282" s="14">
        <v>-6646.89</v>
      </c>
      <c r="L282" t="s">
        <v>1</v>
      </c>
    </row>
    <row r="283" spans="1:12" x14ac:dyDescent="0.25">
      <c r="A283" s="7">
        <v>46187.5</v>
      </c>
      <c r="B283" t="s">
        <v>14</v>
      </c>
      <c r="C283" t="s">
        <v>1971</v>
      </c>
      <c r="D283" t="s">
        <v>253</v>
      </c>
      <c r="E283" t="s">
        <v>3815</v>
      </c>
      <c r="F283" t="s">
        <v>57</v>
      </c>
      <c r="G283">
        <v>3</v>
      </c>
      <c r="H283" s="3">
        <v>2.4</v>
      </c>
      <c r="I283" s="3">
        <v>2.81</v>
      </c>
      <c r="J283" s="3">
        <v>-1.36</v>
      </c>
      <c r="K283" s="14">
        <v>-48.38</v>
      </c>
      <c r="L283" t="s">
        <v>1</v>
      </c>
    </row>
    <row r="284" spans="1:12" x14ac:dyDescent="0.25">
      <c r="A284" s="7">
        <v>46187.5</v>
      </c>
      <c r="B284" t="s">
        <v>14</v>
      </c>
      <c r="C284" t="s">
        <v>1972</v>
      </c>
      <c r="D284" t="s">
        <v>253</v>
      </c>
      <c r="E284" t="s">
        <v>3815</v>
      </c>
      <c r="F284" t="s">
        <v>57</v>
      </c>
      <c r="G284">
        <v>4</v>
      </c>
      <c r="H284" s="3">
        <v>3.2</v>
      </c>
      <c r="I284" s="3">
        <v>4.42</v>
      </c>
      <c r="J284" s="3">
        <v>-0.81</v>
      </c>
      <c r="K284" s="14">
        <v>-18.36</v>
      </c>
      <c r="L284" t="s">
        <v>1</v>
      </c>
    </row>
    <row r="285" spans="1:12" x14ac:dyDescent="0.25">
      <c r="A285" s="7">
        <v>46187.5</v>
      </c>
      <c r="B285" t="s">
        <v>14</v>
      </c>
      <c r="C285" t="s">
        <v>1973</v>
      </c>
      <c r="D285" t="s">
        <v>181</v>
      </c>
      <c r="E285" t="s">
        <v>3813</v>
      </c>
      <c r="F285" t="s">
        <v>72</v>
      </c>
      <c r="G285">
        <v>1</v>
      </c>
      <c r="H285" s="3">
        <v>1.9</v>
      </c>
      <c r="I285" s="3">
        <v>2.56</v>
      </c>
      <c r="J285" s="3">
        <v>-1.13</v>
      </c>
      <c r="K285" s="14">
        <v>-44.2</v>
      </c>
      <c r="L285" t="s">
        <v>1</v>
      </c>
    </row>
    <row r="286" spans="1:12" x14ac:dyDescent="0.25">
      <c r="A286" s="7">
        <v>46187.5</v>
      </c>
      <c r="B286" t="s">
        <v>15</v>
      </c>
      <c r="C286" t="s">
        <v>2756</v>
      </c>
      <c r="D286" t="s">
        <v>188</v>
      </c>
      <c r="E286" t="s">
        <v>3810</v>
      </c>
      <c r="F286" t="s">
        <v>63</v>
      </c>
      <c r="G286">
        <v>1</v>
      </c>
      <c r="H286" s="3">
        <v>3.5</v>
      </c>
      <c r="I286" s="3">
        <v>4.73</v>
      </c>
      <c r="J286" s="3">
        <v>-0.37</v>
      </c>
      <c r="K286" s="14">
        <v>-10.64</v>
      </c>
      <c r="L286" t="s">
        <v>1</v>
      </c>
    </row>
    <row r="287" spans="1:12" x14ac:dyDescent="0.25">
      <c r="A287" s="7">
        <v>46187.5</v>
      </c>
      <c r="B287" t="s">
        <v>15</v>
      </c>
      <c r="C287" t="s">
        <v>2757</v>
      </c>
      <c r="D287" t="s">
        <v>181</v>
      </c>
      <c r="E287" t="s">
        <v>3813</v>
      </c>
      <c r="F287" t="s">
        <v>72</v>
      </c>
      <c r="G287">
        <v>1</v>
      </c>
      <c r="H287" s="3">
        <v>1.9</v>
      </c>
      <c r="I287" s="3">
        <v>2.58</v>
      </c>
      <c r="J287" s="3">
        <v>-0.65</v>
      </c>
      <c r="K287" s="14">
        <v>-34.21</v>
      </c>
      <c r="L287" t="s">
        <v>1</v>
      </c>
    </row>
    <row r="288" spans="1:12" x14ac:dyDescent="0.25">
      <c r="A288" s="7">
        <v>46187.5</v>
      </c>
      <c r="B288" t="s">
        <v>16</v>
      </c>
      <c r="C288" t="s">
        <v>3528</v>
      </c>
      <c r="D288" t="s">
        <v>188</v>
      </c>
      <c r="E288" t="s">
        <v>3810</v>
      </c>
      <c r="F288" t="s">
        <v>63</v>
      </c>
      <c r="G288">
        <v>3</v>
      </c>
      <c r="H288" s="3">
        <v>10.5</v>
      </c>
      <c r="I288" s="3">
        <v>12.07</v>
      </c>
      <c r="J288" s="3">
        <v>-0.25</v>
      </c>
      <c r="K288" s="14">
        <v>-2.4</v>
      </c>
      <c r="L288" t="s">
        <v>1</v>
      </c>
    </row>
    <row r="289" spans="1:12" x14ac:dyDescent="0.25">
      <c r="A289" s="7">
        <v>46186.5</v>
      </c>
      <c r="B289" t="s">
        <v>13</v>
      </c>
      <c r="C289" t="s">
        <v>1191</v>
      </c>
      <c r="D289" t="s">
        <v>188</v>
      </c>
      <c r="E289" t="s">
        <v>3810</v>
      </c>
      <c r="F289" t="s">
        <v>63</v>
      </c>
      <c r="G289">
        <v>2</v>
      </c>
      <c r="H289" s="3">
        <v>7</v>
      </c>
      <c r="I289" s="3">
        <v>9.66</v>
      </c>
      <c r="J289" s="3">
        <v>-8.84</v>
      </c>
      <c r="K289" s="14">
        <v>-126.23</v>
      </c>
      <c r="L289" t="s">
        <v>1</v>
      </c>
    </row>
    <row r="290" spans="1:12" x14ac:dyDescent="0.25">
      <c r="A290" s="7">
        <v>46186.5</v>
      </c>
      <c r="B290" t="s">
        <v>14</v>
      </c>
      <c r="C290" t="s">
        <v>1985</v>
      </c>
      <c r="D290" t="s">
        <v>176</v>
      </c>
      <c r="E290" t="s">
        <v>3812</v>
      </c>
      <c r="F290" t="s">
        <v>77</v>
      </c>
      <c r="G290">
        <v>4</v>
      </c>
      <c r="H290" s="3">
        <v>0.6</v>
      </c>
      <c r="I290" s="3">
        <v>0.85</v>
      </c>
      <c r="J290" s="3">
        <v>-1.34</v>
      </c>
      <c r="K290" s="14">
        <v>-157.48</v>
      </c>
      <c r="L290" t="s">
        <v>1</v>
      </c>
    </row>
    <row r="291" spans="1:12" x14ac:dyDescent="0.25">
      <c r="A291" s="7">
        <v>46185.5</v>
      </c>
      <c r="B291" t="s">
        <v>12</v>
      </c>
      <c r="C291" t="s">
        <v>493</v>
      </c>
      <c r="D291" t="s">
        <v>181</v>
      </c>
      <c r="E291" t="s">
        <v>3813</v>
      </c>
      <c r="F291" t="s">
        <v>72</v>
      </c>
      <c r="G291">
        <v>2</v>
      </c>
      <c r="H291" s="3">
        <v>3.8</v>
      </c>
      <c r="I291" s="3">
        <v>5.36</v>
      </c>
      <c r="J291" s="3">
        <v>-0.16</v>
      </c>
      <c r="K291" s="14">
        <v>-4.19</v>
      </c>
      <c r="L291" t="s">
        <v>1</v>
      </c>
    </row>
    <row r="292" spans="1:12" x14ac:dyDescent="0.25">
      <c r="A292" s="7">
        <v>46185.5</v>
      </c>
      <c r="B292" t="s">
        <v>13</v>
      </c>
      <c r="C292" t="s">
        <v>1200</v>
      </c>
      <c r="D292" t="s">
        <v>173</v>
      </c>
      <c r="E292" t="s">
        <v>3811</v>
      </c>
      <c r="F292" t="s">
        <v>63</v>
      </c>
      <c r="G292">
        <v>3</v>
      </c>
      <c r="H292" s="3">
        <v>12.75</v>
      </c>
      <c r="I292" s="3">
        <v>17.72</v>
      </c>
      <c r="J292" s="3">
        <v>-7.8</v>
      </c>
      <c r="K292" s="14">
        <v>-61.16</v>
      </c>
      <c r="L292" t="s">
        <v>1</v>
      </c>
    </row>
    <row r="293" spans="1:12" x14ac:dyDescent="0.25">
      <c r="A293" s="7">
        <v>46185.5</v>
      </c>
      <c r="B293" t="s">
        <v>13</v>
      </c>
      <c r="C293" t="s">
        <v>1201</v>
      </c>
      <c r="D293" t="s">
        <v>173</v>
      </c>
      <c r="E293" t="s">
        <v>3811</v>
      </c>
      <c r="F293" t="s">
        <v>63</v>
      </c>
      <c r="G293">
        <v>4</v>
      </c>
      <c r="H293" s="3">
        <v>17</v>
      </c>
      <c r="I293" s="3">
        <v>19.72</v>
      </c>
      <c r="J293" s="3">
        <v>-9.89</v>
      </c>
      <c r="K293" s="14">
        <v>-58.19</v>
      </c>
      <c r="L293" t="s">
        <v>1</v>
      </c>
    </row>
    <row r="294" spans="1:12" x14ac:dyDescent="0.25">
      <c r="A294" s="7">
        <v>46185.5</v>
      </c>
      <c r="B294" t="s">
        <v>14</v>
      </c>
      <c r="C294" t="s">
        <v>1998</v>
      </c>
      <c r="D294" t="s">
        <v>253</v>
      </c>
      <c r="E294" t="s">
        <v>3815</v>
      </c>
      <c r="F294" t="s">
        <v>57</v>
      </c>
      <c r="G294">
        <v>4</v>
      </c>
      <c r="H294" s="3">
        <v>3.2</v>
      </c>
      <c r="I294" s="3">
        <v>3.94</v>
      </c>
      <c r="J294" s="3">
        <v>-1.17</v>
      </c>
      <c r="K294" s="14">
        <v>-29.78</v>
      </c>
      <c r="L294" t="s">
        <v>1</v>
      </c>
    </row>
    <row r="295" spans="1:12" x14ac:dyDescent="0.25">
      <c r="A295" s="7">
        <v>46185.5</v>
      </c>
      <c r="B295" t="s">
        <v>14</v>
      </c>
      <c r="C295" t="s">
        <v>1999</v>
      </c>
      <c r="D295" t="s">
        <v>184</v>
      </c>
      <c r="E295" t="s">
        <v>3814</v>
      </c>
      <c r="F295" t="s">
        <v>101</v>
      </c>
      <c r="G295">
        <v>1</v>
      </c>
      <c r="H295" s="3">
        <v>1.2</v>
      </c>
      <c r="I295" s="3">
        <v>1.63</v>
      </c>
      <c r="J295" s="3">
        <v>-1.25</v>
      </c>
      <c r="K295" s="14">
        <v>-76.69</v>
      </c>
      <c r="L295" t="s">
        <v>1</v>
      </c>
    </row>
    <row r="296" spans="1:12" x14ac:dyDescent="0.25">
      <c r="A296" s="7">
        <v>46185.5</v>
      </c>
      <c r="B296" t="s">
        <v>15</v>
      </c>
      <c r="C296" t="s">
        <v>2768</v>
      </c>
      <c r="D296" t="s">
        <v>176</v>
      </c>
      <c r="E296" t="s">
        <v>3812</v>
      </c>
      <c r="F296" t="s">
        <v>77</v>
      </c>
      <c r="G296">
        <v>1</v>
      </c>
      <c r="H296" s="3">
        <v>0.15</v>
      </c>
      <c r="I296" s="3">
        <v>0.21</v>
      </c>
      <c r="J296" s="3">
        <v>-0.97</v>
      </c>
      <c r="K296" s="14">
        <v>-645.09</v>
      </c>
      <c r="L296" t="s">
        <v>1</v>
      </c>
    </row>
    <row r="297" spans="1:12" x14ac:dyDescent="0.25">
      <c r="A297" s="7">
        <v>46185.5</v>
      </c>
      <c r="B297" t="s">
        <v>15</v>
      </c>
      <c r="C297" t="s">
        <v>2769</v>
      </c>
      <c r="D297" t="s">
        <v>184</v>
      </c>
      <c r="E297" t="s">
        <v>3814</v>
      </c>
      <c r="F297" t="s">
        <v>101</v>
      </c>
      <c r="G297">
        <v>1</v>
      </c>
      <c r="H297" s="3">
        <v>1.2</v>
      </c>
      <c r="I297" s="3">
        <v>1.51</v>
      </c>
      <c r="J297" s="3">
        <v>-0.87</v>
      </c>
      <c r="K297" s="14">
        <v>-72.38</v>
      </c>
      <c r="L297" t="s">
        <v>1</v>
      </c>
    </row>
    <row r="298" spans="1:12" x14ac:dyDescent="0.25">
      <c r="A298" s="7">
        <v>46185.5</v>
      </c>
      <c r="B298" t="s">
        <v>16</v>
      </c>
      <c r="C298" t="s">
        <v>3540</v>
      </c>
      <c r="D298" t="s">
        <v>173</v>
      </c>
      <c r="E298" t="s">
        <v>3811</v>
      </c>
      <c r="F298" t="s">
        <v>63</v>
      </c>
      <c r="G298">
        <v>2</v>
      </c>
      <c r="H298" s="3">
        <v>8.5</v>
      </c>
      <c r="I298" s="3">
        <v>10.03</v>
      </c>
      <c r="J298" s="3">
        <v>-0.19</v>
      </c>
      <c r="K298" s="14">
        <v>-2.18</v>
      </c>
      <c r="L298" t="s">
        <v>1</v>
      </c>
    </row>
    <row r="299" spans="1:12" x14ac:dyDescent="0.25">
      <c r="A299" s="7">
        <v>46185.5</v>
      </c>
      <c r="B299" t="s">
        <v>16</v>
      </c>
      <c r="C299" t="s">
        <v>3541</v>
      </c>
      <c r="D299" t="s">
        <v>173</v>
      </c>
      <c r="E299" t="s">
        <v>3811</v>
      </c>
      <c r="F299" t="s">
        <v>63</v>
      </c>
      <c r="G299">
        <v>1</v>
      </c>
      <c r="H299" s="3">
        <v>4.25</v>
      </c>
      <c r="I299" s="3">
        <v>5.31</v>
      </c>
      <c r="J299" s="3">
        <v>-0.36</v>
      </c>
      <c r="K299" s="14">
        <v>-8.39</v>
      </c>
      <c r="L299" t="s">
        <v>1</v>
      </c>
    </row>
    <row r="300" spans="1:12" x14ac:dyDescent="0.25">
      <c r="A300" s="7">
        <v>46185.5</v>
      </c>
      <c r="B300" t="s">
        <v>16</v>
      </c>
      <c r="C300" t="s">
        <v>3542</v>
      </c>
      <c r="D300" t="s">
        <v>253</v>
      </c>
      <c r="E300" t="s">
        <v>3815</v>
      </c>
      <c r="F300" t="s">
        <v>57</v>
      </c>
      <c r="G300">
        <v>2</v>
      </c>
      <c r="H300" s="3">
        <v>1.6</v>
      </c>
      <c r="I300" s="3">
        <v>1.95</v>
      </c>
      <c r="J300" s="3">
        <v>-0.8</v>
      </c>
      <c r="K300" s="14">
        <v>-49.9</v>
      </c>
      <c r="L300" t="s">
        <v>1</v>
      </c>
    </row>
    <row r="301" spans="1:12" x14ac:dyDescent="0.25">
      <c r="A301" s="7">
        <v>46184.5</v>
      </c>
      <c r="B301" t="s">
        <v>12</v>
      </c>
      <c r="C301" t="s">
        <v>504</v>
      </c>
      <c r="D301" t="s">
        <v>176</v>
      </c>
      <c r="E301" t="s">
        <v>3812</v>
      </c>
      <c r="F301" t="s">
        <v>77</v>
      </c>
      <c r="G301">
        <v>2</v>
      </c>
      <c r="H301" s="3">
        <v>0.3</v>
      </c>
      <c r="I301" s="3">
        <v>0.36</v>
      </c>
      <c r="J301" s="3">
        <v>-0.98</v>
      </c>
      <c r="K301" s="14">
        <v>-326.95</v>
      </c>
      <c r="L301" t="s">
        <v>1</v>
      </c>
    </row>
    <row r="302" spans="1:12" x14ac:dyDescent="0.25">
      <c r="A302" s="7">
        <v>46184.5</v>
      </c>
      <c r="B302" t="s">
        <v>12</v>
      </c>
      <c r="C302" t="s">
        <v>505</v>
      </c>
      <c r="D302" t="s">
        <v>181</v>
      </c>
      <c r="E302" t="s">
        <v>3813</v>
      </c>
      <c r="F302" t="s">
        <v>72</v>
      </c>
      <c r="G302">
        <v>3</v>
      </c>
      <c r="H302" s="3">
        <v>5.7</v>
      </c>
      <c r="I302" s="3">
        <v>7.69</v>
      </c>
      <c r="J302" s="3">
        <v>0</v>
      </c>
      <c r="K302" s="14">
        <v>-0.01</v>
      </c>
      <c r="L302" t="s">
        <v>1</v>
      </c>
    </row>
    <row r="303" spans="1:12" x14ac:dyDescent="0.25">
      <c r="A303" s="7">
        <v>46184.5</v>
      </c>
      <c r="B303" t="s">
        <v>13</v>
      </c>
      <c r="C303" t="s">
        <v>1206</v>
      </c>
      <c r="D303" t="s">
        <v>181</v>
      </c>
      <c r="E303" t="s">
        <v>3813</v>
      </c>
      <c r="F303" t="s">
        <v>72</v>
      </c>
      <c r="G303">
        <v>2</v>
      </c>
      <c r="H303" s="3">
        <v>3.8</v>
      </c>
      <c r="I303" s="3">
        <v>5.24</v>
      </c>
      <c r="J303" s="3">
        <v>-9.37</v>
      </c>
      <c r="K303" s="14">
        <v>-246.49</v>
      </c>
      <c r="L303" t="s">
        <v>1</v>
      </c>
    </row>
    <row r="304" spans="1:12" x14ac:dyDescent="0.25">
      <c r="A304" s="7">
        <v>46184.5</v>
      </c>
      <c r="B304" t="s">
        <v>14</v>
      </c>
      <c r="C304" t="s">
        <v>2010</v>
      </c>
      <c r="D304" t="s">
        <v>173</v>
      </c>
      <c r="E304" t="s">
        <v>3811</v>
      </c>
      <c r="F304" t="s">
        <v>63</v>
      </c>
      <c r="G304">
        <v>3</v>
      </c>
      <c r="H304" s="3">
        <v>12.75</v>
      </c>
      <c r="I304" s="3">
        <v>16.19</v>
      </c>
      <c r="J304" s="3">
        <v>0.11</v>
      </c>
      <c r="K304" s="14">
        <v>0.69</v>
      </c>
      <c r="L304" t="s">
        <v>1</v>
      </c>
    </row>
    <row r="305" spans="1:12" x14ac:dyDescent="0.25">
      <c r="A305" s="7">
        <v>46184.5</v>
      </c>
      <c r="B305" t="s">
        <v>15</v>
      </c>
      <c r="C305" t="s">
        <v>2774</v>
      </c>
      <c r="D305" t="s">
        <v>181</v>
      </c>
      <c r="E305" t="s">
        <v>3813</v>
      </c>
      <c r="F305" t="s">
        <v>72</v>
      </c>
      <c r="G305">
        <v>1</v>
      </c>
      <c r="H305" s="3">
        <v>1.9</v>
      </c>
      <c r="I305" s="3">
        <v>2.49</v>
      </c>
      <c r="J305" s="3">
        <v>-0.72</v>
      </c>
      <c r="K305" s="14">
        <v>-37.76</v>
      </c>
      <c r="L305" t="s">
        <v>1</v>
      </c>
    </row>
    <row r="306" spans="1:12" x14ac:dyDescent="0.25">
      <c r="A306" s="7">
        <v>46184.5</v>
      </c>
      <c r="B306" t="s">
        <v>16</v>
      </c>
      <c r="C306" t="s">
        <v>3551</v>
      </c>
      <c r="D306" t="s">
        <v>188</v>
      </c>
      <c r="E306" t="s">
        <v>3810</v>
      </c>
      <c r="F306" t="s">
        <v>63</v>
      </c>
      <c r="G306">
        <v>1</v>
      </c>
      <c r="H306" s="3">
        <v>3.5</v>
      </c>
      <c r="I306" s="3">
        <v>4.13</v>
      </c>
      <c r="J306" s="3">
        <v>-0.67</v>
      </c>
      <c r="K306" s="14">
        <v>-19</v>
      </c>
      <c r="L306" t="s">
        <v>1</v>
      </c>
    </row>
    <row r="307" spans="1:12" x14ac:dyDescent="0.25">
      <c r="A307" s="7">
        <v>46183.5</v>
      </c>
      <c r="B307" t="s">
        <v>12</v>
      </c>
      <c r="C307" t="s">
        <v>514</v>
      </c>
      <c r="D307" t="s">
        <v>188</v>
      </c>
      <c r="E307" t="s">
        <v>3810</v>
      </c>
      <c r="F307" t="s">
        <v>63</v>
      </c>
      <c r="G307">
        <v>2</v>
      </c>
      <c r="H307" s="3">
        <v>7</v>
      </c>
      <c r="I307" s="3">
        <v>9.73</v>
      </c>
      <c r="J307" s="3">
        <v>0.44</v>
      </c>
      <c r="K307" s="14">
        <v>6.3</v>
      </c>
      <c r="L307" t="s">
        <v>1</v>
      </c>
    </row>
    <row r="308" spans="1:12" x14ac:dyDescent="0.25">
      <c r="A308" s="7">
        <v>46183.5</v>
      </c>
      <c r="B308" t="s">
        <v>13</v>
      </c>
      <c r="C308" t="s">
        <v>1222</v>
      </c>
      <c r="D308" t="s">
        <v>188</v>
      </c>
      <c r="E308" t="s">
        <v>3810</v>
      </c>
      <c r="F308" t="s">
        <v>63</v>
      </c>
      <c r="G308">
        <v>2</v>
      </c>
      <c r="H308" s="3">
        <v>7</v>
      </c>
      <c r="I308" s="3">
        <v>10.15</v>
      </c>
      <c r="J308" s="3">
        <v>-8.48</v>
      </c>
      <c r="K308" s="14">
        <v>-121.17</v>
      </c>
      <c r="L308" t="s">
        <v>1</v>
      </c>
    </row>
    <row r="309" spans="1:12" x14ac:dyDescent="0.25">
      <c r="A309" s="7">
        <v>46183.5</v>
      </c>
      <c r="B309" t="s">
        <v>13</v>
      </c>
      <c r="C309" t="s">
        <v>1223</v>
      </c>
      <c r="D309" t="s">
        <v>184</v>
      </c>
      <c r="E309" t="s">
        <v>3814</v>
      </c>
      <c r="F309" t="s">
        <v>101</v>
      </c>
      <c r="G309">
        <v>1</v>
      </c>
      <c r="H309" s="3">
        <v>1.2</v>
      </c>
      <c r="I309" s="3">
        <v>1.66</v>
      </c>
      <c r="J309" s="3">
        <v>-9.79</v>
      </c>
      <c r="K309" s="14">
        <v>-815.77</v>
      </c>
      <c r="L309" t="s">
        <v>1</v>
      </c>
    </row>
    <row r="310" spans="1:12" x14ac:dyDescent="0.25">
      <c r="A310" s="7">
        <v>46183.5</v>
      </c>
      <c r="B310" t="s">
        <v>15</v>
      </c>
      <c r="C310" t="s">
        <v>2779</v>
      </c>
      <c r="D310" t="s">
        <v>184</v>
      </c>
      <c r="E310" t="s">
        <v>3814</v>
      </c>
      <c r="F310" t="s">
        <v>101</v>
      </c>
      <c r="G310">
        <v>1</v>
      </c>
      <c r="H310" s="3">
        <v>1.2</v>
      </c>
      <c r="I310" s="3">
        <v>1.52</v>
      </c>
      <c r="J310" s="3">
        <v>-0.86</v>
      </c>
      <c r="K310" s="14">
        <v>-71.75</v>
      </c>
      <c r="L310" t="s">
        <v>1</v>
      </c>
    </row>
    <row r="311" spans="1:12" x14ac:dyDescent="0.25">
      <c r="A311" s="7">
        <v>46183.5</v>
      </c>
      <c r="B311" t="s">
        <v>16</v>
      </c>
      <c r="C311" t="s">
        <v>3555</v>
      </c>
      <c r="D311" t="s">
        <v>188</v>
      </c>
      <c r="E311" t="s">
        <v>3810</v>
      </c>
      <c r="F311" t="s">
        <v>63</v>
      </c>
      <c r="G311">
        <v>1</v>
      </c>
      <c r="H311" s="3">
        <v>3.5</v>
      </c>
      <c r="I311" s="3">
        <v>4.2</v>
      </c>
      <c r="J311" s="3">
        <v>-0.61</v>
      </c>
      <c r="K311" s="14">
        <v>-17.33</v>
      </c>
      <c r="L311" t="s">
        <v>1</v>
      </c>
    </row>
    <row r="312" spans="1:12" x14ac:dyDescent="0.25">
      <c r="A312" s="7">
        <v>46183.5</v>
      </c>
      <c r="B312" t="s">
        <v>16</v>
      </c>
      <c r="C312" t="s">
        <v>3554</v>
      </c>
      <c r="D312" t="s">
        <v>253</v>
      </c>
      <c r="E312" t="s">
        <v>3815</v>
      </c>
      <c r="F312" t="s">
        <v>57</v>
      </c>
      <c r="G312">
        <v>4</v>
      </c>
      <c r="H312" s="3">
        <v>3.2</v>
      </c>
      <c r="I312" s="3">
        <v>4.22</v>
      </c>
      <c r="J312" s="3">
        <v>-0.34</v>
      </c>
      <c r="K312" s="14">
        <v>-10.63</v>
      </c>
      <c r="L312" t="s">
        <v>1</v>
      </c>
    </row>
    <row r="313" spans="1:12" x14ac:dyDescent="0.25">
      <c r="A313" s="7">
        <v>46182.5</v>
      </c>
      <c r="B313" t="s">
        <v>12</v>
      </c>
      <c r="C313" t="s">
        <v>521</v>
      </c>
      <c r="D313" t="s">
        <v>188</v>
      </c>
      <c r="E313" t="s">
        <v>3810</v>
      </c>
      <c r="F313" t="s">
        <v>63</v>
      </c>
      <c r="G313">
        <v>4</v>
      </c>
      <c r="H313" s="3">
        <v>14</v>
      </c>
      <c r="I313" s="3">
        <v>16.1</v>
      </c>
      <c r="J313" s="3">
        <v>-0.63</v>
      </c>
      <c r="K313" s="14">
        <v>-4.5</v>
      </c>
      <c r="L313" t="s">
        <v>1</v>
      </c>
    </row>
    <row r="314" spans="1:12" x14ac:dyDescent="0.25">
      <c r="A314" s="7">
        <v>46182.5</v>
      </c>
      <c r="B314" t="s">
        <v>12</v>
      </c>
      <c r="C314" t="s">
        <v>522</v>
      </c>
      <c r="D314" t="s">
        <v>188</v>
      </c>
      <c r="E314" t="s">
        <v>3810</v>
      </c>
      <c r="F314" t="s">
        <v>63</v>
      </c>
      <c r="G314">
        <v>3</v>
      </c>
      <c r="H314" s="3">
        <v>10.5</v>
      </c>
      <c r="I314" s="3">
        <v>14.39</v>
      </c>
      <c r="J314" s="3">
        <v>1.01</v>
      </c>
      <c r="K314" s="14">
        <v>9.61</v>
      </c>
      <c r="L314" t="s">
        <v>1</v>
      </c>
    </row>
    <row r="315" spans="1:12" x14ac:dyDescent="0.25">
      <c r="A315" s="7">
        <v>46182.5</v>
      </c>
      <c r="B315" t="s">
        <v>13</v>
      </c>
      <c r="C315" t="s">
        <v>1234</v>
      </c>
      <c r="D315" t="s">
        <v>176</v>
      </c>
      <c r="E315" t="s">
        <v>3812</v>
      </c>
      <c r="F315" t="s">
        <v>77</v>
      </c>
      <c r="G315">
        <v>1</v>
      </c>
      <c r="H315" s="3">
        <v>0.15</v>
      </c>
      <c r="I315" s="3">
        <v>0.17</v>
      </c>
      <c r="J315" s="3">
        <v>-9.99</v>
      </c>
      <c r="K315" s="14">
        <v>-6661.36</v>
      </c>
      <c r="L315" t="s">
        <v>1</v>
      </c>
    </row>
    <row r="316" spans="1:12" x14ac:dyDescent="0.25">
      <c r="A316" s="7">
        <v>46182.5</v>
      </c>
      <c r="B316" t="s">
        <v>13</v>
      </c>
      <c r="C316" t="s">
        <v>1235</v>
      </c>
      <c r="D316" t="s">
        <v>176</v>
      </c>
      <c r="E316" t="s">
        <v>3812</v>
      </c>
      <c r="F316" t="s">
        <v>77</v>
      </c>
      <c r="G316">
        <v>4</v>
      </c>
      <c r="H316" s="3">
        <v>0.6</v>
      </c>
      <c r="I316" s="3">
        <v>0.8</v>
      </c>
      <c r="J316" s="3">
        <v>-9.91</v>
      </c>
      <c r="K316" s="14">
        <v>-1651.89</v>
      </c>
      <c r="L316" t="s">
        <v>1</v>
      </c>
    </row>
    <row r="317" spans="1:12" x14ac:dyDescent="0.25">
      <c r="A317" s="7">
        <v>46182.5</v>
      </c>
      <c r="B317" t="s">
        <v>15</v>
      </c>
      <c r="C317" t="s">
        <v>2788</v>
      </c>
      <c r="D317" t="s">
        <v>173</v>
      </c>
      <c r="E317" t="s">
        <v>3811</v>
      </c>
      <c r="F317" t="s">
        <v>63</v>
      </c>
      <c r="G317">
        <v>1</v>
      </c>
      <c r="H317" s="3">
        <v>4.25</v>
      </c>
      <c r="I317" s="3">
        <v>5.78</v>
      </c>
      <c r="J317" s="3">
        <v>-0.21</v>
      </c>
      <c r="K317" s="14">
        <v>-4.95</v>
      </c>
      <c r="L317" t="s">
        <v>1</v>
      </c>
    </row>
    <row r="318" spans="1:12" x14ac:dyDescent="0.25">
      <c r="A318" s="7">
        <v>46182.5</v>
      </c>
      <c r="B318" t="s">
        <v>15</v>
      </c>
      <c r="C318" t="s">
        <v>2789</v>
      </c>
      <c r="D318" t="s">
        <v>253</v>
      </c>
      <c r="E318" t="s">
        <v>3815</v>
      </c>
      <c r="F318" t="s">
        <v>57</v>
      </c>
      <c r="G318">
        <v>1</v>
      </c>
      <c r="H318" s="3">
        <v>0.8</v>
      </c>
      <c r="I318" s="3">
        <v>1.11</v>
      </c>
      <c r="J318" s="3">
        <v>-0.83</v>
      </c>
      <c r="K318" s="14">
        <v>-104.36</v>
      </c>
      <c r="L318" t="s">
        <v>1</v>
      </c>
    </row>
    <row r="319" spans="1:12" x14ac:dyDescent="0.25">
      <c r="A319" s="7">
        <v>46181.5</v>
      </c>
      <c r="B319" t="s">
        <v>12</v>
      </c>
      <c r="C319" t="s">
        <v>531</v>
      </c>
      <c r="D319" t="s">
        <v>176</v>
      </c>
      <c r="E319" t="s">
        <v>3812</v>
      </c>
      <c r="F319" t="s">
        <v>77</v>
      </c>
      <c r="G319">
        <v>1</v>
      </c>
      <c r="H319" s="3">
        <v>0.15</v>
      </c>
      <c r="I319" s="3">
        <v>0.2</v>
      </c>
      <c r="J319" s="3">
        <v>-0.98</v>
      </c>
      <c r="K319" s="14">
        <v>-650.31</v>
      </c>
      <c r="L319" t="s">
        <v>1</v>
      </c>
    </row>
    <row r="320" spans="1:12" x14ac:dyDescent="0.25">
      <c r="A320" s="7">
        <v>46181.5</v>
      </c>
      <c r="B320" t="s">
        <v>12</v>
      </c>
      <c r="C320" t="s">
        <v>532</v>
      </c>
      <c r="D320" t="s">
        <v>176</v>
      </c>
      <c r="E320" t="s">
        <v>3812</v>
      </c>
      <c r="F320" t="s">
        <v>77</v>
      </c>
      <c r="G320">
        <v>4</v>
      </c>
      <c r="H320" s="3">
        <v>0.6</v>
      </c>
      <c r="I320" s="3">
        <v>0.74</v>
      </c>
      <c r="J320" s="3">
        <v>-0.95</v>
      </c>
      <c r="K320" s="14">
        <v>-157.79</v>
      </c>
      <c r="L320" t="s">
        <v>1</v>
      </c>
    </row>
    <row r="321" spans="1:12" x14ac:dyDescent="0.25">
      <c r="A321" s="7">
        <v>46181.5</v>
      </c>
      <c r="B321" t="s">
        <v>13</v>
      </c>
      <c r="C321" t="s">
        <v>1248</v>
      </c>
      <c r="D321" t="s">
        <v>253</v>
      </c>
      <c r="E321" t="s">
        <v>3815</v>
      </c>
      <c r="F321" t="s">
        <v>57</v>
      </c>
      <c r="G321">
        <v>2</v>
      </c>
      <c r="H321" s="3">
        <v>1.6</v>
      </c>
      <c r="I321" s="3">
        <v>2.13</v>
      </c>
      <c r="J321" s="3">
        <v>-9.78</v>
      </c>
      <c r="K321" s="14">
        <v>-611.42</v>
      </c>
      <c r="L321" t="s">
        <v>1</v>
      </c>
    </row>
    <row r="322" spans="1:12" x14ac:dyDescent="0.25">
      <c r="A322" s="7">
        <v>46181.5</v>
      </c>
      <c r="B322" t="s">
        <v>14</v>
      </c>
      <c r="C322" t="s">
        <v>2021</v>
      </c>
      <c r="D322" t="s">
        <v>176</v>
      </c>
      <c r="E322" t="s">
        <v>3812</v>
      </c>
      <c r="F322" t="s">
        <v>77</v>
      </c>
      <c r="G322">
        <v>3</v>
      </c>
      <c r="H322" s="3">
        <v>0.45</v>
      </c>
      <c r="I322" s="3">
        <v>0.52</v>
      </c>
      <c r="J322" s="3">
        <v>-1.46</v>
      </c>
      <c r="K322" s="14">
        <v>-281.27</v>
      </c>
      <c r="L322" t="s">
        <v>1</v>
      </c>
    </row>
    <row r="323" spans="1:12" x14ac:dyDescent="0.25">
      <c r="A323" s="7">
        <v>46181.5</v>
      </c>
      <c r="B323" t="s">
        <v>15</v>
      </c>
      <c r="C323" t="s">
        <v>2797</v>
      </c>
      <c r="D323" t="s">
        <v>181</v>
      </c>
      <c r="E323" t="s">
        <v>3813</v>
      </c>
      <c r="F323" t="s">
        <v>72</v>
      </c>
      <c r="G323">
        <v>1</v>
      </c>
      <c r="H323" s="3">
        <v>1.9</v>
      </c>
      <c r="I323" s="3">
        <v>2.49</v>
      </c>
      <c r="J323" s="3">
        <v>-0.72</v>
      </c>
      <c r="K323" s="14">
        <v>-37.76</v>
      </c>
      <c r="L323" t="s">
        <v>1</v>
      </c>
    </row>
    <row r="324" spans="1:12" x14ac:dyDescent="0.25">
      <c r="A324" s="7">
        <v>46180.5</v>
      </c>
      <c r="B324" t="s">
        <v>12</v>
      </c>
      <c r="C324" t="s">
        <v>533</v>
      </c>
      <c r="D324" t="s">
        <v>173</v>
      </c>
      <c r="E324" t="s">
        <v>3811</v>
      </c>
      <c r="F324" t="s">
        <v>63</v>
      </c>
      <c r="G324">
        <v>3</v>
      </c>
      <c r="H324" s="3">
        <v>12.75</v>
      </c>
      <c r="I324" s="3">
        <v>18.23</v>
      </c>
      <c r="J324" s="3">
        <v>2</v>
      </c>
      <c r="K324" s="14">
        <v>15.72</v>
      </c>
      <c r="L324" t="s">
        <v>1</v>
      </c>
    </row>
    <row r="325" spans="1:12" x14ac:dyDescent="0.25">
      <c r="A325" s="7">
        <v>46180.5</v>
      </c>
      <c r="B325" t="s">
        <v>12</v>
      </c>
      <c r="C325" t="s">
        <v>534</v>
      </c>
      <c r="D325" t="s">
        <v>253</v>
      </c>
      <c r="E325" t="s">
        <v>3815</v>
      </c>
      <c r="F325" t="s">
        <v>57</v>
      </c>
      <c r="G325">
        <v>1</v>
      </c>
      <c r="H325" s="3">
        <v>0.8</v>
      </c>
      <c r="I325" s="3">
        <v>1.12</v>
      </c>
      <c r="J325" s="3">
        <v>-0.83</v>
      </c>
      <c r="K325" s="14">
        <v>-103.66</v>
      </c>
      <c r="L325" t="s">
        <v>1</v>
      </c>
    </row>
    <row r="326" spans="1:12" x14ac:dyDescent="0.25">
      <c r="A326" s="7">
        <v>46180.5</v>
      </c>
      <c r="B326" t="s">
        <v>13</v>
      </c>
      <c r="C326" t="s">
        <v>1258</v>
      </c>
      <c r="D326" t="s">
        <v>253</v>
      </c>
      <c r="E326" t="s">
        <v>3815</v>
      </c>
      <c r="F326" t="s">
        <v>57</v>
      </c>
      <c r="G326">
        <v>2</v>
      </c>
      <c r="H326" s="3">
        <v>1.6</v>
      </c>
      <c r="I326" s="3">
        <v>1.92</v>
      </c>
      <c r="J326" s="3">
        <v>-9.93</v>
      </c>
      <c r="K326" s="14">
        <v>-620.91</v>
      </c>
      <c r="L326" t="s">
        <v>1</v>
      </c>
    </row>
    <row r="327" spans="1:12" x14ac:dyDescent="0.25">
      <c r="A327" s="7">
        <v>46180.5</v>
      </c>
      <c r="B327" t="s">
        <v>13</v>
      </c>
      <c r="C327" t="s">
        <v>1259</v>
      </c>
      <c r="D327" t="s">
        <v>181</v>
      </c>
      <c r="E327" t="s">
        <v>3813</v>
      </c>
      <c r="F327" t="s">
        <v>72</v>
      </c>
      <c r="G327">
        <v>4</v>
      </c>
      <c r="H327" s="3">
        <v>7.6</v>
      </c>
      <c r="I327" s="3">
        <v>8.97</v>
      </c>
      <c r="J327" s="3">
        <v>-9.84</v>
      </c>
      <c r="K327" s="14">
        <v>-129.41</v>
      </c>
      <c r="L327" t="s">
        <v>1</v>
      </c>
    </row>
    <row r="328" spans="1:12" x14ac:dyDescent="0.25">
      <c r="A328" s="7">
        <v>46180.5</v>
      </c>
      <c r="B328" t="s">
        <v>13</v>
      </c>
      <c r="C328" t="s">
        <v>1260</v>
      </c>
      <c r="D328" t="s">
        <v>184</v>
      </c>
      <c r="E328" t="s">
        <v>3814</v>
      </c>
      <c r="F328" t="s">
        <v>101</v>
      </c>
      <c r="G328">
        <v>3</v>
      </c>
      <c r="H328" s="3">
        <v>3.6</v>
      </c>
      <c r="I328" s="3">
        <v>5.08</v>
      </c>
      <c r="J328" s="3">
        <v>-9.32</v>
      </c>
      <c r="K328" s="14">
        <v>-258.76</v>
      </c>
      <c r="L328" t="s">
        <v>1</v>
      </c>
    </row>
    <row r="329" spans="1:12" x14ac:dyDescent="0.25">
      <c r="A329" s="7">
        <v>46180.5</v>
      </c>
      <c r="B329" t="s">
        <v>14</v>
      </c>
      <c r="C329" t="s">
        <v>2032</v>
      </c>
      <c r="D329" t="s">
        <v>173</v>
      </c>
      <c r="E329" t="s">
        <v>3811</v>
      </c>
      <c r="F329" t="s">
        <v>63</v>
      </c>
      <c r="G329">
        <v>1</v>
      </c>
      <c r="H329" s="3">
        <v>4.25</v>
      </c>
      <c r="I329" s="3">
        <v>5.14</v>
      </c>
      <c r="J329" s="3">
        <v>-1.14</v>
      </c>
      <c r="K329" s="14">
        <v>-22.24</v>
      </c>
      <c r="L329" t="s">
        <v>1</v>
      </c>
    </row>
    <row r="330" spans="1:12" x14ac:dyDescent="0.25">
      <c r="A330" s="7">
        <v>46180.5</v>
      </c>
      <c r="B330" t="s">
        <v>14</v>
      </c>
      <c r="C330" t="s">
        <v>2033</v>
      </c>
      <c r="D330" t="s">
        <v>184</v>
      </c>
      <c r="E330" t="s">
        <v>3814</v>
      </c>
      <c r="F330" t="s">
        <v>101</v>
      </c>
      <c r="G330">
        <v>1</v>
      </c>
      <c r="H330" s="3">
        <v>1.2</v>
      </c>
      <c r="I330" s="3">
        <v>1.39</v>
      </c>
      <c r="J330" s="3">
        <v>-1.43</v>
      </c>
      <c r="K330" s="14">
        <v>-102.96</v>
      </c>
      <c r="L330" t="s">
        <v>1</v>
      </c>
    </row>
    <row r="331" spans="1:12" x14ac:dyDescent="0.25">
      <c r="A331" s="7">
        <v>46179.5</v>
      </c>
      <c r="B331" t="s">
        <v>12</v>
      </c>
      <c r="C331" t="s">
        <v>545</v>
      </c>
      <c r="D331" t="s">
        <v>176</v>
      </c>
      <c r="E331" t="s">
        <v>3812</v>
      </c>
      <c r="F331" t="s">
        <v>77</v>
      </c>
      <c r="G331">
        <v>4</v>
      </c>
      <c r="H331" s="3">
        <v>0.6</v>
      </c>
      <c r="I331" s="3">
        <v>0.76</v>
      </c>
      <c r="J331" s="3">
        <v>-0.93</v>
      </c>
      <c r="K331" s="14">
        <v>-155.3</v>
      </c>
      <c r="L331" t="s">
        <v>1</v>
      </c>
    </row>
    <row r="332" spans="1:12" x14ac:dyDescent="0.25">
      <c r="A332" s="7">
        <v>46179.5</v>
      </c>
      <c r="B332" t="s">
        <v>13</v>
      </c>
      <c r="C332" t="s">
        <v>1267</v>
      </c>
      <c r="D332" t="s">
        <v>173</v>
      </c>
      <c r="E332" t="s">
        <v>3811</v>
      </c>
      <c r="F332" t="s">
        <v>63</v>
      </c>
      <c r="G332">
        <v>4</v>
      </c>
      <c r="H332" s="3">
        <v>17</v>
      </c>
      <c r="I332" s="3">
        <v>22.78</v>
      </c>
      <c r="J332" s="3">
        <v>-7.68</v>
      </c>
      <c r="K332" s="14">
        <v>-45.17</v>
      </c>
      <c r="L332" t="s">
        <v>1</v>
      </c>
    </row>
    <row r="333" spans="1:12" x14ac:dyDescent="0.25">
      <c r="A333" s="7">
        <v>46179.5</v>
      </c>
      <c r="B333" t="s">
        <v>15</v>
      </c>
      <c r="C333" t="s">
        <v>2817</v>
      </c>
      <c r="D333" t="s">
        <v>173</v>
      </c>
      <c r="E333" t="s">
        <v>3811</v>
      </c>
      <c r="F333" t="s">
        <v>63</v>
      </c>
      <c r="G333">
        <v>1</v>
      </c>
      <c r="H333" s="3">
        <v>4.25</v>
      </c>
      <c r="I333" s="3">
        <v>6.16</v>
      </c>
      <c r="J333" s="3">
        <v>0.07</v>
      </c>
      <c r="K333" s="14">
        <v>1.75</v>
      </c>
      <c r="L333" t="s">
        <v>1</v>
      </c>
    </row>
    <row r="334" spans="1:12" x14ac:dyDescent="0.25">
      <c r="A334" s="7">
        <v>46179.5</v>
      </c>
      <c r="B334" t="s">
        <v>15</v>
      </c>
      <c r="C334" t="s">
        <v>2818</v>
      </c>
      <c r="D334" t="s">
        <v>253</v>
      </c>
      <c r="E334" t="s">
        <v>3815</v>
      </c>
      <c r="F334" t="s">
        <v>57</v>
      </c>
      <c r="G334">
        <v>1</v>
      </c>
      <c r="H334" s="3">
        <v>0.8</v>
      </c>
      <c r="I334" s="3">
        <v>0.94</v>
      </c>
      <c r="J334" s="3">
        <v>-0.96</v>
      </c>
      <c r="K334" s="14">
        <v>-120.29</v>
      </c>
      <c r="L334" t="s">
        <v>1</v>
      </c>
    </row>
    <row r="335" spans="1:12" x14ac:dyDescent="0.25">
      <c r="A335" s="7">
        <v>46179.5</v>
      </c>
      <c r="B335" t="s">
        <v>16</v>
      </c>
      <c r="C335" t="s">
        <v>3594</v>
      </c>
      <c r="D335" t="s">
        <v>188</v>
      </c>
      <c r="E335" t="s">
        <v>3810</v>
      </c>
      <c r="F335" t="s">
        <v>63</v>
      </c>
      <c r="G335">
        <v>3</v>
      </c>
      <c r="H335" s="3">
        <v>10.5</v>
      </c>
      <c r="I335" s="3">
        <v>13.96</v>
      </c>
      <c r="J335" s="3">
        <v>1.24</v>
      </c>
      <c r="K335" s="14">
        <v>11.84</v>
      </c>
      <c r="L335" t="s">
        <v>1</v>
      </c>
    </row>
    <row r="336" spans="1:12" x14ac:dyDescent="0.25">
      <c r="A336" s="7">
        <v>46179.5</v>
      </c>
      <c r="B336" t="s">
        <v>16</v>
      </c>
      <c r="C336" t="s">
        <v>3592</v>
      </c>
      <c r="D336" t="s">
        <v>181</v>
      </c>
      <c r="E336" t="s">
        <v>3813</v>
      </c>
      <c r="F336" t="s">
        <v>72</v>
      </c>
      <c r="G336">
        <v>3</v>
      </c>
      <c r="H336" s="3">
        <v>5.7</v>
      </c>
      <c r="I336" s="3">
        <v>7.24</v>
      </c>
      <c r="J336" s="3">
        <v>-0.05</v>
      </c>
      <c r="K336" s="14">
        <v>-0.82</v>
      </c>
      <c r="L336" t="s">
        <v>1</v>
      </c>
    </row>
    <row r="337" spans="1:12" x14ac:dyDescent="0.25">
      <c r="A337" s="7">
        <v>46179.5</v>
      </c>
      <c r="B337" t="s">
        <v>16</v>
      </c>
      <c r="C337" t="s">
        <v>3593</v>
      </c>
      <c r="D337" t="s">
        <v>184</v>
      </c>
      <c r="E337" t="s">
        <v>3814</v>
      </c>
      <c r="F337" t="s">
        <v>101</v>
      </c>
      <c r="G337">
        <v>1</v>
      </c>
      <c r="H337" s="3">
        <v>1.2</v>
      </c>
      <c r="I337" s="3">
        <v>1.64</v>
      </c>
      <c r="J337" s="3">
        <v>-0.71</v>
      </c>
      <c r="K337" s="14">
        <v>-59.45</v>
      </c>
      <c r="L337" t="s">
        <v>1</v>
      </c>
    </row>
    <row r="338" spans="1:12" x14ac:dyDescent="0.25">
      <c r="A338" s="7">
        <v>46178.5</v>
      </c>
      <c r="B338" t="s">
        <v>12</v>
      </c>
      <c r="C338" t="s">
        <v>556</v>
      </c>
      <c r="D338" t="s">
        <v>181</v>
      </c>
      <c r="E338" t="s">
        <v>3813</v>
      </c>
      <c r="F338" t="s">
        <v>72</v>
      </c>
      <c r="G338">
        <v>1</v>
      </c>
      <c r="H338" s="3">
        <v>1.9</v>
      </c>
      <c r="I338" s="3">
        <v>2.34</v>
      </c>
      <c r="J338" s="3">
        <v>-0.83</v>
      </c>
      <c r="K338" s="14">
        <v>-43.89</v>
      </c>
      <c r="L338" t="s">
        <v>1</v>
      </c>
    </row>
    <row r="339" spans="1:12" x14ac:dyDescent="0.25">
      <c r="A339" s="7">
        <v>46178.5</v>
      </c>
      <c r="B339" t="s">
        <v>13</v>
      </c>
      <c r="C339" t="s">
        <v>1268</v>
      </c>
      <c r="D339" t="s">
        <v>188</v>
      </c>
      <c r="E339" t="s">
        <v>3810</v>
      </c>
      <c r="F339" t="s">
        <v>63</v>
      </c>
      <c r="G339">
        <v>1</v>
      </c>
      <c r="H339" s="3">
        <v>3.5</v>
      </c>
      <c r="I339" s="3">
        <v>4.2</v>
      </c>
      <c r="J339" s="3">
        <v>-9.87</v>
      </c>
      <c r="K339" s="14">
        <v>-281.96</v>
      </c>
      <c r="L339" t="s">
        <v>1</v>
      </c>
    </row>
    <row r="340" spans="1:12" x14ac:dyDescent="0.25">
      <c r="A340" s="7">
        <v>46178.5</v>
      </c>
      <c r="B340" t="s">
        <v>14</v>
      </c>
      <c r="C340" t="s">
        <v>2046</v>
      </c>
      <c r="D340" t="s">
        <v>188</v>
      </c>
      <c r="E340" t="s">
        <v>3810</v>
      </c>
      <c r="F340" t="s">
        <v>63</v>
      </c>
      <c r="G340">
        <v>3</v>
      </c>
      <c r="H340" s="3">
        <v>10.5</v>
      </c>
      <c r="I340" s="3">
        <v>15.22</v>
      </c>
      <c r="J340" s="3">
        <v>1.26</v>
      </c>
      <c r="K340" s="14">
        <v>8.25</v>
      </c>
      <c r="L340" t="s">
        <v>1</v>
      </c>
    </row>
    <row r="341" spans="1:12" x14ac:dyDescent="0.25">
      <c r="A341" s="7">
        <v>46178.5</v>
      </c>
      <c r="B341" t="s">
        <v>14</v>
      </c>
      <c r="C341" t="s">
        <v>2045</v>
      </c>
      <c r="D341" t="s">
        <v>173</v>
      </c>
      <c r="E341" t="s">
        <v>3811</v>
      </c>
      <c r="F341" t="s">
        <v>63</v>
      </c>
      <c r="G341">
        <v>1</v>
      </c>
      <c r="H341" s="3">
        <v>4.25</v>
      </c>
      <c r="I341" s="3">
        <v>5.48</v>
      </c>
      <c r="J341" s="3">
        <v>-0.89</v>
      </c>
      <c r="K341" s="14">
        <v>-16.18</v>
      </c>
      <c r="L341" t="s">
        <v>1</v>
      </c>
    </row>
    <row r="342" spans="1:12" x14ac:dyDescent="0.25">
      <c r="A342" s="7">
        <v>46178.5</v>
      </c>
      <c r="B342" t="s">
        <v>16</v>
      </c>
      <c r="C342" t="s">
        <v>3608</v>
      </c>
      <c r="D342" t="s">
        <v>253</v>
      </c>
      <c r="E342" t="s">
        <v>3815</v>
      </c>
      <c r="F342" t="s">
        <v>57</v>
      </c>
      <c r="G342">
        <v>3</v>
      </c>
      <c r="H342" s="3">
        <v>2.4</v>
      </c>
      <c r="I342" s="3">
        <v>2.83</v>
      </c>
      <c r="J342" s="3">
        <v>-0.77</v>
      </c>
      <c r="K342" s="14">
        <v>-32.15</v>
      </c>
      <c r="L342" t="s">
        <v>1</v>
      </c>
    </row>
    <row r="343" spans="1:12" x14ac:dyDescent="0.25">
      <c r="A343" s="7">
        <v>46178.5</v>
      </c>
      <c r="B343" t="s">
        <v>16</v>
      </c>
      <c r="C343" t="s">
        <v>3609</v>
      </c>
      <c r="D343" t="s">
        <v>184</v>
      </c>
      <c r="E343" t="s">
        <v>3814</v>
      </c>
      <c r="F343" t="s">
        <v>101</v>
      </c>
      <c r="G343">
        <v>4</v>
      </c>
      <c r="H343" s="3">
        <v>4.8</v>
      </c>
      <c r="I343" s="3">
        <v>5.9</v>
      </c>
      <c r="J343" s="3">
        <v>-0.35</v>
      </c>
      <c r="K343" s="14">
        <v>-7.36</v>
      </c>
      <c r="L343" t="s">
        <v>1</v>
      </c>
    </row>
    <row r="344" spans="1:12" x14ac:dyDescent="0.25">
      <c r="A344" s="7">
        <v>46178.5</v>
      </c>
      <c r="B344" t="s">
        <v>16</v>
      </c>
      <c r="C344" t="s">
        <v>3607</v>
      </c>
      <c r="D344" t="s">
        <v>184</v>
      </c>
      <c r="E344" t="s">
        <v>3814</v>
      </c>
      <c r="F344" t="s">
        <v>101</v>
      </c>
      <c r="G344">
        <v>3</v>
      </c>
      <c r="H344" s="3">
        <v>3.6</v>
      </c>
      <c r="I344" s="3">
        <v>4.14</v>
      </c>
      <c r="J344" s="3">
        <v>-0.74</v>
      </c>
      <c r="K344" s="14">
        <v>-20.56</v>
      </c>
      <c r="L344" t="s">
        <v>1</v>
      </c>
    </row>
    <row r="345" spans="1:12" x14ac:dyDescent="0.25">
      <c r="A345" s="7">
        <v>46177.5</v>
      </c>
      <c r="B345" t="s">
        <v>13</v>
      </c>
      <c r="C345" t="s">
        <v>1275</v>
      </c>
      <c r="D345" t="s">
        <v>176</v>
      </c>
      <c r="E345" t="s">
        <v>3812</v>
      </c>
      <c r="F345" t="s">
        <v>77</v>
      </c>
      <c r="G345">
        <v>4</v>
      </c>
      <c r="H345" s="3">
        <v>0.6</v>
      </c>
      <c r="I345" s="3">
        <v>0.7</v>
      </c>
      <c r="J345" s="3">
        <v>-9.98</v>
      </c>
      <c r="K345" s="14">
        <v>-1663.95</v>
      </c>
      <c r="L345" t="s">
        <v>1</v>
      </c>
    </row>
    <row r="346" spans="1:12" x14ac:dyDescent="0.25">
      <c r="A346" s="7">
        <v>46177.5</v>
      </c>
      <c r="B346" t="s">
        <v>13</v>
      </c>
      <c r="C346" t="s">
        <v>1276</v>
      </c>
      <c r="D346" t="s">
        <v>181</v>
      </c>
      <c r="E346" t="s">
        <v>3813</v>
      </c>
      <c r="F346" t="s">
        <v>72</v>
      </c>
      <c r="G346">
        <v>4</v>
      </c>
      <c r="H346" s="3">
        <v>7.6</v>
      </c>
      <c r="I346" s="3">
        <v>8.82</v>
      </c>
      <c r="J346" s="3">
        <v>-9.94</v>
      </c>
      <c r="K346" s="14">
        <v>-130.84</v>
      </c>
      <c r="L346" t="s">
        <v>1</v>
      </c>
    </row>
    <row r="347" spans="1:12" x14ac:dyDescent="0.25">
      <c r="A347" s="7">
        <v>46177.5</v>
      </c>
      <c r="B347" t="s">
        <v>14</v>
      </c>
      <c r="C347" t="s">
        <v>2057</v>
      </c>
      <c r="D347" t="s">
        <v>253</v>
      </c>
      <c r="E347" t="s">
        <v>3815</v>
      </c>
      <c r="F347" t="s">
        <v>57</v>
      </c>
      <c r="G347">
        <v>2</v>
      </c>
      <c r="H347" s="3">
        <v>1.6</v>
      </c>
      <c r="I347" s="3">
        <v>2.02</v>
      </c>
      <c r="J347" s="3">
        <v>-1.29</v>
      </c>
      <c r="K347" s="14">
        <v>-63.81</v>
      </c>
      <c r="L347" t="s">
        <v>1</v>
      </c>
    </row>
    <row r="348" spans="1:12" x14ac:dyDescent="0.25">
      <c r="A348" s="7">
        <v>46177.5</v>
      </c>
      <c r="B348" t="s">
        <v>16</v>
      </c>
      <c r="C348" t="s">
        <v>3618</v>
      </c>
      <c r="D348" t="s">
        <v>184</v>
      </c>
      <c r="E348" t="s">
        <v>3814</v>
      </c>
      <c r="F348" t="s">
        <v>101</v>
      </c>
      <c r="G348">
        <v>2</v>
      </c>
      <c r="H348" s="3">
        <v>2.4</v>
      </c>
      <c r="I348" s="3">
        <v>2.81</v>
      </c>
      <c r="J348" s="3">
        <v>-0.79</v>
      </c>
      <c r="K348" s="14">
        <v>-32.85</v>
      </c>
      <c r="L348" t="s">
        <v>1</v>
      </c>
    </row>
    <row r="349" spans="1:12" x14ac:dyDescent="0.25">
      <c r="A349" s="7">
        <v>46176.5</v>
      </c>
      <c r="B349" t="s">
        <v>12</v>
      </c>
      <c r="C349" t="s">
        <v>571</v>
      </c>
      <c r="D349" t="s">
        <v>181</v>
      </c>
      <c r="E349" t="s">
        <v>3813</v>
      </c>
      <c r="F349" t="s">
        <v>72</v>
      </c>
      <c r="G349">
        <v>2</v>
      </c>
      <c r="H349" s="3">
        <v>3.8</v>
      </c>
      <c r="I349" s="3">
        <v>5.24</v>
      </c>
      <c r="J349" s="3">
        <v>-0.25</v>
      </c>
      <c r="K349" s="14">
        <v>-6.55</v>
      </c>
      <c r="L349" t="s">
        <v>1</v>
      </c>
    </row>
    <row r="350" spans="1:12" x14ac:dyDescent="0.25">
      <c r="A350" s="7">
        <v>46176.5</v>
      </c>
      <c r="B350" t="s">
        <v>14</v>
      </c>
      <c r="C350" t="s">
        <v>2069</v>
      </c>
      <c r="D350" t="s">
        <v>173</v>
      </c>
      <c r="E350" t="s">
        <v>3811</v>
      </c>
      <c r="F350" t="s">
        <v>63</v>
      </c>
      <c r="G350">
        <v>2</v>
      </c>
      <c r="H350" s="3">
        <v>8.5</v>
      </c>
      <c r="I350" s="3">
        <v>11.98</v>
      </c>
      <c r="J350" s="3">
        <v>0.48</v>
      </c>
      <c r="K350" s="14">
        <v>3.98</v>
      </c>
      <c r="L350" t="s">
        <v>1</v>
      </c>
    </row>
    <row r="351" spans="1:12" x14ac:dyDescent="0.25">
      <c r="A351" s="7">
        <v>46176.5</v>
      </c>
      <c r="B351" t="s">
        <v>14</v>
      </c>
      <c r="C351" t="s">
        <v>2068</v>
      </c>
      <c r="D351" t="s">
        <v>184</v>
      </c>
      <c r="E351" t="s">
        <v>3814</v>
      </c>
      <c r="F351" t="s">
        <v>101</v>
      </c>
      <c r="G351">
        <v>1</v>
      </c>
      <c r="H351" s="3">
        <v>1.2</v>
      </c>
      <c r="I351" s="3">
        <v>1.39</v>
      </c>
      <c r="J351" s="3">
        <v>-1.43</v>
      </c>
      <c r="K351" s="14">
        <v>-102.96</v>
      </c>
      <c r="L351" t="s">
        <v>1</v>
      </c>
    </row>
    <row r="352" spans="1:12" x14ac:dyDescent="0.25">
      <c r="A352" s="7">
        <v>46176.5</v>
      </c>
      <c r="B352" t="s">
        <v>15</v>
      </c>
      <c r="C352" t="s">
        <v>2847</v>
      </c>
      <c r="D352" t="s">
        <v>173</v>
      </c>
      <c r="E352" t="s">
        <v>3811</v>
      </c>
      <c r="F352" t="s">
        <v>63</v>
      </c>
      <c r="G352">
        <v>1</v>
      </c>
      <c r="H352" s="3">
        <v>4.25</v>
      </c>
      <c r="I352" s="3">
        <v>5.74</v>
      </c>
      <c r="J352" s="3">
        <v>-0.24</v>
      </c>
      <c r="K352" s="14">
        <v>-5.66</v>
      </c>
      <c r="L352" t="s">
        <v>1</v>
      </c>
    </row>
    <row r="353" spans="1:12" x14ac:dyDescent="0.25">
      <c r="A353" s="7">
        <v>46175.5</v>
      </c>
      <c r="B353" t="s">
        <v>12</v>
      </c>
      <c r="C353" t="s">
        <v>580</v>
      </c>
      <c r="D353" t="s">
        <v>184</v>
      </c>
      <c r="E353" t="s">
        <v>3814</v>
      </c>
      <c r="F353" t="s">
        <v>101</v>
      </c>
      <c r="G353">
        <v>1</v>
      </c>
      <c r="H353" s="3">
        <v>1.2</v>
      </c>
      <c r="I353" s="3">
        <v>1.51</v>
      </c>
      <c r="J353" s="3">
        <v>-0.87</v>
      </c>
      <c r="K353" s="14">
        <v>-72.59</v>
      </c>
      <c r="L353" t="s">
        <v>1</v>
      </c>
    </row>
    <row r="354" spans="1:12" x14ac:dyDescent="0.25">
      <c r="A354" s="7">
        <v>46175.5</v>
      </c>
      <c r="B354" t="s">
        <v>15</v>
      </c>
      <c r="C354" t="s">
        <v>2853</v>
      </c>
      <c r="D354" t="s">
        <v>253</v>
      </c>
      <c r="E354" t="s">
        <v>3815</v>
      </c>
      <c r="F354" t="s">
        <v>57</v>
      </c>
      <c r="G354">
        <v>1</v>
      </c>
      <c r="H354" s="3">
        <v>0.8</v>
      </c>
      <c r="I354" s="3">
        <v>1.16</v>
      </c>
      <c r="J354" s="3">
        <v>-0.8</v>
      </c>
      <c r="K354" s="14">
        <v>-99.68</v>
      </c>
      <c r="L354" t="s">
        <v>1</v>
      </c>
    </row>
    <row r="355" spans="1:12" x14ac:dyDescent="0.25">
      <c r="A355" s="7">
        <v>46175.5</v>
      </c>
      <c r="B355" t="s">
        <v>16</v>
      </c>
      <c r="C355" t="s">
        <v>3634</v>
      </c>
      <c r="D355" t="s">
        <v>176</v>
      </c>
      <c r="E355" t="s">
        <v>3812</v>
      </c>
      <c r="F355" t="s">
        <v>77</v>
      </c>
      <c r="G355">
        <v>2</v>
      </c>
      <c r="H355" s="3">
        <v>0.3</v>
      </c>
      <c r="I355" s="3">
        <v>0.43</v>
      </c>
      <c r="J355" s="3">
        <v>-0.91</v>
      </c>
      <c r="K355" s="14">
        <v>-303.89</v>
      </c>
      <c r="L355" t="s">
        <v>1</v>
      </c>
    </row>
    <row r="356" spans="1:12" x14ac:dyDescent="0.25">
      <c r="A356" s="7">
        <v>46175.5</v>
      </c>
      <c r="B356" t="s">
        <v>16</v>
      </c>
      <c r="C356" t="s">
        <v>3633</v>
      </c>
      <c r="D356" t="s">
        <v>181</v>
      </c>
      <c r="E356" t="s">
        <v>3813</v>
      </c>
      <c r="F356" t="s">
        <v>72</v>
      </c>
      <c r="G356">
        <v>1</v>
      </c>
      <c r="H356" s="3">
        <v>1.9</v>
      </c>
      <c r="I356" s="3">
        <v>2.74</v>
      </c>
      <c r="J356" s="3">
        <v>-0.43</v>
      </c>
      <c r="K356" s="14">
        <v>-22.63</v>
      </c>
      <c r="L356" t="s">
        <v>1</v>
      </c>
    </row>
    <row r="357" spans="1:12" x14ac:dyDescent="0.25">
      <c r="A357" s="7">
        <v>46174.5</v>
      </c>
      <c r="B357" t="s">
        <v>13</v>
      </c>
      <c r="C357" t="s">
        <v>1303</v>
      </c>
      <c r="D357" t="s">
        <v>181</v>
      </c>
      <c r="E357" t="s">
        <v>3813</v>
      </c>
      <c r="F357" t="s">
        <v>72</v>
      </c>
      <c r="G357">
        <v>1</v>
      </c>
      <c r="H357" s="3">
        <v>1.9</v>
      </c>
      <c r="I357" s="3">
        <v>2.41</v>
      </c>
      <c r="J357" s="3">
        <v>-9.83</v>
      </c>
      <c r="K357" s="14">
        <v>-517.37</v>
      </c>
      <c r="L357" t="s">
        <v>1</v>
      </c>
    </row>
    <row r="358" spans="1:12" x14ac:dyDescent="0.25">
      <c r="A358" s="7">
        <v>46174.5</v>
      </c>
      <c r="B358" t="s">
        <v>15</v>
      </c>
      <c r="C358" t="s">
        <v>2870</v>
      </c>
      <c r="D358" t="s">
        <v>181</v>
      </c>
      <c r="E358" t="s">
        <v>3813</v>
      </c>
      <c r="F358" t="s">
        <v>72</v>
      </c>
      <c r="G358">
        <v>1</v>
      </c>
      <c r="H358" s="3">
        <v>1.9</v>
      </c>
      <c r="I358" s="3">
        <v>2.43</v>
      </c>
      <c r="J358" s="3">
        <v>-0.76</v>
      </c>
      <c r="K358" s="14">
        <v>-40.13</v>
      </c>
      <c r="L358" t="s">
        <v>1</v>
      </c>
    </row>
    <row r="359" spans="1:12" x14ac:dyDescent="0.25">
      <c r="A359" s="7">
        <v>46174.5</v>
      </c>
      <c r="B359" t="s">
        <v>16</v>
      </c>
      <c r="C359" t="s">
        <v>3644</v>
      </c>
      <c r="D359" t="s">
        <v>176</v>
      </c>
      <c r="E359" t="s">
        <v>3812</v>
      </c>
      <c r="F359" t="s">
        <v>77</v>
      </c>
      <c r="G359">
        <v>3</v>
      </c>
      <c r="H359" s="3">
        <v>0.45</v>
      </c>
      <c r="I359" s="3">
        <v>0.63</v>
      </c>
      <c r="J359" s="3">
        <v>-0.88</v>
      </c>
      <c r="K359" s="14">
        <v>-195.56</v>
      </c>
      <c r="L359" t="s">
        <v>1</v>
      </c>
    </row>
    <row r="360" spans="1:12" x14ac:dyDescent="0.25">
      <c r="A360" s="7">
        <v>46174.5</v>
      </c>
      <c r="B360" t="s">
        <v>16</v>
      </c>
      <c r="C360" t="s">
        <v>3643</v>
      </c>
      <c r="D360" t="s">
        <v>181</v>
      </c>
      <c r="E360" t="s">
        <v>3813</v>
      </c>
      <c r="F360" t="s">
        <v>72</v>
      </c>
      <c r="G360">
        <v>3</v>
      </c>
      <c r="H360" s="3">
        <v>5.7</v>
      </c>
      <c r="I360" s="3">
        <v>7.41</v>
      </c>
      <c r="J360" s="3">
        <v>0.08</v>
      </c>
      <c r="K360" s="14">
        <v>1.49</v>
      </c>
      <c r="L360" t="s">
        <v>1</v>
      </c>
    </row>
    <row r="361" spans="1:12" x14ac:dyDescent="0.25">
      <c r="A361" s="7">
        <v>46173.5</v>
      </c>
      <c r="B361" t="s">
        <v>13</v>
      </c>
      <c r="C361" t="s">
        <v>1308</v>
      </c>
      <c r="D361" t="s">
        <v>184</v>
      </c>
      <c r="E361" t="s">
        <v>3814</v>
      </c>
      <c r="F361" t="s">
        <v>101</v>
      </c>
      <c r="G361">
        <v>1</v>
      </c>
      <c r="H361" s="3">
        <v>1.2</v>
      </c>
      <c r="I361" s="3">
        <v>1.66</v>
      </c>
      <c r="J361" s="3">
        <v>-9.79</v>
      </c>
      <c r="K361" s="14">
        <v>-815.77</v>
      </c>
      <c r="L361" t="s">
        <v>1</v>
      </c>
    </row>
    <row r="362" spans="1:12" x14ac:dyDescent="0.25">
      <c r="A362" s="7">
        <v>46173.5</v>
      </c>
      <c r="B362" t="s">
        <v>14</v>
      </c>
      <c r="C362" t="s">
        <v>2090</v>
      </c>
      <c r="D362" t="s">
        <v>253</v>
      </c>
      <c r="E362" t="s">
        <v>3815</v>
      </c>
      <c r="F362" t="s">
        <v>57</v>
      </c>
      <c r="G362">
        <v>2</v>
      </c>
      <c r="H362" s="3">
        <v>1.6</v>
      </c>
      <c r="I362" s="3">
        <v>2.32</v>
      </c>
      <c r="J362" s="3">
        <v>-1.06</v>
      </c>
      <c r="K362" s="14">
        <v>-45.8</v>
      </c>
      <c r="L362" t="s">
        <v>1</v>
      </c>
    </row>
    <row r="363" spans="1:12" x14ac:dyDescent="0.25">
      <c r="A363" s="7">
        <v>46172.5</v>
      </c>
      <c r="B363" t="s">
        <v>12</v>
      </c>
      <c r="C363" t="s">
        <v>593</v>
      </c>
      <c r="D363" t="s">
        <v>188</v>
      </c>
      <c r="E363" t="s">
        <v>3810</v>
      </c>
      <c r="F363" t="s">
        <v>63</v>
      </c>
      <c r="G363">
        <v>1</v>
      </c>
      <c r="H363" s="3">
        <v>3.5</v>
      </c>
      <c r="I363" s="3">
        <v>4.02</v>
      </c>
      <c r="J363" s="3">
        <v>-0.91</v>
      </c>
      <c r="K363" s="14">
        <v>-26.03</v>
      </c>
      <c r="L363" t="s">
        <v>1</v>
      </c>
    </row>
    <row r="364" spans="1:12" x14ac:dyDescent="0.25">
      <c r="A364" s="7">
        <v>46172.5</v>
      </c>
      <c r="B364" t="s">
        <v>12</v>
      </c>
      <c r="C364" t="s">
        <v>594</v>
      </c>
      <c r="D364" t="s">
        <v>253</v>
      </c>
      <c r="E364" t="s">
        <v>3815</v>
      </c>
      <c r="F364" t="s">
        <v>57</v>
      </c>
      <c r="G364">
        <v>4</v>
      </c>
      <c r="H364" s="3">
        <v>3.2</v>
      </c>
      <c r="I364" s="3">
        <v>3.84</v>
      </c>
      <c r="J364" s="3">
        <v>-0.8</v>
      </c>
      <c r="K364" s="14">
        <v>-24.87</v>
      </c>
      <c r="L364" t="s">
        <v>1</v>
      </c>
    </row>
    <row r="365" spans="1:12" x14ac:dyDescent="0.25">
      <c r="A365" s="7">
        <v>46172.5</v>
      </c>
      <c r="B365" t="s">
        <v>15</v>
      </c>
      <c r="C365" t="s">
        <v>2898</v>
      </c>
      <c r="D365" t="s">
        <v>188</v>
      </c>
      <c r="E365" t="s">
        <v>3810</v>
      </c>
      <c r="F365" t="s">
        <v>63</v>
      </c>
      <c r="G365">
        <v>1</v>
      </c>
      <c r="H365" s="3">
        <v>3.5</v>
      </c>
      <c r="I365" s="3">
        <v>4.58</v>
      </c>
      <c r="J365" s="3">
        <v>-0.48</v>
      </c>
      <c r="K365" s="14">
        <v>-13.85</v>
      </c>
      <c r="L365" t="s">
        <v>1</v>
      </c>
    </row>
    <row r="366" spans="1:12" x14ac:dyDescent="0.25">
      <c r="A366" s="7">
        <v>46172.5</v>
      </c>
      <c r="B366" t="s">
        <v>15</v>
      </c>
      <c r="C366" t="s">
        <v>2899</v>
      </c>
      <c r="D366" t="s">
        <v>188</v>
      </c>
      <c r="E366" t="s">
        <v>3810</v>
      </c>
      <c r="F366" t="s">
        <v>63</v>
      </c>
      <c r="G366">
        <v>1</v>
      </c>
      <c r="H366" s="3">
        <v>3.5</v>
      </c>
      <c r="I366" s="3">
        <v>4.2</v>
      </c>
      <c r="J366" s="3">
        <v>-0.77</v>
      </c>
      <c r="K366" s="14">
        <v>-21.99</v>
      </c>
      <c r="L366" t="s">
        <v>1</v>
      </c>
    </row>
    <row r="367" spans="1:12" x14ac:dyDescent="0.25">
      <c r="A367" s="7">
        <v>46172.5</v>
      </c>
      <c r="B367" t="s">
        <v>16</v>
      </c>
      <c r="C367" t="s">
        <v>3658</v>
      </c>
      <c r="D367" t="s">
        <v>188</v>
      </c>
      <c r="E367" t="s">
        <v>3810</v>
      </c>
      <c r="F367" t="s">
        <v>63</v>
      </c>
      <c r="G367">
        <v>1</v>
      </c>
      <c r="H367" s="3">
        <v>3.5</v>
      </c>
      <c r="I367" s="3">
        <v>4.97</v>
      </c>
      <c r="J367" s="3">
        <v>-0.01</v>
      </c>
      <c r="K367" s="14">
        <v>-0.14</v>
      </c>
      <c r="L367" t="s">
        <v>1</v>
      </c>
    </row>
    <row r="368" spans="1:12" x14ac:dyDescent="0.25">
      <c r="A368" s="7">
        <v>46171.5</v>
      </c>
      <c r="B368" t="s">
        <v>13</v>
      </c>
      <c r="C368" t="s">
        <v>1331</v>
      </c>
      <c r="D368" t="s">
        <v>253</v>
      </c>
      <c r="E368" t="s">
        <v>3815</v>
      </c>
      <c r="F368" t="s">
        <v>57</v>
      </c>
      <c r="G368">
        <v>3</v>
      </c>
      <c r="H368" s="3">
        <v>2.4</v>
      </c>
      <c r="I368" s="3">
        <v>3.46</v>
      </c>
      <c r="J368" s="3">
        <v>-9.49</v>
      </c>
      <c r="K368" s="14">
        <v>-395.3</v>
      </c>
      <c r="L368" t="s">
        <v>1</v>
      </c>
    </row>
    <row r="369" spans="1:12" x14ac:dyDescent="0.25">
      <c r="A369" s="7">
        <v>46171.5</v>
      </c>
      <c r="B369" t="s">
        <v>14</v>
      </c>
      <c r="C369" t="s">
        <v>2116</v>
      </c>
      <c r="D369" t="s">
        <v>176</v>
      </c>
      <c r="E369" t="s">
        <v>3812</v>
      </c>
      <c r="F369" t="s">
        <v>77</v>
      </c>
      <c r="G369">
        <v>1</v>
      </c>
      <c r="H369" s="3">
        <v>0.15</v>
      </c>
      <c r="I369" s="3">
        <v>0.18</v>
      </c>
      <c r="J369" s="3">
        <v>-1.47</v>
      </c>
      <c r="K369" s="14">
        <v>-816.21</v>
      </c>
      <c r="L369" t="s">
        <v>1</v>
      </c>
    </row>
    <row r="370" spans="1:12" x14ac:dyDescent="0.25">
      <c r="A370" s="7">
        <v>46171.5</v>
      </c>
      <c r="B370" t="s">
        <v>14</v>
      </c>
      <c r="C370" t="s">
        <v>2117</v>
      </c>
      <c r="D370" t="s">
        <v>253</v>
      </c>
      <c r="E370" t="s">
        <v>3815</v>
      </c>
      <c r="F370" t="s">
        <v>57</v>
      </c>
      <c r="G370">
        <v>1</v>
      </c>
      <c r="H370" s="3">
        <v>0.8</v>
      </c>
      <c r="I370" s="3">
        <v>1.15</v>
      </c>
      <c r="J370" s="3">
        <v>-1.28</v>
      </c>
      <c r="K370" s="14">
        <v>-111.21</v>
      </c>
      <c r="L370" t="s">
        <v>1</v>
      </c>
    </row>
    <row r="371" spans="1:12" x14ac:dyDescent="0.25">
      <c r="A371" s="7">
        <v>46171.5</v>
      </c>
      <c r="B371" t="s">
        <v>15</v>
      </c>
      <c r="C371" t="s">
        <v>2906</v>
      </c>
      <c r="D371" t="s">
        <v>173</v>
      </c>
      <c r="E371" t="s">
        <v>3811</v>
      </c>
      <c r="F371" t="s">
        <v>63</v>
      </c>
      <c r="G371">
        <v>1</v>
      </c>
      <c r="H371" s="3">
        <v>4.25</v>
      </c>
      <c r="I371" s="3">
        <v>5.14</v>
      </c>
      <c r="J371" s="3">
        <v>-0.69</v>
      </c>
      <c r="K371" s="14">
        <v>-16.24</v>
      </c>
      <c r="L371" t="s">
        <v>1</v>
      </c>
    </row>
    <row r="372" spans="1:12" x14ac:dyDescent="0.25">
      <c r="A372" s="7">
        <v>46171.5</v>
      </c>
      <c r="B372" t="s">
        <v>15</v>
      </c>
      <c r="C372" t="s">
        <v>2907</v>
      </c>
      <c r="D372" t="s">
        <v>173</v>
      </c>
      <c r="E372" t="s">
        <v>3811</v>
      </c>
      <c r="F372" t="s">
        <v>63</v>
      </c>
      <c r="G372">
        <v>1</v>
      </c>
      <c r="H372" s="3">
        <v>4.25</v>
      </c>
      <c r="I372" s="3">
        <v>5.86</v>
      </c>
      <c r="J372" s="3">
        <v>-0.15</v>
      </c>
      <c r="K372" s="14">
        <v>-3.54</v>
      </c>
      <c r="L372" t="s">
        <v>1</v>
      </c>
    </row>
    <row r="373" spans="1:12" x14ac:dyDescent="0.25">
      <c r="A373" s="7">
        <v>46171.5</v>
      </c>
      <c r="B373" t="s">
        <v>15</v>
      </c>
      <c r="C373" t="s">
        <v>2908</v>
      </c>
      <c r="D373" t="s">
        <v>184</v>
      </c>
      <c r="E373" t="s">
        <v>3814</v>
      </c>
      <c r="F373" t="s">
        <v>101</v>
      </c>
      <c r="G373">
        <v>1</v>
      </c>
      <c r="H373" s="3">
        <v>1.2</v>
      </c>
      <c r="I373" s="3">
        <v>1.52</v>
      </c>
      <c r="J373" s="3">
        <v>-0.86</v>
      </c>
      <c r="K373" s="14">
        <v>-71.75</v>
      </c>
      <c r="L373" t="s">
        <v>1</v>
      </c>
    </row>
    <row r="374" spans="1:12" x14ac:dyDescent="0.25">
      <c r="A374" s="7">
        <v>46171.5</v>
      </c>
      <c r="B374" t="s">
        <v>16</v>
      </c>
      <c r="C374" t="s">
        <v>3667</v>
      </c>
      <c r="D374" t="s">
        <v>173</v>
      </c>
      <c r="E374" t="s">
        <v>3811</v>
      </c>
      <c r="F374" t="s">
        <v>63</v>
      </c>
      <c r="G374">
        <v>3</v>
      </c>
      <c r="H374" s="3">
        <v>12.75</v>
      </c>
      <c r="I374" s="3">
        <v>17.59</v>
      </c>
      <c r="J374" s="3">
        <v>2.22</v>
      </c>
      <c r="K374" s="14">
        <v>17.44</v>
      </c>
      <c r="L374" t="s">
        <v>1</v>
      </c>
    </row>
    <row r="375" spans="1:12" x14ac:dyDescent="0.25">
      <c r="A375" s="7">
        <v>46171.5</v>
      </c>
      <c r="B375" t="s">
        <v>16</v>
      </c>
      <c r="C375" t="s">
        <v>3665</v>
      </c>
      <c r="D375" t="s">
        <v>181</v>
      </c>
      <c r="E375" t="s">
        <v>3813</v>
      </c>
      <c r="F375" t="s">
        <v>72</v>
      </c>
      <c r="G375">
        <v>3</v>
      </c>
      <c r="H375" s="3">
        <v>5.7</v>
      </c>
      <c r="I375" s="3">
        <v>7.75</v>
      </c>
      <c r="J375" s="3">
        <v>0.35</v>
      </c>
      <c r="K375" s="14">
        <v>6.11</v>
      </c>
      <c r="L375" t="s">
        <v>1</v>
      </c>
    </row>
    <row r="376" spans="1:12" x14ac:dyDescent="0.25">
      <c r="A376" s="7">
        <v>46171.5</v>
      </c>
      <c r="B376" t="s">
        <v>16</v>
      </c>
      <c r="C376" t="s">
        <v>3666</v>
      </c>
      <c r="D376" t="s">
        <v>184</v>
      </c>
      <c r="E376" t="s">
        <v>3814</v>
      </c>
      <c r="F376" t="s">
        <v>101</v>
      </c>
      <c r="G376">
        <v>3</v>
      </c>
      <c r="H376" s="3">
        <v>3.6</v>
      </c>
      <c r="I376" s="3">
        <v>4.28</v>
      </c>
      <c r="J376" s="3">
        <v>-0.63</v>
      </c>
      <c r="K376" s="14">
        <v>-17.59</v>
      </c>
      <c r="L376" t="s">
        <v>1</v>
      </c>
    </row>
    <row r="377" spans="1:12" x14ac:dyDescent="0.25">
      <c r="A377" s="7">
        <v>46170.5</v>
      </c>
      <c r="B377" t="s">
        <v>12</v>
      </c>
      <c r="C377" t="s">
        <v>603</v>
      </c>
      <c r="D377" t="s">
        <v>181</v>
      </c>
      <c r="E377" t="s">
        <v>3813</v>
      </c>
      <c r="F377" t="s">
        <v>72</v>
      </c>
      <c r="G377">
        <v>3</v>
      </c>
      <c r="H377" s="3">
        <v>5.7</v>
      </c>
      <c r="I377" s="3">
        <v>6.78</v>
      </c>
      <c r="J377" s="3">
        <v>-0.68</v>
      </c>
      <c r="K377" s="14">
        <v>-11.95</v>
      </c>
      <c r="L377" t="s">
        <v>1</v>
      </c>
    </row>
    <row r="378" spans="1:12" x14ac:dyDescent="0.25">
      <c r="A378" s="7">
        <v>46170.5</v>
      </c>
      <c r="B378" t="s">
        <v>13</v>
      </c>
      <c r="C378" t="s">
        <v>1344</v>
      </c>
      <c r="D378" t="s">
        <v>188</v>
      </c>
      <c r="E378" t="s">
        <v>3810</v>
      </c>
      <c r="F378" t="s">
        <v>63</v>
      </c>
      <c r="G378">
        <v>3</v>
      </c>
      <c r="H378" s="3">
        <v>10.5</v>
      </c>
      <c r="I378" s="3">
        <v>13.34</v>
      </c>
      <c r="J378" s="3">
        <v>-9.09</v>
      </c>
      <c r="K378" s="14">
        <v>-86.58</v>
      </c>
      <c r="L378" t="s">
        <v>1</v>
      </c>
    </row>
    <row r="379" spans="1:12" x14ac:dyDescent="0.25">
      <c r="A379" s="7">
        <v>46170.5</v>
      </c>
      <c r="B379" t="s">
        <v>13</v>
      </c>
      <c r="C379" t="s">
        <v>1345</v>
      </c>
      <c r="D379" t="s">
        <v>173</v>
      </c>
      <c r="E379" t="s">
        <v>3811</v>
      </c>
      <c r="F379" t="s">
        <v>63</v>
      </c>
      <c r="G379">
        <v>1</v>
      </c>
      <c r="H379" s="3">
        <v>4.25</v>
      </c>
      <c r="I379" s="3">
        <v>5.86</v>
      </c>
      <c r="J379" s="3">
        <v>-9.29</v>
      </c>
      <c r="K379" s="14">
        <v>-218.66</v>
      </c>
      <c r="L379" t="s">
        <v>1</v>
      </c>
    </row>
    <row r="380" spans="1:12" x14ac:dyDescent="0.25">
      <c r="A380" s="7">
        <v>46170.5</v>
      </c>
      <c r="B380" t="s">
        <v>14</v>
      </c>
      <c r="C380" t="s">
        <v>2132</v>
      </c>
      <c r="D380" t="s">
        <v>173</v>
      </c>
      <c r="E380" t="s">
        <v>3811</v>
      </c>
      <c r="F380" t="s">
        <v>63</v>
      </c>
      <c r="G380">
        <v>2</v>
      </c>
      <c r="H380" s="3">
        <v>8.5</v>
      </c>
      <c r="I380" s="3">
        <v>10.37</v>
      </c>
      <c r="J380" s="3">
        <v>-0.74</v>
      </c>
      <c r="K380" s="14">
        <v>-7.12</v>
      </c>
      <c r="L380" t="s">
        <v>1</v>
      </c>
    </row>
    <row r="381" spans="1:12" x14ac:dyDescent="0.25">
      <c r="A381" s="7">
        <v>46170.5</v>
      </c>
      <c r="B381" t="s">
        <v>14</v>
      </c>
      <c r="C381" t="s">
        <v>2131</v>
      </c>
      <c r="D381" t="s">
        <v>181</v>
      </c>
      <c r="E381" t="s">
        <v>3813</v>
      </c>
      <c r="F381" t="s">
        <v>72</v>
      </c>
      <c r="G381">
        <v>4</v>
      </c>
      <c r="H381" s="3">
        <v>7.6</v>
      </c>
      <c r="I381" s="3">
        <v>9.27</v>
      </c>
      <c r="J381" s="3">
        <v>-0.82</v>
      </c>
      <c r="K381" s="14">
        <v>-8.83</v>
      </c>
      <c r="L381" t="s">
        <v>1</v>
      </c>
    </row>
    <row r="382" spans="1:12" x14ac:dyDescent="0.25">
      <c r="A382" s="7">
        <v>46169.5</v>
      </c>
      <c r="B382" t="s">
        <v>12</v>
      </c>
      <c r="C382" t="s">
        <v>617</v>
      </c>
      <c r="D382" t="s">
        <v>181</v>
      </c>
      <c r="E382" t="s">
        <v>3813</v>
      </c>
      <c r="F382" t="s">
        <v>72</v>
      </c>
      <c r="G382">
        <v>2</v>
      </c>
      <c r="H382" s="3">
        <v>3.8</v>
      </c>
      <c r="I382" s="3">
        <v>5.21</v>
      </c>
      <c r="J382" s="3">
        <v>-0.27</v>
      </c>
      <c r="K382" s="14">
        <v>-7.14</v>
      </c>
      <c r="L382" t="s">
        <v>1</v>
      </c>
    </row>
    <row r="383" spans="1:12" x14ac:dyDescent="0.25">
      <c r="A383" s="7">
        <v>46169.5</v>
      </c>
      <c r="B383" t="s">
        <v>13</v>
      </c>
      <c r="C383" t="s">
        <v>1350</v>
      </c>
      <c r="D383" t="s">
        <v>188</v>
      </c>
      <c r="E383" t="s">
        <v>3810</v>
      </c>
      <c r="F383" t="s">
        <v>63</v>
      </c>
      <c r="G383">
        <v>1</v>
      </c>
      <c r="H383" s="3">
        <v>3.5</v>
      </c>
      <c r="I383" s="3">
        <v>4.09</v>
      </c>
      <c r="J383" s="3">
        <v>-9.95</v>
      </c>
      <c r="K383" s="14">
        <v>-284.24</v>
      </c>
      <c r="L383" t="s">
        <v>1</v>
      </c>
    </row>
    <row r="384" spans="1:12" x14ac:dyDescent="0.25">
      <c r="A384" s="7">
        <v>46169.5</v>
      </c>
      <c r="B384" t="s">
        <v>14</v>
      </c>
      <c r="C384" t="s">
        <v>2144</v>
      </c>
      <c r="D384" t="s">
        <v>184</v>
      </c>
      <c r="E384" t="s">
        <v>3814</v>
      </c>
      <c r="F384" t="s">
        <v>101</v>
      </c>
      <c r="G384">
        <v>3</v>
      </c>
      <c r="H384" s="3">
        <v>3.6</v>
      </c>
      <c r="I384" s="3">
        <v>4.39</v>
      </c>
      <c r="J384" s="3">
        <v>-1.17</v>
      </c>
      <c r="K384" s="14">
        <v>-26.59</v>
      </c>
      <c r="L384" t="s">
        <v>1</v>
      </c>
    </row>
    <row r="385" spans="1:12" x14ac:dyDescent="0.25">
      <c r="A385" s="7">
        <v>46169.5</v>
      </c>
      <c r="B385" t="s">
        <v>16</v>
      </c>
      <c r="C385" t="s">
        <v>3676</v>
      </c>
      <c r="D385" t="s">
        <v>188</v>
      </c>
      <c r="E385" t="s">
        <v>3810</v>
      </c>
      <c r="F385" t="s">
        <v>63</v>
      </c>
      <c r="G385">
        <v>3</v>
      </c>
      <c r="H385" s="3">
        <v>10.5</v>
      </c>
      <c r="I385" s="3">
        <v>14.39</v>
      </c>
      <c r="J385" s="3">
        <v>1.58</v>
      </c>
      <c r="K385" s="14">
        <v>15.06</v>
      </c>
      <c r="L385" t="s">
        <v>1</v>
      </c>
    </row>
    <row r="386" spans="1:12" x14ac:dyDescent="0.25">
      <c r="A386" s="7">
        <v>46169.5</v>
      </c>
      <c r="B386" t="s">
        <v>16</v>
      </c>
      <c r="C386" t="s">
        <v>3677</v>
      </c>
      <c r="D386" t="s">
        <v>253</v>
      </c>
      <c r="E386" t="s">
        <v>3815</v>
      </c>
      <c r="F386" t="s">
        <v>57</v>
      </c>
      <c r="G386">
        <v>2</v>
      </c>
      <c r="H386" s="3">
        <v>1.6</v>
      </c>
      <c r="I386" s="3">
        <v>1.92</v>
      </c>
      <c r="J386" s="3">
        <v>-0.82</v>
      </c>
      <c r="K386" s="14">
        <v>-51.46</v>
      </c>
      <c r="L386" t="s">
        <v>1</v>
      </c>
    </row>
    <row r="387" spans="1:12" x14ac:dyDescent="0.25">
      <c r="A387" s="7">
        <v>46169.5</v>
      </c>
      <c r="B387" t="s">
        <v>16</v>
      </c>
      <c r="C387" t="s">
        <v>3678</v>
      </c>
      <c r="D387" t="s">
        <v>184</v>
      </c>
      <c r="E387" t="s">
        <v>3814</v>
      </c>
      <c r="F387" t="s">
        <v>101</v>
      </c>
      <c r="G387">
        <v>4</v>
      </c>
      <c r="H387" s="3">
        <v>4.8</v>
      </c>
      <c r="I387" s="3">
        <v>5.81</v>
      </c>
      <c r="J387" s="3">
        <v>-0.43</v>
      </c>
      <c r="K387" s="14">
        <v>-8.92</v>
      </c>
      <c r="L387" t="s">
        <v>1</v>
      </c>
    </row>
    <row r="388" spans="1:12" x14ac:dyDescent="0.25">
      <c r="A388" s="7">
        <v>46168.5</v>
      </c>
      <c r="B388" t="s">
        <v>12</v>
      </c>
      <c r="C388" t="s">
        <v>625</v>
      </c>
      <c r="D388" t="s">
        <v>173</v>
      </c>
      <c r="E388" t="s">
        <v>3811</v>
      </c>
      <c r="F388" t="s">
        <v>63</v>
      </c>
      <c r="G388">
        <v>2</v>
      </c>
      <c r="H388" s="3">
        <v>8.5</v>
      </c>
      <c r="I388" s="3">
        <v>12.15</v>
      </c>
      <c r="J388" s="3">
        <v>1</v>
      </c>
      <c r="K388" s="14">
        <v>11.77</v>
      </c>
      <c r="L388" t="s">
        <v>1</v>
      </c>
    </row>
    <row r="389" spans="1:12" x14ac:dyDescent="0.25">
      <c r="A389" s="7">
        <v>46168.5</v>
      </c>
      <c r="B389" t="s">
        <v>12</v>
      </c>
      <c r="C389" t="s">
        <v>623</v>
      </c>
      <c r="D389" t="s">
        <v>176</v>
      </c>
      <c r="E389" t="s">
        <v>3812</v>
      </c>
      <c r="F389" t="s">
        <v>77</v>
      </c>
      <c r="G389">
        <v>4</v>
      </c>
      <c r="H389" s="3">
        <v>0.6</v>
      </c>
      <c r="I389" s="3">
        <v>0.86</v>
      </c>
      <c r="J389" s="3">
        <v>-0.86</v>
      </c>
      <c r="K389" s="14">
        <v>-142.84</v>
      </c>
      <c r="L389" t="s">
        <v>1</v>
      </c>
    </row>
    <row r="390" spans="1:12" x14ac:dyDescent="0.25">
      <c r="A390" s="7">
        <v>46168.5</v>
      </c>
      <c r="B390" t="s">
        <v>12</v>
      </c>
      <c r="C390" t="s">
        <v>624</v>
      </c>
      <c r="D390" t="s">
        <v>184</v>
      </c>
      <c r="E390" t="s">
        <v>3814</v>
      </c>
      <c r="F390" t="s">
        <v>101</v>
      </c>
      <c r="G390">
        <v>2</v>
      </c>
      <c r="H390" s="3">
        <v>2.4</v>
      </c>
      <c r="I390" s="3">
        <v>3.26</v>
      </c>
      <c r="J390" s="3">
        <v>-0.56</v>
      </c>
      <c r="K390" s="14">
        <v>-23.44</v>
      </c>
      <c r="L390" t="s">
        <v>1</v>
      </c>
    </row>
    <row r="391" spans="1:12" x14ac:dyDescent="0.25">
      <c r="A391" s="7">
        <v>46168.5</v>
      </c>
      <c r="B391" t="s">
        <v>15</v>
      </c>
      <c r="C391" t="s">
        <v>2927</v>
      </c>
      <c r="D391" t="s">
        <v>188</v>
      </c>
      <c r="E391" t="s">
        <v>3810</v>
      </c>
      <c r="F391" t="s">
        <v>63</v>
      </c>
      <c r="G391">
        <v>1</v>
      </c>
      <c r="H391" s="3">
        <v>3.5</v>
      </c>
      <c r="I391" s="3">
        <v>4.06</v>
      </c>
      <c r="J391" s="3">
        <v>-0.87</v>
      </c>
      <c r="K391" s="14">
        <v>-24.98</v>
      </c>
      <c r="L391" t="s">
        <v>1</v>
      </c>
    </row>
    <row r="392" spans="1:12" x14ac:dyDescent="0.25">
      <c r="A392" s="7">
        <v>46167.5</v>
      </c>
      <c r="B392" t="s">
        <v>13</v>
      </c>
      <c r="C392" t="s">
        <v>1359</v>
      </c>
      <c r="D392" t="s">
        <v>173</v>
      </c>
      <c r="E392" t="s">
        <v>3811</v>
      </c>
      <c r="F392" t="s">
        <v>63</v>
      </c>
      <c r="G392">
        <v>1</v>
      </c>
      <c r="H392" s="3">
        <v>4.25</v>
      </c>
      <c r="I392" s="3">
        <v>4.97</v>
      </c>
      <c r="J392" s="3">
        <v>-9.94</v>
      </c>
      <c r="K392" s="14">
        <v>-233.81</v>
      </c>
      <c r="L392" t="s">
        <v>1</v>
      </c>
    </row>
    <row r="393" spans="1:12" x14ac:dyDescent="0.25">
      <c r="A393" s="7">
        <v>46167.5</v>
      </c>
      <c r="B393" t="s">
        <v>13</v>
      </c>
      <c r="C393" t="s">
        <v>1360</v>
      </c>
      <c r="D393" t="s">
        <v>253</v>
      </c>
      <c r="E393" t="s">
        <v>3815</v>
      </c>
      <c r="F393" t="s">
        <v>57</v>
      </c>
      <c r="G393">
        <v>3</v>
      </c>
      <c r="H393" s="3">
        <v>2.4</v>
      </c>
      <c r="I393" s="3">
        <v>3.26</v>
      </c>
      <c r="J393" s="3">
        <v>-9.63</v>
      </c>
      <c r="K393" s="14">
        <v>-401.33</v>
      </c>
      <c r="L393" t="s">
        <v>1</v>
      </c>
    </row>
    <row r="394" spans="1:12" x14ac:dyDescent="0.25">
      <c r="A394" s="7">
        <v>46167.5</v>
      </c>
      <c r="B394" t="s">
        <v>14</v>
      </c>
      <c r="C394" t="s">
        <v>2157</v>
      </c>
      <c r="D394" t="s">
        <v>176</v>
      </c>
      <c r="E394" t="s">
        <v>3812</v>
      </c>
      <c r="F394" t="s">
        <v>77</v>
      </c>
      <c r="G394">
        <v>4</v>
      </c>
      <c r="H394" s="3">
        <v>0.6</v>
      </c>
      <c r="I394" s="3">
        <v>0.76</v>
      </c>
      <c r="J394" s="3">
        <v>-1.41</v>
      </c>
      <c r="K394" s="14">
        <v>-185.07</v>
      </c>
      <c r="L394" t="s">
        <v>1</v>
      </c>
    </row>
    <row r="395" spans="1:12" x14ac:dyDescent="0.25">
      <c r="A395" s="7">
        <v>46167.5</v>
      </c>
      <c r="B395" t="s">
        <v>14</v>
      </c>
      <c r="C395" t="s">
        <v>2158</v>
      </c>
      <c r="D395" t="s">
        <v>181</v>
      </c>
      <c r="E395" t="s">
        <v>3813</v>
      </c>
      <c r="F395" t="s">
        <v>72</v>
      </c>
      <c r="G395">
        <v>4</v>
      </c>
      <c r="H395" s="3">
        <v>7.6</v>
      </c>
      <c r="I395" s="3">
        <v>9.58</v>
      </c>
      <c r="J395" s="3">
        <v>-0.58</v>
      </c>
      <c r="K395" s="14">
        <v>-6.1</v>
      </c>
      <c r="L395" t="s">
        <v>1</v>
      </c>
    </row>
    <row r="396" spans="1:12" x14ac:dyDescent="0.25">
      <c r="A396" s="7">
        <v>46166.5</v>
      </c>
      <c r="B396" t="s">
        <v>12</v>
      </c>
      <c r="C396" t="s">
        <v>634</v>
      </c>
      <c r="D396" t="s">
        <v>188</v>
      </c>
      <c r="E396" t="s">
        <v>3810</v>
      </c>
      <c r="F396" t="s">
        <v>63</v>
      </c>
      <c r="G396">
        <v>1</v>
      </c>
      <c r="H396" s="3">
        <v>3.5</v>
      </c>
      <c r="I396" s="3">
        <v>4.97</v>
      </c>
      <c r="J396" s="3">
        <v>-0.2</v>
      </c>
      <c r="K396" s="14">
        <v>-5.74</v>
      </c>
      <c r="L396" t="s">
        <v>1</v>
      </c>
    </row>
    <row r="397" spans="1:12" x14ac:dyDescent="0.25">
      <c r="A397" s="7">
        <v>46166.5</v>
      </c>
      <c r="B397" t="s">
        <v>12</v>
      </c>
      <c r="C397" t="s">
        <v>632</v>
      </c>
      <c r="D397" t="s">
        <v>184</v>
      </c>
      <c r="E397" t="s">
        <v>3814</v>
      </c>
      <c r="F397" t="s">
        <v>101</v>
      </c>
      <c r="G397">
        <v>3</v>
      </c>
      <c r="H397" s="3">
        <v>3.6</v>
      </c>
      <c r="I397" s="3">
        <v>4.75</v>
      </c>
      <c r="J397" s="3">
        <v>-0.45</v>
      </c>
      <c r="K397" s="14">
        <v>-12.46</v>
      </c>
      <c r="L397" t="s">
        <v>1</v>
      </c>
    </row>
    <row r="398" spans="1:12" x14ac:dyDescent="0.25">
      <c r="A398" s="7">
        <v>46166.5</v>
      </c>
      <c r="B398" t="s">
        <v>15</v>
      </c>
      <c r="C398" t="s">
        <v>2945</v>
      </c>
      <c r="D398" t="s">
        <v>176</v>
      </c>
      <c r="E398" t="s">
        <v>3812</v>
      </c>
      <c r="F398" t="s">
        <v>77</v>
      </c>
      <c r="G398">
        <v>1</v>
      </c>
      <c r="H398" s="3">
        <v>0.15</v>
      </c>
      <c r="I398" s="3">
        <v>0.2</v>
      </c>
      <c r="J398" s="3">
        <v>-0.98</v>
      </c>
      <c r="K398" s="14">
        <v>-650.09</v>
      </c>
      <c r="L398" t="s">
        <v>1</v>
      </c>
    </row>
    <row r="399" spans="1:12" x14ac:dyDescent="0.25">
      <c r="A399" s="7">
        <v>46166.5</v>
      </c>
      <c r="B399" t="s">
        <v>15</v>
      </c>
      <c r="C399" t="s">
        <v>2946</v>
      </c>
      <c r="D399" t="s">
        <v>181</v>
      </c>
      <c r="E399" t="s">
        <v>3813</v>
      </c>
      <c r="F399" t="s">
        <v>72</v>
      </c>
      <c r="G399">
        <v>1</v>
      </c>
      <c r="H399" s="3">
        <v>1.9</v>
      </c>
      <c r="I399" s="3">
        <v>2.53</v>
      </c>
      <c r="J399" s="3">
        <v>-0.69</v>
      </c>
      <c r="K399" s="14">
        <v>-36.19</v>
      </c>
      <c r="L399" t="s">
        <v>1</v>
      </c>
    </row>
    <row r="400" spans="1:12" x14ac:dyDescent="0.25">
      <c r="A400" s="7">
        <v>46166.5</v>
      </c>
      <c r="B400" t="s">
        <v>16</v>
      </c>
      <c r="C400" t="s">
        <v>3691</v>
      </c>
      <c r="D400" t="s">
        <v>188</v>
      </c>
      <c r="E400" t="s">
        <v>3810</v>
      </c>
      <c r="F400" t="s">
        <v>63</v>
      </c>
      <c r="G400">
        <v>1</v>
      </c>
      <c r="H400" s="3">
        <v>3.5</v>
      </c>
      <c r="I400" s="3">
        <v>4.13</v>
      </c>
      <c r="J400" s="3">
        <v>-0.67</v>
      </c>
      <c r="K400" s="14">
        <v>-19</v>
      </c>
      <c r="L400" t="s">
        <v>1</v>
      </c>
    </row>
    <row r="401" spans="1:12" x14ac:dyDescent="0.25">
      <c r="A401" s="7">
        <v>46166.5</v>
      </c>
      <c r="B401" t="s">
        <v>16</v>
      </c>
      <c r="C401" t="s">
        <v>3692</v>
      </c>
      <c r="D401" t="s">
        <v>188</v>
      </c>
      <c r="E401" t="s">
        <v>3810</v>
      </c>
      <c r="F401" t="s">
        <v>63</v>
      </c>
      <c r="G401">
        <v>3</v>
      </c>
      <c r="H401" s="3">
        <v>10.5</v>
      </c>
      <c r="I401" s="3">
        <v>14.91</v>
      </c>
      <c r="J401" s="3">
        <v>1.98</v>
      </c>
      <c r="K401" s="14">
        <v>18.9</v>
      </c>
      <c r="L401" t="s">
        <v>1</v>
      </c>
    </row>
    <row r="402" spans="1:12" x14ac:dyDescent="0.25">
      <c r="A402" s="7">
        <v>46166.5</v>
      </c>
      <c r="B402" t="s">
        <v>16</v>
      </c>
      <c r="C402" t="s">
        <v>3693</v>
      </c>
      <c r="D402" t="s">
        <v>176</v>
      </c>
      <c r="E402" t="s">
        <v>3812</v>
      </c>
      <c r="F402" t="s">
        <v>77</v>
      </c>
      <c r="G402">
        <v>1</v>
      </c>
      <c r="H402" s="3">
        <v>0.15</v>
      </c>
      <c r="I402" s="3">
        <v>0.19</v>
      </c>
      <c r="J402" s="3">
        <v>-0.98</v>
      </c>
      <c r="K402" s="14">
        <v>-651.11</v>
      </c>
      <c r="L402" t="s">
        <v>1</v>
      </c>
    </row>
    <row r="403" spans="1:12" x14ac:dyDescent="0.25">
      <c r="A403" s="7">
        <v>46165.5</v>
      </c>
      <c r="B403" t="s">
        <v>13</v>
      </c>
      <c r="C403" t="s">
        <v>1369</v>
      </c>
      <c r="D403" t="s">
        <v>176</v>
      </c>
      <c r="E403" t="s">
        <v>3812</v>
      </c>
      <c r="F403" t="s">
        <v>77</v>
      </c>
      <c r="G403">
        <v>3</v>
      </c>
      <c r="H403" s="3">
        <v>0.45</v>
      </c>
      <c r="I403" s="3">
        <v>0.57</v>
      </c>
      <c r="J403" s="3">
        <v>-9.95</v>
      </c>
      <c r="K403" s="14">
        <v>-2211.71</v>
      </c>
      <c r="L403" t="s">
        <v>1</v>
      </c>
    </row>
    <row r="404" spans="1:12" x14ac:dyDescent="0.25">
      <c r="A404" s="7">
        <v>46165.5</v>
      </c>
      <c r="B404" t="s">
        <v>13</v>
      </c>
      <c r="C404" t="s">
        <v>1370</v>
      </c>
      <c r="D404" t="s">
        <v>253</v>
      </c>
      <c r="E404" t="s">
        <v>3815</v>
      </c>
      <c r="F404" t="s">
        <v>57</v>
      </c>
      <c r="G404">
        <v>4</v>
      </c>
      <c r="H404" s="3">
        <v>3.2</v>
      </c>
      <c r="I404" s="3">
        <v>4.13</v>
      </c>
      <c r="J404" s="3">
        <v>-9.67</v>
      </c>
      <c r="K404" s="14">
        <v>-302.17</v>
      </c>
      <c r="L404" t="s">
        <v>1</v>
      </c>
    </row>
    <row r="405" spans="1:12" x14ac:dyDescent="0.25">
      <c r="A405" s="7">
        <v>46165.5</v>
      </c>
      <c r="B405" t="s">
        <v>13</v>
      </c>
      <c r="C405" t="s">
        <v>1371</v>
      </c>
      <c r="D405" t="s">
        <v>184</v>
      </c>
      <c r="E405" t="s">
        <v>3814</v>
      </c>
      <c r="F405" t="s">
        <v>101</v>
      </c>
      <c r="G405">
        <v>3</v>
      </c>
      <c r="H405" s="3">
        <v>3.6</v>
      </c>
      <c r="I405" s="3">
        <v>4.61</v>
      </c>
      <c r="J405" s="3">
        <v>-9.66</v>
      </c>
      <c r="K405" s="14">
        <v>-268.21</v>
      </c>
      <c r="L405" t="s">
        <v>1</v>
      </c>
    </row>
    <row r="406" spans="1:12" x14ac:dyDescent="0.25">
      <c r="A406" s="7">
        <v>46165.5</v>
      </c>
      <c r="B406" t="s">
        <v>14</v>
      </c>
      <c r="C406" t="s">
        <v>2179</v>
      </c>
      <c r="D406" t="s">
        <v>184</v>
      </c>
      <c r="E406" t="s">
        <v>3814</v>
      </c>
      <c r="F406" t="s">
        <v>101</v>
      </c>
      <c r="G406">
        <v>1</v>
      </c>
      <c r="H406" s="3">
        <v>1.2</v>
      </c>
      <c r="I406" s="3">
        <v>1.4</v>
      </c>
      <c r="J406" s="3">
        <v>-1.42</v>
      </c>
      <c r="K406" s="14">
        <v>-101.68</v>
      </c>
      <c r="L406" t="s">
        <v>1</v>
      </c>
    </row>
    <row r="407" spans="1:12" x14ac:dyDescent="0.25">
      <c r="A407" s="7">
        <v>46165.5</v>
      </c>
      <c r="B407" t="s">
        <v>15</v>
      </c>
      <c r="C407" t="s">
        <v>2953</v>
      </c>
      <c r="D407" t="s">
        <v>176</v>
      </c>
      <c r="E407" t="s">
        <v>3812</v>
      </c>
      <c r="F407" t="s">
        <v>77</v>
      </c>
      <c r="G407">
        <v>1</v>
      </c>
      <c r="H407" s="3">
        <v>0.15</v>
      </c>
      <c r="I407" s="3">
        <v>0.18</v>
      </c>
      <c r="J407" s="3">
        <v>-0.99</v>
      </c>
      <c r="K407" s="14">
        <v>-660.08</v>
      </c>
      <c r="L407" t="s">
        <v>1</v>
      </c>
    </row>
    <row r="408" spans="1:12" x14ac:dyDescent="0.25">
      <c r="A408" s="7">
        <v>46164.5</v>
      </c>
      <c r="B408" t="s">
        <v>14</v>
      </c>
      <c r="C408" t="s">
        <v>2186</v>
      </c>
      <c r="D408" t="s">
        <v>173</v>
      </c>
      <c r="E408" t="s">
        <v>3811</v>
      </c>
      <c r="F408" t="s">
        <v>63</v>
      </c>
      <c r="G408">
        <v>3</v>
      </c>
      <c r="H408" s="3">
        <v>12.75</v>
      </c>
      <c r="I408" s="3">
        <v>15.43</v>
      </c>
      <c r="J408" s="3">
        <v>-0.46</v>
      </c>
      <c r="K408" s="14">
        <v>-2.99</v>
      </c>
      <c r="L408" t="s">
        <v>1</v>
      </c>
    </row>
    <row r="409" spans="1:12" x14ac:dyDescent="0.25">
      <c r="A409" s="7">
        <v>46164.5</v>
      </c>
      <c r="B409" t="s">
        <v>15</v>
      </c>
      <c r="C409" t="s">
        <v>2960</v>
      </c>
      <c r="D409" t="s">
        <v>184</v>
      </c>
      <c r="E409" t="s">
        <v>3814</v>
      </c>
      <c r="F409" t="s">
        <v>101</v>
      </c>
      <c r="G409">
        <v>1</v>
      </c>
      <c r="H409" s="3">
        <v>1.2</v>
      </c>
      <c r="I409" s="3">
        <v>1.5</v>
      </c>
      <c r="J409" s="3">
        <v>-0.88</v>
      </c>
      <c r="K409" s="14">
        <v>-73</v>
      </c>
      <c r="L409" t="s">
        <v>1</v>
      </c>
    </row>
    <row r="410" spans="1:12" x14ac:dyDescent="0.25">
      <c r="A410" s="7">
        <v>46164.5</v>
      </c>
      <c r="B410" t="s">
        <v>16</v>
      </c>
      <c r="C410" t="s">
        <v>3710</v>
      </c>
      <c r="D410" t="s">
        <v>188</v>
      </c>
      <c r="E410" t="s">
        <v>3810</v>
      </c>
      <c r="F410" t="s">
        <v>63</v>
      </c>
      <c r="G410">
        <v>4</v>
      </c>
      <c r="H410" s="3">
        <v>14</v>
      </c>
      <c r="I410" s="3">
        <v>19.32</v>
      </c>
      <c r="J410" s="3">
        <v>2.54</v>
      </c>
      <c r="K410" s="14">
        <v>18.17</v>
      </c>
      <c r="L410" t="s">
        <v>1</v>
      </c>
    </row>
    <row r="411" spans="1:12" x14ac:dyDescent="0.25">
      <c r="A411" s="7">
        <v>46164.5</v>
      </c>
      <c r="B411" t="s">
        <v>16</v>
      </c>
      <c r="C411" t="s">
        <v>3711</v>
      </c>
      <c r="D411" t="s">
        <v>173</v>
      </c>
      <c r="E411" t="s">
        <v>3811</v>
      </c>
      <c r="F411" t="s">
        <v>63</v>
      </c>
      <c r="G411">
        <v>4</v>
      </c>
      <c r="H411" s="3">
        <v>17</v>
      </c>
      <c r="I411" s="3">
        <v>21.59</v>
      </c>
      <c r="J411" s="3">
        <v>1.82</v>
      </c>
      <c r="K411" s="14">
        <v>10.73</v>
      </c>
      <c r="L411" t="s">
        <v>1</v>
      </c>
    </row>
    <row r="412" spans="1:12" x14ac:dyDescent="0.25">
      <c r="A412" s="7">
        <v>46163.5</v>
      </c>
      <c r="B412" t="s">
        <v>12</v>
      </c>
      <c r="C412" t="s">
        <v>645</v>
      </c>
      <c r="D412" t="s">
        <v>253</v>
      </c>
      <c r="E412" t="s">
        <v>3815</v>
      </c>
      <c r="F412" t="s">
        <v>57</v>
      </c>
      <c r="G412">
        <v>3</v>
      </c>
      <c r="H412" s="3">
        <v>2.4</v>
      </c>
      <c r="I412" s="3">
        <v>3.1</v>
      </c>
      <c r="J412" s="3">
        <v>-0.68</v>
      </c>
      <c r="K412" s="14">
        <v>-28.43</v>
      </c>
      <c r="L412" t="s">
        <v>1</v>
      </c>
    </row>
    <row r="413" spans="1:12" x14ac:dyDescent="0.25">
      <c r="A413" s="7">
        <v>46163.5</v>
      </c>
      <c r="B413" t="s">
        <v>13</v>
      </c>
      <c r="C413" t="s">
        <v>1394</v>
      </c>
      <c r="D413" t="s">
        <v>253</v>
      </c>
      <c r="E413" t="s">
        <v>3815</v>
      </c>
      <c r="F413" t="s">
        <v>57</v>
      </c>
      <c r="G413">
        <v>3</v>
      </c>
      <c r="H413" s="3">
        <v>2.4</v>
      </c>
      <c r="I413" s="3">
        <v>3.17</v>
      </c>
      <c r="J413" s="3">
        <v>-9.7</v>
      </c>
      <c r="K413" s="14">
        <v>-404.04</v>
      </c>
      <c r="L413" t="s">
        <v>1</v>
      </c>
    </row>
    <row r="414" spans="1:12" x14ac:dyDescent="0.25">
      <c r="A414" s="7">
        <v>46163.5</v>
      </c>
      <c r="B414" t="s">
        <v>14</v>
      </c>
      <c r="C414" t="s">
        <v>2189</v>
      </c>
      <c r="D414" t="s">
        <v>176</v>
      </c>
      <c r="E414" t="s">
        <v>3812</v>
      </c>
      <c r="F414" t="s">
        <v>77</v>
      </c>
      <c r="G414">
        <v>2</v>
      </c>
      <c r="H414" s="3">
        <v>0.3</v>
      </c>
      <c r="I414" s="3">
        <v>0.37</v>
      </c>
      <c r="J414" s="3">
        <v>-1.45</v>
      </c>
      <c r="K414" s="14">
        <v>-392.11</v>
      </c>
      <c r="L414" t="s">
        <v>1</v>
      </c>
    </row>
    <row r="415" spans="1:12" x14ac:dyDescent="0.25">
      <c r="A415" s="7">
        <v>46163.5</v>
      </c>
      <c r="B415" t="s">
        <v>16</v>
      </c>
      <c r="C415" t="s">
        <v>3714</v>
      </c>
      <c r="D415" t="s">
        <v>188</v>
      </c>
      <c r="E415" t="s">
        <v>3810</v>
      </c>
      <c r="F415" t="s">
        <v>63</v>
      </c>
      <c r="G415">
        <v>3</v>
      </c>
      <c r="H415" s="3">
        <v>10.5</v>
      </c>
      <c r="I415" s="3">
        <v>13.23</v>
      </c>
      <c r="J415" s="3">
        <v>0.66</v>
      </c>
      <c r="K415" s="14">
        <v>6.33</v>
      </c>
      <c r="L415" t="s">
        <v>1</v>
      </c>
    </row>
    <row r="416" spans="1:12" x14ac:dyDescent="0.25">
      <c r="A416" s="7">
        <v>46162.5</v>
      </c>
      <c r="B416" t="s">
        <v>12</v>
      </c>
      <c r="C416" t="s">
        <v>655</v>
      </c>
      <c r="D416" t="s">
        <v>188</v>
      </c>
      <c r="E416" t="s">
        <v>3810</v>
      </c>
      <c r="F416" t="s">
        <v>63</v>
      </c>
      <c r="G416">
        <v>1</v>
      </c>
      <c r="H416" s="3">
        <v>3.5</v>
      </c>
      <c r="I416" s="3">
        <v>4.41</v>
      </c>
      <c r="J416" s="3">
        <v>-0.62</v>
      </c>
      <c r="K416" s="14">
        <v>-17.7</v>
      </c>
      <c r="L416" t="s">
        <v>1</v>
      </c>
    </row>
    <row r="417" spans="1:12" x14ac:dyDescent="0.25">
      <c r="A417" s="7">
        <v>46162.5</v>
      </c>
      <c r="B417" t="s">
        <v>12</v>
      </c>
      <c r="C417" t="s">
        <v>654</v>
      </c>
      <c r="D417" t="s">
        <v>253</v>
      </c>
      <c r="E417" t="s">
        <v>3815</v>
      </c>
      <c r="F417" t="s">
        <v>57</v>
      </c>
      <c r="G417">
        <v>1</v>
      </c>
      <c r="H417" s="3">
        <v>0.8</v>
      </c>
      <c r="I417" s="3">
        <v>1.11</v>
      </c>
      <c r="J417" s="3">
        <v>-0.84</v>
      </c>
      <c r="K417" s="14">
        <v>-104.6</v>
      </c>
      <c r="L417" t="s">
        <v>1</v>
      </c>
    </row>
    <row r="418" spans="1:12" x14ac:dyDescent="0.25">
      <c r="A418" s="7">
        <v>46162.5</v>
      </c>
      <c r="B418" t="s">
        <v>13</v>
      </c>
      <c r="C418" t="s">
        <v>1395</v>
      </c>
      <c r="D418" t="s">
        <v>253</v>
      </c>
      <c r="E418" t="s">
        <v>3815</v>
      </c>
      <c r="F418" t="s">
        <v>57</v>
      </c>
      <c r="G418">
        <v>2</v>
      </c>
      <c r="H418" s="3">
        <v>1.6</v>
      </c>
      <c r="I418" s="3">
        <v>1.89</v>
      </c>
      <c r="J418" s="3">
        <v>-9.96</v>
      </c>
      <c r="K418" s="14">
        <v>-622.27</v>
      </c>
      <c r="L418" t="s">
        <v>1</v>
      </c>
    </row>
    <row r="419" spans="1:12" x14ac:dyDescent="0.25">
      <c r="A419" s="7">
        <v>46162.5</v>
      </c>
      <c r="B419" t="s">
        <v>13</v>
      </c>
      <c r="C419" t="s">
        <v>1396</v>
      </c>
      <c r="D419" t="s">
        <v>181</v>
      </c>
      <c r="E419" t="s">
        <v>3813</v>
      </c>
      <c r="F419" t="s">
        <v>72</v>
      </c>
      <c r="G419">
        <v>3</v>
      </c>
      <c r="H419" s="3">
        <v>5.7</v>
      </c>
      <c r="I419" s="3">
        <v>6.67</v>
      </c>
      <c r="J419" s="3">
        <v>-9.92</v>
      </c>
      <c r="K419" s="14">
        <v>-173.95</v>
      </c>
      <c r="L419" t="s">
        <v>1</v>
      </c>
    </row>
    <row r="420" spans="1:12" x14ac:dyDescent="0.25">
      <c r="A420" s="7">
        <v>46162.5</v>
      </c>
      <c r="B420" t="s">
        <v>13</v>
      </c>
      <c r="C420" t="s">
        <v>1397</v>
      </c>
      <c r="D420" t="s">
        <v>184</v>
      </c>
      <c r="E420" t="s">
        <v>3814</v>
      </c>
      <c r="F420" t="s">
        <v>101</v>
      </c>
      <c r="G420">
        <v>1</v>
      </c>
      <c r="H420" s="3">
        <v>1.2</v>
      </c>
      <c r="I420" s="3">
        <v>1.4</v>
      </c>
      <c r="J420" s="3">
        <v>-9.98</v>
      </c>
      <c r="K420" s="14">
        <v>-831.45</v>
      </c>
      <c r="L420" t="s">
        <v>1</v>
      </c>
    </row>
    <row r="421" spans="1:12" x14ac:dyDescent="0.25">
      <c r="A421" s="7">
        <v>46162.5</v>
      </c>
      <c r="B421" t="s">
        <v>15</v>
      </c>
      <c r="C421" t="s">
        <v>2973</v>
      </c>
      <c r="D421" t="s">
        <v>181</v>
      </c>
      <c r="E421" t="s">
        <v>3813</v>
      </c>
      <c r="F421" t="s">
        <v>72</v>
      </c>
      <c r="G421">
        <v>1</v>
      </c>
      <c r="H421" s="3">
        <v>1.9</v>
      </c>
      <c r="I421" s="3">
        <v>2.22</v>
      </c>
      <c r="J421" s="3">
        <v>-0.92</v>
      </c>
      <c r="K421" s="14">
        <v>-48.41</v>
      </c>
      <c r="L421" t="s">
        <v>1</v>
      </c>
    </row>
    <row r="422" spans="1:12" x14ac:dyDescent="0.25">
      <c r="A422" s="7">
        <v>46162.5</v>
      </c>
      <c r="B422" t="s">
        <v>16</v>
      </c>
      <c r="C422" t="s">
        <v>3721</v>
      </c>
      <c r="D422" t="s">
        <v>173</v>
      </c>
      <c r="E422" t="s">
        <v>3811</v>
      </c>
      <c r="F422" t="s">
        <v>63</v>
      </c>
      <c r="G422">
        <v>2</v>
      </c>
      <c r="H422" s="3">
        <v>8.5</v>
      </c>
      <c r="I422" s="3">
        <v>12.15</v>
      </c>
      <c r="J422" s="3">
        <v>1.48</v>
      </c>
      <c r="K422" s="14">
        <v>17.43</v>
      </c>
      <c r="L422" t="s">
        <v>1</v>
      </c>
    </row>
    <row r="423" spans="1:12" x14ac:dyDescent="0.25">
      <c r="A423" s="7">
        <v>46161.5</v>
      </c>
      <c r="B423" t="s">
        <v>12</v>
      </c>
      <c r="C423" t="s">
        <v>658</v>
      </c>
      <c r="D423" t="s">
        <v>173</v>
      </c>
      <c r="E423" t="s">
        <v>3811</v>
      </c>
      <c r="F423" t="s">
        <v>63</v>
      </c>
      <c r="G423">
        <v>1</v>
      </c>
      <c r="H423" s="3">
        <v>4.25</v>
      </c>
      <c r="I423" s="3">
        <v>5.1</v>
      </c>
      <c r="J423" s="3">
        <v>-0.73</v>
      </c>
      <c r="K423" s="14">
        <v>-17.15</v>
      </c>
      <c r="L423" t="s">
        <v>1</v>
      </c>
    </row>
    <row r="424" spans="1:12" x14ac:dyDescent="0.25">
      <c r="A424" s="7">
        <v>46161.5</v>
      </c>
      <c r="B424" t="s">
        <v>14</v>
      </c>
      <c r="C424" t="s">
        <v>2204</v>
      </c>
      <c r="D424" t="s">
        <v>173</v>
      </c>
      <c r="E424" t="s">
        <v>3811</v>
      </c>
      <c r="F424" t="s">
        <v>63</v>
      </c>
      <c r="G424">
        <v>4</v>
      </c>
      <c r="H424" s="3">
        <v>17</v>
      </c>
      <c r="I424" s="3">
        <v>21.08</v>
      </c>
      <c r="J424" s="3">
        <v>0.26</v>
      </c>
      <c r="K424" s="14">
        <v>1.24</v>
      </c>
      <c r="L424" t="s">
        <v>1</v>
      </c>
    </row>
    <row r="425" spans="1:12" x14ac:dyDescent="0.25">
      <c r="A425" s="7">
        <v>46161.5</v>
      </c>
      <c r="B425" t="s">
        <v>14</v>
      </c>
      <c r="C425" t="s">
        <v>2205</v>
      </c>
      <c r="D425" t="s">
        <v>184</v>
      </c>
      <c r="E425" t="s">
        <v>3814</v>
      </c>
      <c r="F425" t="s">
        <v>101</v>
      </c>
      <c r="G425">
        <v>1</v>
      </c>
      <c r="H425" s="3">
        <v>1.2</v>
      </c>
      <c r="I425" s="3">
        <v>1.64</v>
      </c>
      <c r="J425" s="3">
        <v>-1.24</v>
      </c>
      <c r="K425" s="14">
        <v>-75.76</v>
      </c>
      <c r="L425" t="s">
        <v>1</v>
      </c>
    </row>
    <row r="426" spans="1:12" x14ac:dyDescent="0.25">
      <c r="A426" s="7">
        <v>46161.5</v>
      </c>
      <c r="B426" t="s">
        <v>15</v>
      </c>
      <c r="C426" t="s">
        <v>2988</v>
      </c>
      <c r="D426" t="s">
        <v>173</v>
      </c>
      <c r="E426" t="s">
        <v>3811</v>
      </c>
      <c r="F426" t="s">
        <v>63</v>
      </c>
      <c r="G426">
        <v>1</v>
      </c>
      <c r="H426" s="3">
        <v>4.25</v>
      </c>
      <c r="I426" s="3">
        <v>5.74</v>
      </c>
      <c r="J426" s="3">
        <v>-0.24</v>
      </c>
      <c r="K426" s="14">
        <v>-5.66</v>
      </c>
      <c r="L426" t="s">
        <v>1</v>
      </c>
    </row>
    <row r="427" spans="1:12" x14ac:dyDescent="0.25">
      <c r="A427" s="7">
        <v>46161.5</v>
      </c>
      <c r="B427" t="s">
        <v>16</v>
      </c>
      <c r="C427" t="s">
        <v>3728</v>
      </c>
      <c r="D427" t="s">
        <v>253</v>
      </c>
      <c r="E427" t="s">
        <v>3815</v>
      </c>
      <c r="F427" t="s">
        <v>57</v>
      </c>
      <c r="G427">
        <v>2</v>
      </c>
      <c r="H427" s="3">
        <v>1.6</v>
      </c>
      <c r="I427" s="3">
        <v>2.21</v>
      </c>
      <c r="J427" s="3">
        <v>-0.59</v>
      </c>
      <c r="K427" s="14">
        <v>-36.98</v>
      </c>
      <c r="L427" t="s">
        <v>1</v>
      </c>
    </row>
    <row r="428" spans="1:12" x14ac:dyDescent="0.25">
      <c r="A428" s="7">
        <v>46161.5</v>
      </c>
      <c r="B428" t="s">
        <v>16</v>
      </c>
      <c r="C428" t="s">
        <v>3729</v>
      </c>
      <c r="D428" t="s">
        <v>181</v>
      </c>
      <c r="E428" t="s">
        <v>3813</v>
      </c>
      <c r="F428" t="s">
        <v>72</v>
      </c>
      <c r="G428">
        <v>4</v>
      </c>
      <c r="H428" s="3">
        <v>7.6</v>
      </c>
      <c r="I428" s="3">
        <v>10.87</v>
      </c>
      <c r="J428" s="3">
        <v>1.22</v>
      </c>
      <c r="K428" s="14">
        <v>16.12</v>
      </c>
      <c r="L428" t="s">
        <v>1</v>
      </c>
    </row>
    <row r="429" spans="1:12" x14ac:dyDescent="0.25">
      <c r="A429" s="7">
        <v>46160.5</v>
      </c>
      <c r="B429" t="s">
        <v>13</v>
      </c>
      <c r="C429" t="s">
        <v>1406</v>
      </c>
      <c r="D429" t="s">
        <v>184</v>
      </c>
      <c r="E429" t="s">
        <v>3814</v>
      </c>
      <c r="F429" t="s">
        <v>101</v>
      </c>
      <c r="G429">
        <v>3</v>
      </c>
      <c r="H429" s="3">
        <v>3.6</v>
      </c>
      <c r="I429" s="3">
        <v>4.32</v>
      </c>
      <c r="J429" s="3">
        <v>-9.87</v>
      </c>
      <c r="K429" s="14">
        <v>-274.03</v>
      </c>
      <c r="L429" t="s">
        <v>1</v>
      </c>
    </row>
    <row r="430" spans="1:12" x14ac:dyDescent="0.25">
      <c r="A430" s="7">
        <v>46160.5</v>
      </c>
      <c r="B430" t="s">
        <v>14</v>
      </c>
      <c r="C430" t="s">
        <v>2221</v>
      </c>
      <c r="D430" t="s">
        <v>173</v>
      </c>
      <c r="E430" t="s">
        <v>3811</v>
      </c>
      <c r="F430" t="s">
        <v>63</v>
      </c>
      <c r="G430">
        <v>2</v>
      </c>
      <c r="H430" s="3">
        <v>8.5</v>
      </c>
      <c r="I430" s="3">
        <v>11.3</v>
      </c>
      <c r="J430" s="3">
        <v>-0.04</v>
      </c>
      <c r="K430" s="14">
        <v>-0.32</v>
      </c>
      <c r="L430" t="s">
        <v>1</v>
      </c>
    </row>
    <row r="431" spans="1:12" x14ac:dyDescent="0.25">
      <c r="A431" s="7">
        <v>46160.5</v>
      </c>
      <c r="B431" t="s">
        <v>14</v>
      </c>
      <c r="C431" t="s">
        <v>2222</v>
      </c>
      <c r="D431" t="s">
        <v>176</v>
      </c>
      <c r="E431" t="s">
        <v>3812</v>
      </c>
      <c r="F431" t="s">
        <v>77</v>
      </c>
      <c r="G431">
        <v>3</v>
      </c>
      <c r="H431" s="3">
        <v>0.45</v>
      </c>
      <c r="I431" s="3">
        <v>0.58</v>
      </c>
      <c r="J431" s="3">
        <v>-1.42</v>
      </c>
      <c r="K431" s="14">
        <v>-244.37</v>
      </c>
      <c r="L431" t="s">
        <v>1</v>
      </c>
    </row>
    <row r="432" spans="1:12" x14ac:dyDescent="0.25">
      <c r="A432" s="7">
        <v>46160.5</v>
      </c>
      <c r="B432" t="s">
        <v>16</v>
      </c>
      <c r="C432" t="s">
        <v>3738</v>
      </c>
      <c r="D432" t="s">
        <v>173</v>
      </c>
      <c r="E432" t="s">
        <v>3811</v>
      </c>
      <c r="F432" t="s">
        <v>63</v>
      </c>
      <c r="G432">
        <v>2</v>
      </c>
      <c r="H432" s="3">
        <v>8.5</v>
      </c>
      <c r="I432" s="3">
        <v>10.2</v>
      </c>
      <c r="J432" s="3">
        <v>-0.05</v>
      </c>
      <c r="K432" s="14">
        <v>-0.63</v>
      </c>
      <c r="L432" t="s">
        <v>1</v>
      </c>
    </row>
    <row r="433" spans="1:12" x14ac:dyDescent="0.25">
      <c r="A433" s="7">
        <v>46160.5</v>
      </c>
      <c r="B433" t="s">
        <v>16</v>
      </c>
      <c r="C433" t="s">
        <v>3739</v>
      </c>
      <c r="D433" t="s">
        <v>253</v>
      </c>
      <c r="E433" t="s">
        <v>3815</v>
      </c>
      <c r="F433" t="s">
        <v>57</v>
      </c>
      <c r="G433">
        <v>3</v>
      </c>
      <c r="H433" s="3">
        <v>2.4</v>
      </c>
      <c r="I433" s="3">
        <v>3.05</v>
      </c>
      <c r="J433" s="3">
        <v>-0.6</v>
      </c>
      <c r="K433" s="14">
        <v>-24.93</v>
      </c>
      <c r="L433" t="s">
        <v>1</v>
      </c>
    </row>
    <row r="434" spans="1:12" x14ac:dyDescent="0.25">
      <c r="A434" s="7">
        <v>46159.5</v>
      </c>
      <c r="B434" t="s">
        <v>13</v>
      </c>
      <c r="C434" t="s">
        <v>1419</v>
      </c>
      <c r="D434" t="s">
        <v>173</v>
      </c>
      <c r="E434" t="s">
        <v>3811</v>
      </c>
      <c r="F434" t="s">
        <v>63</v>
      </c>
      <c r="G434">
        <v>1</v>
      </c>
      <c r="H434" s="3">
        <v>4.25</v>
      </c>
      <c r="I434" s="3">
        <v>5.48</v>
      </c>
      <c r="J434" s="3">
        <v>-9.57</v>
      </c>
      <c r="K434" s="14">
        <v>-225.13</v>
      </c>
      <c r="L434" t="s">
        <v>1</v>
      </c>
    </row>
    <row r="435" spans="1:12" x14ac:dyDescent="0.25">
      <c r="A435" s="7">
        <v>46159.5</v>
      </c>
      <c r="B435" t="s">
        <v>14</v>
      </c>
      <c r="C435" t="s">
        <v>2231</v>
      </c>
      <c r="D435" t="s">
        <v>176</v>
      </c>
      <c r="E435" t="s">
        <v>3812</v>
      </c>
      <c r="F435" t="s">
        <v>77</v>
      </c>
      <c r="G435">
        <v>3</v>
      </c>
      <c r="H435" s="3">
        <v>0.45</v>
      </c>
      <c r="I435" s="3">
        <v>0.63</v>
      </c>
      <c r="J435" s="3">
        <v>-1.38</v>
      </c>
      <c r="K435" s="14">
        <v>-218.98</v>
      </c>
      <c r="L435" t="s">
        <v>1</v>
      </c>
    </row>
    <row r="436" spans="1:12" x14ac:dyDescent="0.25">
      <c r="A436" s="7">
        <v>46159.5</v>
      </c>
      <c r="B436" t="s">
        <v>14</v>
      </c>
      <c r="C436" t="s">
        <v>2232</v>
      </c>
      <c r="D436" t="s">
        <v>181</v>
      </c>
      <c r="E436" t="s">
        <v>3813</v>
      </c>
      <c r="F436" t="s">
        <v>72</v>
      </c>
      <c r="G436">
        <v>3</v>
      </c>
      <c r="H436" s="3">
        <v>5.7</v>
      </c>
      <c r="I436" s="3">
        <v>7.92</v>
      </c>
      <c r="J436" s="3">
        <v>-0.25</v>
      </c>
      <c r="K436" s="14">
        <v>-3.2</v>
      </c>
      <c r="L436" t="s">
        <v>1</v>
      </c>
    </row>
    <row r="437" spans="1:12" x14ac:dyDescent="0.25">
      <c r="A437" s="7">
        <v>46159.5</v>
      </c>
      <c r="B437" t="s">
        <v>14</v>
      </c>
      <c r="C437" t="s">
        <v>2233</v>
      </c>
      <c r="D437" t="s">
        <v>184</v>
      </c>
      <c r="E437" t="s">
        <v>3814</v>
      </c>
      <c r="F437" t="s">
        <v>101</v>
      </c>
      <c r="G437">
        <v>2</v>
      </c>
      <c r="H437" s="3">
        <v>2.4</v>
      </c>
      <c r="I437" s="3">
        <v>3.07</v>
      </c>
      <c r="J437" s="3">
        <v>-1.16</v>
      </c>
      <c r="K437" s="14">
        <v>-37.89</v>
      </c>
      <c r="L437" t="s">
        <v>1</v>
      </c>
    </row>
    <row r="438" spans="1:12" x14ac:dyDescent="0.25">
      <c r="A438" s="7">
        <v>46159.5</v>
      </c>
      <c r="B438" t="s">
        <v>15</v>
      </c>
      <c r="C438" t="s">
        <v>3005</v>
      </c>
      <c r="D438" t="s">
        <v>181</v>
      </c>
      <c r="E438" t="s">
        <v>3813</v>
      </c>
      <c r="F438" t="s">
        <v>72</v>
      </c>
      <c r="G438">
        <v>1</v>
      </c>
      <c r="H438" s="3">
        <v>1.9</v>
      </c>
      <c r="I438" s="3">
        <v>2.58</v>
      </c>
      <c r="J438" s="3">
        <v>-0.65</v>
      </c>
      <c r="K438" s="14">
        <v>-34.21</v>
      </c>
      <c r="L438" t="s">
        <v>1</v>
      </c>
    </row>
    <row r="439" spans="1:12" x14ac:dyDescent="0.25">
      <c r="A439" s="7">
        <v>46159.5</v>
      </c>
      <c r="B439" t="s">
        <v>16</v>
      </c>
      <c r="C439" t="s">
        <v>3744</v>
      </c>
      <c r="D439" t="s">
        <v>173</v>
      </c>
      <c r="E439" t="s">
        <v>3811</v>
      </c>
      <c r="F439" t="s">
        <v>63</v>
      </c>
      <c r="G439">
        <v>3</v>
      </c>
      <c r="H439" s="3">
        <v>12.75</v>
      </c>
      <c r="I439" s="3">
        <v>16.7</v>
      </c>
      <c r="J439" s="3">
        <v>1.52</v>
      </c>
      <c r="K439" s="14">
        <v>11.93</v>
      </c>
      <c r="L439" t="s">
        <v>1</v>
      </c>
    </row>
    <row r="440" spans="1:12" x14ac:dyDescent="0.25">
      <c r="A440" s="7">
        <v>46158.5</v>
      </c>
      <c r="B440" t="s">
        <v>13</v>
      </c>
      <c r="C440" t="s">
        <v>1426</v>
      </c>
      <c r="D440" t="s">
        <v>184</v>
      </c>
      <c r="E440" t="s">
        <v>3814</v>
      </c>
      <c r="F440" t="s">
        <v>101</v>
      </c>
      <c r="G440">
        <v>4</v>
      </c>
      <c r="H440" s="3">
        <v>4.8</v>
      </c>
      <c r="I440" s="3">
        <v>5.86</v>
      </c>
      <c r="J440" s="3">
        <v>-9.75</v>
      </c>
      <c r="K440" s="14">
        <v>-203.15</v>
      </c>
      <c r="L440" t="s">
        <v>1</v>
      </c>
    </row>
    <row r="441" spans="1:12" x14ac:dyDescent="0.25">
      <c r="A441" s="7">
        <v>46158.5</v>
      </c>
      <c r="B441" t="s">
        <v>14</v>
      </c>
      <c r="C441" t="s">
        <v>2240</v>
      </c>
      <c r="D441" t="s">
        <v>176</v>
      </c>
      <c r="E441" t="s">
        <v>3812</v>
      </c>
      <c r="F441" t="s">
        <v>77</v>
      </c>
      <c r="G441">
        <v>2</v>
      </c>
      <c r="H441" s="3">
        <v>0.3</v>
      </c>
      <c r="I441" s="3">
        <v>0.36</v>
      </c>
      <c r="J441" s="3">
        <v>-1.46</v>
      </c>
      <c r="K441" s="14">
        <v>-405.09</v>
      </c>
      <c r="L441" t="s">
        <v>1</v>
      </c>
    </row>
    <row r="442" spans="1:12" x14ac:dyDescent="0.25">
      <c r="A442" s="7">
        <v>46158.5</v>
      </c>
      <c r="B442" t="s">
        <v>14</v>
      </c>
      <c r="C442" t="s">
        <v>2241</v>
      </c>
      <c r="D442" t="s">
        <v>181</v>
      </c>
      <c r="E442" t="s">
        <v>3813</v>
      </c>
      <c r="F442" t="s">
        <v>72</v>
      </c>
      <c r="G442">
        <v>4</v>
      </c>
      <c r="H442" s="3">
        <v>7.6</v>
      </c>
      <c r="I442" s="3">
        <v>8.74</v>
      </c>
      <c r="J442" s="3">
        <v>-1.22</v>
      </c>
      <c r="K442" s="14">
        <v>-13.94</v>
      </c>
      <c r="L442" t="s">
        <v>1</v>
      </c>
    </row>
    <row r="443" spans="1:12" x14ac:dyDescent="0.25">
      <c r="A443" s="7">
        <v>46158.5</v>
      </c>
      <c r="B443" t="s">
        <v>15</v>
      </c>
      <c r="C443" t="s">
        <v>3010</v>
      </c>
      <c r="D443" t="s">
        <v>176</v>
      </c>
      <c r="E443" t="s">
        <v>3812</v>
      </c>
      <c r="F443" t="s">
        <v>77</v>
      </c>
      <c r="G443">
        <v>1</v>
      </c>
      <c r="H443" s="3">
        <v>0.15</v>
      </c>
      <c r="I443" s="3">
        <v>0.2</v>
      </c>
      <c r="J443" s="3">
        <v>-0.98</v>
      </c>
      <c r="K443" s="14">
        <v>-650.09</v>
      </c>
      <c r="L443" t="s">
        <v>1</v>
      </c>
    </row>
    <row r="444" spans="1:12" x14ac:dyDescent="0.25">
      <c r="A444" s="7">
        <v>46158.5</v>
      </c>
      <c r="B444" t="s">
        <v>15</v>
      </c>
      <c r="C444" t="s">
        <v>3011</v>
      </c>
      <c r="D444" t="s">
        <v>253</v>
      </c>
      <c r="E444" t="s">
        <v>3815</v>
      </c>
      <c r="F444" t="s">
        <v>57</v>
      </c>
      <c r="G444">
        <v>1</v>
      </c>
      <c r="H444" s="3">
        <v>0.8</v>
      </c>
      <c r="I444" s="3">
        <v>1.14</v>
      </c>
      <c r="J444" s="3">
        <v>-0.81</v>
      </c>
      <c r="K444" s="14">
        <v>-101.55</v>
      </c>
      <c r="L444" t="s">
        <v>1</v>
      </c>
    </row>
    <row r="445" spans="1:12" x14ac:dyDescent="0.25">
      <c r="A445" s="7">
        <v>46157.5</v>
      </c>
      <c r="B445" t="s">
        <v>12</v>
      </c>
      <c r="C445" t="s">
        <v>685</v>
      </c>
      <c r="D445" t="s">
        <v>188</v>
      </c>
      <c r="E445" t="s">
        <v>3810</v>
      </c>
      <c r="F445" t="s">
        <v>63</v>
      </c>
      <c r="G445">
        <v>4</v>
      </c>
      <c r="H445" s="3">
        <v>14</v>
      </c>
      <c r="I445" s="3">
        <v>18.76</v>
      </c>
      <c r="J445" s="3">
        <v>1.36</v>
      </c>
      <c r="K445" s="14">
        <v>9.71</v>
      </c>
      <c r="L445" t="s">
        <v>1</v>
      </c>
    </row>
    <row r="446" spans="1:12" x14ac:dyDescent="0.25">
      <c r="A446" s="7">
        <v>46157.5</v>
      </c>
      <c r="B446" t="s">
        <v>12</v>
      </c>
      <c r="C446" t="s">
        <v>683</v>
      </c>
      <c r="D446" t="s">
        <v>253</v>
      </c>
      <c r="E446" t="s">
        <v>3815</v>
      </c>
      <c r="F446" t="s">
        <v>57</v>
      </c>
      <c r="G446">
        <v>3</v>
      </c>
      <c r="H446" s="3">
        <v>2.4</v>
      </c>
      <c r="I446" s="3">
        <v>3.19</v>
      </c>
      <c r="J446" s="3">
        <v>-0.62</v>
      </c>
      <c r="K446" s="14">
        <v>-25.63</v>
      </c>
      <c r="L446" t="s">
        <v>1</v>
      </c>
    </row>
    <row r="447" spans="1:12" x14ac:dyDescent="0.25">
      <c r="A447" s="7">
        <v>46157.5</v>
      </c>
      <c r="B447" t="s">
        <v>12</v>
      </c>
      <c r="C447" t="s">
        <v>684</v>
      </c>
      <c r="D447" t="s">
        <v>181</v>
      </c>
      <c r="E447" t="s">
        <v>3813</v>
      </c>
      <c r="F447" t="s">
        <v>72</v>
      </c>
      <c r="G447">
        <v>1</v>
      </c>
      <c r="H447" s="3">
        <v>1.9</v>
      </c>
      <c r="I447" s="3">
        <v>2.6</v>
      </c>
      <c r="J447" s="3">
        <v>-0.64</v>
      </c>
      <c r="K447" s="14">
        <v>-33.66</v>
      </c>
      <c r="L447" t="s">
        <v>1</v>
      </c>
    </row>
    <row r="448" spans="1:12" x14ac:dyDescent="0.25">
      <c r="A448" s="7">
        <v>46157.5</v>
      </c>
      <c r="B448" t="s">
        <v>13</v>
      </c>
      <c r="C448" t="s">
        <v>1437</v>
      </c>
      <c r="D448" t="s">
        <v>184</v>
      </c>
      <c r="E448" t="s">
        <v>3814</v>
      </c>
      <c r="F448" t="s">
        <v>101</v>
      </c>
      <c r="G448">
        <v>2</v>
      </c>
      <c r="H448" s="3">
        <v>2.4</v>
      </c>
      <c r="I448" s="3">
        <v>2.76</v>
      </c>
      <c r="J448" s="3">
        <v>-9.99</v>
      </c>
      <c r="K448" s="14">
        <v>-416.4</v>
      </c>
      <c r="L448" t="s">
        <v>1</v>
      </c>
    </row>
    <row r="449" spans="1:12" x14ac:dyDescent="0.25">
      <c r="A449" s="7">
        <v>46157.5</v>
      </c>
      <c r="B449" t="s">
        <v>14</v>
      </c>
      <c r="C449" t="s">
        <v>2250</v>
      </c>
      <c r="D449" t="s">
        <v>188</v>
      </c>
      <c r="E449" t="s">
        <v>3810</v>
      </c>
      <c r="F449" t="s">
        <v>63</v>
      </c>
      <c r="G449">
        <v>1</v>
      </c>
      <c r="H449" s="3">
        <v>3.5</v>
      </c>
      <c r="I449" s="3">
        <v>4.34</v>
      </c>
      <c r="J449" s="3">
        <v>-1.12</v>
      </c>
      <c r="K449" s="14">
        <v>-25.84</v>
      </c>
      <c r="L449" t="s">
        <v>1</v>
      </c>
    </row>
    <row r="450" spans="1:12" x14ac:dyDescent="0.25">
      <c r="A450" s="7">
        <v>46157.5</v>
      </c>
      <c r="B450" t="s">
        <v>14</v>
      </c>
      <c r="C450" t="s">
        <v>2251</v>
      </c>
      <c r="D450" t="s">
        <v>181</v>
      </c>
      <c r="E450" t="s">
        <v>3813</v>
      </c>
      <c r="F450" t="s">
        <v>72</v>
      </c>
      <c r="G450">
        <v>1</v>
      </c>
      <c r="H450" s="3">
        <v>1.9</v>
      </c>
      <c r="I450" s="3">
        <v>2.32</v>
      </c>
      <c r="J450" s="3">
        <v>-1.31</v>
      </c>
      <c r="K450" s="14">
        <v>-56.58</v>
      </c>
      <c r="L450" t="s">
        <v>1</v>
      </c>
    </row>
    <row r="451" spans="1:12" x14ac:dyDescent="0.25">
      <c r="A451" s="7">
        <v>46157.5</v>
      </c>
      <c r="B451" t="s">
        <v>15</v>
      </c>
      <c r="C451" t="s">
        <v>3016</v>
      </c>
      <c r="D451" t="s">
        <v>176</v>
      </c>
      <c r="E451" t="s">
        <v>3812</v>
      </c>
      <c r="F451" t="s">
        <v>77</v>
      </c>
      <c r="G451">
        <v>1</v>
      </c>
      <c r="H451" s="3">
        <v>0.15</v>
      </c>
      <c r="I451" s="3">
        <v>0.21</v>
      </c>
      <c r="J451" s="3">
        <v>-0.97</v>
      </c>
      <c r="K451" s="14">
        <v>-645.09</v>
      </c>
      <c r="L451" t="s">
        <v>1</v>
      </c>
    </row>
    <row r="452" spans="1:12" x14ac:dyDescent="0.25">
      <c r="A452" s="7">
        <v>46157.5</v>
      </c>
      <c r="B452" t="s">
        <v>15</v>
      </c>
      <c r="C452" t="s">
        <v>3017</v>
      </c>
      <c r="D452" t="s">
        <v>181</v>
      </c>
      <c r="E452" t="s">
        <v>3813</v>
      </c>
      <c r="F452" t="s">
        <v>72</v>
      </c>
      <c r="G452">
        <v>1</v>
      </c>
      <c r="H452" s="3">
        <v>1.9</v>
      </c>
      <c r="I452" s="3">
        <v>2.58</v>
      </c>
      <c r="J452" s="3">
        <v>-0.65</v>
      </c>
      <c r="K452" s="14">
        <v>-34.21</v>
      </c>
      <c r="L452" t="s">
        <v>1</v>
      </c>
    </row>
    <row r="453" spans="1:12" x14ac:dyDescent="0.25">
      <c r="A453" s="7">
        <v>46157.5</v>
      </c>
      <c r="B453" t="s">
        <v>16</v>
      </c>
      <c r="C453" t="s">
        <v>3753</v>
      </c>
      <c r="D453" t="s">
        <v>173</v>
      </c>
      <c r="E453" t="s">
        <v>3811</v>
      </c>
      <c r="F453" t="s">
        <v>63</v>
      </c>
      <c r="G453">
        <v>1</v>
      </c>
      <c r="H453" s="3">
        <v>4.25</v>
      </c>
      <c r="I453" s="3">
        <v>5.74</v>
      </c>
      <c r="J453" s="3">
        <v>-0.02</v>
      </c>
      <c r="K453" s="14">
        <v>-0.43</v>
      </c>
      <c r="L453" t="s">
        <v>1</v>
      </c>
    </row>
    <row r="454" spans="1:12" x14ac:dyDescent="0.25">
      <c r="A454" s="7">
        <v>46156.5</v>
      </c>
      <c r="B454" t="s">
        <v>12</v>
      </c>
      <c r="C454" t="s">
        <v>692</v>
      </c>
      <c r="D454" t="s">
        <v>176</v>
      </c>
      <c r="E454" t="s">
        <v>3812</v>
      </c>
      <c r="F454" t="s">
        <v>77</v>
      </c>
      <c r="G454">
        <v>1</v>
      </c>
      <c r="H454" s="3">
        <v>0.15</v>
      </c>
      <c r="I454" s="3">
        <v>0.21</v>
      </c>
      <c r="J454" s="3">
        <v>-0.97</v>
      </c>
      <c r="K454" s="14">
        <v>-645.33</v>
      </c>
      <c r="L454" t="s">
        <v>1</v>
      </c>
    </row>
    <row r="455" spans="1:12" x14ac:dyDescent="0.25">
      <c r="A455" s="7">
        <v>46156.5</v>
      </c>
      <c r="B455" t="s">
        <v>13</v>
      </c>
      <c r="C455" t="s">
        <v>1442</v>
      </c>
      <c r="D455" t="s">
        <v>188</v>
      </c>
      <c r="E455" t="s">
        <v>3810</v>
      </c>
      <c r="F455" t="s">
        <v>63</v>
      </c>
      <c r="G455">
        <v>1</v>
      </c>
      <c r="H455" s="3">
        <v>3.5</v>
      </c>
      <c r="I455" s="3">
        <v>4.38</v>
      </c>
      <c r="J455" s="3">
        <v>-9.74</v>
      </c>
      <c r="K455" s="14">
        <v>-278.24</v>
      </c>
      <c r="L455" t="s">
        <v>1</v>
      </c>
    </row>
    <row r="456" spans="1:12" x14ac:dyDescent="0.25">
      <c r="A456" s="7">
        <v>46156.5</v>
      </c>
      <c r="B456" t="s">
        <v>13</v>
      </c>
      <c r="C456" t="s">
        <v>1443</v>
      </c>
      <c r="D456" t="s">
        <v>253</v>
      </c>
      <c r="E456" t="s">
        <v>3815</v>
      </c>
      <c r="F456" t="s">
        <v>57</v>
      </c>
      <c r="G456">
        <v>2</v>
      </c>
      <c r="H456" s="3">
        <v>1.6</v>
      </c>
      <c r="I456" s="3">
        <v>1.84</v>
      </c>
      <c r="J456" s="3">
        <v>-9.99</v>
      </c>
      <c r="K456" s="14">
        <v>-624.53</v>
      </c>
      <c r="L456" t="s">
        <v>1</v>
      </c>
    </row>
    <row r="457" spans="1:12" x14ac:dyDescent="0.25">
      <c r="A457" s="7">
        <v>46156.5</v>
      </c>
      <c r="B457" t="s">
        <v>13</v>
      </c>
      <c r="C457" t="s">
        <v>1444</v>
      </c>
      <c r="D457" t="s">
        <v>181</v>
      </c>
      <c r="E457" t="s">
        <v>3813</v>
      </c>
      <c r="F457" t="s">
        <v>72</v>
      </c>
      <c r="G457">
        <v>2</v>
      </c>
      <c r="H457" s="3">
        <v>3.8</v>
      </c>
      <c r="I457" s="3">
        <v>4.56</v>
      </c>
      <c r="J457" s="3">
        <v>-9.86</v>
      </c>
      <c r="K457" s="14">
        <v>-259.43</v>
      </c>
      <c r="L457" t="s">
        <v>1</v>
      </c>
    </row>
    <row r="458" spans="1:12" x14ac:dyDescent="0.25">
      <c r="A458" s="7">
        <v>46156.5</v>
      </c>
      <c r="B458" t="s">
        <v>14</v>
      </c>
      <c r="C458" t="s">
        <v>2262</v>
      </c>
      <c r="D458" t="s">
        <v>253</v>
      </c>
      <c r="E458" t="s">
        <v>3815</v>
      </c>
      <c r="F458" t="s">
        <v>57</v>
      </c>
      <c r="G458">
        <v>3</v>
      </c>
      <c r="H458" s="3">
        <v>2.4</v>
      </c>
      <c r="I458" s="3">
        <v>3.34</v>
      </c>
      <c r="J458" s="3">
        <v>-0.96</v>
      </c>
      <c r="K458" s="14">
        <v>-28.73</v>
      </c>
      <c r="L458" t="s">
        <v>1</v>
      </c>
    </row>
    <row r="459" spans="1:12" x14ac:dyDescent="0.25">
      <c r="A459" s="7">
        <v>46156.5</v>
      </c>
      <c r="B459" t="s">
        <v>16</v>
      </c>
      <c r="C459" t="s">
        <v>3757</v>
      </c>
      <c r="D459" t="s">
        <v>188</v>
      </c>
      <c r="E459" t="s">
        <v>3810</v>
      </c>
      <c r="F459" t="s">
        <v>63</v>
      </c>
      <c r="G459">
        <v>1</v>
      </c>
      <c r="H459" s="3">
        <v>3.5</v>
      </c>
      <c r="I459" s="3">
        <v>4.76</v>
      </c>
      <c r="J459" s="3">
        <v>-0.17</v>
      </c>
      <c r="K459" s="14">
        <v>-4.86</v>
      </c>
      <c r="L459" t="s">
        <v>1</v>
      </c>
    </row>
    <row r="460" spans="1:12" x14ac:dyDescent="0.25">
      <c r="A460" s="7">
        <v>46155.5</v>
      </c>
      <c r="B460" t="s">
        <v>13</v>
      </c>
      <c r="C460" t="s">
        <v>1447</v>
      </c>
      <c r="D460" t="s">
        <v>253</v>
      </c>
      <c r="E460" t="s">
        <v>3815</v>
      </c>
      <c r="F460" t="s">
        <v>57</v>
      </c>
      <c r="G460">
        <v>4</v>
      </c>
      <c r="H460" s="3">
        <v>3.2</v>
      </c>
      <c r="I460" s="3">
        <v>4.19</v>
      </c>
      <c r="J460" s="3">
        <v>-9.63</v>
      </c>
      <c r="K460" s="14">
        <v>-300.81</v>
      </c>
      <c r="L460" t="s">
        <v>1</v>
      </c>
    </row>
    <row r="461" spans="1:12" x14ac:dyDescent="0.25">
      <c r="A461" s="7">
        <v>46155.5</v>
      </c>
      <c r="B461" t="s">
        <v>15</v>
      </c>
      <c r="C461" t="s">
        <v>3020</v>
      </c>
      <c r="D461" t="s">
        <v>181</v>
      </c>
      <c r="E461" t="s">
        <v>3813</v>
      </c>
      <c r="F461" t="s">
        <v>72</v>
      </c>
      <c r="G461">
        <v>1</v>
      </c>
      <c r="H461" s="3">
        <v>1.9</v>
      </c>
      <c r="I461" s="3">
        <v>2.38</v>
      </c>
      <c r="J461" s="3">
        <v>-0.8</v>
      </c>
      <c r="K461" s="14">
        <v>-42.1</v>
      </c>
      <c r="L461" t="s">
        <v>1</v>
      </c>
    </row>
    <row r="462" spans="1:12" x14ac:dyDescent="0.25">
      <c r="A462" s="7">
        <v>46155.5</v>
      </c>
      <c r="B462" t="s">
        <v>16</v>
      </c>
      <c r="C462" t="s">
        <v>3770</v>
      </c>
      <c r="D462" t="s">
        <v>188</v>
      </c>
      <c r="E462" t="s">
        <v>3810</v>
      </c>
      <c r="F462" t="s">
        <v>63</v>
      </c>
      <c r="G462">
        <v>1</v>
      </c>
      <c r="H462" s="3">
        <v>3.5</v>
      </c>
      <c r="I462" s="3">
        <v>4.55</v>
      </c>
      <c r="J462" s="3">
        <v>-0.34</v>
      </c>
      <c r="K462" s="14">
        <v>-9.57</v>
      </c>
      <c r="L462" t="s">
        <v>1</v>
      </c>
    </row>
    <row r="463" spans="1:12" x14ac:dyDescent="0.25">
      <c r="A463" s="7">
        <v>46155.5</v>
      </c>
      <c r="B463" t="s">
        <v>16</v>
      </c>
      <c r="C463" t="s">
        <v>3771</v>
      </c>
      <c r="D463" t="s">
        <v>176</v>
      </c>
      <c r="E463" t="s">
        <v>3812</v>
      </c>
      <c r="F463" t="s">
        <v>77</v>
      </c>
      <c r="G463">
        <v>4</v>
      </c>
      <c r="H463" s="3">
        <v>0.6</v>
      </c>
      <c r="I463" s="3">
        <v>0.7</v>
      </c>
      <c r="J463" s="3">
        <v>-0.95</v>
      </c>
      <c r="K463" s="14">
        <v>-157.78</v>
      </c>
      <c r="L463" t="s">
        <v>1</v>
      </c>
    </row>
    <row r="464" spans="1:12" x14ac:dyDescent="0.25">
      <c r="A464" s="7">
        <v>46154.5</v>
      </c>
      <c r="B464" t="s">
        <v>12</v>
      </c>
      <c r="C464" t="s">
        <v>704</v>
      </c>
      <c r="D464" t="s">
        <v>173</v>
      </c>
      <c r="E464" t="s">
        <v>3811</v>
      </c>
      <c r="F464" t="s">
        <v>63</v>
      </c>
      <c r="G464">
        <v>4</v>
      </c>
      <c r="H464" s="3">
        <v>17</v>
      </c>
      <c r="I464" s="3">
        <v>22.1</v>
      </c>
      <c r="J464" s="3">
        <v>1.36</v>
      </c>
      <c r="K464" s="14">
        <v>7.98</v>
      </c>
      <c r="L464" t="s">
        <v>1</v>
      </c>
    </row>
    <row r="465" spans="1:12" x14ac:dyDescent="0.25">
      <c r="A465" s="7">
        <v>46154.5</v>
      </c>
      <c r="B465" t="s">
        <v>12</v>
      </c>
      <c r="C465" t="s">
        <v>705</v>
      </c>
      <c r="D465" t="s">
        <v>181</v>
      </c>
      <c r="E465" t="s">
        <v>3813</v>
      </c>
      <c r="F465" t="s">
        <v>72</v>
      </c>
      <c r="G465">
        <v>4</v>
      </c>
      <c r="H465" s="3">
        <v>7.6</v>
      </c>
      <c r="I465" s="3">
        <v>8.89</v>
      </c>
      <c r="J465" s="3">
        <v>-0.69</v>
      </c>
      <c r="K465" s="14">
        <v>-9.04</v>
      </c>
      <c r="L465" t="s">
        <v>1</v>
      </c>
    </row>
    <row r="466" spans="1:12" x14ac:dyDescent="0.25">
      <c r="A466" s="7">
        <v>46154.5</v>
      </c>
      <c r="B466" t="s">
        <v>16</v>
      </c>
      <c r="C466" t="s">
        <v>3772</v>
      </c>
      <c r="D466" t="s">
        <v>253</v>
      </c>
      <c r="E466" t="s">
        <v>3815</v>
      </c>
      <c r="F466" t="s">
        <v>57</v>
      </c>
      <c r="G466">
        <v>3</v>
      </c>
      <c r="H466" s="3">
        <v>2.4</v>
      </c>
      <c r="I466" s="3">
        <v>3.34</v>
      </c>
      <c r="J466" s="3">
        <v>-0.37</v>
      </c>
      <c r="K466" s="14">
        <v>-15.28</v>
      </c>
      <c r="L466" t="s">
        <v>1</v>
      </c>
    </row>
    <row r="467" spans="1:12" x14ac:dyDescent="0.25">
      <c r="A467" s="7">
        <v>46154.5</v>
      </c>
      <c r="B467" t="s">
        <v>16</v>
      </c>
      <c r="C467" t="s">
        <v>3773</v>
      </c>
      <c r="D467" t="s">
        <v>184</v>
      </c>
      <c r="E467" t="s">
        <v>3814</v>
      </c>
      <c r="F467" t="s">
        <v>101</v>
      </c>
      <c r="G467">
        <v>2</v>
      </c>
      <c r="H467" s="3">
        <v>2.4</v>
      </c>
      <c r="I467" s="3">
        <v>3.43</v>
      </c>
      <c r="J467" s="3">
        <v>-0.3</v>
      </c>
      <c r="K467" s="14">
        <v>-12.57</v>
      </c>
      <c r="L467" t="s">
        <v>1</v>
      </c>
    </row>
    <row r="468" spans="1:12" x14ac:dyDescent="0.25">
      <c r="A468" s="7">
        <v>46153.5</v>
      </c>
      <c r="B468" t="s">
        <v>12</v>
      </c>
      <c r="C468" t="s">
        <v>714</v>
      </c>
      <c r="D468" t="s">
        <v>253</v>
      </c>
      <c r="E468" t="s">
        <v>3815</v>
      </c>
      <c r="F468" t="s">
        <v>57</v>
      </c>
      <c r="G468">
        <v>3</v>
      </c>
      <c r="H468" s="3">
        <v>2.4</v>
      </c>
      <c r="I468" s="3">
        <v>3.48</v>
      </c>
      <c r="J468" s="3">
        <v>-0.4</v>
      </c>
      <c r="K468" s="14">
        <v>-16.59</v>
      </c>
      <c r="L468" t="s">
        <v>1</v>
      </c>
    </row>
    <row r="469" spans="1:12" x14ac:dyDescent="0.25">
      <c r="A469" s="7">
        <v>46153.5</v>
      </c>
      <c r="B469" t="s">
        <v>13</v>
      </c>
      <c r="C469" t="s">
        <v>1456</v>
      </c>
      <c r="D469" t="s">
        <v>173</v>
      </c>
      <c r="E469" t="s">
        <v>3811</v>
      </c>
      <c r="F469" t="s">
        <v>63</v>
      </c>
      <c r="G469">
        <v>1</v>
      </c>
      <c r="H469" s="3">
        <v>4.25</v>
      </c>
      <c r="I469" s="3">
        <v>4.93</v>
      </c>
      <c r="J469" s="3">
        <v>-9.97</v>
      </c>
      <c r="K469" s="14">
        <v>-234.49</v>
      </c>
      <c r="L469" t="s">
        <v>1</v>
      </c>
    </row>
    <row r="470" spans="1:12" x14ac:dyDescent="0.25">
      <c r="A470" s="7">
        <v>46153.5</v>
      </c>
      <c r="B470" t="s">
        <v>16</v>
      </c>
      <c r="C470" t="s">
        <v>3777</v>
      </c>
      <c r="D470" t="s">
        <v>176</v>
      </c>
      <c r="E470" t="s">
        <v>3812</v>
      </c>
      <c r="F470" t="s">
        <v>77</v>
      </c>
      <c r="G470">
        <v>1</v>
      </c>
      <c r="H470" s="3">
        <v>0.15</v>
      </c>
      <c r="I470" s="3">
        <v>0.21</v>
      </c>
      <c r="J470" s="3">
        <v>-0.96</v>
      </c>
      <c r="K470" s="14">
        <v>-640</v>
      </c>
      <c r="L470" t="s">
        <v>1</v>
      </c>
    </row>
    <row r="471" spans="1:12" x14ac:dyDescent="0.25">
      <c r="A471" s="7">
        <v>46152.5</v>
      </c>
      <c r="B471" t="s">
        <v>12</v>
      </c>
      <c r="C471" t="s">
        <v>719</v>
      </c>
      <c r="D471" t="s">
        <v>173</v>
      </c>
      <c r="E471" t="s">
        <v>3811</v>
      </c>
      <c r="F471" t="s">
        <v>63</v>
      </c>
      <c r="G471">
        <v>4</v>
      </c>
      <c r="H471" s="3">
        <v>17</v>
      </c>
      <c r="I471" s="3">
        <v>22.78</v>
      </c>
      <c r="J471" s="3">
        <v>1.86</v>
      </c>
      <c r="K471" s="14">
        <v>10.97</v>
      </c>
      <c r="L471" t="s">
        <v>1</v>
      </c>
    </row>
    <row r="472" spans="1:12" x14ac:dyDescent="0.25">
      <c r="A472" s="7">
        <v>46152.5</v>
      </c>
      <c r="B472" t="s">
        <v>12</v>
      </c>
      <c r="C472" t="s">
        <v>720</v>
      </c>
      <c r="D472" t="s">
        <v>184</v>
      </c>
      <c r="E472" t="s">
        <v>3814</v>
      </c>
      <c r="F472" t="s">
        <v>101</v>
      </c>
      <c r="G472">
        <v>3</v>
      </c>
      <c r="H472" s="3">
        <v>3.6</v>
      </c>
      <c r="I472" s="3">
        <v>4.43</v>
      </c>
      <c r="J472" s="3">
        <v>-0.69</v>
      </c>
      <c r="K472" s="14">
        <v>-19.11</v>
      </c>
      <c r="L472" t="s">
        <v>1</v>
      </c>
    </row>
    <row r="473" spans="1:12" x14ac:dyDescent="0.25">
      <c r="A473" s="7">
        <v>46152.5</v>
      </c>
      <c r="B473" t="s">
        <v>13</v>
      </c>
      <c r="C473" t="s">
        <v>1459</v>
      </c>
      <c r="D473" t="s">
        <v>253</v>
      </c>
      <c r="E473" t="s">
        <v>3815</v>
      </c>
      <c r="F473" t="s">
        <v>57</v>
      </c>
      <c r="G473">
        <v>1</v>
      </c>
      <c r="H473" s="3">
        <v>0.8</v>
      </c>
      <c r="I473" s="3">
        <v>1.09</v>
      </c>
      <c r="J473" s="3">
        <v>-9.87</v>
      </c>
      <c r="K473" s="14">
        <v>-1233.53</v>
      </c>
      <c r="L473" t="s">
        <v>1</v>
      </c>
    </row>
    <row r="474" spans="1:12" x14ac:dyDescent="0.25">
      <c r="A474" s="7">
        <v>46152.5</v>
      </c>
      <c r="B474" t="s">
        <v>14</v>
      </c>
      <c r="C474" t="s">
        <v>2285</v>
      </c>
      <c r="D474" t="s">
        <v>173</v>
      </c>
      <c r="E474" t="s">
        <v>3811</v>
      </c>
      <c r="F474" t="s">
        <v>63</v>
      </c>
      <c r="G474">
        <v>4</v>
      </c>
      <c r="H474" s="3">
        <v>17</v>
      </c>
      <c r="I474" s="3">
        <v>20.23</v>
      </c>
      <c r="J474" s="3">
        <v>-0.38</v>
      </c>
      <c r="K474" s="14">
        <v>-1.88</v>
      </c>
      <c r="L474" t="s">
        <v>1</v>
      </c>
    </row>
    <row r="475" spans="1:12" x14ac:dyDescent="0.25">
      <c r="A475" s="7">
        <v>46152.5</v>
      </c>
      <c r="B475" t="s">
        <v>14</v>
      </c>
      <c r="C475" t="s">
        <v>2286</v>
      </c>
      <c r="D475" t="s">
        <v>176</v>
      </c>
      <c r="E475" t="s">
        <v>3812</v>
      </c>
      <c r="F475" t="s">
        <v>77</v>
      </c>
      <c r="G475">
        <v>3</v>
      </c>
      <c r="H475" s="3">
        <v>0.45</v>
      </c>
      <c r="I475" s="3">
        <v>0.55</v>
      </c>
      <c r="J475" s="3">
        <v>-1.44</v>
      </c>
      <c r="K475" s="14">
        <v>-261.81</v>
      </c>
      <c r="L475" t="s">
        <v>1</v>
      </c>
    </row>
    <row r="476" spans="1:12" x14ac:dyDescent="0.25">
      <c r="A476" s="7">
        <v>46152.5</v>
      </c>
      <c r="B476" t="s">
        <v>14</v>
      </c>
      <c r="C476" t="s">
        <v>2284</v>
      </c>
      <c r="D476" t="s">
        <v>184</v>
      </c>
      <c r="E476" t="s">
        <v>3814</v>
      </c>
      <c r="F476" t="s">
        <v>101</v>
      </c>
      <c r="G476">
        <v>4</v>
      </c>
      <c r="H476" s="3">
        <v>4.8</v>
      </c>
      <c r="I476" s="3">
        <v>6.19</v>
      </c>
      <c r="J476" s="3">
        <v>-0.81</v>
      </c>
      <c r="K476" s="14">
        <v>-13.07</v>
      </c>
      <c r="L476" t="s">
        <v>1</v>
      </c>
    </row>
    <row r="477" spans="1:12" x14ac:dyDescent="0.25">
      <c r="A477" s="7">
        <v>46152.5</v>
      </c>
      <c r="B477" t="s">
        <v>16</v>
      </c>
      <c r="C477" t="s">
        <v>3782</v>
      </c>
      <c r="D477" t="s">
        <v>176</v>
      </c>
      <c r="E477" t="s">
        <v>3812</v>
      </c>
      <c r="F477" t="s">
        <v>77</v>
      </c>
      <c r="G477">
        <v>1</v>
      </c>
      <c r="H477" s="3">
        <v>0.15</v>
      </c>
      <c r="I477" s="3">
        <v>0.21</v>
      </c>
      <c r="J477" s="3">
        <v>-0.96</v>
      </c>
      <c r="K477" s="14">
        <v>-640</v>
      </c>
      <c r="L477" t="s">
        <v>1</v>
      </c>
    </row>
    <row r="478" spans="1:12" x14ac:dyDescent="0.25">
      <c r="A478" s="7">
        <v>46151.5</v>
      </c>
      <c r="B478" t="s">
        <v>13</v>
      </c>
      <c r="C478" t="s">
        <v>1462</v>
      </c>
      <c r="D478" t="s">
        <v>188</v>
      </c>
      <c r="E478" t="s">
        <v>3810</v>
      </c>
      <c r="F478" t="s">
        <v>63</v>
      </c>
      <c r="G478">
        <v>1</v>
      </c>
      <c r="H478" s="3">
        <v>3.5</v>
      </c>
      <c r="I478" s="3">
        <v>4.97</v>
      </c>
      <c r="J478" s="3">
        <v>-9.31</v>
      </c>
      <c r="K478" s="14">
        <v>-266.05</v>
      </c>
      <c r="L478" t="s">
        <v>1</v>
      </c>
    </row>
    <row r="479" spans="1:12" x14ac:dyDescent="0.25">
      <c r="A479" s="7">
        <v>46151.5</v>
      </c>
      <c r="B479" t="s">
        <v>13</v>
      </c>
      <c r="C479" t="s">
        <v>1463</v>
      </c>
      <c r="D479" t="s">
        <v>188</v>
      </c>
      <c r="E479" t="s">
        <v>3810</v>
      </c>
      <c r="F479" t="s">
        <v>63</v>
      </c>
      <c r="G479">
        <v>2</v>
      </c>
      <c r="H479" s="3">
        <v>7</v>
      </c>
      <c r="I479" s="3">
        <v>9.87</v>
      </c>
      <c r="J479" s="3">
        <v>-8.68</v>
      </c>
      <c r="K479" s="14">
        <v>-124.06</v>
      </c>
      <c r="L479" t="s">
        <v>1</v>
      </c>
    </row>
    <row r="480" spans="1:12" x14ac:dyDescent="0.25">
      <c r="A480" s="7">
        <v>46151.5</v>
      </c>
      <c r="B480" t="s">
        <v>13</v>
      </c>
      <c r="C480" t="s">
        <v>1464</v>
      </c>
      <c r="D480" t="s">
        <v>181</v>
      </c>
      <c r="E480" t="s">
        <v>3813</v>
      </c>
      <c r="F480" t="s">
        <v>72</v>
      </c>
      <c r="G480">
        <v>4</v>
      </c>
      <c r="H480" s="3">
        <v>7.6</v>
      </c>
      <c r="I480" s="3">
        <v>9.8</v>
      </c>
      <c r="J480" s="3">
        <v>-9.23</v>
      </c>
      <c r="K480" s="14">
        <v>-121.51</v>
      </c>
      <c r="L480" t="s">
        <v>1</v>
      </c>
    </row>
    <row r="481" spans="1:12" x14ac:dyDescent="0.25">
      <c r="A481" s="7">
        <v>46151.5</v>
      </c>
      <c r="B481" t="s">
        <v>13</v>
      </c>
      <c r="C481" t="s">
        <v>1465</v>
      </c>
      <c r="D481" t="s">
        <v>184</v>
      </c>
      <c r="E481" t="s">
        <v>3814</v>
      </c>
      <c r="F481" t="s">
        <v>101</v>
      </c>
      <c r="G481">
        <v>1</v>
      </c>
      <c r="H481" s="3">
        <v>1.2</v>
      </c>
      <c r="I481" s="3">
        <v>1.58</v>
      </c>
      <c r="J481" s="3">
        <v>-9.85</v>
      </c>
      <c r="K481" s="14">
        <v>-820.6</v>
      </c>
      <c r="L481" t="s">
        <v>1</v>
      </c>
    </row>
    <row r="482" spans="1:12" x14ac:dyDescent="0.25">
      <c r="A482" s="7">
        <v>46151.5</v>
      </c>
      <c r="B482" t="s">
        <v>15</v>
      </c>
      <c r="C482" t="s">
        <v>3031</v>
      </c>
      <c r="D482" t="s">
        <v>253</v>
      </c>
      <c r="E482" t="s">
        <v>3815</v>
      </c>
      <c r="F482" t="s">
        <v>57</v>
      </c>
      <c r="G482">
        <v>1</v>
      </c>
      <c r="H482" s="3">
        <v>0.8</v>
      </c>
      <c r="I482" s="3">
        <v>1.09</v>
      </c>
      <c r="J482" s="3">
        <v>-0.85</v>
      </c>
      <c r="K482" s="14">
        <v>-106.24</v>
      </c>
      <c r="L482" t="s">
        <v>1</v>
      </c>
    </row>
    <row r="483" spans="1:12" x14ac:dyDescent="0.25">
      <c r="A483" s="7">
        <v>46151.5</v>
      </c>
      <c r="B483" t="s">
        <v>16</v>
      </c>
      <c r="C483" t="s">
        <v>3787</v>
      </c>
      <c r="D483" t="s">
        <v>188</v>
      </c>
      <c r="E483" t="s">
        <v>3810</v>
      </c>
      <c r="F483" t="s">
        <v>63</v>
      </c>
      <c r="G483">
        <v>2</v>
      </c>
      <c r="H483" s="3">
        <v>7</v>
      </c>
      <c r="I483" s="3">
        <v>8.82</v>
      </c>
      <c r="J483" s="3">
        <v>0.11</v>
      </c>
      <c r="K483" s="14">
        <v>1.52</v>
      </c>
      <c r="L483" t="s">
        <v>1</v>
      </c>
    </row>
    <row r="484" spans="1:12" x14ac:dyDescent="0.25">
      <c r="A484" s="7">
        <v>46150.5</v>
      </c>
      <c r="B484" t="s">
        <v>12</v>
      </c>
      <c r="C484" t="s">
        <v>721</v>
      </c>
      <c r="D484" t="s">
        <v>188</v>
      </c>
      <c r="E484" t="s">
        <v>3810</v>
      </c>
      <c r="F484" t="s">
        <v>63</v>
      </c>
      <c r="G484">
        <v>1</v>
      </c>
      <c r="H484" s="3">
        <v>3.5</v>
      </c>
      <c r="I484" s="3">
        <v>4.83</v>
      </c>
      <c r="J484" s="3">
        <v>-0.31</v>
      </c>
      <c r="K484" s="14">
        <v>-8.73</v>
      </c>
      <c r="L484" t="s">
        <v>1</v>
      </c>
    </row>
    <row r="485" spans="1:12" x14ac:dyDescent="0.25">
      <c r="A485" s="7">
        <v>46150.5</v>
      </c>
      <c r="B485" t="s">
        <v>14</v>
      </c>
      <c r="C485" t="s">
        <v>2301</v>
      </c>
      <c r="D485" t="s">
        <v>184</v>
      </c>
      <c r="E485" t="s">
        <v>3814</v>
      </c>
      <c r="F485" t="s">
        <v>101</v>
      </c>
      <c r="G485">
        <v>4</v>
      </c>
      <c r="H485" s="3">
        <v>4.8</v>
      </c>
      <c r="I485" s="3">
        <v>6.91</v>
      </c>
      <c r="J485" s="3">
        <v>-0.27</v>
      </c>
      <c r="K485" s="14">
        <v>-3.85</v>
      </c>
      <c r="L485" t="s">
        <v>1</v>
      </c>
    </row>
    <row r="486" spans="1:12" x14ac:dyDescent="0.25">
      <c r="A486" s="7">
        <v>46150.5</v>
      </c>
      <c r="B486" t="s">
        <v>15</v>
      </c>
      <c r="C486" t="s">
        <v>3036</v>
      </c>
      <c r="D486" t="s">
        <v>188</v>
      </c>
      <c r="E486" t="s">
        <v>3810</v>
      </c>
      <c r="F486" t="s">
        <v>63</v>
      </c>
      <c r="G486">
        <v>1</v>
      </c>
      <c r="H486" s="3">
        <v>3.5</v>
      </c>
      <c r="I486" s="3">
        <v>4.52</v>
      </c>
      <c r="J486" s="3">
        <v>-0.53</v>
      </c>
      <c r="K486" s="14">
        <v>-15.13</v>
      </c>
      <c r="L486" t="s">
        <v>1</v>
      </c>
    </row>
    <row r="487" spans="1:12" x14ac:dyDescent="0.25">
      <c r="A487" s="7">
        <v>46150.5</v>
      </c>
      <c r="B487" t="s">
        <v>15</v>
      </c>
      <c r="C487" t="s">
        <v>3037</v>
      </c>
      <c r="D487" t="s">
        <v>176</v>
      </c>
      <c r="E487" t="s">
        <v>3812</v>
      </c>
      <c r="F487" t="s">
        <v>77</v>
      </c>
      <c r="G487">
        <v>1</v>
      </c>
      <c r="H487" s="3">
        <v>0.15</v>
      </c>
      <c r="I487" s="3">
        <v>0.21</v>
      </c>
      <c r="J487" s="3">
        <v>-0.97</v>
      </c>
      <c r="K487" s="14">
        <v>-645.09</v>
      </c>
      <c r="L487" t="s">
        <v>1</v>
      </c>
    </row>
    <row r="488" spans="1:12" x14ac:dyDescent="0.25">
      <c r="A488" s="7">
        <v>46149.5</v>
      </c>
      <c r="B488" t="s">
        <v>13</v>
      </c>
      <c r="C488" t="s">
        <v>1468</v>
      </c>
      <c r="D488" t="s">
        <v>184</v>
      </c>
      <c r="E488" t="s">
        <v>3814</v>
      </c>
      <c r="F488" t="s">
        <v>101</v>
      </c>
      <c r="G488">
        <v>2</v>
      </c>
      <c r="H488" s="3">
        <v>2.4</v>
      </c>
      <c r="I488" s="3">
        <v>3</v>
      </c>
      <c r="J488" s="3">
        <v>-9.82</v>
      </c>
      <c r="K488" s="14">
        <v>-409.17</v>
      </c>
      <c r="L488" t="s">
        <v>1</v>
      </c>
    </row>
    <row r="489" spans="1:12" x14ac:dyDescent="0.25">
      <c r="A489" s="7">
        <v>46149.5</v>
      </c>
      <c r="B489" t="s">
        <v>15</v>
      </c>
      <c r="C489" t="s">
        <v>3042</v>
      </c>
      <c r="D489" t="s">
        <v>253</v>
      </c>
      <c r="E489" t="s">
        <v>3815</v>
      </c>
      <c r="F489" t="s">
        <v>57</v>
      </c>
      <c r="G489">
        <v>1</v>
      </c>
      <c r="H489" s="3">
        <v>0.8</v>
      </c>
      <c r="I489" s="3">
        <v>0.92</v>
      </c>
      <c r="J489" s="3">
        <v>-0.98</v>
      </c>
      <c r="K489" s="14">
        <v>-122.16</v>
      </c>
      <c r="L489" t="s">
        <v>1</v>
      </c>
    </row>
    <row r="490" spans="1:12" x14ac:dyDescent="0.25">
      <c r="A490" s="7">
        <v>46149.5</v>
      </c>
      <c r="B490" t="s">
        <v>16</v>
      </c>
      <c r="C490" t="s">
        <v>3792</v>
      </c>
      <c r="D490" t="s">
        <v>173</v>
      </c>
      <c r="E490" t="s">
        <v>3811</v>
      </c>
      <c r="F490" t="s">
        <v>63</v>
      </c>
      <c r="G490">
        <v>4</v>
      </c>
      <c r="H490" s="3">
        <v>17</v>
      </c>
      <c r="I490" s="3">
        <v>20.4</v>
      </c>
      <c r="J490" s="3">
        <v>0.89</v>
      </c>
      <c r="K490" s="14">
        <v>5.25</v>
      </c>
      <c r="L490" t="s">
        <v>1</v>
      </c>
    </row>
    <row r="491" spans="1:12" x14ac:dyDescent="0.25">
      <c r="A491" s="7">
        <v>46149.5</v>
      </c>
      <c r="B491" t="s">
        <v>16</v>
      </c>
      <c r="C491" t="s">
        <v>3793</v>
      </c>
      <c r="D491" t="s">
        <v>181</v>
      </c>
      <c r="E491" t="s">
        <v>3813</v>
      </c>
      <c r="F491" t="s">
        <v>72</v>
      </c>
      <c r="G491">
        <v>1</v>
      </c>
      <c r="H491" s="3">
        <v>1.9</v>
      </c>
      <c r="I491" s="3">
        <v>2.72</v>
      </c>
      <c r="J491" s="3">
        <v>-0.45</v>
      </c>
      <c r="K491" s="14">
        <v>-23.51</v>
      </c>
      <c r="L491" t="s">
        <v>1</v>
      </c>
    </row>
    <row r="492" spans="1:12" x14ac:dyDescent="0.25">
      <c r="A492" s="7">
        <v>46149.5</v>
      </c>
      <c r="B492" t="s">
        <v>16</v>
      </c>
      <c r="C492" t="s">
        <v>3794</v>
      </c>
      <c r="D492" t="s">
        <v>184</v>
      </c>
      <c r="E492" t="s">
        <v>3814</v>
      </c>
      <c r="F492" t="s">
        <v>101</v>
      </c>
      <c r="G492">
        <v>3</v>
      </c>
      <c r="H492" s="3">
        <v>3.6</v>
      </c>
      <c r="I492" s="3">
        <v>4.79</v>
      </c>
      <c r="J492" s="3">
        <v>-0.23</v>
      </c>
      <c r="K492" s="14">
        <v>-6.34</v>
      </c>
      <c r="L492" t="s">
        <v>1</v>
      </c>
    </row>
    <row r="493" spans="1:12" x14ac:dyDescent="0.25">
      <c r="A493" s="7">
        <v>46148.5</v>
      </c>
      <c r="B493" t="s">
        <v>12</v>
      </c>
      <c r="C493" t="s">
        <v>726</v>
      </c>
      <c r="D493" t="s">
        <v>188</v>
      </c>
      <c r="E493" t="s">
        <v>3810</v>
      </c>
      <c r="F493" t="s">
        <v>63</v>
      </c>
      <c r="G493">
        <v>4</v>
      </c>
      <c r="H493" s="3">
        <v>14</v>
      </c>
      <c r="I493" s="3">
        <v>20.02</v>
      </c>
      <c r="J493" s="3">
        <v>2.3</v>
      </c>
      <c r="K493" s="14">
        <v>16.44</v>
      </c>
      <c r="L493" t="s">
        <v>1</v>
      </c>
    </row>
    <row r="494" spans="1:12" x14ac:dyDescent="0.25">
      <c r="A494" s="7">
        <v>46148.5</v>
      </c>
      <c r="B494" t="s">
        <v>13</v>
      </c>
      <c r="C494" t="s">
        <v>1469</v>
      </c>
      <c r="D494" t="s">
        <v>184</v>
      </c>
      <c r="E494" t="s">
        <v>3814</v>
      </c>
      <c r="F494" t="s">
        <v>101</v>
      </c>
      <c r="G494">
        <v>1</v>
      </c>
      <c r="H494" s="3">
        <v>1.2</v>
      </c>
      <c r="I494" s="3">
        <v>1.73</v>
      </c>
      <c r="J494" s="3">
        <v>-9.74</v>
      </c>
      <c r="K494" s="14">
        <v>-811.55</v>
      </c>
      <c r="L494" t="s">
        <v>1</v>
      </c>
    </row>
    <row r="495" spans="1:12" x14ac:dyDescent="0.25">
      <c r="A495" s="7">
        <v>46148.5</v>
      </c>
      <c r="B495" t="s">
        <v>13</v>
      </c>
      <c r="C495" t="s">
        <v>1470</v>
      </c>
      <c r="D495" t="s">
        <v>184</v>
      </c>
      <c r="E495" t="s">
        <v>3814</v>
      </c>
      <c r="F495" t="s">
        <v>101</v>
      </c>
      <c r="G495">
        <v>1</v>
      </c>
      <c r="H495" s="3">
        <v>1.2</v>
      </c>
      <c r="I495" s="3">
        <v>1.74</v>
      </c>
      <c r="J495" s="3">
        <v>-9.73</v>
      </c>
      <c r="K495" s="14">
        <v>-810.95</v>
      </c>
      <c r="L495" t="s">
        <v>1</v>
      </c>
    </row>
    <row r="496" spans="1:12" x14ac:dyDescent="0.25">
      <c r="A496" s="7">
        <v>46148.5</v>
      </c>
      <c r="B496" t="s">
        <v>13</v>
      </c>
      <c r="C496" t="s">
        <v>1471</v>
      </c>
      <c r="D496" t="s">
        <v>184</v>
      </c>
      <c r="E496" t="s">
        <v>3814</v>
      </c>
      <c r="F496" t="s">
        <v>101</v>
      </c>
      <c r="G496">
        <v>1</v>
      </c>
      <c r="H496" s="3">
        <v>1.2</v>
      </c>
      <c r="I496" s="3">
        <v>1.48</v>
      </c>
      <c r="J496" s="3">
        <v>-9.92</v>
      </c>
      <c r="K496" s="14">
        <v>-826.62</v>
      </c>
      <c r="L496" t="s">
        <v>1</v>
      </c>
    </row>
    <row r="497" spans="1:12" x14ac:dyDescent="0.25">
      <c r="A497" s="7">
        <v>46148.5</v>
      </c>
      <c r="B497" t="s">
        <v>15</v>
      </c>
      <c r="C497" t="s">
        <v>3048</v>
      </c>
      <c r="D497" t="s">
        <v>176</v>
      </c>
      <c r="E497" t="s">
        <v>3812</v>
      </c>
      <c r="F497" t="s">
        <v>77</v>
      </c>
      <c r="G497">
        <v>1</v>
      </c>
      <c r="H497" s="3">
        <v>0.15</v>
      </c>
      <c r="I497" s="3">
        <v>0.21</v>
      </c>
      <c r="J497" s="3">
        <v>-0.97</v>
      </c>
      <c r="K497" s="14">
        <v>-645.09</v>
      </c>
      <c r="L497" t="s">
        <v>1</v>
      </c>
    </row>
    <row r="498" spans="1:12" x14ac:dyDescent="0.25">
      <c r="A498" s="7">
        <v>46148.5</v>
      </c>
      <c r="B498" t="s">
        <v>15</v>
      </c>
      <c r="C498" t="s">
        <v>3047</v>
      </c>
      <c r="D498" t="s">
        <v>181</v>
      </c>
      <c r="E498" t="s">
        <v>3813</v>
      </c>
      <c r="F498" t="s">
        <v>72</v>
      </c>
      <c r="G498">
        <v>1</v>
      </c>
      <c r="H498" s="3">
        <v>1.9</v>
      </c>
      <c r="I498" s="3">
        <v>2.39</v>
      </c>
      <c r="J498" s="3">
        <v>-0.79</v>
      </c>
      <c r="K498" s="14">
        <v>-41.71</v>
      </c>
      <c r="L498" t="s">
        <v>1</v>
      </c>
    </row>
    <row r="499" spans="1:12" x14ac:dyDescent="0.25">
      <c r="A499" s="7">
        <v>46148.5</v>
      </c>
      <c r="B499" t="s">
        <v>16</v>
      </c>
      <c r="C499" t="s">
        <v>3797</v>
      </c>
      <c r="D499" t="s">
        <v>181</v>
      </c>
      <c r="E499" t="s">
        <v>3813</v>
      </c>
      <c r="F499" t="s">
        <v>72</v>
      </c>
      <c r="G499">
        <v>3</v>
      </c>
      <c r="H499" s="3">
        <v>5.7</v>
      </c>
      <c r="I499" s="3">
        <v>7.52</v>
      </c>
      <c r="J499" s="3">
        <v>0.17</v>
      </c>
      <c r="K499" s="14">
        <v>2.92</v>
      </c>
      <c r="L499" t="s">
        <v>1</v>
      </c>
    </row>
    <row r="500" spans="1:12" x14ac:dyDescent="0.25">
      <c r="A500" s="7">
        <v>46147.5</v>
      </c>
      <c r="B500" t="s">
        <v>13</v>
      </c>
      <c r="C500" t="s">
        <v>1472</v>
      </c>
      <c r="D500" t="s">
        <v>188</v>
      </c>
      <c r="E500" t="s">
        <v>3810</v>
      </c>
      <c r="F500" t="s">
        <v>63</v>
      </c>
      <c r="G500">
        <v>3</v>
      </c>
      <c r="H500" s="3">
        <v>10.5</v>
      </c>
      <c r="I500" s="3">
        <v>12.91</v>
      </c>
      <c r="J500" s="3">
        <v>-9.4</v>
      </c>
      <c r="K500" s="14">
        <v>-89.54</v>
      </c>
      <c r="L500" t="s">
        <v>1</v>
      </c>
    </row>
    <row r="501" spans="1:12" x14ac:dyDescent="0.25">
      <c r="A501" s="7">
        <v>46147.5</v>
      </c>
      <c r="B501" t="s">
        <v>14</v>
      </c>
      <c r="C501" t="s">
        <v>2314</v>
      </c>
      <c r="D501" t="s">
        <v>176</v>
      </c>
      <c r="E501" t="s">
        <v>3812</v>
      </c>
      <c r="F501" t="s">
        <v>77</v>
      </c>
      <c r="G501">
        <v>1</v>
      </c>
      <c r="H501" s="3">
        <v>0.15</v>
      </c>
      <c r="I501" s="3">
        <v>0.21</v>
      </c>
      <c r="J501" s="3">
        <v>-1.45</v>
      </c>
      <c r="K501" s="14">
        <v>-688.83</v>
      </c>
      <c r="L501" t="s">
        <v>1</v>
      </c>
    </row>
    <row r="502" spans="1:12" x14ac:dyDescent="0.25">
      <c r="A502" s="7">
        <v>46147.5</v>
      </c>
      <c r="B502" t="s">
        <v>14</v>
      </c>
      <c r="C502" t="s">
        <v>2315</v>
      </c>
      <c r="D502" t="s">
        <v>184</v>
      </c>
      <c r="E502" t="s">
        <v>3814</v>
      </c>
      <c r="F502" t="s">
        <v>101</v>
      </c>
      <c r="G502">
        <v>4</v>
      </c>
      <c r="H502" s="3">
        <v>4.8</v>
      </c>
      <c r="I502" s="3">
        <v>6.91</v>
      </c>
      <c r="J502" s="3">
        <v>-0.27</v>
      </c>
      <c r="K502" s="14">
        <v>-3.85</v>
      </c>
      <c r="L502" t="s">
        <v>1</v>
      </c>
    </row>
    <row r="503" spans="1:12" x14ac:dyDescent="0.25">
      <c r="A503" s="7">
        <v>46147.5</v>
      </c>
      <c r="B503" t="s">
        <v>15</v>
      </c>
      <c r="C503" t="s">
        <v>3051</v>
      </c>
      <c r="D503" t="s">
        <v>188</v>
      </c>
      <c r="E503" t="s">
        <v>3810</v>
      </c>
      <c r="F503" t="s">
        <v>63</v>
      </c>
      <c r="G503">
        <v>1</v>
      </c>
      <c r="H503" s="3">
        <v>3.5</v>
      </c>
      <c r="I503" s="3">
        <v>4.06</v>
      </c>
      <c r="J503" s="3">
        <v>-0.87</v>
      </c>
      <c r="K503" s="14">
        <v>-24.98</v>
      </c>
      <c r="L503" t="s">
        <v>1</v>
      </c>
    </row>
    <row r="504" spans="1:12" x14ac:dyDescent="0.25">
      <c r="A504" s="7">
        <v>46146.5</v>
      </c>
      <c r="B504" t="s">
        <v>12</v>
      </c>
      <c r="C504" t="s">
        <v>733</v>
      </c>
      <c r="D504" t="s">
        <v>181</v>
      </c>
      <c r="E504" t="s">
        <v>3813</v>
      </c>
      <c r="F504" t="s">
        <v>72</v>
      </c>
      <c r="G504">
        <v>2</v>
      </c>
      <c r="H504" s="3">
        <v>3.8</v>
      </c>
      <c r="I504" s="3">
        <v>5.09</v>
      </c>
      <c r="J504" s="3">
        <v>-0.36</v>
      </c>
      <c r="K504" s="14">
        <v>-9.5</v>
      </c>
      <c r="L504" t="s">
        <v>1</v>
      </c>
    </row>
    <row r="505" spans="1:12" x14ac:dyDescent="0.25">
      <c r="A505" s="7">
        <v>46146.5</v>
      </c>
      <c r="B505" t="s">
        <v>14</v>
      </c>
      <c r="C505" t="s">
        <v>2317</v>
      </c>
      <c r="D505" t="s">
        <v>176</v>
      </c>
      <c r="E505" t="s">
        <v>3812</v>
      </c>
      <c r="F505" t="s">
        <v>77</v>
      </c>
      <c r="G505">
        <v>3</v>
      </c>
      <c r="H505" s="3">
        <v>0.45</v>
      </c>
      <c r="I505" s="3">
        <v>0.53</v>
      </c>
      <c r="J505" s="3">
        <v>-1.46</v>
      </c>
      <c r="K505" s="14">
        <v>-274.54</v>
      </c>
      <c r="L505" t="s">
        <v>1</v>
      </c>
    </row>
    <row r="506" spans="1:12" x14ac:dyDescent="0.25">
      <c r="A506" s="7">
        <v>46146.5</v>
      </c>
      <c r="B506" t="s">
        <v>15</v>
      </c>
      <c r="C506" t="s">
        <v>3053</v>
      </c>
      <c r="D506" t="s">
        <v>181</v>
      </c>
      <c r="E506" t="s">
        <v>3813</v>
      </c>
      <c r="F506" t="s">
        <v>72</v>
      </c>
      <c r="G506">
        <v>1</v>
      </c>
      <c r="H506" s="3">
        <v>1.9</v>
      </c>
      <c r="I506" s="3">
        <v>2.32</v>
      </c>
      <c r="J506" s="3">
        <v>-0.84</v>
      </c>
      <c r="K506" s="14">
        <v>-44.47</v>
      </c>
      <c r="L506" t="s">
        <v>1</v>
      </c>
    </row>
    <row r="507" spans="1:12" x14ac:dyDescent="0.25">
      <c r="A507" s="7">
        <v>46146.5</v>
      </c>
      <c r="B507" t="s">
        <v>16</v>
      </c>
      <c r="C507" t="s">
        <v>3798</v>
      </c>
      <c r="D507" t="s">
        <v>253</v>
      </c>
      <c r="E507" t="s">
        <v>3815</v>
      </c>
      <c r="F507" t="s">
        <v>57</v>
      </c>
      <c r="G507">
        <v>1</v>
      </c>
      <c r="H507" s="3">
        <v>0.8</v>
      </c>
      <c r="I507" s="3">
        <v>1.02</v>
      </c>
      <c r="J507" s="3">
        <v>-0.87</v>
      </c>
      <c r="K507" s="14">
        <v>-108.33</v>
      </c>
      <c r="L507" t="s">
        <v>1</v>
      </c>
    </row>
    <row r="508" spans="1:12" x14ac:dyDescent="0.25">
      <c r="A508" s="7">
        <v>46146.5</v>
      </c>
      <c r="B508" t="s">
        <v>16</v>
      </c>
      <c r="C508" t="s">
        <v>3799</v>
      </c>
      <c r="D508" t="s">
        <v>184</v>
      </c>
      <c r="E508" t="s">
        <v>3814</v>
      </c>
      <c r="F508" t="s">
        <v>101</v>
      </c>
      <c r="G508">
        <v>3</v>
      </c>
      <c r="H508" s="3">
        <v>3.6</v>
      </c>
      <c r="I508" s="3">
        <v>4.97</v>
      </c>
      <c r="J508" s="3">
        <v>-0.09</v>
      </c>
      <c r="K508" s="14">
        <v>-2.45</v>
      </c>
      <c r="L508" t="s">
        <v>1</v>
      </c>
    </row>
    <row r="509" spans="1:12" x14ac:dyDescent="0.25">
      <c r="A509" s="7">
        <v>46145.5</v>
      </c>
      <c r="B509" t="s">
        <v>12</v>
      </c>
      <c r="C509" t="s">
        <v>734</v>
      </c>
      <c r="D509" t="s">
        <v>188</v>
      </c>
      <c r="E509" t="s">
        <v>3810</v>
      </c>
      <c r="F509" t="s">
        <v>63</v>
      </c>
      <c r="G509">
        <v>2</v>
      </c>
      <c r="H509" s="3">
        <v>7</v>
      </c>
      <c r="I509" s="3">
        <v>9.59</v>
      </c>
      <c r="J509" s="3">
        <v>0.34</v>
      </c>
      <c r="K509" s="14">
        <v>4.81</v>
      </c>
      <c r="L509" t="s">
        <v>1</v>
      </c>
    </row>
    <row r="510" spans="1:12" x14ac:dyDescent="0.25">
      <c r="A510" s="7">
        <v>46145.5</v>
      </c>
      <c r="B510" t="s">
        <v>12</v>
      </c>
      <c r="C510" t="s">
        <v>735</v>
      </c>
      <c r="D510" t="s">
        <v>181</v>
      </c>
      <c r="E510" t="s">
        <v>3813</v>
      </c>
      <c r="F510" t="s">
        <v>72</v>
      </c>
      <c r="G510">
        <v>4</v>
      </c>
      <c r="H510" s="3">
        <v>7.6</v>
      </c>
      <c r="I510" s="3">
        <v>8.82</v>
      </c>
      <c r="J510" s="3">
        <v>-0.74</v>
      </c>
      <c r="K510" s="14">
        <v>-9.72</v>
      </c>
      <c r="L510" t="s">
        <v>1</v>
      </c>
    </row>
    <row r="511" spans="1:12" x14ac:dyDescent="0.25">
      <c r="A511" s="7">
        <v>46145.5</v>
      </c>
      <c r="B511" t="s">
        <v>13</v>
      </c>
      <c r="C511" t="s">
        <v>1477</v>
      </c>
      <c r="D511" t="s">
        <v>176</v>
      </c>
      <c r="E511" t="s">
        <v>3812</v>
      </c>
      <c r="F511" t="s">
        <v>77</v>
      </c>
      <c r="G511">
        <v>1</v>
      </c>
      <c r="H511" s="3">
        <v>0.15</v>
      </c>
      <c r="I511" s="3">
        <v>0.2</v>
      </c>
      <c r="J511" s="3">
        <v>-9.97</v>
      </c>
      <c r="K511" s="14">
        <v>-6646.89</v>
      </c>
      <c r="L511" t="s">
        <v>1</v>
      </c>
    </row>
    <row r="512" spans="1:12" x14ac:dyDescent="0.25">
      <c r="A512" s="7">
        <v>46145.5</v>
      </c>
      <c r="B512" t="s">
        <v>13</v>
      </c>
      <c r="C512" t="s">
        <v>1478</v>
      </c>
      <c r="D512" t="s">
        <v>176</v>
      </c>
      <c r="E512" t="s">
        <v>3812</v>
      </c>
      <c r="F512" t="s">
        <v>77</v>
      </c>
      <c r="G512">
        <v>4</v>
      </c>
      <c r="H512" s="3">
        <v>0.6</v>
      </c>
      <c r="I512" s="3">
        <v>0.76</v>
      </c>
      <c r="J512" s="3">
        <v>-9.94</v>
      </c>
      <c r="K512" s="14">
        <v>-1656.71</v>
      </c>
      <c r="L512" t="s">
        <v>1</v>
      </c>
    </row>
    <row r="513" spans="1:12" x14ac:dyDescent="0.25">
      <c r="A513" s="7">
        <v>46145.5</v>
      </c>
      <c r="B513" t="s">
        <v>14</v>
      </c>
      <c r="C513" t="s">
        <v>2320</v>
      </c>
      <c r="D513" t="s">
        <v>181</v>
      </c>
      <c r="E513" t="s">
        <v>3813</v>
      </c>
      <c r="F513" t="s">
        <v>72</v>
      </c>
      <c r="G513">
        <v>3</v>
      </c>
      <c r="H513" s="3">
        <v>5.7</v>
      </c>
      <c r="I513" s="3">
        <v>6.73</v>
      </c>
      <c r="J513" s="3">
        <v>-1.15</v>
      </c>
      <c r="K513" s="14">
        <v>-17.11</v>
      </c>
      <c r="L513" t="s">
        <v>1</v>
      </c>
    </row>
    <row r="514" spans="1:12" x14ac:dyDescent="0.25">
      <c r="A514" s="7">
        <v>46144.5</v>
      </c>
      <c r="B514" t="s">
        <v>13</v>
      </c>
      <c r="C514" t="s">
        <v>1481</v>
      </c>
      <c r="D514" t="s">
        <v>173</v>
      </c>
      <c r="E514" t="s">
        <v>3811</v>
      </c>
      <c r="F514" t="s">
        <v>63</v>
      </c>
      <c r="G514">
        <v>2</v>
      </c>
      <c r="H514" s="3">
        <v>8.5</v>
      </c>
      <c r="I514" s="3">
        <v>9.77</v>
      </c>
      <c r="J514" s="3">
        <v>-10.01</v>
      </c>
      <c r="K514" s="14">
        <v>-117.72</v>
      </c>
      <c r="L514" t="s">
        <v>1</v>
      </c>
    </row>
    <row r="515" spans="1:12" x14ac:dyDescent="0.25">
      <c r="A515" s="7">
        <v>46144.5</v>
      </c>
      <c r="B515" t="s">
        <v>13</v>
      </c>
      <c r="C515" t="s">
        <v>1482</v>
      </c>
      <c r="D515" t="s">
        <v>181</v>
      </c>
      <c r="E515" t="s">
        <v>3813</v>
      </c>
      <c r="F515" t="s">
        <v>72</v>
      </c>
      <c r="G515">
        <v>2</v>
      </c>
      <c r="H515" s="3">
        <v>3.8</v>
      </c>
      <c r="I515" s="3">
        <v>4.98</v>
      </c>
      <c r="J515" s="3">
        <v>-9.55</v>
      </c>
      <c r="K515" s="14">
        <v>-251.43</v>
      </c>
      <c r="L515" t="s">
        <v>1</v>
      </c>
    </row>
    <row r="516" spans="1:12" x14ac:dyDescent="0.25">
      <c r="A516" s="7">
        <v>46144.5</v>
      </c>
      <c r="B516" t="s">
        <v>14</v>
      </c>
      <c r="C516" t="s">
        <v>2321</v>
      </c>
      <c r="D516" t="s">
        <v>173</v>
      </c>
      <c r="E516" t="s">
        <v>3811</v>
      </c>
      <c r="F516" t="s">
        <v>63</v>
      </c>
      <c r="G516">
        <v>2</v>
      </c>
      <c r="H516" s="3">
        <v>8.5</v>
      </c>
      <c r="I516" s="3">
        <v>10.46</v>
      </c>
      <c r="J516" s="3">
        <v>-0.67</v>
      </c>
      <c r="K516" s="14">
        <v>-6.41</v>
      </c>
      <c r="L516" t="s">
        <v>1</v>
      </c>
    </row>
    <row r="517" spans="1:12" x14ac:dyDescent="0.25">
      <c r="A517" s="7">
        <v>46144.5</v>
      </c>
      <c r="B517" t="s">
        <v>14</v>
      </c>
      <c r="C517" t="s">
        <v>2322</v>
      </c>
      <c r="D517" t="s">
        <v>176</v>
      </c>
      <c r="E517" t="s">
        <v>3812</v>
      </c>
      <c r="F517" t="s">
        <v>77</v>
      </c>
      <c r="G517">
        <v>2</v>
      </c>
      <c r="H517" s="3">
        <v>0.3</v>
      </c>
      <c r="I517" s="3">
        <v>0.43</v>
      </c>
      <c r="J517" s="3">
        <v>-1.41</v>
      </c>
      <c r="K517" s="14">
        <v>-326.87</v>
      </c>
      <c r="L517" t="s">
        <v>1</v>
      </c>
    </row>
    <row r="518" spans="1:12" x14ac:dyDescent="0.25">
      <c r="A518" s="7">
        <v>46144.5</v>
      </c>
      <c r="B518" t="s">
        <v>15</v>
      </c>
      <c r="C518" t="s">
        <v>3054</v>
      </c>
      <c r="D518" t="s">
        <v>176</v>
      </c>
      <c r="E518" t="s">
        <v>3812</v>
      </c>
      <c r="F518" t="s">
        <v>77</v>
      </c>
      <c r="G518">
        <v>1</v>
      </c>
      <c r="H518" s="3">
        <v>0.15</v>
      </c>
      <c r="I518" s="3">
        <v>0.2</v>
      </c>
      <c r="J518" s="3">
        <v>-0.98</v>
      </c>
      <c r="K518" s="14">
        <v>-650.09</v>
      </c>
      <c r="L518" t="s">
        <v>1</v>
      </c>
    </row>
    <row r="519" spans="1:12" x14ac:dyDescent="0.25">
      <c r="A519" s="7">
        <v>46144.5</v>
      </c>
      <c r="B519" t="s">
        <v>16</v>
      </c>
      <c r="C519" t="s">
        <v>3804</v>
      </c>
      <c r="D519" t="s">
        <v>173</v>
      </c>
      <c r="E519" t="s">
        <v>3811</v>
      </c>
      <c r="F519" t="s">
        <v>63</v>
      </c>
      <c r="G519">
        <v>2</v>
      </c>
      <c r="H519" s="3">
        <v>8.5</v>
      </c>
      <c r="I519" s="3">
        <v>12.32</v>
      </c>
      <c r="J519" s="3">
        <v>1.61</v>
      </c>
      <c r="K519" s="14">
        <v>18.98</v>
      </c>
      <c r="L519" t="s">
        <v>1</v>
      </c>
    </row>
    <row r="520" spans="1:12" x14ac:dyDescent="0.25">
      <c r="A520" s="7">
        <v>46144.5</v>
      </c>
      <c r="B520" t="s">
        <v>16</v>
      </c>
      <c r="C520" t="s">
        <v>3805</v>
      </c>
      <c r="D520" t="s">
        <v>253</v>
      </c>
      <c r="E520" t="s">
        <v>3815</v>
      </c>
      <c r="F520" t="s">
        <v>57</v>
      </c>
      <c r="G520">
        <v>1</v>
      </c>
      <c r="H520" s="3">
        <v>0.8</v>
      </c>
      <c r="I520" s="3">
        <v>0.94</v>
      </c>
      <c r="J520" s="3">
        <v>-0.92</v>
      </c>
      <c r="K520" s="14">
        <v>-115.42</v>
      </c>
      <c r="L520" t="s">
        <v>1</v>
      </c>
    </row>
    <row r="521" spans="1:12" x14ac:dyDescent="0.25">
      <c r="A521" s="7">
        <v>46144.5</v>
      </c>
      <c r="B521" t="s">
        <v>16</v>
      </c>
      <c r="C521" t="s">
        <v>3806</v>
      </c>
      <c r="D521" t="s">
        <v>253</v>
      </c>
      <c r="E521" t="s">
        <v>3815</v>
      </c>
      <c r="F521" t="s">
        <v>57</v>
      </c>
      <c r="G521">
        <v>3</v>
      </c>
      <c r="H521" s="3">
        <v>2.4</v>
      </c>
      <c r="I521" s="3">
        <v>3.36</v>
      </c>
      <c r="J521" s="3">
        <v>-0.35</v>
      </c>
      <c r="K521" s="14">
        <v>-14.58</v>
      </c>
      <c r="L521" t="s">
        <v>1</v>
      </c>
    </row>
    <row r="522" spans="1:12" x14ac:dyDescent="0.25">
      <c r="A522" s="7">
        <v>46143.5</v>
      </c>
      <c r="B522" t="s">
        <v>12</v>
      </c>
      <c r="C522" t="s">
        <v>738</v>
      </c>
      <c r="D522" t="s">
        <v>173</v>
      </c>
      <c r="E522" t="s">
        <v>3811</v>
      </c>
      <c r="F522" t="s">
        <v>63</v>
      </c>
      <c r="G522">
        <v>4</v>
      </c>
      <c r="H522" s="3">
        <v>17</v>
      </c>
      <c r="I522" s="3">
        <v>24.65</v>
      </c>
      <c r="J522" s="3">
        <v>3.26</v>
      </c>
      <c r="K522" s="14">
        <v>19.19</v>
      </c>
      <c r="L522" t="s">
        <v>1</v>
      </c>
    </row>
    <row r="523" spans="1:12" x14ac:dyDescent="0.25">
      <c r="A523" s="7">
        <v>46143.5</v>
      </c>
      <c r="B523" t="s">
        <v>12</v>
      </c>
      <c r="C523" t="s">
        <v>739</v>
      </c>
      <c r="D523" t="s">
        <v>181</v>
      </c>
      <c r="E523" t="s">
        <v>3813</v>
      </c>
      <c r="F523" t="s">
        <v>72</v>
      </c>
      <c r="G523">
        <v>3</v>
      </c>
      <c r="H523" s="3">
        <v>5.7</v>
      </c>
      <c r="I523" s="3">
        <v>7.52</v>
      </c>
      <c r="J523" s="3">
        <v>-0.13</v>
      </c>
      <c r="K523" s="14">
        <v>-2.24</v>
      </c>
      <c r="L523" t="s">
        <v>1</v>
      </c>
    </row>
    <row r="524" spans="1:12" x14ac:dyDescent="0.25">
      <c r="A524" s="7">
        <v>46143.5</v>
      </c>
      <c r="B524" t="s">
        <v>13</v>
      </c>
      <c r="C524" t="s">
        <v>1485</v>
      </c>
      <c r="D524" t="s">
        <v>253</v>
      </c>
      <c r="E524" t="s">
        <v>3815</v>
      </c>
      <c r="F524" t="s">
        <v>57</v>
      </c>
      <c r="G524">
        <v>1</v>
      </c>
      <c r="H524" s="3">
        <v>0.8</v>
      </c>
      <c r="I524" s="3">
        <v>1.03</v>
      </c>
      <c r="J524" s="3">
        <v>-9.91</v>
      </c>
      <c r="K524" s="14">
        <v>-1238.96</v>
      </c>
      <c r="L524" t="s">
        <v>1</v>
      </c>
    </row>
    <row r="525" spans="1:12" x14ac:dyDescent="0.25">
      <c r="A525" s="7">
        <v>46143.5</v>
      </c>
      <c r="B525" t="s">
        <v>15</v>
      </c>
      <c r="C525" t="s">
        <v>3055</v>
      </c>
      <c r="D525" t="s">
        <v>188</v>
      </c>
      <c r="E525" t="s">
        <v>3810</v>
      </c>
      <c r="F525" t="s">
        <v>63</v>
      </c>
      <c r="G525">
        <v>1</v>
      </c>
      <c r="H525" s="3">
        <v>3.5</v>
      </c>
      <c r="I525" s="3">
        <v>4.17</v>
      </c>
      <c r="J525" s="3">
        <v>-0.79</v>
      </c>
      <c r="K525" s="14">
        <v>-22.63</v>
      </c>
      <c r="L525" t="s">
        <v>1</v>
      </c>
    </row>
    <row r="526" spans="1:12" x14ac:dyDescent="0.25">
      <c r="A526" s="7">
        <v>46142.5</v>
      </c>
      <c r="B526" t="s">
        <v>13</v>
      </c>
      <c r="C526" t="s">
        <v>1486</v>
      </c>
      <c r="D526" t="s">
        <v>253</v>
      </c>
      <c r="E526" t="s">
        <v>3815</v>
      </c>
      <c r="F526" t="s">
        <v>57</v>
      </c>
      <c r="G526">
        <v>4</v>
      </c>
      <c r="H526" s="3">
        <v>3.2</v>
      </c>
      <c r="I526" s="3">
        <v>3.97</v>
      </c>
      <c r="J526" s="3">
        <v>-9.79</v>
      </c>
      <c r="K526" s="14">
        <v>-305.78</v>
      </c>
      <c r="L526" t="s">
        <v>1</v>
      </c>
    </row>
    <row r="527" spans="1:12" x14ac:dyDescent="0.25">
      <c r="A527" s="7">
        <v>46142.5</v>
      </c>
      <c r="B527" t="s">
        <v>14</v>
      </c>
      <c r="C527" t="s">
        <v>2324</v>
      </c>
      <c r="D527" t="s">
        <v>176</v>
      </c>
      <c r="E527" t="s">
        <v>3812</v>
      </c>
      <c r="F527" t="s">
        <v>77</v>
      </c>
      <c r="G527">
        <v>2</v>
      </c>
      <c r="H527" s="3">
        <v>0.3</v>
      </c>
      <c r="I527" s="3">
        <v>0.42</v>
      </c>
      <c r="J527" s="3">
        <v>-1.41</v>
      </c>
      <c r="K527" s="14">
        <v>-336.44</v>
      </c>
      <c r="L527" t="s">
        <v>1</v>
      </c>
    </row>
    <row r="528" spans="1:12" x14ac:dyDescent="0.25">
      <c r="A528" s="7">
        <v>46142.5</v>
      </c>
      <c r="B528" t="s">
        <v>14</v>
      </c>
      <c r="C528" t="s">
        <v>2325</v>
      </c>
      <c r="D528" t="s">
        <v>253</v>
      </c>
      <c r="E528" t="s">
        <v>3815</v>
      </c>
      <c r="F528" t="s">
        <v>57</v>
      </c>
      <c r="G528">
        <v>3</v>
      </c>
      <c r="H528" s="3">
        <v>2.4</v>
      </c>
      <c r="I528" s="3">
        <v>3.31</v>
      </c>
      <c r="J528" s="3">
        <v>-0.98</v>
      </c>
      <c r="K528" s="14">
        <v>-29.68</v>
      </c>
      <c r="L528" t="s">
        <v>1</v>
      </c>
    </row>
    <row r="529" spans="1:12" x14ac:dyDescent="0.25">
      <c r="A529" s="7">
        <v>46142.5</v>
      </c>
      <c r="B529" t="s">
        <v>14</v>
      </c>
      <c r="C529" t="s">
        <v>2326</v>
      </c>
      <c r="D529" t="s">
        <v>181</v>
      </c>
      <c r="E529" t="s">
        <v>3813</v>
      </c>
      <c r="F529" t="s">
        <v>72</v>
      </c>
      <c r="G529">
        <v>4</v>
      </c>
      <c r="H529" s="3">
        <v>7.6</v>
      </c>
      <c r="I529" s="3">
        <v>9.8</v>
      </c>
      <c r="J529" s="3">
        <v>-0.42</v>
      </c>
      <c r="K529" s="14">
        <v>-4.27</v>
      </c>
      <c r="L529" t="s">
        <v>1</v>
      </c>
    </row>
    <row r="530" spans="1:12" x14ac:dyDescent="0.25">
      <c r="A530" s="7">
        <v>46142.5</v>
      </c>
      <c r="B530" t="s">
        <v>14</v>
      </c>
      <c r="C530" t="s">
        <v>2323</v>
      </c>
      <c r="D530" t="s">
        <v>184</v>
      </c>
      <c r="E530" t="s">
        <v>3814</v>
      </c>
      <c r="F530" t="s">
        <v>101</v>
      </c>
      <c r="G530">
        <v>3</v>
      </c>
      <c r="H530" s="3">
        <v>3.6</v>
      </c>
      <c r="I530" s="3">
        <v>4.46</v>
      </c>
      <c r="J530" s="3">
        <v>-1.11</v>
      </c>
      <c r="K530" s="14">
        <v>-24.99</v>
      </c>
      <c r="L530" t="s">
        <v>1</v>
      </c>
    </row>
    <row r="531" spans="1:12" x14ac:dyDescent="0.25">
      <c r="A531" s="7">
        <v>46142.5</v>
      </c>
      <c r="B531" t="s">
        <v>15</v>
      </c>
      <c r="C531" t="s">
        <v>3056</v>
      </c>
      <c r="D531" t="s">
        <v>188</v>
      </c>
      <c r="E531" t="s">
        <v>3810</v>
      </c>
      <c r="F531" t="s">
        <v>63</v>
      </c>
      <c r="G531">
        <v>1</v>
      </c>
      <c r="H531" s="3">
        <v>3.5</v>
      </c>
      <c r="I531" s="3">
        <v>4.17</v>
      </c>
      <c r="J531" s="3">
        <v>-0.79</v>
      </c>
      <c r="K531" s="14">
        <v>-22.63</v>
      </c>
      <c r="L531" t="s">
        <v>1</v>
      </c>
    </row>
    <row r="532" spans="1:12" x14ac:dyDescent="0.25">
      <c r="A532" s="7">
        <v>46142.5</v>
      </c>
      <c r="B532" t="s">
        <v>15</v>
      </c>
      <c r="C532" t="s">
        <v>3057</v>
      </c>
      <c r="D532" t="s">
        <v>188</v>
      </c>
      <c r="E532" t="s">
        <v>3810</v>
      </c>
      <c r="F532" t="s">
        <v>63</v>
      </c>
      <c r="G532">
        <v>1</v>
      </c>
      <c r="H532" s="3">
        <v>3.5</v>
      </c>
      <c r="I532" s="3">
        <v>4.9</v>
      </c>
      <c r="J532" s="3">
        <v>-0.24</v>
      </c>
      <c r="K532" s="14">
        <v>-7</v>
      </c>
      <c r="L532" t="s">
        <v>1</v>
      </c>
    </row>
    <row r="533" spans="1:12" x14ac:dyDescent="0.25">
      <c r="A533" s="7">
        <v>46142.5</v>
      </c>
      <c r="B533" t="s">
        <v>15</v>
      </c>
      <c r="C533" t="s">
        <v>3058</v>
      </c>
      <c r="D533" t="s">
        <v>173</v>
      </c>
      <c r="E533" t="s">
        <v>3811</v>
      </c>
      <c r="F533" t="s">
        <v>63</v>
      </c>
      <c r="G533">
        <v>1</v>
      </c>
      <c r="H533" s="3">
        <v>4.25</v>
      </c>
      <c r="I533" s="3">
        <v>5.99</v>
      </c>
      <c r="J533" s="3">
        <v>-0.05</v>
      </c>
      <c r="K533" s="14">
        <v>-1.25</v>
      </c>
      <c r="L533" t="s">
        <v>1</v>
      </c>
    </row>
    <row r="534" spans="1:12" x14ac:dyDescent="0.25">
      <c r="A534" s="7">
        <v>46142.5</v>
      </c>
      <c r="B534" t="s">
        <v>16</v>
      </c>
      <c r="C534" t="s">
        <v>3807</v>
      </c>
      <c r="D534" t="s">
        <v>173</v>
      </c>
      <c r="E534" t="s">
        <v>3811</v>
      </c>
      <c r="F534" t="s">
        <v>63</v>
      </c>
      <c r="G534">
        <v>2</v>
      </c>
      <c r="H534" s="3">
        <v>8.5</v>
      </c>
      <c r="I534" s="3">
        <v>11.48</v>
      </c>
      <c r="J534" s="3">
        <v>0.95</v>
      </c>
      <c r="K534" s="14">
        <v>11.21</v>
      </c>
      <c r="L534" t="s">
        <v>1</v>
      </c>
    </row>
    <row r="535" spans="1:12" x14ac:dyDescent="0.25">
      <c r="A535" s="7">
        <v>46142.5</v>
      </c>
      <c r="B535" t="s">
        <v>16</v>
      </c>
      <c r="C535" t="s">
        <v>3808</v>
      </c>
      <c r="D535" t="s">
        <v>253</v>
      </c>
      <c r="E535" t="s">
        <v>3815</v>
      </c>
      <c r="F535" t="s">
        <v>57</v>
      </c>
      <c r="G535">
        <v>1</v>
      </c>
      <c r="H535" s="3">
        <v>0.8</v>
      </c>
      <c r="I535" s="3">
        <v>1.16</v>
      </c>
      <c r="J535" s="3">
        <v>-0.75</v>
      </c>
      <c r="K535" s="14">
        <v>-93.75</v>
      </c>
      <c r="L535" t="s">
        <v>1</v>
      </c>
    </row>
    <row r="536" spans="1:12" s="6" customFormat="1" x14ac:dyDescent="0.25">
      <c r="A536" s="6" t="s">
        <v>17</v>
      </c>
      <c r="B536" s="6" t="s">
        <v>1</v>
      </c>
      <c r="C536" s="6" t="s">
        <v>1</v>
      </c>
      <c r="D536" s="6" t="s">
        <v>1</v>
      </c>
      <c r="E536" s="6" t="s">
        <v>1</v>
      </c>
      <c r="F536" s="6" t="s">
        <v>1</v>
      </c>
      <c r="G536" s="6">
        <f>SUM(G2:G535)</f>
      </c>
      <c r="H536" s="13">
        <f>SUM(H2:H535)</f>
      </c>
      <c r="I536" s="13">
        <f>SUM(I2:I535)</f>
      </c>
      <c r="J536" s="13">
        <f>SUM(J2:J535)</f>
      </c>
      <c r="K536" s="6" t="s">
        <v>1</v>
      </c>
      <c r="L536" s="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6" t="s">
        <v>3816</v>
      </c>
      <c r="B1" t="s">
        <v>3817</v>
      </c>
    </row>
    <row r="2" spans="1:2" x14ac:dyDescent="0.25">
      <c r="A2" s="6" t="s">
        <v>3818</v>
      </c>
      <c r="B2">
        <v>11</v>
      </c>
    </row>
    <row r="3" spans="1:2" x14ac:dyDescent="0.25">
      <c r="A3" s="6" t="s">
        <v>5</v>
      </c>
      <c r="B3">
        <v>10</v>
      </c>
    </row>
    <row r="4" spans="1:2" x14ac:dyDescent="0.25">
      <c r="A4" s="6" t="s">
        <v>6</v>
      </c>
      <c r="B4">
        <v>0</v>
      </c>
    </row>
    <row r="5" spans="1:2" x14ac:dyDescent="0.25">
      <c r="A5" s="6" t="s">
        <v>7</v>
      </c>
      <c r="B5">
        <v>1</v>
      </c>
    </row>
    <row r="6" spans="1:2" x14ac:dyDescent="0.25">
      <c r="A6" s="6" t="s">
        <v>3819</v>
      </c>
      <c r="B6" s="3">
        <v>0</v>
      </c>
    </row>
    <row r="7" spans="1:2" x14ac:dyDescent="0.25">
      <c r="A7" s="6" t="s">
        <v>3820</v>
      </c>
      <c r="B7" s="3">
        <v>0</v>
      </c>
    </row>
    <row r="9" spans="1:2" x14ac:dyDescent="0.25">
      <c r="A9" s="6" t="s">
        <v>3821</v>
      </c>
      <c r="B9" s="6" t="s">
        <v>3822</v>
      </c>
    </row>
    <row r="10" spans="1:2" x14ac:dyDescent="0.25">
      <c r="A10" s="6" t="s">
        <v>12</v>
      </c>
      <c r="B10" t="s">
        <v>3823</v>
      </c>
    </row>
    <row r="11" spans="1:2" x14ac:dyDescent="0.25">
      <c r="A11" s="6" t="s">
        <v>13</v>
      </c>
      <c r="B11" t="s">
        <v>3824</v>
      </c>
    </row>
    <row r="12" spans="1:2" x14ac:dyDescent="0.25">
      <c r="A12" s="6" t="s">
        <v>14</v>
      </c>
      <c r="B12" t="s">
        <v>3825</v>
      </c>
    </row>
    <row r="13" spans="1:2" x14ac:dyDescent="0.25">
      <c r="A13" s="6" t="s">
        <v>16</v>
      </c>
      <c r="B13" t="s">
        <v>3824</v>
      </c>
    </row>
    <row r="15" spans="1:2" x14ac:dyDescent="0.25">
      <c r="A15" s="6" t="s">
        <v>3826</v>
      </c>
      <c r="B15" t="s">
        <v>1</v>
      </c>
    </row>
    <row r="16" spans="1:2" x14ac:dyDescent="0.25">
      <c r="A16" t="s">
        <v>3827</v>
      </c>
      <c r="B16" t="s">
        <v>3828</v>
      </c>
    </row>
    <row r="17" spans="1:2" x14ac:dyDescent="0.25">
      <c r="A17" t="s">
        <v>3829</v>
      </c>
      <c r="B17" t="s">
        <v>3830</v>
      </c>
    </row>
    <row r="18" spans="1:2" x14ac:dyDescent="0.25">
      <c r="A18" t="s">
        <v>3831</v>
      </c>
      <c r="B18" t="s">
        <v>3832</v>
      </c>
    </row>
    <row r="20" spans="1:2" x14ac:dyDescent="0.25">
      <c r="A20" s="6" t="s">
        <v>3833</v>
      </c>
      <c r="B20" t="s">
        <v>1</v>
      </c>
    </row>
    <row r="21" spans="1:2" x14ac:dyDescent="0.25">
      <c r="A21" t="s">
        <v>3834</v>
      </c>
      <c r="B21" t="s">
        <v>3835</v>
      </c>
    </row>
    <row r="22" spans="1:2" x14ac:dyDescent="0.25">
      <c r="A22" t="s">
        <v>3836</v>
      </c>
      <c r="B22" s="15">
        <v>11</v>
      </c>
    </row>
    <row r="23" spans="1:2" x14ac:dyDescent="0.25">
      <c r="A23" t="s">
        <v>3837</v>
      </c>
      <c r="B23" t="s">
        <v>3838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sheetData>
    <row r="1" spans="1:16" x14ac:dyDescent="0.25">
      <c r="A1" t="s">
        <v>48</v>
      </c>
      <c r="B1" t="s">
        <v>3839</v>
      </c>
      <c r="C1" t="s">
        <v>47</v>
      </c>
      <c r="D1" t="s">
        <v>53</v>
      </c>
      <c r="E1" t="s">
        <v>54</v>
      </c>
      <c r="F1" t="s">
        <v>29</v>
      </c>
      <c r="G1" t="s">
        <v>3840</v>
      </c>
      <c r="H1" t="s">
        <v>3841</v>
      </c>
      <c r="I1" t="s">
        <v>3</v>
      </c>
      <c r="J1" t="s">
        <v>3842</v>
      </c>
      <c r="K1" t="s">
        <v>49</v>
      </c>
      <c r="L1" t="s">
        <v>3843</v>
      </c>
      <c r="M1" t="s">
        <v>46</v>
      </c>
      <c r="N1" t="s">
        <v>3844</v>
      </c>
      <c r="O1" t="s">
        <v>51</v>
      </c>
      <c r="P1" t="s">
        <v>9</v>
      </c>
    </row>
    <row r="2" spans="1:16" x14ac:dyDescent="0.25">
      <c r="A2" s="9">
        <v>46237.5</v>
      </c>
      <c r="B2" s="11" t="s">
        <v>3801</v>
      </c>
      <c r="C2" s="10" t="s">
        <v>93</v>
      </c>
      <c r="D2" s="10" t="s">
        <v>94</v>
      </c>
      <c r="E2" s="10" t="s">
        <v>87</v>
      </c>
      <c r="F2" s="10" t="s">
        <v>101</v>
      </c>
      <c r="G2" s="9">
        <v>46144.5</v>
      </c>
      <c r="H2" s="12">
        <v>107.73</v>
      </c>
      <c r="I2" s="10" t="s">
        <v>16</v>
      </c>
      <c r="J2" s="10" t="s">
        <v>3845</v>
      </c>
      <c r="K2" s="10" t="s">
        <v>3802</v>
      </c>
      <c r="L2" s="10" t="s">
        <v>3846</v>
      </c>
      <c r="M2" s="10" t="s">
        <v>3847</v>
      </c>
      <c r="N2" s="12"/>
      <c r="O2" s="10"/>
      <c r="P2" s="12"/>
    </row>
    <row r="3" spans="1:16" x14ac:dyDescent="0.25">
      <c r="A3" s="9">
        <v>46237.5</v>
      </c>
      <c r="B3" s="11" t="s">
        <v>668</v>
      </c>
      <c r="C3" s="10" t="s">
        <v>233</v>
      </c>
      <c r="D3" s="10" t="s">
        <v>65</v>
      </c>
      <c r="E3" s="10" t="s">
        <v>74</v>
      </c>
      <c r="F3" s="10" t="s">
        <v>63</v>
      </c>
      <c r="G3" s="9">
        <v>46158.5</v>
      </c>
      <c r="H3" s="12">
        <v>236.6</v>
      </c>
      <c r="I3" s="10" t="s">
        <v>12</v>
      </c>
      <c r="J3" s="10" t="s">
        <v>3845</v>
      </c>
      <c r="K3" s="10" t="s">
        <v>669</v>
      </c>
      <c r="L3" s="10" t="s">
        <v>3848</v>
      </c>
      <c r="M3" s="10" t="s">
        <v>3849</v>
      </c>
      <c r="N3" s="12"/>
      <c r="O3" s="10"/>
      <c r="P3" s="12"/>
    </row>
    <row r="4" spans="1:16" x14ac:dyDescent="0.25">
      <c r="A4" s="9">
        <v>46237.5</v>
      </c>
      <c r="B4" s="11" t="s">
        <v>680</v>
      </c>
      <c r="C4" s="10" t="s">
        <v>171</v>
      </c>
      <c r="D4" s="10" t="s">
        <v>65</v>
      </c>
      <c r="E4" s="10" t="s">
        <v>87</v>
      </c>
      <c r="F4" s="10" t="s">
        <v>63</v>
      </c>
      <c r="G4" s="9">
        <v>46157.5</v>
      </c>
      <c r="H4" s="12">
        <v>191.18</v>
      </c>
      <c r="I4" s="10" t="s">
        <v>12</v>
      </c>
      <c r="J4" s="10" t="s">
        <v>3845</v>
      </c>
      <c r="K4" s="10" t="s">
        <v>669</v>
      </c>
      <c r="L4" s="10" t="s">
        <v>3848</v>
      </c>
      <c r="M4" s="10" t="s">
        <v>3849</v>
      </c>
      <c r="N4" s="12"/>
      <c r="O4" s="10"/>
      <c r="P4" s="12"/>
    </row>
    <row r="5" spans="1:16" x14ac:dyDescent="0.25">
      <c r="A5" s="9">
        <v>46237.5</v>
      </c>
      <c r="B5" s="11" t="s">
        <v>2249</v>
      </c>
      <c r="C5" s="10" t="s">
        <v>133</v>
      </c>
      <c r="D5" s="10" t="s">
        <v>94</v>
      </c>
      <c r="E5" s="10" t="s">
        <v>98</v>
      </c>
      <c r="F5" s="10" t="s">
        <v>101</v>
      </c>
      <c r="G5" s="9">
        <v>46157.5</v>
      </c>
      <c r="H5" s="12">
        <v>152.22</v>
      </c>
      <c r="I5" s="10" t="s">
        <v>14</v>
      </c>
      <c r="J5" s="10" t="s">
        <v>3845</v>
      </c>
      <c r="K5" s="10" t="s">
        <v>669</v>
      </c>
      <c r="L5" s="10" t="s">
        <v>3848</v>
      </c>
      <c r="M5" s="10" t="s">
        <v>3849</v>
      </c>
      <c r="N5" s="12"/>
      <c r="O5" s="10"/>
      <c r="P5" s="12"/>
    </row>
    <row r="6" spans="1:16" x14ac:dyDescent="0.25">
      <c r="A6" s="9">
        <v>46237.5</v>
      </c>
      <c r="B6" s="11" t="s">
        <v>725</v>
      </c>
      <c r="C6" s="10" t="s">
        <v>83</v>
      </c>
      <c r="D6" s="10" t="s">
        <v>59</v>
      </c>
      <c r="E6" s="10" t="s">
        <v>60</v>
      </c>
      <c r="F6" s="10" t="s">
        <v>101</v>
      </c>
      <c r="G6" s="9">
        <v>46148.5</v>
      </c>
      <c r="H6" s="12">
        <v>836.55</v>
      </c>
      <c r="I6" s="10" t="s">
        <v>12</v>
      </c>
      <c r="J6" s="10" t="s">
        <v>3845</v>
      </c>
      <c r="K6" s="10" t="s">
        <v>669</v>
      </c>
      <c r="L6" s="10" t="s">
        <v>3848</v>
      </c>
      <c r="M6" s="10" t="s">
        <v>3849</v>
      </c>
      <c r="N6" s="12"/>
      <c r="O6" s="10"/>
      <c r="P6" s="12"/>
    </row>
    <row r="7" spans="1:16" x14ac:dyDescent="0.25">
      <c r="A7" s="9">
        <v>46237.5</v>
      </c>
      <c r="B7" s="11" t="s">
        <v>2191</v>
      </c>
      <c r="C7" s="10" t="s">
        <v>93</v>
      </c>
      <c r="D7" s="10" t="s">
        <v>94</v>
      </c>
      <c r="E7" s="10" t="s">
        <v>60</v>
      </c>
      <c r="F7" s="10" t="s">
        <v>101</v>
      </c>
      <c r="G7" s="9">
        <v>46162.5</v>
      </c>
      <c r="H7" s="12">
        <v>106.2</v>
      </c>
      <c r="I7" s="10" t="s">
        <v>14</v>
      </c>
      <c r="J7" s="10" t="s">
        <v>3845</v>
      </c>
      <c r="K7" s="10" t="s">
        <v>669</v>
      </c>
      <c r="L7" s="10" t="s">
        <v>3848</v>
      </c>
      <c r="M7" s="10" t="s">
        <v>3849</v>
      </c>
      <c r="N7" s="12"/>
      <c r="O7" s="10"/>
      <c r="P7" s="12"/>
    </row>
    <row r="8" spans="1:16" x14ac:dyDescent="0.25">
      <c r="A8" s="9">
        <v>46237.5</v>
      </c>
      <c r="B8" s="11" t="s">
        <v>707</v>
      </c>
      <c r="C8" s="10" t="s">
        <v>83</v>
      </c>
      <c r="D8" s="10" t="s">
        <v>59</v>
      </c>
      <c r="E8" s="10" t="s">
        <v>60</v>
      </c>
      <c r="F8" s="10" t="s">
        <v>101</v>
      </c>
      <c r="G8" s="9">
        <v>46153.5</v>
      </c>
      <c r="H8" s="12">
        <v>968.96</v>
      </c>
      <c r="I8" s="10" t="s">
        <v>12</v>
      </c>
      <c r="J8" s="10" t="s">
        <v>3845</v>
      </c>
      <c r="K8" s="10" t="s">
        <v>669</v>
      </c>
      <c r="L8" s="10" t="s">
        <v>3848</v>
      </c>
      <c r="M8" s="10" t="s">
        <v>3849</v>
      </c>
      <c r="N8" s="12"/>
      <c r="O8" s="10"/>
      <c r="P8" s="12"/>
    </row>
    <row r="9" spans="1:16" x14ac:dyDescent="0.25">
      <c r="A9" s="9">
        <v>46237.5</v>
      </c>
      <c r="B9" s="11" t="s">
        <v>2243</v>
      </c>
      <c r="C9" s="10" t="s">
        <v>58</v>
      </c>
      <c r="D9" s="10" t="s">
        <v>59</v>
      </c>
      <c r="E9" s="10" t="s">
        <v>60</v>
      </c>
      <c r="F9" s="10" t="s">
        <v>57</v>
      </c>
      <c r="G9" s="9">
        <v>46157.5</v>
      </c>
      <c r="H9" s="12">
        <v>602.48</v>
      </c>
      <c r="I9" s="10" t="s">
        <v>14</v>
      </c>
      <c r="J9" s="10" t="s">
        <v>3845</v>
      </c>
      <c r="K9" s="10" t="s">
        <v>669</v>
      </c>
      <c r="L9" s="10" t="s">
        <v>3848</v>
      </c>
      <c r="M9" s="10" t="s">
        <v>3849</v>
      </c>
      <c r="N9" s="12"/>
      <c r="O9" s="10"/>
      <c r="P9" s="12"/>
    </row>
    <row r="10" spans="1:16" x14ac:dyDescent="0.25">
      <c r="A10" s="9">
        <v>46237.5</v>
      </c>
      <c r="B10" s="11" t="s">
        <v>2292</v>
      </c>
      <c r="C10" s="10" t="s">
        <v>130</v>
      </c>
      <c r="D10" s="10" t="s">
        <v>65</v>
      </c>
      <c r="E10" s="10" t="s">
        <v>98</v>
      </c>
      <c r="F10" s="10" t="s">
        <v>101</v>
      </c>
      <c r="G10" s="9">
        <v>46150.5</v>
      </c>
      <c r="H10" s="12">
        <v>395.67</v>
      </c>
      <c r="I10" s="10" t="s">
        <v>14</v>
      </c>
      <c r="J10" s="10" t="s">
        <v>3845</v>
      </c>
      <c r="K10" s="10" t="s">
        <v>669</v>
      </c>
      <c r="L10" s="10" t="s">
        <v>3848</v>
      </c>
      <c r="M10" s="10" t="s">
        <v>3849</v>
      </c>
      <c r="N10" s="12"/>
      <c r="O10" s="10"/>
      <c r="P10" s="12"/>
    </row>
    <row r="11" spans="1:16" x14ac:dyDescent="0.25">
      <c r="A11" s="9">
        <v>46237.5</v>
      </c>
      <c r="B11" s="11" t="s">
        <v>728</v>
      </c>
      <c r="C11" s="10" t="s">
        <v>64</v>
      </c>
      <c r="D11" s="10" t="s">
        <v>65</v>
      </c>
      <c r="E11" s="10" t="s">
        <v>104</v>
      </c>
      <c r="F11" s="10" t="s">
        <v>63</v>
      </c>
      <c r="G11" s="9">
        <v>46147.5</v>
      </c>
      <c r="H11" s="12">
        <v>295.55</v>
      </c>
      <c r="I11" s="10" t="s">
        <v>12</v>
      </c>
      <c r="J11" s="10" t="s">
        <v>3845</v>
      </c>
      <c r="K11" s="10" t="s">
        <v>669</v>
      </c>
      <c r="L11" s="10" t="s">
        <v>3848</v>
      </c>
      <c r="M11" s="10" t="s">
        <v>3849</v>
      </c>
      <c r="N11" s="12"/>
      <c r="O11" s="10"/>
      <c r="P11" s="12"/>
    </row>
    <row r="12" spans="1:16" x14ac:dyDescent="0.25">
      <c r="A12" s="9">
        <v>46237.5</v>
      </c>
      <c r="B12" s="11" t="s">
        <v>1393</v>
      </c>
      <c r="C12" s="10" t="s">
        <v>73</v>
      </c>
      <c r="D12" s="10" t="s">
        <v>59</v>
      </c>
      <c r="E12" s="10" t="s">
        <v>74</v>
      </c>
      <c r="F12" s="10" t="s">
        <v>63</v>
      </c>
      <c r="G12" s="9">
        <v>46163.5</v>
      </c>
      <c r="H12" s="12">
        <v>423.34</v>
      </c>
      <c r="I12" s="10" t="s">
        <v>13</v>
      </c>
      <c r="J12" s="10" t="s">
        <v>3845</v>
      </c>
      <c r="K12" s="10" t="s">
        <v>669</v>
      </c>
      <c r="L12" s="10" t="s">
        <v>3848</v>
      </c>
      <c r="M12" s="10" t="s">
        <v>3849</v>
      </c>
      <c r="N12" s="12"/>
      <c r="O12" s="10"/>
      <c r="P12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sheetData>
    <row r="1" spans="1:7" x14ac:dyDescent="0.25">
      <c r="A1" t="s">
        <v>3839</v>
      </c>
      <c r="B1" t="s">
        <v>47</v>
      </c>
      <c r="C1" t="s">
        <v>3850</v>
      </c>
      <c r="D1" t="s">
        <v>3851</v>
      </c>
      <c r="E1" t="s">
        <v>3852</v>
      </c>
      <c r="F1" t="s">
        <v>3853</v>
      </c>
      <c r="G1" t="s">
        <v>46</v>
      </c>
    </row>
    <row r="2" spans="1:7" x14ac:dyDescent="0.25">
      <c r="A2" s="8" t="s">
        <v>3801</v>
      </c>
      <c r="B2" t="s">
        <v>93</v>
      </c>
      <c r="C2" s="7">
        <v>46142.5</v>
      </c>
      <c r="D2" t="s">
        <v>3854</v>
      </c>
      <c r="E2" t="s">
        <v>101</v>
      </c>
      <c r="F2" s="3">
        <v>81</v>
      </c>
      <c r="G2" t="s">
        <v>1</v>
      </c>
    </row>
    <row r="3" spans="1:7" x14ac:dyDescent="0.25">
      <c r="A3" s="8" t="s">
        <v>3801</v>
      </c>
      <c r="B3" t="s">
        <v>93</v>
      </c>
      <c r="C3" s="7">
        <v>46144.5</v>
      </c>
      <c r="D3" t="s">
        <v>3855</v>
      </c>
      <c r="E3" t="s">
        <v>3856</v>
      </c>
      <c r="F3" s="3">
        <v>107.73</v>
      </c>
      <c r="G3" t="s">
        <v>1</v>
      </c>
    </row>
    <row r="4" spans="1:7" x14ac:dyDescent="0.25">
      <c r="A4" s="11" t="s">
        <v>3801</v>
      </c>
      <c r="B4" s="10" t="s">
        <v>93</v>
      </c>
      <c r="C4" s="9">
        <v>46237.5</v>
      </c>
      <c r="D4" s="10" t="s">
        <v>3857</v>
      </c>
      <c r="E4" s="10" t="s">
        <v>3858</v>
      </c>
      <c r="F4" s="12"/>
      <c r="G4" s="10" t="s">
        <v>3847</v>
      </c>
    </row>
    <row r="5" spans="1:7" x14ac:dyDescent="0.25">
      <c r="A5" s="8" t="s">
        <v>668</v>
      </c>
      <c r="B5" t="s">
        <v>233</v>
      </c>
      <c r="C5" s="7">
        <v>46142.5</v>
      </c>
      <c r="D5" t="s">
        <v>3854</v>
      </c>
      <c r="E5" t="s">
        <v>63</v>
      </c>
      <c r="F5" s="3">
        <v>182</v>
      </c>
      <c r="G5" t="s">
        <v>1</v>
      </c>
    </row>
    <row r="6" spans="1:7" x14ac:dyDescent="0.25">
      <c r="A6" s="8" t="s">
        <v>668</v>
      </c>
      <c r="B6" t="s">
        <v>233</v>
      </c>
      <c r="C6" s="7">
        <v>46158.5</v>
      </c>
      <c r="D6" t="s">
        <v>3855</v>
      </c>
      <c r="E6" t="s">
        <v>3859</v>
      </c>
      <c r="F6" s="3">
        <v>236.6</v>
      </c>
      <c r="G6" t="s">
        <v>1</v>
      </c>
    </row>
    <row r="7" spans="1:7" x14ac:dyDescent="0.25">
      <c r="A7" s="11" t="s">
        <v>668</v>
      </c>
      <c r="B7" s="10" t="s">
        <v>233</v>
      </c>
      <c r="C7" s="9">
        <v>46237.5</v>
      </c>
      <c r="D7" s="10" t="s">
        <v>3857</v>
      </c>
      <c r="E7" s="10" t="s">
        <v>3860</v>
      </c>
      <c r="F7" s="12"/>
      <c r="G7" s="10" t="s">
        <v>3849</v>
      </c>
    </row>
    <row r="8" spans="1:7" x14ac:dyDescent="0.25">
      <c r="A8" s="8" t="s">
        <v>680</v>
      </c>
      <c r="B8" t="s">
        <v>171</v>
      </c>
      <c r="C8" s="7">
        <v>46142.5</v>
      </c>
      <c r="D8" t="s">
        <v>3854</v>
      </c>
      <c r="E8" t="s">
        <v>63</v>
      </c>
      <c r="F8" s="3">
        <v>158</v>
      </c>
      <c r="G8" t="s">
        <v>1</v>
      </c>
    </row>
    <row r="9" spans="1:7" x14ac:dyDescent="0.25">
      <c r="A9" s="8" t="s">
        <v>680</v>
      </c>
      <c r="B9" t="s">
        <v>171</v>
      </c>
      <c r="C9" s="7">
        <v>46157.5</v>
      </c>
      <c r="D9" t="s">
        <v>3855</v>
      </c>
      <c r="E9" t="s">
        <v>3861</v>
      </c>
      <c r="F9" s="3">
        <v>191.18</v>
      </c>
      <c r="G9" t="s">
        <v>1</v>
      </c>
    </row>
    <row r="10" spans="1:7" x14ac:dyDescent="0.25">
      <c r="A10" s="11" t="s">
        <v>680</v>
      </c>
      <c r="B10" s="10" t="s">
        <v>171</v>
      </c>
      <c r="C10" s="9">
        <v>46237.5</v>
      </c>
      <c r="D10" s="10" t="s">
        <v>3857</v>
      </c>
      <c r="E10" s="10" t="s">
        <v>3860</v>
      </c>
      <c r="F10" s="12"/>
      <c r="G10" s="10" t="s">
        <v>3849</v>
      </c>
    </row>
    <row r="11" spans="1:7" x14ac:dyDescent="0.25">
      <c r="A11" s="8" t="s">
        <v>2249</v>
      </c>
      <c r="B11" t="s">
        <v>133</v>
      </c>
      <c r="C11" s="7">
        <v>46142.5</v>
      </c>
      <c r="D11" t="s">
        <v>3854</v>
      </c>
      <c r="E11" t="s">
        <v>101</v>
      </c>
      <c r="F11" s="3">
        <v>118</v>
      </c>
      <c r="G11" t="s">
        <v>1</v>
      </c>
    </row>
    <row r="12" spans="1:7" x14ac:dyDescent="0.25">
      <c r="A12" s="8" t="s">
        <v>2249</v>
      </c>
      <c r="B12" t="s">
        <v>133</v>
      </c>
      <c r="C12" s="7">
        <v>46157.5</v>
      </c>
      <c r="D12" t="s">
        <v>3855</v>
      </c>
      <c r="E12" t="s">
        <v>3862</v>
      </c>
      <c r="F12" s="3">
        <v>152.22</v>
      </c>
      <c r="G12" t="s">
        <v>1</v>
      </c>
    </row>
    <row r="13" spans="1:7" x14ac:dyDescent="0.25">
      <c r="A13" s="11" t="s">
        <v>2249</v>
      </c>
      <c r="B13" s="10" t="s">
        <v>133</v>
      </c>
      <c r="C13" s="9">
        <v>46237.5</v>
      </c>
      <c r="D13" s="10" t="s">
        <v>3857</v>
      </c>
      <c r="E13" s="10" t="s">
        <v>3860</v>
      </c>
      <c r="F13" s="12"/>
      <c r="G13" s="10" t="s">
        <v>3849</v>
      </c>
    </row>
    <row r="14" spans="1:7" x14ac:dyDescent="0.25">
      <c r="A14" s="8" t="s">
        <v>2191</v>
      </c>
      <c r="B14" t="s">
        <v>93</v>
      </c>
      <c r="C14" s="7">
        <v>46144.5</v>
      </c>
      <c r="D14" t="s">
        <v>3854</v>
      </c>
      <c r="E14" t="s">
        <v>101</v>
      </c>
      <c r="F14" s="3">
        <v>90</v>
      </c>
      <c r="G14" t="s">
        <v>1</v>
      </c>
    </row>
    <row r="15" spans="1:7" x14ac:dyDescent="0.25">
      <c r="A15" s="8" t="s">
        <v>2191</v>
      </c>
      <c r="B15" t="s">
        <v>93</v>
      </c>
      <c r="C15" s="7">
        <v>46162.5</v>
      </c>
      <c r="D15" t="s">
        <v>3855</v>
      </c>
      <c r="E15" t="s">
        <v>3863</v>
      </c>
      <c r="F15" s="3">
        <v>106.2</v>
      </c>
      <c r="G15" t="s">
        <v>1</v>
      </c>
    </row>
    <row r="16" spans="1:7" x14ac:dyDescent="0.25">
      <c r="A16" s="11" t="s">
        <v>2191</v>
      </c>
      <c r="B16" s="10" t="s">
        <v>93</v>
      </c>
      <c r="C16" s="9">
        <v>46237.5</v>
      </c>
      <c r="D16" s="10" t="s">
        <v>3857</v>
      </c>
      <c r="E16" s="10" t="s">
        <v>3860</v>
      </c>
      <c r="F16" s="12"/>
      <c r="G16" s="10" t="s">
        <v>3849</v>
      </c>
    </row>
    <row r="17" spans="1:7" x14ac:dyDescent="0.25">
      <c r="A17" s="8" t="s">
        <v>2243</v>
      </c>
      <c r="B17" t="s">
        <v>58</v>
      </c>
      <c r="C17" s="7">
        <v>46144.5</v>
      </c>
      <c r="D17" t="s">
        <v>3854</v>
      </c>
      <c r="E17" t="s">
        <v>57</v>
      </c>
      <c r="F17" s="3">
        <v>443</v>
      </c>
      <c r="G17" t="s">
        <v>1</v>
      </c>
    </row>
    <row r="18" spans="1:7" x14ac:dyDescent="0.25">
      <c r="A18" s="8" t="s">
        <v>2243</v>
      </c>
      <c r="B18" t="s">
        <v>58</v>
      </c>
      <c r="C18" s="7">
        <v>46157.5</v>
      </c>
      <c r="D18" t="s">
        <v>3855</v>
      </c>
      <c r="E18" t="s">
        <v>3864</v>
      </c>
      <c r="F18" s="3">
        <v>602.48</v>
      </c>
      <c r="G18" t="s">
        <v>1</v>
      </c>
    </row>
    <row r="19" spans="1:7" x14ac:dyDescent="0.25">
      <c r="A19" s="11" t="s">
        <v>2243</v>
      </c>
      <c r="B19" s="10" t="s">
        <v>58</v>
      </c>
      <c r="C19" s="9">
        <v>46237.5</v>
      </c>
      <c r="D19" s="10" t="s">
        <v>3857</v>
      </c>
      <c r="E19" s="10" t="s">
        <v>3860</v>
      </c>
      <c r="F19" s="12"/>
      <c r="G19" s="10" t="s">
        <v>3849</v>
      </c>
    </row>
    <row r="20" spans="1:7" x14ac:dyDescent="0.25">
      <c r="A20" s="8" t="s">
        <v>2292</v>
      </c>
      <c r="B20" t="s">
        <v>130</v>
      </c>
      <c r="C20" s="7">
        <v>46144.5</v>
      </c>
      <c r="D20" t="s">
        <v>3854</v>
      </c>
      <c r="E20" t="s">
        <v>101</v>
      </c>
      <c r="F20" s="3">
        <v>327</v>
      </c>
      <c r="G20" t="s">
        <v>1</v>
      </c>
    </row>
    <row r="21" spans="1:7" x14ac:dyDescent="0.25">
      <c r="A21" s="8" t="s">
        <v>2292</v>
      </c>
      <c r="B21" t="s">
        <v>130</v>
      </c>
      <c r="C21" s="7">
        <v>46150.5</v>
      </c>
      <c r="D21" t="s">
        <v>3855</v>
      </c>
      <c r="E21" t="s">
        <v>3865</v>
      </c>
      <c r="F21" s="3">
        <v>395.67</v>
      </c>
      <c r="G21" t="s">
        <v>1</v>
      </c>
    </row>
    <row r="22" spans="1:7" x14ac:dyDescent="0.25">
      <c r="A22" s="11" t="s">
        <v>2292</v>
      </c>
      <c r="B22" s="10" t="s">
        <v>130</v>
      </c>
      <c r="C22" s="9">
        <v>46237.5</v>
      </c>
      <c r="D22" s="10" t="s">
        <v>3857</v>
      </c>
      <c r="E22" s="10" t="s">
        <v>3860</v>
      </c>
      <c r="F22" s="12"/>
      <c r="G22" s="10" t="s">
        <v>3849</v>
      </c>
    </row>
    <row r="23" spans="1:7" x14ac:dyDescent="0.25">
      <c r="A23" s="8" t="s">
        <v>728</v>
      </c>
      <c r="B23" t="s">
        <v>64</v>
      </c>
      <c r="C23" s="7">
        <v>46144.5</v>
      </c>
      <c r="D23" t="s">
        <v>3854</v>
      </c>
      <c r="E23" t="s">
        <v>63</v>
      </c>
      <c r="F23" s="3">
        <v>257</v>
      </c>
      <c r="G23" t="s">
        <v>1</v>
      </c>
    </row>
    <row r="24" spans="1:7" x14ac:dyDescent="0.25">
      <c r="A24" s="8" t="s">
        <v>728</v>
      </c>
      <c r="B24" t="s">
        <v>64</v>
      </c>
      <c r="C24" s="7">
        <v>46147.5</v>
      </c>
      <c r="D24" t="s">
        <v>3855</v>
      </c>
      <c r="E24" t="s">
        <v>3866</v>
      </c>
      <c r="F24" s="3">
        <v>295.55</v>
      </c>
      <c r="G24" t="s">
        <v>1</v>
      </c>
    </row>
    <row r="25" spans="1:7" x14ac:dyDescent="0.25">
      <c r="A25" s="11" t="s">
        <v>728</v>
      </c>
      <c r="B25" s="10" t="s">
        <v>64</v>
      </c>
      <c r="C25" s="9">
        <v>46237.5</v>
      </c>
      <c r="D25" s="10" t="s">
        <v>3857</v>
      </c>
      <c r="E25" s="10" t="s">
        <v>3860</v>
      </c>
      <c r="F25" s="12"/>
      <c r="G25" s="10" t="s">
        <v>3849</v>
      </c>
    </row>
    <row r="26" spans="1:7" x14ac:dyDescent="0.25">
      <c r="A26" s="8" t="s">
        <v>1393</v>
      </c>
      <c r="B26" t="s">
        <v>73</v>
      </c>
      <c r="C26" s="7">
        <v>46146.5</v>
      </c>
      <c r="D26" t="s">
        <v>3854</v>
      </c>
      <c r="E26" t="s">
        <v>63</v>
      </c>
      <c r="F26" s="3">
        <v>347</v>
      </c>
      <c r="G26" t="s">
        <v>1</v>
      </c>
    </row>
    <row r="27" spans="1:7" x14ac:dyDescent="0.25">
      <c r="A27" s="8" t="s">
        <v>1393</v>
      </c>
      <c r="B27" t="s">
        <v>73</v>
      </c>
      <c r="C27" s="7">
        <v>46163.5</v>
      </c>
      <c r="D27" t="s">
        <v>3855</v>
      </c>
      <c r="E27" t="s">
        <v>3867</v>
      </c>
      <c r="F27" s="3">
        <v>423.34</v>
      </c>
      <c r="G27" t="s">
        <v>1</v>
      </c>
    </row>
    <row r="28" spans="1:7" x14ac:dyDescent="0.25">
      <c r="A28" s="11" t="s">
        <v>1393</v>
      </c>
      <c r="B28" s="10" t="s">
        <v>73</v>
      </c>
      <c r="C28" s="9">
        <v>46237.5</v>
      </c>
      <c r="D28" s="10" t="s">
        <v>3857</v>
      </c>
      <c r="E28" s="10" t="s">
        <v>3860</v>
      </c>
      <c r="F28" s="12"/>
      <c r="G28" s="10" t="s">
        <v>3849</v>
      </c>
    </row>
    <row r="29" spans="1:7" x14ac:dyDescent="0.25">
      <c r="A29" s="8" t="s">
        <v>725</v>
      </c>
      <c r="B29" t="s">
        <v>83</v>
      </c>
      <c r="C29" s="7">
        <v>46143.5</v>
      </c>
      <c r="D29" t="s">
        <v>3854</v>
      </c>
      <c r="E29" t="s">
        <v>101</v>
      </c>
      <c r="F29" s="3">
        <v>715</v>
      </c>
      <c r="G29" t="s">
        <v>1</v>
      </c>
    </row>
    <row r="30" spans="1:7" x14ac:dyDescent="0.25">
      <c r="A30" s="8" t="s">
        <v>725</v>
      </c>
      <c r="B30" t="s">
        <v>83</v>
      </c>
      <c r="C30" s="7">
        <v>46148.5</v>
      </c>
      <c r="D30" t="s">
        <v>3855</v>
      </c>
      <c r="E30" t="s">
        <v>3868</v>
      </c>
      <c r="F30" s="3">
        <v>836.55</v>
      </c>
      <c r="G30" t="s">
        <v>1</v>
      </c>
    </row>
    <row r="31" spans="1:7" x14ac:dyDescent="0.25">
      <c r="A31" s="11" t="s">
        <v>725</v>
      </c>
      <c r="B31" s="10" t="s">
        <v>83</v>
      </c>
      <c r="C31" s="9">
        <v>46237.5</v>
      </c>
      <c r="D31" s="10" t="s">
        <v>3857</v>
      </c>
      <c r="E31" s="10" t="s">
        <v>3860</v>
      </c>
      <c r="F31" s="12"/>
      <c r="G31" s="10" t="s">
        <v>3849</v>
      </c>
    </row>
    <row r="32" spans="1:7" x14ac:dyDescent="0.25">
      <c r="A32" s="8" t="s">
        <v>707</v>
      </c>
      <c r="B32" t="s">
        <v>83</v>
      </c>
      <c r="C32" s="7">
        <v>46144.5</v>
      </c>
      <c r="D32" t="s">
        <v>3854</v>
      </c>
      <c r="E32" t="s">
        <v>101</v>
      </c>
      <c r="F32" s="3">
        <v>757</v>
      </c>
      <c r="G32" t="s">
        <v>1</v>
      </c>
    </row>
    <row r="33" spans="1:7" x14ac:dyDescent="0.25">
      <c r="A33" s="8" t="s">
        <v>707</v>
      </c>
      <c r="B33" t="s">
        <v>83</v>
      </c>
      <c r="C33" s="7">
        <v>46153.5</v>
      </c>
      <c r="D33" t="s">
        <v>3855</v>
      </c>
      <c r="E33" t="s">
        <v>3869</v>
      </c>
      <c r="F33" s="3">
        <v>968.96</v>
      </c>
      <c r="G33" t="s">
        <v>1</v>
      </c>
    </row>
    <row r="34" spans="1:7" x14ac:dyDescent="0.25">
      <c r="A34" s="11" t="s">
        <v>707</v>
      </c>
      <c r="B34" s="10" t="s">
        <v>83</v>
      </c>
      <c r="C34" s="9">
        <v>46237.5</v>
      </c>
      <c r="D34" s="10" t="s">
        <v>3857</v>
      </c>
      <c r="E34" s="10" t="s">
        <v>3860</v>
      </c>
      <c r="F34" s="12"/>
      <c r="G34" s="10" t="s">
        <v>3849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AMAZON</vt:lpstr>
      <vt:lpstr>BM</vt:lpstr>
      <vt:lpstr>EBAY</vt:lpstr>
      <vt:lpstr>ONBUY</vt:lpstr>
      <vt:lpstr>TEMU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2026-08-03T12:28:57Z</dcterms:created>
  <dcterms:modified xsi:type="dcterms:W3CDTF">2026-08-03T12:28:57Z</dcterms:modified>
</cp:coreProperties>
</file>